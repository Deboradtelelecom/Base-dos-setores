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801" firstSheet="0" activeTab="2" autoFilterDateGrouping="1"/>
  </bookViews>
  <sheets>
    <sheet name="PARÂMETROS" sheetId="1" state="visible" r:id="rId1"/>
    <sheet name="SETORES" sheetId="2" state="visible" r:id="rId2"/>
    <sheet name="CUSTOS MENSAIS" sheetId="3" state="visible" r:id="rId3"/>
    <sheet name="RESUMO REEMBOLSO" sheetId="4" state="visible" r:id="rId4"/>
    <sheet name="COMERCIAL VAREJO" sheetId="5" state="visible" r:id="rId5"/>
    <sheet name="REEMBOLSO GERAL" sheetId="6" state="visible" r:id="rId6"/>
  </sheets>
  <definedNames>
    <definedName name="_xlnm._FilterDatabase" localSheetId="0" hidden="1">'PARÂMETROS'!$A$38:$J$638</definedName>
    <definedName name="_xlnm._FilterDatabase" localSheetId="5" hidden="1">'REEMBOLSO GERAL'!$A$4:$H$4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;\(#,##0\);\-"/>
    <numFmt numFmtId="165" formatCode="&quot;R$ &quot;#,##0.00;[RED]&quot;-R$ &quot;#,##0.00"/>
    <numFmt numFmtId="166" formatCode="#,##0.00;\(#,##0.00\);\-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Calibri"/>
      <charset val="1"/>
      <family val="0"/>
      <b val="1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sz val="9"/>
    </font>
    <font>
      <name val="Arial"/>
      <charset val="1"/>
      <family val="0"/>
      <i val="1"/>
      <color rgb="FF0000FF"/>
      <sz val="10"/>
    </font>
    <font>
      <name val="Cambria"/>
      <charset val="1"/>
      <family val="0"/>
      <b val="1"/>
      <color rgb="FFFFFFFF"/>
      <sz val="14"/>
    </font>
    <font>
      <name val="Cambria"/>
      <charset val="1"/>
      <family val="0"/>
      <sz val="11"/>
    </font>
    <font>
      <name val="Cambria"/>
      <charset val="1"/>
      <family val="0"/>
      <i val="1"/>
      <color rgb="FF666666"/>
      <sz val="9"/>
    </font>
    <font>
      <name val="Cambria"/>
      <charset val="1"/>
      <family val="0"/>
      <b val="1"/>
      <color rgb="FFFFFFFF"/>
      <sz val="12"/>
    </font>
    <font>
      <name val="Calibri"/>
      <charset val="1"/>
      <family val="0"/>
      <b val="1"/>
      <color rgb="FFFFFFFF"/>
      <sz val="10"/>
    </font>
    <font>
      <name val="Cambria"/>
      <charset val="1"/>
      <family val="0"/>
      <b val="1"/>
      <sz val="10"/>
    </font>
    <font>
      <name val="Calibri"/>
      <charset val="1"/>
      <family val="0"/>
      <b val="1"/>
      <sz val="12"/>
    </font>
    <font>
      <name val="Calibri"/>
      <charset val="1"/>
      <family val="0"/>
      <sz val="9"/>
    </font>
    <font>
      <name val="Calibri"/>
      <charset val="1"/>
      <family val="0"/>
      <b val="1"/>
      <sz val="10"/>
    </font>
  </fonts>
  <fills count="11">
    <fill>
      <patternFill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15" fillId="9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9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1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10" borderId="1" applyAlignment="1" pivotButton="0" quotePrefix="0" xfId="0">
      <alignment horizontal="general" vertical="bottom"/>
    </xf>
    <xf numFmtId="0" fontId="18" fillId="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0" borderId="3" pivotButton="0" quotePrefix="0" xfId="0"/>
    <xf numFmtId="0" fontId="0" fillId="0" borderId="4" pivotButton="0" quotePrefix="0" xfId="0"/>
    <xf numFmtId="0" fontId="15" fillId="9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9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1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10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CustosMensais" displayName="CustosMensais" ref="A4:H5722" headerRowCount="1" totalsRowCount="0" totalsRowShown="0">
  <autoFilter ref="A4:H5722">
    <filterColumn colId="0" hiddenButton="0" showButton="1">
      <filters>
        <filter val="Administrativo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J11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M546" activeCellId="0" sqref="M546"/>
    </sheetView>
  </sheetViews>
  <sheetFormatPr baseColWidth="8" defaultColWidth="8.66796875" defaultRowHeight="14.25" zeroHeight="0" outlineLevelRow="0"/>
  <cols>
    <col width="33.88" customWidth="1" style="110" min="1" max="1"/>
    <col width="20.33" customWidth="1" style="110" min="2" max="2"/>
    <col width="33.88" customWidth="1" style="110" min="3" max="3"/>
    <col width="13.11" customWidth="1" style="110" min="4" max="4"/>
    <col width="20.78" customWidth="1" style="110" min="5" max="5"/>
    <col width="18.56" customWidth="1" style="110" min="6" max="6"/>
    <col width="10.56" customWidth="1" style="110" min="7" max="7"/>
    <col width="17.11" customWidth="1" style="110" min="8" max="8"/>
    <col width="16.67" customWidth="1" style="110" min="9" max="9"/>
    <col width="10.56" customWidth="1" style="110" min="10" max="10"/>
  </cols>
  <sheetData>
    <row r="1" ht="25.5" customHeight="1" s="64">
      <c r="A1" s="65" t="inlineStr">
        <is>
          <t>PARÂMETROS DE RATEIO — EMPRESAS PARCEIRAS/LICENCIADAS</t>
        </is>
      </c>
    </row>
    <row r="3" ht="15" customHeight="1" s="64">
      <c r="A3" s="66" t="inlineStr">
        <is>
          <t>Mês de referência:</t>
        </is>
      </c>
      <c r="B3" s="67" t="n"/>
    </row>
    <row r="5" ht="15" customHeight="1" s="64">
      <c r="A5" s="68" t="inlineStr">
        <is>
      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      </is>
      </c>
    </row>
    <row r="7" ht="27.75" customHeight="1" s="64">
      <c r="A7" s="69" t="inlineStr">
        <is>
          <t>Empresa</t>
        </is>
      </c>
      <c r="B7" s="69" t="inlineStr">
        <is>
          <t>Nº de Clientes Atendidos</t>
        </is>
      </c>
      <c r="C7" s="69" t="inlineStr">
        <is>
          <t>Nº de Funcionários Dtel Alocados</t>
        </is>
      </c>
      <c r="D7" s="69" t="inlineStr">
        <is>
          <t>% de Clientes</t>
        </is>
      </c>
      <c r="E7" s="69" t="inlineStr">
        <is>
          <t>% de Funcionários</t>
        </is>
      </c>
      <c r="F7" s="69" t="inlineStr">
        <is>
          <t>% Royalty</t>
        </is>
      </c>
      <c r="G7" s="69" t="inlineStr">
        <is>
          <t>Mês</t>
        </is>
      </c>
    </row>
    <row r="8" ht="15" customHeight="1" s="64">
      <c r="A8" s="70" t="inlineStr">
        <is>
          <t>Empresa Licenciada DX2</t>
        </is>
      </c>
      <c r="B8" s="71" t="n">
        <v>6445</v>
      </c>
      <c r="C8" s="71" t="n">
        <v>34</v>
      </c>
      <c r="D8" s="72">
        <f>IFERROR(B8/SUMIFS($B$8:$B$907,$G$8:$G$907,G8),0)</f>
        <v/>
      </c>
      <c r="E8" s="72">
        <f>IFERROR(C8/SUMIFS($C$8:$C$907,$G$8:$G$907,G8),0)</f>
        <v/>
      </c>
      <c r="F8" s="73" t="n">
        <v>0</v>
      </c>
      <c r="G8" s="74" t="inlineStr">
        <is>
          <t>Junho/2026</t>
        </is>
      </c>
    </row>
    <row r="9" ht="15" customHeight="1" s="64">
      <c r="A9" s="75" t="inlineStr">
        <is>
          <t>Empresa Licenciada H&amp;A</t>
        </is>
      </c>
      <c r="B9" s="76" t="n">
        <v>13418</v>
      </c>
      <c r="C9" s="76" t="n">
        <v>32</v>
      </c>
      <c r="D9" s="77">
        <f>IFERROR(B9/SUMIFS($B$8:$B$907,$G$8:$G$907,G9),0)</f>
        <v/>
      </c>
      <c r="E9" s="77">
        <f>IFERROR(C9/SUMIFS($C$8:$C$907,$G$8:$G$907,G9),0)</f>
        <v/>
      </c>
      <c r="F9" s="78" t="n">
        <v>0</v>
      </c>
      <c r="G9" s="106" t="inlineStr">
        <is>
          <t>Junho/2026</t>
        </is>
      </c>
    </row>
    <row r="10" ht="15" customHeight="1" s="64">
      <c r="A10" s="70" t="inlineStr">
        <is>
          <t>Empresa Licenciada SOLON ARAUJO</t>
        </is>
      </c>
      <c r="B10" s="71" t="n">
        <v>14441</v>
      </c>
      <c r="C10" s="71" t="n">
        <v>42</v>
      </c>
      <c r="D10" s="72">
        <f>IFERROR(B10/SUMIFS($B$8:$B$907,$G$8:$G$907,G10),0)</f>
        <v/>
      </c>
      <c r="E10" s="72">
        <f>IFERROR(C10/SUMIFS($C$8:$C$907,$G$8:$G$907,G10),0)</f>
        <v/>
      </c>
      <c r="F10" s="73" t="n">
        <v>0</v>
      </c>
      <c r="G10" s="74" t="inlineStr">
        <is>
          <t>Junho/2026</t>
        </is>
      </c>
    </row>
    <row r="11" ht="15" customHeight="1" s="64">
      <c r="A11" s="75" t="inlineStr">
        <is>
          <t>Empresa Licenciada SOARES E LINS</t>
        </is>
      </c>
      <c r="B11" s="76" t="n">
        <v>3704</v>
      </c>
      <c r="C11" s="76" t="n">
        <v>11</v>
      </c>
      <c r="D11" s="77">
        <f>IFERROR(B11/SUMIFS($B$8:$B$907,$G$8:$G$907,G11),0)</f>
        <v/>
      </c>
      <c r="E11" s="77">
        <f>IFERROR(C11/SUMIFS($C$8:$C$907,$G$8:$G$907,G11),0)</f>
        <v/>
      </c>
      <c r="F11" s="78" t="n">
        <v>0</v>
      </c>
      <c r="G11" s="106" t="inlineStr">
        <is>
          <t>Junho/2026</t>
        </is>
      </c>
    </row>
    <row r="12" ht="15" customHeight="1" s="64">
      <c r="A12" s="70" t="inlineStr">
        <is>
          <t>Empresa Licenciada SOARES E SILVA</t>
        </is>
      </c>
      <c r="B12" s="71" t="n">
        <v>6434</v>
      </c>
      <c r="C12" s="71" t="n">
        <v>42</v>
      </c>
      <c r="D12" s="72">
        <f>IFERROR(B12/SUMIFS($B$8:$B$907,$G$8:$G$907,G12),0)</f>
        <v/>
      </c>
      <c r="E12" s="72">
        <f>IFERROR(C12/SUMIFS($C$8:$C$907,$G$8:$G$907,G12),0)</f>
        <v/>
      </c>
      <c r="F12" s="73" t="n">
        <v>0</v>
      </c>
      <c r="G12" s="74" t="inlineStr">
        <is>
          <t>Junho/2026</t>
        </is>
      </c>
    </row>
    <row r="13" ht="15" customHeight="1" s="64">
      <c r="A13" s="75" t="inlineStr">
        <is>
          <t>Empresa Licenciada SOUZA E SILVA</t>
        </is>
      </c>
      <c r="B13" s="76" t="n">
        <v>4749</v>
      </c>
      <c r="C13" s="76" t="n">
        <v>18</v>
      </c>
      <c r="D13" s="77">
        <f>IFERROR(B13/SUMIFS($B$8:$B$907,$G$8:$G$907,G13),0)</f>
        <v/>
      </c>
      <c r="E13" s="77">
        <f>IFERROR(C13/SUMIFS($C$8:$C$907,$G$8:$G$907,G13),0)</f>
        <v/>
      </c>
      <c r="F13" s="78" t="n">
        <v>0</v>
      </c>
      <c r="G13" s="106" t="inlineStr">
        <is>
          <t>Junho/2026</t>
        </is>
      </c>
    </row>
    <row r="14" ht="15" customHeight="1" s="64">
      <c r="A14" s="70" t="inlineStr">
        <is>
          <t>Empresa Licenciada VOICENET</t>
        </is>
      </c>
      <c r="B14" s="71" t="n">
        <v>4795</v>
      </c>
      <c r="C14" s="71" t="n">
        <v>17</v>
      </c>
      <c r="D14" s="72">
        <f>IFERROR(B14/SUMIFS($B$8:$B$907,$G$8:$G$907,G14),0)</f>
        <v/>
      </c>
      <c r="E14" s="72">
        <f>IFERROR(C14/SUMIFS($C$8:$C$907,$G$8:$G$907,G14),0)</f>
        <v/>
      </c>
      <c r="F14" s="73" t="n">
        <v>0</v>
      </c>
      <c r="G14" s="74" t="inlineStr">
        <is>
          <t>Junho/2026</t>
        </is>
      </c>
    </row>
    <row r="15" ht="15" customHeight="1" s="64">
      <c r="A15" s="75" t="inlineStr">
        <is>
          <t>DTEL (uso próprio)</t>
        </is>
      </c>
      <c r="B15" s="76" t="n">
        <v>140857</v>
      </c>
      <c r="C15" s="76" t="n">
        <v>853</v>
      </c>
      <c r="D15" s="77">
        <f>IFERROR(B15/SUMIFS($B$8:$B$907,$G$8:$G$907,G15),0)</f>
        <v/>
      </c>
      <c r="E15" s="77">
        <f>IFERROR(C15/SUMIFS($C$8:$C$907,$G$8:$G$907,G15),0)</f>
        <v/>
      </c>
      <c r="F15" s="78" t="n">
        <v>0</v>
      </c>
      <c r="G15" s="106" t="inlineStr">
        <is>
          <t>Junho/2026</t>
        </is>
      </c>
    </row>
    <row r="16" ht="15" customHeight="1" s="64">
      <c r="A16" s="80" t="inlineStr">
        <is>
          <t>TOTAL</t>
        </is>
      </c>
      <c r="B16" s="81">
        <f>SUM(B8:B15)</f>
        <v/>
      </c>
      <c r="C16" s="81">
        <f>SUM(C8:C15)</f>
        <v/>
      </c>
      <c r="D16" s="82" t="n"/>
      <c r="E16" s="82" t="n"/>
      <c r="F16" s="82" t="n"/>
      <c r="G16" s="82" t="n"/>
    </row>
    <row r="17" ht="14.25" customHeight="1" s="64">
      <c r="A17" s="70" t="inlineStr">
        <is>
          <t>Empresa Licenciada DX2</t>
        </is>
      </c>
      <c r="B17" s="71" t="n">
        <v>6280</v>
      </c>
      <c r="C17" s="71" t="n">
        <v>35</v>
      </c>
      <c r="D17" s="72">
        <f>IFERROR(B17/SUMIFS($B$8:$B$907,$G$8:$G$907,G17),0)</f>
        <v/>
      </c>
      <c r="E17" s="72">
        <f>IFERROR(C17/SUMIFS($C$8:$C$907,$G$8:$G$907,G17),0)</f>
        <v/>
      </c>
      <c r="F17" s="73" t="n">
        <v>0</v>
      </c>
      <c r="G17" s="74" t="inlineStr">
        <is>
          <t>Maio/2026</t>
        </is>
      </c>
    </row>
    <row r="18" ht="15" customHeight="1" s="64">
      <c r="A18" s="75" t="inlineStr">
        <is>
          <t>Empresa Licenciada H&amp;A</t>
        </is>
      </c>
      <c r="B18" s="76" t="n">
        <v>13402</v>
      </c>
      <c r="C18" s="76" t="n">
        <v>35</v>
      </c>
      <c r="D18" s="77">
        <f>IFERROR(B18/SUMIFS($B$8:$B$907,$G$8:$G$907,G18),0)</f>
        <v/>
      </c>
      <c r="E18" s="77">
        <f>IFERROR(C18/SUMIFS($C$8:$C$907,$G$8:$G$907,G18),0)</f>
        <v/>
      </c>
      <c r="F18" s="78" t="n">
        <v>0</v>
      </c>
      <c r="G18" s="106" t="inlineStr">
        <is>
          <t>Maio/2026</t>
        </is>
      </c>
    </row>
    <row r="19" ht="15" customHeight="1" s="64">
      <c r="A19" s="70" t="inlineStr">
        <is>
          <t>Empresa Licenciada SOLON ARAUJO</t>
        </is>
      </c>
      <c r="B19" s="71" t="n">
        <v>14331</v>
      </c>
      <c r="C19" s="71" t="n">
        <v>42</v>
      </c>
      <c r="D19" s="72">
        <f>IFERROR(B19/SUMIFS($B$8:$B$907,$G$8:$G$907,G19),0)</f>
        <v/>
      </c>
      <c r="E19" s="72">
        <f>IFERROR(C19/SUMIFS($C$8:$C$907,$G$8:$G$907,G19),0)</f>
        <v/>
      </c>
      <c r="F19" s="73" t="n">
        <v>0</v>
      </c>
      <c r="G19" s="74" t="inlineStr">
        <is>
          <t>Maio/2026</t>
        </is>
      </c>
    </row>
    <row r="20" ht="15" customHeight="1" s="64">
      <c r="A20" s="75" t="inlineStr">
        <is>
          <t>Empresa Licenciada SOARES E LINS</t>
        </is>
      </c>
      <c r="B20" s="76" t="n">
        <v>3650</v>
      </c>
      <c r="C20" s="76" t="n">
        <v>11</v>
      </c>
      <c r="D20" s="77">
        <f>IFERROR(B20/SUMIFS($B$8:$B$907,$G$8:$G$907,G20),0)</f>
        <v/>
      </c>
      <c r="E20" s="77">
        <f>IFERROR(C20/SUMIFS($C$8:$C$907,$G$8:$G$907,G20),0)</f>
        <v/>
      </c>
      <c r="F20" s="78" t="n">
        <v>0</v>
      </c>
      <c r="G20" s="106" t="inlineStr">
        <is>
          <t>Maio/2026</t>
        </is>
      </c>
    </row>
    <row r="21" ht="15" customHeight="1" s="64">
      <c r="A21" s="70" t="inlineStr">
        <is>
          <t>Empresa Licenciada SOARES E SILVA</t>
        </is>
      </c>
      <c r="B21" s="71" t="n">
        <v>6396</v>
      </c>
      <c r="C21" s="71" t="n">
        <v>42</v>
      </c>
      <c r="D21" s="72">
        <f>IFERROR(B21/SUMIFS($B$8:$B$907,$G$8:$G$907,G21),0)</f>
        <v/>
      </c>
      <c r="E21" s="72">
        <f>IFERROR(C21/SUMIFS($C$8:$C$907,$G$8:$G$907,G21),0)</f>
        <v/>
      </c>
      <c r="F21" s="73" t="n">
        <v>0</v>
      </c>
      <c r="G21" s="74" t="inlineStr">
        <is>
          <t>Maio/2026</t>
        </is>
      </c>
    </row>
    <row r="22" ht="15" customHeight="1" s="64">
      <c r="A22" s="75" t="inlineStr">
        <is>
          <t>Empresa Licenciada SOUZA E SILVA</t>
        </is>
      </c>
      <c r="B22" s="76" t="n">
        <v>4730</v>
      </c>
      <c r="C22" s="76" t="n">
        <v>18</v>
      </c>
      <c r="D22" s="77">
        <f>IFERROR(B22/SUMIFS($B$8:$B$907,$G$8:$G$907,G22),0)</f>
        <v/>
      </c>
      <c r="E22" s="77">
        <f>IFERROR(C22/SUMIFS($C$8:$C$907,$G$8:$G$907,G22),0)</f>
        <v/>
      </c>
      <c r="F22" s="78" t="n">
        <v>0</v>
      </c>
      <c r="G22" s="106" t="inlineStr">
        <is>
          <t>Maio/2026</t>
        </is>
      </c>
    </row>
    <row r="23" ht="14.25" customHeight="1" s="64">
      <c r="A23" s="70" t="inlineStr">
        <is>
          <t>Empresa Licenciada VOICENET</t>
        </is>
      </c>
      <c r="B23" s="71" t="n">
        <v>4782</v>
      </c>
      <c r="C23" s="71" t="n">
        <v>20</v>
      </c>
      <c r="D23" s="72">
        <f>IFERROR(B23/SUMIFS($B$8:$B$907,$G$8:$G$907,G23),0)</f>
        <v/>
      </c>
      <c r="E23" s="72">
        <f>IFERROR(C23/SUMIFS($C$8:$C$907,$G$8:$G$907,G23),0)</f>
        <v/>
      </c>
      <c r="F23" s="73" t="n">
        <v>0</v>
      </c>
      <c r="G23" s="74" t="inlineStr">
        <is>
          <t>Maio/2026</t>
        </is>
      </c>
    </row>
    <row r="24" ht="15" customHeight="1" s="64">
      <c r="A24" s="75" t="inlineStr">
        <is>
          <t>DTEL (uso próprio)</t>
        </is>
      </c>
      <c r="B24" s="76" t="n">
        <v>137756</v>
      </c>
      <c r="C24" s="76" t="n">
        <v>850</v>
      </c>
      <c r="D24" s="77">
        <f>IFERROR(B24/SUMIFS($B$8:$B$907,$G$8:$G$907,G24),0)</f>
        <v/>
      </c>
      <c r="E24" s="77">
        <f>IFERROR(C24/SUMIFS($C$8:$C$907,$G$8:$G$907,G24),0)</f>
        <v/>
      </c>
      <c r="F24" s="78" t="n">
        <v>0</v>
      </c>
      <c r="G24" s="106" t="inlineStr">
        <is>
          <t>Maio/2026</t>
        </is>
      </c>
    </row>
    <row r="25" ht="15" customHeight="1" s="64">
      <c r="A25" s="80" t="inlineStr">
        <is>
          <t>TOTAL</t>
        </is>
      </c>
      <c r="B25" s="81">
        <f>SUM(B17:B24)</f>
        <v/>
      </c>
      <c r="C25" s="81">
        <f>SUM(C17:C24)</f>
        <v/>
      </c>
      <c r="D25" s="82" t="n"/>
      <c r="E25" s="82" t="n"/>
      <c r="F25" s="82" t="n"/>
      <c r="G25" s="82" t="n"/>
    </row>
    <row r="26" ht="15" customHeight="1" s="64">
      <c r="A26" s="70" t="inlineStr">
        <is>
          <t>Empresa Licenciada DX2</t>
        </is>
      </c>
      <c r="B26" s="71" t="n">
        <v>6588</v>
      </c>
      <c r="C26" s="71" t="n">
        <v>34</v>
      </c>
      <c r="D26" s="72">
        <f>IFERROR(B26/SUMIFS($B$8:$B$907,$G$8:$G$907,G26),0)</f>
        <v/>
      </c>
      <c r="E26" s="72">
        <f>IFERROR(C26/SUMIFS($C$8:$C$907,$G$8:$G$907,G26),0)</f>
        <v/>
      </c>
      <c r="F26" s="73" t="n">
        <v>0</v>
      </c>
      <c r="G26" s="74" t="inlineStr">
        <is>
          <t>Julho/2026</t>
        </is>
      </c>
    </row>
    <row r="27" ht="15" customHeight="1" s="64">
      <c r="A27" s="75" t="inlineStr">
        <is>
          <t>Empresa Licenciada H&amp;A</t>
        </is>
      </c>
      <c r="B27" s="76" t="n">
        <v>13530</v>
      </c>
      <c r="C27" s="76" t="n">
        <v>0</v>
      </c>
      <c r="D27" s="77">
        <f>IFERROR(B27/SUMIFS($B$8:$B$907,$G$8:$G$907,G27),0)</f>
        <v/>
      </c>
      <c r="E27" s="77">
        <f>IFERROR(C27/SUMIFS($C$8:$C$907,$G$8:$G$907,G27),0)</f>
        <v/>
      </c>
      <c r="F27" s="78" t="n">
        <v>0</v>
      </c>
      <c r="G27" s="106" t="inlineStr">
        <is>
          <t>Julho/2026</t>
        </is>
      </c>
    </row>
    <row r="28" ht="15" customHeight="1" s="64">
      <c r="A28" s="70" t="inlineStr">
        <is>
          <t>Empresa Licenciada SOLON ARAUJO</t>
        </is>
      </c>
      <c r="B28" s="71" t="n">
        <v>14689</v>
      </c>
      <c r="C28" s="71" t="n">
        <v>47</v>
      </c>
      <c r="D28" s="72">
        <f>IFERROR(B28/SUMIFS($B$8:$B$907,$G$8:$G$907,G28),0)</f>
        <v/>
      </c>
      <c r="E28" s="72">
        <f>IFERROR(C28/SUMIFS($C$8:$C$907,$G$8:$G$907,G28),0)</f>
        <v/>
      </c>
      <c r="F28" s="73" t="n">
        <v>0</v>
      </c>
      <c r="G28" s="74" t="inlineStr">
        <is>
          <t>Julho/2026</t>
        </is>
      </c>
    </row>
    <row r="29" ht="24.75" customHeight="1" s="64">
      <c r="A29" s="75" t="inlineStr">
        <is>
          <t>Empresa Licenciada SOARES E LINS</t>
        </is>
      </c>
      <c r="B29" s="76" t="n">
        <v>3765</v>
      </c>
      <c r="C29" s="76" t="n">
        <v>11</v>
      </c>
      <c r="D29" s="77">
        <f>IFERROR(B29/SUMIFS($B$8:$B$907,$G$8:$G$907,G29),0)</f>
        <v/>
      </c>
      <c r="E29" s="77">
        <f>IFERROR(C29/SUMIFS($C$8:$C$907,$G$8:$G$907,G29),0)</f>
        <v/>
      </c>
      <c r="F29" s="78" t="n">
        <v>0</v>
      </c>
      <c r="G29" s="106" t="inlineStr">
        <is>
          <t>Julho/2026</t>
        </is>
      </c>
    </row>
    <row r="30" ht="15" customHeight="1" s="64">
      <c r="A30" s="70" t="inlineStr">
        <is>
          <t>Empresa Licenciada SOARES E SILVA</t>
        </is>
      </c>
      <c r="B30" s="71" t="n">
        <v>6568</v>
      </c>
      <c r="C30" s="71" t="n">
        <v>50</v>
      </c>
      <c r="D30" s="72">
        <f>IFERROR(B30/SUMIFS($B$8:$B$907,$G$8:$G$907,G30),0)</f>
        <v/>
      </c>
      <c r="E30" s="72">
        <f>IFERROR(C30/SUMIFS($C$8:$C$907,$G$8:$G$907,G30),0)</f>
        <v/>
      </c>
      <c r="F30" s="73" t="n">
        <v>0</v>
      </c>
      <c r="G30" s="74" t="inlineStr">
        <is>
          <t>Julho/2026</t>
        </is>
      </c>
    </row>
    <row r="31" ht="15" customHeight="1" s="64">
      <c r="A31" s="75" t="inlineStr">
        <is>
          <t>Empresa Licenciada SOUZA E SILVA</t>
        </is>
      </c>
      <c r="B31" s="76" t="n">
        <v>4805</v>
      </c>
      <c r="C31" s="76" t="n">
        <v>18</v>
      </c>
      <c r="D31" s="77">
        <f>IFERROR(B31/SUMIFS($B$8:$B$907,$G$8:$G$907,G31),0)</f>
        <v/>
      </c>
      <c r="E31" s="77">
        <f>IFERROR(C31/SUMIFS($C$8:$C$907,$G$8:$G$907,G31),0)</f>
        <v/>
      </c>
      <c r="F31" s="78" t="n">
        <v>0</v>
      </c>
      <c r="G31" s="106" t="inlineStr">
        <is>
          <t>Julho/2026</t>
        </is>
      </c>
    </row>
    <row r="32" ht="15" customHeight="1" s="64">
      <c r="A32" s="70" t="inlineStr">
        <is>
          <t>Empresa Licenciada VOICENET</t>
        </is>
      </c>
      <c r="B32" s="71" t="n">
        <v>4806</v>
      </c>
      <c r="C32" s="71" t="n">
        <v>24</v>
      </c>
      <c r="D32" s="72">
        <f>IFERROR(B32/SUMIFS($B$8:$B$907,$G$8:$G$907,G32),0)</f>
        <v/>
      </c>
      <c r="E32" s="72">
        <f>IFERROR(C32/SUMIFS($C$8:$C$907,$G$8:$G$907,G32),0)</f>
        <v/>
      </c>
      <c r="F32" s="73" t="n">
        <v>0</v>
      </c>
      <c r="G32" s="74" t="inlineStr">
        <is>
          <t>Julho/2026</t>
        </is>
      </c>
    </row>
    <row r="33" ht="15" customHeight="1" s="64">
      <c r="A33" s="75" t="inlineStr">
        <is>
          <t>DTEL (uso próprio)</t>
        </is>
      </c>
      <c r="B33" s="76" t="n">
        <v>146740</v>
      </c>
      <c r="C33" s="76" t="n">
        <v>906</v>
      </c>
      <c r="D33" s="77">
        <f>IFERROR(B33/SUMIFS($B$8:$B$907,$G$8:$G$907,G33),0)</f>
        <v/>
      </c>
      <c r="E33" s="77">
        <f>IFERROR(C33/SUMIFS($C$8:$C$907,$G$8:$G$907,G33),0)</f>
        <v/>
      </c>
      <c r="F33" s="78" t="n">
        <v>0</v>
      </c>
      <c r="G33" s="106" t="inlineStr">
        <is>
          <t>Julho/2026</t>
        </is>
      </c>
    </row>
    <row r="34" ht="15" customHeight="1" s="64">
      <c r="A34" s="80" t="inlineStr">
        <is>
          <t>TOTAL</t>
        </is>
      </c>
      <c r="B34" s="81">
        <f>SUM(B26:B33)</f>
        <v/>
      </c>
      <c r="C34" s="81">
        <f>SUM(C26:C33)</f>
        <v/>
      </c>
      <c r="D34" s="82" t="n"/>
      <c r="E34" s="82" t="n"/>
      <c r="F34" s="82" t="n"/>
      <c r="G34" s="82" t="n"/>
    </row>
    <row r="35" ht="15" customHeight="1" s="64">
      <c r="A35" s="65" t="inlineStr">
        <is>
          <t>RATEIO POR EMPRESA</t>
        </is>
      </c>
    </row>
    <row r="36" ht="14.25" customHeight="1" s="64">
      <c r="A36" s="68" t="inlineStr">
        <is>
          <t>Para cada setor, o % aplicado a cada empresa vem de PARÂMETROS: % de Clientes (se critério = Clientes) ou % de Funcionários (se critério = Funcionários). O Valor de Royalty só existe se a empresa tiver % Royalty &gt; 0% em PARÂMETROS (padrão é 0%).</t>
        </is>
      </c>
    </row>
    <row r="37" ht="14.25" customHeight="1" s="64"/>
    <row r="38" ht="14.25" customHeight="1" s="64">
      <c r="A38" s="69" t="inlineStr">
        <is>
          <t>Setor</t>
        </is>
      </c>
      <c r="B38" s="69" t="inlineStr">
        <is>
          <t>Critério</t>
        </is>
      </c>
      <c r="C38" s="69" t="inlineStr">
        <is>
          <t>Empresa</t>
        </is>
      </c>
      <c r="D38" s="69" t="inlineStr">
        <is>
          <t>% Aplicado</t>
        </is>
      </c>
      <c r="E38" s="69" t="inlineStr">
        <is>
          <t>Custo Total do Setor</t>
        </is>
      </c>
      <c r="F38" s="69" t="inlineStr">
        <is>
          <t>Valor de Custo Rateado</t>
        </is>
      </c>
      <c r="G38" s="69" t="inlineStr">
        <is>
          <t>% Royalty</t>
        </is>
      </c>
      <c r="H38" s="69" t="inlineStr">
        <is>
          <t xml:space="preserve">Valor de Royalty </t>
        </is>
      </c>
      <c r="I38" s="69" t="inlineStr">
        <is>
          <t xml:space="preserve">Valor Total a Cobrar </t>
        </is>
      </c>
      <c r="J38" s="69" t="inlineStr">
        <is>
          <t>Mês</t>
        </is>
      </c>
    </row>
    <row r="39" hidden="1" ht="14.25" customHeight="1" s="64">
      <c r="A39" s="74" t="inlineStr">
        <is>
          <t>NOC</t>
        </is>
      </c>
      <c r="B39" s="83">
        <f>INDEX(SETORES!$B:$B,MATCH(A39,SETORES!$A:$A,0))</f>
        <v/>
      </c>
      <c r="C39" s="74" t="inlineStr">
        <is>
          <t>Empresa Licenciada DX2</t>
        </is>
      </c>
      <c r="D39" s="72">
        <f>IF(B39="Clientes",SUMIFS(PARÂMETROS!$D$8:$D$907,PARÂMETROS!$A$8:$A$907,C39,PARÂMETROS!$G$8:$G$907,J39),SUMIFS(PARÂMETROS!$E$8:$E$907,PARÂMETROS!$A$8:$A$907,C39,PARÂMETROS!$G$8:$G$907,J39))</f>
        <v/>
      </c>
      <c r="E39" s="84">
        <f>SUMIFS(SETORES!$D:$D,SETORES!$A:$A,A39,SETORES!$F:$F,J39)</f>
        <v/>
      </c>
      <c r="F39" s="84">
        <f>IFERROR(D39*E39,0)</f>
        <v/>
      </c>
      <c r="G39" s="72">
        <f>SUMIFS(PARÂMETROS!$F$8:$F$907,PARÂMETROS!$A$8:$A$907,C39,PARÂMETROS!$G$8:$G$907,J39)</f>
        <v/>
      </c>
      <c r="H39" s="84">
        <f>IFERROR(F39*G39,0)</f>
        <v/>
      </c>
      <c r="I39" s="84">
        <f>F39+H39</f>
        <v/>
      </c>
      <c r="J39" s="74" t="inlineStr">
        <is>
          <t>Junho/2026</t>
        </is>
      </c>
    </row>
    <row r="40" hidden="1" ht="14.25" customHeight="1" s="64">
      <c r="A40" s="106" t="inlineStr">
        <is>
          <t>NOC</t>
        </is>
      </c>
      <c r="B40" s="106">
        <f>INDEX(SETORES!$B:$B,MATCH(A40,SETORES!$A:$A,0))</f>
        <v/>
      </c>
      <c r="C40" s="106" t="inlineStr">
        <is>
          <t>Empresa Licenciada H&amp;A</t>
        </is>
      </c>
      <c r="D40" s="77">
        <f>IF(B40="Clientes",SUMIFS(PARÂMETROS!$D$8:$D$907,PARÂMETROS!$A$8:$A$907,C40,PARÂMETROS!$G$8:$G$907,J40),SUMIFS(PARÂMETROS!$E$8:$E$907,PARÂMETROS!$A$8:$A$907,C40,PARÂMETROS!$G$8:$G$907,J40))</f>
        <v/>
      </c>
      <c r="E40" s="109">
        <f>SUMIFS(SETORES!$D:$D,SETORES!$A:$A,A40,SETORES!$F:$F,J40)</f>
        <v/>
      </c>
      <c r="F40" s="109">
        <f>IFERROR(D40*E40,0)</f>
        <v/>
      </c>
      <c r="G40" s="77">
        <f>SUMIFS(PARÂMETROS!$F$8:$F$907,PARÂMETROS!$A$8:$A$907,C40,PARÂMETROS!$G$8:$G$907,J40)</f>
        <v/>
      </c>
      <c r="H40" s="109">
        <f>IFERROR(F40*G40,0)</f>
        <v/>
      </c>
      <c r="I40" s="109">
        <f>F40+H40</f>
        <v/>
      </c>
      <c r="J40" s="106" t="inlineStr">
        <is>
          <t>Junho/2026</t>
        </is>
      </c>
    </row>
    <row r="41" hidden="1" ht="14.25" customHeight="1" s="64">
      <c r="A41" s="74" t="inlineStr">
        <is>
          <t>NOC</t>
        </is>
      </c>
      <c r="B41" s="83">
        <f>INDEX(SETORES!$B:$B,MATCH(A41,SETORES!$A:$A,0))</f>
        <v/>
      </c>
      <c r="C41" s="74" t="inlineStr">
        <is>
          <t>Empresa Licenciada SOLON ARAUJO</t>
        </is>
      </c>
      <c r="D41" s="72">
        <f>IF(B41="Clientes",SUMIFS(PARÂMETROS!$D$8:$D$907,PARÂMETROS!$A$8:$A$907,C41,PARÂMETROS!$G$8:$G$907,J41),SUMIFS(PARÂMETROS!$E$8:$E$907,PARÂMETROS!$A$8:$A$907,C41,PARÂMETROS!$G$8:$G$907,J41))</f>
        <v/>
      </c>
      <c r="E41" s="84">
        <f>SUMIFS(SETORES!$D:$D,SETORES!$A:$A,A41,SETORES!$F:$F,J41)</f>
        <v/>
      </c>
      <c r="F41" s="84">
        <f>IFERROR(D41*E41,0)</f>
        <v/>
      </c>
      <c r="G41" s="72">
        <f>SUMIFS(PARÂMETROS!$F$8:$F$907,PARÂMETROS!$A$8:$A$907,C41,PARÂMETROS!$G$8:$G$907,J41)</f>
        <v/>
      </c>
      <c r="H41" s="84">
        <f>IFERROR(F41*G41,0)</f>
        <v/>
      </c>
      <c r="I41" s="84">
        <f>F41+H41</f>
        <v/>
      </c>
      <c r="J41" s="74" t="inlineStr">
        <is>
          <t>Junho/2026</t>
        </is>
      </c>
    </row>
    <row r="42" ht="14.25" customHeight="1" s="64">
      <c r="A42" s="106" t="inlineStr">
        <is>
          <t>NOC</t>
        </is>
      </c>
      <c r="B42" s="106">
        <f>INDEX(SETORES!$B:$B,MATCH(A42,SETORES!$A:$A,0))</f>
        <v/>
      </c>
      <c r="C42" s="106" t="inlineStr">
        <is>
          <t>Empresa Licenciada SOARES E LINS</t>
        </is>
      </c>
      <c r="D42" s="77">
        <f>IF(B42="Clientes",SUMIFS(PARÂMETROS!$D$8:$D$907,PARÂMETROS!$A$8:$A$907,C42,PARÂMETROS!$G$8:$G$907,J42),SUMIFS(PARÂMETROS!$E$8:$E$907,PARÂMETROS!$A$8:$A$907,C42,PARÂMETROS!$G$8:$G$907,J42))</f>
        <v/>
      </c>
      <c r="E42" s="109">
        <f>SUMIFS(SETORES!$D:$D,SETORES!$A:$A,A42,SETORES!$F:$F,J42)</f>
        <v/>
      </c>
      <c r="F42" s="109">
        <f>IFERROR(D42*E42,0)</f>
        <v/>
      </c>
      <c r="G42" s="77">
        <f>SUMIFS(PARÂMETROS!$F$8:$F$907,PARÂMETROS!$A$8:$A$907,C42,PARÂMETROS!$G$8:$G$907,J42)</f>
        <v/>
      </c>
      <c r="H42" s="109">
        <f>IFERROR(F42*G42,0)</f>
        <v/>
      </c>
      <c r="I42" s="109">
        <f>F42+H42</f>
        <v/>
      </c>
      <c r="J42" s="106" t="inlineStr">
        <is>
          <t>Junho/2026</t>
        </is>
      </c>
    </row>
    <row r="43" hidden="1" ht="14.25" customHeight="1" s="64">
      <c r="A43" s="74" t="inlineStr">
        <is>
          <t>NOC</t>
        </is>
      </c>
      <c r="B43" s="83">
        <f>INDEX(SETORES!$B:$B,MATCH(A43,SETORES!$A:$A,0))</f>
        <v/>
      </c>
      <c r="C43" s="74" t="inlineStr">
        <is>
          <t>Empresa Licenciada SOARES E SILVA</t>
        </is>
      </c>
      <c r="D43" s="72">
        <f>IF(B43="Clientes",SUMIFS(PARÂMETROS!$D$8:$D$907,PARÂMETROS!$A$8:$A$907,C43,PARÂMETROS!$G$8:$G$907,J43),SUMIFS(PARÂMETROS!$E$8:$E$907,PARÂMETROS!$A$8:$A$907,C43,PARÂMETROS!$G$8:$G$907,J43))</f>
        <v/>
      </c>
      <c r="E43" s="84">
        <f>SUMIFS(SETORES!$D:$D,SETORES!$A:$A,A43,SETORES!$F:$F,J43)</f>
        <v/>
      </c>
      <c r="F43" s="84">
        <f>IFERROR(D43*E43,0)</f>
        <v/>
      </c>
      <c r="G43" s="72">
        <f>SUMIFS(PARÂMETROS!$F$8:$F$907,PARÂMETROS!$A$8:$A$907,C43,PARÂMETROS!$G$8:$G$907,J43)</f>
        <v/>
      </c>
      <c r="H43" s="84">
        <f>IFERROR(F43*G43,0)</f>
        <v/>
      </c>
      <c r="I43" s="84">
        <f>F43+H43</f>
        <v/>
      </c>
      <c r="J43" s="74" t="inlineStr">
        <is>
          <t>Junho/2026</t>
        </is>
      </c>
    </row>
    <row r="44" hidden="1" ht="14.25" customHeight="1" s="64">
      <c r="A44" s="106" t="inlineStr">
        <is>
          <t>NOC</t>
        </is>
      </c>
      <c r="B44" s="106">
        <f>INDEX(SETORES!$B:$B,MATCH(A44,SETORES!$A:$A,0))</f>
        <v/>
      </c>
      <c r="C44" s="106" t="inlineStr">
        <is>
          <t>Empresa Licenciada SOUZA E SILVA</t>
        </is>
      </c>
      <c r="D44" s="77">
        <f>IF(B44="Clientes",SUMIFS(PARÂMETROS!$D$8:$D$907,PARÂMETROS!$A$8:$A$907,C44,PARÂMETROS!$G$8:$G$907,J44),SUMIFS(PARÂMETROS!$E$8:$E$907,PARÂMETROS!$A$8:$A$907,C44,PARÂMETROS!$G$8:$G$907,J44))</f>
        <v/>
      </c>
      <c r="E44" s="109">
        <f>SUMIFS(SETORES!$D:$D,SETORES!$A:$A,A44,SETORES!$F:$F,J44)</f>
        <v/>
      </c>
      <c r="F44" s="109">
        <f>IFERROR(D44*E44,0)</f>
        <v/>
      </c>
      <c r="G44" s="77">
        <f>SUMIFS(PARÂMETROS!$F$8:$F$907,PARÂMETROS!$A$8:$A$907,C44,PARÂMETROS!$G$8:$G$907,J44)</f>
        <v/>
      </c>
      <c r="H44" s="109">
        <f>IFERROR(F44*G44,0)</f>
        <v/>
      </c>
      <c r="I44" s="109">
        <f>F44+H44</f>
        <v/>
      </c>
      <c r="J44" s="106" t="inlineStr">
        <is>
          <t>Junho/2026</t>
        </is>
      </c>
    </row>
    <row r="45" hidden="1" ht="14.25" customHeight="1" s="64">
      <c r="A45" s="74" t="inlineStr">
        <is>
          <t>NOC</t>
        </is>
      </c>
      <c r="B45" s="83">
        <f>INDEX(SETORES!$B:$B,MATCH(A45,SETORES!$A:$A,0))</f>
        <v/>
      </c>
      <c r="C45" s="74" t="inlineStr">
        <is>
          <t>Empresa Licenciada VOICENET</t>
        </is>
      </c>
      <c r="D45" s="72">
        <f>IF(B45="Clientes",SUMIFS(PARÂMETROS!$D$8:$D$907,PARÂMETROS!$A$8:$A$907,C45,PARÂMETROS!$G$8:$G$907,J45),SUMIFS(PARÂMETROS!$E$8:$E$907,PARÂMETROS!$A$8:$A$907,C45,PARÂMETROS!$G$8:$G$907,J45))</f>
        <v/>
      </c>
      <c r="E45" s="84">
        <f>SUMIFS(SETORES!$D:$D,SETORES!$A:$A,A45,SETORES!$F:$F,J45)</f>
        <v/>
      </c>
      <c r="F45" s="84">
        <f>IFERROR(D45*E45,0)</f>
        <v/>
      </c>
      <c r="G45" s="72">
        <f>SUMIFS(PARÂMETROS!$F$8:$F$907,PARÂMETROS!$A$8:$A$907,C45,PARÂMETROS!$G$8:$G$907,J45)</f>
        <v/>
      </c>
      <c r="H45" s="84">
        <f>IFERROR(F45*G45,0)</f>
        <v/>
      </c>
      <c r="I45" s="84">
        <f>F45+H45</f>
        <v/>
      </c>
      <c r="J45" s="74" t="inlineStr">
        <is>
          <t>Junho/2026</t>
        </is>
      </c>
    </row>
    <row r="46" hidden="1" ht="14.25" customHeight="1" s="64">
      <c r="A46" s="106" t="inlineStr">
        <is>
          <t>NOC</t>
        </is>
      </c>
      <c r="B46" s="106">
        <f>INDEX(SETORES!$B:$B,MATCH(A46,SETORES!$A:$A,0))</f>
        <v/>
      </c>
      <c r="C46" s="106" t="inlineStr">
        <is>
          <t>DTEL (uso próprio)</t>
        </is>
      </c>
      <c r="D46" s="77">
        <f>IF(B46="Clientes",SUMIFS(PARÂMETROS!$D$8:$D$907,PARÂMETROS!$A$8:$A$907,C46,PARÂMETROS!$G$8:$G$907,J46),SUMIFS(PARÂMETROS!$E$8:$E$907,PARÂMETROS!$A$8:$A$907,C46,PARÂMETROS!$G$8:$G$907,J46))</f>
        <v/>
      </c>
      <c r="E46" s="109">
        <f>SUMIFS(SETORES!$D:$D,SETORES!$A:$A,A46,SETORES!$F:$F,J46)</f>
        <v/>
      </c>
      <c r="F46" s="109">
        <f>IFERROR(D46*E46,0)</f>
        <v/>
      </c>
      <c r="G46" s="77">
        <f>SUMIFS(PARÂMETROS!$F$8:$F$907,PARÂMETROS!$A$8:$A$907,C46,PARÂMETROS!$G$8:$G$907,J46)</f>
        <v/>
      </c>
      <c r="H46" s="109">
        <f>IFERROR(F46*G46,0)</f>
        <v/>
      </c>
      <c r="I46" s="109">
        <f>F46+H46</f>
        <v/>
      </c>
      <c r="J46" s="106" t="inlineStr">
        <is>
          <t>Junho/2026</t>
        </is>
      </c>
    </row>
    <row r="47" hidden="1" ht="14.25" customHeight="1" s="64">
      <c r="A47" s="74" t="inlineStr">
        <is>
          <t>RH</t>
        </is>
      </c>
      <c r="B47" s="83">
        <f>INDEX(SETORES!$B:$B,MATCH(A47,SETORES!$A:$A,0))</f>
        <v/>
      </c>
      <c r="C47" s="74" t="inlineStr">
        <is>
          <t>Empresa Licenciada DX2</t>
        </is>
      </c>
      <c r="D47" s="72">
        <f>IF(B47="Clientes",SUMIFS(PARÂMETROS!$D$8:$D$907,PARÂMETROS!$A$8:$A$907,C47,PARÂMETROS!$G$8:$G$907,J47),SUMIFS(PARÂMETROS!$E$8:$E$907,PARÂMETROS!$A$8:$A$907,C47,PARÂMETROS!$G$8:$G$907,J47))</f>
        <v/>
      </c>
      <c r="E47" s="84">
        <f>SUMIFS(SETORES!$D:$D,SETORES!$A:$A,A47,SETORES!$F:$F,J47)</f>
        <v/>
      </c>
      <c r="F47" s="84">
        <f>IFERROR(D47*E47,0)</f>
        <v/>
      </c>
      <c r="G47" s="72">
        <f>SUMIFS(PARÂMETROS!$F$8:$F$907,PARÂMETROS!$A$8:$A$907,C47,PARÂMETROS!$G$8:$G$907,J47)</f>
        <v/>
      </c>
      <c r="H47" s="84">
        <f>IFERROR(F47*G47,0)</f>
        <v/>
      </c>
      <c r="I47" s="84">
        <f>F47+H47</f>
        <v/>
      </c>
      <c r="J47" s="74" t="inlineStr">
        <is>
          <t>Junho/2026</t>
        </is>
      </c>
    </row>
    <row r="48" hidden="1" ht="14.25" customHeight="1" s="64">
      <c r="A48" s="106" t="inlineStr">
        <is>
          <t>RH</t>
        </is>
      </c>
      <c r="B48" s="106">
        <f>INDEX(SETORES!$B:$B,MATCH(A48,SETORES!$A:$A,0))</f>
        <v/>
      </c>
      <c r="C48" s="106" t="inlineStr">
        <is>
          <t>Empresa Licenciada H&amp;A</t>
        </is>
      </c>
      <c r="D48" s="77">
        <f>IF(B48="Clientes",SUMIFS(PARÂMETROS!$D$8:$D$907,PARÂMETROS!$A$8:$A$907,C48,PARÂMETROS!$G$8:$G$907,J48),SUMIFS(PARÂMETROS!$E$8:$E$907,PARÂMETROS!$A$8:$A$907,C48,PARÂMETROS!$G$8:$G$907,J48))</f>
        <v/>
      </c>
      <c r="E48" s="109">
        <f>SUMIFS(SETORES!$D:$D,SETORES!$A:$A,A48,SETORES!$F:$F,J48)</f>
        <v/>
      </c>
      <c r="F48" s="109">
        <f>IFERROR(D48*E48,0)</f>
        <v/>
      </c>
      <c r="G48" s="77">
        <f>SUMIFS(PARÂMETROS!$F$8:$F$907,PARÂMETROS!$A$8:$A$907,C48,PARÂMETROS!$G$8:$G$907,J48)</f>
        <v/>
      </c>
      <c r="H48" s="109">
        <f>IFERROR(F48*G48,0)</f>
        <v/>
      </c>
      <c r="I48" s="109">
        <f>F48+H48</f>
        <v/>
      </c>
      <c r="J48" s="106" t="inlineStr">
        <is>
          <t>Junho/2026</t>
        </is>
      </c>
    </row>
    <row r="49" hidden="1" ht="14.25" customHeight="1" s="64">
      <c r="A49" s="74" t="inlineStr">
        <is>
          <t>RH</t>
        </is>
      </c>
      <c r="B49" s="83">
        <f>INDEX(SETORES!$B:$B,MATCH(A49,SETORES!$A:$A,0))</f>
        <v/>
      </c>
      <c r="C49" s="74" t="inlineStr">
        <is>
          <t>Empresa Licenciada SOLON ARAUJO</t>
        </is>
      </c>
      <c r="D49" s="72">
        <f>IF(B49="Clientes",SUMIFS(PARÂMETROS!$D$8:$D$907,PARÂMETROS!$A$8:$A$907,C49,PARÂMETROS!$G$8:$G$907,J49),SUMIFS(PARÂMETROS!$E$8:$E$907,PARÂMETROS!$A$8:$A$907,C49,PARÂMETROS!$G$8:$G$907,J49))</f>
        <v/>
      </c>
      <c r="E49" s="84">
        <f>SUMIFS(SETORES!$D:$D,SETORES!$A:$A,A49,SETORES!$F:$F,J49)</f>
        <v/>
      </c>
      <c r="F49" s="84">
        <f>IFERROR(D49*E49,0)</f>
        <v/>
      </c>
      <c r="G49" s="72">
        <f>SUMIFS(PARÂMETROS!$F$8:$F$907,PARÂMETROS!$A$8:$A$907,C49,PARÂMETROS!$G$8:$G$907,J49)</f>
        <v/>
      </c>
      <c r="H49" s="84">
        <f>IFERROR(F49*G49,0)</f>
        <v/>
      </c>
      <c r="I49" s="84">
        <f>F49+H49</f>
        <v/>
      </c>
      <c r="J49" s="74" t="inlineStr">
        <is>
          <t>Junho/2026</t>
        </is>
      </c>
    </row>
    <row r="50" ht="14.25" customHeight="1" s="64">
      <c r="A50" s="106" t="inlineStr">
        <is>
          <t>RH</t>
        </is>
      </c>
      <c r="B50" s="106">
        <f>INDEX(SETORES!$B:$B,MATCH(A50,SETORES!$A:$A,0))</f>
        <v/>
      </c>
      <c r="C50" s="106" t="inlineStr">
        <is>
          <t>Empresa Licenciada SOARES E LINS</t>
        </is>
      </c>
      <c r="D50" s="77">
        <f>IF(B50="Clientes",SUMIFS(PARÂMETROS!$D$8:$D$907,PARÂMETROS!$A$8:$A$907,C50,PARÂMETROS!$G$8:$G$907,J50),SUMIFS(PARÂMETROS!$E$8:$E$907,PARÂMETROS!$A$8:$A$907,C50,PARÂMETROS!$G$8:$G$907,J50))</f>
        <v/>
      </c>
      <c r="E50" s="109">
        <f>SUMIFS(SETORES!$D:$D,SETORES!$A:$A,A50,SETORES!$F:$F,J50)</f>
        <v/>
      </c>
      <c r="F50" s="109">
        <f>IFERROR(D50*E50,0)</f>
        <v/>
      </c>
      <c r="G50" s="77">
        <f>SUMIFS(PARÂMETROS!$F$8:$F$907,PARÂMETROS!$A$8:$A$907,C50,PARÂMETROS!$G$8:$G$907,J50)</f>
        <v/>
      </c>
      <c r="H50" s="109">
        <f>IFERROR(F50*G50,0)</f>
        <v/>
      </c>
      <c r="I50" s="109">
        <f>F50+H50</f>
        <v/>
      </c>
      <c r="J50" s="106" t="inlineStr">
        <is>
          <t>Junho/2026</t>
        </is>
      </c>
    </row>
    <row r="51" hidden="1" ht="14.25" customHeight="1" s="64">
      <c r="A51" s="74" t="inlineStr">
        <is>
          <t>RH</t>
        </is>
      </c>
      <c r="B51" s="83">
        <f>INDEX(SETORES!$B:$B,MATCH(A51,SETORES!$A:$A,0))</f>
        <v/>
      </c>
      <c r="C51" s="74" t="inlineStr">
        <is>
          <t>Empresa Licenciada SOARES E SILVA</t>
        </is>
      </c>
      <c r="D51" s="72">
        <f>IF(B51="Clientes",SUMIFS(PARÂMETROS!$D$8:$D$907,PARÂMETROS!$A$8:$A$907,C51,PARÂMETROS!$G$8:$G$907,J51),SUMIFS(PARÂMETROS!$E$8:$E$907,PARÂMETROS!$A$8:$A$907,C51,PARÂMETROS!$G$8:$G$907,J51))</f>
        <v/>
      </c>
      <c r="E51" s="84">
        <f>SUMIFS(SETORES!$D:$D,SETORES!$A:$A,A51,SETORES!$F:$F,J51)</f>
        <v/>
      </c>
      <c r="F51" s="84">
        <f>IFERROR(D51*E51,0)</f>
        <v/>
      </c>
      <c r="G51" s="72">
        <f>SUMIFS(PARÂMETROS!$F$8:$F$907,PARÂMETROS!$A$8:$A$907,C51,PARÂMETROS!$G$8:$G$907,J51)</f>
        <v/>
      </c>
      <c r="H51" s="84">
        <f>IFERROR(F51*G51,0)</f>
        <v/>
      </c>
      <c r="I51" s="84">
        <f>F51+H51</f>
        <v/>
      </c>
      <c r="J51" s="74" t="inlineStr">
        <is>
          <t>Junho/2026</t>
        </is>
      </c>
    </row>
    <row r="52" hidden="1" ht="14.25" customHeight="1" s="64">
      <c r="A52" s="106" t="inlineStr">
        <is>
          <t>RH</t>
        </is>
      </c>
      <c r="B52" s="106">
        <f>INDEX(SETORES!$B:$B,MATCH(A52,SETORES!$A:$A,0))</f>
        <v/>
      </c>
      <c r="C52" s="106" t="inlineStr">
        <is>
          <t>Empresa Licenciada SOUZA E SILVA</t>
        </is>
      </c>
      <c r="D52" s="77">
        <f>IF(B52="Clientes",SUMIFS(PARÂMETROS!$D$8:$D$907,PARÂMETROS!$A$8:$A$907,C52,PARÂMETROS!$G$8:$G$907,J52),SUMIFS(PARÂMETROS!$E$8:$E$907,PARÂMETROS!$A$8:$A$907,C52,PARÂMETROS!$G$8:$G$907,J52))</f>
        <v/>
      </c>
      <c r="E52" s="109">
        <f>SUMIFS(SETORES!$D:$D,SETORES!$A:$A,A52,SETORES!$F:$F,J52)</f>
        <v/>
      </c>
      <c r="F52" s="109">
        <f>IFERROR(D52*E52,0)</f>
        <v/>
      </c>
      <c r="G52" s="77">
        <f>SUMIFS(PARÂMETROS!$F$8:$F$907,PARÂMETROS!$A$8:$A$907,C52,PARÂMETROS!$G$8:$G$907,J52)</f>
        <v/>
      </c>
      <c r="H52" s="109">
        <f>IFERROR(F52*G52,0)</f>
        <v/>
      </c>
      <c r="I52" s="109">
        <f>F52+H52</f>
        <v/>
      </c>
      <c r="J52" s="106" t="inlineStr">
        <is>
          <t>Junho/2026</t>
        </is>
      </c>
    </row>
    <row r="53" hidden="1" ht="14.25" customHeight="1" s="64">
      <c r="A53" s="74" t="inlineStr">
        <is>
          <t>RH</t>
        </is>
      </c>
      <c r="B53" s="83">
        <f>INDEX(SETORES!$B:$B,MATCH(A53,SETORES!$A:$A,0))</f>
        <v/>
      </c>
      <c r="C53" s="74" t="inlineStr">
        <is>
          <t>Empresa Licenciada VOICENET</t>
        </is>
      </c>
      <c r="D53" s="72">
        <f>IF(B53="Clientes",SUMIFS(PARÂMETROS!$D$8:$D$907,PARÂMETROS!$A$8:$A$907,C53,PARÂMETROS!$G$8:$G$907,J53),SUMIFS(PARÂMETROS!$E$8:$E$907,PARÂMETROS!$A$8:$A$907,C53,PARÂMETROS!$G$8:$G$907,J53))</f>
        <v/>
      </c>
      <c r="E53" s="84">
        <f>SUMIFS(SETORES!$D:$D,SETORES!$A:$A,A53,SETORES!$F:$F,J53)</f>
        <v/>
      </c>
      <c r="F53" s="84">
        <f>IFERROR(D53*E53,0)</f>
        <v/>
      </c>
      <c r="G53" s="72">
        <f>SUMIFS(PARÂMETROS!$F$8:$F$907,PARÂMETROS!$A$8:$A$907,C53,PARÂMETROS!$G$8:$G$907,J53)</f>
        <v/>
      </c>
      <c r="H53" s="84">
        <f>IFERROR(F53*G53,0)</f>
        <v/>
      </c>
      <c r="I53" s="84">
        <f>F53+H53</f>
        <v/>
      </c>
      <c r="J53" s="74" t="inlineStr">
        <is>
          <t>Junho/2026</t>
        </is>
      </c>
    </row>
    <row r="54" hidden="1" ht="14.25" customHeight="1" s="64">
      <c r="A54" s="106" t="inlineStr">
        <is>
          <t>RH</t>
        </is>
      </c>
      <c r="B54" s="106">
        <f>INDEX(SETORES!$B:$B,MATCH(A54,SETORES!$A:$A,0))</f>
        <v/>
      </c>
      <c r="C54" s="106" t="inlineStr">
        <is>
          <t>DTEL (uso próprio)</t>
        </is>
      </c>
      <c r="D54" s="77">
        <f>IF(B54="Clientes",SUMIFS(PARÂMETROS!$D$8:$D$907,PARÂMETROS!$A$8:$A$907,C54,PARÂMETROS!$G$8:$G$907,J54),SUMIFS(PARÂMETROS!$E$8:$E$907,PARÂMETROS!$A$8:$A$907,C54,PARÂMETROS!$G$8:$G$907,J54))</f>
        <v/>
      </c>
      <c r="E54" s="109">
        <f>SUMIFS(SETORES!$D:$D,SETORES!$A:$A,A54,SETORES!$F:$F,J54)</f>
        <v/>
      </c>
      <c r="F54" s="109">
        <f>IFERROR(D54*E54,0)</f>
        <v/>
      </c>
      <c r="G54" s="77">
        <f>SUMIFS(PARÂMETROS!$F$8:$F$907,PARÂMETROS!$A$8:$A$907,C54,PARÂMETROS!$G$8:$G$907,J54)</f>
        <v/>
      </c>
      <c r="H54" s="109">
        <f>IFERROR(F54*G54,0)</f>
        <v/>
      </c>
      <c r="I54" s="109">
        <f>F54+H54</f>
        <v/>
      </c>
      <c r="J54" s="106" t="inlineStr">
        <is>
          <t>Junho/2026</t>
        </is>
      </c>
    </row>
    <row r="55" hidden="1" ht="14.25" customHeight="1" s="64">
      <c r="A55" s="74" t="inlineStr">
        <is>
          <t>DP</t>
        </is>
      </c>
      <c r="B55" s="83">
        <f>INDEX(SETORES!$B:$B,MATCH(A55,SETORES!$A:$A,0))</f>
        <v/>
      </c>
      <c r="C55" s="74" t="inlineStr">
        <is>
          <t>Empresa Licenciada DX2</t>
        </is>
      </c>
      <c r="D55" s="72">
        <f>IF(B55="Clientes",SUMIFS(PARÂMETROS!$D$8:$D$907,PARÂMETROS!$A$8:$A$907,C55,PARÂMETROS!$G$8:$G$907,J55),SUMIFS(PARÂMETROS!$E$8:$E$907,PARÂMETROS!$A$8:$A$907,C55,PARÂMETROS!$G$8:$G$907,J55))</f>
        <v/>
      </c>
      <c r="E55" s="84">
        <f>SUMIFS(SETORES!$D:$D,SETORES!$A:$A,A55,SETORES!$F:$F,J55)</f>
        <v/>
      </c>
      <c r="F55" s="84">
        <f>IFERROR(D55*E55,0)</f>
        <v/>
      </c>
      <c r="G55" s="72">
        <f>SUMIFS(PARÂMETROS!$F$8:$F$907,PARÂMETROS!$A$8:$A$907,C55,PARÂMETROS!$G$8:$G$907,J55)</f>
        <v/>
      </c>
      <c r="H55" s="84">
        <f>IFERROR(F55*G55,0)</f>
        <v/>
      </c>
      <c r="I55" s="84">
        <f>F55+H55</f>
        <v/>
      </c>
      <c r="J55" s="74" t="inlineStr">
        <is>
          <t>Junho/2026</t>
        </is>
      </c>
    </row>
    <row r="56" hidden="1" ht="14.25" customHeight="1" s="64">
      <c r="A56" s="106" t="inlineStr">
        <is>
          <t>DP</t>
        </is>
      </c>
      <c r="B56" s="106">
        <f>INDEX(SETORES!$B:$B,MATCH(A56,SETORES!$A:$A,0))</f>
        <v/>
      </c>
      <c r="C56" s="106" t="inlineStr">
        <is>
          <t>Empresa Licenciada H&amp;A</t>
        </is>
      </c>
      <c r="D56" s="77">
        <f>IF(B56="Clientes",SUMIFS(PARÂMETROS!$D$8:$D$907,PARÂMETROS!$A$8:$A$907,C56,PARÂMETROS!$G$8:$G$907,J56),SUMIFS(PARÂMETROS!$E$8:$E$907,PARÂMETROS!$A$8:$A$907,C56,PARÂMETROS!$G$8:$G$907,J56))</f>
        <v/>
      </c>
      <c r="E56" s="109">
        <f>SUMIFS(SETORES!$D:$D,SETORES!$A:$A,A56,SETORES!$F:$F,J56)</f>
        <v/>
      </c>
      <c r="F56" s="109">
        <f>IFERROR(D56*E56,0)</f>
        <v/>
      </c>
      <c r="G56" s="77">
        <f>SUMIFS(PARÂMETROS!$F$8:$F$907,PARÂMETROS!$A$8:$A$907,C56,PARÂMETROS!$G$8:$G$907,J56)</f>
        <v/>
      </c>
      <c r="H56" s="109">
        <f>IFERROR(F56*G56,0)</f>
        <v/>
      </c>
      <c r="I56" s="109">
        <f>F56+H56</f>
        <v/>
      </c>
      <c r="J56" s="106" t="inlineStr">
        <is>
          <t>Junho/2026</t>
        </is>
      </c>
    </row>
    <row r="57" hidden="1" ht="14.25" customHeight="1" s="64">
      <c r="A57" s="74" t="inlineStr">
        <is>
          <t>DP</t>
        </is>
      </c>
      <c r="B57" s="83">
        <f>INDEX(SETORES!$B:$B,MATCH(A57,SETORES!$A:$A,0))</f>
        <v/>
      </c>
      <c r="C57" s="74" t="inlineStr">
        <is>
          <t>Empresa Licenciada SOLON ARAUJO</t>
        </is>
      </c>
      <c r="D57" s="72">
        <f>IF(B57="Clientes",SUMIFS(PARÂMETROS!$D$8:$D$907,PARÂMETROS!$A$8:$A$907,C57,PARÂMETROS!$G$8:$G$907,J57),SUMIFS(PARÂMETROS!$E$8:$E$907,PARÂMETROS!$A$8:$A$907,C57,PARÂMETROS!$G$8:$G$907,J57))</f>
        <v/>
      </c>
      <c r="E57" s="84">
        <f>SUMIFS(SETORES!$D:$D,SETORES!$A:$A,A57,SETORES!$F:$F,J57)</f>
        <v/>
      </c>
      <c r="F57" s="84">
        <f>IFERROR(D57*E57,0)</f>
        <v/>
      </c>
      <c r="G57" s="72">
        <f>SUMIFS(PARÂMETROS!$F$8:$F$907,PARÂMETROS!$A$8:$A$907,C57,PARÂMETROS!$G$8:$G$907,J57)</f>
        <v/>
      </c>
      <c r="H57" s="84">
        <f>IFERROR(F57*G57,0)</f>
        <v/>
      </c>
      <c r="I57" s="84">
        <f>F57+H57</f>
        <v/>
      </c>
      <c r="J57" s="74" t="inlineStr">
        <is>
          <t>Junho/2026</t>
        </is>
      </c>
    </row>
    <row r="58" ht="14.25" customHeight="1" s="64">
      <c r="A58" s="106" t="inlineStr">
        <is>
          <t>DP</t>
        </is>
      </c>
      <c r="B58" s="106">
        <f>INDEX(SETORES!$B:$B,MATCH(A58,SETORES!$A:$A,0))</f>
        <v/>
      </c>
      <c r="C58" s="106" t="inlineStr">
        <is>
          <t>Empresa Licenciada SOARES E LINS</t>
        </is>
      </c>
      <c r="D58" s="77">
        <f>IF(B58="Clientes",SUMIFS(PARÂMETROS!$D$8:$D$907,PARÂMETROS!$A$8:$A$907,C58,PARÂMETROS!$G$8:$G$907,J58),SUMIFS(PARÂMETROS!$E$8:$E$907,PARÂMETROS!$A$8:$A$907,C58,PARÂMETROS!$G$8:$G$907,J58))</f>
        <v/>
      </c>
      <c r="E58" s="109">
        <f>SUMIFS(SETORES!$D:$D,SETORES!$A:$A,A58,SETORES!$F:$F,J58)</f>
        <v/>
      </c>
      <c r="F58" s="109">
        <f>IFERROR(D58*E58,0)</f>
        <v/>
      </c>
      <c r="G58" s="77">
        <f>SUMIFS(PARÂMETROS!$F$8:$F$907,PARÂMETROS!$A$8:$A$907,C58,PARÂMETROS!$G$8:$G$907,J58)</f>
        <v/>
      </c>
      <c r="H58" s="109">
        <f>IFERROR(F58*G58,0)</f>
        <v/>
      </c>
      <c r="I58" s="109">
        <f>F58+H58</f>
        <v/>
      </c>
      <c r="J58" s="106" t="inlineStr">
        <is>
          <t>Junho/2026</t>
        </is>
      </c>
    </row>
    <row r="59" hidden="1" ht="14.25" customHeight="1" s="64">
      <c r="A59" s="74" t="inlineStr">
        <is>
          <t>DP</t>
        </is>
      </c>
      <c r="B59" s="83">
        <f>INDEX(SETORES!$B:$B,MATCH(A59,SETORES!$A:$A,0))</f>
        <v/>
      </c>
      <c r="C59" s="74" t="inlineStr">
        <is>
          <t>Empresa Licenciada SOARES E SILVA</t>
        </is>
      </c>
      <c r="D59" s="72">
        <f>IF(B59="Clientes",SUMIFS(PARÂMETROS!$D$8:$D$907,PARÂMETROS!$A$8:$A$907,C59,PARÂMETROS!$G$8:$G$907,J59),SUMIFS(PARÂMETROS!$E$8:$E$907,PARÂMETROS!$A$8:$A$907,C59,PARÂMETROS!$G$8:$G$907,J59))</f>
        <v/>
      </c>
      <c r="E59" s="84">
        <f>SUMIFS(SETORES!$D:$D,SETORES!$A:$A,A59,SETORES!$F:$F,J59)</f>
        <v/>
      </c>
      <c r="F59" s="84">
        <f>IFERROR(D59*E59,0)</f>
        <v/>
      </c>
      <c r="G59" s="72">
        <f>SUMIFS(PARÂMETROS!$F$8:$F$907,PARÂMETROS!$A$8:$A$907,C59,PARÂMETROS!$G$8:$G$907,J59)</f>
        <v/>
      </c>
      <c r="H59" s="84">
        <f>IFERROR(F59*G59,0)</f>
        <v/>
      </c>
      <c r="I59" s="84">
        <f>F59+H59</f>
        <v/>
      </c>
      <c r="J59" s="74" t="inlineStr">
        <is>
          <t>Junho/2026</t>
        </is>
      </c>
    </row>
    <row r="60" hidden="1" ht="14.25" customHeight="1" s="64">
      <c r="A60" s="106" t="inlineStr">
        <is>
          <t>DP</t>
        </is>
      </c>
      <c r="B60" s="106">
        <f>INDEX(SETORES!$B:$B,MATCH(A60,SETORES!$A:$A,0))</f>
        <v/>
      </c>
      <c r="C60" s="106" t="inlineStr">
        <is>
          <t>Empresa Licenciada SOUZA E SILVA</t>
        </is>
      </c>
      <c r="D60" s="77">
        <f>IF(B60="Clientes",SUMIFS(PARÂMETROS!$D$8:$D$907,PARÂMETROS!$A$8:$A$907,C60,PARÂMETROS!$G$8:$G$907,J60),SUMIFS(PARÂMETROS!$E$8:$E$907,PARÂMETROS!$A$8:$A$907,C60,PARÂMETROS!$G$8:$G$907,J60))</f>
        <v/>
      </c>
      <c r="E60" s="109">
        <f>SUMIFS(SETORES!$D:$D,SETORES!$A:$A,A60,SETORES!$F:$F,J60)</f>
        <v/>
      </c>
      <c r="F60" s="109">
        <f>IFERROR(D60*E60,0)</f>
        <v/>
      </c>
      <c r="G60" s="77">
        <f>SUMIFS(PARÂMETROS!$F$8:$F$907,PARÂMETROS!$A$8:$A$907,C60,PARÂMETROS!$G$8:$G$907,J60)</f>
        <v/>
      </c>
      <c r="H60" s="109">
        <f>IFERROR(F60*G60,0)</f>
        <v/>
      </c>
      <c r="I60" s="109">
        <f>F60+H60</f>
        <v/>
      </c>
      <c r="J60" s="106" t="inlineStr">
        <is>
          <t>Junho/2026</t>
        </is>
      </c>
    </row>
    <row r="61" hidden="1" ht="14.25" customHeight="1" s="64">
      <c r="A61" s="74" t="inlineStr">
        <is>
          <t>DP</t>
        </is>
      </c>
      <c r="B61" s="83">
        <f>INDEX(SETORES!$B:$B,MATCH(A61,SETORES!$A:$A,0))</f>
        <v/>
      </c>
      <c r="C61" s="74" t="inlineStr">
        <is>
          <t>Empresa Licenciada VOICENET</t>
        </is>
      </c>
      <c r="D61" s="72">
        <f>IF(B61="Clientes",SUMIFS(PARÂMETROS!$D$8:$D$907,PARÂMETROS!$A$8:$A$907,C61,PARÂMETROS!$G$8:$G$907,J61),SUMIFS(PARÂMETROS!$E$8:$E$907,PARÂMETROS!$A$8:$A$907,C61,PARÂMETROS!$G$8:$G$907,J61))</f>
        <v/>
      </c>
      <c r="E61" s="84">
        <f>SUMIFS(SETORES!$D:$D,SETORES!$A:$A,A61,SETORES!$F:$F,J61)</f>
        <v/>
      </c>
      <c r="F61" s="84">
        <f>IFERROR(D61*E61,0)</f>
        <v/>
      </c>
      <c r="G61" s="72">
        <f>SUMIFS(PARÂMETROS!$F$8:$F$907,PARÂMETROS!$A$8:$A$907,C61,PARÂMETROS!$G$8:$G$907,J61)</f>
        <v/>
      </c>
      <c r="H61" s="84">
        <f>IFERROR(F61*G61,0)</f>
        <v/>
      </c>
      <c r="I61" s="84">
        <f>F61+H61</f>
        <v/>
      </c>
      <c r="J61" s="74" t="inlineStr">
        <is>
          <t>Junho/2026</t>
        </is>
      </c>
    </row>
    <row r="62" hidden="1" ht="14.25" customHeight="1" s="64">
      <c r="A62" s="106" t="inlineStr">
        <is>
          <t>DP</t>
        </is>
      </c>
      <c r="B62" s="106">
        <f>INDEX(SETORES!$B:$B,MATCH(A62,SETORES!$A:$A,0))</f>
        <v/>
      </c>
      <c r="C62" s="106" t="inlineStr">
        <is>
          <t>DTEL (uso próprio)</t>
        </is>
      </c>
      <c r="D62" s="77">
        <f>IF(B62="Clientes",SUMIFS(PARÂMETROS!$D$8:$D$907,PARÂMETROS!$A$8:$A$907,C62,PARÂMETROS!$G$8:$G$907,J62),SUMIFS(PARÂMETROS!$E$8:$E$907,PARÂMETROS!$A$8:$A$907,C62,PARÂMETROS!$G$8:$G$907,J62))</f>
        <v/>
      </c>
      <c r="E62" s="109">
        <f>SUMIFS(SETORES!$D:$D,SETORES!$A:$A,A62,SETORES!$F:$F,J62)</f>
        <v/>
      </c>
      <c r="F62" s="109">
        <f>IFERROR(D62*E62,0)</f>
        <v/>
      </c>
      <c r="G62" s="77">
        <f>SUMIFS(PARÂMETROS!$F$8:$F$907,PARÂMETROS!$A$8:$A$907,C62,PARÂMETROS!$G$8:$G$907,J62)</f>
        <v/>
      </c>
      <c r="H62" s="109">
        <f>IFERROR(F62*G62,0)</f>
        <v/>
      </c>
      <c r="I62" s="109">
        <f>F62+H62</f>
        <v/>
      </c>
      <c r="J62" s="106" t="inlineStr">
        <is>
          <t>Junho/2026</t>
        </is>
      </c>
    </row>
    <row r="63" hidden="1" ht="14.25" customHeight="1" s="64">
      <c r="A63" s="74" t="inlineStr">
        <is>
          <t>Gestão de Atendimento</t>
        </is>
      </c>
      <c r="B63" s="83">
        <f>INDEX(SETORES!$B:$B,MATCH(A63,SETORES!$A:$A,0))</f>
        <v/>
      </c>
      <c r="C63" s="74" t="inlineStr">
        <is>
          <t>Empresa Licenciada DX2</t>
        </is>
      </c>
      <c r="D63" s="72">
        <f>IF(B63="Clientes",SUMIFS(PARÂMETROS!$D$8:$D$907,PARÂMETROS!$A$8:$A$907,C63,PARÂMETROS!$G$8:$G$907,J63),SUMIFS(PARÂMETROS!$E$8:$E$907,PARÂMETROS!$A$8:$A$907,C63,PARÂMETROS!$G$8:$G$907,J63))</f>
        <v/>
      </c>
      <c r="E63" s="84">
        <f>SUMIFS(SETORES!$D:$D,SETORES!$A:$A,A63,SETORES!$F:$F,J63)</f>
        <v/>
      </c>
      <c r="F63" s="84">
        <f>IFERROR(D63*E63,0)</f>
        <v/>
      </c>
      <c r="G63" s="72">
        <f>SUMIFS(PARÂMETROS!$F$8:$F$907,PARÂMETROS!$A$8:$A$907,C63,PARÂMETROS!$G$8:$G$907,J63)</f>
        <v/>
      </c>
      <c r="H63" s="84">
        <f>IFERROR(F63*G63,0)</f>
        <v/>
      </c>
      <c r="I63" s="84">
        <f>F63+H63</f>
        <v/>
      </c>
      <c r="J63" s="74" t="inlineStr">
        <is>
          <t>Junho/2026</t>
        </is>
      </c>
    </row>
    <row r="64" hidden="1" ht="14.25" customHeight="1" s="64">
      <c r="A64" s="106" t="inlineStr">
        <is>
          <t>Gestão de Atendimento</t>
        </is>
      </c>
      <c r="B64" s="106">
        <f>INDEX(SETORES!$B:$B,MATCH(A64,SETORES!$A:$A,0))</f>
        <v/>
      </c>
      <c r="C64" s="106" t="inlineStr">
        <is>
          <t>Empresa Licenciada H&amp;A</t>
        </is>
      </c>
      <c r="D64" s="77">
        <f>IF(B64="Clientes",SUMIFS(PARÂMETROS!$D$8:$D$907,PARÂMETROS!$A$8:$A$907,C64,PARÂMETROS!$G$8:$G$907,J64),SUMIFS(PARÂMETROS!$E$8:$E$907,PARÂMETROS!$A$8:$A$907,C64,PARÂMETROS!$G$8:$G$907,J64))</f>
        <v/>
      </c>
      <c r="E64" s="109">
        <f>SUMIFS(SETORES!$D:$D,SETORES!$A:$A,A64,SETORES!$F:$F,J64)</f>
        <v/>
      </c>
      <c r="F64" s="109">
        <f>IFERROR(D64*E64,0)</f>
        <v/>
      </c>
      <c r="G64" s="77">
        <f>SUMIFS(PARÂMETROS!$F$8:$F$907,PARÂMETROS!$A$8:$A$907,C64,PARÂMETROS!$G$8:$G$907,J64)</f>
        <v/>
      </c>
      <c r="H64" s="109">
        <f>IFERROR(F64*G64,0)</f>
        <v/>
      </c>
      <c r="I64" s="109">
        <f>F64+H64</f>
        <v/>
      </c>
      <c r="J64" s="106" t="inlineStr">
        <is>
          <t>Junho/2026</t>
        </is>
      </c>
    </row>
    <row r="65" hidden="1" ht="14.25" customHeight="1" s="64">
      <c r="A65" s="74" t="inlineStr">
        <is>
          <t>Gestão de Atendimento</t>
        </is>
      </c>
      <c r="B65" s="83">
        <f>INDEX(SETORES!$B:$B,MATCH(A65,SETORES!$A:$A,0))</f>
        <v/>
      </c>
      <c r="C65" s="74" t="inlineStr">
        <is>
          <t>Empresa Licenciada SOLON ARAUJO</t>
        </is>
      </c>
      <c r="D65" s="72">
        <f>IF(B65="Clientes",SUMIFS(PARÂMETROS!$D$8:$D$907,PARÂMETROS!$A$8:$A$907,C65,PARÂMETROS!$G$8:$G$907,J65),SUMIFS(PARÂMETROS!$E$8:$E$907,PARÂMETROS!$A$8:$A$907,C65,PARÂMETROS!$G$8:$G$907,J65))</f>
        <v/>
      </c>
      <c r="E65" s="84">
        <f>SUMIFS(SETORES!$D:$D,SETORES!$A:$A,A65,SETORES!$F:$F,J65)</f>
        <v/>
      </c>
      <c r="F65" s="84">
        <f>IFERROR(D65*E65,0)</f>
        <v/>
      </c>
      <c r="G65" s="72">
        <f>SUMIFS(PARÂMETROS!$F$8:$F$907,PARÂMETROS!$A$8:$A$907,C65,PARÂMETROS!$G$8:$G$907,J65)</f>
        <v/>
      </c>
      <c r="H65" s="84">
        <f>IFERROR(F65*G65,0)</f>
        <v/>
      </c>
      <c r="I65" s="84">
        <f>F65+H65</f>
        <v/>
      </c>
      <c r="J65" s="74" t="inlineStr">
        <is>
          <t>Junho/2026</t>
        </is>
      </c>
    </row>
    <row r="66" ht="14.25" customHeight="1" s="64">
      <c r="A66" s="106" t="inlineStr">
        <is>
          <t>Gestão de Atendimento</t>
        </is>
      </c>
      <c r="B66" s="106">
        <f>INDEX(SETORES!$B:$B,MATCH(A66,SETORES!$A:$A,0))</f>
        <v/>
      </c>
      <c r="C66" s="106" t="inlineStr">
        <is>
          <t>Empresa Licenciada SOARES E LINS</t>
        </is>
      </c>
      <c r="D66" s="77">
        <f>IF(B66="Clientes",SUMIFS(PARÂMETROS!$D$8:$D$907,PARÂMETROS!$A$8:$A$907,C66,PARÂMETROS!$G$8:$G$907,J66),SUMIFS(PARÂMETROS!$E$8:$E$907,PARÂMETROS!$A$8:$A$907,C66,PARÂMETROS!$G$8:$G$907,J66))</f>
        <v/>
      </c>
      <c r="E66" s="109">
        <f>SUMIFS(SETORES!$D:$D,SETORES!$A:$A,A66,SETORES!$F:$F,J66)</f>
        <v/>
      </c>
      <c r="F66" s="109">
        <f>IFERROR(D66*E66,0)</f>
        <v/>
      </c>
      <c r="G66" s="77">
        <f>SUMIFS(PARÂMETROS!$F$8:$F$907,PARÂMETROS!$A$8:$A$907,C66,PARÂMETROS!$G$8:$G$907,J66)</f>
        <v/>
      </c>
      <c r="H66" s="109">
        <f>IFERROR(F66*G66,0)</f>
        <v/>
      </c>
      <c r="I66" s="109">
        <f>F66+H66</f>
        <v/>
      </c>
      <c r="J66" s="106" t="inlineStr">
        <is>
          <t>Junho/2026</t>
        </is>
      </c>
    </row>
    <row r="67" hidden="1" ht="14.25" customHeight="1" s="64">
      <c r="A67" s="74" t="inlineStr">
        <is>
          <t>Gestão de Atendimento</t>
        </is>
      </c>
      <c r="B67" s="83">
        <f>INDEX(SETORES!$B:$B,MATCH(A67,SETORES!$A:$A,0))</f>
        <v/>
      </c>
      <c r="C67" s="74" t="inlineStr">
        <is>
          <t>Empresa Licenciada SOARES E SILVA</t>
        </is>
      </c>
      <c r="D67" s="72">
        <f>IF(B67="Clientes",SUMIFS(PARÂMETROS!$D$8:$D$907,PARÂMETROS!$A$8:$A$907,C67,PARÂMETROS!$G$8:$G$907,J67),SUMIFS(PARÂMETROS!$E$8:$E$907,PARÂMETROS!$A$8:$A$907,C67,PARÂMETROS!$G$8:$G$907,J67))</f>
        <v/>
      </c>
      <c r="E67" s="84">
        <f>SUMIFS(SETORES!$D:$D,SETORES!$A:$A,A67,SETORES!$F:$F,J67)</f>
        <v/>
      </c>
      <c r="F67" s="84">
        <f>IFERROR(D67*E67,0)</f>
        <v/>
      </c>
      <c r="G67" s="72">
        <f>SUMIFS(PARÂMETROS!$F$8:$F$907,PARÂMETROS!$A$8:$A$907,C67,PARÂMETROS!$G$8:$G$907,J67)</f>
        <v/>
      </c>
      <c r="H67" s="84">
        <f>IFERROR(F67*G67,0)</f>
        <v/>
      </c>
      <c r="I67" s="84">
        <f>F67+H67</f>
        <v/>
      </c>
      <c r="J67" s="74" t="inlineStr">
        <is>
          <t>Junho/2026</t>
        </is>
      </c>
    </row>
    <row r="68" hidden="1" ht="14.25" customHeight="1" s="64">
      <c r="A68" s="106" t="inlineStr">
        <is>
          <t>Gestão de Atendimento</t>
        </is>
      </c>
      <c r="B68" s="106">
        <f>INDEX(SETORES!$B:$B,MATCH(A68,SETORES!$A:$A,0))</f>
        <v/>
      </c>
      <c r="C68" s="106" t="inlineStr">
        <is>
          <t>Empresa Licenciada SOUZA E SILVA</t>
        </is>
      </c>
      <c r="D68" s="77">
        <f>IF(B68="Clientes",SUMIFS(PARÂMETROS!$D$8:$D$907,PARÂMETROS!$A$8:$A$907,C68,PARÂMETROS!$G$8:$G$907,J68),SUMIFS(PARÂMETROS!$E$8:$E$907,PARÂMETROS!$A$8:$A$907,C68,PARÂMETROS!$G$8:$G$907,J68))</f>
        <v/>
      </c>
      <c r="E68" s="109">
        <f>SUMIFS(SETORES!$D:$D,SETORES!$A:$A,A68,SETORES!$F:$F,J68)</f>
        <v/>
      </c>
      <c r="F68" s="109">
        <f>IFERROR(D68*E68,0)</f>
        <v/>
      </c>
      <c r="G68" s="77">
        <f>SUMIFS(PARÂMETROS!$F$8:$F$907,PARÂMETROS!$A$8:$A$907,C68,PARÂMETROS!$G$8:$G$907,J68)</f>
        <v/>
      </c>
      <c r="H68" s="109">
        <f>IFERROR(F68*G68,0)</f>
        <v/>
      </c>
      <c r="I68" s="109">
        <f>F68+H68</f>
        <v/>
      </c>
      <c r="J68" s="106" t="inlineStr">
        <is>
          <t>Junho/2026</t>
        </is>
      </c>
    </row>
    <row r="69" hidden="1" ht="14.25" customHeight="1" s="64">
      <c r="A69" s="74" t="inlineStr">
        <is>
          <t>Gestão de Atendimento</t>
        </is>
      </c>
      <c r="B69" s="83">
        <f>INDEX(SETORES!$B:$B,MATCH(A69,SETORES!$A:$A,0))</f>
        <v/>
      </c>
      <c r="C69" s="74" t="inlineStr">
        <is>
          <t>Empresa Licenciada VOICENET</t>
        </is>
      </c>
      <c r="D69" s="72">
        <f>IF(B69="Clientes",SUMIFS(PARÂMETROS!$D$8:$D$907,PARÂMETROS!$A$8:$A$907,C69,PARÂMETROS!$G$8:$G$907,J69),SUMIFS(PARÂMETROS!$E$8:$E$907,PARÂMETROS!$A$8:$A$907,C69,PARÂMETROS!$G$8:$G$907,J69))</f>
        <v/>
      </c>
      <c r="E69" s="84">
        <f>SUMIFS(SETORES!$D:$D,SETORES!$A:$A,A69,SETORES!$F:$F,J69)</f>
        <v/>
      </c>
      <c r="F69" s="84">
        <f>IFERROR(D69*E69,0)</f>
        <v/>
      </c>
      <c r="G69" s="72">
        <f>SUMIFS(PARÂMETROS!$F$8:$F$907,PARÂMETROS!$A$8:$A$907,C69,PARÂMETROS!$G$8:$G$907,J69)</f>
        <v/>
      </c>
      <c r="H69" s="84">
        <f>IFERROR(F69*G69,0)</f>
        <v/>
      </c>
      <c r="I69" s="84">
        <f>F69+H69</f>
        <v/>
      </c>
      <c r="J69" s="74" t="inlineStr">
        <is>
          <t>Junho/2026</t>
        </is>
      </c>
    </row>
    <row r="70" hidden="1" ht="14.25" customHeight="1" s="64">
      <c r="A70" s="106" t="inlineStr">
        <is>
          <t>Gestão de Atendimento</t>
        </is>
      </c>
      <c r="B70" s="106">
        <f>INDEX(SETORES!$B:$B,MATCH(A70,SETORES!$A:$A,0))</f>
        <v/>
      </c>
      <c r="C70" s="106" t="inlineStr">
        <is>
          <t>DTEL (uso próprio)</t>
        </is>
      </c>
      <c r="D70" s="77">
        <f>IF(B70="Clientes",SUMIFS(PARÂMETROS!$D$8:$D$907,PARÂMETROS!$A$8:$A$907,C70,PARÂMETROS!$G$8:$G$907,J70),SUMIFS(PARÂMETROS!$E$8:$E$907,PARÂMETROS!$A$8:$A$907,C70,PARÂMETROS!$G$8:$G$907,J70))</f>
        <v/>
      </c>
      <c r="E70" s="109">
        <f>SUMIFS(SETORES!$D:$D,SETORES!$A:$A,A70,SETORES!$F:$F,J70)</f>
        <v/>
      </c>
      <c r="F70" s="109">
        <f>IFERROR(D70*E70,0)</f>
        <v/>
      </c>
      <c r="G70" s="77">
        <f>SUMIFS(PARÂMETROS!$F$8:$F$907,PARÂMETROS!$A$8:$A$907,C70,PARÂMETROS!$G$8:$G$907,J70)</f>
        <v/>
      </c>
      <c r="H70" s="109">
        <f>IFERROR(F70*G70,0)</f>
        <v/>
      </c>
      <c r="I70" s="109">
        <f>F70+H70</f>
        <v/>
      </c>
      <c r="J70" s="106" t="inlineStr">
        <is>
          <t>Junho/2026</t>
        </is>
      </c>
    </row>
    <row r="71" hidden="1" ht="14.25" customHeight="1" s="64">
      <c r="A71" s="74" t="inlineStr">
        <is>
          <t>CAC</t>
        </is>
      </c>
      <c r="B71" s="83">
        <f>INDEX(SETORES!$B:$B,MATCH(A71,SETORES!$A:$A,0))</f>
        <v/>
      </c>
      <c r="C71" s="74" t="inlineStr">
        <is>
          <t>Empresa Licenciada DX2</t>
        </is>
      </c>
      <c r="D71" s="72">
        <f>IF(B71="Clientes",SUMIFS(PARÂMETROS!$D$8:$D$907,PARÂMETROS!$A$8:$A$907,C71,PARÂMETROS!$G$8:$G$907,J71),SUMIFS(PARÂMETROS!$E$8:$E$907,PARÂMETROS!$A$8:$A$907,C71,PARÂMETROS!$G$8:$G$907,J71))</f>
        <v/>
      </c>
      <c r="E71" s="84">
        <f>SUMIFS(SETORES!$D:$D,SETORES!$A:$A,A71,SETORES!$F:$F,J71)</f>
        <v/>
      </c>
      <c r="F71" s="84">
        <f>IFERROR(D71*E71,0)</f>
        <v/>
      </c>
      <c r="G71" s="72">
        <f>SUMIFS(PARÂMETROS!$F$8:$F$907,PARÂMETROS!$A$8:$A$907,C71,PARÂMETROS!$G$8:$G$907,J71)</f>
        <v/>
      </c>
      <c r="H71" s="84">
        <f>IFERROR(F71*G71,0)</f>
        <v/>
      </c>
      <c r="I71" s="84">
        <f>F71+H71</f>
        <v/>
      </c>
      <c r="J71" s="74" t="inlineStr">
        <is>
          <t>Junho/2026</t>
        </is>
      </c>
    </row>
    <row r="72" hidden="1" ht="14.25" customHeight="1" s="64">
      <c r="A72" s="106" t="inlineStr">
        <is>
          <t>CAC</t>
        </is>
      </c>
      <c r="B72" s="106">
        <f>INDEX(SETORES!$B:$B,MATCH(A72,SETORES!$A:$A,0))</f>
        <v/>
      </c>
      <c r="C72" s="106" t="inlineStr">
        <is>
          <t>Empresa Licenciada H&amp;A</t>
        </is>
      </c>
      <c r="D72" s="77">
        <f>IF(B72="Clientes",SUMIFS(PARÂMETROS!$D$8:$D$907,PARÂMETROS!$A$8:$A$907,C72,PARÂMETROS!$G$8:$G$907,J72),SUMIFS(PARÂMETROS!$E$8:$E$907,PARÂMETROS!$A$8:$A$907,C72,PARÂMETROS!$G$8:$G$907,J72))</f>
        <v/>
      </c>
      <c r="E72" s="109">
        <f>SUMIFS(SETORES!$D:$D,SETORES!$A:$A,A72,SETORES!$F:$F,J72)</f>
        <v/>
      </c>
      <c r="F72" s="109">
        <f>IFERROR(D72*E72,0)</f>
        <v/>
      </c>
      <c r="G72" s="77">
        <f>SUMIFS(PARÂMETROS!$F$8:$F$907,PARÂMETROS!$A$8:$A$907,C72,PARÂMETROS!$G$8:$G$907,J72)</f>
        <v/>
      </c>
      <c r="H72" s="109">
        <f>IFERROR(F72*G72,0)</f>
        <v/>
      </c>
      <c r="I72" s="109">
        <f>F72+H72</f>
        <v/>
      </c>
      <c r="J72" s="106" t="inlineStr">
        <is>
          <t>Junho/2026</t>
        </is>
      </c>
    </row>
    <row r="73" hidden="1" ht="14.25" customHeight="1" s="64">
      <c r="A73" s="74" t="inlineStr">
        <is>
          <t>CAC</t>
        </is>
      </c>
      <c r="B73" s="83">
        <f>INDEX(SETORES!$B:$B,MATCH(A73,SETORES!$A:$A,0))</f>
        <v/>
      </c>
      <c r="C73" s="74" t="inlineStr">
        <is>
          <t>Empresa Licenciada SOLON ARAUJO</t>
        </is>
      </c>
      <c r="D73" s="72">
        <f>IF(B73="Clientes",SUMIFS(PARÂMETROS!$D$8:$D$907,PARÂMETROS!$A$8:$A$907,C73,PARÂMETROS!$G$8:$G$907,J73),SUMIFS(PARÂMETROS!$E$8:$E$907,PARÂMETROS!$A$8:$A$907,C73,PARÂMETROS!$G$8:$G$907,J73))</f>
        <v/>
      </c>
      <c r="E73" s="84">
        <f>SUMIFS(SETORES!$D:$D,SETORES!$A:$A,A73,SETORES!$F:$F,J73)</f>
        <v/>
      </c>
      <c r="F73" s="84">
        <f>IFERROR(D73*E73,0)</f>
        <v/>
      </c>
      <c r="G73" s="72">
        <f>SUMIFS(PARÂMETROS!$F$8:$F$907,PARÂMETROS!$A$8:$A$907,C73,PARÂMETROS!$G$8:$G$907,J73)</f>
        <v/>
      </c>
      <c r="H73" s="84">
        <f>IFERROR(F73*G73,0)</f>
        <v/>
      </c>
      <c r="I73" s="84">
        <f>F73+H73</f>
        <v/>
      </c>
      <c r="J73" s="74" t="inlineStr">
        <is>
          <t>Junho/2026</t>
        </is>
      </c>
    </row>
    <row r="74" ht="14.25" customHeight="1" s="64">
      <c r="A74" s="106" t="inlineStr">
        <is>
          <t>CAC</t>
        </is>
      </c>
      <c r="B74" s="106">
        <f>INDEX(SETORES!$B:$B,MATCH(A74,SETORES!$A:$A,0))</f>
        <v/>
      </c>
      <c r="C74" s="106" t="inlineStr">
        <is>
          <t>Empresa Licenciada SOARES E LINS</t>
        </is>
      </c>
      <c r="D74" s="77">
        <f>IF(B74="Clientes",SUMIFS(PARÂMETROS!$D$8:$D$907,PARÂMETROS!$A$8:$A$907,C74,PARÂMETROS!$G$8:$G$907,J74),SUMIFS(PARÂMETROS!$E$8:$E$907,PARÂMETROS!$A$8:$A$907,C74,PARÂMETROS!$G$8:$G$907,J74))</f>
        <v/>
      </c>
      <c r="E74" s="109">
        <f>SUMIFS(SETORES!$D:$D,SETORES!$A:$A,A74,SETORES!$F:$F,J74)</f>
        <v/>
      </c>
      <c r="F74" s="109">
        <f>IFERROR(D74*E74,0)</f>
        <v/>
      </c>
      <c r="G74" s="77">
        <f>SUMIFS(PARÂMETROS!$F$8:$F$907,PARÂMETROS!$A$8:$A$907,C74,PARÂMETROS!$G$8:$G$907,J74)</f>
        <v/>
      </c>
      <c r="H74" s="109">
        <f>IFERROR(F74*G74,0)</f>
        <v/>
      </c>
      <c r="I74" s="109">
        <f>F74+H74</f>
        <v/>
      </c>
      <c r="J74" s="106" t="inlineStr">
        <is>
          <t>Junho/2026</t>
        </is>
      </c>
    </row>
    <row r="75" hidden="1" ht="14.25" customHeight="1" s="64">
      <c r="A75" s="74" t="inlineStr">
        <is>
          <t>CAC</t>
        </is>
      </c>
      <c r="B75" s="83">
        <f>INDEX(SETORES!$B:$B,MATCH(A75,SETORES!$A:$A,0))</f>
        <v/>
      </c>
      <c r="C75" s="74" t="inlineStr">
        <is>
          <t>Empresa Licenciada SOARES E SILVA</t>
        </is>
      </c>
      <c r="D75" s="72">
        <f>IF(B75="Clientes",SUMIFS(PARÂMETROS!$D$8:$D$907,PARÂMETROS!$A$8:$A$907,C75,PARÂMETROS!$G$8:$G$907,J75),SUMIFS(PARÂMETROS!$E$8:$E$907,PARÂMETROS!$A$8:$A$907,C75,PARÂMETROS!$G$8:$G$907,J75))</f>
        <v/>
      </c>
      <c r="E75" s="84">
        <f>SUMIFS(SETORES!$D:$D,SETORES!$A:$A,A75,SETORES!$F:$F,J75)</f>
        <v/>
      </c>
      <c r="F75" s="84">
        <f>IFERROR(D75*E75,0)</f>
        <v/>
      </c>
      <c r="G75" s="72">
        <f>SUMIFS(PARÂMETROS!$F$8:$F$907,PARÂMETROS!$A$8:$A$907,C75,PARÂMETROS!$G$8:$G$907,J75)</f>
        <v/>
      </c>
      <c r="H75" s="84">
        <f>IFERROR(F75*G75,0)</f>
        <v/>
      </c>
      <c r="I75" s="84">
        <f>F75+H75</f>
        <v/>
      </c>
      <c r="J75" s="74" t="inlineStr">
        <is>
          <t>Junho/2026</t>
        </is>
      </c>
    </row>
    <row r="76" hidden="1" ht="14.25" customHeight="1" s="64">
      <c r="A76" s="106" t="inlineStr">
        <is>
          <t>CAC</t>
        </is>
      </c>
      <c r="B76" s="106">
        <f>INDEX(SETORES!$B:$B,MATCH(A76,SETORES!$A:$A,0))</f>
        <v/>
      </c>
      <c r="C76" s="106" t="inlineStr">
        <is>
          <t>Empresa Licenciada SOUZA E SILVA</t>
        </is>
      </c>
      <c r="D76" s="77">
        <f>IF(B76="Clientes",SUMIFS(PARÂMETROS!$D$8:$D$907,PARÂMETROS!$A$8:$A$907,C76,PARÂMETROS!$G$8:$G$907,J76),SUMIFS(PARÂMETROS!$E$8:$E$907,PARÂMETROS!$A$8:$A$907,C76,PARÂMETROS!$G$8:$G$907,J76))</f>
        <v/>
      </c>
      <c r="E76" s="109">
        <f>SUMIFS(SETORES!$D:$D,SETORES!$A:$A,A76,SETORES!$F:$F,J76)</f>
        <v/>
      </c>
      <c r="F76" s="109">
        <f>IFERROR(D76*E76,0)</f>
        <v/>
      </c>
      <c r="G76" s="77">
        <f>SUMIFS(PARÂMETROS!$F$8:$F$907,PARÂMETROS!$A$8:$A$907,C76,PARÂMETROS!$G$8:$G$907,J76)</f>
        <v/>
      </c>
      <c r="H76" s="109">
        <f>IFERROR(F76*G76,0)</f>
        <v/>
      </c>
      <c r="I76" s="109">
        <f>F76+H76</f>
        <v/>
      </c>
      <c r="J76" s="106" t="inlineStr">
        <is>
          <t>Junho/2026</t>
        </is>
      </c>
    </row>
    <row r="77" hidden="1" ht="14.25" customHeight="1" s="64">
      <c r="A77" s="74" t="inlineStr">
        <is>
          <t>CAC</t>
        </is>
      </c>
      <c r="B77" s="83">
        <f>INDEX(SETORES!$B:$B,MATCH(A77,SETORES!$A:$A,0))</f>
        <v/>
      </c>
      <c r="C77" s="74" t="inlineStr">
        <is>
          <t>Empresa Licenciada VOICENET</t>
        </is>
      </c>
      <c r="D77" s="72">
        <f>IF(B77="Clientes",SUMIFS(PARÂMETROS!$D$8:$D$907,PARÂMETROS!$A$8:$A$907,C77,PARÂMETROS!$G$8:$G$907,J77),SUMIFS(PARÂMETROS!$E$8:$E$907,PARÂMETROS!$A$8:$A$907,C77,PARÂMETROS!$G$8:$G$907,J77))</f>
        <v/>
      </c>
      <c r="E77" s="84">
        <f>SUMIFS(SETORES!$D:$D,SETORES!$A:$A,A77,SETORES!$F:$F,J77)</f>
        <v/>
      </c>
      <c r="F77" s="84">
        <f>IFERROR(D77*E77,0)</f>
        <v/>
      </c>
      <c r="G77" s="72">
        <f>SUMIFS(PARÂMETROS!$F$8:$F$907,PARÂMETROS!$A$8:$A$907,C77,PARÂMETROS!$G$8:$G$907,J77)</f>
        <v/>
      </c>
      <c r="H77" s="84">
        <f>IFERROR(F77*G77,0)</f>
        <v/>
      </c>
      <c r="I77" s="84">
        <f>F77+H77</f>
        <v/>
      </c>
      <c r="J77" s="74" t="inlineStr">
        <is>
          <t>Junho/2026</t>
        </is>
      </c>
    </row>
    <row r="78" hidden="1" ht="14.25" customHeight="1" s="64">
      <c r="A78" s="106" t="inlineStr">
        <is>
          <t>CAC</t>
        </is>
      </c>
      <c r="B78" s="106">
        <f>INDEX(SETORES!$B:$B,MATCH(A78,SETORES!$A:$A,0))</f>
        <v/>
      </c>
      <c r="C78" s="106" t="inlineStr">
        <is>
          <t>DTEL (uso próprio)</t>
        </is>
      </c>
      <c r="D78" s="77">
        <f>IF(B78="Clientes",SUMIFS(PARÂMETROS!$D$8:$D$907,PARÂMETROS!$A$8:$A$907,C78,PARÂMETROS!$G$8:$G$907,J78),SUMIFS(PARÂMETROS!$E$8:$E$907,PARÂMETROS!$A$8:$A$907,C78,PARÂMETROS!$G$8:$G$907,J78))</f>
        <v/>
      </c>
      <c r="E78" s="109">
        <f>SUMIFS(SETORES!$D:$D,SETORES!$A:$A,A78,SETORES!$F:$F,J78)</f>
        <v/>
      </c>
      <c r="F78" s="109">
        <f>IFERROR(D78*E78,0)</f>
        <v/>
      </c>
      <c r="G78" s="77">
        <f>SUMIFS(PARÂMETROS!$F$8:$F$907,PARÂMETROS!$A$8:$A$907,C78,PARÂMETROS!$G$8:$G$907,J78)</f>
        <v/>
      </c>
      <c r="H78" s="109">
        <f>IFERROR(F78*G78,0)</f>
        <v/>
      </c>
      <c r="I78" s="109">
        <f>F78+H78</f>
        <v/>
      </c>
      <c r="J78" s="106" t="inlineStr">
        <is>
          <t>Junho/2026</t>
        </is>
      </c>
    </row>
    <row r="79" hidden="1" ht="14.25" customHeight="1" s="64">
      <c r="A79" s="74" t="inlineStr">
        <is>
          <t>Financeiro</t>
        </is>
      </c>
      <c r="B79" s="83">
        <f>INDEX(SETORES!$B:$B,MATCH(A79,SETORES!$A:$A,0))</f>
        <v/>
      </c>
      <c r="C79" s="74" t="inlineStr">
        <is>
          <t>Empresa Licenciada DX2</t>
        </is>
      </c>
      <c r="D79" s="72">
        <f>IF(B79="Clientes",SUMIFS(PARÂMETROS!$D$8:$D$907,PARÂMETROS!$A$8:$A$907,C79,PARÂMETROS!$G$8:$G$907,J79),SUMIFS(PARÂMETROS!$E$8:$E$907,PARÂMETROS!$A$8:$A$907,C79,PARÂMETROS!$G$8:$G$907,J79))</f>
        <v/>
      </c>
      <c r="E79" s="84">
        <f>SUMIFS(SETORES!$D:$D,SETORES!$A:$A,A79,SETORES!$F:$F,J79)</f>
        <v/>
      </c>
      <c r="F79" s="84">
        <f>IFERROR(D79*E79,0)</f>
        <v/>
      </c>
      <c r="G79" s="72">
        <f>SUMIFS(PARÂMETROS!$F$8:$F$907,PARÂMETROS!$A$8:$A$907,C79,PARÂMETROS!$G$8:$G$907,J79)</f>
        <v/>
      </c>
      <c r="H79" s="84">
        <f>IFERROR(F79*G79,0)</f>
        <v/>
      </c>
      <c r="I79" s="84">
        <f>F79+H79</f>
        <v/>
      </c>
      <c r="J79" s="74" t="inlineStr">
        <is>
          <t>Junho/2026</t>
        </is>
      </c>
    </row>
    <row r="80" hidden="1" ht="14.25" customHeight="1" s="64">
      <c r="A80" s="106" t="inlineStr">
        <is>
          <t>Financeiro</t>
        </is>
      </c>
      <c r="B80" s="106">
        <f>INDEX(SETORES!$B:$B,MATCH(A80,SETORES!$A:$A,0))</f>
        <v/>
      </c>
      <c r="C80" s="106" t="inlineStr">
        <is>
          <t>Empresa Licenciada H&amp;A</t>
        </is>
      </c>
      <c r="D80" s="77">
        <f>IF(B80="Clientes",SUMIFS(PARÂMETROS!$D$8:$D$907,PARÂMETROS!$A$8:$A$907,C80,PARÂMETROS!$G$8:$G$907,J80),SUMIFS(PARÂMETROS!$E$8:$E$907,PARÂMETROS!$A$8:$A$907,C80,PARÂMETROS!$G$8:$G$907,J80))</f>
        <v/>
      </c>
      <c r="E80" s="109">
        <f>SUMIFS(SETORES!$D:$D,SETORES!$A:$A,A80,SETORES!$F:$F,J80)</f>
        <v/>
      </c>
      <c r="F80" s="109">
        <f>IFERROR(D80*E80,0)</f>
        <v/>
      </c>
      <c r="G80" s="77">
        <f>SUMIFS(PARÂMETROS!$F$8:$F$907,PARÂMETROS!$A$8:$A$907,C80,PARÂMETROS!$G$8:$G$907,J80)</f>
        <v/>
      </c>
      <c r="H80" s="109">
        <f>IFERROR(F80*G80,0)</f>
        <v/>
      </c>
      <c r="I80" s="109">
        <f>F80+H80</f>
        <v/>
      </c>
      <c r="J80" s="106" t="inlineStr">
        <is>
          <t>Junho/2026</t>
        </is>
      </c>
    </row>
    <row r="81" hidden="1" ht="14.25" customHeight="1" s="64">
      <c r="A81" s="74" t="inlineStr">
        <is>
          <t>Financeiro</t>
        </is>
      </c>
      <c r="B81" s="83">
        <f>INDEX(SETORES!$B:$B,MATCH(A81,SETORES!$A:$A,0))</f>
        <v/>
      </c>
      <c r="C81" s="74" t="inlineStr">
        <is>
          <t>Empresa Licenciada SOLON ARAUJO</t>
        </is>
      </c>
      <c r="D81" s="72">
        <f>IF(B81="Clientes",SUMIFS(PARÂMETROS!$D$8:$D$907,PARÂMETROS!$A$8:$A$907,C81,PARÂMETROS!$G$8:$G$907,J81),SUMIFS(PARÂMETROS!$E$8:$E$907,PARÂMETROS!$A$8:$A$907,C81,PARÂMETROS!$G$8:$G$907,J81))</f>
        <v/>
      </c>
      <c r="E81" s="84">
        <f>SUMIFS(SETORES!$D:$D,SETORES!$A:$A,A81,SETORES!$F:$F,J81)</f>
        <v/>
      </c>
      <c r="F81" s="84">
        <f>IFERROR(D81*E81,0)</f>
        <v/>
      </c>
      <c r="G81" s="72">
        <f>SUMIFS(PARÂMETROS!$F$8:$F$907,PARÂMETROS!$A$8:$A$907,C81,PARÂMETROS!$G$8:$G$907,J81)</f>
        <v/>
      </c>
      <c r="H81" s="84">
        <f>IFERROR(F81*G81,0)</f>
        <v/>
      </c>
      <c r="I81" s="84">
        <f>F81+H81</f>
        <v/>
      </c>
      <c r="J81" s="74" t="inlineStr">
        <is>
          <t>Junho/2026</t>
        </is>
      </c>
    </row>
    <row r="82" ht="14.25" customHeight="1" s="64">
      <c r="A82" s="106" t="inlineStr">
        <is>
          <t>Financeiro</t>
        </is>
      </c>
      <c r="B82" s="106">
        <f>INDEX(SETORES!$B:$B,MATCH(A82,SETORES!$A:$A,0))</f>
        <v/>
      </c>
      <c r="C82" s="106" t="inlineStr">
        <is>
          <t>Empresa Licenciada SOARES E LINS</t>
        </is>
      </c>
      <c r="D82" s="77">
        <f>IF(B82="Clientes",SUMIFS(PARÂMETROS!$D$8:$D$907,PARÂMETROS!$A$8:$A$907,C82,PARÂMETROS!$G$8:$G$907,J82),SUMIFS(PARÂMETROS!$E$8:$E$907,PARÂMETROS!$A$8:$A$907,C82,PARÂMETROS!$G$8:$G$907,J82))</f>
        <v/>
      </c>
      <c r="E82" s="109">
        <f>SUMIFS(SETORES!$D:$D,SETORES!$A:$A,A82,SETORES!$F:$F,J82)</f>
        <v/>
      </c>
      <c r="F82" s="109">
        <f>IFERROR(D82*E82,0)</f>
        <v/>
      </c>
      <c r="G82" s="77">
        <f>SUMIFS(PARÂMETROS!$F$8:$F$907,PARÂMETROS!$A$8:$A$907,C82,PARÂMETROS!$G$8:$G$907,J82)</f>
        <v/>
      </c>
      <c r="H82" s="109">
        <f>IFERROR(F82*G82,0)</f>
        <v/>
      </c>
      <c r="I82" s="109">
        <f>F82+H82</f>
        <v/>
      </c>
      <c r="J82" s="106" t="inlineStr">
        <is>
          <t>Junho/2026</t>
        </is>
      </c>
    </row>
    <row r="83" hidden="1" ht="14.25" customHeight="1" s="64">
      <c r="A83" s="74" t="inlineStr">
        <is>
          <t>Financeiro</t>
        </is>
      </c>
      <c r="B83" s="83">
        <f>INDEX(SETORES!$B:$B,MATCH(A83,SETORES!$A:$A,0))</f>
        <v/>
      </c>
      <c r="C83" s="74" t="inlineStr">
        <is>
          <t>Empresa Licenciada SOARES E SILVA</t>
        </is>
      </c>
      <c r="D83" s="72">
        <f>IF(B83="Clientes",SUMIFS(PARÂMETROS!$D$8:$D$907,PARÂMETROS!$A$8:$A$907,C83,PARÂMETROS!$G$8:$G$907,J83),SUMIFS(PARÂMETROS!$E$8:$E$907,PARÂMETROS!$A$8:$A$907,C83,PARÂMETROS!$G$8:$G$907,J83))</f>
        <v/>
      </c>
      <c r="E83" s="84">
        <f>SUMIFS(SETORES!$D:$D,SETORES!$A:$A,A83,SETORES!$F:$F,J83)</f>
        <v/>
      </c>
      <c r="F83" s="84">
        <f>IFERROR(D83*E83,0)</f>
        <v/>
      </c>
      <c r="G83" s="72">
        <f>SUMIFS(PARÂMETROS!$F$8:$F$907,PARÂMETROS!$A$8:$A$907,C83,PARÂMETROS!$G$8:$G$907,J83)</f>
        <v/>
      </c>
      <c r="H83" s="84">
        <f>IFERROR(F83*G83,0)</f>
        <v/>
      </c>
      <c r="I83" s="84">
        <f>F83+H83</f>
        <v/>
      </c>
      <c r="J83" s="74" t="inlineStr">
        <is>
          <t>Junho/2026</t>
        </is>
      </c>
    </row>
    <row r="84" hidden="1" ht="14.25" customHeight="1" s="64">
      <c r="A84" s="106" t="inlineStr">
        <is>
          <t>Financeiro</t>
        </is>
      </c>
      <c r="B84" s="106">
        <f>INDEX(SETORES!$B:$B,MATCH(A84,SETORES!$A:$A,0))</f>
        <v/>
      </c>
      <c r="C84" s="106" t="inlineStr">
        <is>
          <t>Empresa Licenciada SOUZA E SILVA</t>
        </is>
      </c>
      <c r="D84" s="77">
        <f>IF(B84="Clientes",SUMIFS(PARÂMETROS!$D$8:$D$907,PARÂMETROS!$A$8:$A$907,C84,PARÂMETROS!$G$8:$G$907,J84),SUMIFS(PARÂMETROS!$E$8:$E$907,PARÂMETROS!$A$8:$A$907,C84,PARÂMETROS!$G$8:$G$907,J84))</f>
        <v/>
      </c>
      <c r="E84" s="109">
        <f>SUMIFS(SETORES!$D:$D,SETORES!$A:$A,A84,SETORES!$F:$F,J84)</f>
        <v/>
      </c>
      <c r="F84" s="109">
        <f>IFERROR(D84*E84,0)</f>
        <v/>
      </c>
      <c r="G84" s="77">
        <f>SUMIFS(PARÂMETROS!$F$8:$F$907,PARÂMETROS!$A$8:$A$907,C84,PARÂMETROS!$G$8:$G$907,J84)</f>
        <v/>
      </c>
      <c r="H84" s="109">
        <f>IFERROR(F84*G84,0)</f>
        <v/>
      </c>
      <c r="I84" s="109">
        <f>F84+H84</f>
        <v/>
      </c>
      <c r="J84" s="106" t="inlineStr">
        <is>
          <t>Junho/2026</t>
        </is>
      </c>
    </row>
    <row r="85" hidden="1" ht="14.25" customHeight="1" s="64">
      <c r="A85" s="74" t="inlineStr">
        <is>
          <t>Financeiro</t>
        </is>
      </c>
      <c r="B85" s="83">
        <f>INDEX(SETORES!$B:$B,MATCH(A85,SETORES!$A:$A,0))</f>
        <v/>
      </c>
      <c r="C85" s="74" t="inlineStr">
        <is>
          <t>Empresa Licenciada VOICENET</t>
        </is>
      </c>
      <c r="D85" s="72">
        <f>IF(B85="Clientes",SUMIFS(PARÂMETROS!$D$8:$D$907,PARÂMETROS!$A$8:$A$907,C85,PARÂMETROS!$G$8:$G$907,J85),SUMIFS(PARÂMETROS!$E$8:$E$907,PARÂMETROS!$A$8:$A$907,C85,PARÂMETROS!$G$8:$G$907,J85))</f>
        <v/>
      </c>
      <c r="E85" s="84">
        <f>SUMIFS(SETORES!$D:$D,SETORES!$A:$A,A85,SETORES!$F:$F,J85)</f>
        <v/>
      </c>
      <c r="F85" s="84">
        <f>IFERROR(D85*E85,0)</f>
        <v/>
      </c>
      <c r="G85" s="72">
        <f>SUMIFS(PARÂMETROS!$F$8:$F$907,PARÂMETROS!$A$8:$A$907,C85,PARÂMETROS!$G$8:$G$907,J85)</f>
        <v/>
      </c>
      <c r="H85" s="84">
        <f>IFERROR(F85*G85,0)</f>
        <v/>
      </c>
      <c r="I85" s="84">
        <f>F85+H85</f>
        <v/>
      </c>
      <c r="J85" s="74" t="inlineStr">
        <is>
          <t>Junho/2026</t>
        </is>
      </c>
    </row>
    <row r="86" hidden="1" ht="14.25" customHeight="1" s="64">
      <c r="A86" s="106" t="inlineStr">
        <is>
          <t>Financeiro</t>
        </is>
      </c>
      <c r="B86" s="106">
        <f>INDEX(SETORES!$B:$B,MATCH(A86,SETORES!$A:$A,0))</f>
        <v/>
      </c>
      <c r="C86" s="106" t="inlineStr">
        <is>
          <t>DTEL (uso próprio)</t>
        </is>
      </c>
      <c r="D86" s="77">
        <f>IF(B86="Clientes",SUMIFS(PARÂMETROS!$D$8:$D$907,PARÂMETROS!$A$8:$A$907,C86,PARÂMETROS!$G$8:$G$907,J86),SUMIFS(PARÂMETROS!$E$8:$E$907,PARÂMETROS!$A$8:$A$907,C86,PARÂMETROS!$G$8:$G$907,J86))</f>
        <v/>
      </c>
      <c r="E86" s="109">
        <f>SUMIFS(SETORES!$D:$D,SETORES!$A:$A,A86,SETORES!$F:$F,J86)</f>
        <v/>
      </c>
      <c r="F86" s="109">
        <f>IFERROR(D86*E86,0)</f>
        <v/>
      </c>
      <c r="G86" s="77">
        <f>SUMIFS(PARÂMETROS!$F$8:$F$907,PARÂMETROS!$A$8:$A$907,C86,PARÂMETROS!$G$8:$G$907,J86)</f>
        <v/>
      </c>
      <c r="H86" s="109">
        <f>IFERROR(F86*G86,0)</f>
        <v/>
      </c>
      <c r="I86" s="109">
        <f>F86+H86</f>
        <v/>
      </c>
      <c r="J86" s="106" t="inlineStr">
        <is>
          <t>Junho/2026</t>
        </is>
      </c>
    </row>
    <row r="87" hidden="1" ht="14.25" customHeight="1" s="64">
      <c r="A87" s="74" t="inlineStr">
        <is>
          <t>NRC</t>
        </is>
      </c>
      <c r="B87" s="83">
        <f>INDEX(SETORES!$B:$B,MATCH(A87,SETORES!$A:$A,0))</f>
        <v/>
      </c>
      <c r="C87" s="74" t="inlineStr">
        <is>
          <t>Empresa Licenciada DX2</t>
        </is>
      </c>
      <c r="D87" s="72">
        <f>IF(B87="Clientes",SUMIFS(PARÂMETROS!$D$8:$D$907,PARÂMETROS!$A$8:$A$907,C87,PARÂMETROS!$G$8:$G$907,J87),SUMIFS(PARÂMETROS!$E$8:$E$907,PARÂMETROS!$A$8:$A$907,C87,PARÂMETROS!$G$8:$G$907,J87))</f>
        <v/>
      </c>
      <c r="E87" s="84">
        <f>SUMIFS(SETORES!$D:$D,SETORES!$A:$A,A87,SETORES!$F:$F,J87)</f>
        <v/>
      </c>
      <c r="F87" s="84">
        <f>IFERROR(D87*E87,0)</f>
        <v/>
      </c>
      <c r="G87" s="72">
        <f>SUMIFS(PARÂMETROS!$F$8:$F$907,PARÂMETROS!$A$8:$A$907,C87,PARÂMETROS!$G$8:$G$907,J87)</f>
        <v/>
      </c>
      <c r="H87" s="84">
        <f>IFERROR(F87*G87,0)</f>
        <v/>
      </c>
      <c r="I87" s="84">
        <f>F87+H87</f>
        <v/>
      </c>
      <c r="J87" s="74" t="inlineStr">
        <is>
          <t>Junho/2026</t>
        </is>
      </c>
    </row>
    <row r="88" hidden="1" ht="14.25" customHeight="1" s="64">
      <c r="A88" s="106" t="inlineStr">
        <is>
          <t>NRC</t>
        </is>
      </c>
      <c r="B88" s="106">
        <f>INDEX(SETORES!$B:$B,MATCH(A88,SETORES!$A:$A,0))</f>
        <v/>
      </c>
      <c r="C88" s="106" t="inlineStr">
        <is>
          <t>Empresa Licenciada H&amp;A</t>
        </is>
      </c>
      <c r="D88" s="77">
        <f>IF(B88="Clientes",SUMIFS(PARÂMETROS!$D$8:$D$907,PARÂMETROS!$A$8:$A$907,C88,PARÂMETROS!$G$8:$G$907,J88),SUMIFS(PARÂMETROS!$E$8:$E$907,PARÂMETROS!$A$8:$A$907,C88,PARÂMETROS!$G$8:$G$907,J88))</f>
        <v/>
      </c>
      <c r="E88" s="109">
        <f>SUMIFS(SETORES!$D:$D,SETORES!$A:$A,A88,SETORES!$F:$F,J88)</f>
        <v/>
      </c>
      <c r="F88" s="109">
        <f>IFERROR(D88*E88,0)</f>
        <v/>
      </c>
      <c r="G88" s="77">
        <f>SUMIFS(PARÂMETROS!$F$8:$F$907,PARÂMETROS!$A$8:$A$907,C88,PARÂMETROS!$G$8:$G$907,J88)</f>
        <v/>
      </c>
      <c r="H88" s="109">
        <f>IFERROR(F88*G88,0)</f>
        <v/>
      </c>
      <c r="I88" s="109">
        <f>F88+H88</f>
        <v/>
      </c>
      <c r="J88" s="106" t="inlineStr">
        <is>
          <t>Junho/2026</t>
        </is>
      </c>
    </row>
    <row r="89" hidden="1" ht="14.25" customHeight="1" s="64">
      <c r="A89" s="74" t="inlineStr">
        <is>
          <t>NRC</t>
        </is>
      </c>
      <c r="B89" s="83">
        <f>INDEX(SETORES!$B:$B,MATCH(A89,SETORES!$A:$A,0))</f>
        <v/>
      </c>
      <c r="C89" s="74" t="inlineStr">
        <is>
          <t>Empresa Licenciada SOLON ARAUJO</t>
        </is>
      </c>
      <c r="D89" s="72">
        <f>IF(B89="Clientes",SUMIFS(PARÂMETROS!$D$8:$D$907,PARÂMETROS!$A$8:$A$907,C89,PARÂMETROS!$G$8:$G$907,J89),SUMIFS(PARÂMETROS!$E$8:$E$907,PARÂMETROS!$A$8:$A$907,C89,PARÂMETROS!$G$8:$G$907,J89))</f>
        <v/>
      </c>
      <c r="E89" s="84">
        <f>SUMIFS(SETORES!$D:$D,SETORES!$A:$A,A89,SETORES!$F:$F,J89)</f>
        <v/>
      </c>
      <c r="F89" s="84">
        <f>IFERROR(D89*E89,0)</f>
        <v/>
      </c>
      <c r="G89" s="72">
        <f>SUMIFS(PARÂMETROS!$F$8:$F$907,PARÂMETROS!$A$8:$A$907,C89,PARÂMETROS!$G$8:$G$907,J89)</f>
        <v/>
      </c>
      <c r="H89" s="84">
        <f>IFERROR(F89*G89,0)</f>
        <v/>
      </c>
      <c r="I89" s="84">
        <f>F89+H89</f>
        <v/>
      </c>
      <c r="J89" s="74" t="inlineStr">
        <is>
          <t>Junho/2026</t>
        </is>
      </c>
    </row>
    <row r="90" ht="14.25" customHeight="1" s="64">
      <c r="A90" s="106" t="inlineStr">
        <is>
          <t>NRC</t>
        </is>
      </c>
      <c r="B90" s="106">
        <f>INDEX(SETORES!$B:$B,MATCH(A90,SETORES!$A:$A,0))</f>
        <v/>
      </c>
      <c r="C90" s="106" t="inlineStr">
        <is>
          <t>Empresa Licenciada SOARES E LINS</t>
        </is>
      </c>
      <c r="D90" s="77">
        <f>IF(B90="Clientes",SUMIFS(PARÂMETROS!$D$8:$D$907,PARÂMETROS!$A$8:$A$907,C90,PARÂMETROS!$G$8:$G$907,J90),SUMIFS(PARÂMETROS!$E$8:$E$907,PARÂMETROS!$A$8:$A$907,C90,PARÂMETROS!$G$8:$G$907,J90))</f>
        <v/>
      </c>
      <c r="E90" s="109">
        <f>SUMIFS(SETORES!$D:$D,SETORES!$A:$A,A90,SETORES!$F:$F,J90)</f>
        <v/>
      </c>
      <c r="F90" s="109">
        <f>IFERROR(D90*E90,0)</f>
        <v/>
      </c>
      <c r="G90" s="77">
        <f>SUMIFS(PARÂMETROS!$F$8:$F$907,PARÂMETROS!$A$8:$A$907,C90,PARÂMETROS!$G$8:$G$907,J90)</f>
        <v/>
      </c>
      <c r="H90" s="109">
        <f>IFERROR(F90*G90,0)</f>
        <v/>
      </c>
      <c r="I90" s="109">
        <f>F90+H90</f>
        <v/>
      </c>
      <c r="J90" s="106" t="inlineStr">
        <is>
          <t>Junho/2026</t>
        </is>
      </c>
    </row>
    <row r="91" hidden="1" ht="14.25" customHeight="1" s="64">
      <c r="A91" s="74" t="inlineStr">
        <is>
          <t>NRC</t>
        </is>
      </c>
      <c r="B91" s="83">
        <f>INDEX(SETORES!$B:$B,MATCH(A91,SETORES!$A:$A,0))</f>
        <v/>
      </c>
      <c r="C91" s="74" t="inlineStr">
        <is>
          <t>Empresa Licenciada SOARES E SILVA</t>
        </is>
      </c>
      <c r="D91" s="72">
        <f>IF(B91="Clientes",SUMIFS(PARÂMETROS!$D$8:$D$907,PARÂMETROS!$A$8:$A$907,C91,PARÂMETROS!$G$8:$G$907,J91),SUMIFS(PARÂMETROS!$E$8:$E$907,PARÂMETROS!$A$8:$A$907,C91,PARÂMETROS!$G$8:$G$907,J91))</f>
        <v/>
      </c>
      <c r="E91" s="84">
        <f>SUMIFS(SETORES!$D:$D,SETORES!$A:$A,A91,SETORES!$F:$F,J91)</f>
        <v/>
      </c>
      <c r="F91" s="84">
        <f>IFERROR(D91*E91,0)</f>
        <v/>
      </c>
      <c r="G91" s="72">
        <f>SUMIFS(PARÂMETROS!$F$8:$F$907,PARÂMETROS!$A$8:$A$907,C91,PARÂMETROS!$G$8:$G$907,J91)</f>
        <v/>
      </c>
      <c r="H91" s="84">
        <f>IFERROR(F91*G91,0)</f>
        <v/>
      </c>
      <c r="I91" s="84">
        <f>F91+H91</f>
        <v/>
      </c>
      <c r="J91" s="74" t="inlineStr">
        <is>
          <t>Junho/2026</t>
        </is>
      </c>
    </row>
    <row r="92" hidden="1" ht="14.25" customHeight="1" s="64">
      <c r="A92" s="106" t="inlineStr">
        <is>
          <t>NRC</t>
        </is>
      </c>
      <c r="B92" s="106">
        <f>INDEX(SETORES!$B:$B,MATCH(A92,SETORES!$A:$A,0))</f>
        <v/>
      </c>
      <c r="C92" s="106" t="inlineStr">
        <is>
          <t>Empresa Licenciada SOUZA E SILVA</t>
        </is>
      </c>
      <c r="D92" s="77">
        <f>IF(B92="Clientes",SUMIFS(PARÂMETROS!$D$8:$D$907,PARÂMETROS!$A$8:$A$907,C92,PARÂMETROS!$G$8:$G$907,J92),SUMIFS(PARÂMETROS!$E$8:$E$907,PARÂMETROS!$A$8:$A$907,C92,PARÂMETROS!$G$8:$G$907,J92))</f>
        <v/>
      </c>
      <c r="E92" s="109">
        <f>SUMIFS(SETORES!$D:$D,SETORES!$A:$A,A92,SETORES!$F:$F,J92)</f>
        <v/>
      </c>
      <c r="F92" s="109">
        <f>IFERROR(D92*E92,0)</f>
        <v/>
      </c>
      <c r="G92" s="77">
        <f>SUMIFS(PARÂMETROS!$F$8:$F$907,PARÂMETROS!$A$8:$A$907,C92,PARÂMETROS!$G$8:$G$907,J92)</f>
        <v/>
      </c>
      <c r="H92" s="109">
        <f>IFERROR(F92*G92,0)</f>
        <v/>
      </c>
      <c r="I92" s="109">
        <f>F92+H92</f>
        <v/>
      </c>
      <c r="J92" s="106" t="inlineStr">
        <is>
          <t>Junho/2026</t>
        </is>
      </c>
    </row>
    <row r="93" hidden="1" ht="14.25" customHeight="1" s="64">
      <c r="A93" s="74" t="inlineStr">
        <is>
          <t>NRC</t>
        </is>
      </c>
      <c r="B93" s="83">
        <f>INDEX(SETORES!$B:$B,MATCH(A93,SETORES!$A:$A,0))</f>
        <v/>
      </c>
      <c r="C93" s="74" t="inlineStr">
        <is>
          <t>Empresa Licenciada VOICENET</t>
        </is>
      </c>
      <c r="D93" s="72">
        <f>IF(B93="Clientes",SUMIFS(PARÂMETROS!$D$8:$D$907,PARÂMETROS!$A$8:$A$907,C93,PARÂMETROS!$G$8:$G$907,J93),SUMIFS(PARÂMETROS!$E$8:$E$907,PARÂMETROS!$A$8:$A$907,C93,PARÂMETROS!$G$8:$G$907,J93))</f>
        <v/>
      </c>
      <c r="E93" s="84">
        <f>SUMIFS(SETORES!$D:$D,SETORES!$A:$A,A93,SETORES!$F:$F,J93)</f>
        <v/>
      </c>
      <c r="F93" s="84">
        <f>IFERROR(D93*E93,0)</f>
        <v/>
      </c>
      <c r="G93" s="72">
        <f>SUMIFS(PARÂMETROS!$F$8:$F$907,PARÂMETROS!$A$8:$A$907,C93,PARÂMETROS!$G$8:$G$907,J93)</f>
        <v/>
      </c>
      <c r="H93" s="84">
        <f>IFERROR(F93*G93,0)</f>
        <v/>
      </c>
      <c r="I93" s="84">
        <f>F93+H93</f>
        <v/>
      </c>
      <c r="J93" s="74" t="inlineStr">
        <is>
          <t>Junho/2026</t>
        </is>
      </c>
    </row>
    <row r="94" hidden="1" ht="14.25" customHeight="1" s="64">
      <c r="A94" s="106" t="inlineStr">
        <is>
          <t>NRC</t>
        </is>
      </c>
      <c r="B94" s="106">
        <f>INDEX(SETORES!$B:$B,MATCH(A94,SETORES!$A:$A,0))</f>
        <v/>
      </c>
      <c r="C94" s="106" t="inlineStr">
        <is>
          <t>DTEL (uso próprio)</t>
        </is>
      </c>
      <c r="D94" s="77">
        <f>IF(B94="Clientes",SUMIFS(PARÂMETROS!$D$8:$D$907,PARÂMETROS!$A$8:$A$907,C94,PARÂMETROS!$G$8:$G$907,J94),SUMIFS(PARÂMETROS!$E$8:$E$907,PARÂMETROS!$A$8:$A$907,C94,PARÂMETROS!$G$8:$G$907,J94))</f>
        <v/>
      </c>
      <c r="E94" s="109">
        <f>SUMIFS(SETORES!$D:$D,SETORES!$A:$A,A94,SETORES!$F:$F,J94)</f>
        <v/>
      </c>
      <c r="F94" s="109">
        <f>IFERROR(D94*E94,0)</f>
        <v/>
      </c>
      <c r="G94" s="77">
        <f>SUMIFS(PARÂMETROS!$F$8:$F$907,PARÂMETROS!$A$8:$A$907,C94,PARÂMETROS!$G$8:$G$907,J94)</f>
        <v/>
      </c>
      <c r="H94" s="109">
        <f>IFERROR(F94*G94,0)</f>
        <v/>
      </c>
      <c r="I94" s="109">
        <f>F94+H94</f>
        <v/>
      </c>
      <c r="J94" s="106" t="inlineStr">
        <is>
          <t>Junho/2026</t>
        </is>
      </c>
    </row>
    <row r="95" hidden="1" ht="14.25" customHeight="1" s="64">
      <c r="A95" s="74" t="inlineStr">
        <is>
          <t>Cobrança</t>
        </is>
      </c>
      <c r="B95" s="83">
        <f>INDEX(SETORES!$B:$B,MATCH(A95,SETORES!$A:$A,0))</f>
        <v/>
      </c>
      <c r="C95" s="74" t="inlineStr">
        <is>
          <t>Empresa Licenciada DX2</t>
        </is>
      </c>
      <c r="D95" s="72">
        <f>IF(B95="Clientes",SUMIFS(PARÂMETROS!$D$8:$D$907,PARÂMETROS!$A$8:$A$907,C95,PARÂMETROS!$G$8:$G$907,J95),SUMIFS(PARÂMETROS!$E$8:$E$907,PARÂMETROS!$A$8:$A$907,C95,PARÂMETROS!$G$8:$G$907,J95))</f>
        <v/>
      </c>
      <c r="E95" s="84">
        <f>SUMIFS(SETORES!$D:$D,SETORES!$A:$A,A95,SETORES!$F:$F,J95)</f>
        <v/>
      </c>
      <c r="F95" s="84">
        <f>IFERROR(D95*E95,0)</f>
        <v/>
      </c>
      <c r="G95" s="72">
        <f>SUMIFS(PARÂMETROS!$F$8:$F$907,PARÂMETROS!$A$8:$A$907,C95,PARÂMETROS!$G$8:$G$907,J95)</f>
        <v/>
      </c>
      <c r="H95" s="84">
        <f>IFERROR(F95*G95,0)</f>
        <v/>
      </c>
      <c r="I95" s="84">
        <f>F95+H95</f>
        <v/>
      </c>
      <c r="J95" s="74" t="inlineStr">
        <is>
          <t>Junho/2026</t>
        </is>
      </c>
    </row>
    <row r="96" hidden="1" ht="14.25" customHeight="1" s="64">
      <c r="A96" s="106" t="inlineStr">
        <is>
          <t>Cobrança</t>
        </is>
      </c>
      <c r="B96" s="106">
        <f>INDEX(SETORES!$B:$B,MATCH(A96,SETORES!$A:$A,0))</f>
        <v/>
      </c>
      <c r="C96" s="106" t="inlineStr">
        <is>
          <t>Empresa Licenciada H&amp;A</t>
        </is>
      </c>
      <c r="D96" s="77">
        <f>IF(B96="Clientes",SUMIFS(PARÂMETROS!$D$8:$D$907,PARÂMETROS!$A$8:$A$907,C96,PARÂMETROS!$G$8:$G$907,J96),SUMIFS(PARÂMETROS!$E$8:$E$907,PARÂMETROS!$A$8:$A$907,C96,PARÂMETROS!$G$8:$G$907,J96))</f>
        <v/>
      </c>
      <c r="E96" s="109">
        <f>SUMIFS(SETORES!$D:$D,SETORES!$A:$A,A96,SETORES!$F:$F,J96)</f>
        <v/>
      </c>
      <c r="F96" s="109">
        <f>IFERROR(D96*E96,0)</f>
        <v/>
      </c>
      <c r="G96" s="77">
        <f>SUMIFS(PARÂMETROS!$F$8:$F$907,PARÂMETROS!$A$8:$A$907,C96,PARÂMETROS!$G$8:$G$907,J96)</f>
        <v/>
      </c>
      <c r="H96" s="109">
        <f>IFERROR(F96*G96,0)</f>
        <v/>
      </c>
      <c r="I96" s="109">
        <f>F96+H96</f>
        <v/>
      </c>
      <c r="J96" s="106" t="inlineStr">
        <is>
          <t>Junho/2026</t>
        </is>
      </c>
    </row>
    <row r="97" hidden="1" ht="14.25" customHeight="1" s="64">
      <c r="A97" s="74" t="inlineStr">
        <is>
          <t>Cobrança</t>
        </is>
      </c>
      <c r="B97" s="83">
        <f>INDEX(SETORES!$B:$B,MATCH(A97,SETORES!$A:$A,0))</f>
        <v/>
      </c>
      <c r="C97" s="74" t="inlineStr">
        <is>
          <t>Empresa Licenciada SOLON ARAUJO</t>
        </is>
      </c>
      <c r="D97" s="72">
        <f>IF(B97="Clientes",SUMIFS(PARÂMETROS!$D$8:$D$907,PARÂMETROS!$A$8:$A$907,C97,PARÂMETROS!$G$8:$G$907,J97),SUMIFS(PARÂMETROS!$E$8:$E$907,PARÂMETROS!$A$8:$A$907,C97,PARÂMETROS!$G$8:$G$907,J97))</f>
        <v/>
      </c>
      <c r="E97" s="84">
        <f>SUMIFS(SETORES!$D:$D,SETORES!$A:$A,A97,SETORES!$F:$F,J97)</f>
        <v/>
      </c>
      <c r="F97" s="84">
        <f>IFERROR(D97*E97,0)</f>
        <v/>
      </c>
      <c r="G97" s="72">
        <f>SUMIFS(PARÂMETROS!$F$8:$F$907,PARÂMETROS!$A$8:$A$907,C97,PARÂMETROS!$G$8:$G$907,J97)</f>
        <v/>
      </c>
      <c r="H97" s="84">
        <f>IFERROR(F97*G97,0)</f>
        <v/>
      </c>
      <c r="I97" s="84">
        <f>F97+H97</f>
        <v/>
      </c>
      <c r="J97" s="74" t="inlineStr">
        <is>
          <t>Junho/2026</t>
        </is>
      </c>
    </row>
    <row r="98" ht="14.25" customHeight="1" s="64">
      <c r="A98" s="106" t="inlineStr">
        <is>
          <t>Cobrança</t>
        </is>
      </c>
      <c r="B98" s="106">
        <f>INDEX(SETORES!$B:$B,MATCH(A98,SETORES!$A:$A,0))</f>
        <v/>
      </c>
      <c r="C98" s="106" t="inlineStr">
        <is>
          <t>Empresa Licenciada SOARES E LINS</t>
        </is>
      </c>
      <c r="D98" s="77">
        <f>IF(B98="Clientes",SUMIFS(PARÂMETROS!$D$8:$D$907,PARÂMETROS!$A$8:$A$907,C98,PARÂMETROS!$G$8:$G$907,J98),SUMIFS(PARÂMETROS!$E$8:$E$907,PARÂMETROS!$A$8:$A$907,C98,PARÂMETROS!$G$8:$G$907,J98))</f>
        <v/>
      </c>
      <c r="E98" s="109">
        <f>SUMIFS(SETORES!$D:$D,SETORES!$A:$A,A98,SETORES!$F:$F,J98)</f>
        <v/>
      </c>
      <c r="F98" s="109">
        <f>IFERROR(D98*E98,0)</f>
        <v/>
      </c>
      <c r="G98" s="77">
        <f>SUMIFS(PARÂMETROS!$F$8:$F$907,PARÂMETROS!$A$8:$A$907,C98,PARÂMETROS!$G$8:$G$907,J98)</f>
        <v/>
      </c>
      <c r="H98" s="109">
        <f>IFERROR(F98*G98,0)</f>
        <v/>
      </c>
      <c r="I98" s="109">
        <f>F98+H98</f>
        <v/>
      </c>
      <c r="J98" s="106" t="inlineStr">
        <is>
          <t>Junho/2026</t>
        </is>
      </c>
    </row>
    <row r="99" hidden="1" ht="14.25" customHeight="1" s="64">
      <c r="A99" s="74" t="inlineStr">
        <is>
          <t>Cobrança</t>
        </is>
      </c>
      <c r="B99" s="83">
        <f>INDEX(SETORES!$B:$B,MATCH(A99,SETORES!$A:$A,0))</f>
        <v/>
      </c>
      <c r="C99" s="74" t="inlineStr">
        <is>
          <t>Empresa Licenciada SOARES E SILVA</t>
        </is>
      </c>
      <c r="D99" s="72">
        <f>IF(B99="Clientes",SUMIFS(PARÂMETROS!$D$8:$D$907,PARÂMETROS!$A$8:$A$907,C99,PARÂMETROS!$G$8:$G$907,J99),SUMIFS(PARÂMETROS!$E$8:$E$907,PARÂMETROS!$A$8:$A$907,C99,PARÂMETROS!$G$8:$G$907,J99))</f>
        <v/>
      </c>
      <c r="E99" s="84">
        <f>SUMIFS(SETORES!$D:$D,SETORES!$A:$A,A99,SETORES!$F:$F,J99)</f>
        <v/>
      </c>
      <c r="F99" s="84">
        <f>IFERROR(D99*E99,0)</f>
        <v/>
      </c>
      <c r="G99" s="72">
        <f>SUMIFS(PARÂMETROS!$F$8:$F$907,PARÂMETROS!$A$8:$A$907,C99,PARÂMETROS!$G$8:$G$907,J99)</f>
        <v/>
      </c>
      <c r="H99" s="84">
        <f>IFERROR(F99*G99,0)</f>
        <v/>
      </c>
      <c r="I99" s="84">
        <f>F99+H99</f>
        <v/>
      </c>
      <c r="J99" s="74" t="inlineStr">
        <is>
          <t>Junho/2026</t>
        </is>
      </c>
    </row>
    <row r="100" hidden="1" ht="14.25" customHeight="1" s="64">
      <c r="A100" s="106" t="inlineStr">
        <is>
          <t>Cobrança</t>
        </is>
      </c>
      <c r="B100" s="106">
        <f>INDEX(SETORES!$B:$B,MATCH(A100,SETORES!$A:$A,0))</f>
        <v/>
      </c>
      <c r="C100" s="106" t="inlineStr">
        <is>
          <t>Empresa Licenciada SOUZA E SILVA</t>
        </is>
      </c>
      <c r="D100" s="77">
        <f>IF(B100="Clientes",SUMIFS(PARÂMETROS!$D$8:$D$907,PARÂMETROS!$A$8:$A$907,C100,PARÂMETROS!$G$8:$G$907,J100),SUMIFS(PARÂMETROS!$E$8:$E$907,PARÂMETROS!$A$8:$A$907,C100,PARÂMETROS!$G$8:$G$907,J100))</f>
        <v/>
      </c>
      <c r="E100" s="109">
        <f>SUMIFS(SETORES!$D:$D,SETORES!$A:$A,A100,SETORES!$F:$F,J100)</f>
        <v/>
      </c>
      <c r="F100" s="109">
        <f>IFERROR(D100*E100,0)</f>
        <v/>
      </c>
      <c r="G100" s="77">
        <f>SUMIFS(PARÂMETROS!$F$8:$F$907,PARÂMETROS!$A$8:$A$907,C100,PARÂMETROS!$G$8:$G$907,J100)</f>
        <v/>
      </c>
      <c r="H100" s="109">
        <f>IFERROR(F100*G100,0)</f>
        <v/>
      </c>
      <c r="I100" s="109">
        <f>F100+H100</f>
        <v/>
      </c>
      <c r="J100" s="106" t="inlineStr">
        <is>
          <t>Junho/2026</t>
        </is>
      </c>
    </row>
    <row r="101" hidden="1" ht="14.25" customHeight="1" s="64">
      <c r="A101" s="74" t="inlineStr">
        <is>
          <t>Cobrança</t>
        </is>
      </c>
      <c r="B101" s="83">
        <f>INDEX(SETORES!$B:$B,MATCH(A101,SETORES!$A:$A,0))</f>
        <v/>
      </c>
      <c r="C101" s="74" t="inlineStr">
        <is>
          <t>Empresa Licenciada VOICENET</t>
        </is>
      </c>
      <c r="D101" s="72">
        <f>IF(B101="Clientes",SUMIFS(PARÂMETROS!$D$8:$D$907,PARÂMETROS!$A$8:$A$907,C101,PARÂMETROS!$G$8:$G$907,J101),SUMIFS(PARÂMETROS!$E$8:$E$907,PARÂMETROS!$A$8:$A$907,C101,PARÂMETROS!$G$8:$G$907,J101))</f>
        <v/>
      </c>
      <c r="E101" s="84">
        <f>SUMIFS(SETORES!$D:$D,SETORES!$A:$A,A101,SETORES!$F:$F,J101)</f>
        <v/>
      </c>
      <c r="F101" s="84">
        <f>IFERROR(D101*E101,0)</f>
        <v/>
      </c>
      <c r="G101" s="72">
        <f>SUMIFS(PARÂMETROS!$F$8:$F$907,PARÂMETROS!$A$8:$A$907,C101,PARÂMETROS!$G$8:$G$907,J101)</f>
        <v/>
      </c>
      <c r="H101" s="84">
        <f>IFERROR(F101*G101,0)</f>
        <v/>
      </c>
      <c r="I101" s="84">
        <f>F101+H101</f>
        <v/>
      </c>
      <c r="J101" s="74" t="inlineStr">
        <is>
          <t>Junho/2026</t>
        </is>
      </c>
    </row>
    <row r="102" hidden="1" ht="14.25" customHeight="1" s="64">
      <c r="A102" s="106" t="inlineStr">
        <is>
          <t>Cobrança</t>
        </is>
      </c>
      <c r="B102" s="106">
        <f>INDEX(SETORES!$B:$B,MATCH(A102,SETORES!$A:$A,0))</f>
        <v/>
      </c>
      <c r="C102" s="106" t="inlineStr">
        <is>
          <t>DTEL (uso próprio)</t>
        </is>
      </c>
      <c r="D102" s="77">
        <f>IF(B102="Clientes",SUMIFS(PARÂMETROS!$D$8:$D$907,PARÂMETROS!$A$8:$A$907,C102,PARÂMETROS!$G$8:$G$907,J102),SUMIFS(PARÂMETROS!$E$8:$E$907,PARÂMETROS!$A$8:$A$907,C102,PARÂMETROS!$G$8:$G$907,J102))</f>
        <v/>
      </c>
      <c r="E102" s="109">
        <f>SUMIFS(SETORES!$D:$D,SETORES!$A:$A,A102,SETORES!$F:$F,J102)</f>
        <v/>
      </c>
      <c r="F102" s="109">
        <f>IFERROR(D102*E102,0)</f>
        <v/>
      </c>
      <c r="G102" s="77">
        <f>SUMIFS(PARÂMETROS!$F$8:$F$907,PARÂMETROS!$A$8:$A$907,C102,PARÂMETROS!$G$8:$G$907,J102)</f>
        <v/>
      </c>
      <c r="H102" s="109">
        <f>IFERROR(F102*G102,0)</f>
        <v/>
      </c>
      <c r="I102" s="109">
        <f>F102+H102</f>
        <v/>
      </c>
      <c r="J102" s="106" t="inlineStr">
        <is>
          <t>Junho/2026</t>
        </is>
      </c>
    </row>
    <row r="103" hidden="1" ht="14.25" customHeight="1" s="64">
      <c r="A103" s="74" t="inlineStr">
        <is>
          <t>Retenção</t>
        </is>
      </c>
      <c r="B103" s="83">
        <f>INDEX(SETORES!$B:$B,MATCH(A103,SETORES!$A:$A,0))</f>
        <v/>
      </c>
      <c r="C103" s="74" t="inlineStr">
        <is>
          <t>Empresa Licenciada DX2</t>
        </is>
      </c>
      <c r="D103" s="72">
        <f>IF(B103="Clientes",SUMIFS(PARÂMETROS!$D$8:$D$907,PARÂMETROS!$A$8:$A$907,C103,PARÂMETROS!$G$8:$G$907,J103),SUMIFS(PARÂMETROS!$E$8:$E$907,PARÂMETROS!$A$8:$A$907,C103,PARÂMETROS!$G$8:$G$907,J103))</f>
        <v/>
      </c>
      <c r="E103" s="84">
        <f>SUMIFS(SETORES!$D:$D,SETORES!$A:$A,A103,SETORES!$F:$F,J103)</f>
        <v/>
      </c>
      <c r="F103" s="84">
        <f>IFERROR(D103*E103,0)</f>
        <v/>
      </c>
      <c r="G103" s="72">
        <f>SUMIFS(PARÂMETROS!$F$8:$F$907,PARÂMETROS!$A$8:$A$907,C103,PARÂMETROS!$G$8:$G$907,J103)</f>
        <v/>
      </c>
      <c r="H103" s="84">
        <f>IFERROR(F103*G103,0)</f>
        <v/>
      </c>
      <c r="I103" s="84">
        <f>F103+H103</f>
        <v/>
      </c>
      <c r="J103" s="74" t="inlineStr">
        <is>
          <t>Junho/2026</t>
        </is>
      </c>
    </row>
    <row r="104" hidden="1" ht="14.25" customHeight="1" s="64">
      <c r="A104" s="106" t="inlineStr">
        <is>
          <t>Retenção</t>
        </is>
      </c>
      <c r="B104" s="106">
        <f>INDEX(SETORES!$B:$B,MATCH(A104,SETORES!$A:$A,0))</f>
        <v/>
      </c>
      <c r="C104" s="106" t="inlineStr">
        <is>
          <t>Empresa Licenciada H&amp;A</t>
        </is>
      </c>
      <c r="D104" s="77">
        <f>IF(B104="Clientes",SUMIFS(PARÂMETROS!$D$8:$D$907,PARÂMETROS!$A$8:$A$907,C104,PARÂMETROS!$G$8:$G$907,J104),SUMIFS(PARÂMETROS!$E$8:$E$907,PARÂMETROS!$A$8:$A$907,C104,PARÂMETROS!$G$8:$G$907,J104))</f>
        <v/>
      </c>
      <c r="E104" s="109">
        <f>SUMIFS(SETORES!$D:$D,SETORES!$A:$A,A104,SETORES!$F:$F,J104)</f>
        <v/>
      </c>
      <c r="F104" s="109">
        <f>IFERROR(D104*E104,0)</f>
        <v/>
      </c>
      <c r="G104" s="77">
        <f>SUMIFS(PARÂMETROS!$F$8:$F$907,PARÂMETROS!$A$8:$A$907,C104,PARÂMETROS!$G$8:$G$907,J104)</f>
        <v/>
      </c>
      <c r="H104" s="109">
        <f>IFERROR(F104*G104,0)</f>
        <v/>
      </c>
      <c r="I104" s="109">
        <f>F104+H104</f>
        <v/>
      </c>
      <c r="J104" s="106" t="inlineStr">
        <is>
          <t>Junho/2026</t>
        </is>
      </c>
    </row>
    <row r="105" hidden="1" ht="14.25" customHeight="1" s="64">
      <c r="A105" s="74" t="inlineStr">
        <is>
          <t>Retenção</t>
        </is>
      </c>
      <c r="B105" s="83">
        <f>INDEX(SETORES!$B:$B,MATCH(A105,SETORES!$A:$A,0))</f>
        <v/>
      </c>
      <c r="C105" s="74" t="inlineStr">
        <is>
          <t>Empresa Licenciada SOLON ARAUJO</t>
        </is>
      </c>
      <c r="D105" s="72">
        <f>IF(B105="Clientes",SUMIFS(PARÂMETROS!$D$8:$D$907,PARÂMETROS!$A$8:$A$907,C105,PARÂMETROS!$G$8:$G$907,J105),SUMIFS(PARÂMETROS!$E$8:$E$907,PARÂMETROS!$A$8:$A$907,C105,PARÂMETROS!$G$8:$G$907,J105))</f>
        <v/>
      </c>
      <c r="E105" s="84">
        <f>SUMIFS(SETORES!$D:$D,SETORES!$A:$A,A105,SETORES!$F:$F,J105)</f>
        <v/>
      </c>
      <c r="F105" s="84">
        <f>IFERROR(D105*E105,0)</f>
        <v/>
      </c>
      <c r="G105" s="72">
        <f>SUMIFS(PARÂMETROS!$F$8:$F$907,PARÂMETROS!$A$8:$A$907,C105,PARÂMETROS!$G$8:$G$907,J105)</f>
        <v/>
      </c>
      <c r="H105" s="84">
        <f>IFERROR(F105*G105,0)</f>
        <v/>
      </c>
      <c r="I105" s="84">
        <f>F105+H105</f>
        <v/>
      </c>
      <c r="J105" s="74" t="inlineStr">
        <is>
          <t>Junho/2026</t>
        </is>
      </c>
    </row>
    <row r="106" ht="14.25" customHeight="1" s="64">
      <c r="A106" s="106" t="inlineStr">
        <is>
          <t>Retenção</t>
        </is>
      </c>
      <c r="B106" s="106">
        <f>INDEX(SETORES!$B:$B,MATCH(A106,SETORES!$A:$A,0))</f>
        <v/>
      </c>
      <c r="C106" s="106" t="inlineStr">
        <is>
          <t>Empresa Licenciada SOARES E LINS</t>
        </is>
      </c>
      <c r="D106" s="77">
        <f>IF(B106="Clientes",SUMIFS(PARÂMETROS!$D$8:$D$907,PARÂMETROS!$A$8:$A$907,C106,PARÂMETROS!$G$8:$G$907,J106),SUMIFS(PARÂMETROS!$E$8:$E$907,PARÂMETROS!$A$8:$A$907,C106,PARÂMETROS!$G$8:$G$907,J106))</f>
        <v/>
      </c>
      <c r="E106" s="109">
        <f>SUMIFS(SETORES!$D:$D,SETORES!$A:$A,A106,SETORES!$F:$F,J106)</f>
        <v/>
      </c>
      <c r="F106" s="109">
        <f>IFERROR(D106*E106,0)</f>
        <v/>
      </c>
      <c r="G106" s="77">
        <f>SUMIFS(PARÂMETROS!$F$8:$F$907,PARÂMETROS!$A$8:$A$907,C106,PARÂMETROS!$G$8:$G$907,J106)</f>
        <v/>
      </c>
      <c r="H106" s="109">
        <f>IFERROR(F106*G106,0)</f>
        <v/>
      </c>
      <c r="I106" s="109">
        <f>F106+H106</f>
        <v/>
      </c>
      <c r="J106" s="106" t="inlineStr">
        <is>
          <t>Junho/2026</t>
        </is>
      </c>
    </row>
    <row r="107" hidden="1" ht="14.25" customHeight="1" s="64">
      <c r="A107" s="74" t="inlineStr">
        <is>
          <t>Retenção</t>
        </is>
      </c>
      <c r="B107" s="83">
        <f>INDEX(SETORES!$B:$B,MATCH(A107,SETORES!$A:$A,0))</f>
        <v/>
      </c>
      <c r="C107" s="74" t="inlineStr">
        <is>
          <t>Empresa Licenciada SOARES E SILVA</t>
        </is>
      </c>
      <c r="D107" s="72">
        <f>IF(B107="Clientes",SUMIFS(PARÂMETROS!$D$8:$D$907,PARÂMETROS!$A$8:$A$907,C107,PARÂMETROS!$G$8:$G$907,J107),SUMIFS(PARÂMETROS!$E$8:$E$907,PARÂMETROS!$A$8:$A$907,C107,PARÂMETROS!$G$8:$G$907,J107))</f>
        <v/>
      </c>
      <c r="E107" s="84">
        <f>SUMIFS(SETORES!$D:$D,SETORES!$A:$A,A107,SETORES!$F:$F,J107)</f>
        <v/>
      </c>
      <c r="F107" s="84">
        <f>IFERROR(D107*E107,0)</f>
        <v/>
      </c>
      <c r="G107" s="72">
        <f>SUMIFS(PARÂMETROS!$F$8:$F$907,PARÂMETROS!$A$8:$A$907,C107,PARÂMETROS!$G$8:$G$907,J107)</f>
        <v/>
      </c>
      <c r="H107" s="84">
        <f>IFERROR(F107*G107,0)</f>
        <v/>
      </c>
      <c r="I107" s="84">
        <f>F107+H107</f>
        <v/>
      </c>
      <c r="J107" s="74" t="inlineStr">
        <is>
          <t>Junho/2026</t>
        </is>
      </c>
    </row>
    <row r="108" hidden="1" ht="14.25" customHeight="1" s="64">
      <c r="A108" s="106" t="inlineStr">
        <is>
          <t>Retenção</t>
        </is>
      </c>
      <c r="B108" s="106">
        <f>INDEX(SETORES!$B:$B,MATCH(A108,SETORES!$A:$A,0))</f>
        <v/>
      </c>
      <c r="C108" s="106" t="inlineStr">
        <is>
          <t>Empresa Licenciada SOUZA E SILVA</t>
        </is>
      </c>
      <c r="D108" s="77">
        <f>IF(B108="Clientes",SUMIFS(PARÂMETROS!$D$8:$D$907,PARÂMETROS!$A$8:$A$907,C108,PARÂMETROS!$G$8:$G$907,J108),SUMIFS(PARÂMETROS!$E$8:$E$907,PARÂMETROS!$A$8:$A$907,C108,PARÂMETROS!$G$8:$G$907,J108))</f>
        <v/>
      </c>
      <c r="E108" s="109">
        <f>SUMIFS(SETORES!$D:$D,SETORES!$A:$A,A108,SETORES!$F:$F,J108)</f>
        <v/>
      </c>
      <c r="F108" s="109">
        <f>IFERROR(D108*E108,0)</f>
        <v/>
      </c>
      <c r="G108" s="77">
        <f>SUMIFS(PARÂMETROS!$F$8:$F$907,PARÂMETROS!$A$8:$A$907,C108,PARÂMETROS!$G$8:$G$907,J108)</f>
        <v/>
      </c>
      <c r="H108" s="109">
        <f>IFERROR(F108*G108,0)</f>
        <v/>
      </c>
      <c r="I108" s="109">
        <f>F108+H108</f>
        <v/>
      </c>
      <c r="J108" s="106" t="inlineStr">
        <is>
          <t>Junho/2026</t>
        </is>
      </c>
    </row>
    <row r="109" hidden="1" ht="14.25" customHeight="1" s="64">
      <c r="A109" s="74" t="inlineStr">
        <is>
          <t>Retenção</t>
        </is>
      </c>
      <c r="B109" s="83">
        <f>INDEX(SETORES!$B:$B,MATCH(A109,SETORES!$A:$A,0))</f>
        <v/>
      </c>
      <c r="C109" s="74" t="inlineStr">
        <is>
          <t>Empresa Licenciada VOICENET</t>
        </is>
      </c>
      <c r="D109" s="72">
        <f>IF(B109="Clientes",SUMIFS(PARÂMETROS!$D$8:$D$907,PARÂMETROS!$A$8:$A$907,C109,PARÂMETROS!$G$8:$G$907,J109),SUMIFS(PARÂMETROS!$E$8:$E$907,PARÂMETROS!$A$8:$A$907,C109,PARÂMETROS!$G$8:$G$907,J109))</f>
        <v/>
      </c>
      <c r="E109" s="84">
        <f>SUMIFS(SETORES!$D:$D,SETORES!$A:$A,A109,SETORES!$F:$F,J109)</f>
        <v/>
      </c>
      <c r="F109" s="84">
        <f>IFERROR(D109*E109,0)</f>
        <v/>
      </c>
      <c r="G109" s="72">
        <f>SUMIFS(PARÂMETROS!$F$8:$F$907,PARÂMETROS!$A$8:$A$907,C109,PARÂMETROS!$G$8:$G$907,J109)</f>
        <v/>
      </c>
      <c r="H109" s="84">
        <f>IFERROR(F109*G109,0)</f>
        <v/>
      </c>
      <c r="I109" s="84">
        <f>F109+H109</f>
        <v/>
      </c>
      <c r="J109" s="74" t="inlineStr">
        <is>
          <t>Junho/2026</t>
        </is>
      </c>
    </row>
    <row r="110" hidden="1" ht="14.25" customHeight="1" s="64">
      <c r="A110" s="106" t="inlineStr">
        <is>
          <t>Retenção</t>
        </is>
      </c>
      <c r="B110" s="106">
        <f>INDEX(SETORES!$B:$B,MATCH(A110,SETORES!$A:$A,0))</f>
        <v/>
      </c>
      <c r="C110" s="106" t="inlineStr">
        <is>
          <t>DTEL (uso próprio)</t>
        </is>
      </c>
      <c r="D110" s="77">
        <f>IF(B110="Clientes",SUMIFS(PARÂMETROS!$D$8:$D$907,PARÂMETROS!$A$8:$A$907,C110,PARÂMETROS!$G$8:$G$907,J110),SUMIFS(PARÂMETROS!$E$8:$E$907,PARÂMETROS!$A$8:$A$907,C110,PARÂMETROS!$G$8:$G$907,J110))</f>
        <v/>
      </c>
      <c r="E110" s="109">
        <f>SUMIFS(SETORES!$D:$D,SETORES!$A:$A,A110,SETORES!$F:$F,J110)</f>
        <v/>
      </c>
      <c r="F110" s="109">
        <f>IFERROR(D110*E110,0)</f>
        <v/>
      </c>
      <c r="G110" s="77">
        <f>SUMIFS(PARÂMETROS!$F$8:$F$907,PARÂMETROS!$A$8:$A$907,C110,PARÂMETROS!$G$8:$G$907,J110)</f>
        <v/>
      </c>
      <c r="H110" s="109">
        <f>IFERROR(F110*G110,0)</f>
        <v/>
      </c>
      <c r="I110" s="109">
        <f>F110+H110</f>
        <v/>
      </c>
      <c r="J110" s="106" t="inlineStr">
        <is>
          <t>Junho/2026</t>
        </is>
      </c>
    </row>
    <row r="111" hidden="1" ht="14.25" customHeight="1" s="64">
      <c r="A111" s="74" t="inlineStr">
        <is>
          <t>Contabilidade</t>
        </is>
      </c>
      <c r="B111" s="83">
        <f>INDEX(SETORES!$B:$B,MATCH(A111,SETORES!$A:$A,0))</f>
        <v/>
      </c>
      <c r="C111" s="74" t="inlineStr">
        <is>
          <t>Empresa Licenciada DX2</t>
        </is>
      </c>
      <c r="D111" s="72">
        <f>IF(B111="Clientes",SUMIFS(PARÂMETROS!$D$8:$D$907,PARÂMETROS!$A$8:$A$907,C111,PARÂMETROS!$G$8:$G$907,J111),SUMIFS(PARÂMETROS!$E$8:$E$907,PARÂMETROS!$A$8:$A$907,C111,PARÂMETROS!$G$8:$G$907,J111))</f>
        <v/>
      </c>
      <c r="E111" s="84">
        <f>SUMIFS(SETORES!$D:$D,SETORES!$A:$A,A111,SETORES!$F:$F,J111)</f>
        <v/>
      </c>
      <c r="F111" s="84">
        <f>IFERROR(D111*E111,0)</f>
        <v/>
      </c>
      <c r="G111" s="72">
        <f>SUMIFS(PARÂMETROS!$F$8:$F$907,PARÂMETROS!$A$8:$A$907,C111,PARÂMETROS!$G$8:$G$907,J111)</f>
        <v/>
      </c>
      <c r="H111" s="84">
        <f>IFERROR(F111*G111,0)</f>
        <v/>
      </c>
      <c r="I111" s="84">
        <f>F111+H111</f>
        <v/>
      </c>
      <c r="J111" s="74" t="inlineStr">
        <is>
          <t>Junho/2026</t>
        </is>
      </c>
    </row>
    <row r="112" hidden="1" ht="14.25" customHeight="1" s="64">
      <c r="A112" s="106" t="inlineStr">
        <is>
          <t>Contabilidade</t>
        </is>
      </c>
      <c r="B112" s="106">
        <f>INDEX(SETORES!$B:$B,MATCH(A112,SETORES!$A:$A,0))</f>
        <v/>
      </c>
      <c r="C112" s="106" t="inlineStr">
        <is>
          <t>Empresa Licenciada H&amp;A</t>
        </is>
      </c>
      <c r="D112" s="77">
        <f>IF(B112="Clientes",SUMIFS(PARÂMETROS!$D$8:$D$907,PARÂMETROS!$A$8:$A$907,C112,PARÂMETROS!$G$8:$G$907,J112),SUMIFS(PARÂMETROS!$E$8:$E$907,PARÂMETROS!$A$8:$A$907,C112,PARÂMETROS!$G$8:$G$907,J112))</f>
        <v/>
      </c>
      <c r="E112" s="109">
        <f>SUMIFS(SETORES!$D:$D,SETORES!$A:$A,A112,SETORES!$F:$F,J112)</f>
        <v/>
      </c>
      <c r="F112" s="109">
        <f>IFERROR(D112*E112,0)</f>
        <v/>
      </c>
      <c r="G112" s="77">
        <f>SUMIFS(PARÂMETROS!$F$8:$F$907,PARÂMETROS!$A$8:$A$907,C112,PARÂMETROS!$G$8:$G$907,J112)</f>
        <v/>
      </c>
      <c r="H112" s="109">
        <f>IFERROR(F112*G112,0)</f>
        <v/>
      </c>
      <c r="I112" s="109">
        <f>F112+H112</f>
        <v/>
      </c>
      <c r="J112" s="106" t="inlineStr">
        <is>
          <t>Junho/2026</t>
        </is>
      </c>
    </row>
    <row r="113" hidden="1" ht="14.25" customHeight="1" s="64">
      <c r="A113" s="74" t="inlineStr">
        <is>
          <t>Contabilidade</t>
        </is>
      </c>
      <c r="B113" s="83">
        <f>INDEX(SETORES!$B:$B,MATCH(A113,SETORES!$A:$A,0))</f>
        <v/>
      </c>
      <c r="C113" s="74" t="inlineStr">
        <is>
          <t>Empresa Licenciada SOLON ARAUJO</t>
        </is>
      </c>
      <c r="D113" s="72">
        <f>IF(B113="Clientes",SUMIFS(PARÂMETROS!$D$8:$D$907,PARÂMETROS!$A$8:$A$907,C113,PARÂMETROS!$G$8:$G$907,J113),SUMIFS(PARÂMETROS!$E$8:$E$907,PARÂMETROS!$A$8:$A$907,C113,PARÂMETROS!$G$8:$G$907,J113))</f>
        <v/>
      </c>
      <c r="E113" s="84">
        <f>SUMIFS(SETORES!$D:$D,SETORES!$A:$A,A113,SETORES!$F:$F,J113)</f>
        <v/>
      </c>
      <c r="F113" s="84">
        <f>IFERROR(D113*E113,0)</f>
        <v/>
      </c>
      <c r="G113" s="72">
        <f>SUMIFS(PARÂMETROS!$F$8:$F$907,PARÂMETROS!$A$8:$A$907,C113,PARÂMETROS!$G$8:$G$907,J113)</f>
        <v/>
      </c>
      <c r="H113" s="84">
        <f>IFERROR(F113*G113,0)</f>
        <v/>
      </c>
      <c r="I113" s="84">
        <f>F113+H113</f>
        <v/>
      </c>
      <c r="J113" s="74" t="inlineStr">
        <is>
          <t>Junho/2026</t>
        </is>
      </c>
    </row>
    <row r="114" ht="14.25" customHeight="1" s="64">
      <c r="A114" s="106" t="inlineStr">
        <is>
          <t>Contabilidade</t>
        </is>
      </c>
      <c r="B114" s="106">
        <f>INDEX(SETORES!$B:$B,MATCH(A114,SETORES!$A:$A,0))</f>
        <v/>
      </c>
      <c r="C114" s="106" t="inlineStr">
        <is>
          <t>Empresa Licenciada SOARES E LINS</t>
        </is>
      </c>
      <c r="D114" s="77">
        <f>IF(B114="Clientes",SUMIFS(PARÂMETROS!$D$8:$D$907,PARÂMETROS!$A$8:$A$907,C114,PARÂMETROS!$G$8:$G$907,J114),SUMIFS(PARÂMETROS!$E$8:$E$907,PARÂMETROS!$A$8:$A$907,C114,PARÂMETROS!$G$8:$G$907,J114))</f>
        <v/>
      </c>
      <c r="E114" s="109">
        <f>SUMIFS(SETORES!$D:$D,SETORES!$A:$A,A114,SETORES!$F:$F,J114)</f>
        <v/>
      </c>
      <c r="F114" s="109">
        <f>IFERROR(D114*E114,0)</f>
        <v/>
      </c>
      <c r="G114" s="77">
        <f>SUMIFS(PARÂMETROS!$F$8:$F$907,PARÂMETROS!$A$8:$A$907,C114,PARÂMETROS!$G$8:$G$907,J114)</f>
        <v/>
      </c>
      <c r="H114" s="109">
        <f>IFERROR(F114*G114,0)</f>
        <v/>
      </c>
      <c r="I114" s="109">
        <f>F114+H114</f>
        <v/>
      </c>
      <c r="J114" s="106" t="inlineStr">
        <is>
          <t>Junho/2026</t>
        </is>
      </c>
    </row>
    <row r="115" hidden="1" ht="14.25" customHeight="1" s="64">
      <c r="A115" s="74" t="inlineStr">
        <is>
          <t>Contabilidade</t>
        </is>
      </c>
      <c r="B115" s="83">
        <f>INDEX(SETORES!$B:$B,MATCH(A115,SETORES!$A:$A,0))</f>
        <v/>
      </c>
      <c r="C115" s="74" t="inlineStr">
        <is>
          <t>Empresa Licenciada SOARES E SILVA</t>
        </is>
      </c>
      <c r="D115" s="72">
        <f>IF(B115="Clientes",SUMIFS(PARÂMETROS!$D$8:$D$907,PARÂMETROS!$A$8:$A$907,C115,PARÂMETROS!$G$8:$G$907,J115),SUMIFS(PARÂMETROS!$E$8:$E$907,PARÂMETROS!$A$8:$A$907,C115,PARÂMETROS!$G$8:$G$907,J115))</f>
        <v/>
      </c>
      <c r="E115" s="84">
        <f>SUMIFS(SETORES!$D:$D,SETORES!$A:$A,A115,SETORES!$F:$F,J115)</f>
        <v/>
      </c>
      <c r="F115" s="84">
        <f>IFERROR(D115*E115,0)</f>
        <v/>
      </c>
      <c r="G115" s="72">
        <f>SUMIFS(PARÂMETROS!$F$8:$F$907,PARÂMETROS!$A$8:$A$907,C115,PARÂMETROS!$G$8:$G$907,J115)</f>
        <v/>
      </c>
      <c r="H115" s="84">
        <f>IFERROR(F115*G115,0)</f>
        <v/>
      </c>
      <c r="I115" s="84">
        <f>F115+H115</f>
        <v/>
      </c>
      <c r="J115" s="74" t="inlineStr">
        <is>
          <t>Junho/2026</t>
        </is>
      </c>
    </row>
    <row r="116" hidden="1" ht="14.25" customHeight="1" s="64">
      <c r="A116" s="106" t="inlineStr">
        <is>
          <t>Contabilidade</t>
        </is>
      </c>
      <c r="B116" s="106">
        <f>INDEX(SETORES!$B:$B,MATCH(A116,SETORES!$A:$A,0))</f>
        <v/>
      </c>
      <c r="C116" s="106" t="inlineStr">
        <is>
          <t>Empresa Licenciada SOUZA E SILVA</t>
        </is>
      </c>
      <c r="D116" s="77">
        <f>IF(B116="Clientes",SUMIFS(PARÂMETROS!$D$8:$D$907,PARÂMETROS!$A$8:$A$907,C116,PARÂMETROS!$G$8:$G$907,J116),SUMIFS(PARÂMETROS!$E$8:$E$907,PARÂMETROS!$A$8:$A$907,C116,PARÂMETROS!$G$8:$G$907,J116))</f>
        <v/>
      </c>
      <c r="E116" s="109">
        <f>SUMIFS(SETORES!$D:$D,SETORES!$A:$A,A116,SETORES!$F:$F,J116)</f>
        <v/>
      </c>
      <c r="F116" s="109">
        <f>IFERROR(D116*E116,0)</f>
        <v/>
      </c>
      <c r="G116" s="77">
        <f>SUMIFS(PARÂMETROS!$F$8:$F$907,PARÂMETROS!$A$8:$A$907,C116,PARÂMETROS!$G$8:$G$907,J116)</f>
        <v/>
      </c>
      <c r="H116" s="109">
        <f>IFERROR(F116*G116,0)</f>
        <v/>
      </c>
      <c r="I116" s="109">
        <f>F116+H116</f>
        <v/>
      </c>
      <c r="J116" s="106" t="inlineStr">
        <is>
          <t>Junho/2026</t>
        </is>
      </c>
    </row>
    <row r="117" hidden="1" ht="14.25" customHeight="1" s="64">
      <c r="A117" s="74" t="inlineStr">
        <is>
          <t>Contabilidade</t>
        </is>
      </c>
      <c r="B117" s="83">
        <f>INDEX(SETORES!$B:$B,MATCH(A117,SETORES!$A:$A,0))</f>
        <v/>
      </c>
      <c r="C117" s="74" t="inlineStr">
        <is>
          <t>Empresa Licenciada VOICENET</t>
        </is>
      </c>
      <c r="D117" s="72">
        <f>IF(B117="Clientes",SUMIFS(PARÂMETROS!$D$8:$D$907,PARÂMETROS!$A$8:$A$907,C117,PARÂMETROS!$G$8:$G$907,J117),SUMIFS(PARÂMETROS!$E$8:$E$907,PARÂMETROS!$A$8:$A$907,C117,PARÂMETROS!$G$8:$G$907,J117))</f>
        <v/>
      </c>
      <c r="E117" s="84">
        <f>SUMIFS(SETORES!$D:$D,SETORES!$A:$A,A117,SETORES!$F:$F,J117)</f>
        <v/>
      </c>
      <c r="F117" s="84">
        <f>IFERROR(D117*E117,0)</f>
        <v/>
      </c>
      <c r="G117" s="72">
        <f>SUMIFS(PARÂMETROS!$F$8:$F$907,PARÂMETROS!$A$8:$A$907,C117,PARÂMETROS!$G$8:$G$907,J117)</f>
        <v/>
      </c>
      <c r="H117" s="84">
        <f>IFERROR(F117*G117,0)</f>
        <v/>
      </c>
      <c r="I117" s="84">
        <f>F117+H117</f>
        <v/>
      </c>
      <c r="J117" s="74" t="inlineStr">
        <is>
          <t>Junho/2026</t>
        </is>
      </c>
    </row>
    <row r="118" hidden="1" ht="14.25" customHeight="1" s="64">
      <c r="A118" s="106" t="inlineStr">
        <is>
          <t>Contabilidade</t>
        </is>
      </c>
      <c r="B118" s="106">
        <f>INDEX(SETORES!$B:$B,MATCH(A118,SETORES!$A:$A,0))</f>
        <v/>
      </c>
      <c r="C118" s="106" t="inlineStr">
        <is>
          <t>DTEL (uso próprio)</t>
        </is>
      </c>
      <c r="D118" s="77">
        <f>IF(B118="Clientes",SUMIFS(PARÂMETROS!$D$8:$D$907,PARÂMETROS!$A$8:$A$907,C118,PARÂMETROS!$G$8:$G$907,J118),SUMIFS(PARÂMETROS!$E$8:$E$907,PARÂMETROS!$A$8:$A$907,C118,PARÂMETROS!$G$8:$G$907,J118))</f>
        <v/>
      </c>
      <c r="E118" s="109">
        <f>SUMIFS(SETORES!$D:$D,SETORES!$A:$A,A118,SETORES!$F:$F,J118)</f>
        <v/>
      </c>
      <c r="F118" s="109">
        <f>IFERROR(D118*E118,0)</f>
        <v/>
      </c>
      <c r="G118" s="77">
        <f>SUMIFS(PARÂMETROS!$F$8:$F$907,PARÂMETROS!$A$8:$A$907,C118,PARÂMETROS!$G$8:$G$907,J118)</f>
        <v/>
      </c>
      <c r="H118" s="109">
        <f>IFERROR(F118*G118,0)</f>
        <v/>
      </c>
      <c r="I118" s="109">
        <f>F118+H118</f>
        <v/>
      </c>
      <c r="J118" s="106" t="inlineStr">
        <is>
          <t>Junho/2026</t>
        </is>
      </c>
    </row>
    <row r="119" hidden="1" ht="14.25" customHeight="1" s="64">
      <c r="A119" s="74" t="inlineStr">
        <is>
          <t>Controladoria</t>
        </is>
      </c>
      <c r="B119" s="83">
        <f>INDEX(SETORES!$B:$B,MATCH(A119,SETORES!$A:$A,0))</f>
        <v/>
      </c>
      <c r="C119" s="74" t="inlineStr">
        <is>
          <t>Empresa Licenciada DX2</t>
        </is>
      </c>
      <c r="D119" s="72">
        <f>IF(B119="Clientes",SUMIFS(PARÂMETROS!$D$8:$D$907,PARÂMETROS!$A$8:$A$907,C119,PARÂMETROS!$G$8:$G$907,J119),SUMIFS(PARÂMETROS!$E$8:$E$907,PARÂMETROS!$A$8:$A$907,C119,PARÂMETROS!$G$8:$G$907,J119))</f>
        <v/>
      </c>
      <c r="E119" s="84">
        <f>SUMIFS(SETORES!$D:$D,SETORES!$A:$A,A119,SETORES!$F:$F,J119)</f>
        <v/>
      </c>
      <c r="F119" s="84">
        <f>IFERROR(D119*E119,0)</f>
        <v/>
      </c>
      <c r="G119" s="72">
        <f>SUMIFS(PARÂMETROS!$F$8:$F$907,PARÂMETROS!$A$8:$A$907,C119,PARÂMETROS!$G$8:$G$907,J119)</f>
        <v/>
      </c>
      <c r="H119" s="84">
        <f>IFERROR(F119*G119,0)</f>
        <v/>
      </c>
      <c r="I119" s="84">
        <f>F119+H119</f>
        <v/>
      </c>
      <c r="J119" s="74" t="inlineStr">
        <is>
          <t>Junho/2026</t>
        </is>
      </c>
    </row>
    <row r="120" hidden="1" ht="14.25" customHeight="1" s="64">
      <c r="A120" s="106" t="inlineStr">
        <is>
          <t>Controladoria</t>
        </is>
      </c>
      <c r="B120" s="106">
        <f>INDEX(SETORES!$B:$B,MATCH(A120,SETORES!$A:$A,0))</f>
        <v/>
      </c>
      <c r="C120" s="106" t="inlineStr">
        <is>
          <t>Empresa Licenciada H&amp;A</t>
        </is>
      </c>
      <c r="D120" s="77">
        <f>IF(B120="Clientes",SUMIFS(PARÂMETROS!$D$8:$D$907,PARÂMETROS!$A$8:$A$907,C120,PARÂMETROS!$G$8:$G$907,J120),SUMIFS(PARÂMETROS!$E$8:$E$907,PARÂMETROS!$A$8:$A$907,C120,PARÂMETROS!$G$8:$G$907,J120))</f>
        <v/>
      </c>
      <c r="E120" s="109">
        <f>SUMIFS(SETORES!$D:$D,SETORES!$A:$A,A120,SETORES!$F:$F,J120)</f>
        <v/>
      </c>
      <c r="F120" s="109">
        <f>IFERROR(D120*E120,0)</f>
        <v/>
      </c>
      <c r="G120" s="77">
        <f>SUMIFS(PARÂMETROS!$F$8:$F$907,PARÂMETROS!$A$8:$A$907,C120,PARÂMETROS!$G$8:$G$907,J120)</f>
        <v/>
      </c>
      <c r="H120" s="109">
        <f>IFERROR(F120*G120,0)</f>
        <v/>
      </c>
      <c r="I120" s="109">
        <f>F120+H120</f>
        <v/>
      </c>
      <c r="J120" s="106" t="inlineStr">
        <is>
          <t>Junho/2026</t>
        </is>
      </c>
    </row>
    <row r="121" hidden="1" ht="14.25" customHeight="1" s="64">
      <c r="A121" s="74" t="inlineStr">
        <is>
          <t>Controladoria</t>
        </is>
      </c>
      <c r="B121" s="83">
        <f>INDEX(SETORES!$B:$B,MATCH(A121,SETORES!$A:$A,0))</f>
        <v/>
      </c>
      <c r="C121" s="74" t="inlineStr">
        <is>
          <t>Empresa Licenciada SOLON ARAUJO</t>
        </is>
      </c>
      <c r="D121" s="72">
        <f>IF(B121="Clientes",SUMIFS(PARÂMETROS!$D$8:$D$907,PARÂMETROS!$A$8:$A$907,C121,PARÂMETROS!$G$8:$G$907,J121),SUMIFS(PARÂMETROS!$E$8:$E$907,PARÂMETROS!$A$8:$A$907,C121,PARÂMETROS!$G$8:$G$907,J121))</f>
        <v/>
      </c>
      <c r="E121" s="84">
        <f>SUMIFS(SETORES!$D:$D,SETORES!$A:$A,A121,SETORES!$F:$F,J121)</f>
        <v/>
      </c>
      <c r="F121" s="84">
        <f>IFERROR(D121*E121,0)</f>
        <v/>
      </c>
      <c r="G121" s="72">
        <f>SUMIFS(PARÂMETROS!$F$8:$F$907,PARÂMETROS!$A$8:$A$907,C121,PARÂMETROS!$G$8:$G$907,J121)</f>
        <v/>
      </c>
      <c r="H121" s="84">
        <f>IFERROR(F121*G121,0)</f>
        <v/>
      </c>
      <c r="I121" s="84">
        <f>F121+H121</f>
        <v/>
      </c>
      <c r="J121" s="74" t="inlineStr">
        <is>
          <t>Junho/2026</t>
        </is>
      </c>
    </row>
    <row r="122" ht="14.25" customHeight="1" s="64">
      <c r="A122" s="106" t="inlineStr">
        <is>
          <t>Controladoria</t>
        </is>
      </c>
      <c r="B122" s="106">
        <f>INDEX(SETORES!$B:$B,MATCH(A122,SETORES!$A:$A,0))</f>
        <v/>
      </c>
      <c r="C122" s="106" t="inlineStr">
        <is>
          <t>Empresa Licenciada SOARES E LINS</t>
        </is>
      </c>
      <c r="D122" s="77">
        <f>IF(B122="Clientes",SUMIFS(PARÂMETROS!$D$8:$D$907,PARÂMETROS!$A$8:$A$907,C122,PARÂMETROS!$G$8:$G$907,J122),SUMIFS(PARÂMETROS!$E$8:$E$907,PARÂMETROS!$A$8:$A$907,C122,PARÂMETROS!$G$8:$G$907,J122))</f>
        <v/>
      </c>
      <c r="E122" s="109">
        <f>SUMIFS(SETORES!$D:$D,SETORES!$A:$A,A122,SETORES!$F:$F,J122)</f>
        <v/>
      </c>
      <c r="F122" s="109">
        <f>IFERROR(D122*E122,0)</f>
        <v/>
      </c>
      <c r="G122" s="77">
        <f>SUMIFS(PARÂMETROS!$F$8:$F$907,PARÂMETROS!$A$8:$A$907,C122,PARÂMETROS!$G$8:$G$907,J122)</f>
        <v/>
      </c>
      <c r="H122" s="109">
        <f>IFERROR(F122*G122,0)</f>
        <v/>
      </c>
      <c r="I122" s="109">
        <f>F122+H122</f>
        <v/>
      </c>
      <c r="J122" s="106" t="inlineStr">
        <is>
          <t>Junho/2026</t>
        </is>
      </c>
    </row>
    <row r="123" hidden="1" ht="14.25" customHeight="1" s="64">
      <c r="A123" s="74" t="inlineStr">
        <is>
          <t>Controladoria</t>
        </is>
      </c>
      <c r="B123" s="83">
        <f>INDEX(SETORES!$B:$B,MATCH(A123,SETORES!$A:$A,0))</f>
        <v/>
      </c>
      <c r="C123" s="74" t="inlineStr">
        <is>
          <t>Empresa Licenciada SOARES E SILVA</t>
        </is>
      </c>
      <c r="D123" s="72">
        <f>IF(B123="Clientes",SUMIFS(PARÂMETROS!$D$8:$D$907,PARÂMETROS!$A$8:$A$907,C123,PARÂMETROS!$G$8:$G$907,J123),SUMIFS(PARÂMETROS!$E$8:$E$907,PARÂMETROS!$A$8:$A$907,C123,PARÂMETROS!$G$8:$G$907,J123))</f>
        <v/>
      </c>
      <c r="E123" s="84">
        <f>SUMIFS(SETORES!$D:$D,SETORES!$A:$A,A123,SETORES!$F:$F,J123)</f>
        <v/>
      </c>
      <c r="F123" s="84">
        <f>IFERROR(D123*E123,0)</f>
        <v/>
      </c>
      <c r="G123" s="72">
        <f>SUMIFS(PARÂMETROS!$F$8:$F$907,PARÂMETROS!$A$8:$A$907,C123,PARÂMETROS!$G$8:$G$907,J123)</f>
        <v/>
      </c>
      <c r="H123" s="84">
        <f>IFERROR(F123*G123,0)</f>
        <v/>
      </c>
      <c r="I123" s="84">
        <f>F123+H123</f>
        <v/>
      </c>
      <c r="J123" s="74" t="inlineStr">
        <is>
          <t>Junho/2026</t>
        </is>
      </c>
    </row>
    <row r="124" hidden="1" ht="14.25" customHeight="1" s="64">
      <c r="A124" s="106" t="inlineStr">
        <is>
          <t>Controladoria</t>
        </is>
      </c>
      <c r="B124" s="106">
        <f>INDEX(SETORES!$B:$B,MATCH(A124,SETORES!$A:$A,0))</f>
        <v/>
      </c>
      <c r="C124" s="106" t="inlineStr">
        <is>
          <t>Empresa Licenciada SOUZA E SILVA</t>
        </is>
      </c>
      <c r="D124" s="77">
        <f>IF(B124="Clientes",SUMIFS(PARÂMETROS!$D$8:$D$907,PARÂMETROS!$A$8:$A$907,C124,PARÂMETROS!$G$8:$G$907,J124),SUMIFS(PARÂMETROS!$E$8:$E$907,PARÂMETROS!$A$8:$A$907,C124,PARÂMETROS!$G$8:$G$907,J124))</f>
        <v/>
      </c>
      <c r="E124" s="109">
        <f>SUMIFS(SETORES!$D:$D,SETORES!$A:$A,A124,SETORES!$F:$F,J124)</f>
        <v/>
      </c>
      <c r="F124" s="109">
        <f>IFERROR(D124*E124,0)</f>
        <v/>
      </c>
      <c r="G124" s="77">
        <f>SUMIFS(PARÂMETROS!$F$8:$F$907,PARÂMETROS!$A$8:$A$907,C124,PARÂMETROS!$G$8:$G$907,J124)</f>
        <v/>
      </c>
      <c r="H124" s="109">
        <f>IFERROR(F124*G124,0)</f>
        <v/>
      </c>
      <c r="I124" s="109">
        <f>F124+H124</f>
        <v/>
      </c>
      <c r="J124" s="106" t="inlineStr">
        <is>
          <t>Junho/2026</t>
        </is>
      </c>
    </row>
    <row r="125" hidden="1" ht="14.25" customHeight="1" s="64">
      <c r="A125" s="74" t="inlineStr">
        <is>
          <t>Controladoria</t>
        </is>
      </c>
      <c r="B125" s="83">
        <f>INDEX(SETORES!$B:$B,MATCH(A125,SETORES!$A:$A,0))</f>
        <v/>
      </c>
      <c r="C125" s="74" t="inlineStr">
        <is>
          <t>Empresa Licenciada VOICENET</t>
        </is>
      </c>
      <c r="D125" s="72">
        <f>IF(B125="Clientes",SUMIFS(PARÂMETROS!$D$8:$D$907,PARÂMETROS!$A$8:$A$907,C125,PARÂMETROS!$G$8:$G$907,J125),SUMIFS(PARÂMETROS!$E$8:$E$907,PARÂMETROS!$A$8:$A$907,C125,PARÂMETROS!$G$8:$G$907,J125))</f>
        <v/>
      </c>
      <c r="E125" s="84">
        <f>SUMIFS(SETORES!$D:$D,SETORES!$A:$A,A125,SETORES!$F:$F,J125)</f>
        <v/>
      </c>
      <c r="F125" s="84">
        <f>IFERROR(D125*E125,0)</f>
        <v/>
      </c>
      <c r="G125" s="72">
        <f>SUMIFS(PARÂMETROS!$F$8:$F$907,PARÂMETROS!$A$8:$A$907,C125,PARÂMETROS!$G$8:$G$907,J125)</f>
        <v/>
      </c>
      <c r="H125" s="84">
        <f>IFERROR(F125*G125,0)</f>
        <v/>
      </c>
      <c r="I125" s="84">
        <f>F125+H125</f>
        <v/>
      </c>
      <c r="J125" s="74" t="inlineStr">
        <is>
          <t>Junho/2026</t>
        </is>
      </c>
    </row>
    <row r="126" hidden="1" ht="14.25" customHeight="1" s="64">
      <c r="A126" s="106" t="inlineStr">
        <is>
          <t>Controladoria</t>
        </is>
      </c>
      <c r="B126" s="106">
        <f>INDEX(SETORES!$B:$B,MATCH(A126,SETORES!$A:$A,0))</f>
        <v/>
      </c>
      <c r="C126" s="106" t="inlineStr">
        <is>
          <t>DTEL (uso próprio)</t>
        </is>
      </c>
      <c r="D126" s="77">
        <f>IF(B126="Clientes",SUMIFS(PARÂMETROS!$D$8:$D$907,PARÂMETROS!$A$8:$A$907,C126,PARÂMETROS!$G$8:$G$907,J126),SUMIFS(PARÂMETROS!$E$8:$E$907,PARÂMETROS!$A$8:$A$907,C126,PARÂMETROS!$G$8:$G$907,J126))</f>
        <v/>
      </c>
      <c r="E126" s="109">
        <f>SUMIFS(SETORES!$D:$D,SETORES!$A:$A,A126,SETORES!$F:$F,J126)</f>
        <v/>
      </c>
      <c r="F126" s="109">
        <f>IFERROR(D126*E126,0)</f>
        <v/>
      </c>
      <c r="G126" s="77">
        <f>SUMIFS(PARÂMETROS!$F$8:$F$907,PARÂMETROS!$A$8:$A$907,C126,PARÂMETROS!$G$8:$G$907,J126)</f>
        <v/>
      </c>
      <c r="H126" s="109">
        <f>IFERROR(F126*G126,0)</f>
        <v/>
      </c>
      <c r="I126" s="109">
        <f>F126+H126</f>
        <v/>
      </c>
      <c r="J126" s="106" t="inlineStr">
        <is>
          <t>Junho/2026</t>
        </is>
      </c>
    </row>
    <row r="127" hidden="1" ht="14.25" customHeight="1" s="64">
      <c r="A127" s="74" t="inlineStr">
        <is>
          <t>Diretoria Operacional</t>
        </is>
      </c>
      <c r="B127" s="83">
        <f>INDEX(SETORES!$B:$B,MATCH(A127,SETORES!$A:$A,0))</f>
        <v/>
      </c>
      <c r="C127" s="74" t="inlineStr">
        <is>
          <t>Empresa Licenciada DX2</t>
        </is>
      </c>
      <c r="D127" s="72">
        <f>IF(B127="Clientes",SUMIFS(PARÂMETROS!$D$8:$D$907,PARÂMETROS!$A$8:$A$907,C127,PARÂMETROS!$G$8:$G$907,J127),SUMIFS(PARÂMETROS!$E$8:$E$907,PARÂMETROS!$A$8:$A$907,C127,PARÂMETROS!$G$8:$G$907,J127))</f>
        <v/>
      </c>
      <c r="E127" s="84">
        <f>SUMIFS(SETORES!$D:$D,SETORES!$A:$A,A127,SETORES!$F:$F,J127)</f>
        <v/>
      </c>
      <c r="F127" s="84">
        <f>IFERROR(D127*E127,0)</f>
        <v/>
      </c>
      <c r="G127" s="72">
        <f>SUMIFS(PARÂMETROS!$F$8:$F$907,PARÂMETROS!$A$8:$A$907,C127,PARÂMETROS!$G$8:$G$907,J127)</f>
        <v/>
      </c>
      <c r="H127" s="84">
        <f>IFERROR(F127*G127,0)</f>
        <v/>
      </c>
      <c r="I127" s="84">
        <f>F127+H127</f>
        <v/>
      </c>
      <c r="J127" s="74" t="inlineStr">
        <is>
          <t>Junho/2026</t>
        </is>
      </c>
    </row>
    <row r="128" hidden="1" ht="14.25" customHeight="1" s="64">
      <c r="A128" s="106" t="inlineStr">
        <is>
          <t>Diretoria Operacional</t>
        </is>
      </c>
      <c r="B128" s="106">
        <f>INDEX(SETORES!$B:$B,MATCH(A128,SETORES!$A:$A,0))</f>
        <v/>
      </c>
      <c r="C128" s="106" t="inlineStr">
        <is>
          <t>Empresa Licenciada H&amp;A</t>
        </is>
      </c>
      <c r="D128" s="77">
        <f>IF(B128="Clientes",SUMIFS(PARÂMETROS!$D$8:$D$907,PARÂMETROS!$A$8:$A$907,C128,PARÂMETROS!$G$8:$G$907,J128),SUMIFS(PARÂMETROS!$E$8:$E$907,PARÂMETROS!$A$8:$A$907,C128,PARÂMETROS!$G$8:$G$907,J128))</f>
        <v/>
      </c>
      <c r="E128" s="109">
        <f>SUMIFS(SETORES!$D:$D,SETORES!$A:$A,A128,SETORES!$F:$F,J128)</f>
        <v/>
      </c>
      <c r="F128" s="109">
        <f>IFERROR(D128*E128,0)</f>
        <v/>
      </c>
      <c r="G128" s="77">
        <f>SUMIFS(PARÂMETROS!$F$8:$F$907,PARÂMETROS!$A$8:$A$907,C128,PARÂMETROS!$G$8:$G$907,J128)</f>
        <v/>
      </c>
      <c r="H128" s="109">
        <f>IFERROR(F128*G128,0)</f>
        <v/>
      </c>
      <c r="I128" s="109">
        <f>F128+H128</f>
        <v/>
      </c>
      <c r="J128" s="106" t="inlineStr">
        <is>
          <t>Junho/2026</t>
        </is>
      </c>
    </row>
    <row r="129" hidden="1" ht="14.25" customHeight="1" s="64">
      <c r="A129" s="74" t="inlineStr">
        <is>
          <t>Diretoria Operacional</t>
        </is>
      </c>
      <c r="B129" s="83">
        <f>INDEX(SETORES!$B:$B,MATCH(A129,SETORES!$A:$A,0))</f>
        <v/>
      </c>
      <c r="C129" s="74" t="inlineStr">
        <is>
          <t>Empresa Licenciada SOLON ARAUJO</t>
        </is>
      </c>
      <c r="D129" s="72">
        <f>IF(B129="Clientes",SUMIFS(PARÂMETROS!$D$8:$D$907,PARÂMETROS!$A$8:$A$907,C129,PARÂMETROS!$G$8:$G$907,J129),SUMIFS(PARÂMETROS!$E$8:$E$907,PARÂMETROS!$A$8:$A$907,C129,PARÂMETROS!$G$8:$G$907,J129))</f>
        <v/>
      </c>
      <c r="E129" s="84">
        <f>SUMIFS(SETORES!$D:$D,SETORES!$A:$A,A129,SETORES!$F:$F,J129)</f>
        <v/>
      </c>
      <c r="F129" s="84">
        <f>IFERROR(D129*E129,0)</f>
        <v/>
      </c>
      <c r="G129" s="72">
        <f>SUMIFS(PARÂMETROS!$F$8:$F$907,PARÂMETROS!$A$8:$A$907,C129,PARÂMETROS!$G$8:$G$907,J129)</f>
        <v/>
      </c>
      <c r="H129" s="84">
        <f>IFERROR(F129*G129,0)</f>
        <v/>
      </c>
      <c r="I129" s="84">
        <f>F129+H129</f>
        <v/>
      </c>
      <c r="J129" s="74" t="inlineStr">
        <is>
          <t>Junho/2026</t>
        </is>
      </c>
    </row>
    <row r="130" ht="14.25" customHeight="1" s="64">
      <c r="A130" s="106" t="inlineStr">
        <is>
          <t>Diretoria Operacional</t>
        </is>
      </c>
      <c r="B130" s="106">
        <f>INDEX(SETORES!$B:$B,MATCH(A130,SETORES!$A:$A,0))</f>
        <v/>
      </c>
      <c r="C130" s="106" t="inlineStr">
        <is>
          <t>Empresa Licenciada SOARES E LINS</t>
        </is>
      </c>
      <c r="D130" s="77">
        <f>IF(B130="Clientes",SUMIFS(PARÂMETROS!$D$8:$D$907,PARÂMETROS!$A$8:$A$907,C130,PARÂMETROS!$G$8:$G$907,J130),SUMIFS(PARÂMETROS!$E$8:$E$907,PARÂMETROS!$A$8:$A$907,C130,PARÂMETROS!$G$8:$G$907,J130))</f>
        <v/>
      </c>
      <c r="E130" s="109">
        <f>SUMIFS(SETORES!$D:$D,SETORES!$A:$A,A130,SETORES!$F:$F,J130)</f>
        <v/>
      </c>
      <c r="F130" s="109">
        <f>IFERROR(D130*E130,0)</f>
        <v/>
      </c>
      <c r="G130" s="77">
        <f>SUMIFS(PARÂMETROS!$F$8:$F$907,PARÂMETROS!$A$8:$A$907,C130,PARÂMETROS!$G$8:$G$907,J130)</f>
        <v/>
      </c>
      <c r="H130" s="109">
        <f>IFERROR(F130*G130,0)</f>
        <v/>
      </c>
      <c r="I130" s="109">
        <f>F130+H130</f>
        <v/>
      </c>
      <c r="J130" s="106" t="inlineStr">
        <is>
          <t>Junho/2026</t>
        </is>
      </c>
    </row>
    <row r="131" hidden="1" ht="14.25" customHeight="1" s="64">
      <c r="A131" s="74" t="inlineStr">
        <is>
          <t>Diretoria Operacional</t>
        </is>
      </c>
      <c r="B131" s="83">
        <f>INDEX(SETORES!$B:$B,MATCH(A131,SETORES!$A:$A,0))</f>
        <v/>
      </c>
      <c r="C131" s="74" t="inlineStr">
        <is>
          <t>Empresa Licenciada SOARES E SILVA</t>
        </is>
      </c>
      <c r="D131" s="72">
        <f>IF(B131="Clientes",SUMIFS(PARÂMETROS!$D$8:$D$907,PARÂMETROS!$A$8:$A$907,C131,PARÂMETROS!$G$8:$G$907,J131),SUMIFS(PARÂMETROS!$E$8:$E$907,PARÂMETROS!$A$8:$A$907,C131,PARÂMETROS!$G$8:$G$907,J131))</f>
        <v/>
      </c>
      <c r="E131" s="84">
        <f>SUMIFS(SETORES!$D:$D,SETORES!$A:$A,A131,SETORES!$F:$F,J131)</f>
        <v/>
      </c>
      <c r="F131" s="84">
        <f>IFERROR(D131*E131,0)</f>
        <v/>
      </c>
      <c r="G131" s="72">
        <f>SUMIFS(PARÂMETROS!$F$8:$F$907,PARÂMETROS!$A$8:$A$907,C131,PARÂMETROS!$G$8:$G$907,J131)</f>
        <v/>
      </c>
      <c r="H131" s="84">
        <f>IFERROR(F131*G131,0)</f>
        <v/>
      </c>
      <c r="I131" s="84">
        <f>F131+H131</f>
        <v/>
      </c>
      <c r="J131" s="74" t="inlineStr">
        <is>
          <t>Junho/2026</t>
        </is>
      </c>
    </row>
    <row r="132" hidden="1" ht="14.25" customHeight="1" s="64">
      <c r="A132" s="106" t="inlineStr">
        <is>
          <t>Diretoria Operacional</t>
        </is>
      </c>
      <c r="B132" s="106">
        <f>INDEX(SETORES!$B:$B,MATCH(A132,SETORES!$A:$A,0))</f>
        <v/>
      </c>
      <c r="C132" s="106" t="inlineStr">
        <is>
          <t>Empresa Licenciada SOUZA E SILVA</t>
        </is>
      </c>
      <c r="D132" s="77">
        <f>IF(B132="Clientes",SUMIFS(PARÂMETROS!$D$8:$D$907,PARÂMETROS!$A$8:$A$907,C132,PARÂMETROS!$G$8:$G$907,J132),SUMIFS(PARÂMETROS!$E$8:$E$907,PARÂMETROS!$A$8:$A$907,C132,PARÂMETROS!$G$8:$G$907,J132))</f>
        <v/>
      </c>
      <c r="E132" s="109">
        <f>SUMIFS(SETORES!$D:$D,SETORES!$A:$A,A132,SETORES!$F:$F,J132)</f>
        <v/>
      </c>
      <c r="F132" s="109">
        <f>IFERROR(D132*E132,0)</f>
        <v/>
      </c>
      <c r="G132" s="77">
        <f>SUMIFS(PARÂMETROS!$F$8:$F$907,PARÂMETROS!$A$8:$A$907,C132,PARÂMETROS!$G$8:$G$907,J132)</f>
        <v/>
      </c>
      <c r="H132" s="109">
        <f>IFERROR(F132*G132,0)</f>
        <v/>
      </c>
      <c r="I132" s="109">
        <f>F132+H132</f>
        <v/>
      </c>
      <c r="J132" s="106" t="inlineStr">
        <is>
          <t>Junho/2026</t>
        </is>
      </c>
    </row>
    <row r="133" hidden="1" ht="14.25" customHeight="1" s="64">
      <c r="A133" s="74" t="inlineStr">
        <is>
          <t>Diretoria Operacional</t>
        </is>
      </c>
      <c r="B133" s="83">
        <f>INDEX(SETORES!$B:$B,MATCH(A133,SETORES!$A:$A,0))</f>
        <v/>
      </c>
      <c r="C133" s="74" t="inlineStr">
        <is>
          <t>Empresa Licenciada VOICENET</t>
        </is>
      </c>
      <c r="D133" s="72">
        <f>IF(B133="Clientes",SUMIFS(PARÂMETROS!$D$8:$D$907,PARÂMETROS!$A$8:$A$907,C133,PARÂMETROS!$G$8:$G$907,J133),SUMIFS(PARÂMETROS!$E$8:$E$907,PARÂMETROS!$A$8:$A$907,C133,PARÂMETROS!$G$8:$G$907,J133))</f>
        <v/>
      </c>
      <c r="E133" s="84">
        <f>SUMIFS(SETORES!$D:$D,SETORES!$A:$A,A133,SETORES!$F:$F,J133)</f>
        <v/>
      </c>
      <c r="F133" s="84">
        <f>IFERROR(D133*E133,0)</f>
        <v/>
      </c>
      <c r="G133" s="72">
        <f>SUMIFS(PARÂMETROS!$F$8:$F$907,PARÂMETROS!$A$8:$A$907,C133,PARÂMETROS!$G$8:$G$907,J133)</f>
        <v/>
      </c>
      <c r="H133" s="84">
        <f>IFERROR(F133*G133,0)</f>
        <v/>
      </c>
      <c r="I133" s="84">
        <f>F133+H133</f>
        <v/>
      </c>
      <c r="J133" s="74" t="inlineStr">
        <is>
          <t>Junho/2026</t>
        </is>
      </c>
    </row>
    <row r="134" hidden="1" ht="14.25" customHeight="1" s="64">
      <c r="A134" s="106" t="inlineStr">
        <is>
          <t>Diretoria Operacional</t>
        </is>
      </c>
      <c r="B134" s="106">
        <f>INDEX(SETORES!$B:$B,MATCH(A134,SETORES!$A:$A,0))</f>
        <v/>
      </c>
      <c r="C134" s="106" t="inlineStr">
        <is>
          <t>DTEL (uso próprio)</t>
        </is>
      </c>
      <c r="D134" s="77">
        <f>IF(B134="Clientes",SUMIFS(PARÂMETROS!$D$8:$D$907,PARÂMETROS!$A$8:$A$907,C134,PARÂMETROS!$G$8:$G$907,J134),SUMIFS(PARÂMETROS!$E$8:$E$907,PARÂMETROS!$A$8:$A$907,C134,PARÂMETROS!$G$8:$G$907,J134))</f>
        <v/>
      </c>
      <c r="E134" s="109">
        <f>SUMIFS(SETORES!$D:$D,SETORES!$A:$A,A134,SETORES!$F:$F,J134)</f>
        <v/>
      </c>
      <c r="F134" s="109">
        <f>IFERROR(D134*E134,0)</f>
        <v/>
      </c>
      <c r="G134" s="77">
        <f>SUMIFS(PARÂMETROS!$F$8:$F$907,PARÂMETROS!$A$8:$A$907,C134,PARÂMETROS!$G$8:$G$907,J134)</f>
        <v/>
      </c>
      <c r="H134" s="109">
        <f>IFERROR(F134*G134,0)</f>
        <v/>
      </c>
      <c r="I134" s="109">
        <f>F134+H134</f>
        <v/>
      </c>
      <c r="J134" s="106" t="inlineStr">
        <is>
          <t>Junho/2026</t>
        </is>
      </c>
    </row>
    <row r="135" hidden="1" ht="14.25" customHeight="1" s="64">
      <c r="A135" s="74" t="inlineStr">
        <is>
          <t>Compras</t>
        </is>
      </c>
      <c r="B135" s="83">
        <f>INDEX(SETORES!$B:$B,MATCH(A135,SETORES!$A:$A,0))</f>
        <v/>
      </c>
      <c r="C135" s="74" t="inlineStr">
        <is>
          <t>Empresa Licenciada DX2</t>
        </is>
      </c>
      <c r="D135" s="72">
        <f>IF(B135="Clientes",SUMIFS(PARÂMETROS!$D$8:$D$907,PARÂMETROS!$A$8:$A$907,C135,PARÂMETROS!$G$8:$G$907,J135),SUMIFS(PARÂMETROS!$E$8:$E$907,PARÂMETROS!$A$8:$A$907,C135,PARÂMETROS!$G$8:$G$907,J135))</f>
        <v/>
      </c>
      <c r="E135" s="84">
        <f>SUMIFS(SETORES!$D:$D,SETORES!$A:$A,A135,SETORES!$F:$F,J135)</f>
        <v/>
      </c>
      <c r="F135" s="84">
        <f>IFERROR(D135*E135,0)</f>
        <v/>
      </c>
      <c r="G135" s="72">
        <f>SUMIFS(PARÂMETROS!$F$8:$F$907,PARÂMETROS!$A$8:$A$907,C135,PARÂMETROS!$G$8:$G$907,J135)</f>
        <v/>
      </c>
      <c r="H135" s="84">
        <f>IFERROR(F135*G135,0)</f>
        <v/>
      </c>
      <c r="I135" s="84">
        <f>F135+H135</f>
        <v/>
      </c>
      <c r="J135" s="74" t="inlineStr">
        <is>
          <t>Junho/2026</t>
        </is>
      </c>
    </row>
    <row r="136" hidden="1" ht="14.25" customHeight="1" s="64">
      <c r="A136" s="106" t="inlineStr">
        <is>
          <t>Compras</t>
        </is>
      </c>
      <c r="B136" s="106">
        <f>INDEX(SETORES!$B:$B,MATCH(A136,SETORES!$A:$A,0))</f>
        <v/>
      </c>
      <c r="C136" s="106" t="inlineStr">
        <is>
          <t>Empresa Licenciada H&amp;A</t>
        </is>
      </c>
      <c r="D136" s="77">
        <f>IF(B136="Clientes",SUMIFS(PARÂMETROS!$D$8:$D$907,PARÂMETROS!$A$8:$A$907,C136,PARÂMETROS!$G$8:$G$907,J136),SUMIFS(PARÂMETROS!$E$8:$E$907,PARÂMETROS!$A$8:$A$907,C136,PARÂMETROS!$G$8:$G$907,J136))</f>
        <v/>
      </c>
      <c r="E136" s="109">
        <f>SUMIFS(SETORES!$D:$D,SETORES!$A:$A,A136,SETORES!$F:$F,J136)</f>
        <v/>
      </c>
      <c r="F136" s="109">
        <f>IFERROR(D136*E136,0)</f>
        <v/>
      </c>
      <c r="G136" s="77">
        <f>SUMIFS(PARÂMETROS!$F$8:$F$907,PARÂMETROS!$A$8:$A$907,C136,PARÂMETROS!$G$8:$G$907,J136)</f>
        <v/>
      </c>
      <c r="H136" s="109">
        <f>IFERROR(F136*G136,0)</f>
        <v/>
      </c>
      <c r="I136" s="109">
        <f>F136+H136</f>
        <v/>
      </c>
      <c r="J136" s="106" t="inlineStr">
        <is>
          <t>Junho/2026</t>
        </is>
      </c>
    </row>
    <row r="137" hidden="1" ht="14.25" customHeight="1" s="64">
      <c r="A137" s="74" t="inlineStr">
        <is>
          <t>Compras</t>
        </is>
      </c>
      <c r="B137" s="83">
        <f>INDEX(SETORES!$B:$B,MATCH(A137,SETORES!$A:$A,0))</f>
        <v/>
      </c>
      <c r="C137" s="74" t="inlineStr">
        <is>
          <t>Empresa Licenciada SOLON ARAUJO</t>
        </is>
      </c>
      <c r="D137" s="72">
        <f>IF(B137="Clientes",SUMIFS(PARÂMETROS!$D$8:$D$907,PARÂMETROS!$A$8:$A$907,C137,PARÂMETROS!$G$8:$G$907,J137),SUMIFS(PARÂMETROS!$E$8:$E$907,PARÂMETROS!$A$8:$A$907,C137,PARÂMETROS!$G$8:$G$907,J137))</f>
        <v/>
      </c>
      <c r="E137" s="84">
        <f>SUMIFS(SETORES!$D:$D,SETORES!$A:$A,A137,SETORES!$F:$F,J137)</f>
        <v/>
      </c>
      <c r="F137" s="84">
        <f>IFERROR(D137*E137,0)</f>
        <v/>
      </c>
      <c r="G137" s="72">
        <f>SUMIFS(PARÂMETROS!$F$8:$F$907,PARÂMETROS!$A$8:$A$907,C137,PARÂMETROS!$G$8:$G$907,J137)</f>
        <v/>
      </c>
      <c r="H137" s="84">
        <f>IFERROR(F137*G137,0)</f>
        <v/>
      </c>
      <c r="I137" s="84">
        <f>F137+H137</f>
        <v/>
      </c>
      <c r="J137" s="74" t="inlineStr">
        <is>
          <t>Junho/2026</t>
        </is>
      </c>
    </row>
    <row r="138" ht="14.25" customHeight="1" s="64">
      <c r="A138" s="106" t="inlineStr">
        <is>
          <t>Compras</t>
        </is>
      </c>
      <c r="B138" s="106">
        <f>INDEX(SETORES!$B:$B,MATCH(A138,SETORES!$A:$A,0))</f>
        <v/>
      </c>
      <c r="C138" s="106" t="inlineStr">
        <is>
          <t>Empresa Licenciada SOARES E LINS</t>
        </is>
      </c>
      <c r="D138" s="77">
        <f>IF(B138="Clientes",SUMIFS(PARÂMETROS!$D$8:$D$907,PARÂMETROS!$A$8:$A$907,C138,PARÂMETROS!$G$8:$G$907,J138),SUMIFS(PARÂMETROS!$E$8:$E$907,PARÂMETROS!$A$8:$A$907,C138,PARÂMETROS!$G$8:$G$907,J138))</f>
        <v/>
      </c>
      <c r="E138" s="109">
        <f>SUMIFS(SETORES!$D:$D,SETORES!$A:$A,A138,SETORES!$F:$F,J138)</f>
        <v/>
      </c>
      <c r="F138" s="109">
        <f>IFERROR(D138*E138,0)</f>
        <v/>
      </c>
      <c r="G138" s="77">
        <f>SUMIFS(PARÂMETROS!$F$8:$F$907,PARÂMETROS!$A$8:$A$907,C138,PARÂMETROS!$G$8:$G$907,J138)</f>
        <v/>
      </c>
      <c r="H138" s="109">
        <f>IFERROR(F138*G138,0)</f>
        <v/>
      </c>
      <c r="I138" s="109">
        <f>F138+H138</f>
        <v/>
      </c>
      <c r="J138" s="106" t="inlineStr">
        <is>
          <t>Junho/2026</t>
        </is>
      </c>
    </row>
    <row r="139" hidden="1" ht="14.25" customHeight="1" s="64">
      <c r="A139" s="74" t="inlineStr">
        <is>
          <t>Compras</t>
        </is>
      </c>
      <c r="B139" s="83">
        <f>INDEX(SETORES!$B:$B,MATCH(A139,SETORES!$A:$A,0))</f>
        <v/>
      </c>
      <c r="C139" s="74" t="inlineStr">
        <is>
          <t>Empresa Licenciada SOARES E SILVA</t>
        </is>
      </c>
      <c r="D139" s="72">
        <f>IF(B139="Clientes",SUMIFS(PARÂMETROS!$D$8:$D$907,PARÂMETROS!$A$8:$A$907,C139,PARÂMETROS!$G$8:$G$907,J139),SUMIFS(PARÂMETROS!$E$8:$E$907,PARÂMETROS!$A$8:$A$907,C139,PARÂMETROS!$G$8:$G$907,J139))</f>
        <v/>
      </c>
      <c r="E139" s="84">
        <f>SUMIFS(SETORES!$D:$D,SETORES!$A:$A,A139,SETORES!$F:$F,J139)</f>
        <v/>
      </c>
      <c r="F139" s="84">
        <f>IFERROR(D139*E139,0)</f>
        <v/>
      </c>
      <c r="G139" s="72">
        <f>SUMIFS(PARÂMETROS!$F$8:$F$907,PARÂMETROS!$A$8:$A$907,C139,PARÂMETROS!$G$8:$G$907,J139)</f>
        <v/>
      </c>
      <c r="H139" s="84">
        <f>IFERROR(F139*G139,0)</f>
        <v/>
      </c>
      <c r="I139" s="84">
        <f>F139+H139</f>
        <v/>
      </c>
      <c r="J139" s="74" t="inlineStr">
        <is>
          <t>Junho/2026</t>
        </is>
      </c>
    </row>
    <row r="140" hidden="1" ht="14.25" customHeight="1" s="64">
      <c r="A140" s="106" t="inlineStr">
        <is>
          <t>Compras</t>
        </is>
      </c>
      <c r="B140" s="106">
        <f>INDEX(SETORES!$B:$B,MATCH(A140,SETORES!$A:$A,0))</f>
        <v/>
      </c>
      <c r="C140" s="106" t="inlineStr">
        <is>
          <t>Empresa Licenciada SOUZA E SILVA</t>
        </is>
      </c>
      <c r="D140" s="77">
        <f>IF(B140="Clientes",SUMIFS(PARÂMETROS!$D$8:$D$907,PARÂMETROS!$A$8:$A$907,C140,PARÂMETROS!$G$8:$G$907,J140),SUMIFS(PARÂMETROS!$E$8:$E$907,PARÂMETROS!$A$8:$A$907,C140,PARÂMETROS!$G$8:$G$907,J140))</f>
        <v/>
      </c>
      <c r="E140" s="109">
        <f>SUMIFS(SETORES!$D:$D,SETORES!$A:$A,A140,SETORES!$F:$F,J140)</f>
        <v/>
      </c>
      <c r="F140" s="109">
        <f>IFERROR(D140*E140,0)</f>
        <v/>
      </c>
      <c r="G140" s="77">
        <f>SUMIFS(PARÂMETROS!$F$8:$F$907,PARÂMETROS!$A$8:$A$907,C140,PARÂMETROS!$G$8:$G$907,J140)</f>
        <v/>
      </c>
      <c r="H140" s="109">
        <f>IFERROR(F140*G140,0)</f>
        <v/>
      </c>
      <c r="I140" s="109">
        <f>F140+H140</f>
        <v/>
      </c>
      <c r="J140" s="106" t="inlineStr">
        <is>
          <t>Junho/2026</t>
        </is>
      </c>
    </row>
    <row r="141" hidden="1" ht="14.25" customHeight="1" s="64">
      <c r="A141" s="74" t="inlineStr">
        <is>
          <t>Compras</t>
        </is>
      </c>
      <c r="B141" s="83">
        <f>INDEX(SETORES!$B:$B,MATCH(A141,SETORES!$A:$A,0))</f>
        <v/>
      </c>
      <c r="C141" s="74" t="inlineStr">
        <is>
          <t>Empresa Licenciada VOICENET</t>
        </is>
      </c>
      <c r="D141" s="72">
        <f>IF(B141="Clientes",SUMIFS(PARÂMETROS!$D$8:$D$907,PARÂMETROS!$A$8:$A$907,C141,PARÂMETROS!$G$8:$G$907,J141),SUMIFS(PARÂMETROS!$E$8:$E$907,PARÂMETROS!$A$8:$A$907,C141,PARÂMETROS!$G$8:$G$907,J141))</f>
        <v/>
      </c>
      <c r="E141" s="84">
        <f>SUMIFS(SETORES!$D:$D,SETORES!$A:$A,A141,SETORES!$F:$F,J141)</f>
        <v/>
      </c>
      <c r="F141" s="84">
        <f>IFERROR(D141*E141,0)</f>
        <v/>
      </c>
      <c r="G141" s="72">
        <f>SUMIFS(PARÂMETROS!$F$8:$F$907,PARÂMETROS!$A$8:$A$907,C141,PARÂMETROS!$G$8:$G$907,J141)</f>
        <v/>
      </c>
      <c r="H141" s="84">
        <f>IFERROR(F141*G141,0)</f>
        <v/>
      </c>
      <c r="I141" s="84">
        <f>F141+H141</f>
        <v/>
      </c>
      <c r="J141" s="74" t="inlineStr">
        <is>
          <t>Junho/2026</t>
        </is>
      </c>
    </row>
    <row r="142" hidden="1" ht="14.25" customHeight="1" s="64">
      <c r="A142" s="106" t="inlineStr">
        <is>
          <t>Compras</t>
        </is>
      </c>
      <c r="B142" s="106">
        <f>INDEX(SETORES!$B:$B,MATCH(A142,SETORES!$A:$A,0))</f>
        <v/>
      </c>
      <c r="C142" s="106" t="inlineStr">
        <is>
          <t>DTEL (uso próprio)</t>
        </is>
      </c>
      <c r="D142" s="77">
        <f>IF(B142="Clientes",SUMIFS(PARÂMETROS!$D$8:$D$907,PARÂMETROS!$A$8:$A$907,C142,PARÂMETROS!$G$8:$G$907,J142),SUMIFS(PARÂMETROS!$E$8:$E$907,PARÂMETROS!$A$8:$A$907,C142,PARÂMETROS!$G$8:$G$907,J142))</f>
        <v/>
      </c>
      <c r="E142" s="109">
        <f>SUMIFS(SETORES!$D:$D,SETORES!$A:$A,A142,SETORES!$F:$F,J142)</f>
        <v/>
      </c>
      <c r="F142" s="109">
        <f>IFERROR(D142*E142,0)</f>
        <v/>
      </c>
      <c r="G142" s="77">
        <f>SUMIFS(PARÂMETROS!$F$8:$F$907,PARÂMETROS!$A$8:$A$907,C142,PARÂMETROS!$G$8:$G$907,J142)</f>
        <v/>
      </c>
      <c r="H142" s="109">
        <f>IFERROR(F142*G142,0)</f>
        <v/>
      </c>
      <c r="I142" s="109">
        <f>F142+H142</f>
        <v/>
      </c>
      <c r="J142" s="106" t="inlineStr">
        <is>
          <t>Junho/2026</t>
        </is>
      </c>
    </row>
    <row r="143" hidden="1" ht="14.25" customHeight="1" s="64">
      <c r="A143" s="74" t="inlineStr">
        <is>
          <t>Segurança do Trabalho</t>
        </is>
      </c>
      <c r="B143" s="83">
        <f>INDEX(SETORES!$B:$B,MATCH(A143,SETORES!$A:$A,0))</f>
        <v/>
      </c>
      <c r="C143" s="74" t="inlineStr">
        <is>
          <t>Empresa Licenciada DX2</t>
        </is>
      </c>
      <c r="D143" s="72">
        <f>IF(B143="Clientes",SUMIFS(PARÂMETROS!$D$8:$D$907,PARÂMETROS!$A$8:$A$907,C143,PARÂMETROS!$G$8:$G$907,J143),SUMIFS(PARÂMETROS!$E$8:$E$907,PARÂMETROS!$A$8:$A$907,C143,PARÂMETROS!$G$8:$G$907,J143))</f>
        <v/>
      </c>
      <c r="E143" s="84">
        <f>SUMIFS(SETORES!$D:$D,SETORES!$A:$A,A143,SETORES!$F:$F,J143)</f>
        <v/>
      </c>
      <c r="F143" s="84">
        <f>IFERROR(D143*E143,0)</f>
        <v/>
      </c>
      <c r="G143" s="72">
        <f>SUMIFS(PARÂMETROS!$F$8:$F$907,PARÂMETROS!$A$8:$A$907,C143,PARÂMETROS!$G$8:$G$907,J143)</f>
        <v/>
      </c>
      <c r="H143" s="84">
        <f>IFERROR(F143*G143,0)</f>
        <v/>
      </c>
      <c r="I143" s="84">
        <f>F143+H143</f>
        <v/>
      </c>
      <c r="J143" s="74" t="inlineStr">
        <is>
          <t>Junho/2026</t>
        </is>
      </c>
    </row>
    <row r="144" hidden="1" ht="14.25" customHeight="1" s="64">
      <c r="A144" s="106" t="inlineStr">
        <is>
          <t>Segurança do Trabalho</t>
        </is>
      </c>
      <c r="B144" s="106">
        <f>INDEX(SETORES!$B:$B,MATCH(A144,SETORES!$A:$A,0))</f>
        <v/>
      </c>
      <c r="C144" s="106" t="inlineStr">
        <is>
          <t>Empresa Licenciada H&amp;A</t>
        </is>
      </c>
      <c r="D144" s="77">
        <f>IF(B144="Clientes",SUMIFS(PARÂMETROS!$D$8:$D$907,PARÂMETROS!$A$8:$A$907,C144,PARÂMETROS!$G$8:$G$907,J144),SUMIFS(PARÂMETROS!$E$8:$E$907,PARÂMETROS!$A$8:$A$907,C144,PARÂMETROS!$G$8:$G$907,J144))</f>
        <v/>
      </c>
      <c r="E144" s="109">
        <f>SUMIFS(SETORES!$D:$D,SETORES!$A:$A,A144,SETORES!$F:$F,J144)</f>
        <v/>
      </c>
      <c r="F144" s="109">
        <f>IFERROR(D144*E144,0)</f>
        <v/>
      </c>
      <c r="G144" s="77">
        <f>SUMIFS(PARÂMETROS!$F$8:$F$907,PARÂMETROS!$A$8:$A$907,C144,PARÂMETROS!$G$8:$G$907,J144)</f>
        <v/>
      </c>
      <c r="H144" s="109">
        <f>IFERROR(F144*G144,0)</f>
        <v/>
      </c>
      <c r="I144" s="109">
        <f>F144+H144</f>
        <v/>
      </c>
      <c r="J144" s="106" t="inlineStr">
        <is>
          <t>Junho/2026</t>
        </is>
      </c>
    </row>
    <row r="145" hidden="1" ht="14.25" customHeight="1" s="64">
      <c r="A145" s="74" t="inlineStr">
        <is>
          <t>Segurança do Trabalho</t>
        </is>
      </c>
      <c r="B145" s="83">
        <f>INDEX(SETORES!$B:$B,MATCH(A145,SETORES!$A:$A,0))</f>
        <v/>
      </c>
      <c r="C145" s="74" t="inlineStr">
        <is>
          <t>Empresa Licenciada SOLON ARAUJO</t>
        </is>
      </c>
      <c r="D145" s="72">
        <f>IF(B145="Clientes",SUMIFS(PARÂMETROS!$D$8:$D$907,PARÂMETROS!$A$8:$A$907,C145,PARÂMETROS!$G$8:$G$907,J145),SUMIFS(PARÂMETROS!$E$8:$E$907,PARÂMETROS!$A$8:$A$907,C145,PARÂMETROS!$G$8:$G$907,J145))</f>
        <v/>
      </c>
      <c r="E145" s="84">
        <f>SUMIFS(SETORES!$D:$D,SETORES!$A:$A,A145,SETORES!$F:$F,J145)</f>
        <v/>
      </c>
      <c r="F145" s="84">
        <f>IFERROR(D145*E145,0)</f>
        <v/>
      </c>
      <c r="G145" s="72">
        <f>SUMIFS(PARÂMETROS!$F$8:$F$907,PARÂMETROS!$A$8:$A$907,C145,PARÂMETROS!$G$8:$G$907,J145)</f>
        <v/>
      </c>
      <c r="H145" s="84">
        <f>IFERROR(F145*G145,0)</f>
        <v/>
      </c>
      <c r="I145" s="84">
        <f>F145+H145</f>
        <v/>
      </c>
      <c r="J145" s="74" t="inlineStr">
        <is>
          <t>Junho/2026</t>
        </is>
      </c>
    </row>
    <row r="146" ht="14.25" customHeight="1" s="64">
      <c r="A146" s="106" t="inlineStr">
        <is>
          <t>Segurança do Trabalho</t>
        </is>
      </c>
      <c r="B146" s="106">
        <f>INDEX(SETORES!$B:$B,MATCH(A146,SETORES!$A:$A,0))</f>
        <v/>
      </c>
      <c r="C146" s="106" t="inlineStr">
        <is>
          <t>Empresa Licenciada SOARES E LINS</t>
        </is>
      </c>
      <c r="D146" s="77">
        <f>IF(B146="Clientes",SUMIFS(PARÂMETROS!$D$8:$D$907,PARÂMETROS!$A$8:$A$907,C146,PARÂMETROS!$G$8:$G$907,J146),SUMIFS(PARÂMETROS!$E$8:$E$907,PARÂMETROS!$A$8:$A$907,C146,PARÂMETROS!$G$8:$G$907,J146))</f>
        <v/>
      </c>
      <c r="E146" s="109">
        <f>SUMIFS(SETORES!$D:$D,SETORES!$A:$A,A146,SETORES!$F:$F,J146)</f>
        <v/>
      </c>
      <c r="F146" s="109">
        <f>IFERROR(D146*E146,0)</f>
        <v/>
      </c>
      <c r="G146" s="77">
        <f>SUMIFS(PARÂMETROS!$F$8:$F$907,PARÂMETROS!$A$8:$A$907,C146,PARÂMETROS!$G$8:$G$907,J146)</f>
        <v/>
      </c>
      <c r="H146" s="109">
        <f>IFERROR(F146*G146,0)</f>
        <v/>
      </c>
      <c r="I146" s="109">
        <f>F146+H146</f>
        <v/>
      </c>
      <c r="J146" s="106" t="inlineStr">
        <is>
          <t>Junho/2026</t>
        </is>
      </c>
    </row>
    <row r="147" hidden="1" ht="14.25" customHeight="1" s="64">
      <c r="A147" s="74" t="inlineStr">
        <is>
          <t>Segurança do Trabalho</t>
        </is>
      </c>
      <c r="B147" s="83">
        <f>INDEX(SETORES!$B:$B,MATCH(A147,SETORES!$A:$A,0))</f>
        <v/>
      </c>
      <c r="C147" s="74" t="inlineStr">
        <is>
          <t>Empresa Licenciada SOARES E SILVA</t>
        </is>
      </c>
      <c r="D147" s="72">
        <f>IF(B147="Clientes",SUMIFS(PARÂMETROS!$D$8:$D$907,PARÂMETROS!$A$8:$A$907,C147,PARÂMETROS!$G$8:$G$907,J147),SUMIFS(PARÂMETROS!$E$8:$E$907,PARÂMETROS!$A$8:$A$907,C147,PARÂMETROS!$G$8:$G$907,J147))</f>
        <v/>
      </c>
      <c r="E147" s="84">
        <f>SUMIFS(SETORES!$D:$D,SETORES!$A:$A,A147,SETORES!$F:$F,J147)</f>
        <v/>
      </c>
      <c r="F147" s="84">
        <f>IFERROR(D147*E147,0)</f>
        <v/>
      </c>
      <c r="G147" s="72">
        <f>SUMIFS(PARÂMETROS!$F$8:$F$907,PARÂMETROS!$A$8:$A$907,C147,PARÂMETROS!$G$8:$G$907,J147)</f>
        <v/>
      </c>
      <c r="H147" s="84">
        <f>IFERROR(F147*G147,0)</f>
        <v/>
      </c>
      <c r="I147" s="84">
        <f>F147+H147</f>
        <v/>
      </c>
      <c r="J147" s="74" t="inlineStr">
        <is>
          <t>Junho/2026</t>
        </is>
      </c>
    </row>
    <row r="148" hidden="1" ht="14.25" customHeight="1" s="64">
      <c r="A148" s="106" t="inlineStr">
        <is>
          <t>Segurança do Trabalho</t>
        </is>
      </c>
      <c r="B148" s="106">
        <f>INDEX(SETORES!$B:$B,MATCH(A148,SETORES!$A:$A,0))</f>
        <v/>
      </c>
      <c r="C148" s="106" t="inlineStr">
        <is>
          <t>Empresa Licenciada SOUZA E SILVA</t>
        </is>
      </c>
      <c r="D148" s="77">
        <f>IF(B148="Clientes",SUMIFS(PARÂMETROS!$D$8:$D$907,PARÂMETROS!$A$8:$A$907,C148,PARÂMETROS!$G$8:$G$907,J148),SUMIFS(PARÂMETROS!$E$8:$E$907,PARÂMETROS!$A$8:$A$907,C148,PARÂMETROS!$G$8:$G$907,J148))</f>
        <v/>
      </c>
      <c r="E148" s="109">
        <f>SUMIFS(SETORES!$D:$D,SETORES!$A:$A,A148,SETORES!$F:$F,J148)</f>
        <v/>
      </c>
      <c r="F148" s="109">
        <f>IFERROR(D148*E148,0)</f>
        <v/>
      </c>
      <c r="G148" s="77">
        <f>SUMIFS(PARÂMETROS!$F$8:$F$907,PARÂMETROS!$A$8:$A$907,C148,PARÂMETROS!$G$8:$G$907,J148)</f>
        <v/>
      </c>
      <c r="H148" s="109">
        <f>IFERROR(F148*G148,0)</f>
        <v/>
      </c>
      <c r="I148" s="109">
        <f>F148+H148</f>
        <v/>
      </c>
      <c r="J148" s="106" t="inlineStr">
        <is>
          <t>Junho/2026</t>
        </is>
      </c>
    </row>
    <row r="149" hidden="1" ht="14.25" customHeight="1" s="64">
      <c r="A149" s="74" t="inlineStr">
        <is>
          <t>Segurança do Trabalho</t>
        </is>
      </c>
      <c r="B149" s="83">
        <f>INDEX(SETORES!$B:$B,MATCH(A149,SETORES!$A:$A,0))</f>
        <v/>
      </c>
      <c r="C149" s="74" t="inlineStr">
        <is>
          <t>Empresa Licenciada VOICENET</t>
        </is>
      </c>
      <c r="D149" s="72">
        <f>IF(B149="Clientes",SUMIFS(PARÂMETROS!$D$8:$D$907,PARÂMETROS!$A$8:$A$907,C149,PARÂMETROS!$G$8:$G$907,J149),SUMIFS(PARÂMETROS!$E$8:$E$907,PARÂMETROS!$A$8:$A$907,C149,PARÂMETROS!$G$8:$G$907,J149))</f>
        <v/>
      </c>
      <c r="E149" s="84">
        <f>SUMIFS(SETORES!$D:$D,SETORES!$A:$A,A149,SETORES!$F:$F,J149)</f>
        <v/>
      </c>
      <c r="F149" s="84">
        <f>IFERROR(D149*E149,0)</f>
        <v/>
      </c>
      <c r="G149" s="72">
        <f>SUMIFS(PARÂMETROS!$F$8:$F$907,PARÂMETROS!$A$8:$A$907,C149,PARÂMETROS!$G$8:$G$907,J149)</f>
        <v/>
      </c>
      <c r="H149" s="84">
        <f>IFERROR(F149*G149,0)</f>
        <v/>
      </c>
      <c r="I149" s="84">
        <f>F149+H149</f>
        <v/>
      </c>
      <c r="J149" s="74" t="inlineStr">
        <is>
          <t>Junho/2026</t>
        </is>
      </c>
    </row>
    <row r="150" hidden="1" ht="14.25" customHeight="1" s="64">
      <c r="A150" s="106" t="inlineStr">
        <is>
          <t>Segurança do Trabalho</t>
        </is>
      </c>
      <c r="B150" s="106">
        <f>INDEX(SETORES!$B:$B,MATCH(A150,SETORES!$A:$A,0))</f>
        <v/>
      </c>
      <c r="C150" s="106" t="inlineStr">
        <is>
          <t>DTEL (uso próprio)</t>
        </is>
      </c>
      <c r="D150" s="77">
        <f>IF(B150="Clientes",SUMIFS(PARÂMETROS!$D$8:$D$907,PARÂMETROS!$A$8:$A$907,C150,PARÂMETROS!$G$8:$G$907,J150),SUMIFS(PARÂMETROS!$E$8:$E$907,PARÂMETROS!$A$8:$A$907,C150,PARÂMETROS!$G$8:$G$907,J150))</f>
        <v/>
      </c>
      <c r="E150" s="109">
        <f>SUMIFS(SETORES!$D:$D,SETORES!$A:$A,A150,SETORES!$F:$F,J150)</f>
        <v/>
      </c>
      <c r="F150" s="109">
        <f>IFERROR(D150*E150,0)</f>
        <v/>
      </c>
      <c r="G150" s="77">
        <f>SUMIFS(PARÂMETROS!$F$8:$F$907,PARÂMETROS!$A$8:$A$907,C150,PARÂMETROS!$G$8:$G$907,J150)</f>
        <v/>
      </c>
      <c r="H150" s="109">
        <f>IFERROR(F150*G150,0)</f>
        <v/>
      </c>
      <c r="I150" s="109">
        <f>F150+H150</f>
        <v/>
      </c>
      <c r="J150" s="106" t="inlineStr">
        <is>
          <t>Junho/2026</t>
        </is>
      </c>
    </row>
    <row r="151" hidden="1" ht="14.25" customHeight="1" s="64">
      <c r="A151" s="74" t="inlineStr">
        <is>
          <t>Engenharia</t>
        </is>
      </c>
      <c r="B151" s="83">
        <f>INDEX(SETORES!$B:$B,MATCH(A151,SETORES!$A:$A,0))</f>
        <v/>
      </c>
      <c r="C151" s="74" t="inlineStr">
        <is>
          <t>Empresa Licenciada DX2</t>
        </is>
      </c>
      <c r="D151" s="72">
        <f>IF(B151="Clientes",SUMIFS(PARÂMETROS!$D$8:$D$907,PARÂMETROS!$A$8:$A$907,C151,PARÂMETROS!$G$8:$G$907,J151),SUMIFS(PARÂMETROS!$E$8:$E$907,PARÂMETROS!$A$8:$A$907,C151,PARÂMETROS!$G$8:$G$907,J151))</f>
        <v/>
      </c>
      <c r="E151" s="84">
        <f>SUMIFS(SETORES!$D:$D,SETORES!$A:$A,A151,SETORES!$F:$F,J151)</f>
        <v/>
      </c>
      <c r="F151" s="84">
        <f>IFERROR(D151*E151,0)</f>
        <v/>
      </c>
      <c r="G151" s="72">
        <f>SUMIFS(PARÂMETROS!$F$8:$F$907,PARÂMETROS!$A$8:$A$907,C151,PARÂMETROS!$G$8:$G$907,J151)</f>
        <v/>
      </c>
      <c r="H151" s="84">
        <f>IFERROR(F151*G151,0)</f>
        <v/>
      </c>
      <c r="I151" s="84">
        <f>F151+H151</f>
        <v/>
      </c>
      <c r="J151" s="74" t="inlineStr">
        <is>
          <t>Junho/2026</t>
        </is>
      </c>
    </row>
    <row r="152" hidden="1" ht="14.25" customHeight="1" s="64">
      <c r="A152" s="106" t="inlineStr">
        <is>
          <t>Engenharia</t>
        </is>
      </c>
      <c r="B152" s="106">
        <f>INDEX(SETORES!$B:$B,MATCH(A152,SETORES!$A:$A,0))</f>
        <v/>
      </c>
      <c r="C152" s="106" t="inlineStr">
        <is>
          <t>Empresa Licenciada H&amp;A</t>
        </is>
      </c>
      <c r="D152" s="77">
        <f>IF(B152="Clientes",SUMIFS(PARÂMETROS!$D$8:$D$907,PARÂMETROS!$A$8:$A$907,C152,PARÂMETROS!$G$8:$G$907,J152),SUMIFS(PARÂMETROS!$E$8:$E$907,PARÂMETROS!$A$8:$A$907,C152,PARÂMETROS!$G$8:$G$907,J152))</f>
        <v/>
      </c>
      <c r="E152" s="109">
        <f>SUMIFS(SETORES!$D:$D,SETORES!$A:$A,A152,SETORES!$F:$F,J152)</f>
        <v/>
      </c>
      <c r="F152" s="109">
        <f>IFERROR(D152*E152,0)</f>
        <v/>
      </c>
      <c r="G152" s="77">
        <f>SUMIFS(PARÂMETROS!$F$8:$F$907,PARÂMETROS!$A$8:$A$907,C152,PARÂMETROS!$G$8:$G$907,J152)</f>
        <v/>
      </c>
      <c r="H152" s="109">
        <f>IFERROR(F152*G152,0)</f>
        <v/>
      </c>
      <c r="I152" s="109">
        <f>F152+H152</f>
        <v/>
      </c>
      <c r="J152" s="106" t="inlineStr">
        <is>
          <t>Junho/2026</t>
        </is>
      </c>
    </row>
    <row r="153" hidden="1" ht="14.25" customHeight="1" s="64">
      <c r="A153" s="74" t="inlineStr">
        <is>
          <t>Engenharia</t>
        </is>
      </c>
      <c r="B153" s="83">
        <f>INDEX(SETORES!$B:$B,MATCH(A153,SETORES!$A:$A,0))</f>
        <v/>
      </c>
      <c r="C153" s="74" t="inlineStr">
        <is>
          <t>Empresa Licenciada SOLON ARAUJO</t>
        </is>
      </c>
      <c r="D153" s="72">
        <f>IF(B153="Clientes",SUMIFS(PARÂMETROS!$D$8:$D$907,PARÂMETROS!$A$8:$A$907,C153,PARÂMETROS!$G$8:$G$907,J153),SUMIFS(PARÂMETROS!$E$8:$E$907,PARÂMETROS!$A$8:$A$907,C153,PARÂMETROS!$G$8:$G$907,J153))</f>
        <v/>
      </c>
      <c r="E153" s="84">
        <f>SUMIFS(SETORES!$D:$D,SETORES!$A:$A,A153,SETORES!$F:$F,J153)</f>
        <v/>
      </c>
      <c r="F153" s="84">
        <f>IFERROR(D153*E153,0)</f>
        <v/>
      </c>
      <c r="G153" s="72">
        <f>SUMIFS(PARÂMETROS!$F$8:$F$907,PARÂMETROS!$A$8:$A$907,C153,PARÂMETROS!$G$8:$G$907,J153)</f>
        <v/>
      </c>
      <c r="H153" s="84">
        <f>IFERROR(F153*G153,0)</f>
        <v/>
      </c>
      <c r="I153" s="84">
        <f>F153+H153</f>
        <v/>
      </c>
      <c r="J153" s="74" t="inlineStr">
        <is>
          <t>Junho/2026</t>
        </is>
      </c>
    </row>
    <row r="154" ht="14.25" customHeight="1" s="64">
      <c r="A154" s="106" t="inlineStr">
        <is>
          <t>Engenharia</t>
        </is>
      </c>
      <c r="B154" s="106">
        <f>INDEX(SETORES!$B:$B,MATCH(A154,SETORES!$A:$A,0))</f>
        <v/>
      </c>
      <c r="C154" s="106" t="inlineStr">
        <is>
          <t>Empresa Licenciada SOARES E LINS</t>
        </is>
      </c>
      <c r="D154" s="77">
        <f>IF(B154="Clientes",SUMIFS(PARÂMETROS!$D$8:$D$907,PARÂMETROS!$A$8:$A$907,C154,PARÂMETROS!$G$8:$G$907,J154),SUMIFS(PARÂMETROS!$E$8:$E$907,PARÂMETROS!$A$8:$A$907,C154,PARÂMETROS!$G$8:$G$907,J154))</f>
        <v/>
      </c>
      <c r="E154" s="109">
        <f>SUMIFS(SETORES!$D:$D,SETORES!$A:$A,A154,SETORES!$F:$F,J154)</f>
        <v/>
      </c>
      <c r="F154" s="109">
        <f>IFERROR(D154*E154,0)</f>
        <v/>
      </c>
      <c r="G154" s="77">
        <f>SUMIFS(PARÂMETROS!$F$8:$F$907,PARÂMETROS!$A$8:$A$907,C154,PARÂMETROS!$G$8:$G$907,J154)</f>
        <v/>
      </c>
      <c r="H154" s="109">
        <f>IFERROR(F154*G154,0)</f>
        <v/>
      </c>
      <c r="I154" s="109">
        <f>F154+H154</f>
        <v/>
      </c>
      <c r="J154" s="106" t="inlineStr">
        <is>
          <t>Junho/2026</t>
        </is>
      </c>
    </row>
    <row r="155" hidden="1" ht="14.25" customHeight="1" s="64">
      <c r="A155" s="74" t="inlineStr">
        <is>
          <t>Engenharia</t>
        </is>
      </c>
      <c r="B155" s="83">
        <f>INDEX(SETORES!$B:$B,MATCH(A155,SETORES!$A:$A,0))</f>
        <v/>
      </c>
      <c r="C155" s="74" t="inlineStr">
        <is>
          <t>Empresa Licenciada SOARES E SILVA</t>
        </is>
      </c>
      <c r="D155" s="72">
        <f>IF(B155="Clientes",SUMIFS(PARÂMETROS!$D$8:$D$907,PARÂMETROS!$A$8:$A$907,C155,PARÂMETROS!$G$8:$G$907,J155),SUMIFS(PARÂMETROS!$E$8:$E$907,PARÂMETROS!$A$8:$A$907,C155,PARÂMETROS!$G$8:$G$907,J155))</f>
        <v/>
      </c>
      <c r="E155" s="84">
        <f>SUMIFS(SETORES!$D:$D,SETORES!$A:$A,A155,SETORES!$F:$F,J155)</f>
        <v/>
      </c>
      <c r="F155" s="84">
        <f>IFERROR(D155*E155,0)</f>
        <v/>
      </c>
      <c r="G155" s="72">
        <f>SUMIFS(PARÂMETROS!$F$8:$F$907,PARÂMETROS!$A$8:$A$907,C155,PARÂMETROS!$G$8:$G$907,J155)</f>
        <v/>
      </c>
      <c r="H155" s="84">
        <f>IFERROR(F155*G155,0)</f>
        <v/>
      </c>
      <c r="I155" s="84">
        <f>F155+H155</f>
        <v/>
      </c>
      <c r="J155" s="74" t="inlineStr">
        <is>
          <t>Junho/2026</t>
        </is>
      </c>
    </row>
    <row r="156" hidden="1" ht="14.25" customHeight="1" s="64">
      <c r="A156" s="106" t="inlineStr">
        <is>
          <t>Engenharia</t>
        </is>
      </c>
      <c r="B156" s="106">
        <f>INDEX(SETORES!$B:$B,MATCH(A156,SETORES!$A:$A,0))</f>
        <v/>
      </c>
      <c r="C156" s="106" t="inlineStr">
        <is>
          <t>Empresa Licenciada SOUZA E SILVA</t>
        </is>
      </c>
      <c r="D156" s="77">
        <f>IF(B156="Clientes",SUMIFS(PARÂMETROS!$D$8:$D$907,PARÂMETROS!$A$8:$A$907,C156,PARÂMETROS!$G$8:$G$907,J156),SUMIFS(PARÂMETROS!$E$8:$E$907,PARÂMETROS!$A$8:$A$907,C156,PARÂMETROS!$G$8:$G$907,J156))</f>
        <v/>
      </c>
      <c r="E156" s="109">
        <f>SUMIFS(SETORES!$D:$D,SETORES!$A:$A,A156,SETORES!$F:$F,J156)</f>
        <v/>
      </c>
      <c r="F156" s="109">
        <f>IFERROR(D156*E156,0)</f>
        <v/>
      </c>
      <c r="G156" s="77">
        <f>SUMIFS(PARÂMETROS!$F$8:$F$907,PARÂMETROS!$A$8:$A$907,C156,PARÂMETROS!$G$8:$G$907,J156)</f>
        <v/>
      </c>
      <c r="H156" s="109">
        <f>IFERROR(F156*G156,0)</f>
        <v/>
      </c>
      <c r="I156" s="109">
        <f>F156+H156</f>
        <v/>
      </c>
      <c r="J156" s="106" t="inlineStr">
        <is>
          <t>Junho/2026</t>
        </is>
      </c>
    </row>
    <row r="157" hidden="1" ht="14.25" customHeight="1" s="64">
      <c r="A157" s="74" t="inlineStr">
        <is>
          <t>Engenharia</t>
        </is>
      </c>
      <c r="B157" s="83">
        <f>INDEX(SETORES!$B:$B,MATCH(A157,SETORES!$A:$A,0))</f>
        <v/>
      </c>
      <c r="C157" s="74" t="inlineStr">
        <is>
          <t>Empresa Licenciada VOICENET</t>
        </is>
      </c>
      <c r="D157" s="72">
        <f>IF(B157="Clientes",SUMIFS(PARÂMETROS!$D$8:$D$907,PARÂMETROS!$A$8:$A$907,C157,PARÂMETROS!$G$8:$G$907,J157),SUMIFS(PARÂMETROS!$E$8:$E$907,PARÂMETROS!$A$8:$A$907,C157,PARÂMETROS!$G$8:$G$907,J157))</f>
        <v/>
      </c>
      <c r="E157" s="84">
        <f>SUMIFS(SETORES!$D:$D,SETORES!$A:$A,A157,SETORES!$F:$F,J157)</f>
        <v/>
      </c>
      <c r="F157" s="84">
        <f>IFERROR(D157*E157,0)</f>
        <v/>
      </c>
      <c r="G157" s="72">
        <f>SUMIFS(PARÂMETROS!$F$8:$F$907,PARÂMETROS!$A$8:$A$907,C157,PARÂMETROS!$G$8:$G$907,J157)</f>
        <v/>
      </c>
      <c r="H157" s="84">
        <f>IFERROR(F157*G157,0)</f>
        <v/>
      </c>
      <c r="I157" s="84">
        <f>F157+H157</f>
        <v/>
      </c>
      <c r="J157" s="74" t="inlineStr">
        <is>
          <t>Junho/2026</t>
        </is>
      </c>
    </row>
    <row r="158" hidden="1" ht="14.25" customHeight="1" s="64">
      <c r="A158" s="106" t="inlineStr">
        <is>
          <t>Engenharia</t>
        </is>
      </c>
      <c r="B158" s="106">
        <f>INDEX(SETORES!$B:$B,MATCH(A158,SETORES!$A:$A,0))</f>
        <v/>
      </c>
      <c r="C158" s="106" t="inlineStr">
        <is>
          <t>DTEL (uso próprio)</t>
        </is>
      </c>
      <c r="D158" s="77">
        <f>IF(B158="Clientes",SUMIFS(PARÂMETROS!$D$8:$D$907,PARÂMETROS!$A$8:$A$907,C158,PARÂMETROS!$G$8:$G$907,J158),SUMIFS(PARÂMETROS!$E$8:$E$907,PARÂMETROS!$A$8:$A$907,C158,PARÂMETROS!$G$8:$G$907,J158))</f>
        <v/>
      </c>
      <c r="E158" s="109">
        <f>SUMIFS(SETORES!$D:$D,SETORES!$A:$A,A158,SETORES!$F:$F,J158)</f>
        <v/>
      </c>
      <c r="F158" s="109">
        <f>IFERROR(D158*E158,0)</f>
        <v/>
      </c>
      <c r="G158" s="77">
        <f>SUMIFS(PARÂMETROS!$F$8:$F$907,PARÂMETROS!$A$8:$A$907,C158,PARÂMETROS!$G$8:$G$907,J158)</f>
        <v/>
      </c>
      <c r="H158" s="109">
        <f>IFERROR(F158*G158,0)</f>
        <v/>
      </c>
      <c r="I158" s="109">
        <f>F158+H158</f>
        <v/>
      </c>
      <c r="J158" s="106" t="inlineStr">
        <is>
          <t>Junho/2026</t>
        </is>
      </c>
    </row>
    <row r="159" hidden="1" ht="14.25" customHeight="1" s="64">
      <c r="A159" s="74" t="inlineStr">
        <is>
          <t>Obras</t>
        </is>
      </c>
      <c r="B159" s="83">
        <f>INDEX(SETORES!$B:$B,MATCH(A159,SETORES!$A:$A,0))</f>
        <v/>
      </c>
      <c r="C159" s="74" t="inlineStr">
        <is>
          <t>Empresa Licenciada DX2</t>
        </is>
      </c>
      <c r="D159" s="72">
        <f>IF(B159="Clientes",SUMIFS(PARÂMETROS!$D$8:$D$907,PARÂMETROS!$A$8:$A$907,C159,PARÂMETROS!$G$8:$G$907,J159),SUMIFS(PARÂMETROS!$E$8:$E$907,PARÂMETROS!$A$8:$A$907,C159,PARÂMETROS!$G$8:$G$907,J159))</f>
        <v/>
      </c>
      <c r="E159" s="84">
        <f>SUMIFS(SETORES!$D:$D,SETORES!$A:$A,A159,SETORES!$F:$F,J159)</f>
        <v/>
      </c>
      <c r="F159" s="84">
        <f>IFERROR(D159*E159,0)</f>
        <v/>
      </c>
      <c r="G159" s="72">
        <f>SUMIFS(PARÂMETROS!$F$8:$F$907,PARÂMETROS!$A$8:$A$907,C159,PARÂMETROS!$G$8:$G$907,J159)</f>
        <v/>
      </c>
      <c r="H159" s="84">
        <f>IFERROR(F159*G159,0)</f>
        <v/>
      </c>
      <c r="I159" s="84">
        <f>F159+H159</f>
        <v/>
      </c>
      <c r="J159" s="74" t="inlineStr">
        <is>
          <t>Junho/2026</t>
        </is>
      </c>
    </row>
    <row r="160" hidden="1" ht="14.25" customHeight="1" s="64">
      <c r="A160" s="106" t="inlineStr">
        <is>
          <t>Obras</t>
        </is>
      </c>
      <c r="B160" s="106">
        <f>INDEX(SETORES!$B:$B,MATCH(A160,SETORES!$A:$A,0))</f>
        <v/>
      </c>
      <c r="C160" s="106" t="inlineStr">
        <is>
          <t>Empresa Licenciada H&amp;A</t>
        </is>
      </c>
      <c r="D160" s="77">
        <f>IF(B160="Clientes",SUMIFS(PARÂMETROS!$D$8:$D$907,PARÂMETROS!$A$8:$A$907,C160,PARÂMETROS!$G$8:$G$907,J160),SUMIFS(PARÂMETROS!$E$8:$E$907,PARÂMETROS!$A$8:$A$907,C160,PARÂMETROS!$G$8:$G$907,J160))</f>
        <v/>
      </c>
      <c r="E160" s="109">
        <f>SUMIFS(SETORES!$D:$D,SETORES!$A:$A,A160,SETORES!$F:$F,J160)</f>
        <v/>
      </c>
      <c r="F160" s="109">
        <f>IFERROR(D160*E160,0)</f>
        <v/>
      </c>
      <c r="G160" s="77">
        <f>SUMIFS(PARÂMETROS!$F$8:$F$907,PARÂMETROS!$A$8:$A$907,C160,PARÂMETROS!$G$8:$G$907,J160)</f>
        <v/>
      </c>
      <c r="H160" s="109">
        <f>IFERROR(F160*G160,0)</f>
        <v/>
      </c>
      <c r="I160" s="109">
        <f>F160+H160</f>
        <v/>
      </c>
      <c r="J160" s="106" t="inlineStr">
        <is>
          <t>Junho/2026</t>
        </is>
      </c>
    </row>
    <row r="161" hidden="1" ht="14.25" customHeight="1" s="64">
      <c r="A161" s="74" t="inlineStr">
        <is>
          <t>Obras</t>
        </is>
      </c>
      <c r="B161" s="83">
        <f>INDEX(SETORES!$B:$B,MATCH(A161,SETORES!$A:$A,0))</f>
        <v/>
      </c>
      <c r="C161" s="74" t="inlineStr">
        <is>
          <t>Empresa Licenciada SOLON ARAUJO</t>
        </is>
      </c>
      <c r="D161" s="72">
        <f>IF(B161="Clientes",SUMIFS(PARÂMETROS!$D$8:$D$907,PARÂMETROS!$A$8:$A$907,C161,PARÂMETROS!$G$8:$G$907,J161),SUMIFS(PARÂMETROS!$E$8:$E$907,PARÂMETROS!$A$8:$A$907,C161,PARÂMETROS!$G$8:$G$907,J161))</f>
        <v/>
      </c>
      <c r="E161" s="84">
        <f>SUMIFS(SETORES!$D:$D,SETORES!$A:$A,A161,SETORES!$F:$F,J161)</f>
        <v/>
      </c>
      <c r="F161" s="84">
        <f>IFERROR(D161*E161,0)</f>
        <v/>
      </c>
      <c r="G161" s="72">
        <f>SUMIFS(PARÂMETROS!$F$8:$F$907,PARÂMETROS!$A$8:$A$907,C161,PARÂMETROS!$G$8:$G$907,J161)</f>
        <v/>
      </c>
      <c r="H161" s="84">
        <f>IFERROR(F161*G161,0)</f>
        <v/>
      </c>
      <c r="I161" s="84">
        <f>F161+H161</f>
        <v/>
      </c>
      <c r="J161" s="74" t="inlineStr">
        <is>
          <t>Junho/2026</t>
        </is>
      </c>
    </row>
    <row r="162" ht="14.25" customHeight="1" s="64">
      <c r="A162" s="106" t="inlineStr">
        <is>
          <t>Obras</t>
        </is>
      </c>
      <c r="B162" s="106">
        <f>INDEX(SETORES!$B:$B,MATCH(A162,SETORES!$A:$A,0))</f>
        <v/>
      </c>
      <c r="C162" s="106" t="inlineStr">
        <is>
          <t>Empresa Licenciada SOARES E LINS</t>
        </is>
      </c>
      <c r="D162" s="77">
        <f>IF(B162="Clientes",SUMIFS(PARÂMETROS!$D$8:$D$907,PARÂMETROS!$A$8:$A$907,C162,PARÂMETROS!$G$8:$G$907,J162),SUMIFS(PARÂMETROS!$E$8:$E$907,PARÂMETROS!$A$8:$A$907,C162,PARÂMETROS!$G$8:$G$907,J162))</f>
        <v/>
      </c>
      <c r="E162" s="109">
        <f>SUMIFS(SETORES!$D:$D,SETORES!$A:$A,A162,SETORES!$F:$F,J162)</f>
        <v/>
      </c>
      <c r="F162" s="109">
        <f>IFERROR(D162*E162,0)</f>
        <v/>
      </c>
      <c r="G162" s="77">
        <f>SUMIFS(PARÂMETROS!$F$8:$F$907,PARÂMETROS!$A$8:$A$907,C162,PARÂMETROS!$G$8:$G$907,J162)</f>
        <v/>
      </c>
      <c r="H162" s="109">
        <f>IFERROR(F162*G162,0)</f>
        <v/>
      </c>
      <c r="I162" s="109">
        <f>F162+H162</f>
        <v/>
      </c>
      <c r="J162" s="106" t="inlineStr">
        <is>
          <t>Junho/2026</t>
        </is>
      </c>
    </row>
    <row r="163" hidden="1" ht="14.25" customHeight="1" s="64">
      <c r="A163" s="74" t="inlineStr">
        <is>
          <t>Obras</t>
        </is>
      </c>
      <c r="B163" s="83">
        <f>INDEX(SETORES!$B:$B,MATCH(A163,SETORES!$A:$A,0))</f>
        <v/>
      </c>
      <c r="C163" s="74" t="inlineStr">
        <is>
          <t>Empresa Licenciada SOARES E SILVA</t>
        </is>
      </c>
      <c r="D163" s="72">
        <f>IF(B163="Clientes",SUMIFS(PARÂMETROS!$D$8:$D$907,PARÂMETROS!$A$8:$A$907,C163,PARÂMETROS!$G$8:$G$907,J163),SUMIFS(PARÂMETROS!$E$8:$E$907,PARÂMETROS!$A$8:$A$907,C163,PARÂMETROS!$G$8:$G$907,J163))</f>
        <v/>
      </c>
      <c r="E163" s="84">
        <f>SUMIFS(SETORES!$D:$D,SETORES!$A:$A,A163,SETORES!$F:$F,J163)</f>
        <v/>
      </c>
      <c r="F163" s="84">
        <f>IFERROR(D163*E163,0)</f>
        <v/>
      </c>
      <c r="G163" s="72">
        <f>SUMIFS(PARÂMETROS!$F$8:$F$907,PARÂMETROS!$A$8:$A$907,C163,PARÂMETROS!$G$8:$G$907,J163)</f>
        <v/>
      </c>
      <c r="H163" s="84">
        <f>IFERROR(F163*G163,0)</f>
        <v/>
      </c>
      <c r="I163" s="84">
        <f>F163+H163</f>
        <v/>
      </c>
      <c r="J163" s="74" t="inlineStr">
        <is>
          <t>Junho/2026</t>
        </is>
      </c>
    </row>
    <row r="164" hidden="1" ht="14.25" customHeight="1" s="64">
      <c r="A164" s="106" t="inlineStr">
        <is>
          <t>Obras</t>
        </is>
      </c>
      <c r="B164" s="106">
        <f>INDEX(SETORES!$B:$B,MATCH(A164,SETORES!$A:$A,0))</f>
        <v/>
      </c>
      <c r="C164" s="106" t="inlineStr">
        <is>
          <t>Empresa Licenciada SOUZA E SILVA</t>
        </is>
      </c>
      <c r="D164" s="77">
        <f>IF(B164="Clientes",SUMIFS(PARÂMETROS!$D$8:$D$907,PARÂMETROS!$A$8:$A$907,C164,PARÂMETROS!$G$8:$G$907,J164),SUMIFS(PARÂMETROS!$E$8:$E$907,PARÂMETROS!$A$8:$A$907,C164,PARÂMETROS!$G$8:$G$907,J164))</f>
        <v/>
      </c>
      <c r="E164" s="109">
        <f>SUMIFS(SETORES!$D:$D,SETORES!$A:$A,A164,SETORES!$F:$F,J164)</f>
        <v/>
      </c>
      <c r="F164" s="109">
        <f>IFERROR(D164*E164,0)</f>
        <v/>
      </c>
      <c r="G164" s="77">
        <f>SUMIFS(PARÂMETROS!$F$8:$F$907,PARÂMETROS!$A$8:$A$907,C164,PARÂMETROS!$G$8:$G$907,J164)</f>
        <v/>
      </c>
      <c r="H164" s="109">
        <f>IFERROR(F164*G164,0)</f>
        <v/>
      </c>
      <c r="I164" s="109">
        <f>F164+H164</f>
        <v/>
      </c>
      <c r="J164" s="106" t="inlineStr">
        <is>
          <t>Junho/2026</t>
        </is>
      </c>
    </row>
    <row r="165" hidden="1" ht="14.25" customHeight="1" s="64">
      <c r="A165" s="74" t="inlineStr">
        <is>
          <t>Obras</t>
        </is>
      </c>
      <c r="B165" s="83">
        <f>INDEX(SETORES!$B:$B,MATCH(A165,SETORES!$A:$A,0))</f>
        <v/>
      </c>
      <c r="C165" s="74" t="inlineStr">
        <is>
          <t>Empresa Licenciada VOICENET</t>
        </is>
      </c>
      <c r="D165" s="72">
        <f>IF(B165="Clientes",SUMIFS(PARÂMETROS!$D$8:$D$907,PARÂMETROS!$A$8:$A$907,C165,PARÂMETROS!$G$8:$G$907,J165),SUMIFS(PARÂMETROS!$E$8:$E$907,PARÂMETROS!$A$8:$A$907,C165,PARÂMETROS!$G$8:$G$907,J165))</f>
        <v/>
      </c>
      <c r="E165" s="84">
        <f>SUMIFS(SETORES!$D:$D,SETORES!$A:$A,A165,SETORES!$F:$F,J165)</f>
        <v/>
      </c>
      <c r="F165" s="84">
        <f>IFERROR(D165*E165,0)</f>
        <v/>
      </c>
      <c r="G165" s="72">
        <f>SUMIFS(PARÂMETROS!$F$8:$F$907,PARÂMETROS!$A$8:$A$907,C165,PARÂMETROS!$G$8:$G$907,J165)</f>
        <v/>
      </c>
      <c r="H165" s="84">
        <f>IFERROR(F165*G165,0)</f>
        <v/>
      </c>
      <c r="I165" s="84">
        <f>F165+H165</f>
        <v/>
      </c>
      <c r="J165" s="74" t="inlineStr">
        <is>
          <t>Junho/2026</t>
        </is>
      </c>
    </row>
    <row r="166" hidden="1" ht="14.25" customHeight="1" s="64">
      <c r="A166" s="106" t="inlineStr">
        <is>
          <t>Obras</t>
        </is>
      </c>
      <c r="B166" s="106">
        <f>INDEX(SETORES!$B:$B,MATCH(A166,SETORES!$A:$A,0))</f>
        <v/>
      </c>
      <c r="C166" s="106" t="inlineStr">
        <is>
          <t>DTEL (uso próprio)</t>
        </is>
      </c>
      <c r="D166" s="77">
        <f>IF(B166="Clientes",SUMIFS(PARÂMETROS!$D$8:$D$907,PARÂMETROS!$A$8:$A$907,C166,PARÂMETROS!$G$8:$G$907,J166),SUMIFS(PARÂMETROS!$E$8:$E$907,PARÂMETROS!$A$8:$A$907,C166,PARÂMETROS!$G$8:$G$907,J166))</f>
        <v/>
      </c>
      <c r="E166" s="109">
        <f>SUMIFS(SETORES!$D:$D,SETORES!$A:$A,A166,SETORES!$F:$F,J166)</f>
        <v/>
      </c>
      <c r="F166" s="109">
        <f>IFERROR(D166*E166,0)</f>
        <v/>
      </c>
      <c r="G166" s="77">
        <f>SUMIFS(PARÂMETROS!$F$8:$F$907,PARÂMETROS!$A$8:$A$907,C166,PARÂMETROS!$G$8:$G$907,J166)</f>
        <v/>
      </c>
      <c r="H166" s="109">
        <f>IFERROR(F166*G166,0)</f>
        <v/>
      </c>
      <c r="I166" s="109">
        <f>F166+H166</f>
        <v/>
      </c>
      <c r="J166" s="106" t="inlineStr">
        <is>
          <t>Junho/2026</t>
        </is>
      </c>
    </row>
    <row r="167" hidden="1" ht="14.25" customHeight="1" s="64">
      <c r="A167" s="74" t="inlineStr">
        <is>
          <t>Manutenção Predial</t>
        </is>
      </c>
      <c r="B167" s="83">
        <f>INDEX(SETORES!$B:$B,MATCH(A167,SETORES!$A:$A,0))</f>
        <v/>
      </c>
      <c r="C167" s="74" t="inlineStr">
        <is>
          <t>Empresa Licenciada DX2</t>
        </is>
      </c>
      <c r="D167" s="72">
        <f>IF(B167="Clientes",SUMIFS(PARÂMETROS!$D$8:$D$907,PARÂMETROS!$A$8:$A$907,C167,PARÂMETROS!$G$8:$G$907,J167),SUMIFS(PARÂMETROS!$E$8:$E$907,PARÂMETROS!$A$8:$A$907,C167,PARÂMETROS!$G$8:$G$907,J167))</f>
        <v/>
      </c>
      <c r="E167" s="84">
        <f>SUMIFS(SETORES!$D:$D,SETORES!$A:$A,A167,SETORES!$F:$F,J167)</f>
        <v/>
      </c>
      <c r="F167" s="84">
        <f>IFERROR(D167*E167,0)</f>
        <v/>
      </c>
      <c r="G167" s="72">
        <f>SUMIFS(PARÂMETROS!$F$8:$F$907,PARÂMETROS!$A$8:$A$907,C167,PARÂMETROS!$G$8:$G$907,J167)</f>
        <v/>
      </c>
      <c r="H167" s="84">
        <f>IFERROR(F167*G167,0)</f>
        <v/>
      </c>
      <c r="I167" s="84">
        <f>F167+H167</f>
        <v/>
      </c>
      <c r="J167" s="74" t="inlineStr">
        <is>
          <t>Junho/2026</t>
        </is>
      </c>
    </row>
    <row r="168" hidden="1" ht="14.25" customHeight="1" s="64">
      <c r="A168" s="106" t="inlineStr">
        <is>
          <t>Manutenção Predial</t>
        </is>
      </c>
      <c r="B168" s="106">
        <f>INDEX(SETORES!$B:$B,MATCH(A168,SETORES!$A:$A,0))</f>
        <v/>
      </c>
      <c r="C168" s="106" t="inlineStr">
        <is>
          <t>Empresa Licenciada H&amp;A</t>
        </is>
      </c>
      <c r="D168" s="77">
        <f>IF(B168="Clientes",SUMIFS(PARÂMETROS!$D$8:$D$907,PARÂMETROS!$A$8:$A$907,C168,PARÂMETROS!$G$8:$G$907,J168),SUMIFS(PARÂMETROS!$E$8:$E$907,PARÂMETROS!$A$8:$A$907,C168,PARÂMETROS!$G$8:$G$907,J168))</f>
        <v/>
      </c>
      <c r="E168" s="109">
        <f>SUMIFS(SETORES!$D:$D,SETORES!$A:$A,A168,SETORES!$F:$F,J168)</f>
        <v/>
      </c>
      <c r="F168" s="109">
        <f>IFERROR(D168*E168,0)</f>
        <v/>
      </c>
      <c r="G168" s="77">
        <f>SUMIFS(PARÂMETROS!$F$8:$F$907,PARÂMETROS!$A$8:$A$907,C168,PARÂMETROS!$G$8:$G$907,J168)</f>
        <v/>
      </c>
      <c r="H168" s="109">
        <f>IFERROR(F168*G168,0)</f>
        <v/>
      </c>
      <c r="I168" s="109">
        <f>F168+H168</f>
        <v/>
      </c>
      <c r="J168" s="106" t="inlineStr">
        <is>
          <t>Junho/2026</t>
        </is>
      </c>
    </row>
    <row r="169" hidden="1" ht="14.25" customHeight="1" s="64">
      <c r="A169" s="74" t="inlineStr">
        <is>
          <t>Manutenção Predial</t>
        </is>
      </c>
      <c r="B169" s="83">
        <f>INDEX(SETORES!$B:$B,MATCH(A169,SETORES!$A:$A,0))</f>
        <v/>
      </c>
      <c r="C169" s="74" t="inlineStr">
        <is>
          <t>Empresa Licenciada SOLON ARAUJO</t>
        </is>
      </c>
      <c r="D169" s="72">
        <f>IF(B169="Clientes",SUMIFS(PARÂMETROS!$D$8:$D$907,PARÂMETROS!$A$8:$A$907,C169,PARÂMETROS!$G$8:$G$907,J169),SUMIFS(PARÂMETROS!$E$8:$E$907,PARÂMETROS!$A$8:$A$907,C169,PARÂMETROS!$G$8:$G$907,J169))</f>
        <v/>
      </c>
      <c r="E169" s="84">
        <f>SUMIFS(SETORES!$D:$D,SETORES!$A:$A,A169,SETORES!$F:$F,J169)</f>
        <v/>
      </c>
      <c r="F169" s="84">
        <f>IFERROR(D169*E169,0)</f>
        <v/>
      </c>
      <c r="G169" s="72">
        <f>SUMIFS(PARÂMETROS!$F$8:$F$907,PARÂMETROS!$A$8:$A$907,C169,PARÂMETROS!$G$8:$G$907,J169)</f>
        <v/>
      </c>
      <c r="H169" s="84">
        <f>IFERROR(F169*G169,0)</f>
        <v/>
      </c>
      <c r="I169" s="84">
        <f>F169+H169</f>
        <v/>
      </c>
      <c r="J169" s="74" t="inlineStr">
        <is>
          <t>Junho/2026</t>
        </is>
      </c>
    </row>
    <row r="170" ht="14.25" customHeight="1" s="64">
      <c r="A170" s="106" t="inlineStr">
        <is>
          <t>Manutenção Predial</t>
        </is>
      </c>
      <c r="B170" s="106">
        <f>INDEX(SETORES!$B:$B,MATCH(A170,SETORES!$A:$A,0))</f>
        <v/>
      </c>
      <c r="C170" s="106" t="inlineStr">
        <is>
          <t>Empresa Licenciada SOARES E LINS</t>
        </is>
      </c>
      <c r="D170" s="77">
        <f>IF(B170="Clientes",SUMIFS(PARÂMETROS!$D$8:$D$907,PARÂMETROS!$A$8:$A$907,C170,PARÂMETROS!$G$8:$G$907,J170),SUMIFS(PARÂMETROS!$E$8:$E$907,PARÂMETROS!$A$8:$A$907,C170,PARÂMETROS!$G$8:$G$907,J170))</f>
        <v/>
      </c>
      <c r="E170" s="109">
        <f>SUMIFS(SETORES!$D:$D,SETORES!$A:$A,A170,SETORES!$F:$F,J170)</f>
        <v/>
      </c>
      <c r="F170" s="109">
        <f>IFERROR(D170*E170,0)</f>
        <v/>
      </c>
      <c r="G170" s="77">
        <f>SUMIFS(PARÂMETROS!$F$8:$F$907,PARÂMETROS!$A$8:$A$907,C170,PARÂMETROS!$G$8:$G$907,J170)</f>
        <v/>
      </c>
      <c r="H170" s="109">
        <f>IFERROR(F170*G170,0)</f>
        <v/>
      </c>
      <c r="I170" s="109">
        <f>F170+H170</f>
        <v/>
      </c>
      <c r="J170" s="106" t="inlineStr">
        <is>
          <t>Junho/2026</t>
        </is>
      </c>
    </row>
    <row r="171" hidden="1" ht="14.25" customHeight="1" s="64">
      <c r="A171" s="74" t="inlineStr">
        <is>
          <t>Manutenção Predial</t>
        </is>
      </c>
      <c r="B171" s="83">
        <f>INDEX(SETORES!$B:$B,MATCH(A171,SETORES!$A:$A,0))</f>
        <v/>
      </c>
      <c r="C171" s="74" t="inlineStr">
        <is>
          <t>Empresa Licenciada SOARES E SILVA</t>
        </is>
      </c>
      <c r="D171" s="72">
        <f>IF(B171="Clientes",SUMIFS(PARÂMETROS!$D$8:$D$907,PARÂMETROS!$A$8:$A$907,C171,PARÂMETROS!$G$8:$G$907,J171),SUMIFS(PARÂMETROS!$E$8:$E$907,PARÂMETROS!$A$8:$A$907,C171,PARÂMETROS!$G$8:$G$907,J171))</f>
        <v/>
      </c>
      <c r="E171" s="84">
        <f>SUMIFS(SETORES!$D:$D,SETORES!$A:$A,A171,SETORES!$F:$F,J171)</f>
        <v/>
      </c>
      <c r="F171" s="84">
        <f>IFERROR(D171*E171,0)</f>
        <v/>
      </c>
      <c r="G171" s="72">
        <f>SUMIFS(PARÂMETROS!$F$8:$F$907,PARÂMETROS!$A$8:$A$907,C171,PARÂMETROS!$G$8:$G$907,J171)</f>
        <v/>
      </c>
      <c r="H171" s="84">
        <f>IFERROR(F171*G171,0)</f>
        <v/>
      </c>
      <c r="I171" s="84">
        <f>F171+H171</f>
        <v/>
      </c>
      <c r="J171" s="74" t="inlineStr">
        <is>
          <t>Junho/2026</t>
        </is>
      </c>
    </row>
    <row r="172" hidden="1" ht="14.25" customHeight="1" s="64">
      <c r="A172" s="106" t="inlineStr">
        <is>
          <t>Manutenção Predial</t>
        </is>
      </c>
      <c r="B172" s="106">
        <f>INDEX(SETORES!$B:$B,MATCH(A172,SETORES!$A:$A,0))</f>
        <v/>
      </c>
      <c r="C172" s="106" t="inlineStr">
        <is>
          <t>Empresa Licenciada SOUZA E SILVA</t>
        </is>
      </c>
      <c r="D172" s="77">
        <f>IF(B172="Clientes",SUMIFS(PARÂMETROS!$D$8:$D$907,PARÂMETROS!$A$8:$A$907,C172,PARÂMETROS!$G$8:$G$907,J172),SUMIFS(PARÂMETROS!$E$8:$E$907,PARÂMETROS!$A$8:$A$907,C172,PARÂMETROS!$G$8:$G$907,J172))</f>
        <v/>
      </c>
      <c r="E172" s="109">
        <f>SUMIFS(SETORES!$D:$D,SETORES!$A:$A,A172,SETORES!$F:$F,J172)</f>
        <v/>
      </c>
      <c r="F172" s="109">
        <f>IFERROR(D172*E172,0)</f>
        <v/>
      </c>
      <c r="G172" s="77">
        <f>SUMIFS(PARÂMETROS!$F$8:$F$907,PARÂMETROS!$A$8:$A$907,C172,PARÂMETROS!$G$8:$G$907,J172)</f>
        <v/>
      </c>
      <c r="H172" s="109">
        <f>IFERROR(F172*G172,0)</f>
        <v/>
      </c>
      <c r="I172" s="109">
        <f>F172+H172</f>
        <v/>
      </c>
      <c r="J172" s="106" t="inlineStr">
        <is>
          <t>Junho/2026</t>
        </is>
      </c>
    </row>
    <row r="173" hidden="1" ht="14.25" customHeight="1" s="64">
      <c r="A173" s="74" t="inlineStr">
        <is>
          <t>Manutenção Predial</t>
        </is>
      </c>
      <c r="B173" s="83">
        <f>INDEX(SETORES!$B:$B,MATCH(A173,SETORES!$A:$A,0))</f>
        <v/>
      </c>
      <c r="C173" s="74" t="inlineStr">
        <is>
          <t>Empresa Licenciada VOICENET</t>
        </is>
      </c>
      <c r="D173" s="72">
        <f>IF(B173="Clientes",SUMIFS(PARÂMETROS!$D$8:$D$907,PARÂMETROS!$A$8:$A$907,C173,PARÂMETROS!$G$8:$G$907,J173),SUMIFS(PARÂMETROS!$E$8:$E$907,PARÂMETROS!$A$8:$A$907,C173,PARÂMETROS!$G$8:$G$907,J173))</f>
        <v/>
      </c>
      <c r="E173" s="84">
        <f>SUMIFS(SETORES!$D:$D,SETORES!$A:$A,A173,SETORES!$F:$F,J173)</f>
        <v/>
      </c>
      <c r="F173" s="84">
        <f>IFERROR(D173*E173,0)</f>
        <v/>
      </c>
      <c r="G173" s="72">
        <f>SUMIFS(PARÂMETROS!$F$8:$F$907,PARÂMETROS!$A$8:$A$907,C173,PARÂMETROS!$G$8:$G$907,J173)</f>
        <v/>
      </c>
      <c r="H173" s="84">
        <f>IFERROR(F173*G173,0)</f>
        <v/>
      </c>
      <c r="I173" s="84">
        <f>F173+H173</f>
        <v/>
      </c>
      <c r="J173" s="74" t="inlineStr">
        <is>
          <t>Junho/2026</t>
        </is>
      </c>
    </row>
    <row r="174" hidden="1" ht="14.25" customHeight="1" s="64">
      <c r="A174" s="106" t="inlineStr">
        <is>
          <t>Manutenção Predial</t>
        </is>
      </c>
      <c r="B174" s="106">
        <f>INDEX(SETORES!$B:$B,MATCH(A174,SETORES!$A:$A,0))</f>
        <v/>
      </c>
      <c r="C174" s="106" t="inlineStr">
        <is>
          <t>DTEL (uso próprio)</t>
        </is>
      </c>
      <c r="D174" s="77">
        <f>IF(B174="Clientes",SUMIFS(PARÂMETROS!$D$8:$D$907,PARÂMETROS!$A$8:$A$907,C174,PARÂMETROS!$G$8:$G$907,J174),SUMIFS(PARÂMETROS!$E$8:$E$907,PARÂMETROS!$A$8:$A$907,C174,PARÂMETROS!$G$8:$G$907,J174))</f>
        <v/>
      </c>
      <c r="E174" s="109">
        <f>SUMIFS(SETORES!$D:$D,SETORES!$A:$A,A174,SETORES!$F:$F,J174)</f>
        <v/>
      </c>
      <c r="F174" s="109">
        <f>IFERROR(D174*E174,0)</f>
        <v/>
      </c>
      <c r="G174" s="77">
        <f>SUMIFS(PARÂMETROS!$F$8:$F$907,PARÂMETROS!$A$8:$A$907,C174,PARÂMETROS!$G$8:$G$907,J174)</f>
        <v/>
      </c>
      <c r="H174" s="109">
        <f>IFERROR(F174*G174,0)</f>
        <v/>
      </c>
      <c r="I174" s="109">
        <f>F174+H174</f>
        <v/>
      </c>
      <c r="J174" s="106" t="inlineStr">
        <is>
          <t>Junho/2026</t>
        </is>
      </c>
    </row>
    <row r="175" hidden="1" ht="14.25" customHeight="1" s="64">
      <c r="A175" s="74" t="inlineStr">
        <is>
          <t>Logística</t>
        </is>
      </c>
      <c r="B175" s="83">
        <f>INDEX(SETORES!$B:$B,MATCH(A175,SETORES!$A:$A,0))</f>
        <v/>
      </c>
      <c r="C175" s="74" t="inlineStr">
        <is>
          <t>Empresa Licenciada DX2</t>
        </is>
      </c>
      <c r="D175" s="72">
        <f>IF(B175="Clientes",SUMIFS(PARÂMETROS!$D$8:$D$907,PARÂMETROS!$A$8:$A$907,C175,PARÂMETROS!$G$8:$G$907,J175),SUMIFS(PARÂMETROS!$E$8:$E$907,PARÂMETROS!$A$8:$A$907,C175,PARÂMETROS!$G$8:$G$907,J175))</f>
        <v/>
      </c>
      <c r="E175" s="84">
        <f>SUMIFS(SETORES!$D:$D,SETORES!$A:$A,A175,SETORES!$F:$F,J175)</f>
        <v/>
      </c>
      <c r="F175" s="84">
        <f>IFERROR(D175*E175,0)</f>
        <v/>
      </c>
      <c r="G175" s="72">
        <f>SUMIFS(PARÂMETROS!$F$8:$F$907,PARÂMETROS!$A$8:$A$907,C175,PARÂMETROS!$G$8:$G$907,J175)</f>
        <v/>
      </c>
      <c r="H175" s="84">
        <f>IFERROR(F175*G175,0)</f>
        <v/>
      </c>
      <c r="I175" s="84">
        <f>F175+H175</f>
        <v/>
      </c>
      <c r="J175" s="74" t="inlineStr">
        <is>
          <t>Junho/2026</t>
        </is>
      </c>
    </row>
    <row r="176" hidden="1" ht="14.25" customHeight="1" s="64">
      <c r="A176" s="106" t="inlineStr">
        <is>
          <t>Logística</t>
        </is>
      </c>
      <c r="B176" s="106">
        <f>INDEX(SETORES!$B:$B,MATCH(A176,SETORES!$A:$A,0))</f>
        <v/>
      </c>
      <c r="C176" s="106" t="inlineStr">
        <is>
          <t>Empresa Licenciada H&amp;A</t>
        </is>
      </c>
      <c r="D176" s="77">
        <f>IF(B176="Clientes",SUMIFS(PARÂMETROS!$D$8:$D$907,PARÂMETROS!$A$8:$A$907,C176,PARÂMETROS!$G$8:$G$907,J176),SUMIFS(PARÂMETROS!$E$8:$E$907,PARÂMETROS!$A$8:$A$907,C176,PARÂMETROS!$G$8:$G$907,J176))</f>
        <v/>
      </c>
      <c r="E176" s="109">
        <f>SUMIFS(SETORES!$D:$D,SETORES!$A:$A,A176,SETORES!$F:$F,J176)</f>
        <v/>
      </c>
      <c r="F176" s="109">
        <f>IFERROR(D176*E176,0)</f>
        <v/>
      </c>
      <c r="G176" s="77">
        <f>SUMIFS(PARÂMETROS!$F$8:$F$907,PARÂMETROS!$A$8:$A$907,C176,PARÂMETROS!$G$8:$G$907,J176)</f>
        <v/>
      </c>
      <c r="H176" s="109">
        <f>IFERROR(F176*G176,0)</f>
        <v/>
      </c>
      <c r="I176" s="109">
        <f>F176+H176</f>
        <v/>
      </c>
      <c r="J176" s="106" t="inlineStr">
        <is>
          <t>Junho/2026</t>
        </is>
      </c>
    </row>
    <row r="177" hidden="1" ht="14.25" customHeight="1" s="64">
      <c r="A177" s="74" t="inlineStr">
        <is>
          <t>Logística</t>
        </is>
      </c>
      <c r="B177" s="83">
        <f>INDEX(SETORES!$B:$B,MATCH(A177,SETORES!$A:$A,0))</f>
        <v/>
      </c>
      <c r="C177" s="74" t="inlineStr">
        <is>
          <t>Empresa Licenciada SOLON ARAUJO</t>
        </is>
      </c>
      <c r="D177" s="72">
        <f>IF(B177="Clientes",SUMIFS(PARÂMETROS!$D$8:$D$907,PARÂMETROS!$A$8:$A$907,C177,PARÂMETROS!$G$8:$G$907,J177),SUMIFS(PARÂMETROS!$E$8:$E$907,PARÂMETROS!$A$8:$A$907,C177,PARÂMETROS!$G$8:$G$907,J177))</f>
        <v/>
      </c>
      <c r="E177" s="84">
        <f>SUMIFS(SETORES!$D:$D,SETORES!$A:$A,A177,SETORES!$F:$F,J177)</f>
        <v/>
      </c>
      <c r="F177" s="84">
        <f>IFERROR(D177*E177,0)</f>
        <v/>
      </c>
      <c r="G177" s="72">
        <f>SUMIFS(PARÂMETROS!$F$8:$F$907,PARÂMETROS!$A$8:$A$907,C177,PARÂMETROS!$G$8:$G$907,J177)</f>
        <v/>
      </c>
      <c r="H177" s="84">
        <f>IFERROR(F177*G177,0)</f>
        <v/>
      </c>
      <c r="I177" s="84">
        <f>F177+H177</f>
        <v/>
      </c>
      <c r="J177" s="74" t="inlineStr">
        <is>
          <t>Junho/2026</t>
        </is>
      </c>
    </row>
    <row r="178" ht="14.25" customHeight="1" s="64">
      <c r="A178" s="106" t="inlineStr">
        <is>
          <t>Logística</t>
        </is>
      </c>
      <c r="B178" s="106">
        <f>INDEX(SETORES!$B:$B,MATCH(A178,SETORES!$A:$A,0))</f>
        <v/>
      </c>
      <c r="C178" s="106" t="inlineStr">
        <is>
          <t>Empresa Licenciada SOARES E LINS</t>
        </is>
      </c>
      <c r="D178" s="77">
        <f>IF(B178="Clientes",SUMIFS(PARÂMETROS!$D$8:$D$907,PARÂMETROS!$A$8:$A$907,C178,PARÂMETROS!$G$8:$G$907,J178),SUMIFS(PARÂMETROS!$E$8:$E$907,PARÂMETROS!$A$8:$A$907,C178,PARÂMETROS!$G$8:$G$907,J178))</f>
        <v/>
      </c>
      <c r="E178" s="109">
        <f>SUMIFS(SETORES!$D:$D,SETORES!$A:$A,A178,SETORES!$F:$F,J178)</f>
        <v/>
      </c>
      <c r="F178" s="109">
        <f>IFERROR(D178*E178,0)</f>
        <v/>
      </c>
      <c r="G178" s="77">
        <f>SUMIFS(PARÂMETROS!$F$8:$F$907,PARÂMETROS!$A$8:$A$907,C178,PARÂMETROS!$G$8:$G$907,J178)</f>
        <v/>
      </c>
      <c r="H178" s="109">
        <f>IFERROR(F178*G178,0)</f>
        <v/>
      </c>
      <c r="I178" s="109">
        <f>F178+H178</f>
        <v/>
      </c>
      <c r="J178" s="106" t="inlineStr">
        <is>
          <t>Junho/2026</t>
        </is>
      </c>
    </row>
    <row r="179" hidden="1" ht="14.25" customHeight="1" s="64">
      <c r="A179" s="74" t="inlineStr">
        <is>
          <t>Logística</t>
        </is>
      </c>
      <c r="B179" s="83">
        <f>INDEX(SETORES!$B:$B,MATCH(A179,SETORES!$A:$A,0))</f>
        <v/>
      </c>
      <c r="C179" s="74" t="inlineStr">
        <is>
          <t>Empresa Licenciada SOARES E SILVA</t>
        </is>
      </c>
      <c r="D179" s="72">
        <f>IF(B179="Clientes",SUMIFS(PARÂMETROS!$D$8:$D$907,PARÂMETROS!$A$8:$A$907,C179,PARÂMETROS!$G$8:$G$907,J179),SUMIFS(PARÂMETROS!$E$8:$E$907,PARÂMETROS!$A$8:$A$907,C179,PARÂMETROS!$G$8:$G$907,J179))</f>
        <v/>
      </c>
      <c r="E179" s="84">
        <f>SUMIFS(SETORES!$D:$D,SETORES!$A:$A,A179,SETORES!$F:$F,J179)</f>
        <v/>
      </c>
      <c r="F179" s="84">
        <f>IFERROR(D179*E179,0)</f>
        <v/>
      </c>
      <c r="G179" s="72">
        <f>SUMIFS(PARÂMETROS!$F$8:$F$907,PARÂMETROS!$A$8:$A$907,C179,PARÂMETROS!$G$8:$G$907,J179)</f>
        <v/>
      </c>
      <c r="H179" s="84">
        <f>IFERROR(F179*G179,0)</f>
        <v/>
      </c>
      <c r="I179" s="84">
        <f>F179+H179</f>
        <v/>
      </c>
      <c r="J179" s="74" t="inlineStr">
        <is>
          <t>Junho/2026</t>
        </is>
      </c>
    </row>
    <row r="180" hidden="1" ht="14.25" customHeight="1" s="64">
      <c r="A180" s="106" t="inlineStr">
        <is>
          <t>Logística</t>
        </is>
      </c>
      <c r="B180" s="106">
        <f>INDEX(SETORES!$B:$B,MATCH(A180,SETORES!$A:$A,0))</f>
        <v/>
      </c>
      <c r="C180" s="106" t="inlineStr">
        <is>
          <t>Empresa Licenciada SOUZA E SILVA</t>
        </is>
      </c>
      <c r="D180" s="77">
        <f>IF(B180="Clientes",SUMIFS(PARÂMETROS!$D$8:$D$907,PARÂMETROS!$A$8:$A$907,C180,PARÂMETROS!$G$8:$G$907,J180),SUMIFS(PARÂMETROS!$E$8:$E$907,PARÂMETROS!$A$8:$A$907,C180,PARÂMETROS!$G$8:$G$907,J180))</f>
        <v/>
      </c>
      <c r="E180" s="109">
        <f>SUMIFS(SETORES!$D:$D,SETORES!$A:$A,A180,SETORES!$F:$F,J180)</f>
        <v/>
      </c>
      <c r="F180" s="109">
        <f>IFERROR(D180*E180,0)</f>
        <v/>
      </c>
      <c r="G180" s="77">
        <f>SUMIFS(PARÂMETROS!$F$8:$F$907,PARÂMETROS!$A$8:$A$907,C180,PARÂMETROS!$G$8:$G$907,J180)</f>
        <v/>
      </c>
      <c r="H180" s="109">
        <f>IFERROR(F180*G180,0)</f>
        <v/>
      </c>
      <c r="I180" s="109">
        <f>F180+H180</f>
        <v/>
      </c>
      <c r="J180" s="106" t="inlineStr">
        <is>
          <t>Junho/2026</t>
        </is>
      </c>
    </row>
    <row r="181" hidden="1" ht="14.25" customHeight="1" s="64">
      <c r="A181" s="74" t="inlineStr">
        <is>
          <t>Logística</t>
        </is>
      </c>
      <c r="B181" s="83">
        <f>INDEX(SETORES!$B:$B,MATCH(A181,SETORES!$A:$A,0))</f>
        <v/>
      </c>
      <c r="C181" s="74" t="inlineStr">
        <is>
          <t>Empresa Licenciada VOICENET</t>
        </is>
      </c>
      <c r="D181" s="72">
        <f>IF(B181="Clientes",SUMIFS(PARÂMETROS!$D$8:$D$907,PARÂMETROS!$A$8:$A$907,C181,PARÂMETROS!$G$8:$G$907,J181),SUMIFS(PARÂMETROS!$E$8:$E$907,PARÂMETROS!$A$8:$A$907,C181,PARÂMETROS!$G$8:$G$907,J181))</f>
        <v/>
      </c>
      <c r="E181" s="84">
        <f>SUMIFS(SETORES!$D:$D,SETORES!$A:$A,A181,SETORES!$F:$F,J181)</f>
        <v/>
      </c>
      <c r="F181" s="84">
        <f>IFERROR(D181*E181,0)</f>
        <v/>
      </c>
      <c r="G181" s="72">
        <f>SUMIFS(PARÂMETROS!$F$8:$F$907,PARÂMETROS!$A$8:$A$907,C181,PARÂMETROS!$G$8:$G$907,J181)</f>
        <v/>
      </c>
      <c r="H181" s="84">
        <f>IFERROR(F181*G181,0)</f>
        <v/>
      </c>
      <c r="I181" s="84">
        <f>F181+H181</f>
        <v/>
      </c>
      <c r="J181" s="74" t="inlineStr">
        <is>
          <t>Junho/2026</t>
        </is>
      </c>
    </row>
    <row r="182" hidden="1" ht="14.25" customHeight="1" s="64">
      <c r="A182" s="106" t="inlineStr">
        <is>
          <t>Logística</t>
        </is>
      </c>
      <c r="B182" s="106">
        <f>INDEX(SETORES!$B:$B,MATCH(A182,SETORES!$A:$A,0))</f>
        <v/>
      </c>
      <c r="C182" s="106" t="inlineStr">
        <is>
          <t>DTEL (uso próprio)</t>
        </is>
      </c>
      <c r="D182" s="77">
        <f>IF(B182="Clientes",SUMIFS(PARÂMETROS!$D$8:$D$907,PARÂMETROS!$A$8:$A$907,C182,PARÂMETROS!$G$8:$G$907,J182),SUMIFS(PARÂMETROS!$E$8:$E$907,PARÂMETROS!$A$8:$A$907,C182,PARÂMETROS!$G$8:$G$907,J182))</f>
        <v/>
      </c>
      <c r="E182" s="109">
        <f>SUMIFS(SETORES!$D:$D,SETORES!$A:$A,A182,SETORES!$F:$F,J182)</f>
        <v/>
      </c>
      <c r="F182" s="109">
        <f>IFERROR(D182*E182,0)</f>
        <v/>
      </c>
      <c r="G182" s="77">
        <f>SUMIFS(PARÂMETROS!$F$8:$F$907,PARÂMETROS!$A$8:$A$907,C182,PARÂMETROS!$G$8:$G$907,J182)</f>
        <v/>
      </c>
      <c r="H182" s="109">
        <f>IFERROR(F182*G182,0)</f>
        <v/>
      </c>
      <c r="I182" s="109">
        <f>F182+H182</f>
        <v/>
      </c>
      <c r="J182" s="106" t="inlineStr">
        <is>
          <t>Junho/2026</t>
        </is>
      </c>
    </row>
    <row r="183" hidden="1" ht="14.25" customHeight="1" s="64">
      <c r="A183" s="74" t="inlineStr">
        <is>
          <t>Oficina</t>
        </is>
      </c>
      <c r="B183" s="83">
        <f>INDEX(SETORES!$B:$B,MATCH(A183,SETORES!$A:$A,0))</f>
        <v/>
      </c>
      <c r="C183" s="74" t="inlineStr">
        <is>
          <t>Empresa Licenciada DX2</t>
        </is>
      </c>
      <c r="D183" s="72">
        <f>IF(B183="Clientes",SUMIFS(PARÂMETROS!$D$8:$D$907,PARÂMETROS!$A$8:$A$907,C183,PARÂMETROS!$G$8:$G$907,J183),SUMIFS(PARÂMETROS!$E$8:$E$907,PARÂMETROS!$A$8:$A$907,C183,PARÂMETROS!$G$8:$G$907,J183))</f>
        <v/>
      </c>
      <c r="E183" s="84">
        <f>SUMIFS(SETORES!$D:$D,SETORES!$A:$A,A183,SETORES!$F:$F,J183)</f>
        <v/>
      </c>
      <c r="F183" s="84">
        <f>IFERROR(D183*E183,0)</f>
        <v/>
      </c>
      <c r="G183" s="72">
        <f>SUMIFS(PARÂMETROS!$F$8:$F$907,PARÂMETROS!$A$8:$A$907,C183,PARÂMETROS!$G$8:$G$907,J183)</f>
        <v/>
      </c>
      <c r="H183" s="84">
        <f>IFERROR(F183*G183,0)</f>
        <v/>
      </c>
      <c r="I183" s="84">
        <f>F183+H183</f>
        <v/>
      </c>
      <c r="J183" s="74" t="inlineStr">
        <is>
          <t>Junho/2026</t>
        </is>
      </c>
    </row>
    <row r="184" hidden="1" ht="14.25" customHeight="1" s="64">
      <c r="A184" s="106" t="inlineStr">
        <is>
          <t>Oficina</t>
        </is>
      </c>
      <c r="B184" s="106">
        <f>INDEX(SETORES!$B:$B,MATCH(A184,SETORES!$A:$A,0))</f>
        <v/>
      </c>
      <c r="C184" s="106" t="inlineStr">
        <is>
          <t>Empresa Licenciada H&amp;A</t>
        </is>
      </c>
      <c r="D184" s="77">
        <f>IF(B184="Clientes",SUMIFS(PARÂMETROS!$D$8:$D$907,PARÂMETROS!$A$8:$A$907,C184,PARÂMETROS!$G$8:$G$907,J184),SUMIFS(PARÂMETROS!$E$8:$E$907,PARÂMETROS!$A$8:$A$907,C184,PARÂMETROS!$G$8:$G$907,J184))</f>
        <v/>
      </c>
      <c r="E184" s="109">
        <f>SUMIFS(SETORES!$D:$D,SETORES!$A:$A,A184,SETORES!$F:$F,J184)</f>
        <v/>
      </c>
      <c r="F184" s="109">
        <f>IFERROR(D184*E184,0)</f>
        <v/>
      </c>
      <c r="G184" s="77">
        <f>SUMIFS(PARÂMETROS!$F$8:$F$907,PARÂMETROS!$A$8:$A$907,C184,PARÂMETROS!$G$8:$G$907,J184)</f>
        <v/>
      </c>
      <c r="H184" s="109">
        <f>IFERROR(F184*G184,0)</f>
        <v/>
      </c>
      <c r="I184" s="109">
        <f>F184+H184</f>
        <v/>
      </c>
      <c r="J184" s="106" t="inlineStr">
        <is>
          <t>Junho/2026</t>
        </is>
      </c>
    </row>
    <row r="185" hidden="1" ht="14.25" customHeight="1" s="64">
      <c r="A185" s="74" t="inlineStr">
        <is>
          <t>Oficina</t>
        </is>
      </c>
      <c r="B185" s="83">
        <f>INDEX(SETORES!$B:$B,MATCH(A185,SETORES!$A:$A,0))</f>
        <v/>
      </c>
      <c r="C185" s="74" t="inlineStr">
        <is>
          <t>Empresa Licenciada SOLON ARAUJO</t>
        </is>
      </c>
      <c r="D185" s="72">
        <f>IF(B185="Clientes",SUMIFS(PARÂMETROS!$D$8:$D$907,PARÂMETROS!$A$8:$A$907,C185,PARÂMETROS!$G$8:$G$907,J185),SUMIFS(PARÂMETROS!$E$8:$E$907,PARÂMETROS!$A$8:$A$907,C185,PARÂMETROS!$G$8:$G$907,J185))</f>
        <v/>
      </c>
      <c r="E185" s="84">
        <f>SUMIFS(SETORES!$D:$D,SETORES!$A:$A,A185,SETORES!$F:$F,J185)</f>
        <v/>
      </c>
      <c r="F185" s="84">
        <f>IFERROR(D185*E185,0)</f>
        <v/>
      </c>
      <c r="G185" s="72">
        <f>SUMIFS(PARÂMETROS!$F$8:$F$907,PARÂMETROS!$A$8:$A$907,C185,PARÂMETROS!$G$8:$G$907,J185)</f>
        <v/>
      </c>
      <c r="H185" s="84">
        <f>IFERROR(F185*G185,0)</f>
        <v/>
      </c>
      <c r="I185" s="84">
        <f>F185+H185</f>
        <v/>
      </c>
      <c r="J185" s="74" t="inlineStr">
        <is>
          <t>Junho/2026</t>
        </is>
      </c>
    </row>
    <row r="186" ht="14.25" customHeight="1" s="64">
      <c r="A186" s="106" t="inlineStr">
        <is>
          <t>Oficina</t>
        </is>
      </c>
      <c r="B186" s="106">
        <f>INDEX(SETORES!$B:$B,MATCH(A186,SETORES!$A:$A,0))</f>
        <v/>
      </c>
      <c r="C186" s="106" t="inlineStr">
        <is>
          <t>Empresa Licenciada SOARES E LINS</t>
        </is>
      </c>
      <c r="D186" s="77">
        <f>IF(B186="Clientes",SUMIFS(PARÂMETROS!$D$8:$D$907,PARÂMETROS!$A$8:$A$907,C186,PARÂMETROS!$G$8:$G$907,J186),SUMIFS(PARÂMETROS!$E$8:$E$907,PARÂMETROS!$A$8:$A$907,C186,PARÂMETROS!$G$8:$G$907,J186))</f>
        <v/>
      </c>
      <c r="E186" s="109">
        <f>SUMIFS(SETORES!$D:$D,SETORES!$A:$A,A186,SETORES!$F:$F,J186)</f>
        <v/>
      </c>
      <c r="F186" s="109">
        <f>IFERROR(D186*E186,0)</f>
        <v/>
      </c>
      <c r="G186" s="77">
        <f>SUMIFS(PARÂMETROS!$F$8:$F$907,PARÂMETROS!$A$8:$A$907,C186,PARÂMETROS!$G$8:$G$907,J186)</f>
        <v/>
      </c>
      <c r="H186" s="109">
        <f>IFERROR(F186*G186,0)</f>
        <v/>
      </c>
      <c r="I186" s="109">
        <f>F186+H186</f>
        <v/>
      </c>
      <c r="J186" s="106" t="inlineStr">
        <is>
          <t>Junho/2026</t>
        </is>
      </c>
    </row>
    <row r="187" hidden="1" ht="14.25" customHeight="1" s="64">
      <c r="A187" s="74" t="inlineStr">
        <is>
          <t>Oficina</t>
        </is>
      </c>
      <c r="B187" s="83">
        <f>INDEX(SETORES!$B:$B,MATCH(A187,SETORES!$A:$A,0))</f>
        <v/>
      </c>
      <c r="C187" s="74" t="inlineStr">
        <is>
          <t>Empresa Licenciada SOARES E SILVA</t>
        </is>
      </c>
      <c r="D187" s="72">
        <f>IF(B187="Clientes",SUMIFS(PARÂMETROS!$D$8:$D$907,PARÂMETROS!$A$8:$A$907,C187,PARÂMETROS!$G$8:$G$907,J187),SUMIFS(PARÂMETROS!$E$8:$E$907,PARÂMETROS!$A$8:$A$907,C187,PARÂMETROS!$G$8:$G$907,J187))</f>
        <v/>
      </c>
      <c r="E187" s="84">
        <f>SUMIFS(SETORES!$D:$D,SETORES!$A:$A,A187,SETORES!$F:$F,J187)</f>
        <v/>
      </c>
      <c r="F187" s="84">
        <f>IFERROR(D187*E187,0)</f>
        <v/>
      </c>
      <c r="G187" s="72">
        <f>SUMIFS(PARÂMETROS!$F$8:$F$907,PARÂMETROS!$A$8:$A$907,C187,PARÂMETROS!$G$8:$G$907,J187)</f>
        <v/>
      </c>
      <c r="H187" s="84">
        <f>IFERROR(F187*G187,0)</f>
        <v/>
      </c>
      <c r="I187" s="84">
        <f>F187+H187</f>
        <v/>
      </c>
      <c r="J187" s="74" t="inlineStr">
        <is>
          <t>Junho/2026</t>
        </is>
      </c>
    </row>
    <row r="188" hidden="1" ht="14.25" customHeight="1" s="64">
      <c r="A188" s="106" t="inlineStr">
        <is>
          <t>Oficina</t>
        </is>
      </c>
      <c r="B188" s="106">
        <f>INDEX(SETORES!$B:$B,MATCH(A188,SETORES!$A:$A,0))</f>
        <v/>
      </c>
      <c r="C188" s="106" t="inlineStr">
        <is>
          <t>Empresa Licenciada SOUZA E SILVA</t>
        </is>
      </c>
      <c r="D188" s="77">
        <f>IF(B188="Clientes",SUMIFS(PARÂMETROS!$D$8:$D$907,PARÂMETROS!$A$8:$A$907,C188,PARÂMETROS!$G$8:$G$907,J188),SUMIFS(PARÂMETROS!$E$8:$E$907,PARÂMETROS!$A$8:$A$907,C188,PARÂMETROS!$G$8:$G$907,J188))</f>
        <v/>
      </c>
      <c r="E188" s="109">
        <f>SUMIFS(SETORES!$D:$D,SETORES!$A:$A,A188,SETORES!$F:$F,J188)</f>
        <v/>
      </c>
      <c r="F188" s="109">
        <f>IFERROR(D188*E188,0)</f>
        <v/>
      </c>
      <c r="G188" s="77">
        <f>SUMIFS(PARÂMETROS!$F$8:$F$907,PARÂMETROS!$A$8:$A$907,C188,PARÂMETROS!$G$8:$G$907,J188)</f>
        <v/>
      </c>
      <c r="H188" s="109">
        <f>IFERROR(F188*G188,0)</f>
        <v/>
      </c>
      <c r="I188" s="109">
        <f>F188+H188</f>
        <v/>
      </c>
      <c r="J188" s="106" t="inlineStr">
        <is>
          <t>Junho/2026</t>
        </is>
      </c>
    </row>
    <row r="189" hidden="1" ht="14.25" customHeight="1" s="64">
      <c r="A189" s="74" t="inlineStr">
        <is>
          <t>Oficina</t>
        </is>
      </c>
      <c r="B189" s="83">
        <f>INDEX(SETORES!$B:$B,MATCH(A189,SETORES!$A:$A,0))</f>
        <v/>
      </c>
      <c r="C189" s="74" t="inlineStr">
        <is>
          <t>Empresa Licenciada VOICENET</t>
        </is>
      </c>
      <c r="D189" s="72">
        <f>IF(B189="Clientes",SUMIFS(PARÂMETROS!$D$8:$D$907,PARÂMETROS!$A$8:$A$907,C189,PARÂMETROS!$G$8:$G$907,J189),SUMIFS(PARÂMETROS!$E$8:$E$907,PARÂMETROS!$A$8:$A$907,C189,PARÂMETROS!$G$8:$G$907,J189))</f>
        <v/>
      </c>
      <c r="E189" s="84">
        <f>SUMIFS(SETORES!$D:$D,SETORES!$A:$A,A189,SETORES!$F:$F,J189)</f>
        <v/>
      </c>
      <c r="F189" s="84">
        <f>IFERROR(D189*E189,0)</f>
        <v/>
      </c>
      <c r="G189" s="72">
        <f>SUMIFS(PARÂMETROS!$F$8:$F$907,PARÂMETROS!$A$8:$A$907,C189,PARÂMETROS!$G$8:$G$907,J189)</f>
        <v/>
      </c>
      <c r="H189" s="84">
        <f>IFERROR(F189*G189,0)</f>
        <v/>
      </c>
      <c r="I189" s="84">
        <f>F189+H189</f>
        <v/>
      </c>
      <c r="J189" s="74" t="inlineStr">
        <is>
          <t>Junho/2026</t>
        </is>
      </c>
    </row>
    <row r="190" hidden="1" ht="14.25" customHeight="1" s="64">
      <c r="A190" s="106" t="inlineStr">
        <is>
          <t>Oficina</t>
        </is>
      </c>
      <c r="B190" s="106">
        <f>INDEX(SETORES!$B:$B,MATCH(A190,SETORES!$A:$A,0))</f>
        <v/>
      </c>
      <c r="C190" s="106" t="inlineStr">
        <is>
          <t>DTEL (uso próprio)</t>
        </is>
      </c>
      <c r="D190" s="77">
        <f>IF(B190="Clientes",SUMIFS(PARÂMETROS!$D$8:$D$907,PARÂMETROS!$A$8:$A$907,C190,PARÂMETROS!$G$8:$G$907,J190),SUMIFS(PARÂMETROS!$E$8:$E$907,PARÂMETROS!$A$8:$A$907,C190,PARÂMETROS!$G$8:$G$907,J190))</f>
        <v/>
      </c>
      <c r="E190" s="109">
        <f>SUMIFS(SETORES!$D:$D,SETORES!$A:$A,A190,SETORES!$F:$F,J190)</f>
        <v/>
      </c>
      <c r="F190" s="109">
        <f>IFERROR(D190*E190,0)</f>
        <v/>
      </c>
      <c r="G190" s="77">
        <f>SUMIFS(PARÂMETROS!$F$8:$F$907,PARÂMETROS!$A$8:$A$907,C190,PARÂMETROS!$G$8:$G$907,J190)</f>
        <v/>
      </c>
      <c r="H190" s="109">
        <f>IFERROR(F190*G190,0)</f>
        <v/>
      </c>
      <c r="I190" s="109">
        <f>F190+H190</f>
        <v/>
      </c>
      <c r="J190" s="106" t="inlineStr">
        <is>
          <t>Junho/2026</t>
        </is>
      </c>
    </row>
    <row r="191" hidden="1" ht="14.25" customHeight="1" s="64">
      <c r="A191" s="74" t="inlineStr">
        <is>
          <t>Estoque</t>
        </is>
      </c>
      <c r="B191" s="83">
        <f>INDEX(SETORES!$B:$B,MATCH(A191,SETORES!$A:$A,0))</f>
        <v/>
      </c>
      <c r="C191" s="74" t="inlineStr">
        <is>
          <t>Empresa Licenciada DX2</t>
        </is>
      </c>
      <c r="D191" s="72">
        <f>IF(B191="Clientes",SUMIFS(PARÂMETROS!$D$8:$D$907,PARÂMETROS!$A$8:$A$907,C191,PARÂMETROS!$G$8:$G$907,J191),SUMIFS(PARÂMETROS!$E$8:$E$907,PARÂMETROS!$A$8:$A$907,C191,PARÂMETROS!$G$8:$G$907,J191))</f>
        <v/>
      </c>
      <c r="E191" s="84">
        <f>SUMIFS(SETORES!$D:$D,SETORES!$A:$A,A191,SETORES!$F:$F,J191)</f>
        <v/>
      </c>
      <c r="F191" s="84">
        <f>IFERROR(D191*E191,0)</f>
        <v/>
      </c>
      <c r="G191" s="72">
        <f>SUMIFS(PARÂMETROS!$F$8:$F$907,PARÂMETROS!$A$8:$A$907,C191,PARÂMETROS!$G$8:$G$907,J191)</f>
        <v/>
      </c>
      <c r="H191" s="84">
        <f>IFERROR(F191*G191,0)</f>
        <v/>
      </c>
      <c r="I191" s="84">
        <f>F191+H191</f>
        <v/>
      </c>
      <c r="J191" s="74" t="inlineStr">
        <is>
          <t>Junho/2026</t>
        </is>
      </c>
    </row>
    <row r="192" hidden="1" ht="14.25" customHeight="1" s="64">
      <c r="A192" s="106" t="inlineStr">
        <is>
          <t>Estoque</t>
        </is>
      </c>
      <c r="B192" s="106">
        <f>INDEX(SETORES!$B:$B,MATCH(A192,SETORES!$A:$A,0))</f>
        <v/>
      </c>
      <c r="C192" s="106" t="inlineStr">
        <is>
          <t>Empresa Licenciada H&amp;A</t>
        </is>
      </c>
      <c r="D192" s="77">
        <f>IF(B192="Clientes",SUMIFS(PARÂMETROS!$D$8:$D$907,PARÂMETROS!$A$8:$A$907,C192,PARÂMETROS!$G$8:$G$907,J192),SUMIFS(PARÂMETROS!$E$8:$E$907,PARÂMETROS!$A$8:$A$907,C192,PARÂMETROS!$G$8:$G$907,J192))</f>
        <v/>
      </c>
      <c r="E192" s="109">
        <f>SUMIFS(SETORES!$D:$D,SETORES!$A:$A,A192,SETORES!$F:$F,J192)</f>
        <v/>
      </c>
      <c r="F192" s="109">
        <f>IFERROR(D192*E192,0)</f>
        <v/>
      </c>
      <c r="G192" s="77">
        <f>SUMIFS(PARÂMETROS!$F$8:$F$907,PARÂMETROS!$A$8:$A$907,C192,PARÂMETROS!$G$8:$G$907,J192)</f>
        <v/>
      </c>
      <c r="H192" s="109">
        <f>IFERROR(F192*G192,0)</f>
        <v/>
      </c>
      <c r="I192" s="109">
        <f>F192+H192</f>
        <v/>
      </c>
      <c r="J192" s="106" t="inlineStr">
        <is>
          <t>Junho/2026</t>
        </is>
      </c>
    </row>
    <row r="193" hidden="1" ht="14.25" customHeight="1" s="64">
      <c r="A193" s="74" t="inlineStr">
        <is>
          <t>Estoque</t>
        </is>
      </c>
      <c r="B193" s="83">
        <f>INDEX(SETORES!$B:$B,MATCH(A193,SETORES!$A:$A,0))</f>
        <v/>
      </c>
      <c r="C193" s="74" t="inlineStr">
        <is>
          <t>Empresa Licenciada SOLON ARAUJO</t>
        </is>
      </c>
      <c r="D193" s="72">
        <f>IF(B193="Clientes",SUMIFS(PARÂMETROS!$D$8:$D$907,PARÂMETROS!$A$8:$A$907,C193,PARÂMETROS!$G$8:$G$907,J193),SUMIFS(PARÂMETROS!$E$8:$E$907,PARÂMETROS!$A$8:$A$907,C193,PARÂMETROS!$G$8:$G$907,J193))</f>
        <v/>
      </c>
      <c r="E193" s="84">
        <f>SUMIFS(SETORES!$D:$D,SETORES!$A:$A,A193,SETORES!$F:$F,J193)</f>
        <v/>
      </c>
      <c r="F193" s="84">
        <f>IFERROR(D193*E193,0)</f>
        <v/>
      </c>
      <c r="G193" s="72">
        <f>SUMIFS(PARÂMETROS!$F$8:$F$907,PARÂMETROS!$A$8:$A$907,C193,PARÂMETROS!$G$8:$G$907,J193)</f>
        <v/>
      </c>
      <c r="H193" s="84">
        <f>IFERROR(F193*G193,0)</f>
        <v/>
      </c>
      <c r="I193" s="84">
        <f>F193+H193</f>
        <v/>
      </c>
      <c r="J193" s="74" t="inlineStr">
        <is>
          <t>Junho/2026</t>
        </is>
      </c>
    </row>
    <row r="194" ht="14.25" customHeight="1" s="64">
      <c r="A194" s="106" t="inlineStr">
        <is>
          <t>Estoque</t>
        </is>
      </c>
      <c r="B194" s="106">
        <f>INDEX(SETORES!$B:$B,MATCH(A194,SETORES!$A:$A,0))</f>
        <v/>
      </c>
      <c r="C194" s="106" t="inlineStr">
        <is>
          <t>Empresa Licenciada SOARES E LINS</t>
        </is>
      </c>
      <c r="D194" s="77">
        <f>IF(B194="Clientes",SUMIFS(PARÂMETROS!$D$8:$D$907,PARÂMETROS!$A$8:$A$907,C194,PARÂMETROS!$G$8:$G$907,J194),SUMIFS(PARÂMETROS!$E$8:$E$907,PARÂMETROS!$A$8:$A$907,C194,PARÂMETROS!$G$8:$G$907,J194))</f>
        <v/>
      </c>
      <c r="E194" s="109">
        <f>SUMIFS(SETORES!$D:$D,SETORES!$A:$A,A194,SETORES!$F:$F,J194)</f>
        <v/>
      </c>
      <c r="F194" s="109">
        <f>IFERROR(D194*E194,0)</f>
        <v/>
      </c>
      <c r="G194" s="77">
        <f>SUMIFS(PARÂMETROS!$F$8:$F$907,PARÂMETROS!$A$8:$A$907,C194,PARÂMETROS!$G$8:$G$907,J194)</f>
        <v/>
      </c>
      <c r="H194" s="109">
        <f>IFERROR(F194*G194,0)</f>
        <v/>
      </c>
      <c r="I194" s="109">
        <f>F194+H194</f>
        <v/>
      </c>
      <c r="J194" s="106" t="inlineStr">
        <is>
          <t>Junho/2026</t>
        </is>
      </c>
    </row>
    <row r="195" hidden="1" ht="14.25" customHeight="1" s="64">
      <c r="A195" s="74" t="inlineStr">
        <is>
          <t>Estoque</t>
        </is>
      </c>
      <c r="B195" s="83">
        <f>INDEX(SETORES!$B:$B,MATCH(A195,SETORES!$A:$A,0))</f>
        <v/>
      </c>
      <c r="C195" s="74" t="inlineStr">
        <is>
          <t>Empresa Licenciada SOARES E SILVA</t>
        </is>
      </c>
      <c r="D195" s="72">
        <f>IF(B195="Clientes",SUMIFS(PARÂMETROS!$D$8:$D$907,PARÂMETROS!$A$8:$A$907,C195,PARÂMETROS!$G$8:$G$907,J195),SUMIFS(PARÂMETROS!$E$8:$E$907,PARÂMETROS!$A$8:$A$907,C195,PARÂMETROS!$G$8:$G$907,J195))</f>
        <v/>
      </c>
      <c r="E195" s="84">
        <f>SUMIFS(SETORES!$D:$D,SETORES!$A:$A,A195,SETORES!$F:$F,J195)</f>
        <v/>
      </c>
      <c r="F195" s="84">
        <f>IFERROR(D195*E195,0)</f>
        <v/>
      </c>
      <c r="G195" s="72">
        <f>SUMIFS(PARÂMETROS!$F$8:$F$907,PARÂMETROS!$A$8:$A$907,C195,PARÂMETROS!$G$8:$G$907,J195)</f>
        <v/>
      </c>
      <c r="H195" s="84">
        <f>IFERROR(F195*G195,0)</f>
        <v/>
      </c>
      <c r="I195" s="84">
        <f>F195+H195</f>
        <v/>
      </c>
      <c r="J195" s="74" t="inlineStr">
        <is>
          <t>Junho/2026</t>
        </is>
      </c>
    </row>
    <row r="196" hidden="1" ht="14.25" customHeight="1" s="64">
      <c r="A196" s="106" t="inlineStr">
        <is>
          <t>Estoque</t>
        </is>
      </c>
      <c r="B196" s="106">
        <f>INDEX(SETORES!$B:$B,MATCH(A196,SETORES!$A:$A,0))</f>
        <v/>
      </c>
      <c r="C196" s="106" t="inlineStr">
        <is>
          <t>Empresa Licenciada SOUZA E SILVA</t>
        </is>
      </c>
      <c r="D196" s="77">
        <f>IF(B196="Clientes",SUMIFS(PARÂMETROS!$D$8:$D$907,PARÂMETROS!$A$8:$A$907,C196,PARÂMETROS!$G$8:$G$907,J196),SUMIFS(PARÂMETROS!$E$8:$E$907,PARÂMETROS!$A$8:$A$907,C196,PARÂMETROS!$G$8:$G$907,J196))</f>
        <v/>
      </c>
      <c r="E196" s="109">
        <f>SUMIFS(SETORES!$D:$D,SETORES!$A:$A,A196,SETORES!$F:$F,J196)</f>
        <v/>
      </c>
      <c r="F196" s="109">
        <f>IFERROR(D196*E196,0)</f>
        <v/>
      </c>
      <c r="G196" s="77">
        <f>SUMIFS(PARÂMETROS!$F$8:$F$907,PARÂMETROS!$A$8:$A$907,C196,PARÂMETROS!$G$8:$G$907,J196)</f>
        <v/>
      </c>
      <c r="H196" s="109">
        <f>IFERROR(F196*G196,0)</f>
        <v/>
      </c>
      <c r="I196" s="109">
        <f>F196+H196</f>
        <v/>
      </c>
      <c r="J196" s="106" t="inlineStr">
        <is>
          <t>Junho/2026</t>
        </is>
      </c>
    </row>
    <row r="197" hidden="1" ht="14.25" customHeight="1" s="64">
      <c r="A197" s="74" t="inlineStr">
        <is>
          <t>Estoque</t>
        </is>
      </c>
      <c r="B197" s="83">
        <f>INDEX(SETORES!$B:$B,MATCH(A197,SETORES!$A:$A,0))</f>
        <v/>
      </c>
      <c r="C197" s="74" t="inlineStr">
        <is>
          <t>Empresa Licenciada VOICENET</t>
        </is>
      </c>
      <c r="D197" s="72">
        <f>IF(B197="Clientes",SUMIFS(PARÂMETROS!$D$8:$D$907,PARÂMETROS!$A$8:$A$907,C197,PARÂMETROS!$G$8:$G$907,J197),SUMIFS(PARÂMETROS!$E$8:$E$907,PARÂMETROS!$A$8:$A$907,C197,PARÂMETROS!$G$8:$G$907,J197))</f>
        <v/>
      </c>
      <c r="E197" s="84">
        <f>SUMIFS(SETORES!$D:$D,SETORES!$A:$A,A197,SETORES!$F:$F,J197)</f>
        <v/>
      </c>
      <c r="F197" s="84">
        <f>IFERROR(D197*E197,0)</f>
        <v/>
      </c>
      <c r="G197" s="72">
        <f>SUMIFS(PARÂMETROS!$F$8:$F$907,PARÂMETROS!$A$8:$A$907,C197,PARÂMETROS!$G$8:$G$907,J197)</f>
        <v/>
      </c>
      <c r="H197" s="84">
        <f>IFERROR(F197*G197,0)</f>
        <v/>
      </c>
      <c r="I197" s="84">
        <f>F197+H197</f>
        <v/>
      </c>
      <c r="J197" s="74" t="inlineStr">
        <is>
          <t>Junho/2026</t>
        </is>
      </c>
    </row>
    <row r="198" hidden="1" ht="14.25" customHeight="1" s="64">
      <c r="A198" s="106" t="inlineStr">
        <is>
          <t>Estoque</t>
        </is>
      </c>
      <c r="B198" s="106">
        <f>INDEX(SETORES!$B:$B,MATCH(A198,SETORES!$A:$A,0))</f>
        <v/>
      </c>
      <c r="C198" s="106" t="inlineStr">
        <is>
          <t>DTEL (uso próprio)</t>
        </is>
      </c>
      <c r="D198" s="77">
        <f>IF(B198="Clientes",SUMIFS(PARÂMETROS!$D$8:$D$907,PARÂMETROS!$A$8:$A$907,C198,PARÂMETROS!$G$8:$G$907,J198),SUMIFS(PARÂMETROS!$E$8:$E$907,PARÂMETROS!$A$8:$A$907,C198,PARÂMETROS!$G$8:$G$907,J198))</f>
        <v/>
      </c>
      <c r="E198" s="109">
        <f>SUMIFS(SETORES!$D:$D,SETORES!$A:$A,A198,SETORES!$F:$F,J198)</f>
        <v/>
      </c>
      <c r="F198" s="109">
        <f>IFERROR(D198*E198,0)</f>
        <v/>
      </c>
      <c r="G198" s="77">
        <f>SUMIFS(PARÂMETROS!$F$8:$F$907,PARÂMETROS!$A$8:$A$907,C198,PARÂMETROS!$G$8:$G$907,J198)</f>
        <v/>
      </c>
      <c r="H198" s="109">
        <f>IFERROR(F198*G198,0)</f>
        <v/>
      </c>
      <c r="I198" s="109">
        <f>F198+H198</f>
        <v/>
      </c>
      <c r="J198" s="106" t="inlineStr">
        <is>
          <t>Junho/2026</t>
        </is>
      </c>
    </row>
    <row r="199" hidden="1" ht="14.25" customHeight="1" s="64">
      <c r="A199" s="74" t="inlineStr">
        <is>
          <t>Televendas</t>
        </is>
      </c>
      <c r="B199" s="83">
        <f>INDEX(SETORES!$B:$B,MATCH(A199,SETORES!$A:$A,0))</f>
        <v/>
      </c>
      <c r="C199" s="74" t="inlineStr">
        <is>
          <t>Empresa Licenciada DX2</t>
        </is>
      </c>
      <c r="D199" s="72">
        <f>IF(B199="Clientes",SUMIFS(PARÂMETROS!$D$8:$D$907,PARÂMETROS!$A$8:$A$907,C199,PARÂMETROS!$G$8:$G$907,J199),SUMIFS(PARÂMETROS!$E$8:$E$907,PARÂMETROS!$A$8:$A$907,C199,PARÂMETROS!$G$8:$G$907,J199))</f>
        <v/>
      </c>
      <c r="E199" s="84">
        <f>SUMIFS(SETORES!$D:$D,SETORES!$A:$A,A199,SETORES!$F:$F,J199)</f>
        <v/>
      </c>
      <c r="F199" s="84">
        <f>IFERROR(D199*E199,0)</f>
        <v/>
      </c>
      <c r="G199" s="72">
        <f>SUMIFS(PARÂMETROS!$F$8:$F$907,PARÂMETROS!$A$8:$A$907,C199,PARÂMETROS!$G$8:$G$907,J199)</f>
        <v/>
      </c>
      <c r="H199" s="84">
        <f>IFERROR(F199*G199,0)</f>
        <v/>
      </c>
      <c r="I199" s="84">
        <f>F199+H199</f>
        <v/>
      </c>
      <c r="J199" s="74" t="inlineStr">
        <is>
          <t>Junho/2026</t>
        </is>
      </c>
    </row>
    <row r="200" hidden="1" ht="14.25" customHeight="1" s="64">
      <c r="A200" s="106" t="inlineStr">
        <is>
          <t>Televendas</t>
        </is>
      </c>
      <c r="B200" s="106">
        <f>INDEX(SETORES!$B:$B,MATCH(A200,SETORES!$A:$A,0))</f>
        <v/>
      </c>
      <c r="C200" s="106" t="inlineStr">
        <is>
          <t>Empresa Licenciada H&amp;A</t>
        </is>
      </c>
      <c r="D200" s="77">
        <f>IF(B200="Clientes",SUMIFS(PARÂMETROS!$D$8:$D$907,PARÂMETROS!$A$8:$A$907,C200,PARÂMETROS!$G$8:$G$907,J200),SUMIFS(PARÂMETROS!$E$8:$E$907,PARÂMETROS!$A$8:$A$907,C200,PARÂMETROS!$G$8:$G$907,J200))</f>
        <v/>
      </c>
      <c r="E200" s="109">
        <f>SUMIFS(SETORES!$D:$D,SETORES!$A:$A,A200,SETORES!$F:$F,J200)</f>
        <v/>
      </c>
      <c r="F200" s="109">
        <f>IFERROR(D200*E200,0)</f>
        <v/>
      </c>
      <c r="G200" s="77">
        <f>SUMIFS(PARÂMETROS!$F$8:$F$907,PARÂMETROS!$A$8:$A$907,C200,PARÂMETROS!$G$8:$G$907,J200)</f>
        <v/>
      </c>
      <c r="H200" s="109">
        <f>IFERROR(F200*G200,0)</f>
        <v/>
      </c>
      <c r="I200" s="109">
        <f>F200+H200</f>
        <v/>
      </c>
      <c r="J200" s="106" t="inlineStr">
        <is>
          <t>Junho/2026</t>
        </is>
      </c>
    </row>
    <row r="201" hidden="1" ht="14.25" customHeight="1" s="64">
      <c r="A201" s="74" t="inlineStr">
        <is>
          <t>Televendas</t>
        </is>
      </c>
      <c r="B201" s="83">
        <f>INDEX(SETORES!$B:$B,MATCH(A201,SETORES!$A:$A,0))</f>
        <v/>
      </c>
      <c r="C201" s="74" t="inlineStr">
        <is>
          <t>Empresa Licenciada SOLON ARAUJO</t>
        </is>
      </c>
      <c r="D201" s="72">
        <f>IF(B201="Clientes",SUMIFS(PARÂMETROS!$D$8:$D$907,PARÂMETROS!$A$8:$A$907,C201,PARÂMETROS!$G$8:$G$907,J201),SUMIFS(PARÂMETROS!$E$8:$E$907,PARÂMETROS!$A$8:$A$907,C201,PARÂMETROS!$G$8:$G$907,J201))</f>
        <v/>
      </c>
      <c r="E201" s="84">
        <f>SUMIFS(SETORES!$D:$D,SETORES!$A:$A,A201,SETORES!$F:$F,J201)</f>
        <v/>
      </c>
      <c r="F201" s="84">
        <f>IFERROR(D201*E201,0)</f>
        <v/>
      </c>
      <c r="G201" s="72">
        <f>SUMIFS(PARÂMETROS!$F$8:$F$907,PARÂMETROS!$A$8:$A$907,C201,PARÂMETROS!$G$8:$G$907,J201)</f>
        <v/>
      </c>
      <c r="H201" s="84">
        <f>IFERROR(F201*G201,0)</f>
        <v/>
      </c>
      <c r="I201" s="84">
        <f>F201+H201</f>
        <v/>
      </c>
      <c r="J201" s="74" t="inlineStr">
        <is>
          <t>Junho/2026</t>
        </is>
      </c>
    </row>
    <row r="202" ht="14.25" customHeight="1" s="64">
      <c r="A202" s="106" t="inlineStr">
        <is>
          <t>Televendas</t>
        </is>
      </c>
      <c r="B202" s="106">
        <f>INDEX(SETORES!$B:$B,MATCH(A202,SETORES!$A:$A,0))</f>
        <v/>
      </c>
      <c r="C202" s="106" t="inlineStr">
        <is>
          <t>Empresa Licenciada SOARES E LINS</t>
        </is>
      </c>
      <c r="D202" s="77">
        <f>IF(B202="Clientes",SUMIFS(PARÂMETROS!$D$8:$D$907,PARÂMETROS!$A$8:$A$907,C202,PARÂMETROS!$G$8:$G$907,J202),SUMIFS(PARÂMETROS!$E$8:$E$907,PARÂMETROS!$A$8:$A$907,C202,PARÂMETROS!$G$8:$G$907,J202))</f>
        <v/>
      </c>
      <c r="E202" s="109">
        <f>SUMIFS(SETORES!$D:$D,SETORES!$A:$A,A202,SETORES!$F:$F,J202)</f>
        <v/>
      </c>
      <c r="F202" s="109">
        <f>IFERROR(D202*E202,0)</f>
        <v/>
      </c>
      <c r="G202" s="77">
        <f>SUMIFS(PARÂMETROS!$F$8:$F$907,PARÂMETROS!$A$8:$A$907,C202,PARÂMETROS!$G$8:$G$907,J202)</f>
        <v/>
      </c>
      <c r="H202" s="109">
        <f>IFERROR(F202*G202,0)</f>
        <v/>
      </c>
      <c r="I202" s="109">
        <f>F202+H202</f>
        <v/>
      </c>
      <c r="J202" s="106" t="inlineStr">
        <is>
          <t>Junho/2026</t>
        </is>
      </c>
    </row>
    <row r="203" hidden="1" ht="14.25" customHeight="1" s="64">
      <c r="A203" s="74" t="inlineStr">
        <is>
          <t>Televendas</t>
        </is>
      </c>
      <c r="B203" s="83">
        <f>INDEX(SETORES!$B:$B,MATCH(A203,SETORES!$A:$A,0))</f>
        <v/>
      </c>
      <c r="C203" s="74" t="inlineStr">
        <is>
          <t>Empresa Licenciada SOARES E SILVA</t>
        </is>
      </c>
      <c r="D203" s="72">
        <f>IF(B203="Clientes",SUMIFS(PARÂMETROS!$D$8:$D$907,PARÂMETROS!$A$8:$A$907,C203,PARÂMETROS!$G$8:$G$907,J203),SUMIFS(PARÂMETROS!$E$8:$E$907,PARÂMETROS!$A$8:$A$907,C203,PARÂMETROS!$G$8:$G$907,J203))</f>
        <v/>
      </c>
      <c r="E203" s="84">
        <f>SUMIFS(SETORES!$D:$D,SETORES!$A:$A,A203,SETORES!$F:$F,J203)</f>
        <v/>
      </c>
      <c r="F203" s="84">
        <f>IFERROR(D203*E203,0)</f>
        <v/>
      </c>
      <c r="G203" s="72">
        <f>SUMIFS(PARÂMETROS!$F$8:$F$907,PARÂMETROS!$A$8:$A$907,C203,PARÂMETROS!$G$8:$G$907,J203)</f>
        <v/>
      </c>
      <c r="H203" s="84">
        <f>IFERROR(F203*G203,0)</f>
        <v/>
      </c>
      <c r="I203" s="84">
        <f>F203+H203</f>
        <v/>
      </c>
      <c r="J203" s="74" t="inlineStr">
        <is>
          <t>Junho/2026</t>
        </is>
      </c>
    </row>
    <row r="204" hidden="1" ht="14.25" customHeight="1" s="64">
      <c r="A204" s="106" t="inlineStr">
        <is>
          <t>Televendas</t>
        </is>
      </c>
      <c r="B204" s="106">
        <f>INDEX(SETORES!$B:$B,MATCH(A204,SETORES!$A:$A,0))</f>
        <v/>
      </c>
      <c r="C204" s="106" t="inlineStr">
        <is>
          <t>Empresa Licenciada SOUZA E SILVA</t>
        </is>
      </c>
      <c r="D204" s="77">
        <f>IF(B204="Clientes",SUMIFS(PARÂMETROS!$D$8:$D$907,PARÂMETROS!$A$8:$A$907,C204,PARÂMETROS!$G$8:$G$907,J204),SUMIFS(PARÂMETROS!$E$8:$E$907,PARÂMETROS!$A$8:$A$907,C204,PARÂMETROS!$G$8:$G$907,J204))</f>
        <v/>
      </c>
      <c r="E204" s="109">
        <f>SUMIFS(SETORES!$D:$D,SETORES!$A:$A,A204,SETORES!$F:$F,J204)</f>
        <v/>
      </c>
      <c r="F204" s="109">
        <f>IFERROR(D204*E204,0)</f>
        <v/>
      </c>
      <c r="G204" s="77">
        <f>SUMIFS(PARÂMETROS!$F$8:$F$907,PARÂMETROS!$A$8:$A$907,C204,PARÂMETROS!$G$8:$G$907,J204)</f>
        <v/>
      </c>
      <c r="H204" s="109">
        <f>IFERROR(F204*G204,0)</f>
        <v/>
      </c>
      <c r="I204" s="109">
        <f>F204+H204</f>
        <v/>
      </c>
      <c r="J204" s="106" t="inlineStr">
        <is>
          <t>Junho/2026</t>
        </is>
      </c>
    </row>
    <row r="205" hidden="1" ht="14.25" customHeight="1" s="64">
      <c r="A205" s="74" t="inlineStr">
        <is>
          <t>Televendas</t>
        </is>
      </c>
      <c r="B205" s="83">
        <f>INDEX(SETORES!$B:$B,MATCH(A205,SETORES!$A:$A,0))</f>
        <v/>
      </c>
      <c r="C205" s="74" t="inlineStr">
        <is>
          <t>Empresa Licenciada VOICENET</t>
        </is>
      </c>
      <c r="D205" s="72">
        <f>IF(B205="Clientes",SUMIFS(PARÂMETROS!$D$8:$D$907,PARÂMETROS!$A$8:$A$907,C205,PARÂMETROS!$G$8:$G$907,J205),SUMIFS(PARÂMETROS!$E$8:$E$907,PARÂMETROS!$A$8:$A$907,C205,PARÂMETROS!$G$8:$G$907,J205))</f>
        <v/>
      </c>
      <c r="E205" s="84">
        <f>SUMIFS(SETORES!$D:$D,SETORES!$A:$A,A205,SETORES!$F:$F,J205)</f>
        <v/>
      </c>
      <c r="F205" s="84">
        <f>IFERROR(D205*E205,0)</f>
        <v/>
      </c>
      <c r="G205" s="72">
        <f>SUMIFS(PARÂMETROS!$F$8:$F$907,PARÂMETROS!$A$8:$A$907,C205,PARÂMETROS!$G$8:$G$907,J205)</f>
        <v/>
      </c>
      <c r="H205" s="84">
        <f>IFERROR(F205*G205,0)</f>
        <v/>
      </c>
      <c r="I205" s="84">
        <f>F205+H205</f>
        <v/>
      </c>
      <c r="J205" s="74" t="inlineStr">
        <is>
          <t>Junho/2026</t>
        </is>
      </c>
    </row>
    <row r="206" hidden="1" ht="14.25" customHeight="1" s="64">
      <c r="A206" s="106" t="inlineStr">
        <is>
          <t>Televendas</t>
        </is>
      </c>
      <c r="B206" s="106">
        <f>INDEX(SETORES!$B:$B,MATCH(A206,SETORES!$A:$A,0))</f>
        <v/>
      </c>
      <c r="C206" s="106" t="inlineStr">
        <is>
          <t>DTEL (uso próprio)</t>
        </is>
      </c>
      <c r="D206" s="77">
        <f>IF(B206="Clientes",SUMIFS(PARÂMETROS!$D$8:$D$907,PARÂMETROS!$A$8:$A$907,C206,PARÂMETROS!$G$8:$G$907,J206),SUMIFS(PARÂMETROS!$E$8:$E$907,PARÂMETROS!$A$8:$A$907,C206,PARÂMETROS!$G$8:$G$907,J206))</f>
        <v/>
      </c>
      <c r="E206" s="109">
        <f>SUMIFS(SETORES!$D:$D,SETORES!$A:$A,A206,SETORES!$F:$F,J206)</f>
        <v/>
      </c>
      <c r="F206" s="109">
        <f>IFERROR(D206*E206,0)</f>
        <v/>
      </c>
      <c r="G206" s="77">
        <f>SUMIFS(PARÂMETROS!$F$8:$F$907,PARÂMETROS!$A$8:$A$907,C206,PARÂMETROS!$G$8:$G$907,J206)</f>
        <v/>
      </c>
      <c r="H206" s="109">
        <f>IFERROR(F206*G206,0)</f>
        <v/>
      </c>
      <c r="I206" s="109">
        <f>F206+H206</f>
        <v/>
      </c>
      <c r="J206" s="106" t="inlineStr">
        <is>
          <t>Junho/2026</t>
        </is>
      </c>
    </row>
    <row r="207" hidden="1" ht="14.25" customHeight="1" s="64">
      <c r="A207" s="74" t="inlineStr">
        <is>
          <t>Suporte Orbix</t>
        </is>
      </c>
      <c r="B207" s="83">
        <f>INDEX(SETORES!$B:$B,MATCH(A207,SETORES!$A:$A,0))</f>
        <v/>
      </c>
      <c r="C207" s="74" t="inlineStr">
        <is>
          <t>Empresa Licenciada DX2</t>
        </is>
      </c>
      <c r="D207" s="72">
        <f>IF(B207="Clientes",SUMIFS(PARÂMETROS!$D$8:$D$907,PARÂMETROS!$A$8:$A$907,C207,PARÂMETROS!$G$8:$G$907,J207),SUMIFS(PARÂMETROS!$E$8:$E$907,PARÂMETROS!$A$8:$A$907,C207,PARÂMETROS!$G$8:$G$907,J207))</f>
        <v/>
      </c>
      <c r="E207" s="84">
        <f>SUMIFS(SETORES!$D:$D,SETORES!$A:$A,A207,SETORES!$F:$F,J207)</f>
        <v/>
      </c>
      <c r="F207" s="84">
        <f>IFERROR(D207*E207,0)</f>
        <v/>
      </c>
      <c r="G207" s="72">
        <f>SUMIFS(PARÂMETROS!$F$8:$F$907,PARÂMETROS!$A$8:$A$907,C207,PARÂMETROS!$G$8:$G$907,J207)</f>
        <v/>
      </c>
      <c r="H207" s="84">
        <f>IFERROR(F207*G207,0)</f>
        <v/>
      </c>
      <c r="I207" s="84">
        <f>F207+H207</f>
        <v/>
      </c>
      <c r="J207" s="74" t="inlineStr">
        <is>
          <t>Junho/2026</t>
        </is>
      </c>
    </row>
    <row r="208" hidden="1" ht="14.25" customHeight="1" s="64">
      <c r="A208" s="106" t="inlineStr">
        <is>
          <t>Suporte Orbix</t>
        </is>
      </c>
      <c r="B208" s="106">
        <f>INDEX(SETORES!$B:$B,MATCH(A208,SETORES!$A:$A,0))</f>
        <v/>
      </c>
      <c r="C208" s="106" t="inlineStr">
        <is>
          <t>Empresa Licenciada H&amp;A</t>
        </is>
      </c>
      <c r="D208" s="77">
        <f>IF(B208="Clientes",SUMIFS(PARÂMETROS!$D$8:$D$907,PARÂMETROS!$A$8:$A$907,C208,PARÂMETROS!$G$8:$G$907,J208),SUMIFS(PARÂMETROS!$E$8:$E$907,PARÂMETROS!$A$8:$A$907,C208,PARÂMETROS!$G$8:$G$907,J208))</f>
        <v/>
      </c>
      <c r="E208" s="109">
        <f>SUMIFS(SETORES!$D:$D,SETORES!$A:$A,A208,SETORES!$F:$F,J208)</f>
        <v/>
      </c>
      <c r="F208" s="109">
        <f>IFERROR(D208*E208,0)</f>
        <v/>
      </c>
      <c r="G208" s="77">
        <f>SUMIFS(PARÂMETROS!$F$8:$F$907,PARÂMETROS!$A$8:$A$907,C208,PARÂMETROS!$G$8:$G$907,J208)</f>
        <v/>
      </c>
      <c r="H208" s="109">
        <f>IFERROR(F208*G208,0)</f>
        <v/>
      </c>
      <c r="I208" s="109">
        <f>F208+H208</f>
        <v/>
      </c>
      <c r="J208" s="106" t="inlineStr">
        <is>
          <t>Junho/2026</t>
        </is>
      </c>
    </row>
    <row r="209" hidden="1" ht="14.25" customHeight="1" s="64">
      <c r="A209" s="74" t="inlineStr">
        <is>
          <t>Suporte Orbix</t>
        </is>
      </c>
      <c r="B209" s="83">
        <f>INDEX(SETORES!$B:$B,MATCH(A209,SETORES!$A:$A,0))</f>
        <v/>
      </c>
      <c r="C209" s="74" t="inlineStr">
        <is>
          <t>Empresa Licenciada SOLON ARAUJO</t>
        </is>
      </c>
      <c r="D209" s="72">
        <f>IF(B209="Clientes",SUMIFS(PARÂMETROS!$D$8:$D$907,PARÂMETROS!$A$8:$A$907,C209,PARÂMETROS!$G$8:$G$907,J209),SUMIFS(PARÂMETROS!$E$8:$E$907,PARÂMETROS!$A$8:$A$907,C209,PARÂMETROS!$G$8:$G$907,J209))</f>
        <v/>
      </c>
      <c r="E209" s="84">
        <f>SUMIFS(SETORES!$D:$D,SETORES!$A:$A,A209,SETORES!$F:$F,J209)</f>
        <v/>
      </c>
      <c r="F209" s="84">
        <f>IFERROR(D209*E209,0)</f>
        <v/>
      </c>
      <c r="G209" s="72">
        <f>SUMIFS(PARÂMETROS!$F$8:$F$907,PARÂMETROS!$A$8:$A$907,C209,PARÂMETROS!$G$8:$G$907,J209)</f>
        <v/>
      </c>
      <c r="H209" s="84">
        <f>IFERROR(F209*G209,0)</f>
        <v/>
      </c>
      <c r="I209" s="84">
        <f>F209+H209</f>
        <v/>
      </c>
      <c r="J209" s="74" t="inlineStr">
        <is>
          <t>Junho/2026</t>
        </is>
      </c>
    </row>
    <row r="210" ht="14.25" customHeight="1" s="64">
      <c r="A210" s="106" t="inlineStr">
        <is>
          <t>Suporte Orbix</t>
        </is>
      </c>
      <c r="B210" s="106">
        <f>INDEX(SETORES!$B:$B,MATCH(A210,SETORES!$A:$A,0))</f>
        <v/>
      </c>
      <c r="C210" s="106" t="inlineStr">
        <is>
          <t>Empresa Licenciada SOARES E LINS</t>
        </is>
      </c>
      <c r="D210" s="77">
        <f>IF(B210="Clientes",SUMIFS(PARÂMETROS!$D$8:$D$907,PARÂMETROS!$A$8:$A$907,C210,PARÂMETROS!$G$8:$G$907,J210),SUMIFS(PARÂMETROS!$E$8:$E$907,PARÂMETROS!$A$8:$A$907,C210,PARÂMETROS!$G$8:$G$907,J210))</f>
        <v/>
      </c>
      <c r="E210" s="109">
        <f>SUMIFS(SETORES!$D:$D,SETORES!$A:$A,A210,SETORES!$F:$F,J210)</f>
        <v/>
      </c>
      <c r="F210" s="109">
        <f>IFERROR(D210*E210,0)</f>
        <v/>
      </c>
      <c r="G210" s="77">
        <f>SUMIFS(PARÂMETROS!$F$8:$F$907,PARÂMETROS!$A$8:$A$907,C210,PARÂMETROS!$G$8:$G$907,J210)</f>
        <v/>
      </c>
      <c r="H210" s="109">
        <f>IFERROR(F210*G210,0)</f>
        <v/>
      </c>
      <c r="I210" s="109">
        <f>F210+H210</f>
        <v/>
      </c>
      <c r="J210" s="106" t="inlineStr">
        <is>
          <t>Junho/2026</t>
        </is>
      </c>
    </row>
    <row r="211" hidden="1" ht="14.25" customHeight="1" s="64">
      <c r="A211" s="74" t="inlineStr">
        <is>
          <t>Suporte Orbix</t>
        </is>
      </c>
      <c r="B211" s="83">
        <f>INDEX(SETORES!$B:$B,MATCH(A211,SETORES!$A:$A,0))</f>
        <v/>
      </c>
      <c r="C211" s="74" t="inlineStr">
        <is>
          <t>Empresa Licenciada SOARES E SILVA</t>
        </is>
      </c>
      <c r="D211" s="72">
        <f>IF(B211="Clientes",SUMIFS(PARÂMETROS!$D$8:$D$907,PARÂMETROS!$A$8:$A$907,C211,PARÂMETROS!$G$8:$G$907,J211),SUMIFS(PARÂMETROS!$E$8:$E$907,PARÂMETROS!$A$8:$A$907,C211,PARÂMETROS!$G$8:$G$907,J211))</f>
        <v/>
      </c>
      <c r="E211" s="84">
        <f>SUMIFS(SETORES!$D:$D,SETORES!$A:$A,A211,SETORES!$F:$F,J211)</f>
        <v/>
      </c>
      <c r="F211" s="84">
        <f>IFERROR(D211*E211,0)</f>
        <v/>
      </c>
      <c r="G211" s="72">
        <f>SUMIFS(PARÂMETROS!$F$8:$F$907,PARÂMETROS!$A$8:$A$907,C211,PARÂMETROS!$G$8:$G$907,J211)</f>
        <v/>
      </c>
      <c r="H211" s="84">
        <f>IFERROR(F211*G211,0)</f>
        <v/>
      </c>
      <c r="I211" s="84">
        <f>F211+H211</f>
        <v/>
      </c>
      <c r="J211" s="74" t="inlineStr">
        <is>
          <t>Junho/2026</t>
        </is>
      </c>
    </row>
    <row r="212" hidden="1" ht="14.25" customHeight="1" s="64">
      <c r="A212" s="106" t="inlineStr">
        <is>
          <t>Suporte Orbix</t>
        </is>
      </c>
      <c r="B212" s="106">
        <f>INDEX(SETORES!$B:$B,MATCH(A212,SETORES!$A:$A,0))</f>
        <v/>
      </c>
      <c r="C212" s="106" t="inlineStr">
        <is>
          <t>Empresa Licenciada SOUZA E SILVA</t>
        </is>
      </c>
      <c r="D212" s="77">
        <f>IF(B212="Clientes",SUMIFS(PARÂMETROS!$D$8:$D$907,PARÂMETROS!$A$8:$A$907,C212,PARÂMETROS!$G$8:$G$907,J212),SUMIFS(PARÂMETROS!$E$8:$E$907,PARÂMETROS!$A$8:$A$907,C212,PARÂMETROS!$G$8:$G$907,J212))</f>
        <v/>
      </c>
      <c r="E212" s="109">
        <f>SUMIFS(SETORES!$D:$D,SETORES!$A:$A,A212,SETORES!$F:$F,J212)</f>
        <v/>
      </c>
      <c r="F212" s="109">
        <f>IFERROR(D212*E212,0)</f>
        <v/>
      </c>
      <c r="G212" s="77">
        <f>SUMIFS(PARÂMETROS!$F$8:$F$907,PARÂMETROS!$A$8:$A$907,C212,PARÂMETROS!$G$8:$G$907,J212)</f>
        <v/>
      </c>
      <c r="H212" s="109">
        <f>IFERROR(F212*G212,0)</f>
        <v/>
      </c>
      <c r="I212" s="109">
        <f>F212+H212</f>
        <v/>
      </c>
      <c r="J212" s="106" t="inlineStr">
        <is>
          <t>Junho/2026</t>
        </is>
      </c>
    </row>
    <row r="213" hidden="1" ht="14.25" customHeight="1" s="64">
      <c r="A213" s="74" t="inlineStr">
        <is>
          <t>Suporte Orbix</t>
        </is>
      </c>
      <c r="B213" s="83">
        <f>INDEX(SETORES!$B:$B,MATCH(A213,SETORES!$A:$A,0))</f>
        <v/>
      </c>
      <c r="C213" s="74" t="inlineStr">
        <is>
          <t>Empresa Licenciada VOICENET</t>
        </is>
      </c>
      <c r="D213" s="72">
        <f>IF(B213="Clientes",SUMIFS(PARÂMETROS!$D$8:$D$907,PARÂMETROS!$A$8:$A$907,C213,PARÂMETROS!$G$8:$G$907,J213),SUMIFS(PARÂMETROS!$E$8:$E$907,PARÂMETROS!$A$8:$A$907,C213,PARÂMETROS!$G$8:$G$907,J213))</f>
        <v/>
      </c>
      <c r="E213" s="84">
        <f>SUMIFS(SETORES!$D:$D,SETORES!$A:$A,A213,SETORES!$F:$F,J213)</f>
        <v/>
      </c>
      <c r="F213" s="84">
        <f>IFERROR(D213*E213,0)</f>
        <v/>
      </c>
      <c r="G213" s="72">
        <f>SUMIFS(PARÂMETROS!$F$8:$F$907,PARÂMETROS!$A$8:$A$907,C213,PARÂMETROS!$G$8:$G$907,J213)</f>
        <v/>
      </c>
      <c r="H213" s="84">
        <f>IFERROR(F213*G213,0)</f>
        <v/>
      </c>
      <c r="I213" s="84">
        <f>F213+H213</f>
        <v/>
      </c>
      <c r="J213" s="74" t="inlineStr">
        <is>
          <t>Junho/2026</t>
        </is>
      </c>
    </row>
    <row r="214" hidden="1" ht="14.25" customHeight="1" s="64">
      <c r="A214" s="106" t="inlineStr">
        <is>
          <t>Suporte Orbix</t>
        </is>
      </c>
      <c r="B214" s="106">
        <f>INDEX(SETORES!$B:$B,MATCH(A214,SETORES!$A:$A,0))</f>
        <v/>
      </c>
      <c r="C214" s="106" t="inlineStr">
        <is>
          <t>DTEL (uso próprio)</t>
        </is>
      </c>
      <c r="D214" s="77">
        <f>IF(B214="Clientes",SUMIFS(PARÂMETROS!$D$8:$D$907,PARÂMETROS!$A$8:$A$907,C214,PARÂMETROS!$G$8:$G$907,J214),SUMIFS(PARÂMETROS!$E$8:$E$907,PARÂMETROS!$A$8:$A$907,C214,PARÂMETROS!$G$8:$G$907,J214))</f>
        <v/>
      </c>
      <c r="E214" s="109">
        <f>SUMIFS(SETORES!$D:$D,SETORES!$A:$A,A214,SETORES!$F:$F,J214)</f>
        <v/>
      </c>
      <c r="F214" s="109">
        <f>IFERROR(D214*E214,0)</f>
        <v/>
      </c>
      <c r="G214" s="77">
        <f>SUMIFS(PARÂMETROS!$F$8:$F$907,PARÂMETROS!$A$8:$A$907,C214,PARÂMETROS!$G$8:$G$907,J214)</f>
        <v/>
      </c>
      <c r="H214" s="109">
        <f>IFERROR(F214*G214,0)</f>
        <v/>
      </c>
      <c r="I214" s="109">
        <f>F214+H214</f>
        <v/>
      </c>
      <c r="J214" s="106" t="inlineStr">
        <is>
          <t>Junho/2026</t>
        </is>
      </c>
    </row>
    <row r="215" hidden="1" ht="14.25" customHeight="1" s="64">
      <c r="A215" s="74" t="inlineStr">
        <is>
          <t>Suporte da Central</t>
        </is>
      </c>
      <c r="B215" s="83">
        <f>INDEX(SETORES!$B:$B,MATCH(A215,SETORES!$A:$A,0))</f>
        <v/>
      </c>
      <c r="C215" s="74" t="inlineStr">
        <is>
          <t>Empresa Licenciada DX2</t>
        </is>
      </c>
      <c r="D215" s="72">
        <f>IF(B215="Clientes",SUMIFS(PARÂMETROS!$D$8:$D$907,PARÂMETROS!$A$8:$A$907,C215,PARÂMETROS!$G$8:$G$907,J215),SUMIFS(PARÂMETROS!$E$8:$E$907,PARÂMETROS!$A$8:$A$907,C215,PARÂMETROS!$G$8:$G$907,J215))</f>
        <v/>
      </c>
      <c r="E215" s="84">
        <f>SUMIFS(SETORES!$D:$D,SETORES!$A:$A,A215,SETORES!$F:$F,J215)</f>
        <v/>
      </c>
      <c r="F215" s="84">
        <f>IFERROR(D215*E215,0)</f>
        <v/>
      </c>
      <c r="G215" s="72">
        <f>SUMIFS(PARÂMETROS!$F$8:$F$907,PARÂMETROS!$A$8:$A$907,C215,PARÂMETROS!$G$8:$G$907,J215)</f>
        <v/>
      </c>
      <c r="H215" s="84">
        <f>IFERROR(F215*G215,0)</f>
        <v/>
      </c>
      <c r="I215" s="84">
        <f>F215+H215</f>
        <v/>
      </c>
      <c r="J215" s="74" t="inlineStr">
        <is>
          <t>Junho/2026</t>
        </is>
      </c>
    </row>
    <row r="216" hidden="1" ht="14.25" customHeight="1" s="64">
      <c r="A216" s="106" t="inlineStr">
        <is>
          <t>Suporte da Central</t>
        </is>
      </c>
      <c r="B216" s="106">
        <f>INDEX(SETORES!$B:$B,MATCH(A216,SETORES!$A:$A,0))</f>
        <v/>
      </c>
      <c r="C216" s="106" t="inlineStr">
        <is>
          <t>Empresa Licenciada H&amp;A</t>
        </is>
      </c>
      <c r="D216" s="77">
        <f>IF(B216="Clientes",SUMIFS(PARÂMETROS!$D$8:$D$907,PARÂMETROS!$A$8:$A$907,C216,PARÂMETROS!$G$8:$G$907,J216),SUMIFS(PARÂMETROS!$E$8:$E$907,PARÂMETROS!$A$8:$A$907,C216,PARÂMETROS!$G$8:$G$907,J216))</f>
        <v/>
      </c>
      <c r="E216" s="109">
        <f>SUMIFS(SETORES!$D:$D,SETORES!$A:$A,A216,SETORES!$F:$F,J216)</f>
        <v/>
      </c>
      <c r="F216" s="109">
        <f>IFERROR(D216*E216,0)</f>
        <v/>
      </c>
      <c r="G216" s="77">
        <f>SUMIFS(PARÂMETROS!$F$8:$F$907,PARÂMETROS!$A$8:$A$907,C216,PARÂMETROS!$G$8:$G$907,J216)</f>
        <v/>
      </c>
      <c r="H216" s="109">
        <f>IFERROR(F216*G216,0)</f>
        <v/>
      </c>
      <c r="I216" s="109">
        <f>F216+H216</f>
        <v/>
      </c>
      <c r="J216" s="106" t="inlineStr">
        <is>
          <t>Junho/2026</t>
        </is>
      </c>
    </row>
    <row r="217" hidden="1" ht="14.25" customHeight="1" s="64">
      <c r="A217" s="74" t="inlineStr">
        <is>
          <t>Suporte da Central</t>
        </is>
      </c>
      <c r="B217" s="83">
        <f>INDEX(SETORES!$B:$B,MATCH(A217,SETORES!$A:$A,0))</f>
        <v/>
      </c>
      <c r="C217" s="74" t="inlineStr">
        <is>
          <t>Empresa Licenciada SOLON ARAUJO</t>
        </is>
      </c>
      <c r="D217" s="72">
        <f>IF(B217="Clientes",SUMIFS(PARÂMETROS!$D$8:$D$907,PARÂMETROS!$A$8:$A$907,C217,PARÂMETROS!$G$8:$G$907,J217),SUMIFS(PARÂMETROS!$E$8:$E$907,PARÂMETROS!$A$8:$A$907,C217,PARÂMETROS!$G$8:$G$907,J217))</f>
        <v/>
      </c>
      <c r="E217" s="84">
        <f>SUMIFS(SETORES!$D:$D,SETORES!$A:$A,A217,SETORES!$F:$F,J217)</f>
        <v/>
      </c>
      <c r="F217" s="84">
        <f>IFERROR(D217*E217,0)</f>
        <v/>
      </c>
      <c r="G217" s="72">
        <f>SUMIFS(PARÂMETROS!$F$8:$F$907,PARÂMETROS!$A$8:$A$907,C217,PARÂMETROS!$G$8:$G$907,J217)</f>
        <v/>
      </c>
      <c r="H217" s="84">
        <f>IFERROR(F217*G217,0)</f>
        <v/>
      </c>
      <c r="I217" s="84">
        <f>F217+H217</f>
        <v/>
      </c>
      <c r="J217" s="74" t="inlineStr">
        <is>
          <t>Junho/2026</t>
        </is>
      </c>
    </row>
    <row r="218" ht="14.25" customHeight="1" s="64">
      <c r="A218" s="106" t="inlineStr">
        <is>
          <t>Suporte da Central</t>
        </is>
      </c>
      <c r="B218" s="106">
        <f>INDEX(SETORES!$B:$B,MATCH(A218,SETORES!$A:$A,0))</f>
        <v/>
      </c>
      <c r="C218" s="106" t="inlineStr">
        <is>
          <t>Empresa Licenciada SOARES E LINS</t>
        </is>
      </c>
      <c r="D218" s="77">
        <f>IF(B218="Clientes",SUMIFS(PARÂMETROS!$D$8:$D$907,PARÂMETROS!$A$8:$A$907,C218,PARÂMETROS!$G$8:$G$907,J218),SUMIFS(PARÂMETROS!$E$8:$E$907,PARÂMETROS!$A$8:$A$907,C218,PARÂMETROS!$G$8:$G$907,J218))</f>
        <v/>
      </c>
      <c r="E218" s="109">
        <f>SUMIFS(SETORES!$D:$D,SETORES!$A:$A,A218,SETORES!$F:$F,J218)</f>
        <v/>
      </c>
      <c r="F218" s="109">
        <f>IFERROR(D218*E218,0)</f>
        <v/>
      </c>
      <c r="G218" s="77">
        <f>SUMIFS(PARÂMETROS!$F$8:$F$907,PARÂMETROS!$A$8:$A$907,C218,PARÂMETROS!$G$8:$G$907,J218)</f>
        <v/>
      </c>
      <c r="H218" s="109">
        <f>IFERROR(F218*G218,0)</f>
        <v/>
      </c>
      <c r="I218" s="109">
        <f>F218+H218</f>
        <v/>
      </c>
      <c r="J218" s="106" t="inlineStr">
        <is>
          <t>Junho/2026</t>
        </is>
      </c>
    </row>
    <row r="219" hidden="1" ht="14.25" customHeight="1" s="64">
      <c r="A219" s="74" t="inlineStr">
        <is>
          <t>Suporte da Central</t>
        </is>
      </c>
      <c r="B219" s="83">
        <f>INDEX(SETORES!$B:$B,MATCH(A219,SETORES!$A:$A,0))</f>
        <v/>
      </c>
      <c r="C219" s="74" t="inlineStr">
        <is>
          <t>Empresa Licenciada SOARES E SILVA</t>
        </is>
      </c>
      <c r="D219" s="72">
        <f>IF(B219="Clientes",SUMIFS(PARÂMETROS!$D$8:$D$907,PARÂMETROS!$A$8:$A$907,C219,PARÂMETROS!$G$8:$G$907,J219),SUMIFS(PARÂMETROS!$E$8:$E$907,PARÂMETROS!$A$8:$A$907,C219,PARÂMETROS!$G$8:$G$907,J219))</f>
        <v/>
      </c>
      <c r="E219" s="84">
        <f>SUMIFS(SETORES!$D:$D,SETORES!$A:$A,A219,SETORES!$F:$F,J219)</f>
        <v/>
      </c>
      <c r="F219" s="84">
        <f>IFERROR(D219*E219,0)</f>
        <v/>
      </c>
      <c r="G219" s="72">
        <f>SUMIFS(PARÂMETROS!$F$8:$F$907,PARÂMETROS!$A$8:$A$907,C219,PARÂMETROS!$G$8:$G$907,J219)</f>
        <v/>
      </c>
      <c r="H219" s="84">
        <f>IFERROR(F219*G219,0)</f>
        <v/>
      </c>
      <c r="I219" s="84">
        <f>F219+H219</f>
        <v/>
      </c>
      <c r="J219" s="74" t="inlineStr">
        <is>
          <t>Junho/2026</t>
        </is>
      </c>
    </row>
    <row r="220" hidden="1" ht="14.25" customHeight="1" s="64">
      <c r="A220" s="106" t="inlineStr">
        <is>
          <t>Suporte da Central</t>
        </is>
      </c>
      <c r="B220" s="106">
        <f>INDEX(SETORES!$B:$B,MATCH(A220,SETORES!$A:$A,0))</f>
        <v/>
      </c>
      <c r="C220" s="106" t="inlineStr">
        <is>
          <t>Empresa Licenciada SOUZA E SILVA</t>
        </is>
      </c>
      <c r="D220" s="77">
        <f>IF(B220="Clientes",SUMIFS(PARÂMETROS!$D$8:$D$907,PARÂMETROS!$A$8:$A$907,C220,PARÂMETROS!$G$8:$G$907,J220),SUMIFS(PARÂMETROS!$E$8:$E$907,PARÂMETROS!$A$8:$A$907,C220,PARÂMETROS!$G$8:$G$907,J220))</f>
        <v/>
      </c>
      <c r="E220" s="109">
        <f>SUMIFS(SETORES!$D:$D,SETORES!$A:$A,A220,SETORES!$F:$F,J220)</f>
        <v/>
      </c>
      <c r="F220" s="109">
        <f>IFERROR(D220*E220,0)</f>
        <v/>
      </c>
      <c r="G220" s="77">
        <f>SUMIFS(PARÂMETROS!$F$8:$F$907,PARÂMETROS!$A$8:$A$907,C220,PARÂMETROS!$G$8:$G$907,J220)</f>
        <v/>
      </c>
      <c r="H220" s="109">
        <f>IFERROR(F220*G220,0)</f>
        <v/>
      </c>
      <c r="I220" s="109">
        <f>F220+H220</f>
        <v/>
      </c>
      <c r="J220" s="106" t="inlineStr">
        <is>
          <t>Junho/2026</t>
        </is>
      </c>
    </row>
    <row r="221" hidden="1" ht="14.25" customHeight="1" s="64">
      <c r="A221" s="74" t="inlineStr">
        <is>
          <t>Suporte da Central</t>
        </is>
      </c>
      <c r="B221" s="83">
        <f>INDEX(SETORES!$B:$B,MATCH(A221,SETORES!$A:$A,0))</f>
        <v/>
      </c>
      <c r="C221" s="74" t="inlineStr">
        <is>
          <t>Empresa Licenciada VOICENET</t>
        </is>
      </c>
      <c r="D221" s="72">
        <f>IF(B221="Clientes",SUMIFS(PARÂMETROS!$D$8:$D$907,PARÂMETROS!$A$8:$A$907,C221,PARÂMETROS!$G$8:$G$907,J221),SUMIFS(PARÂMETROS!$E$8:$E$907,PARÂMETROS!$A$8:$A$907,C221,PARÂMETROS!$G$8:$G$907,J221))</f>
        <v/>
      </c>
      <c r="E221" s="84">
        <f>SUMIFS(SETORES!$D:$D,SETORES!$A:$A,A221,SETORES!$F:$F,J221)</f>
        <v/>
      </c>
      <c r="F221" s="84">
        <f>IFERROR(D221*E221,0)</f>
        <v/>
      </c>
      <c r="G221" s="72">
        <f>SUMIFS(PARÂMETROS!$F$8:$F$907,PARÂMETROS!$A$8:$A$907,C221,PARÂMETROS!$G$8:$G$907,J221)</f>
        <v/>
      </c>
      <c r="H221" s="84">
        <f>IFERROR(F221*G221,0)</f>
        <v/>
      </c>
      <c r="I221" s="84">
        <f>F221+H221</f>
        <v/>
      </c>
      <c r="J221" s="74" t="inlineStr">
        <is>
          <t>Junho/2026</t>
        </is>
      </c>
    </row>
    <row r="222" hidden="1" ht="14.25" customHeight="1" s="64">
      <c r="A222" s="106" t="inlineStr">
        <is>
          <t>Suporte da Central</t>
        </is>
      </c>
      <c r="B222" s="106">
        <f>INDEX(SETORES!$B:$B,MATCH(A222,SETORES!$A:$A,0))</f>
        <v/>
      </c>
      <c r="C222" s="106" t="inlineStr">
        <is>
          <t>DTEL (uso próprio)</t>
        </is>
      </c>
      <c r="D222" s="77">
        <f>IF(B222="Clientes",SUMIFS(PARÂMETROS!$D$8:$D$907,PARÂMETROS!$A$8:$A$907,C222,PARÂMETROS!$G$8:$G$907,J222),SUMIFS(PARÂMETROS!$E$8:$E$907,PARÂMETROS!$A$8:$A$907,C222,PARÂMETROS!$G$8:$G$907,J222))</f>
        <v/>
      </c>
      <c r="E222" s="109">
        <f>SUMIFS(SETORES!$D:$D,SETORES!$A:$A,A222,SETORES!$F:$F,J222)</f>
        <v/>
      </c>
      <c r="F222" s="109">
        <f>IFERROR(D222*E222,0)</f>
        <v/>
      </c>
      <c r="G222" s="77">
        <f>SUMIFS(PARÂMETROS!$F$8:$F$907,PARÂMETROS!$A$8:$A$907,C222,PARÂMETROS!$G$8:$G$907,J222)</f>
        <v/>
      </c>
      <c r="H222" s="109">
        <f>IFERROR(F222*G222,0)</f>
        <v/>
      </c>
      <c r="I222" s="109">
        <f>F222+H222</f>
        <v/>
      </c>
      <c r="J222" s="106" t="inlineStr">
        <is>
          <t>Junho/2026</t>
        </is>
      </c>
    </row>
    <row r="223" hidden="1" ht="14.25" customHeight="1" s="64">
      <c r="A223" s="74" t="inlineStr">
        <is>
          <t>Comercial Corporativo</t>
        </is>
      </c>
      <c r="B223" s="83">
        <f>INDEX(SETORES!$B:$B,MATCH(A223,SETORES!$A:$A,0))</f>
        <v/>
      </c>
      <c r="C223" s="74" t="inlineStr">
        <is>
          <t>Empresa Licenciada DX2</t>
        </is>
      </c>
      <c r="D223" s="72">
        <f>IF(B223="Clientes",SUMIFS(PARÂMETROS!$D$8:$D$907,PARÂMETROS!$A$8:$A$907,C223,PARÂMETROS!$G$8:$G$907,J223),SUMIFS(PARÂMETROS!$E$8:$E$907,PARÂMETROS!$A$8:$A$907,C223,PARÂMETROS!$G$8:$G$907,J223))</f>
        <v/>
      </c>
      <c r="E223" s="84">
        <f>SUMIFS(SETORES!$D:$D,SETORES!$A:$A,A223,SETORES!$F:$F,J223)</f>
        <v/>
      </c>
      <c r="F223" s="84">
        <f>IFERROR(D223*E223,0)</f>
        <v/>
      </c>
      <c r="G223" s="72">
        <f>SUMIFS(PARÂMETROS!$F$8:$F$907,PARÂMETROS!$A$8:$A$907,C223,PARÂMETROS!$G$8:$G$907,J223)</f>
        <v/>
      </c>
      <c r="H223" s="84">
        <f>IFERROR(F223*G223,0)</f>
        <v/>
      </c>
      <c r="I223" s="84">
        <f>F223+H223</f>
        <v/>
      </c>
      <c r="J223" s="74" t="inlineStr">
        <is>
          <t>Junho/2026</t>
        </is>
      </c>
    </row>
    <row r="224" hidden="1" ht="14.25" customHeight="1" s="64">
      <c r="A224" s="106" t="inlineStr">
        <is>
          <t>Comercial Corporativo</t>
        </is>
      </c>
      <c r="B224" s="106">
        <f>INDEX(SETORES!$B:$B,MATCH(A224,SETORES!$A:$A,0))</f>
        <v/>
      </c>
      <c r="C224" s="106" t="inlineStr">
        <is>
          <t>Empresa Licenciada H&amp;A</t>
        </is>
      </c>
      <c r="D224" s="77">
        <f>IF(B224="Clientes",SUMIFS(PARÂMETROS!$D$8:$D$907,PARÂMETROS!$A$8:$A$907,C224,PARÂMETROS!$G$8:$G$907,J224),SUMIFS(PARÂMETROS!$E$8:$E$907,PARÂMETROS!$A$8:$A$907,C224,PARÂMETROS!$G$8:$G$907,J224))</f>
        <v/>
      </c>
      <c r="E224" s="109">
        <f>SUMIFS(SETORES!$D:$D,SETORES!$A:$A,A224,SETORES!$F:$F,J224)</f>
        <v/>
      </c>
      <c r="F224" s="109">
        <f>IFERROR(D224*E224,0)</f>
        <v/>
      </c>
      <c r="G224" s="77">
        <f>SUMIFS(PARÂMETROS!$F$8:$F$907,PARÂMETROS!$A$8:$A$907,C224,PARÂMETROS!$G$8:$G$907,J224)</f>
        <v/>
      </c>
      <c r="H224" s="109">
        <f>IFERROR(F224*G224,0)</f>
        <v/>
      </c>
      <c r="I224" s="109">
        <f>F224+H224</f>
        <v/>
      </c>
      <c r="J224" s="106" t="inlineStr">
        <is>
          <t>Junho/2026</t>
        </is>
      </c>
    </row>
    <row r="225" hidden="1" ht="14.25" customHeight="1" s="64">
      <c r="A225" s="74" t="inlineStr">
        <is>
          <t>Comercial Corporativo</t>
        </is>
      </c>
      <c r="B225" s="83">
        <f>INDEX(SETORES!$B:$B,MATCH(A225,SETORES!$A:$A,0))</f>
        <v/>
      </c>
      <c r="C225" s="74" t="inlineStr">
        <is>
          <t>Empresa Licenciada SOLON ARAUJO</t>
        </is>
      </c>
      <c r="D225" s="72">
        <f>IF(B225="Clientes",SUMIFS(PARÂMETROS!$D$8:$D$907,PARÂMETROS!$A$8:$A$907,C225,PARÂMETROS!$G$8:$G$907,J225),SUMIFS(PARÂMETROS!$E$8:$E$907,PARÂMETROS!$A$8:$A$907,C225,PARÂMETROS!$G$8:$G$907,J225))</f>
        <v/>
      </c>
      <c r="E225" s="84">
        <f>SUMIFS(SETORES!$D:$D,SETORES!$A:$A,A225,SETORES!$F:$F,J225)</f>
        <v/>
      </c>
      <c r="F225" s="84">
        <f>IFERROR(D225*E225,0)</f>
        <v/>
      </c>
      <c r="G225" s="72">
        <f>SUMIFS(PARÂMETROS!$F$8:$F$907,PARÂMETROS!$A$8:$A$907,C225,PARÂMETROS!$G$8:$G$907,J225)</f>
        <v/>
      </c>
      <c r="H225" s="84">
        <f>IFERROR(F225*G225,0)</f>
        <v/>
      </c>
      <c r="I225" s="84">
        <f>F225+H225</f>
        <v/>
      </c>
      <c r="J225" s="74" t="inlineStr">
        <is>
          <t>Junho/2026</t>
        </is>
      </c>
    </row>
    <row r="226" ht="14.25" customHeight="1" s="64">
      <c r="A226" s="106" t="inlineStr">
        <is>
          <t>Comercial Corporativo</t>
        </is>
      </c>
      <c r="B226" s="106">
        <f>INDEX(SETORES!$B:$B,MATCH(A226,SETORES!$A:$A,0))</f>
        <v/>
      </c>
      <c r="C226" s="106" t="inlineStr">
        <is>
          <t>Empresa Licenciada SOARES E LINS</t>
        </is>
      </c>
      <c r="D226" s="77">
        <f>IF(B226="Clientes",SUMIFS(PARÂMETROS!$D$8:$D$907,PARÂMETROS!$A$8:$A$907,C226,PARÂMETROS!$G$8:$G$907,J226),SUMIFS(PARÂMETROS!$E$8:$E$907,PARÂMETROS!$A$8:$A$907,C226,PARÂMETROS!$G$8:$G$907,J226))</f>
        <v/>
      </c>
      <c r="E226" s="109">
        <f>SUMIFS(SETORES!$D:$D,SETORES!$A:$A,A226,SETORES!$F:$F,J226)</f>
        <v/>
      </c>
      <c r="F226" s="109">
        <f>IFERROR(D226*E226,0)</f>
        <v/>
      </c>
      <c r="G226" s="77">
        <f>SUMIFS(PARÂMETROS!$F$8:$F$907,PARÂMETROS!$A$8:$A$907,C226,PARÂMETROS!$G$8:$G$907,J226)</f>
        <v/>
      </c>
      <c r="H226" s="109">
        <f>IFERROR(F226*G226,0)</f>
        <v/>
      </c>
      <c r="I226" s="109">
        <f>F226+H226</f>
        <v/>
      </c>
      <c r="J226" s="106" t="inlineStr">
        <is>
          <t>Junho/2026</t>
        </is>
      </c>
    </row>
    <row r="227" hidden="1" ht="14.25" customHeight="1" s="64">
      <c r="A227" s="74" t="inlineStr">
        <is>
          <t>Comercial Corporativo</t>
        </is>
      </c>
      <c r="B227" s="83">
        <f>INDEX(SETORES!$B:$B,MATCH(A227,SETORES!$A:$A,0))</f>
        <v/>
      </c>
      <c r="C227" s="74" t="inlineStr">
        <is>
          <t>Empresa Licenciada SOARES E SILVA</t>
        </is>
      </c>
      <c r="D227" s="72">
        <f>IF(B227="Clientes",SUMIFS(PARÂMETROS!$D$8:$D$907,PARÂMETROS!$A$8:$A$907,C227,PARÂMETROS!$G$8:$G$907,J227),SUMIFS(PARÂMETROS!$E$8:$E$907,PARÂMETROS!$A$8:$A$907,C227,PARÂMETROS!$G$8:$G$907,J227))</f>
        <v/>
      </c>
      <c r="E227" s="84">
        <f>SUMIFS(SETORES!$D:$D,SETORES!$A:$A,A227,SETORES!$F:$F,J227)</f>
        <v/>
      </c>
      <c r="F227" s="84">
        <f>IFERROR(D227*E227,0)</f>
        <v/>
      </c>
      <c r="G227" s="72">
        <f>SUMIFS(PARÂMETROS!$F$8:$F$907,PARÂMETROS!$A$8:$A$907,C227,PARÂMETROS!$G$8:$G$907,J227)</f>
        <v/>
      </c>
      <c r="H227" s="84">
        <f>IFERROR(F227*G227,0)</f>
        <v/>
      </c>
      <c r="I227" s="84">
        <f>F227+H227</f>
        <v/>
      </c>
      <c r="J227" s="74" t="inlineStr">
        <is>
          <t>Junho/2026</t>
        </is>
      </c>
    </row>
    <row r="228" hidden="1" ht="14.25" customHeight="1" s="64">
      <c r="A228" s="106" t="inlineStr">
        <is>
          <t>Comercial Corporativo</t>
        </is>
      </c>
      <c r="B228" s="106">
        <f>INDEX(SETORES!$B:$B,MATCH(A228,SETORES!$A:$A,0))</f>
        <v/>
      </c>
      <c r="C228" s="106" t="inlineStr">
        <is>
          <t>Empresa Licenciada SOUZA E SILVA</t>
        </is>
      </c>
      <c r="D228" s="77">
        <f>IF(B228="Clientes",SUMIFS(PARÂMETROS!$D$8:$D$907,PARÂMETROS!$A$8:$A$907,C228,PARÂMETROS!$G$8:$G$907,J228),SUMIFS(PARÂMETROS!$E$8:$E$907,PARÂMETROS!$A$8:$A$907,C228,PARÂMETROS!$G$8:$G$907,J228))</f>
        <v/>
      </c>
      <c r="E228" s="109">
        <f>SUMIFS(SETORES!$D:$D,SETORES!$A:$A,A228,SETORES!$F:$F,J228)</f>
        <v/>
      </c>
      <c r="F228" s="109">
        <f>IFERROR(D228*E228,0)</f>
        <v/>
      </c>
      <c r="G228" s="77">
        <f>SUMIFS(PARÂMETROS!$F$8:$F$907,PARÂMETROS!$A$8:$A$907,C228,PARÂMETROS!$G$8:$G$907,J228)</f>
        <v/>
      </c>
      <c r="H228" s="109">
        <f>IFERROR(F228*G228,0)</f>
        <v/>
      </c>
      <c r="I228" s="109">
        <f>F228+H228</f>
        <v/>
      </c>
      <c r="J228" s="106" t="inlineStr">
        <is>
          <t>Junho/2026</t>
        </is>
      </c>
    </row>
    <row r="229" hidden="1" ht="14.25" customHeight="1" s="64">
      <c r="A229" s="74" t="inlineStr">
        <is>
          <t>Comercial Corporativo</t>
        </is>
      </c>
      <c r="B229" s="83">
        <f>INDEX(SETORES!$B:$B,MATCH(A229,SETORES!$A:$A,0))</f>
        <v/>
      </c>
      <c r="C229" s="74" t="inlineStr">
        <is>
          <t>Empresa Licenciada VOICENET</t>
        </is>
      </c>
      <c r="D229" s="72">
        <f>IF(B229="Clientes",SUMIFS(PARÂMETROS!$D$8:$D$907,PARÂMETROS!$A$8:$A$907,C229,PARÂMETROS!$G$8:$G$907,J229),SUMIFS(PARÂMETROS!$E$8:$E$907,PARÂMETROS!$A$8:$A$907,C229,PARÂMETROS!$G$8:$G$907,J229))</f>
        <v/>
      </c>
      <c r="E229" s="84">
        <f>SUMIFS(SETORES!$D:$D,SETORES!$A:$A,A229,SETORES!$F:$F,J229)</f>
        <v/>
      </c>
      <c r="F229" s="84">
        <f>IFERROR(D229*E229,0)</f>
        <v/>
      </c>
      <c r="G229" s="72">
        <f>SUMIFS(PARÂMETROS!$F$8:$F$907,PARÂMETROS!$A$8:$A$907,C229,PARÂMETROS!$G$8:$G$907,J229)</f>
        <v/>
      </c>
      <c r="H229" s="84">
        <f>IFERROR(F229*G229,0)</f>
        <v/>
      </c>
      <c r="I229" s="84">
        <f>F229+H229</f>
        <v/>
      </c>
      <c r="J229" s="74" t="inlineStr">
        <is>
          <t>Junho/2026</t>
        </is>
      </c>
    </row>
    <row r="230" hidden="1" ht="14.25" customHeight="1" s="64">
      <c r="A230" s="106" t="inlineStr">
        <is>
          <t>Comercial Corporativo</t>
        </is>
      </c>
      <c r="B230" s="106">
        <f>INDEX(SETORES!$B:$B,MATCH(A230,SETORES!$A:$A,0))</f>
        <v/>
      </c>
      <c r="C230" s="106" t="inlineStr">
        <is>
          <t>DTEL (uso próprio)</t>
        </is>
      </c>
      <c r="D230" s="77">
        <f>IF(B230="Clientes",SUMIFS(PARÂMETROS!$D$8:$D$907,PARÂMETROS!$A$8:$A$907,C230,PARÂMETROS!$G$8:$G$907,J230),SUMIFS(PARÂMETROS!$E$8:$E$907,PARÂMETROS!$A$8:$A$907,C230,PARÂMETROS!$G$8:$G$907,J230))</f>
        <v/>
      </c>
      <c r="E230" s="109">
        <f>SUMIFS(SETORES!$D:$D,SETORES!$A:$A,A230,SETORES!$F:$F,J230)</f>
        <v/>
      </c>
      <c r="F230" s="109">
        <f>IFERROR(D230*E230,0)</f>
        <v/>
      </c>
      <c r="G230" s="77">
        <f>SUMIFS(PARÂMETROS!$F$8:$F$907,PARÂMETROS!$A$8:$A$907,C230,PARÂMETROS!$G$8:$G$907,J230)</f>
        <v/>
      </c>
      <c r="H230" s="109">
        <f>IFERROR(F230*G230,0)</f>
        <v/>
      </c>
      <c r="I230" s="109">
        <f>F230+H230</f>
        <v/>
      </c>
      <c r="J230" s="106" t="inlineStr">
        <is>
          <t>Junho/2026</t>
        </is>
      </c>
    </row>
    <row r="231" hidden="1" ht="14.25" customHeight="1" s="64">
      <c r="A231" s="74" t="inlineStr">
        <is>
          <t>Administrativo</t>
        </is>
      </c>
      <c r="B231" s="83">
        <f>INDEX(SETORES!$B:$B,MATCH(A231,SETORES!$A:$A,0))</f>
        <v/>
      </c>
      <c r="C231" s="74" t="inlineStr">
        <is>
          <t>Empresa Licenciada DX2</t>
        </is>
      </c>
      <c r="D231" s="72">
        <f>IF(B231="Clientes",SUMIFS(PARÂMETROS!$D$8:$D$907,PARÂMETROS!$A$8:$A$907,C231,PARÂMETROS!$G$8:$G$907,J231),SUMIFS(PARÂMETROS!$E$8:$E$907,PARÂMETROS!$A$8:$A$907,C231,PARÂMETROS!$G$8:$G$907,J231))</f>
        <v/>
      </c>
      <c r="E231" s="84">
        <f>SUMIFS(SETORES!$D:$D,SETORES!$A:$A,A231,SETORES!$F:$F,J231)</f>
        <v/>
      </c>
      <c r="F231" s="84">
        <f>IFERROR(D231*E231,0)</f>
        <v/>
      </c>
      <c r="G231" s="72">
        <f>SUMIFS(PARÂMETROS!$F$8:$F$907,PARÂMETROS!$A$8:$A$907,C231,PARÂMETROS!$G$8:$G$907,J231)</f>
        <v/>
      </c>
      <c r="H231" s="84">
        <f>IFERROR(F231*G231,0)</f>
        <v/>
      </c>
      <c r="I231" s="84">
        <f>F231+H231</f>
        <v/>
      </c>
      <c r="J231" s="74" t="inlineStr">
        <is>
          <t>Junho/2026</t>
        </is>
      </c>
    </row>
    <row r="232" hidden="1" ht="14.25" customHeight="1" s="64">
      <c r="A232" s="106" t="inlineStr">
        <is>
          <t>Administrativo</t>
        </is>
      </c>
      <c r="B232" s="106">
        <f>INDEX(SETORES!$B:$B,MATCH(A232,SETORES!$A:$A,0))</f>
        <v/>
      </c>
      <c r="C232" s="106" t="inlineStr">
        <is>
          <t>Empresa Licenciada H&amp;A</t>
        </is>
      </c>
      <c r="D232" s="77">
        <f>IF(B232="Clientes",SUMIFS(PARÂMETROS!$D$8:$D$907,PARÂMETROS!$A$8:$A$907,C232,PARÂMETROS!$G$8:$G$907,J232),SUMIFS(PARÂMETROS!$E$8:$E$907,PARÂMETROS!$A$8:$A$907,C232,PARÂMETROS!$G$8:$G$907,J232))</f>
        <v/>
      </c>
      <c r="E232" s="109">
        <f>SUMIFS(SETORES!$D:$D,SETORES!$A:$A,A232,SETORES!$F:$F,J232)</f>
        <v/>
      </c>
      <c r="F232" s="109">
        <f>IFERROR(D232*E232,0)</f>
        <v/>
      </c>
      <c r="G232" s="77">
        <f>SUMIFS(PARÂMETROS!$F$8:$F$907,PARÂMETROS!$A$8:$A$907,C232,PARÂMETROS!$G$8:$G$907,J232)</f>
        <v/>
      </c>
      <c r="H232" s="109">
        <f>IFERROR(F232*G232,0)</f>
        <v/>
      </c>
      <c r="I232" s="109">
        <f>F232+H232</f>
        <v/>
      </c>
      <c r="J232" s="106" t="inlineStr">
        <is>
          <t>Junho/2026</t>
        </is>
      </c>
    </row>
    <row r="233" hidden="1" ht="14.25" customHeight="1" s="64">
      <c r="A233" s="74" t="inlineStr">
        <is>
          <t>Administrativo</t>
        </is>
      </c>
      <c r="B233" s="83">
        <f>INDEX(SETORES!$B:$B,MATCH(A233,SETORES!$A:$A,0))</f>
        <v/>
      </c>
      <c r="C233" s="74" t="inlineStr">
        <is>
          <t>Empresa Licenciada SOLON ARAUJO</t>
        </is>
      </c>
      <c r="D233" s="72">
        <f>IF(B233="Clientes",SUMIFS(PARÂMETROS!$D$8:$D$907,PARÂMETROS!$A$8:$A$907,C233,PARÂMETROS!$G$8:$G$907,J233),SUMIFS(PARÂMETROS!$E$8:$E$907,PARÂMETROS!$A$8:$A$907,C233,PARÂMETROS!$G$8:$G$907,J233))</f>
        <v/>
      </c>
      <c r="E233" s="84">
        <f>SUMIFS(SETORES!$D:$D,SETORES!$A:$A,A233,SETORES!$F:$F,J233)</f>
        <v/>
      </c>
      <c r="F233" s="84">
        <f>IFERROR(D233*E233,0)</f>
        <v/>
      </c>
      <c r="G233" s="72">
        <f>SUMIFS(PARÂMETROS!$F$8:$F$907,PARÂMETROS!$A$8:$A$907,C233,PARÂMETROS!$G$8:$G$907,J233)</f>
        <v/>
      </c>
      <c r="H233" s="84">
        <f>IFERROR(F233*G233,0)</f>
        <v/>
      </c>
      <c r="I233" s="84">
        <f>F233+H233</f>
        <v/>
      </c>
      <c r="J233" s="74" t="inlineStr">
        <is>
          <t>Junho/2026</t>
        </is>
      </c>
    </row>
    <row r="234" ht="14.25" customHeight="1" s="64">
      <c r="A234" s="106" t="inlineStr">
        <is>
          <t>Administrativo</t>
        </is>
      </c>
      <c r="B234" s="106">
        <f>INDEX(SETORES!$B:$B,MATCH(A234,SETORES!$A:$A,0))</f>
        <v/>
      </c>
      <c r="C234" s="106" t="inlineStr">
        <is>
          <t>Empresa Licenciada SOARES E LINS</t>
        </is>
      </c>
      <c r="D234" s="77">
        <f>IF(B234="Clientes",SUMIFS(PARÂMETROS!$D$8:$D$907,PARÂMETROS!$A$8:$A$907,C234,PARÂMETROS!$G$8:$G$907,J234),SUMIFS(PARÂMETROS!$E$8:$E$907,PARÂMETROS!$A$8:$A$907,C234,PARÂMETROS!$G$8:$G$907,J234))</f>
        <v/>
      </c>
      <c r="E234" s="109">
        <f>SUMIFS(SETORES!$D:$D,SETORES!$A:$A,A234,SETORES!$F:$F,J234)</f>
        <v/>
      </c>
      <c r="F234" s="109">
        <f>IFERROR(D234*E234,0)</f>
        <v/>
      </c>
      <c r="G234" s="77">
        <f>SUMIFS(PARÂMETROS!$F$8:$F$907,PARÂMETROS!$A$8:$A$907,C234,PARÂMETROS!$G$8:$G$907,J234)</f>
        <v/>
      </c>
      <c r="H234" s="109">
        <f>IFERROR(F234*G234,0)</f>
        <v/>
      </c>
      <c r="I234" s="109">
        <f>F234+H234</f>
        <v/>
      </c>
      <c r="J234" s="106" t="inlineStr">
        <is>
          <t>Junho/2026</t>
        </is>
      </c>
    </row>
    <row r="235" hidden="1" ht="14.25" customHeight="1" s="64">
      <c r="A235" s="74" t="inlineStr">
        <is>
          <t>Administrativo</t>
        </is>
      </c>
      <c r="B235" s="83">
        <f>INDEX(SETORES!$B:$B,MATCH(A235,SETORES!$A:$A,0))</f>
        <v/>
      </c>
      <c r="C235" s="74" t="inlineStr">
        <is>
          <t>Empresa Licenciada SOARES E SILVA</t>
        </is>
      </c>
      <c r="D235" s="72">
        <f>IF(B235="Clientes",SUMIFS(PARÂMETROS!$D$8:$D$907,PARÂMETROS!$A$8:$A$907,C235,PARÂMETROS!$G$8:$G$907,J235),SUMIFS(PARÂMETROS!$E$8:$E$907,PARÂMETROS!$A$8:$A$907,C235,PARÂMETROS!$G$8:$G$907,J235))</f>
        <v/>
      </c>
      <c r="E235" s="84">
        <f>SUMIFS(SETORES!$D:$D,SETORES!$A:$A,A235,SETORES!$F:$F,J235)</f>
        <v/>
      </c>
      <c r="F235" s="84">
        <f>IFERROR(D235*E235,0)</f>
        <v/>
      </c>
      <c r="G235" s="72">
        <f>SUMIFS(PARÂMETROS!$F$8:$F$907,PARÂMETROS!$A$8:$A$907,C235,PARÂMETROS!$G$8:$G$907,J235)</f>
        <v/>
      </c>
      <c r="H235" s="84">
        <f>IFERROR(F235*G235,0)</f>
        <v/>
      </c>
      <c r="I235" s="84">
        <f>F235+H235</f>
        <v/>
      </c>
      <c r="J235" s="74" t="inlineStr">
        <is>
          <t>Junho/2026</t>
        </is>
      </c>
    </row>
    <row r="236" hidden="1" ht="14.25" customHeight="1" s="64">
      <c r="A236" s="106" t="inlineStr">
        <is>
          <t>Administrativo</t>
        </is>
      </c>
      <c r="B236" s="106">
        <f>INDEX(SETORES!$B:$B,MATCH(A236,SETORES!$A:$A,0))</f>
        <v/>
      </c>
      <c r="C236" s="106" t="inlineStr">
        <is>
          <t>Empresa Licenciada SOUZA E SILVA</t>
        </is>
      </c>
      <c r="D236" s="77">
        <f>IF(B236="Clientes",SUMIFS(PARÂMETROS!$D$8:$D$907,PARÂMETROS!$A$8:$A$907,C236,PARÂMETROS!$G$8:$G$907,J236),SUMIFS(PARÂMETROS!$E$8:$E$907,PARÂMETROS!$A$8:$A$907,C236,PARÂMETROS!$G$8:$G$907,J236))</f>
        <v/>
      </c>
      <c r="E236" s="109">
        <f>SUMIFS(SETORES!$D:$D,SETORES!$A:$A,A236,SETORES!$F:$F,J236)</f>
        <v/>
      </c>
      <c r="F236" s="109">
        <f>IFERROR(D236*E236,0)</f>
        <v/>
      </c>
      <c r="G236" s="77">
        <f>SUMIFS(PARÂMETROS!$F$8:$F$907,PARÂMETROS!$A$8:$A$907,C236,PARÂMETROS!$G$8:$G$907,J236)</f>
        <v/>
      </c>
      <c r="H236" s="109">
        <f>IFERROR(F236*G236,0)</f>
        <v/>
      </c>
      <c r="I236" s="109">
        <f>F236+H236</f>
        <v/>
      </c>
      <c r="J236" s="106" t="inlineStr">
        <is>
          <t>Junho/2026</t>
        </is>
      </c>
    </row>
    <row r="237" hidden="1" ht="14.25" customHeight="1" s="64">
      <c r="A237" s="74" t="inlineStr">
        <is>
          <t>Administrativo</t>
        </is>
      </c>
      <c r="B237" s="83">
        <f>INDEX(SETORES!$B:$B,MATCH(A237,SETORES!$A:$A,0))</f>
        <v/>
      </c>
      <c r="C237" s="74" t="inlineStr">
        <is>
          <t>Empresa Licenciada VOICENET</t>
        </is>
      </c>
      <c r="D237" s="72">
        <f>IF(B237="Clientes",SUMIFS(PARÂMETROS!$D$8:$D$907,PARÂMETROS!$A$8:$A$907,C237,PARÂMETROS!$G$8:$G$907,J237),SUMIFS(PARÂMETROS!$E$8:$E$907,PARÂMETROS!$A$8:$A$907,C237,PARÂMETROS!$G$8:$G$907,J237))</f>
        <v/>
      </c>
      <c r="E237" s="84">
        <f>SUMIFS(SETORES!$D:$D,SETORES!$A:$A,A237,SETORES!$F:$F,J237)</f>
        <v/>
      </c>
      <c r="F237" s="84">
        <f>IFERROR(D237*E237,0)</f>
        <v/>
      </c>
      <c r="G237" s="72">
        <f>SUMIFS(PARÂMETROS!$F$8:$F$907,PARÂMETROS!$A$8:$A$907,C237,PARÂMETROS!$G$8:$G$907,J237)</f>
        <v/>
      </c>
      <c r="H237" s="84">
        <f>IFERROR(F237*G237,0)</f>
        <v/>
      </c>
      <c r="I237" s="84">
        <f>F237+H237</f>
        <v/>
      </c>
      <c r="J237" s="74" t="inlineStr">
        <is>
          <t>Junho/2026</t>
        </is>
      </c>
    </row>
    <row r="238" hidden="1" ht="14.25" customHeight="1" s="64">
      <c r="A238" s="106" t="inlineStr">
        <is>
          <t>Administrativo</t>
        </is>
      </c>
      <c r="B238" s="106">
        <f>INDEX(SETORES!$B:$B,MATCH(A238,SETORES!$A:$A,0))</f>
        <v/>
      </c>
      <c r="C238" s="106" t="inlineStr">
        <is>
          <t>DTEL (uso próprio)</t>
        </is>
      </c>
      <c r="D238" s="77">
        <f>IF(B238="Clientes",SUMIFS(PARÂMETROS!$D$8:$D$907,PARÂMETROS!$A$8:$A$907,C238,PARÂMETROS!$G$8:$G$907,J238),SUMIFS(PARÂMETROS!$E$8:$E$907,PARÂMETROS!$A$8:$A$907,C238,PARÂMETROS!$G$8:$G$907,J238))</f>
        <v/>
      </c>
      <c r="E238" s="109">
        <f>SUMIFS(SETORES!$D:$D,SETORES!$A:$A,A238,SETORES!$F:$F,J238)</f>
        <v/>
      </c>
      <c r="F238" s="109">
        <f>IFERROR(D238*E238,0)</f>
        <v/>
      </c>
      <c r="G238" s="77">
        <f>SUMIFS(PARÂMETROS!$F$8:$F$907,PARÂMETROS!$A$8:$A$907,C238,PARÂMETROS!$G$8:$G$907,J238)</f>
        <v/>
      </c>
      <c r="H238" s="109">
        <f>IFERROR(F238*G238,0)</f>
        <v/>
      </c>
      <c r="I238" s="109">
        <f>F238+H238</f>
        <v/>
      </c>
      <c r="J238" s="106" t="inlineStr">
        <is>
          <t>Junho/2026</t>
        </is>
      </c>
    </row>
    <row r="239" hidden="1" ht="14.25" customHeight="1" s="64">
      <c r="A239" s="74" t="inlineStr">
        <is>
          <t>NOC</t>
        </is>
      </c>
      <c r="B239" s="83">
        <f>INDEX(SETORES!$B:$B,MATCH(A239,SETORES!$A:$A,0))</f>
        <v/>
      </c>
      <c r="C239" s="74" t="inlineStr">
        <is>
          <t>Empresa Licenciada DX2</t>
        </is>
      </c>
      <c r="D239" s="72">
        <f>IF(B239="Clientes",SUMIFS(PARÂMETROS!$D$8:$D$907,PARÂMETROS!$A$8:$A$907,C239,PARÂMETROS!$G$8:$G$907,J239),SUMIFS(PARÂMETROS!$E$8:$E$907,PARÂMETROS!$A$8:$A$907,C239,PARÂMETROS!$G$8:$G$907,J239))</f>
        <v/>
      </c>
      <c r="E239" s="84">
        <f>SUMIFS(SETORES!$D:$D,SETORES!$A:$A,A239,SETORES!$F:$F,J239)</f>
        <v/>
      </c>
      <c r="F239" s="84">
        <f>IFERROR(D239*E239,0)</f>
        <v/>
      </c>
      <c r="G239" s="72">
        <f>SUMIFS(PARÂMETROS!$F$8:$F$907,PARÂMETROS!$A$8:$A$907,C239,PARÂMETROS!$G$8:$G$907,J239)</f>
        <v/>
      </c>
      <c r="H239" s="84">
        <f>IFERROR(F239*G239,0)</f>
        <v/>
      </c>
      <c r="I239" s="84">
        <f>F239+H239</f>
        <v/>
      </c>
      <c r="J239" s="74" t="inlineStr">
        <is>
          <t>Maio/2026</t>
        </is>
      </c>
    </row>
    <row r="240" hidden="1" ht="14.25" customHeight="1" s="64">
      <c r="A240" s="106" t="inlineStr">
        <is>
          <t>NOC</t>
        </is>
      </c>
      <c r="B240" s="106">
        <f>INDEX(SETORES!$B:$B,MATCH(A240,SETORES!$A:$A,0))</f>
        <v/>
      </c>
      <c r="C240" s="106" t="inlineStr">
        <is>
          <t>Empresa Licenciada H&amp;A</t>
        </is>
      </c>
      <c r="D240" s="77">
        <f>IF(B240="Clientes",SUMIFS(PARÂMETROS!$D$8:$D$907,PARÂMETROS!$A$8:$A$907,C240,PARÂMETROS!$G$8:$G$907,J240),SUMIFS(PARÂMETROS!$E$8:$E$907,PARÂMETROS!$A$8:$A$907,C240,PARÂMETROS!$G$8:$G$907,J240))</f>
        <v/>
      </c>
      <c r="E240" s="109">
        <f>SUMIFS(SETORES!$D:$D,SETORES!$A:$A,A240,SETORES!$F:$F,J240)</f>
        <v/>
      </c>
      <c r="F240" s="109">
        <f>IFERROR(D240*E240,0)</f>
        <v/>
      </c>
      <c r="G240" s="77">
        <f>SUMIFS(PARÂMETROS!$F$8:$F$907,PARÂMETROS!$A$8:$A$907,C240,PARÂMETROS!$G$8:$G$907,J240)</f>
        <v/>
      </c>
      <c r="H240" s="109">
        <f>IFERROR(F240*G240,0)</f>
        <v/>
      </c>
      <c r="I240" s="109">
        <f>F240+H240</f>
        <v/>
      </c>
      <c r="J240" s="106" t="inlineStr">
        <is>
          <t>Maio/2026</t>
        </is>
      </c>
    </row>
    <row r="241" hidden="1" ht="14.25" customHeight="1" s="64">
      <c r="A241" s="74" t="inlineStr">
        <is>
          <t>NOC</t>
        </is>
      </c>
      <c r="B241" s="83">
        <f>INDEX(SETORES!$B:$B,MATCH(A241,SETORES!$A:$A,0))</f>
        <v/>
      </c>
      <c r="C241" s="74" t="inlineStr">
        <is>
          <t>Empresa Licenciada SOLON ARAUJO</t>
        </is>
      </c>
      <c r="D241" s="72">
        <f>IF(B241="Clientes",SUMIFS(PARÂMETROS!$D$8:$D$907,PARÂMETROS!$A$8:$A$907,C241,PARÂMETROS!$G$8:$G$907,J241),SUMIFS(PARÂMETROS!$E$8:$E$907,PARÂMETROS!$A$8:$A$907,C241,PARÂMETROS!$G$8:$G$907,J241))</f>
        <v/>
      </c>
      <c r="E241" s="84">
        <f>SUMIFS(SETORES!$D:$D,SETORES!$A:$A,A241,SETORES!$F:$F,J241)</f>
        <v/>
      </c>
      <c r="F241" s="84">
        <f>IFERROR(D241*E241,0)</f>
        <v/>
      </c>
      <c r="G241" s="72">
        <f>SUMIFS(PARÂMETROS!$F$8:$F$907,PARÂMETROS!$A$8:$A$907,C241,PARÂMETROS!$G$8:$G$907,J241)</f>
        <v/>
      </c>
      <c r="H241" s="84">
        <f>IFERROR(F241*G241,0)</f>
        <v/>
      </c>
      <c r="I241" s="84">
        <f>F241+H241</f>
        <v/>
      </c>
      <c r="J241" s="74" t="inlineStr">
        <is>
          <t>Maio/2026</t>
        </is>
      </c>
    </row>
    <row r="242" ht="14.25" customHeight="1" s="64">
      <c r="A242" s="106" t="inlineStr">
        <is>
          <t>NOC</t>
        </is>
      </c>
      <c r="B242" s="106">
        <f>INDEX(SETORES!$B:$B,MATCH(A242,SETORES!$A:$A,0))</f>
        <v/>
      </c>
      <c r="C242" s="106" t="inlineStr">
        <is>
          <t>Empresa Licenciada SOARES E LINS</t>
        </is>
      </c>
      <c r="D242" s="77">
        <f>IF(B242="Clientes",SUMIFS(PARÂMETROS!$D$8:$D$907,PARÂMETROS!$A$8:$A$907,C242,PARÂMETROS!$G$8:$G$907,J242),SUMIFS(PARÂMETROS!$E$8:$E$907,PARÂMETROS!$A$8:$A$907,C242,PARÂMETROS!$G$8:$G$907,J242))</f>
        <v/>
      </c>
      <c r="E242" s="109">
        <f>SUMIFS(SETORES!$D:$D,SETORES!$A:$A,A242,SETORES!$F:$F,J242)</f>
        <v/>
      </c>
      <c r="F242" s="109">
        <f>IFERROR(D242*E242,0)</f>
        <v/>
      </c>
      <c r="G242" s="77">
        <f>SUMIFS(PARÂMETROS!$F$8:$F$907,PARÂMETROS!$A$8:$A$907,C242,PARÂMETROS!$G$8:$G$907,J242)</f>
        <v/>
      </c>
      <c r="H242" s="109">
        <f>IFERROR(F242*G242,0)</f>
        <v/>
      </c>
      <c r="I242" s="109">
        <f>F242+H242</f>
        <v/>
      </c>
      <c r="J242" s="106" t="inlineStr">
        <is>
          <t>Maio/2026</t>
        </is>
      </c>
    </row>
    <row r="243" hidden="1" ht="14.25" customHeight="1" s="64">
      <c r="A243" s="74" t="inlineStr">
        <is>
          <t>NOC</t>
        </is>
      </c>
      <c r="B243" s="83">
        <f>INDEX(SETORES!$B:$B,MATCH(A243,SETORES!$A:$A,0))</f>
        <v/>
      </c>
      <c r="C243" s="74" t="inlineStr">
        <is>
          <t>Empresa Licenciada SOARES E SILVA</t>
        </is>
      </c>
      <c r="D243" s="72">
        <f>IF(B243="Clientes",SUMIFS(PARÂMETROS!$D$8:$D$907,PARÂMETROS!$A$8:$A$907,C243,PARÂMETROS!$G$8:$G$907,J243),SUMIFS(PARÂMETROS!$E$8:$E$907,PARÂMETROS!$A$8:$A$907,C243,PARÂMETROS!$G$8:$G$907,J243))</f>
        <v/>
      </c>
      <c r="E243" s="84">
        <f>SUMIFS(SETORES!$D:$D,SETORES!$A:$A,A243,SETORES!$F:$F,J243)</f>
        <v/>
      </c>
      <c r="F243" s="84">
        <f>IFERROR(D243*E243,0)</f>
        <v/>
      </c>
      <c r="G243" s="72">
        <f>SUMIFS(PARÂMETROS!$F$8:$F$907,PARÂMETROS!$A$8:$A$907,C243,PARÂMETROS!$G$8:$G$907,J243)</f>
        <v/>
      </c>
      <c r="H243" s="84">
        <f>IFERROR(F243*G243,0)</f>
        <v/>
      </c>
      <c r="I243" s="84">
        <f>F243+H243</f>
        <v/>
      </c>
      <c r="J243" s="74" t="inlineStr">
        <is>
          <t>Maio/2026</t>
        </is>
      </c>
    </row>
    <row r="244" hidden="1" ht="14.25" customHeight="1" s="64">
      <c r="A244" s="106" t="inlineStr">
        <is>
          <t>NOC</t>
        </is>
      </c>
      <c r="B244" s="106">
        <f>INDEX(SETORES!$B:$B,MATCH(A244,SETORES!$A:$A,0))</f>
        <v/>
      </c>
      <c r="C244" s="106" t="inlineStr">
        <is>
          <t>Empresa Licenciada SOUZA E SILVA</t>
        </is>
      </c>
      <c r="D244" s="77">
        <f>IF(B244="Clientes",SUMIFS(PARÂMETROS!$D$8:$D$907,PARÂMETROS!$A$8:$A$907,C244,PARÂMETROS!$G$8:$G$907,J244),SUMIFS(PARÂMETROS!$E$8:$E$907,PARÂMETROS!$A$8:$A$907,C244,PARÂMETROS!$G$8:$G$907,J244))</f>
        <v/>
      </c>
      <c r="E244" s="109">
        <f>SUMIFS(SETORES!$D:$D,SETORES!$A:$A,A244,SETORES!$F:$F,J244)</f>
        <v/>
      </c>
      <c r="F244" s="109">
        <f>IFERROR(D244*E244,0)</f>
        <v/>
      </c>
      <c r="G244" s="77">
        <f>SUMIFS(PARÂMETROS!$F$8:$F$907,PARÂMETROS!$A$8:$A$907,C244,PARÂMETROS!$G$8:$G$907,J244)</f>
        <v/>
      </c>
      <c r="H244" s="109">
        <f>IFERROR(F244*G244,0)</f>
        <v/>
      </c>
      <c r="I244" s="109">
        <f>F244+H244</f>
        <v/>
      </c>
      <c r="J244" s="106" t="inlineStr">
        <is>
          <t>Maio/2026</t>
        </is>
      </c>
    </row>
    <row r="245" hidden="1" ht="14.25" customHeight="1" s="64">
      <c r="A245" s="74" t="inlineStr">
        <is>
          <t>NOC</t>
        </is>
      </c>
      <c r="B245" s="83">
        <f>INDEX(SETORES!$B:$B,MATCH(A245,SETORES!$A:$A,0))</f>
        <v/>
      </c>
      <c r="C245" s="74" t="inlineStr">
        <is>
          <t>Empresa Licenciada VOICENET</t>
        </is>
      </c>
      <c r="D245" s="72">
        <f>IF(B245="Clientes",SUMIFS(PARÂMETROS!$D$8:$D$907,PARÂMETROS!$A$8:$A$907,C245,PARÂMETROS!$G$8:$G$907,J245),SUMIFS(PARÂMETROS!$E$8:$E$907,PARÂMETROS!$A$8:$A$907,C245,PARÂMETROS!$G$8:$G$907,J245))</f>
        <v/>
      </c>
      <c r="E245" s="84">
        <f>SUMIFS(SETORES!$D:$D,SETORES!$A:$A,A245,SETORES!$F:$F,J245)</f>
        <v/>
      </c>
      <c r="F245" s="84">
        <f>IFERROR(D245*E245,0)</f>
        <v/>
      </c>
      <c r="G245" s="72">
        <f>SUMIFS(PARÂMETROS!$F$8:$F$907,PARÂMETROS!$A$8:$A$907,C245,PARÂMETROS!$G$8:$G$907,J245)</f>
        <v/>
      </c>
      <c r="H245" s="84">
        <f>IFERROR(F245*G245,0)</f>
        <v/>
      </c>
      <c r="I245" s="84">
        <f>F245+H245</f>
        <v/>
      </c>
      <c r="J245" s="74" t="inlineStr">
        <is>
          <t>Maio/2026</t>
        </is>
      </c>
    </row>
    <row r="246" hidden="1" ht="14.25" customHeight="1" s="64">
      <c r="A246" s="106" t="inlineStr">
        <is>
          <t>NOC</t>
        </is>
      </c>
      <c r="B246" s="106">
        <f>INDEX(SETORES!$B:$B,MATCH(A246,SETORES!$A:$A,0))</f>
        <v/>
      </c>
      <c r="C246" s="106" t="inlineStr">
        <is>
          <t>DTEL (uso próprio)</t>
        </is>
      </c>
      <c r="D246" s="77">
        <f>IF(B246="Clientes",SUMIFS(PARÂMETROS!$D$8:$D$907,PARÂMETROS!$A$8:$A$907,C246,PARÂMETROS!$G$8:$G$907,J246),SUMIFS(PARÂMETROS!$E$8:$E$907,PARÂMETROS!$A$8:$A$907,C246,PARÂMETROS!$G$8:$G$907,J246))</f>
        <v/>
      </c>
      <c r="E246" s="109">
        <f>SUMIFS(SETORES!$D:$D,SETORES!$A:$A,A246,SETORES!$F:$F,J246)</f>
        <v/>
      </c>
      <c r="F246" s="109">
        <f>IFERROR(D246*E246,0)</f>
        <v/>
      </c>
      <c r="G246" s="77">
        <f>SUMIFS(PARÂMETROS!$F$8:$F$907,PARÂMETROS!$A$8:$A$907,C246,PARÂMETROS!$G$8:$G$907,J246)</f>
        <v/>
      </c>
      <c r="H246" s="109">
        <f>IFERROR(F246*G246,0)</f>
        <v/>
      </c>
      <c r="I246" s="109">
        <f>F246+H246</f>
        <v/>
      </c>
      <c r="J246" s="106" t="inlineStr">
        <is>
          <t>Maio/2026</t>
        </is>
      </c>
    </row>
    <row r="247" hidden="1" ht="14.25" customHeight="1" s="64">
      <c r="A247" s="74" t="inlineStr">
        <is>
          <t>RH</t>
        </is>
      </c>
      <c r="B247" s="83">
        <f>INDEX(SETORES!$B:$B,MATCH(A247,SETORES!$A:$A,0))</f>
        <v/>
      </c>
      <c r="C247" s="74" t="inlineStr">
        <is>
          <t>Empresa Licenciada DX2</t>
        </is>
      </c>
      <c r="D247" s="72">
        <f>IF(B247="Clientes",SUMIFS(PARÂMETROS!$D$8:$D$907,PARÂMETROS!$A$8:$A$907,C247,PARÂMETROS!$G$8:$G$907,J247),SUMIFS(PARÂMETROS!$E$8:$E$907,PARÂMETROS!$A$8:$A$907,C247,PARÂMETROS!$G$8:$G$907,J247))</f>
        <v/>
      </c>
      <c r="E247" s="84">
        <f>SUMIFS(SETORES!$D:$D,SETORES!$A:$A,A247,SETORES!$F:$F,J247)</f>
        <v/>
      </c>
      <c r="F247" s="84">
        <f>IFERROR(D247*E247,0)</f>
        <v/>
      </c>
      <c r="G247" s="72">
        <f>SUMIFS(PARÂMETROS!$F$8:$F$907,PARÂMETROS!$A$8:$A$907,C247,PARÂMETROS!$G$8:$G$907,J247)</f>
        <v/>
      </c>
      <c r="H247" s="84">
        <f>IFERROR(F247*G247,0)</f>
        <v/>
      </c>
      <c r="I247" s="84">
        <f>F247+H247</f>
        <v/>
      </c>
      <c r="J247" s="74" t="inlineStr">
        <is>
          <t>Maio/2026</t>
        </is>
      </c>
    </row>
    <row r="248" hidden="1" ht="14.25" customHeight="1" s="64">
      <c r="A248" s="106" t="inlineStr">
        <is>
          <t>RH</t>
        </is>
      </c>
      <c r="B248" s="106">
        <f>INDEX(SETORES!$B:$B,MATCH(A248,SETORES!$A:$A,0))</f>
        <v/>
      </c>
      <c r="C248" s="106" t="inlineStr">
        <is>
          <t>Empresa Licenciada H&amp;A</t>
        </is>
      </c>
      <c r="D248" s="77">
        <f>IF(B248="Clientes",SUMIFS(PARÂMETROS!$D$8:$D$907,PARÂMETROS!$A$8:$A$907,C248,PARÂMETROS!$G$8:$G$907,J248),SUMIFS(PARÂMETROS!$E$8:$E$907,PARÂMETROS!$A$8:$A$907,C248,PARÂMETROS!$G$8:$G$907,J248))</f>
        <v/>
      </c>
      <c r="E248" s="109">
        <f>SUMIFS(SETORES!$D:$D,SETORES!$A:$A,A248,SETORES!$F:$F,J248)</f>
        <v/>
      </c>
      <c r="F248" s="109">
        <f>IFERROR(D248*E248,0)</f>
        <v/>
      </c>
      <c r="G248" s="77">
        <f>SUMIFS(PARÂMETROS!$F$8:$F$907,PARÂMETROS!$A$8:$A$907,C248,PARÂMETROS!$G$8:$G$907,J248)</f>
        <v/>
      </c>
      <c r="H248" s="109">
        <f>IFERROR(F248*G248,0)</f>
        <v/>
      </c>
      <c r="I248" s="109">
        <f>F248+H248</f>
        <v/>
      </c>
      <c r="J248" s="106" t="inlineStr">
        <is>
          <t>Maio/2026</t>
        </is>
      </c>
    </row>
    <row r="249" hidden="1" ht="14.25" customHeight="1" s="64">
      <c r="A249" s="74" t="inlineStr">
        <is>
          <t>RH</t>
        </is>
      </c>
      <c r="B249" s="83">
        <f>INDEX(SETORES!$B:$B,MATCH(A249,SETORES!$A:$A,0))</f>
        <v/>
      </c>
      <c r="C249" s="74" t="inlineStr">
        <is>
          <t>Empresa Licenciada SOLON ARAUJO</t>
        </is>
      </c>
      <c r="D249" s="72">
        <f>IF(B249="Clientes",SUMIFS(PARÂMETROS!$D$8:$D$907,PARÂMETROS!$A$8:$A$907,C249,PARÂMETROS!$G$8:$G$907,J249),SUMIFS(PARÂMETROS!$E$8:$E$907,PARÂMETROS!$A$8:$A$907,C249,PARÂMETROS!$G$8:$G$907,J249))</f>
        <v/>
      </c>
      <c r="E249" s="84">
        <f>SUMIFS(SETORES!$D:$D,SETORES!$A:$A,A249,SETORES!$F:$F,J249)</f>
        <v/>
      </c>
      <c r="F249" s="84">
        <f>IFERROR(D249*E249,0)</f>
        <v/>
      </c>
      <c r="G249" s="72">
        <f>SUMIFS(PARÂMETROS!$F$8:$F$907,PARÂMETROS!$A$8:$A$907,C249,PARÂMETROS!$G$8:$G$907,J249)</f>
        <v/>
      </c>
      <c r="H249" s="84">
        <f>IFERROR(F249*G249,0)</f>
        <v/>
      </c>
      <c r="I249" s="84">
        <f>F249+H249</f>
        <v/>
      </c>
      <c r="J249" s="74" t="inlineStr">
        <is>
          <t>Maio/2026</t>
        </is>
      </c>
    </row>
    <row r="250" ht="14.25" customHeight="1" s="64">
      <c r="A250" s="106" t="inlineStr">
        <is>
          <t>RH</t>
        </is>
      </c>
      <c r="B250" s="106">
        <f>INDEX(SETORES!$B:$B,MATCH(A250,SETORES!$A:$A,0))</f>
        <v/>
      </c>
      <c r="C250" s="106" t="inlineStr">
        <is>
          <t>Empresa Licenciada SOARES E LINS</t>
        </is>
      </c>
      <c r="D250" s="77">
        <f>IF(B250="Clientes",SUMIFS(PARÂMETROS!$D$8:$D$907,PARÂMETROS!$A$8:$A$907,C250,PARÂMETROS!$G$8:$G$907,J250),SUMIFS(PARÂMETROS!$E$8:$E$907,PARÂMETROS!$A$8:$A$907,C250,PARÂMETROS!$G$8:$G$907,J250))</f>
        <v/>
      </c>
      <c r="E250" s="109">
        <f>SUMIFS(SETORES!$D:$D,SETORES!$A:$A,A250,SETORES!$F:$F,J250)</f>
        <v/>
      </c>
      <c r="F250" s="109">
        <f>IFERROR(D250*E250,0)</f>
        <v/>
      </c>
      <c r="G250" s="77">
        <f>SUMIFS(PARÂMETROS!$F$8:$F$907,PARÂMETROS!$A$8:$A$907,C250,PARÂMETROS!$G$8:$G$907,J250)</f>
        <v/>
      </c>
      <c r="H250" s="109">
        <f>IFERROR(F250*G250,0)</f>
        <v/>
      </c>
      <c r="I250" s="109">
        <f>F250+H250</f>
        <v/>
      </c>
      <c r="J250" s="106" t="inlineStr">
        <is>
          <t>Maio/2026</t>
        </is>
      </c>
    </row>
    <row r="251" hidden="1" ht="14.25" customHeight="1" s="64">
      <c r="A251" s="74" t="inlineStr">
        <is>
          <t>RH</t>
        </is>
      </c>
      <c r="B251" s="83">
        <f>INDEX(SETORES!$B:$B,MATCH(A251,SETORES!$A:$A,0))</f>
        <v/>
      </c>
      <c r="C251" s="74" t="inlineStr">
        <is>
          <t>Empresa Licenciada SOARES E SILVA</t>
        </is>
      </c>
      <c r="D251" s="72">
        <f>IF(B251="Clientes",SUMIFS(PARÂMETROS!$D$8:$D$907,PARÂMETROS!$A$8:$A$907,C251,PARÂMETROS!$G$8:$G$907,J251),SUMIFS(PARÂMETROS!$E$8:$E$907,PARÂMETROS!$A$8:$A$907,C251,PARÂMETROS!$G$8:$G$907,J251))</f>
        <v/>
      </c>
      <c r="E251" s="84">
        <f>SUMIFS(SETORES!$D:$D,SETORES!$A:$A,A251,SETORES!$F:$F,J251)</f>
        <v/>
      </c>
      <c r="F251" s="84">
        <f>IFERROR(D251*E251,0)</f>
        <v/>
      </c>
      <c r="G251" s="72">
        <f>SUMIFS(PARÂMETROS!$F$8:$F$907,PARÂMETROS!$A$8:$A$907,C251,PARÂMETROS!$G$8:$G$907,J251)</f>
        <v/>
      </c>
      <c r="H251" s="84">
        <f>IFERROR(F251*G251,0)</f>
        <v/>
      </c>
      <c r="I251" s="84">
        <f>F251+H251</f>
        <v/>
      </c>
      <c r="J251" s="74" t="inlineStr">
        <is>
          <t>Maio/2026</t>
        </is>
      </c>
    </row>
    <row r="252" hidden="1" ht="14.25" customHeight="1" s="64">
      <c r="A252" s="106" t="inlineStr">
        <is>
          <t>RH</t>
        </is>
      </c>
      <c r="B252" s="106">
        <f>INDEX(SETORES!$B:$B,MATCH(A252,SETORES!$A:$A,0))</f>
        <v/>
      </c>
      <c r="C252" s="106" t="inlineStr">
        <is>
          <t>Empresa Licenciada SOUZA E SILVA</t>
        </is>
      </c>
      <c r="D252" s="77">
        <f>IF(B252="Clientes",SUMIFS(PARÂMETROS!$D$8:$D$907,PARÂMETROS!$A$8:$A$907,C252,PARÂMETROS!$G$8:$G$907,J252),SUMIFS(PARÂMETROS!$E$8:$E$907,PARÂMETROS!$A$8:$A$907,C252,PARÂMETROS!$G$8:$G$907,J252))</f>
        <v/>
      </c>
      <c r="E252" s="109">
        <f>SUMIFS(SETORES!$D:$D,SETORES!$A:$A,A252,SETORES!$F:$F,J252)</f>
        <v/>
      </c>
      <c r="F252" s="109">
        <f>IFERROR(D252*E252,0)</f>
        <v/>
      </c>
      <c r="G252" s="77">
        <f>SUMIFS(PARÂMETROS!$F$8:$F$907,PARÂMETROS!$A$8:$A$907,C252,PARÂMETROS!$G$8:$G$907,J252)</f>
        <v/>
      </c>
      <c r="H252" s="109">
        <f>IFERROR(F252*G252,0)</f>
        <v/>
      </c>
      <c r="I252" s="109">
        <f>F252+H252</f>
        <v/>
      </c>
      <c r="J252" s="106" t="inlineStr">
        <is>
          <t>Maio/2026</t>
        </is>
      </c>
    </row>
    <row r="253" hidden="1" ht="14.25" customHeight="1" s="64">
      <c r="A253" s="74" t="inlineStr">
        <is>
          <t>RH</t>
        </is>
      </c>
      <c r="B253" s="83">
        <f>INDEX(SETORES!$B:$B,MATCH(A253,SETORES!$A:$A,0))</f>
        <v/>
      </c>
      <c r="C253" s="74" t="inlineStr">
        <is>
          <t>Empresa Licenciada VOICENET</t>
        </is>
      </c>
      <c r="D253" s="72">
        <f>IF(B253="Clientes",SUMIFS(PARÂMETROS!$D$8:$D$907,PARÂMETROS!$A$8:$A$907,C253,PARÂMETROS!$G$8:$G$907,J253),SUMIFS(PARÂMETROS!$E$8:$E$907,PARÂMETROS!$A$8:$A$907,C253,PARÂMETROS!$G$8:$G$907,J253))</f>
        <v/>
      </c>
      <c r="E253" s="84">
        <f>SUMIFS(SETORES!$D:$D,SETORES!$A:$A,A253,SETORES!$F:$F,J253)</f>
        <v/>
      </c>
      <c r="F253" s="84">
        <f>IFERROR(D253*E253,0)</f>
        <v/>
      </c>
      <c r="G253" s="72">
        <f>SUMIFS(PARÂMETROS!$F$8:$F$907,PARÂMETROS!$A$8:$A$907,C253,PARÂMETROS!$G$8:$G$907,J253)</f>
        <v/>
      </c>
      <c r="H253" s="84">
        <f>IFERROR(F253*G253,0)</f>
        <v/>
      </c>
      <c r="I253" s="84">
        <f>F253+H253</f>
        <v/>
      </c>
      <c r="J253" s="74" t="inlineStr">
        <is>
          <t>Maio/2026</t>
        </is>
      </c>
    </row>
    <row r="254" hidden="1" ht="14.25" customHeight="1" s="64">
      <c r="A254" s="106" t="inlineStr">
        <is>
          <t>RH</t>
        </is>
      </c>
      <c r="B254" s="106">
        <f>INDEX(SETORES!$B:$B,MATCH(A254,SETORES!$A:$A,0))</f>
        <v/>
      </c>
      <c r="C254" s="106" t="inlineStr">
        <is>
          <t>DTEL (uso próprio)</t>
        </is>
      </c>
      <c r="D254" s="77">
        <f>IF(B254="Clientes",SUMIFS(PARÂMETROS!$D$8:$D$907,PARÂMETROS!$A$8:$A$907,C254,PARÂMETROS!$G$8:$G$907,J254),SUMIFS(PARÂMETROS!$E$8:$E$907,PARÂMETROS!$A$8:$A$907,C254,PARÂMETROS!$G$8:$G$907,J254))</f>
        <v/>
      </c>
      <c r="E254" s="109">
        <f>SUMIFS(SETORES!$D:$D,SETORES!$A:$A,A254,SETORES!$F:$F,J254)</f>
        <v/>
      </c>
      <c r="F254" s="109">
        <f>IFERROR(D254*E254,0)</f>
        <v/>
      </c>
      <c r="G254" s="77">
        <f>SUMIFS(PARÂMETROS!$F$8:$F$907,PARÂMETROS!$A$8:$A$907,C254,PARÂMETROS!$G$8:$G$907,J254)</f>
        <v/>
      </c>
      <c r="H254" s="109">
        <f>IFERROR(F254*G254,0)</f>
        <v/>
      </c>
      <c r="I254" s="109">
        <f>F254+H254</f>
        <v/>
      </c>
      <c r="J254" s="106" t="inlineStr">
        <is>
          <t>Maio/2026</t>
        </is>
      </c>
    </row>
    <row r="255" hidden="1" ht="14.25" customHeight="1" s="64">
      <c r="A255" s="74" t="inlineStr">
        <is>
          <t>DP</t>
        </is>
      </c>
      <c r="B255" s="83">
        <f>INDEX(SETORES!$B:$B,MATCH(A255,SETORES!$A:$A,0))</f>
        <v/>
      </c>
      <c r="C255" s="74" t="inlineStr">
        <is>
          <t>Empresa Licenciada DX2</t>
        </is>
      </c>
      <c r="D255" s="72">
        <f>IF(B255="Clientes",SUMIFS(PARÂMETROS!$D$8:$D$907,PARÂMETROS!$A$8:$A$907,C255,PARÂMETROS!$G$8:$G$907,J255),SUMIFS(PARÂMETROS!$E$8:$E$907,PARÂMETROS!$A$8:$A$907,C255,PARÂMETROS!$G$8:$G$907,J255))</f>
        <v/>
      </c>
      <c r="E255" s="84">
        <f>SUMIFS(SETORES!$D:$D,SETORES!$A:$A,A255,SETORES!$F:$F,J255)</f>
        <v/>
      </c>
      <c r="F255" s="84">
        <f>IFERROR(D255*E255,0)</f>
        <v/>
      </c>
      <c r="G255" s="72">
        <f>SUMIFS(PARÂMETROS!$F$8:$F$907,PARÂMETROS!$A$8:$A$907,C255,PARÂMETROS!$G$8:$G$907,J255)</f>
        <v/>
      </c>
      <c r="H255" s="84">
        <f>IFERROR(F255*G255,0)</f>
        <v/>
      </c>
      <c r="I255" s="84">
        <f>F255+H255</f>
        <v/>
      </c>
      <c r="J255" s="74" t="inlineStr">
        <is>
          <t>Maio/2026</t>
        </is>
      </c>
    </row>
    <row r="256" hidden="1" ht="14.25" customHeight="1" s="64">
      <c r="A256" s="106" t="inlineStr">
        <is>
          <t>DP</t>
        </is>
      </c>
      <c r="B256" s="106">
        <f>INDEX(SETORES!$B:$B,MATCH(A256,SETORES!$A:$A,0))</f>
        <v/>
      </c>
      <c r="C256" s="106" t="inlineStr">
        <is>
          <t>Empresa Licenciada H&amp;A</t>
        </is>
      </c>
      <c r="D256" s="77">
        <f>IF(B256="Clientes",SUMIFS(PARÂMETROS!$D$8:$D$907,PARÂMETROS!$A$8:$A$907,C256,PARÂMETROS!$G$8:$G$907,J256),SUMIFS(PARÂMETROS!$E$8:$E$907,PARÂMETROS!$A$8:$A$907,C256,PARÂMETROS!$G$8:$G$907,J256))</f>
        <v/>
      </c>
      <c r="E256" s="109">
        <f>SUMIFS(SETORES!$D:$D,SETORES!$A:$A,A256,SETORES!$F:$F,J256)</f>
        <v/>
      </c>
      <c r="F256" s="109">
        <f>IFERROR(D256*E256,0)</f>
        <v/>
      </c>
      <c r="G256" s="77">
        <f>SUMIFS(PARÂMETROS!$F$8:$F$907,PARÂMETROS!$A$8:$A$907,C256,PARÂMETROS!$G$8:$G$907,J256)</f>
        <v/>
      </c>
      <c r="H256" s="109">
        <f>IFERROR(F256*G256,0)</f>
        <v/>
      </c>
      <c r="I256" s="109">
        <f>F256+H256</f>
        <v/>
      </c>
      <c r="J256" s="106" t="inlineStr">
        <is>
          <t>Maio/2026</t>
        </is>
      </c>
    </row>
    <row r="257" hidden="1" ht="14.25" customHeight="1" s="64">
      <c r="A257" s="74" t="inlineStr">
        <is>
          <t>DP</t>
        </is>
      </c>
      <c r="B257" s="83">
        <f>INDEX(SETORES!$B:$B,MATCH(A257,SETORES!$A:$A,0))</f>
        <v/>
      </c>
      <c r="C257" s="74" t="inlineStr">
        <is>
          <t>Empresa Licenciada SOLON ARAUJO</t>
        </is>
      </c>
      <c r="D257" s="72">
        <f>IF(B257="Clientes",SUMIFS(PARÂMETROS!$D$8:$D$907,PARÂMETROS!$A$8:$A$907,C257,PARÂMETROS!$G$8:$G$907,J257),SUMIFS(PARÂMETROS!$E$8:$E$907,PARÂMETROS!$A$8:$A$907,C257,PARÂMETROS!$G$8:$G$907,J257))</f>
        <v/>
      </c>
      <c r="E257" s="84">
        <f>SUMIFS(SETORES!$D:$D,SETORES!$A:$A,A257,SETORES!$F:$F,J257)</f>
        <v/>
      </c>
      <c r="F257" s="84">
        <f>IFERROR(D257*E257,0)</f>
        <v/>
      </c>
      <c r="G257" s="72">
        <f>SUMIFS(PARÂMETROS!$F$8:$F$907,PARÂMETROS!$A$8:$A$907,C257,PARÂMETROS!$G$8:$G$907,J257)</f>
        <v/>
      </c>
      <c r="H257" s="84">
        <f>IFERROR(F257*G257,0)</f>
        <v/>
      </c>
      <c r="I257" s="84">
        <f>F257+H257</f>
        <v/>
      </c>
      <c r="J257" s="74" t="inlineStr">
        <is>
          <t>Maio/2026</t>
        </is>
      </c>
    </row>
    <row r="258" ht="14.25" customHeight="1" s="64">
      <c r="A258" s="106" t="inlineStr">
        <is>
          <t>DP</t>
        </is>
      </c>
      <c r="B258" s="106">
        <f>INDEX(SETORES!$B:$B,MATCH(A258,SETORES!$A:$A,0))</f>
        <v/>
      </c>
      <c r="C258" s="106" t="inlineStr">
        <is>
          <t>Empresa Licenciada SOARES E LINS</t>
        </is>
      </c>
      <c r="D258" s="77">
        <f>IF(B258="Clientes",SUMIFS(PARÂMETROS!$D$8:$D$907,PARÂMETROS!$A$8:$A$907,C258,PARÂMETROS!$G$8:$G$907,J258),SUMIFS(PARÂMETROS!$E$8:$E$907,PARÂMETROS!$A$8:$A$907,C258,PARÂMETROS!$G$8:$G$907,J258))</f>
        <v/>
      </c>
      <c r="E258" s="109">
        <f>SUMIFS(SETORES!$D:$D,SETORES!$A:$A,A258,SETORES!$F:$F,J258)</f>
        <v/>
      </c>
      <c r="F258" s="109">
        <f>IFERROR(D258*E258,0)</f>
        <v/>
      </c>
      <c r="G258" s="77">
        <f>SUMIFS(PARÂMETROS!$F$8:$F$907,PARÂMETROS!$A$8:$A$907,C258,PARÂMETROS!$G$8:$G$907,J258)</f>
        <v/>
      </c>
      <c r="H258" s="109">
        <f>IFERROR(F258*G258,0)</f>
        <v/>
      </c>
      <c r="I258" s="109">
        <f>F258+H258</f>
        <v/>
      </c>
      <c r="J258" s="106" t="inlineStr">
        <is>
          <t>Maio/2026</t>
        </is>
      </c>
    </row>
    <row r="259" hidden="1" ht="14.25" customHeight="1" s="64">
      <c r="A259" s="74" t="inlineStr">
        <is>
          <t>DP</t>
        </is>
      </c>
      <c r="B259" s="83">
        <f>INDEX(SETORES!$B:$B,MATCH(A259,SETORES!$A:$A,0))</f>
        <v/>
      </c>
      <c r="C259" s="74" t="inlineStr">
        <is>
          <t>Empresa Licenciada SOARES E SILVA</t>
        </is>
      </c>
      <c r="D259" s="72">
        <f>IF(B259="Clientes",SUMIFS(PARÂMETROS!$D$8:$D$907,PARÂMETROS!$A$8:$A$907,C259,PARÂMETROS!$G$8:$G$907,J259),SUMIFS(PARÂMETROS!$E$8:$E$907,PARÂMETROS!$A$8:$A$907,C259,PARÂMETROS!$G$8:$G$907,J259))</f>
        <v/>
      </c>
      <c r="E259" s="84">
        <f>SUMIFS(SETORES!$D:$D,SETORES!$A:$A,A259,SETORES!$F:$F,J259)</f>
        <v/>
      </c>
      <c r="F259" s="84">
        <f>IFERROR(D259*E259,0)</f>
        <v/>
      </c>
      <c r="G259" s="72">
        <f>SUMIFS(PARÂMETROS!$F$8:$F$907,PARÂMETROS!$A$8:$A$907,C259,PARÂMETROS!$G$8:$G$907,J259)</f>
        <v/>
      </c>
      <c r="H259" s="84">
        <f>IFERROR(F259*G259,0)</f>
        <v/>
      </c>
      <c r="I259" s="84">
        <f>F259+H259</f>
        <v/>
      </c>
      <c r="J259" s="74" t="inlineStr">
        <is>
          <t>Maio/2026</t>
        </is>
      </c>
    </row>
    <row r="260" hidden="1" ht="14.25" customHeight="1" s="64">
      <c r="A260" s="106" t="inlineStr">
        <is>
          <t>DP</t>
        </is>
      </c>
      <c r="B260" s="106">
        <f>INDEX(SETORES!$B:$B,MATCH(A260,SETORES!$A:$A,0))</f>
        <v/>
      </c>
      <c r="C260" s="106" t="inlineStr">
        <is>
          <t>Empresa Licenciada SOUZA E SILVA</t>
        </is>
      </c>
      <c r="D260" s="77">
        <f>IF(B260="Clientes",SUMIFS(PARÂMETROS!$D$8:$D$907,PARÂMETROS!$A$8:$A$907,C260,PARÂMETROS!$G$8:$G$907,J260),SUMIFS(PARÂMETROS!$E$8:$E$907,PARÂMETROS!$A$8:$A$907,C260,PARÂMETROS!$G$8:$G$907,J260))</f>
        <v/>
      </c>
      <c r="E260" s="109">
        <f>SUMIFS(SETORES!$D:$D,SETORES!$A:$A,A260,SETORES!$F:$F,J260)</f>
        <v/>
      </c>
      <c r="F260" s="109">
        <f>IFERROR(D260*E260,0)</f>
        <v/>
      </c>
      <c r="G260" s="77">
        <f>SUMIFS(PARÂMETROS!$F$8:$F$907,PARÂMETROS!$A$8:$A$907,C260,PARÂMETROS!$G$8:$G$907,J260)</f>
        <v/>
      </c>
      <c r="H260" s="109">
        <f>IFERROR(F260*G260,0)</f>
        <v/>
      </c>
      <c r="I260" s="109">
        <f>F260+H260</f>
        <v/>
      </c>
      <c r="J260" s="106" t="inlineStr">
        <is>
          <t>Maio/2026</t>
        </is>
      </c>
    </row>
    <row r="261" hidden="1" ht="14.25" customHeight="1" s="64">
      <c r="A261" s="74" t="inlineStr">
        <is>
          <t>DP</t>
        </is>
      </c>
      <c r="B261" s="83">
        <f>INDEX(SETORES!$B:$B,MATCH(A261,SETORES!$A:$A,0))</f>
        <v/>
      </c>
      <c r="C261" s="74" t="inlineStr">
        <is>
          <t>Empresa Licenciada VOICENET</t>
        </is>
      </c>
      <c r="D261" s="72">
        <f>IF(B261="Clientes",SUMIFS(PARÂMETROS!$D$8:$D$907,PARÂMETROS!$A$8:$A$907,C261,PARÂMETROS!$G$8:$G$907,J261),SUMIFS(PARÂMETROS!$E$8:$E$907,PARÂMETROS!$A$8:$A$907,C261,PARÂMETROS!$G$8:$G$907,J261))</f>
        <v/>
      </c>
      <c r="E261" s="84">
        <f>SUMIFS(SETORES!$D:$D,SETORES!$A:$A,A261,SETORES!$F:$F,J261)</f>
        <v/>
      </c>
      <c r="F261" s="84">
        <f>IFERROR(D261*E261,0)</f>
        <v/>
      </c>
      <c r="G261" s="72">
        <f>SUMIFS(PARÂMETROS!$F$8:$F$907,PARÂMETROS!$A$8:$A$907,C261,PARÂMETROS!$G$8:$G$907,J261)</f>
        <v/>
      </c>
      <c r="H261" s="84">
        <f>IFERROR(F261*G261,0)</f>
        <v/>
      </c>
      <c r="I261" s="84">
        <f>F261+H261</f>
        <v/>
      </c>
      <c r="J261" s="74" t="inlineStr">
        <is>
          <t>Maio/2026</t>
        </is>
      </c>
    </row>
    <row r="262" hidden="1" ht="14.25" customHeight="1" s="64">
      <c r="A262" s="106" t="inlineStr">
        <is>
          <t>DP</t>
        </is>
      </c>
      <c r="B262" s="106">
        <f>INDEX(SETORES!$B:$B,MATCH(A262,SETORES!$A:$A,0))</f>
        <v/>
      </c>
      <c r="C262" s="106" t="inlineStr">
        <is>
          <t>DTEL (uso próprio)</t>
        </is>
      </c>
      <c r="D262" s="77">
        <f>IF(B262="Clientes",SUMIFS(PARÂMETROS!$D$8:$D$907,PARÂMETROS!$A$8:$A$907,C262,PARÂMETROS!$G$8:$G$907,J262),SUMIFS(PARÂMETROS!$E$8:$E$907,PARÂMETROS!$A$8:$A$907,C262,PARÂMETROS!$G$8:$G$907,J262))</f>
        <v/>
      </c>
      <c r="E262" s="109">
        <f>SUMIFS(SETORES!$D:$D,SETORES!$A:$A,A262,SETORES!$F:$F,J262)</f>
        <v/>
      </c>
      <c r="F262" s="109">
        <f>IFERROR(D262*E262,0)</f>
        <v/>
      </c>
      <c r="G262" s="77">
        <f>SUMIFS(PARÂMETROS!$F$8:$F$907,PARÂMETROS!$A$8:$A$907,C262,PARÂMETROS!$G$8:$G$907,J262)</f>
        <v/>
      </c>
      <c r="H262" s="109">
        <f>IFERROR(F262*G262,0)</f>
        <v/>
      </c>
      <c r="I262" s="109">
        <f>F262+H262</f>
        <v/>
      </c>
      <c r="J262" s="106" t="inlineStr">
        <is>
          <t>Maio/2026</t>
        </is>
      </c>
    </row>
    <row r="263" hidden="1" ht="14.25" customHeight="1" s="64">
      <c r="A263" s="74" t="inlineStr">
        <is>
          <t>Gestão de Atendimento</t>
        </is>
      </c>
      <c r="B263" s="83">
        <f>INDEX(SETORES!$B:$B,MATCH(A263,SETORES!$A:$A,0))</f>
        <v/>
      </c>
      <c r="C263" s="74" t="inlineStr">
        <is>
          <t>Empresa Licenciada DX2</t>
        </is>
      </c>
      <c r="D263" s="72">
        <f>IF(B263="Clientes",SUMIFS(PARÂMETROS!$D$8:$D$907,PARÂMETROS!$A$8:$A$907,C263,PARÂMETROS!$G$8:$G$907,J263),SUMIFS(PARÂMETROS!$E$8:$E$907,PARÂMETROS!$A$8:$A$907,C263,PARÂMETROS!$G$8:$G$907,J263))</f>
        <v/>
      </c>
      <c r="E263" s="84">
        <f>SUMIFS(SETORES!$D:$D,SETORES!$A:$A,A263,SETORES!$F:$F,J263)</f>
        <v/>
      </c>
      <c r="F263" s="84">
        <f>IFERROR(D263*E263,0)</f>
        <v/>
      </c>
      <c r="G263" s="72">
        <f>SUMIFS(PARÂMETROS!$F$8:$F$907,PARÂMETROS!$A$8:$A$907,C263,PARÂMETROS!$G$8:$G$907,J263)</f>
        <v/>
      </c>
      <c r="H263" s="84">
        <f>IFERROR(F263*G263,0)</f>
        <v/>
      </c>
      <c r="I263" s="84">
        <f>F263+H263</f>
        <v/>
      </c>
      <c r="J263" s="74" t="inlineStr">
        <is>
          <t>Maio/2026</t>
        </is>
      </c>
    </row>
    <row r="264" hidden="1" ht="14.25" customHeight="1" s="64">
      <c r="A264" s="106" t="inlineStr">
        <is>
          <t>Gestão de Atendimento</t>
        </is>
      </c>
      <c r="B264" s="106">
        <f>INDEX(SETORES!$B:$B,MATCH(A264,SETORES!$A:$A,0))</f>
        <v/>
      </c>
      <c r="C264" s="106" t="inlineStr">
        <is>
          <t>Empresa Licenciada H&amp;A</t>
        </is>
      </c>
      <c r="D264" s="77">
        <f>IF(B264="Clientes",SUMIFS(PARÂMETROS!$D$8:$D$907,PARÂMETROS!$A$8:$A$907,C264,PARÂMETROS!$G$8:$G$907,J264),SUMIFS(PARÂMETROS!$E$8:$E$907,PARÂMETROS!$A$8:$A$907,C264,PARÂMETROS!$G$8:$G$907,J264))</f>
        <v/>
      </c>
      <c r="E264" s="109">
        <f>SUMIFS(SETORES!$D:$D,SETORES!$A:$A,A264,SETORES!$F:$F,J264)</f>
        <v/>
      </c>
      <c r="F264" s="109">
        <f>IFERROR(D264*E264,0)</f>
        <v/>
      </c>
      <c r="G264" s="77">
        <f>SUMIFS(PARÂMETROS!$F$8:$F$907,PARÂMETROS!$A$8:$A$907,C264,PARÂMETROS!$G$8:$G$907,J264)</f>
        <v/>
      </c>
      <c r="H264" s="109">
        <f>IFERROR(F264*G264,0)</f>
        <v/>
      </c>
      <c r="I264" s="109">
        <f>F264+H264</f>
        <v/>
      </c>
      <c r="J264" s="106" t="inlineStr">
        <is>
          <t>Maio/2026</t>
        </is>
      </c>
    </row>
    <row r="265" hidden="1" ht="14.25" customHeight="1" s="64">
      <c r="A265" s="74" t="inlineStr">
        <is>
          <t>Gestão de Atendimento</t>
        </is>
      </c>
      <c r="B265" s="83">
        <f>INDEX(SETORES!$B:$B,MATCH(A265,SETORES!$A:$A,0))</f>
        <v/>
      </c>
      <c r="C265" s="74" t="inlineStr">
        <is>
          <t>Empresa Licenciada SOLON ARAUJO</t>
        </is>
      </c>
      <c r="D265" s="72">
        <f>IF(B265="Clientes",SUMIFS(PARÂMETROS!$D$8:$D$907,PARÂMETROS!$A$8:$A$907,C265,PARÂMETROS!$G$8:$G$907,J265),SUMIFS(PARÂMETROS!$E$8:$E$907,PARÂMETROS!$A$8:$A$907,C265,PARÂMETROS!$G$8:$G$907,J265))</f>
        <v/>
      </c>
      <c r="E265" s="84">
        <f>SUMIFS(SETORES!$D:$D,SETORES!$A:$A,A265,SETORES!$F:$F,J265)</f>
        <v/>
      </c>
      <c r="F265" s="84">
        <f>IFERROR(D265*E265,0)</f>
        <v/>
      </c>
      <c r="G265" s="72">
        <f>SUMIFS(PARÂMETROS!$F$8:$F$907,PARÂMETROS!$A$8:$A$907,C265,PARÂMETROS!$G$8:$G$907,J265)</f>
        <v/>
      </c>
      <c r="H265" s="84">
        <f>IFERROR(F265*G265,0)</f>
        <v/>
      </c>
      <c r="I265" s="84">
        <f>F265+H265</f>
        <v/>
      </c>
      <c r="J265" s="74" t="inlineStr">
        <is>
          <t>Maio/2026</t>
        </is>
      </c>
    </row>
    <row r="266" ht="14.25" customHeight="1" s="64">
      <c r="A266" s="106" t="inlineStr">
        <is>
          <t>Gestão de Atendimento</t>
        </is>
      </c>
      <c r="B266" s="106">
        <f>INDEX(SETORES!$B:$B,MATCH(A266,SETORES!$A:$A,0))</f>
        <v/>
      </c>
      <c r="C266" s="106" t="inlineStr">
        <is>
          <t>Empresa Licenciada SOARES E LINS</t>
        </is>
      </c>
      <c r="D266" s="77">
        <f>IF(B266="Clientes",SUMIFS(PARÂMETROS!$D$8:$D$907,PARÂMETROS!$A$8:$A$907,C266,PARÂMETROS!$G$8:$G$907,J266),SUMIFS(PARÂMETROS!$E$8:$E$907,PARÂMETROS!$A$8:$A$907,C266,PARÂMETROS!$G$8:$G$907,J266))</f>
        <v/>
      </c>
      <c r="E266" s="109">
        <f>SUMIFS(SETORES!$D:$D,SETORES!$A:$A,A266,SETORES!$F:$F,J266)</f>
        <v/>
      </c>
      <c r="F266" s="109">
        <f>IFERROR(D266*E266,0)</f>
        <v/>
      </c>
      <c r="G266" s="77">
        <f>SUMIFS(PARÂMETROS!$F$8:$F$907,PARÂMETROS!$A$8:$A$907,C266,PARÂMETROS!$G$8:$G$907,J266)</f>
        <v/>
      </c>
      <c r="H266" s="109">
        <f>IFERROR(F266*G266,0)</f>
        <v/>
      </c>
      <c r="I266" s="109">
        <f>F266+H266</f>
        <v/>
      </c>
      <c r="J266" s="106" t="inlineStr">
        <is>
          <t>Maio/2026</t>
        </is>
      </c>
    </row>
    <row r="267" hidden="1" ht="14.25" customHeight="1" s="64">
      <c r="A267" s="74" t="inlineStr">
        <is>
          <t>Gestão de Atendimento</t>
        </is>
      </c>
      <c r="B267" s="83">
        <f>INDEX(SETORES!$B:$B,MATCH(A267,SETORES!$A:$A,0))</f>
        <v/>
      </c>
      <c r="C267" s="74" t="inlineStr">
        <is>
          <t>Empresa Licenciada SOARES E SILVA</t>
        </is>
      </c>
      <c r="D267" s="72">
        <f>IF(B267="Clientes",SUMIFS(PARÂMETROS!$D$8:$D$907,PARÂMETROS!$A$8:$A$907,C267,PARÂMETROS!$G$8:$G$907,J267),SUMIFS(PARÂMETROS!$E$8:$E$907,PARÂMETROS!$A$8:$A$907,C267,PARÂMETROS!$G$8:$G$907,J267))</f>
        <v/>
      </c>
      <c r="E267" s="84">
        <f>SUMIFS(SETORES!$D:$D,SETORES!$A:$A,A267,SETORES!$F:$F,J267)</f>
        <v/>
      </c>
      <c r="F267" s="84">
        <f>IFERROR(D267*E267,0)</f>
        <v/>
      </c>
      <c r="G267" s="72">
        <f>SUMIFS(PARÂMETROS!$F$8:$F$907,PARÂMETROS!$A$8:$A$907,C267,PARÂMETROS!$G$8:$G$907,J267)</f>
        <v/>
      </c>
      <c r="H267" s="84">
        <f>IFERROR(F267*G267,0)</f>
        <v/>
      </c>
      <c r="I267" s="84">
        <f>F267+H267</f>
        <v/>
      </c>
      <c r="J267" s="74" t="inlineStr">
        <is>
          <t>Maio/2026</t>
        </is>
      </c>
    </row>
    <row r="268" hidden="1" ht="14.25" customHeight="1" s="64">
      <c r="A268" s="106" t="inlineStr">
        <is>
          <t>Gestão de Atendimento</t>
        </is>
      </c>
      <c r="B268" s="106">
        <f>INDEX(SETORES!$B:$B,MATCH(A268,SETORES!$A:$A,0))</f>
        <v/>
      </c>
      <c r="C268" s="106" t="inlineStr">
        <is>
          <t>Empresa Licenciada SOUZA E SILVA</t>
        </is>
      </c>
      <c r="D268" s="77">
        <f>IF(B268="Clientes",SUMIFS(PARÂMETROS!$D$8:$D$907,PARÂMETROS!$A$8:$A$907,C268,PARÂMETROS!$G$8:$G$907,J268),SUMIFS(PARÂMETROS!$E$8:$E$907,PARÂMETROS!$A$8:$A$907,C268,PARÂMETROS!$G$8:$G$907,J268))</f>
        <v/>
      </c>
      <c r="E268" s="109">
        <f>SUMIFS(SETORES!$D:$D,SETORES!$A:$A,A268,SETORES!$F:$F,J268)</f>
        <v/>
      </c>
      <c r="F268" s="109">
        <f>IFERROR(D268*E268,0)</f>
        <v/>
      </c>
      <c r="G268" s="77">
        <f>SUMIFS(PARÂMETROS!$F$8:$F$907,PARÂMETROS!$A$8:$A$907,C268,PARÂMETROS!$G$8:$G$907,J268)</f>
        <v/>
      </c>
      <c r="H268" s="109">
        <f>IFERROR(F268*G268,0)</f>
        <v/>
      </c>
      <c r="I268" s="109">
        <f>F268+H268</f>
        <v/>
      </c>
      <c r="J268" s="106" t="inlineStr">
        <is>
          <t>Maio/2026</t>
        </is>
      </c>
    </row>
    <row r="269" hidden="1" ht="14.25" customHeight="1" s="64">
      <c r="A269" s="74" t="inlineStr">
        <is>
          <t>Gestão de Atendimento</t>
        </is>
      </c>
      <c r="B269" s="83">
        <f>INDEX(SETORES!$B:$B,MATCH(A269,SETORES!$A:$A,0))</f>
        <v/>
      </c>
      <c r="C269" s="74" t="inlineStr">
        <is>
          <t>Empresa Licenciada VOICENET</t>
        </is>
      </c>
      <c r="D269" s="72">
        <f>IF(B269="Clientes",SUMIFS(PARÂMETROS!$D$8:$D$907,PARÂMETROS!$A$8:$A$907,C269,PARÂMETROS!$G$8:$G$907,J269),SUMIFS(PARÂMETROS!$E$8:$E$907,PARÂMETROS!$A$8:$A$907,C269,PARÂMETROS!$G$8:$G$907,J269))</f>
        <v/>
      </c>
      <c r="E269" s="84">
        <f>SUMIFS(SETORES!$D:$D,SETORES!$A:$A,A269,SETORES!$F:$F,J269)</f>
        <v/>
      </c>
      <c r="F269" s="84">
        <f>IFERROR(D269*E269,0)</f>
        <v/>
      </c>
      <c r="G269" s="72">
        <f>SUMIFS(PARÂMETROS!$F$8:$F$907,PARÂMETROS!$A$8:$A$907,C269,PARÂMETROS!$G$8:$G$907,J269)</f>
        <v/>
      </c>
      <c r="H269" s="84">
        <f>IFERROR(F269*G269,0)</f>
        <v/>
      </c>
      <c r="I269" s="84">
        <f>F269+H269</f>
        <v/>
      </c>
      <c r="J269" s="74" t="inlineStr">
        <is>
          <t>Maio/2026</t>
        </is>
      </c>
    </row>
    <row r="270" hidden="1" ht="14.25" customHeight="1" s="64">
      <c r="A270" s="106" t="inlineStr">
        <is>
          <t>Gestão de Atendimento</t>
        </is>
      </c>
      <c r="B270" s="106">
        <f>INDEX(SETORES!$B:$B,MATCH(A270,SETORES!$A:$A,0))</f>
        <v/>
      </c>
      <c r="C270" s="106" t="inlineStr">
        <is>
          <t>DTEL (uso próprio)</t>
        </is>
      </c>
      <c r="D270" s="77">
        <f>IF(B270="Clientes",SUMIFS(PARÂMETROS!$D$8:$D$907,PARÂMETROS!$A$8:$A$907,C270,PARÂMETROS!$G$8:$G$907,J270),SUMIFS(PARÂMETROS!$E$8:$E$907,PARÂMETROS!$A$8:$A$907,C270,PARÂMETROS!$G$8:$G$907,J270))</f>
        <v/>
      </c>
      <c r="E270" s="109">
        <f>SUMIFS(SETORES!$D:$D,SETORES!$A:$A,A270,SETORES!$F:$F,J270)</f>
        <v/>
      </c>
      <c r="F270" s="109">
        <f>IFERROR(D270*E270,0)</f>
        <v/>
      </c>
      <c r="G270" s="77">
        <f>SUMIFS(PARÂMETROS!$F$8:$F$907,PARÂMETROS!$A$8:$A$907,C270,PARÂMETROS!$G$8:$G$907,J270)</f>
        <v/>
      </c>
      <c r="H270" s="109">
        <f>IFERROR(F270*G270,0)</f>
        <v/>
      </c>
      <c r="I270" s="109">
        <f>F270+H270</f>
        <v/>
      </c>
      <c r="J270" s="106" t="inlineStr">
        <is>
          <t>Maio/2026</t>
        </is>
      </c>
    </row>
    <row r="271" hidden="1" ht="14.25" customHeight="1" s="64">
      <c r="A271" s="74" t="inlineStr">
        <is>
          <t>CAC</t>
        </is>
      </c>
      <c r="B271" s="83">
        <f>INDEX(SETORES!$B:$B,MATCH(A271,SETORES!$A:$A,0))</f>
        <v/>
      </c>
      <c r="C271" s="74" t="inlineStr">
        <is>
          <t>Empresa Licenciada DX2</t>
        </is>
      </c>
      <c r="D271" s="72">
        <f>IF(B271="Clientes",SUMIFS(PARÂMETROS!$D$8:$D$907,PARÂMETROS!$A$8:$A$907,C271,PARÂMETROS!$G$8:$G$907,J271),SUMIFS(PARÂMETROS!$E$8:$E$907,PARÂMETROS!$A$8:$A$907,C271,PARÂMETROS!$G$8:$G$907,J271))</f>
        <v/>
      </c>
      <c r="E271" s="84">
        <f>SUMIFS(SETORES!$D:$D,SETORES!$A:$A,A271,SETORES!$F:$F,J271)</f>
        <v/>
      </c>
      <c r="F271" s="84">
        <f>IFERROR(D271*E271,0)</f>
        <v/>
      </c>
      <c r="G271" s="72">
        <f>SUMIFS(PARÂMETROS!$F$8:$F$907,PARÂMETROS!$A$8:$A$907,C271,PARÂMETROS!$G$8:$G$907,J271)</f>
        <v/>
      </c>
      <c r="H271" s="84">
        <f>IFERROR(F271*G271,0)</f>
        <v/>
      </c>
      <c r="I271" s="84">
        <f>F271+H271</f>
        <v/>
      </c>
      <c r="J271" s="74" t="inlineStr">
        <is>
          <t>Maio/2026</t>
        </is>
      </c>
    </row>
    <row r="272" hidden="1" ht="14.25" customHeight="1" s="64">
      <c r="A272" s="106" t="inlineStr">
        <is>
          <t>CAC</t>
        </is>
      </c>
      <c r="B272" s="106">
        <f>INDEX(SETORES!$B:$B,MATCH(A272,SETORES!$A:$A,0))</f>
        <v/>
      </c>
      <c r="C272" s="106" t="inlineStr">
        <is>
          <t>Empresa Licenciada H&amp;A</t>
        </is>
      </c>
      <c r="D272" s="77">
        <f>IF(B272="Clientes",SUMIFS(PARÂMETROS!$D$8:$D$907,PARÂMETROS!$A$8:$A$907,C272,PARÂMETROS!$G$8:$G$907,J272),SUMIFS(PARÂMETROS!$E$8:$E$907,PARÂMETROS!$A$8:$A$907,C272,PARÂMETROS!$G$8:$G$907,J272))</f>
        <v/>
      </c>
      <c r="E272" s="109">
        <f>SUMIFS(SETORES!$D:$D,SETORES!$A:$A,A272,SETORES!$F:$F,J272)</f>
        <v/>
      </c>
      <c r="F272" s="109">
        <f>IFERROR(D272*E272,0)</f>
        <v/>
      </c>
      <c r="G272" s="77">
        <f>SUMIFS(PARÂMETROS!$F$8:$F$907,PARÂMETROS!$A$8:$A$907,C272,PARÂMETROS!$G$8:$G$907,J272)</f>
        <v/>
      </c>
      <c r="H272" s="109">
        <f>IFERROR(F272*G272,0)</f>
        <v/>
      </c>
      <c r="I272" s="109">
        <f>F272+H272</f>
        <v/>
      </c>
      <c r="J272" s="106" t="inlineStr">
        <is>
          <t>Maio/2026</t>
        </is>
      </c>
    </row>
    <row r="273" hidden="1" ht="14.25" customHeight="1" s="64">
      <c r="A273" s="74" t="inlineStr">
        <is>
          <t>CAC</t>
        </is>
      </c>
      <c r="B273" s="83">
        <f>INDEX(SETORES!$B:$B,MATCH(A273,SETORES!$A:$A,0))</f>
        <v/>
      </c>
      <c r="C273" s="74" t="inlineStr">
        <is>
          <t>Empresa Licenciada SOLON ARAUJO</t>
        </is>
      </c>
      <c r="D273" s="72">
        <f>IF(B273="Clientes",SUMIFS(PARÂMETROS!$D$8:$D$907,PARÂMETROS!$A$8:$A$907,C273,PARÂMETROS!$G$8:$G$907,J273),SUMIFS(PARÂMETROS!$E$8:$E$907,PARÂMETROS!$A$8:$A$907,C273,PARÂMETROS!$G$8:$G$907,J273))</f>
        <v/>
      </c>
      <c r="E273" s="84">
        <f>SUMIFS(SETORES!$D:$D,SETORES!$A:$A,A273,SETORES!$F:$F,J273)</f>
        <v/>
      </c>
      <c r="F273" s="84">
        <f>IFERROR(D273*E273,0)</f>
        <v/>
      </c>
      <c r="G273" s="72">
        <f>SUMIFS(PARÂMETROS!$F$8:$F$907,PARÂMETROS!$A$8:$A$907,C273,PARÂMETROS!$G$8:$G$907,J273)</f>
        <v/>
      </c>
      <c r="H273" s="84">
        <f>IFERROR(F273*G273,0)</f>
        <v/>
      </c>
      <c r="I273" s="84">
        <f>F273+H273</f>
        <v/>
      </c>
      <c r="J273" s="74" t="inlineStr">
        <is>
          <t>Maio/2026</t>
        </is>
      </c>
    </row>
    <row r="274" ht="14.25" customHeight="1" s="64">
      <c r="A274" s="106" t="inlineStr">
        <is>
          <t>CAC</t>
        </is>
      </c>
      <c r="B274" s="106">
        <f>INDEX(SETORES!$B:$B,MATCH(A274,SETORES!$A:$A,0))</f>
        <v/>
      </c>
      <c r="C274" s="106" t="inlineStr">
        <is>
          <t>Empresa Licenciada SOARES E LINS</t>
        </is>
      </c>
      <c r="D274" s="77">
        <f>IF(B274="Clientes",SUMIFS(PARÂMETROS!$D$8:$D$907,PARÂMETROS!$A$8:$A$907,C274,PARÂMETROS!$G$8:$G$907,J274),SUMIFS(PARÂMETROS!$E$8:$E$907,PARÂMETROS!$A$8:$A$907,C274,PARÂMETROS!$G$8:$G$907,J274))</f>
        <v/>
      </c>
      <c r="E274" s="109">
        <f>SUMIFS(SETORES!$D:$D,SETORES!$A:$A,A274,SETORES!$F:$F,J274)</f>
        <v/>
      </c>
      <c r="F274" s="109">
        <f>IFERROR(D274*E274,0)</f>
        <v/>
      </c>
      <c r="G274" s="77">
        <f>SUMIFS(PARÂMETROS!$F$8:$F$907,PARÂMETROS!$A$8:$A$907,C274,PARÂMETROS!$G$8:$G$907,J274)</f>
        <v/>
      </c>
      <c r="H274" s="109">
        <f>IFERROR(F274*G274,0)</f>
        <v/>
      </c>
      <c r="I274" s="109">
        <f>F274+H274</f>
        <v/>
      </c>
      <c r="J274" s="106" t="inlineStr">
        <is>
          <t>Maio/2026</t>
        </is>
      </c>
    </row>
    <row r="275" hidden="1" ht="14.25" customHeight="1" s="64">
      <c r="A275" s="74" t="inlineStr">
        <is>
          <t>CAC</t>
        </is>
      </c>
      <c r="B275" s="83">
        <f>INDEX(SETORES!$B:$B,MATCH(A275,SETORES!$A:$A,0))</f>
        <v/>
      </c>
      <c r="C275" s="74" t="inlineStr">
        <is>
          <t>Empresa Licenciada SOARES E SILVA</t>
        </is>
      </c>
      <c r="D275" s="72">
        <f>IF(B275="Clientes",SUMIFS(PARÂMETROS!$D$8:$D$907,PARÂMETROS!$A$8:$A$907,C275,PARÂMETROS!$G$8:$G$907,J275),SUMIFS(PARÂMETROS!$E$8:$E$907,PARÂMETROS!$A$8:$A$907,C275,PARÂMETROS!$G$8:$G$907,J275))</f>
        <v/>
      </c>
      <c r="E275" s="84">
        <f>SUMIFS(SETORES!$D:$D,SETORES!$A:$A,A275,SETORES!$F:$F,J275)</f>
        <v/>
      </c>
      <c r="F275" s="84">
        <f>IFERROR(D275*E275,0)</f>
        <v/>
      </c>
      <c r="G275" s="72">
        <f>SUMIFS(PARÂMETROS!$F$8:$F$907,PARÂMETROS!$A$8:$A$907,C275,PARÂMETROS!$G$8:$G$907,J275)</f>
        <v/>
      </c>
      <c r="H275" s="84">
        <f>IFERROR(F275*G275,0)</f>
        <v/>
      </c>
      <c r="I275" s="84">
        <f>F275+H275</f>
        <v/>
      </c>
      <c r="J275" s="74" t="inlineStr">
        <is>
          <t>Maio/2026</t>
        </is>
      </c>
    </row>
    <row r="276" hidden="1" ht="14.25" customHeight="1" s="64">
      <c r="A276" s="106" t="inlineStr">
        <is>
          <t>CAC</t>
        </is>
      </c>
      <c r="B276" s="106">
        <f>INDEX(SETORES!$B:$B,MATCH(A276,SETORES!$A:$A,0))</f>
        <v/>
      </c>
      <c r="C276" s="106" t="inlineStr">
        <is>
          <t>Empresa Licenciada SOUZA E SILVA</t>
        </is>
      </c>
      <c r="D276" s="77">
        <f>IF(B276="Clientes",SUMIFS(PARÂMETROS!$D$8:$D$907,PARÂMETROS!$A$8:$A$907,C276,PARÂMETROS!$G$8:$G$907,J276),SUMIFS(PARÂMETROS!$E$8:$E$907,PARÂMETROS!$A$8:$A$907,C276,PARÂMETROS!$G$8:$G$907,J276))</f>
        <v/>
      </c>
      <c r="E276" s="109">
        <f>SUMIFS(SETORES!$D:$D,SETORES!$A:$A,A276,SETORES!$F:$F,J276)</f>
        <v/>
      </c>
      <c r="F276" s="109">
        <f>IFERROR(D276*E276,0)</f>
        <v/>
      </c>
      <c r="G276" s="77">
        <f>SUMIFS(PARÂMETROS!$F$8:$F$907,PARÂMETROS!$A$8:$A$907,C276,PARÂMETROS!$G$8:$G$907,J276)</f>
        <v/>
      </c>
      <c r="H276" s="109">
        <f>IFERROR(F276*G276,0)</f>
        <v/>
      </c>
      <c r="I276" s="109">
        <f>F276+H276</f>
        <v/>
      </c>
      <c r="J276" s="106" t="inlineStr">
        <is>
          <t>Maio/2026</t>
        </is>
      </c>
    </row>
    <row r="277" hidden="1" ht="14.25" customHeight="1" s="64">
      <c r="A277" s="74" t="inlineStr">
        <is>
          <t>CAC</t>
        </is>
      </c>
      <c r="B277" s="83">
        <f>INDEX(SETORES!$B:$B,MATCH(A277,SETORES!$A:$A,0))</f>
        <v/>
      </c>
      <c r="C277" s="74" t="inlineStr">
        <is>
          <t>Empresa Licenciada VOICENET</t>
        </is>
      </c>
      <c r="D277" s="72">
        <f>IF(B277="Clientes",SUMIFS(PARÂMETROS!$D$8:$D$907,PARÂMETROS!$A$8:$A$907,C277,PARÂMETROS!$G$8:$G$907,J277),SUMIFS(PARÂMETROS!$E$8:$E$907,PARÂMETROS!$A$8:$A$907,C277,PARÂMETROS!$G$8:$G$907,J277))</f>
        <v/>
      </c>
      <c r="E277" s="84">
        <f>SUMIFS(SETORES!$D:$D,SETORES!$A:$A,A277,SETORES!$F:$F,J277)</f>
        <v/>
      </c>
      <c r="F277" s="84">
        <f>IFERROR(D277*E277,0)</f>
        <v/>
      </c>
      <c r="G277" s="72">
        <f>SUMIFS(PARÂMETROS!$F$8:$F$907,PARÂMETROS!$A$8:$A$907,C277,PARÂMETROS!$G$8:$G$907,J277)</f>
        <v/>
      </c>
      <c r="H277" s="84">
        <f>IFERROR(F277*G277,0)</f>
        <v/>
      </c>
      <c r="I277" s="84">
        <f>F277+H277</f>
        <v/>
      </c>
      <c r="J277" s="74" t="inlineStr">
        <is>
          <t>Maio/2026</t>
        </is>
      </c>
    </row>
    <row r="278" hidden="1" ht="14.25" customHeight="1" s="64">
      <c r="A278" s="106" t="inlineStr">
        <is>
          <t>CAC</t>
        </is>
      </c>
      <c r="B278" s="106">
        <f>INDEX(SETORES!$B:$B,MATCH(A278,SETORES!$A:$A,0))</f>
        <v/>
      </c>
      <c r="C278" s="106" t="inlineStr">
        <is>
          <t>DTEL (uso próprio)</t>
        </is>
      </c>
      <c r="D278" s="77">
        <f>IF(B278="Clientes",SUMIFS(PARÂMETROS!$D$8:$D$907,PARÂMETROS!$A$8:$A$907,C278,PARÂMETROS!$G$8:$G$907,J278),SUMIFS(PARÂMETROS!$E$8:$E$907,PARÂMETROS!$A$8:$A$907,C278,PARÂMETROS!$G$8:$G$907,J278))</f>
        <v/>
      </c>
      <c r="E278" s="109">
        <f>SUMIFS(SETORES!$D:$D,SETORES!$A:$A,A278,SETORES!$F:$F,J278)</f>
        <v/>
      </c>
      <c r="F278" s="109">
        <f>IFERROR(D278*E278,0)</f>
        <v/>
      </c>
      <c r="G278" s="77">
        <f>SUMIFS(PARÂMETROS!$F$8:$F$907,PARÂMETROS!$A$8:$A$907,C278,PARÂMETROS!$G$8:$G$907,J278)</f>
        <v/>
      </c>
      <c r="H278" s="109">
        <f>IFERROR(F278*G278,0)</f>
        <v/>
      </c>
      <c r="I278" s="109">
        <f>F278+H278</f>
        <v/>
      </c>
      <c r="J278" s="106" t="inlineStr">
        <is>
          <t>Maio/2026</t>
        </is>
      </c>
    </row>
    <row r="279" hidden="1" ht="14.25" customHeight="1" s="64">
      <c r="A279" s="74" t="inlineStr">
        <is>
          <t>Financeiro</t>
        </is>
      </c>
      <c r="B279" s="83">
        <f>INDEX(SETORES!$B:$B,MATCH(A279,SETORES!$A:$A,0))</f>
        <v/>
      </c>
      <c r="C279" s="74" t="inlineStr">
        <is>
          <t>Empresa Licenciada DX2</t>
        </is>
      </c>
      <c r="D279" s="72">
        <f>IF(B279="Clientes",SUMIFS(PARÂMETROS!$D$8:$D$907,PARÂMETROS!$A$8:$A$907,C279,PARÂMETROS!$G$8:$G$907,J279),SUMIFS(PARÂMETROS!$E$8:$E$907,PARÂMETROS!$A$8:$A$907,C279,PARÂMETROS!$G$8:$G$907,J279))</f>
        <v/>
      </c>
      <c r="E279" s="84">
        <f>SUMIFS(SETORES!$D:$D,SETORES!$A:$A,A279,SETORES!$F:$F,J279)</f>
        <v/>
      </c>
      <c r="F279" s="84">
        <f>IFERROR(D279*E279,0)</f>
        <v/>
      </c>
      <c r="G279" s="72">
        <f>SUMIFS(PARÂMETROS!$F$8:$F$907,PARÂMETROS!$A$8:$A$907,C279,PARÂMETROS!$G$8:$G$907,J279)</f>
        <v/>
      </c>
      <c r="H279" s="84">
        <f>IFERROR(F279*G279,0)</f>
        <v/>
      </c>
      <c r="I279" s="84">
        <f>F279+H279</f>
        <v/>
      </c>
      <c r="J279" s="74" t="inlineStr">
        <is>
          <t>Maio/2026</t>
        </is>
      </c>
    </row>
    <row r="280" hidden="1" ht="14.25" customHeight="1" s="64">
      <c r="A280" s="106" t="inlineStr">
        <is>
          <t>Financeiro</t>
        </is>
      </c>
      <c r="B280" s="106">
        <f>INDEX(SETORES!$B:$B,MATCH(A280,SETORES!$A:$A,0))</f>
        <v/>
      </c>
      <c r="C280" s="106" t="inlineStr">
        <is>
          <t>Empresa Licenciada H&amp;A</t>
        </is>
      </c>
      <c r="D280" s="77">
        <f>IF(B280="Clientes",SUMIFS(PARÂMETROS!$D$8:$D$907,PARÂMETROS!$A$8:$A$907,C280,PARÂMETROS!$G$8:$G$907,J280),SUMIFS(PARÂMETROS!$E$8:$E$907,PARÂMETROS!$A$8:$A$907,C280,PARÂMETROS!$G$8:$G$907,J280))</f>
        <v/>
      </c>
      <c r="E280" s="109">
        <f>SUMIFS(SETORES!$D:$D,SETORES!$A:$A,A280,SETORES!$F:$F,J280)</f>
        <v/>
      </c>
      <c r="F280" s="109">
        <f>IFERROR(D280*E280,0)</f>
        <v/>
      </c>
      <c r="G280" s="77">
        <f>SUMIFS(PARÂMETROS!$F$8:$F$907,PARÂMETROS!$A$8:$A$907,C280,PARÂMETROS!$G$8:$G$907,J280)</f>
        <v/>
      </c>
      <c r="H280" s="109">
        <f>IFERROR(F280*G280,0)</f>
        <v/>
      </c>
      <c r="I280" s="109">
        <f>F280+H280</f>
        <v/>
      </c>
      <c r="J280" s="106" t="inlineStr">
        <is>
          <t>Maio/2026</t>
        </is>
      </c>
    </row>
    <row r="281" hidden="1" ht="14.25" customHeight="1" s="64">
      <c r="A281" s="74" t="inlineStr">
        <is>
          <t>Financeiro</t>
        </is>
      </c>
      <c r="B281" s="83">
        <f>INDEX(SETORES!$B:$B,MATCH(A281,SETORES!$A:$A,0))</f>
        <v/>
      </c>
      <c r="C281" s="74" t="inlineStr">
        <is>
          <t>Empresa Licenciada SOLON ARAUJO</t>
        </is>
      </c>
      <c r="D281" s="72">
        <f>IF(B281="Clientes",SUMIFS(PARÂMETROS!$D$8:$D$907,PARÂMETROS!$A$8:$A$907,C281,PARÂMETROS!$G$8:$G$907,J281),SUMIFS(PARÂMETROS!$E$8:$E$907,PARÂMETROS!$A$8:$A$907,C281,PARÂMETROS!$G$8:$G$907,J281))</f>
        <v/>
      </c>
      <c r="E281" s="84">
        <f>SUMIFS(SETORES!$D:$D,SETORES!$A:$A,A281,SETORES!$F:$F,J281)</f>
        <v/>
      </c>
      <c r="F281" s="84">
        <f>IFERROR(D281*E281,0)</f>
        <v/>
      </c>
      <c r="G281" s="72">
        <f>SUMIFS(PARÂMETROS!$F$8:$F$907,PARÂMETROS!$A$8:$A$907,C281,PARÂMETROS!$G$8:$G$907,J281)</f>
        <v/>
      </c>
      <c r="H281" s="84">
        <f>IFERROR(F281*G281,0)</f>
        <v/>
      </c>
      <c r="I281" s="84">
        <f>F281+H281</f>
        <v/>
      </c>
      <c r="J281" s="74" t="inlineStr">
        <is>
          <t>Maio/2026</t>
        </is>
      </c>
    </row>
    <row r="282" ht="14.25" customHeight="1" s="64">
      <c r="A282" s="106" t="inlineStr">
        <is>
          <t>Financeiro</t>
        </is>
      </c>
      <c r="B282" s="106">
        <f>INDEX(SETORES!$B:$B,MATCH(A282,SETORES!$A:$A,0))</f>
        <v/>
      </c>
      <c r="C282" s="106" t="inlineStr">
        <is>
          <t>Empresa Licenciada SOARES E LINS</t>
        </is>
      </c>
      <c r="D282" s="77">
        <f>IF(B282="Clientes",SUMIFS(PARÂMETROS!$D$8:$D$907,PARÂMETROS!$A$8:$A$907,C282,PARÂMETROS!$G$8:$G$907,J282),SUMIFS(PARÂMETROS!$E$8:$E$907,PARÂMETROS!$A$8:$A$907,C282,PARÂMETROS!$G$8:$G$907,J282))</f>
        <v/>
      </c>
      <c r="E282" s="109">
        <f>SUMIFS(SETORES!$D:$D,SETORES!$A:$A,A282,SETORES!$F:$F,J282)</f>
        <v/>
      </c>
      <c r="F282" s="109">
        <f>IFERROR(D282*E282,0)</f>
        <v/>
      </c>
      <c r="G282" s="77">
        <f>SUMIFS(PARÂMETROS!$F$8:$F$907,PARÂMETROS!$A$8:$A$907,C282,PARÂMETROS!$G$8:$G$907,J282)</f>
        <v/>
      </c>
      <c r="H282" s="109">
        <f>IFERROR(F282*G282,0)</f>
        <v/>
      </c>
      <c r="I282" s="109">
        <f>F282+H282</f>
        <v/>
      </c>
      <c r="J282" s="106" t="inlineStr">
        <is>
          <t>Maio/2026</t>
        </is>
      </c>
    </row>
    <row r="283" hidden="1" ht="14.25" customHeight="1" s="64">
      <c r="A283" s="74" t="inlineStr">
        <is>
          <t>Financeiro</t>
        </is>
      </c>
      <c r="B283" s="83">
        <f>INDEX(SETORES!$B:$B,MATCH(A283,SETORES!$A:$A,0))</f>
        <v/>
      </c>
      <c r="C283" s="74" t="inlineStr">
        <is>
          <t>Empresa Licenciada SOARES E SILVA</t>
        </is>
      </c>
      <c r="D283" s="72">
        <f>IF(B283="Clientes",SUMIFS(PARÂMETROS!$D$8:$D$907,PARÂMETROS!$A$8:$A$907,C283,PARÂMETROS!$G$8:$G$907,J283),SUMIFS(PARÂMETROS!$E$8:$E$907,PARÂMETROS!$A$8:$A$907,C283,PARÂMETROS!$G$8:$G$907,J283))</f>
        <v/>
      </c>
      <c r="E283" s="84">
        <f>SUMIFS(SETORES!$D:$D,SETORES!$A:$A,A283,SETORES!$F:$F,J283)</f>
        <v/>
      </c>
      <c r="F283" s="84">
        <f>IFERROR(D283*E283,0)</f>
        <v/>
      </c>
      <c r="G283" s="72">
        <f>SUMIFS(PARÂMETROS!$F$8:$F$907,PARÂMETROS!$A$8:$A$907,C283,PARÂMETROS!$G$8:$G$907,J283)</f>
        <v/>
      </c>
      <c r="H283" s="84">
        <f>IFERROR(F283*G283,0)</f>
        <v/>
      </c>
      <c r="I283" s="84">
        <f>F283+H283</f>
        <v/>
      </c>
      <c r="J283" s="74" t="inlineStr">
        <is>
          <t>Maio/2026</t>
        </is>
      </c>
    </row>
    <row r="284" hidden="1" ht="14.25" customHeight="1" s="64">
      <c r="A284" s="106" t="inlineStr">
        <is>
          <t>Financeiro</t>
        </is>
      </c>
      <c r="B284" s="106">
        <f>INDEX(SETORES!$B:$B,MATCH(A284,SETORES!$A:$A,0))</f>
        <v/>
      </c>
      <c r="C284" s="106" t="inlineStr">
        <is>
          <t>Empresa Licenciada SOUZA E SILVA</t>
        </is>
      </c>
      <c r="D284" s="77">
        <f>IF(B284="Clientes",SUMIFS(PARÂMETROS!$D$8:$D$907,PARÂMETROS!$A$8:$A$907,C284,PARÂMETROS!$G$8:$G$907,J284),SUMIFS(PARÂMETROS!$E$8:$E$907,PARÂMETROS!$A$8:$A$907,C284,PARÂMETROS!$G$8:$G$907,J284))</f>
        <v/>
      </c>
      <c r="E284" s="109">
        <f>SUMIFS(SETORES!$D:$D,SETORES!$A:$A,A284,SETORES!$F:$F,J284)</f>
        <v/>
      </c>
      <c r="F284" s="109">
        <f>IFERROR(D284*E284,0)</f>
        <v/>
      </c>
      <c r="G284" s="77">
        <f>SUMIFS(PARÂMETROS!$F$8:$F$907,PARÂMETROS!$A$8:$A$907,C284,PARÂMETROS!$G$8:$G$907,J284)</f>
        <v/>
      </c>
      <c r="H284" s="109">
        <f>IFERROR(F284*G284,0)</f>
        <v/>
      </c>
      <c r="I284" s="109">
        <f>F284+H284</f>
        <v/>
      </c>
      <c r="J284" s="106" t="inlineStr">
        <is>
          <t>Maio/2026</t>
        </is>
      </c>
    </row>
    <row r="285" hidden="1" ht="14.25" customHeight="1" s="64">
      <c r="A285" s="74" t="inlineStr">
        <is>
          <t>Financeiro</t>
        </is>
      </c>
      <c r="B285" s="83">
        <f>INDEX(SETORES!$B:$B,MATCH(A285,SETORES!$A:$A,0))</f>
        <v/>
      </c>
      <c r="C285" s="74" t="inlineStr">
        <is>
          <t>Empresa Licenciada VOICENET</t>
        </is>
      </c>
      <c r="D285" s="72">
        <f>IF(B285="Clientes",SUMIFS(PARÂMETROS!$D$8:$D$907,PARÂMETROS!$A$8:$A$907,C285,PARÂMETROS!$G$8:$G$907,J285),SUMIFS(PARÂMETROS!$E$8:$E$907,PARÂMETROS!$A$8:$A$907,C285,PARÂMETROS!$G$8:$G$907,J285))</f>
        <v/>
      </c>
      <c r="E285" s="84">
        <f>SUMIFS(SETORES!$D:$D,SETORES!$A:$A,A285,SETORES!$F:$F,J285)</f>
        <v/>
      </c>
      <c r="F285" s="84">
        <f>IFERROR(D285*E285,0)</f>
        <v/>
      </c>
      <c r="G285" s="72">
        <f>SUMIFS(PARÂMETROS!$F$8:$F$907,PARÂMETROS!$A$8:$A$907,C285,PARÂMETROS!$G$8:$G$907,J285)</f>
        <v/>
      </c>
      <c r="H285" s="84">
        <f>IFERROR(F285*G285,0)</f>
        <v/>
      </c>
      <c r="I285" s="84">
        <f>F285+H285</f>
        <v/>
      </c>
      <c r="J285" s="74" t="inlineStr">
        <is>
          <t>Maio/2026</t>
        </is>
      </c>
    </row>
    <row r="286" hidden="1" ht="14.25" customHeight="1" s="64">
      <c r="A286" s="106" t="inlineStr">
        <is>
          <t>Financeiro</t>
        </is>
      </c>
      <c r="B286" s="106">
        <f>INDEX(SETORES!$B:$B,MATCH(A286,SETORES!$A:$A,0))</f>
        <v/>
      </c>
      <c r="C286" s="106" t="inlineStr">
        <is>
          <t>DTEL (uso próprio)</t>
        </is>
      </c>
      <c r="D286" s="77">
        <f>IF(B286="Clientes",SUMIFS(PARÂMETROS!$D$8:$D$907,PARÂMETROS!$A$8:$A$907,C286,PARÂMETROS!$G$8:$G$907,J286),SUMIFS(PARÂMETROS!$E$8:$E$907,PARÂMETROS!$A$8:$A$907,C286,PARÂMETROS!$G$8:$G$907,J286))</f>
        <v/>
      </c>
      <c r="E286" s="109">
        <f>SUMIFS(SETORES!$D:$D,SETORES!$A:$A,A286,SETORES!$F:$F,J286)</f>
        <v/>
      </c>
      <c r="F286" s="109">
        <f>IFERROR(D286*E286,0)</f>
        <v/>
      </c>
      <c r="G286" s="77">
        <f>SUMIFS(PARÂMETROS!$F$8:$F$907,PARÂMETROS!$A$8:$A$907,C286,PARÂMETROS!$G$8:$G$907,J286)</f>
        <v/>
      </c>
      <c r="H286" s="109">
        <f>IFERROR(F286*G286,0)</f>
        <v/>
      </c>
      <c r="I286" s="109">
        <f>F286+H286</f>
        <v/>
      </c>
      <c r="J286" s="106" t="inlineStr">
        <is>
          <t>Maio/2026</t>
        </is>
      </c>
    </row>
    <row r="287" hidden="1" ht="14.25" customHeight="1" s="64">
      <c r="A287" s="74" t="inlineStr">
        <is>
          <t>NRC</t>
        </is>
      </c>
      <c r="B287" s="83">
        <f>INDEX(SETORES!$B:$B,MATCH(A287,SETORES!$A:$A,0))</f>
        <v/>
      </c>
      <c r="C287" s="74" t="inlineStr">
        <is>
          <t>Empresa Licenciada DX2</t>
        </is>
      </c>
      <c r="D287" s="72">
        <f>IF(B287="Clientes",SUMIFS(PARÂMETROS!$D$8:$D$907,PARÂMETROS!$A$8:$A$907,C287,PARÂMETROS!$G$8:$G$907,J287),SUMIFS(PARÂMETROS!$E$8:$E$907,PARÂMETROS!$A$8:$A$907,C287,PARÂMETROS!$G$8:$G$907,J287))</f>
        <v/>
      </c>
      <c r="E287" s="84">
        <f>SUMIFS(SETORES!$D:$D,SETORES!$A:$A,A287,SETORES!$F:$F,J287)</f>
        <v/>
      </c>
      <c r="F287" s="84">
        <f>IFERROR(D287*E287,0)</f>
        <v/>
      </c>
      <c r="G287" s="72">
        <f>SUMIFS(PARÂMETROS!$F$8:$F$907,PARÂMETROS!$A$8:$A$907,C287,PARÂMETROS!$G$8:$G$907,J287)</f>
        <v/>
      </c>
      <c r="H287" s="84">
        <f>IFERROR(F287*G287,0)</f>
        <v/>
      </c>
      <c r="I287" s="84">
        <f>F287+H287</f>
        <v/>
      </c>
      <c r="J287" s="74" t="inlineStr">
        <is>
          <t>Maio/2026</t>
        </is>
      </c>
    </row>
    <row r="288" hidden="1" ht="14.25" customHeight="1" s="64">
      <c r="A288" s="106" t="inlineStr">
        <is>
          <t>NRC</t>
        </is>
      </c>
      <c r="B288" s="106">
        <f>INDEX(SETORES!$B:$B,MATCH(A288,SETORES!$A:$A,0))</f>
        <v/>
      </c>
      <c r="C288" s="106" t="inlineStr">
        <is>
          <t>Empresa Licenciada H&amp;A</t>
        </is>
      </c>
      <c r="D288" s="77">
        <f>IF(B288="Clientes",SUMIFS(PARÂMETROS!$D$8:$D$907,PARÂMETROS!$A$8:$A$907,C288,PARÂMETROS!$G$8:$G$907,J288),SUMIFS(PARÂMETROS!$E$8:$E$907,PARÂMETROS!$A$8:$A$907,C288,PARÂMETROS!$G$8:$G$907,J288))</f>
        <v/>
      </c>
      <c r="E288" s="109">
        <f>SUMIFS(SETORES!$D:$D,SETORES!$A:$A,A288,SETORES!$F:$F,J288)</f>
        <v/>
      </c>
      <c r="F288" s="109">
        <f>IFERROR(D288*E288,0)</f>
        <v/>
      </c>
      <c r="G288" s="77">
        <f>SUMIFS(PARÂMETROS!$F$8:$F$907,PARÂMETROS!$A$8:$A$907,C288,PARÂMETROS!$G$8:$G$907,J288)</f>
        <v/>
      </c>
      <c r="H288" s="109">
        <f>IFERROR(F288*G288,0)</f>
        <v/>
      </c>
      <c r="I288" s="109">
        <f>F288+H288</f>
        <v/>
      </c>
      <c r="J288" s="106" t="inlineStr">
        <is>
          <t>Maio/2026</t>
        </is>
      </c>
    </row>
    <row r="289" hidden="1" ht="14.25" customHeight="1" s="64">
      <c r="A289" s="74" t="inlineStr">
        <is>
          <t>NRC</t>
        </is>
      </c>
      <c r="B289" s="83">
        <f>INDEX(SETORES!$B:$B,MATCH(A289,SETORES!$A:$A,0))</f>
        <v/>
      </c>
      <c r="C289" s="74" t="inlineStr">
        <is>
          <t>Empresa Licenciada SOLON ARAUJO</t>
        </is>
      </c>
      <c r="D289" s="72">
        <f>IF(B289="Clientes",SUMIFS(PARÂMETROS!$D$8:$D$907,PARÂMETROS!$A$8:$A$907,C289,PARÂMETROS!$G$8:$G$907,J289),SUMIFS(PARÂMETROS!$E$8:$E$907,PARÂMETROS!$A$8:$A$907,C289,PARÂMETROS!$G$8:$G$907,J289))</f>
        <v/>
      </c>
      <c r="E289" s="84">
        <f>SUMIFS(SETORES!$D:$D,SETORES!$A:$A,A289,SETORES!$F:$F,J289)</f>
        <v/>
      </c>
      <c r="F289" s="84">
        <f>IFERROR(D289*E289,0)</f>
        <v/>
      </c>
      <c r="G289" s="72">
        <f>SUMIFS(PARÂMETROS!$F$8:$F$907,PARÂMETROS!$A$8:$A$907,C289,PARÂMETROS!$G$8:$G$907,J289)</f>
        <v/>
      </c>
      <c r="H289" s="84">
        <f>IFERROR(F289*G289,0)</f>
        <v/>
      </c>
      <c r="I289" s="84">
        <f>F289+H289</f>
        <v/>
      </c>
      <c r="J289" s="74" t="inlineStr">
        <is>
          <t>Maio/2026</t>
        </is>
      </c>
    </row>
    <row r="290" ht="14.25" customHeight="1" s="64">
      <c r="A290" s="106" t="inlineStr">
        <is>
          <t>NRC</t>
        </is>
      </c>
      <c r="B290" s="106">
        <f>INDEX(SETORES!$B:$B,MATCH(A290,SETORES!$A:$A,0))</f>
        <v/>
      </c>
      <c r="C290" s="106" t="inlineStr">
        <is>
          <t>Empresa Licenciada SOARES E LINS</t>
        </is>
      </c>
      <c r="D290" s="77">
        <f>IF(B290="Clientes",SUMIFS(PARÂMETROS!$D$8:$D$907,PARÂMETROS!$A$8:$A$907,C290,PARÂMETROS!$G$8:$G$907,J290),SUMIFS(PARÂMETROS!$E$8:$E$907,PARÂMETROS!$A$8:$A$907,C290,PARÂMETROS!$G$8:$G$907,J290))</f>
        <v/>
      </c>
      <c r="E290" s="109">
        <f>SUMIFS(SETORES!$D:$D,SETORES!$A:$A,A290,SETORES!$F:$F,J290)</f>
        <v/>
      </c>
      <c r="F290" s="109">
        <f>IFERROR(D290*E290,0)</f>
        <v/>
      </c>
      <c r="G290" s="77">
        <f>SUMIFS(PARÂMETROS!$F$8:$F$907,PARÂMETROS!$A$8:$A$907,C290,PARÂMETROS!$G$8:$G$907,J290)</f>
        <v/>
      </c>
      <c r="H290" s="109">
        <f>IFERROR(F290*G290,0)</f>
        <v/>
      </c>
      <c r="I290" s="109">
        <f>F290+H290</f>
        <v/>
      </c>
      <c r="J290" s="106" t="inlineStr">
        <is>
          <t>Maio/2026</t>
        </is>
      </c>
    </row>
    <row r="291" hidden="1" ht="14.25" customHeight="1" s="64">
      <c r="A291" s="74" t="inlineStr">
        <is>
          <t>NRC</t>
        </is>
      </c>
      <c r="B291" s="83">
        <f>INDEX(SETORES!$B:$B,MATCH(A291,SETORES!$A:$A,0))</f>
        <v/>
      </c>
      <c r="C291" s="74" t="inlineStr">
        <is>
          <t>Empresa Licenciada SOARES E SILVA</t>
        </is>
      </c>
      <c r="D291" s="72">
        <f>IF(B291="Clientes",SUMIFS(PARÂMETROS!$D$8:$D$907,PARÂMETROS!$A$8:$A$907,C291,PARÂMETROS!$G$8:$G$907,J291),SUMIFS(PARÂMETROS!$E$8:$E$907,PARÂMETROS!$A$8:$A$907,C291,PARÂMETROS!$G$8:$G$907,J291))</f>
        <v/>
      </c>
      <c r="E291" s="84">
        <f>SUMIFS(SETORES!$D:$D,SETORES!$A:$A,A291,SETORES!$F:$F,J291)</f>
        <v/>
      </c>
      <c r="F291" s="84">
        <f>IFERROR(D291*E291,0)</f>
        <v/>
      </c>
      <c r="G291" s="72">
        <f>SUMIFS(PARÂMETROS!$F$8:$F$907,PARÂMETROS!$A$8:$A$907,C291,PARÂMETROS!$G$8:$G$907,J291)</f>
        <v/>
      </c>
      <c r="H291" s="84">
        <f>IFERROR(F291*G291,0)</f>
        <v/>
      </c>
      <c r="I291" s="84">
        <f>F291+H291</f>
        <v/>
      </c>
      <c r="J291" s="74" t="inlineStr">
        <is>
          <t>Maio/2026</t>
        </is>
      </c>
    </row>
    <row r="292" hidden="1" ht="14.25" customHeight="1" s="64">
      <c r="A292" s="106" t="inlineStr">
        <is>
          <t>NRC</t>
        </is>
      </c>
      <c r="B292" s="106">
        <f>INDEX(SETORES!$B:$B,MATCH(A292,SETORES!$A:$A,0))</f>
        <v/>
      </c>
      <c r="C292" s="106" t="inlineStr">
        <is>
          <t>Empresa Licenciada SOUZA E SILVA</t>
        </is>
      </c>
      <c r="D292" s="77">
        <f>IF(B292="Clientes",SUMIFS(PARÂMETROS!$D$8:$D$907,PARÂMETROS!$A$8:$A$907,C292,PARÂMETROS!$G$8:$G$907,J292),SUMIFS(PARÂMETROS!$E$8:$E$907,PARÂMETROS!$A$8:$A$907,C292,PARÂMETROS!$G$8:$G$907,J292))</f>
        <v/>
      </c>
      <c r="E292" s="109">
        <f>SUMIFS(SETORES!$D:$D,SETORES!$A:$A,A292,SETORES!$F:$F,J292)</f>
        <v/>
      </c>
      <c r="F292" s="109">
        <f>IFERROR(D292*E292,0)</f>
        <v/>
      </c>
      <c r="G292" s="77">
        <f>SUMIFS(PARÂMETROS!$F$8:$F$907,PARÂMETROS!$A$8:$A$907,C292,PARÂMETROS!$G$8:$G$907,J292)</f>
        <v/>
      </c>
      <c r="H292" s="109">
        <f>IFERROR(F292*G292,0)</f>
        <v/>
      </c>
      <c r="I292" s="109">
        <f>F292+H292</f>
        <v/>
      </c>
      <c r="J292" s="106" t="inlineStr">
        <is>
          <t>Maio/2026</t>
        </is>
      </c>
    </row>
    <row r="293" hidden="1" ht="14.25" customHeight="1" s="64">
      <c r="A293" s="74" t="inlineStr">
        <is>
          <t>NRC</t>
        </is>
      </c>
      <c r="B293" s="83">
        <f>INDEX(SETORES!$B:$B,MATCH(A293,SETORES!$A:$A,0))</f>
        <v/>
      </c>
      <c r="C293" s="74" t="inlineStr">
        <is>
          <t>Empresa Licenciada VOICENET</t>
        </is>
      </c>
      <c r="D293" s="72">
        <f>IF(B293="Clientes",SUMIFS(PARÂMETROS!$D$8:$D$907,PARÂMETROS!$A$8:$A$907,C293,PARÂMETROS!$G$8:$G$907,J293),SUMIFS(PARÂMETROS!$E$8:$E$907,PARÂMETROS!$A$8:$A$907,C293,PARÂMETROS!$G$8:$G$907,J293))</f>
        <v/>
      </c>
      <c r="E293" s="84">
        <f>SUMIFS(SETORES!$D:$D,SETORES!$A:$A,A293,SETORES!$F:$F,J293)</f>
        <v/>
      </c>
      <c r="F293" s="84">
        <f>IFERROR(D293*E293,0)</f>
        <v/>
      </c>
      <c r="G293" s="72">
        <f>SUMIFS(PARÂMETROS!$F$8:$F$907,PARÂMETROS!$A$8:$A$907,C293,PARÂMETROS!$G$8:$G$907,J293)</f>
        <v/>
      </c>
      <c r="H293" s="84">
        <f>IFERROR(F293*G293,0)</f>
        <v/>
      </c>
      <c r="I293" s="84">
        <f>F293+H293</f>
        <v/>
      </c>
      <c r="J293" s="74" t="inlineStr">
        <is>
          <t>Maio/2026</t>
        </is>
      </c>
    </row>
    <row r="294" hidden="1" ht="14.25" customHeight="1" s="64">
      <c r="A294" s="106" t="inlineStr">
        <is>
          <t>NRC</t>
        </is>
      </c>
      <c r="B294" s="106">
        <f>INDEX(SETORES!$B:$B,MATCH(A294,SETORES!$A:$A,0))</f>
        <v/>
      </c>
      <c r="C294" s="106" t="inlineStr">
        <is>
          <t>DTEL (uso próprio)</t>
        </is>
      </c>
      <c r="D294" s="77">
        <f>IF(B294="Clientes",SUMIFS(PARÂMETROS!$D$8:$D$907,PARÂMETROS!$A$8:$A$907,C294,PARÂMETROS!$G$8:$G$907,J294),SUMIFS(PARÂMETROS!$E$8:$E$907,PARÂMETROS!$A$8:$A$907,C294,PARÂMETROS!$G$8:$G$907,J294))</f>
        <v/>
      </c>
      <c r="E294" s="109">
        <f>SUMIFS(SETORES!$D:$D,SETORES!$A:$A,A294,SETORES!$F:$F,J294)</f>
        <v/>
      </c>
      <c r="F294" s="109">
        <f>IFERROR(D294*E294,0)</f>
        <v/>
      </c>
      <c r="G294" s="77">
        <f>SUMIFS(PARÂMETROS!$F$8:$F$907,PARÂMETROS!$A$8:$A$907,C294,PARÂMETROS!$G$8:$G$907,J294)</f>
        <v/>
      </c>
      <c r="H294" s="109">
        <f>IFERROR(F294*G294,0)</f>
        <v/>
      </c>
      <c r="I294" s="109">
        <f>F294+H294</f>
        <v/>
      </c>
      <c r="J294" s="106" t="inlineStr">
        <is>
          <t>Maio/2026</t>
        </is>
      </c>
    </row>
    <row r="295" hidden="1" ht="14.25" customHeight="1" s="64">
      <c r="A295" s="74" t="inlineStr">
        <is>
          <t>Cobrança</t>
        </is>
      </c>
      <c r="B295" s="83">
        <f>INDEX(SETORES!$B:$B,MATCH(A295,SETORES!$A:$A,0))</f>
        <v/>
      </c>
      <c r="C295" s="74" t="inlineStr">
        <is>
          <t>Empresa Licenciada DX2</t>
        </is>
      </c>
      <c r="D295" s="72">
        <f>IF(B295="Clientes",SUMIFS(PARÂMETROS!$D$8:$D$907,PARÂMETROS!$A$8:$A$907,C295,PARÂMETROS!$G$8:$G$907,J295),SUMIFS(PARÂMETROS!$E$8:$E$907,PARÂMETROS!$A$8:$A$907,C295,PARÂMETROS!$G$8:$G$907,J295))</f>
        <v/>
      </c>
      <c r="E295" s="84">
        <f>SUMIFS(SETORES!$D:$D,SETORES!$A:$A,A295,SETORES!$F:$F,J295)</f>
        <v/>
      </c>
      <c r="F295" s="84">
        <f>IFERROR(D295*E295,0)</f>
        <v/>
      </c>
      <c r="G295" s="72">
        <f>SUMIFS(PARÂMETROS!$F$8:$F$907,PARÂMETROS!$A$8:$A$907,C295,PARÂMETROS!$G$8:$G$907,J295)</f>
        <v/>
      </c>
      <c r="H295" s="84">
        <f>IFERROR(F295*G295,0)</f>
        <v/>
      </c>
      <c r="I295" s="84">
        <f>F295+H295</f>
        <v/>
      </c>
      <c r="J295" s="74" t="inlineStr">
        <is>
          <t>Maio/2026</t>
        </is>
      </c>
    </row>
    <row r="296" hidden="1" ht="14.25" customHeight="1" s="64">
      <c r="A296" s="106" t="inlineStr">
        <is>
          <t>Cobrança</t>
        </is>
      </c>
      <c r="B296" s="106">
        <f>INDEX(SETORES!$B:$B,MATCH(A296,SETORES!$A:$A,0))</f>
        <v/>
      </c>
      <c r="C296" s="106" t="inlineStr">
        <is>
          <t>Empresa Licenciada H&amp;A</t>
        </is>
      </c>
      <c r="D296" s="77">
        <f>IF(B296="Clientes",SUMIFS(PARÂMETROS!$D$8:$D$907,PARÂMETROS!$A$8:$A$907,C296,PARÂMETROS!$G$8:$G$907,J296),SUMIFS(PARÂMETROS!$E$8:$E$907,PARÂMETROS!$A$8:$A$907,C296,PARÂMETROS!$G$8:$G$907,J296))</f>
        <v/>
      </c>
      <c r="E296" s="109">
        <f>SUMIFS(SETORES!$D:$D,SETORES!$A:$A,A296,SETORES!$F:$F,J296)</f>
        <v/>
      </c>
      <c r="F296" s="109">
        <f>IFERROR(D296*E296,0)</f>
        <v/>
      </c>
      <c r="G296" s="77">
        <f>SUMIFS(PARÂMETROS!$F$8:$F$907,PARÂMETROS!$A$8:$A$907,C296,PARÂMETROS!$G$8:$G$907,J296)</f>
        <v/>
      </c>
      <c r="H296" s="109">
        <f>IFERROR(F296*G296,0)</f>
        <v/>
      </c>
      <c r="I296" s="109">
        <f>F296+H296</f>
        <v/>
      </c>
      <c r="J296" s="106" t="inlineStr">
        <is>
          <t>Maio/2026</t>
        </is>
      </c>
    </row>
    <row r="297" hidden="1" ht="14.25" customHeight="1" s="64">
      <c r="A297" s="74" t="inlineStr">
        <is>
          <t>Cobrança</t>
        </is>
      </c>
      <c r="B297" s="83">
        <f>INDEX(SETORES!$B:$B,MATCH(A297,SETORES!$A:$A,0))</f>
        <v/>
      </c>
      <c r="C297" s="74" t="inlineStr">
        <is>
          <t>Empresa Licenciada SOLON ARAUJO</t>
        </is>
      </c>
      <c r="D297" s="72">
        <f>IF(B297="Clientes",SUMIFS(PARÂMETROS!$D$8:$D$907,PARÂMETROS!$A$8:$A$907,C297,PARÂMETROS!$G$8:$G$907,J297),SUMIFS(PARÂMETROS!$E$8:$E$907,PARÂMETROS!$A$8:$A$907,C297,PARÂMETROS!$G$8:$G$907,J297))</f>
        <v/>
      </c>
      <c r="E297" s="84">
        <f>SUMIFS(SETORES!$D:$D,SETORES!$A:$A,A297,SETORES!$F:$F,J297)</f>
        <v/>
      </c>
      <c r="F297" s="84">
        <f>IFERROR(D297*E297,0)</f>
        <v/>
      </c>
      <c r="G297" s="72">
        <f>SUMIFS(PARÂMETROS!$F$8:$F$907,PARÂMETROS!$A$8:$A$907,C297,PARÂMETROS!$G$8:$G$907,J297)</f>
        <v/>
      </c>
      <c r="H297" s="84">
        <f>IFERROR(F297*G297,0)</f>
        <v/>
      </c>
      <c r="I297" s="84">
        <f>F297+H297</f>
        <v/>
      </c>
      <c r="J297" s="74" t="inlineStr">
        <is>
          <t>Maio/2026</t>
        </is>
      </c>
    </row>
    <row r="298" ht="14.25" customHeight="1" s="64">
      <c r="A298" s="106" t="inlineStr">
        <is>
          <t>Cobrança</t>
        </is>
      </c>
      <c r="B298" s="106">
        <f>INDEX(SETORES!$B:$B,MATCH(A298,SETORES!$A:$A,0))</f>
        <v/>
      </c>
      <c r="C298" s="106" t="inlineStr">
        <is>
          <t>Empresa Licenciada SOARES E LINS</t>
        </is>
      </c>
      <c r="D298" s="77">
        <f>IF(B298="Clientes",SUMIFS(PARÂMETROS!$D$8:$D$907,PARÂMETROS!$A$8:$A$907,C298,PARÂMETROS!$G$8:$G$907,J298),SUMIFS(PARÂMETROS!$E$8:$E$907,PARÂMETROS!$A$8:$A$907,C298,PARÂMETROS!$G$8:$G$907,J298))</f>
        <v/>
      </c>
      <c r="E298" s="109">
        <f>SUMIFS(SETORES!$D:$D,SETORES!$A:$A,A298,SETORES!$F:$F,J298)</f>
        <v/>
      </c>
      <c r="F298" s="109">
        <f>IFERROR(D298*E298,0)</f>
        <v/>
      </c>
      <c r="G298" s="77">
        <f>SUMIFS(PARÂMETROS!$F$8:$F$907,PARÂMETROS!$A$8:$A$907,C298,PARÂMETROS!$G$8:$G$907,J298)</f>
        <v/>
      </c>
      <c r="H298" s="109">
        <f>IFERROR(F298*G298,0)</f>
        <v/>
      </c>
      <c r="I298" s="109">
        <f>F298+H298</f>
        <v/>
      </c>
      <c r="J298" s="106" t="inlineStr">
        <is>
          <t>Maio/2026</t>
        </is>
      </c>
    </row>
    <row r="299" hidden="1" ht="14.25" customHeight="1" s="64">
      <c r="A299" s="74" t="inlineStr">
        <is>
          <t>Cobrança</t>
        </is>
      </c>
      <c r="B299" s="83">
        <f>INDEX(SETORES!$B:$B,MATCH(A299,SETORES!$A:$A,0))</f>
        <v/>
      </c>
      <c r="C299" s="74" t="inlineStr">
        <is>
          <t>Empresa Licenciada SOARES E SILVA</t>
        </is>
      </c>
      <c r="D299" s="72">
        <f>IF(B299="Clientes",SUMIFS(PARÂMETROS!$D$8:$D$907,PARÂMETROS!$A$8:$A$907,C299,PARÂMETROS!$G$8:$G$907,J299),SUMIFS(PARÂMETROS!$E$8:$E$907,PARÂMETROS!$A$8:$A$907,C299,PARÂMETROS!$G$8:$G$907,J299))</f>
        <v/>
      </c>
      <c r="E299" s="84">
        <f>SUMIFS(SETORES!$D:$D,SETORES!$A:$A,A299,SETORES!$F:$F,J299)</f>
        <v/>
      </c>
      <c r="F299" s="84">
        <f>IFERROR(D299*E299,0)</f>
        <v/>
      </c>
      <c r="G299" s="72">
        <f>SUMIFS(PARÂMETROS!$F$8:$F$907,PARÂMETROS!$A$8:$A$907,C299,PARÂMETROS!$G$8:$G$907,J299)</f>
        <v/>
      </c>
      <c r="H299" s="84">
        <f>IFERROR(F299*G299,0)</f>
        <v/>
      </c>
      <c r="I299" s="84">
        <f>F299+H299</f>
        <v/>
      </c>
      <c r="J299" s="74" t="inlineStr">
        <is>
          <t>Maio/2026</t>
        </is>
      </c>
    </row>
    <row r="300" hidden="1" ht="14.25" customHeight="1" s="64">
      <c r="A300" s="106" t="inlineStr">
        <is>
          <t>Cobrança</t>
        </is>
      </c>
      <c r="B300" s="106">
        <f>INDEX(SETORES!$B:$B,MATCH(A300,SETORES!$A:$A,0))</f>
        <v/>
      </c>
      <c r="C300" s="106" t="inlineStr">
        <is>
          <t>Empresa Licenciada SOUZA E SILVA</t>
        </is>
      </c>
      <c r="D300" s="77">
        <f>IF(B300="Clientes",SUMIFS(PARÂMETROS!$D$8:$D$907,PARÂMETROS!$A$8:$A$907,C300,PARÂMETROS!$G$8:$G$907,J300),SUMIFS(PARÂMETROS!$E$8:$E$907,PARÂMETROS!$A$8:$A$907,C300,PARÂMETROS!$G$8:$G$907,J300))</f>
        <v/>
      </c>
      <c r="E300" s="109">
        <f>SUMIFS(SETORES!$D:$D,SETORES!$A:$A,A300,SETORES!$F:$F,J300)</f>
        <v/>
      </c>
      <c r="F300" s="109">
        <f>IFERROR(D300*E300,0)</f>
        <v/>
      </c>
      <c r="G300" s="77">
        <f>SUMIFS(PARÂMETROS!$F$8:$F$907,PARÂMETROS!$A$8:$A$907,C300,PARÂMETROS!$G$8:$G$907,J300)</f>
        <v/>
      </c>
      <c r="H300" s="109">
        <f>IFERROR(F300*G300,0)</f>
        <v/>
      </c>
      <c r="I300" s="109">
        <f>F300+H300</f>
        <v/>
      </c>
      <c r="J300" s="106" t="inlineStr">
        <is>
          <t>Maio/2026</t>
        </is>
      </c>
    </row>
    <row r="301" hidden="1" ht="14.25" customHeight="1" s="64">
      <c r="A301" s="74" t="inlineStr">
        <is>
          <t>Cobrança</t>
        </is>
      </c>
      <c r="B301" s="83">
        <f>INDEX(SETORES!$B:$B,MATCH(A301,SETORES!$A:$A,0))</f>
        <v/>
      </c>
      <c r="C301" s="74" t="inlineStr">
        <is>
          <t>Empresa Licenciada VOICENET</t>
        </is>
      </c>
      <c r="D301" s="72">
        <f>IF(B301="Clientes",SUMIFS(PARÂMETROS!$D$8:$D$907,PARÂMETROS!$A$8:$A$907,C301,PARÂMETROS!$G$8:$G$907,J301),SUMIFS(PARÂMETROS!$E$8:$E$907,PARÂMETROS!$A$8:$A$907,C301,PARÂMETROS!$G$8:$G$907,J301))</f>
        <v/>
      </c>
      <c r="E301" s="84">
        <f>SUMIFS(SETORES!$D:$D,SETORES!$A:$A,A301,SETORES!$F:$F,J301)</f>
        <v/>
      </c>
      <c r="F301" s="84">
        <f>IFERROR(D301*E301,0)</f>
        <v/>
      </c>
      <c r="G301" s="72">
        <f>SUMIFS(PARÂMETROS!$F$8:$F$907,PARÂMETROS!$A$8:$A$907,C301,PARÂMETROS!$G$8:$G$907,J301)</f>
        <v/>
      </c>
      <c r="H301" s="84">
        <f>IFERROR(F301*G301,0)</f>
        <v/>
      </c>
      <c r="I301" s="84">
        <f>F301+H301</f>
        <v/>
      </c>
      <c r="J301" s="74" t="inlineStr">
        <is>
          <t>Maio/2026</t>
        </is>
      </c>
    </row>
    <row r="302" hidden="1" ht="14.25" customHeight="1" s="64">
      <c r="A302" s="106" t="inlineStr">
        <is>
          <t>Cobrança</t>
        </is>
      </c>
      <c r="B302" s="106">
        <f>INDEX(SETORES!$B:$B,MATCH(A302,SETORES!$A:$A,0))</f>
        <v/>
      </c>
      <c r="C302" s="106" t="inlineStr">
        <is>
          <t>DTEL (uso próprio)</t>
        </is>
      </c>
      <c r="D302" s="77">
        <f>IF(B302="Clientes",SUMIFS(PARÂMETROS!$D$8:$D$907,PARÂMETROS!$A$8:$A$907,C302,PARÂMETROS!$G$8:$G$907,J302),SUMIFS(PARÂMETROS!$E$8:$E$907,PARÂMETROS!$A$8:$A$907,C302,PARÂMETROS!$G$8:$G$907,J302))</f>
        <v/>
      </c>
      <c r="E302" s="109">
        <f>SUMIFS(SETORES!$D:$D,SETORES!$A:$A,A302,SETORES!$F:$F,J302)</f>
        <v/>
      </c>
      <c r="F302" s="109">
        <f>IFERROR(D302*E302,0)</f>
        <v/>
      </c>
      <c r="G302" s="77">
        <f>SUMIFS(PARÂMETROS!$F$8:$F$907,PARÂMETROS!$A$8:$A$907,C302,PARÂMETROS!$G$8:$G$907,J302)</f>
        <v/>
      </c>
      <c r="H302" s="109">
        <f>IFERROR(F302*G302,0)</f>
        <v/>
      </c>
      <c r="I302" s="109">
        <f>F302+H302</f>
        <v/>
      </c>
      <c r="J302" s="106" t="inlineStr">
        <is>
          <t>Maio/2026</t>
        </is>
      </c>
    </row>
    <row r="303" hidden="1" ht="14.25" customHeight="1" s="64">
      <c r="A303" s="74" t="inlineStr">
        <is>
          <t>Retenção</t>
        </is>
      </c>
      <c r="B303" s="83">
        <f>INDEX(SETORES!$B:$B,MATCH(A303,SETORES!$A:$A,0))</f>
        <v/>
      </c>
      <c r="C303" s="74" t="inlineStr">
        <is>
          <t>Empresa Licenciada DX2</t>
        </is>
      </c>
      <c r="D303" s="72">
        <f>IF(B303="Clientes",SUMIFS(PARÂMETROS!$D$8:$D$907,PARÂMETROS!$A$8:$A$907,C303,PARÂMETROS!$G$8:$G$907,J303),SUMIFS(PARÂMETROS!$E$8:$E$907,PARÂMETROS!$A$8:$A$907,C303,PARÂMETROS!$G$8:$G$907,J303))</f>
        <v/>
      </c>
      <c r="E303" s="84">
        <f>SUMIFS(SETORES!$D:$D,SETORES!$A:$A,A303,SETORES!$F:$F,J303)</f>
        <v/>
      </c>
      <c r="F303" s="84">
        <f>IFERROR(D303*E303,0)</f>
        <v/>
      </c>
      <c r="G303" s="72">
        <f>SUMIFS(PARÂMETROS!$F$8:$F$907,PARÂMETROS!$A$8:$A$907,C303,PARÂMETROS!$G$8:$G$907,J303)</f>
        <v/>
      </c>
      <c r="H303" s="84">
        <f>IFERROR(F303*G303,0)</f>
        <v/>
      </c>
      <c r="I303" s="84">
        <f>F303+H303</f>
        <v/>
      </c>
      <c r="J303" s="74" t="inlineStr">
        <is>
          <t>Maio/2026</t>
        </is>
      </c>
    </row>
    <row r="304" hidden="1" ht="14.25" customHeight="1" s="64">
      <c r="A304" s="106" t="inlineStr">
        <is>
          <t>Retenção</t>
        </is>
      </c>
      <c r="B304" s="106">
        <f>INDEX(SETORES!$B:$B,MATCH(A304,SETORES!$A:$A,0))</f>
        <v/>
      </c>
      <c r="C304" s="106" t="inlineStr">
        <is>
          <t>Empresa Licenciada H&amp;A</t>
        </is>
      </c>
      <c r="D304" s="77">
        <f>IF(B304="Clientes",SUMIFS(PARÂMETROS!$D$8:$D$907,PARÂMETROS!$A$8:$A$907,C304,PARÂMETROS!$G$8:$G$907,J304),SUMIFS(PARÂMETROS!$E$8:$E$907,PARÂMETROS!$A$8:$A$907,C304,PARÂMETROS!$G$8:$G$907,J304))</f>
        <v/>
      </c>
      <c r="E304" s="109">
        <f>SUMIFS(SETORES!$D:$D,SETORES!$A:$A,A304,SETORES!$F:$F,J304)</f>
        <v/>
      </c>
      <c r="F304" s="109">
        <f>IFERROR(D304*E304,0)</f>
        <v/>
      </c>
      <c r="G304" s="77">
        <f>SUMIFS(PARÂMETROS!$F$8:$F$907,PARÂMETROS!$A$8:$A$907,C304,PARÂMETROS!$G$8:$G$907,J304)</f>
        <v/>
      </c>
      <c r="H304" s="109">
        <f>IFERROR(F304*G304,0)</f>
        <v/>
      </c>
      <c r="I304" s="109">
        <f>F304+H304</f>
        <v/>
      </c>
      <c r="J304" s="106" t="inlineStr">
        <is>
          <t>Maio/2026</t>
        </is>
      </c>
    </row>
    <row r="305" hidden="1" ht="14.25" customHeight="1" s="64">
      <c r="A305" s="74" t="inlineStr">
        <is>
          <t>Retenção</t>
        </is>
      </c>
      <c r="B305" s="83">
        <f>INDEX(SETORES!$B:$B,MATCH(A305,SETORES!$A:$A,0))</f>
        <v/>
      </c>
      <c r="C305" s="74" t="inlineStr">
        <is>
          <t>Empresa Licenciada SOLON ARAUJO</t>
        </is>
      </c>
      <c r="D305" s="72">
        <f>IF(B305="Clientes",SUMIFS(PARÂMETROS!$D$8:$D$907,PARÂMETROS!$A$8:$A$907,C305,PARÂMETROS!$G$8:$G$907,J305),SUMIFS(PARÂMETROS!$E$8:$E$907,PARÂMETROS!$A$8:$A$907,C305,PARÂMETROS!$G$8:$G$907,J305))</f>
        <v/>
      </c>
      <c r="E305" s="84">
        <f>SUMIFS(SETORES!$D:$D,SETORES!$A:$A,A305,SETORES!$F:$F,J305)</f>
        <v/>
      </c>
      <c r="F305" s="84">
        <f>IFERROR(D305*E305,0)</f>
        <v/>
      </c>
      <c r="G305" s="72">
        <f>SUMIFS(PARÂMETROS!$F$8:$F$907,PARÂMETROS!$A$8:$A$907,C305,PARÂMETROS!$G$8:$G$907,J305)</f>
        <v/>
      </c>
      <c r="H305" s="84">
        <f>IFERROR(F305*G305,0)</f>
        <v/>
      </c>
      <c r="I305" s="84">
        <f>F305+H305</f>
        <v/>
      </c>
      <c r="J305" s="74" t="inlineStr">
        <is>
          <t>Maio/2026</t>
        </is>
      </c>
    </row>
    <row r="306" ht="14.25" customHeight="1" s="64">
      <c r="A306" s="106" t="inlineStr">
        <is>
          <t>Retenção</t>
        </is>
      </c>
      <c r="B306" s="106">
        <f>INDEX(SETORES!$B:$B,MATCH(A306,SETORES!$A:$A,0))</f>
        <v/>
      </c>
      <c r="C306" s="106" t="inlineStr">
        <is>
          <t>Empresa Licenciada SOARES E LINS</t>
        </is>
      </c>
      <c r="D306" s="77">
        <f>IF(B306="Clientes",SUMIFS(PARÂMETROS!$D$8:$D$907,PARÂMETROS!$A$8:$A$907,C306,PARÂMETROS!$G$8:$G$907,J306),SUMIFS(PARÂMETROS!$E$8:$E$907,PARÂMETROS!$A$8:$A$907,C306,PARÂMETROS!$G$8:$G$907,J306))</f>
        <v/>
      </c>
      <c r="E306" s="109">
        <f>SUMIFS(SETORES!$D:$D,SETORES!$A:$A,A306,SETORES!$F:$F,J306)</f>
        <v/>
      </c>
      <c r="F306" s="109">
        <f>IFERROR(D306*E306,0)</f>
        <v/>
      </c>
      <c r="G306" s="77">
        <f>SUMIFS(PARÂMETROS!$F$8:$F$907,PARÂMETROS!$A$8:$A$907,C306,PARÂMETROS!$G$8:$G$907,J306)</f>
        <v/>
      </c>
      <c r="H306" s="109">
        <f>IFERROR(F306*G306,0)</f>
        <v/>
      </c>
      <c r="I306" s="109">
        <f>F306+H306</f>
        <v/>
      </c>
      <c r="J306" s="106" t="inlineStr">
        <is>
          <t>Maio/2026</t>
        </is>
      </c>
    </row>
    <row r="307" hidden="1" ht="14.25" customHeight="1" s="64">
      <c r="A307" s="74" t="inlineStr">
        <is>
          <t>Retenção</t>
        </is>
      </c>
      <c r="B307" s="83">
        <f>INDEX(SETORES!$B:$B,MATCH(A307,SETORES!$A:$A,0))</f>
        <v/>
      </c>
      <c r="C307" s="74" t="inlineStr">
        <is>
          <t>Empresa Licenciada SOARES E SILVA</t>
        </is>
      </c>
      <c r="D307" s="72">
        <f>IF(B307="Clientes",SUMIFS(PARÂMETROS!$D$8:$D$907,PARÂMETROS!$A$8:$A$907,C307,PARÂMETROS!$G$8:$G$907,J307),SUMIFS(PARÂMETROS!$E$8:$E$907,PARÂMETROS!$A$8:$A$907,C307,PARÂMETROS!$G$8:$G$907,J307))</f>
        <v/>
      </c>
      <c r="E307" s="84">
        <f>SUMIFS(SETORES!$D:$D,SETORES!$A:$A,A307,SETORES!$F:$F,J307)</f>
        <v/>
      </c>
      <c r="F307" s="84">
        <f>IFERROR(D307*E307,0)</f>
        <v/>
      </c>
      <c r="G307" s="72">
        <f>SUMIFS(PARÂMETROS!$F$8:$F$907,PARÂMETROS!$A$8:$A$907,C307,PARÂMETROS!$G$8:$G$907,J307)</f>
        <v/>
      </c>
      <c r="H307" s="84">
        <f>IFERROR(F307*G307,0)</f>
        <v/>
      </c>
      <c r="I307" s="84">
        <f>F307+H307</f>
        <v/>
      </c>
      <c r="J307" s="74" t="inlineStr">
        <is>
          <t>Maio/2026</t>
        </is>
      </c>
    </row>
    <row r="308" hidden="1" ht="14.25" customHeight="1" s="64">
      <c r="A308" s="106" t="inlineStr">
        <is>
          <t>Retenção</t>
        </is>
      </c>
      <c r="B308" s="106">
        <f>INDEX(SETORES!$B:$B,MATCH(A308,SETORES!$A:$A,0))</f>
        <v/>
      </c>
      <c r="C308" s="106" t="inlineStr">
        <is>
          <t>Empresa Licenciada SOUZA E SILVA</t>
        </is>
      </c>
      <c r="D308" s="77">
        <f>IF(B308="Clientes",SUMIFS(PARÂMETROS!$D$8:$D$907,PARÂMETROS!$A$8:$A$907,C308,PARÂMETROS!$G$8:$G$907,J308),SUMIFS(PARÂMETROS!$E$8:$E$907,PARÂMETROS!$A$8:$A$907,C308,PARÂMETROS!$G$8:$G$907,J308))</f>
        <v/>
      </c>
      <c r="E308" s="109">
        <f>SUMIFS(SETORES!$D:$D,SETORES!$A:$A,A308,SETORES!$F:$F,J308)</f>
        <v/>
      </c>
      <c r="F308" s="109">
        <f>IFERROR(D308*E308,0)</f>
        <v/>
      </c>
      <c r="G308" s="77">
        <f>SUMIFS(PARÂMETROS!$F$8:$F$907,PARÂMETROS!$A$8:$A$907,C308,PARÂMETROS!$G$8:$G$907,J308)</f>
        <v/>
      </c>
      <c r="H308" s="109">
        <f>IFERROR(F308*G308,0)</f>
        <v/>
      </c>
      <c r="I308" s="109">
        <f>F308+H308</f>
        <v/>
      </c>
      <c r="J308" s="106" t="inlineStr">
        <is>
          <t>Maio/2026</t>
        </is>
      </c>
    </row>
    <row r="309" hidden="1" ht="14.25" customHeight="1" s="64">
      <c r="A309" s="74" t="inlineStr">
        <is>
          <t>Retenção</t>
        </is>
      </c>
      <c r="B309" s="83">
        <f>INDEX(SETORES!$B:$B,MATCH(A309,SETORES!$A:$A,0))</f>
        <v/>
      </c>
      <c r="C309" s="74" t="inlineStr">
        <is>
          <t>Empresa Licenciada VOICENET</t>
        </is>
      </c>
      <c r="D309" s="72">
        <f>IF(B309="Clientes",SUMIFS(PARÂMETROS!$D$8:$D$907,PARÂMETROS!$A$8:$A$907,C309,PARÂMETROS!$G$8:$G$907,J309),SUMIFS(PARÂMETROS!$E$8:$E$907,PARÂMETROS!$A$8:$A$907,C309,PARÂMETROS!$G$8:$G$907,J309))</f>
        <v/>
      </c>
      <c r="E309" s="84">
        <f>SUMIFS(SETORES!$D:$D,SETORES!$A:$A,A309,SETORES!$F:$F,J309)</f>
        <v/>
      </c>
      <c r="F309" s="84">
        <f>IFERROR(D309*E309,0)</f>
        <v/>
      </c>
      <c r="G309" s="72">
        <f>SUMIFS(PARÂMETROS!$F$8:$F$907,PARÂMETROS!$A$8:$A$907,C309,PARÂMETROS!$G$8:$G$907,J309)</f>
        <v/>
      </c>
      <c r="H309" s="84">
        <f>IFERROR(F309*G309,0)</f>
        <v/>
      </c>
      <c r="I309" s="84">
        <f>F309+H309</f>
        <v/>
      </c>
      <c r="J309" s="74" t="inlineStr">
        <is>
          <t>Maio/2026</t>
        </is>
      </c>
    </row>
    <row r="310" hidden="1" ht="14.25" customHeight="1" s="64">
      <c r="A310" s="106" t="inlineStr">
        <is>
          <t>Retenção</t>
        </is>
      </c>
      <c r="B310" s="106">
        <f>INDEX(SETORES!$B:$B,MATCH(A310,SETORES!$A:$A,0))</f>
        <v/>
      </c>
      <c r="C310" s="106" t="inlineStr">
        <is>
          <t>DTEL (uso próprio)</t>
        </is>
      </c>
      <c r="D310" s="77">
        <f>IF(B310="Clientes",SUMIFS(PARÂMETROS!$D$8:$D$907,PARÂMETROS!$A$8:$A$907,C310,PARÂMETROS!$G$8:$G$907,J310),SUMIFS(PARÂMETROS!$E$8:$E$907,PARÂMETROS!$A$8:$A$907,C310,PARÂMETROS!$G$8:$G$907,J310))</f>
        <v/>
      </c>
      <c r="E310" s="109">
        <f>SUMIFS(SETORES!$D:$D,SETORES!$A:$A,A310,SETORES!$F:$F,J310)</f>
        <v/>
      </c>
      <c r="F310" s="109">
        <f>IFERROR(D310*E310,0)</f>
        <v/>
      </c>
      <c r="G310" s="77">
        <f>SUMIFS(PARÂMETROS!$F$8:$F$907,PARÂMETROS!$A$8:$A$907,C310,PARÂMETROS!$G$8:$G$907,J310)</f>
        <v/>
      </c>
      <c r="H310" s="109">
        <f>IFERROR(F310*G310,0)</f>
        <v/>
      </c>
      <c r="I310" s="109">
        <f>F310+H310</f>
        <v/>
      </c>
      <c r="J310" s="106" t="inlineStr">
        <is>
          <t>Maio/2026</t>
        </is>
      </c>
    </row>
    <row r="311" hidden="1" ht="14.25" customHeight="1" s="64">
      <c r="A311" s="74" t="inlineStr">
        <is>
          <t>Contabilidade</t>
        </is>
      </c>
      <c r="B311" s="83">
        <f>INDEX(SETORES!$B:$B,MATCH(A311,SETORES!$A:$A,0))</f>
        <v/>
      </c>
      <c r="C311" s="74" t="inlineStr">
        <is>
          <t>Empresa Licenciada DX2</t>
        </is>
      </c>
      <c r="D311" s="72">
        <f>IF(B311="Clientes",SUMIFS(PARÂMETROS!$D$8:$D$907,PARÂMETROS!$A$8:$A$907,C311,PARÂMETROS!$G$8:$G$907,J311),SUMIFS(PARÂMETROS!$E$8:$E$907,PARÂMETROS!$A$8:$A$907,C311,PARÂMETROS!$G$8:$G$907,J311))</f>
        <v/>
      </c>
      <c r="E311" s="84">
        <f>SUMIFS(SETORES!$D:$D,SETORES!$A:$A,A311,SETORES!$F:$F,J311)</f>
        <v/>
      </c>
      <c r="F311" s="84">
        <f>IFERROR(D311*E311,0)</f>
        <v/>
      </c>
      <c r="G311" s="72">
        <f>SUMIFS(PARÂMETROS!$F$8:$F$907,PARÂMETROS!$A$8:$A$907,C311,PARÂMETROS!$G$8:$G$907,J311)</f>
        <v/>
      </c>
      <c r="H311" s="84">
        <f>IFERROR(F311*G311,0)</f>
        <v/>
      </c>
      <c r="I311" s="84">
        <f>F311+H311</f>
        <v/>
      </c>
      <c r="J311" s="74" t="inlineStr">
        <is>
          <t>Maio/2026</t>
        </is>
      </c>
    </row>
    <row r="312" hidden="1" ht="14.25" customHeight="1" s="64">
      <c r="A312" s="106" t="inlineStr">
        <is>
          <t>Contabilidade</t>
        </is>
      </c>
      <c r="B312" s="106">
        <f>INDEX(SETORES!$B:$B,MATCH(A312,SETORES!$A:$A,0))</f>
        <v/>
      </c>
      <c r="C312" s="106" t="inlineStr">
        <is>
          <t>Empresa Licenciada H&amp;A</t>
        </is>
      </c>
      <c r="D312" s="77">
        <f>IF(B312="Clientes",SUMIFS(PARÂMETROS!$D$8:$D$907,PARÂMETROS!$A$8:$A$907,C312,PARÂMETROS!$G$8:$G$907,J312),SUMIFS(PARÂMETROS!$E$8:$E$907,PARÂMETROS!$A$8:$A$907,C312,PARÂMETROS!$G$8:$G$907,J312))</f>
        <v/>
      </c>
      <c r="E312" s="109">
        <f>SUMIFS(SETORES!$D:$D,SETORES!$A:$A,A312,SETORES!$F:$F,J312)</f>
        <v/>
      </c>
      <c r="F312" s="109">
        <f>IFERROR(D312*E312,0)</f>
        <v/>
      </c>
      <c r="G312" s="77">
        <f>SUMIFS(PARÂMETROS!$F$8:$F$907,PARÂMETROS!$A$8:$A$907,C312,PARÂMETROS!$G$8:$G$907,J312)</f>
        <v/>
      </c>
      <c r="H312" s="109">
        <f>IFERROR(F312*G312,0)</f>
        <v/>
      </c>
      <c r="I312" s="109">
        <f>F312+H312</f>
        <v/>
      </c>
      <c r="J312" s="106" t="inlineStr">
        <is>
          <t>Maio/2026</t>
        </is>
      </c>
    </row>
    <row r="313" hidden="1" ht="14.25" customHeight="1" s="64">
      <c r="A313" s="74" t="inlineStr">
        <is>
          <t>Contabilidade</t>
        </is>
      </c>
      <c r="B313" s="83">
        <f>INDEX(SETORES!$B:$B,MATCH(A313,SETORES!$A:$A,0))</f>
        <v/>
      </c>
      <c r="C313" s="74" t="inlineStr">
        <is>
          <t>Empresa Licenciada SOLON ARAUJO</t>
        </is>
      </c>
      <c r="D313" s="72">
        <f>IF(B313="Clientes",SUMIFS(PARÂMETROS!$D$8:$D$907,PARÂMETROS!$A$8:$A$907,C313,PARÂMETROS!$G$8:$G$907,J313),SUMIFS(PARÂMETROS!$E$8:$E$907,PARÂMETROS!$A$8:$A$907,C313,PARÂMETROS!$G$8:$G$907,J313))</f>
        <v/>
      </c>
      <c r="E313" s="84">
        <f>SUMIFS(SETORES!$D:$D,SETORES!$A:$A,A313,SETORES!$F:$F,J313)</f>
        <v/>
      </c>
      <c r="F313" s="84">
        <f>IFERROR(D313*E313,0)</f>
        <v/>
      </c>
      <c r="G313" s="72">
        <f>SUMIFS(PARÂMETROS!$F$8:$F$907,PARÂMETROS!$A$8:$A$907,C313,PARÂMETROS!$G$8:$G$907,J313)</f>
        <v/>
      </c>
      <c r="H313" s="84">
        <f>IFERROR(F313*G313,0)</f>
        <v/>
      </c>
      <c r="I313" s="84">
        <f>F313+H313</f>
        <v/>
      </c>
      <c r="J313" s="74" t="inlineStr">
        <is>
          <t>Maio/2026</t>
        </is>
      </c>
    </row>
    <row r="314" ht="14.25" customHeight="1" s="64">
      <c r="A314" s="106" t="inlineStr">
        <is>
          <t>Contabilidade</t>
        </is>
      </c>
      <c r="B314" s="106">
        <f>INDEX(SETORES!$B:$B,MATCH(A314,SETORES!$A:$A,0))</f>
        <v/>
      </c>
      <c r="C314" s="106" t="inlineStr">
        <is>
          <t>Empresa Licenciada SOARES E LINS</t>
        </is>
      </c>
      <c r="D314" s="77">
        <f>IF(B314="Clientes",SUMIFS(PARÂMETROS!$D$8:$D$907,PARÂMETROS!$A$8:$A$907,C314,PARÂMETROS!$G$8:$G$907,J314),SUMIFS(PARÂMETROS!$E$8:$E$907,PARÂMETROS!$A$8:$A$907,C314,PARÂMETROS!$G$8:$G$907,J314))</f>
        <v/>
      </c>
      <c r="E314" s="109">
        <f>SUMIFS(SETORES!$D:$D,SETORES!$A:$A,A314,SETORES!$F:$F,J314)</f>
        <v/>
      </c>
      <c r="F314" s="109">
        <f>IFERROR(D314*E314,0)</f>
        <v/>
      </c>
      <c r="G314" s="77">
        <f>SUMIFS(PARÂMETROS!$F$8:$F$907,PARÂMETROS!$A$8:$A$907,C314,PARÂMETROS!$G$8:$G$907,J314)</f>
        <v/>
      </c>
      <c r="H314" s="109">
        <f>IFERROR(F314*G314,0)</f>
        <v/>
      </c>
      <c r="I314" s="109">
        <f>F314+H314</f>
        <v/>
      </c>
      <c r="J314" s="106" t="inlineStr">
        <is>
          <t>Maio/2026</t>
        </is>
      </c>
    </row>
    <row r="315" hidden="1" ht="14.25" customHeight="1" s="64">
      <c r="A315" s="74" t="inlineStr">
        <is>
          <t>Contabilidade</t>
        </is>
      </c>
      <c r="B315" s="83">
        <f>INDEX(SETORES!$B:$B,MATCH(A315,SETORES!$A:$A,0))</f>
        <v/>
      </c>
      <c r="C315" s="74" t="inlineStr">
        <is>
          <t>Empresa Licenciada SOARES E SILVA</t>
        </is>
      </c>
      <c r="D315" s="72">
        <f>IF(B315="Clientes",SUMIFS(PARÂMETROS!$D$8:$D$907,PARÂMETROS!$A$8:$A$907,C315,PARÂMETROS!$G$8:$G$907,J315),SUMIFS(PARÂMETROS!$E$8:$E$907,PARÂMETROS!$A$8:$A$907,C315,PARÂMETROS!$G$8:$G$907,J315))</f>
        <v/>
      </c>
      <c r="E315" s="84">
        <f>SUMIFS(SETORES!$D:$D,SETORES!$A:$A,A315,SETORES!$F:$F,J315)</f>
        <v/>
      </c>
      <c r="F315" s="84">
        <f>IFERROR(D315*E315,0)</f>
        <v/>
      </c>
      <c r="G315" s="72">
        <f>SUMIFS(PARÂMETROS!$F$8:$F$907,PARÂMETROS!$A$8:$A$907,C315,PARÂMETROS!$G$8:$G$907,J315)</f>
        <v/>
      </c>
      <c r="H315" s="84">
        <f>IFERROR(F315*G315,0)</f>
        <v/>
      </c>
      <c r="I315" s="84">
        <f>F315+H315</f>
        <v/>
      </c>
      <c r="J315" s="74" t="inlineStr">
        <is>
          <t>Maio/2026</t>
        </is>
      </c>
    </row>
    <row r="316" hidden="1" ht="14.25" customHeight="1" s="64">
      <c r="A316" s="106" t="inlineStr">
        <is>
          <t>Contabilidade</t>
        </is>
      </c>
      <c r="B316" s="106">
        <f>INDEX(SETORES!$B:$B,MATCH(A316,SETORES!$A:$A,0))</f>
        <v/>
      </c>
      <c r="C316" s="106" t="inlineStr">
        <is>
          <t>Empresa Licenciada SOUZA E SILVA</t>
        </is>
      </c>
      <c r="D316" s="77">
        <f>IF(B316="Clientes",SUMIFS(PARÂMETROS!$D$8:$D$907,PARÂMETROS!$A$8:$A$907,C316,PARÂMETROS!$G$8:$G$907,J316),SUMIFS(PARÂMETROS!$E$8:$E$907,PARÂMETROS!$A$8:$A$907,C316,PARÂMETROS!$G$8:$G$907,J316))</f>
        <v/>
      </c>
      <c r="E316" s="109">
        <f>SUMIFS(SETORES!$D:$D,SETORES!$A:$A,A316,SETORES!$F:$F,J316)</f>
        <v/>
      </c>
      <c r="F316" s="109">
        <f>IFERROR(D316*E316,0)</f>
        <v/>
      </c>
      <c r="G316" s="77">
        <f>SUMIFS(PARÂMETROS!$F$8:$F$907,PARÂMETROS!$A$8:$A$907,C316,PARÂMETROS!$G$8:$G$907,J316)</f>
        <v/>
      </c>
      <c r="H316" s="109">
        <f>IFERROR(F316*G316,0)</f>
        <v/>
      </c>
      <c r="I316" s="109">
        <f>F316+H316</f>
        <v/>
      </c>
      <c r="J316" s="106" t="inlineStr">
        <is>
          <t>Maio/2026</t>
        </is>
      </c>
    </row>
    <row r="317" hidden="1" ht="14.25" customHeight="1" s="64">
      <c r="A317" s="74" t="inlineStr">
        <is>
          <t>Contabilidade</t>
        </is>
      </c>
      <c r="B317" s="83">
        <f>INDEX(SETORES!$B:$B,MATCH(A317,SETORES!$A:$A,0))</f>
        <v/>
      </c>
      <c r="C317" s="74" t="inlineStr">
        <is>
          <t>Empresa Licenciada VOICENET</t>
        </is>
      </c>
      <c r="D317" s="72">
        <f>IF(B317="Clientes",SUMIFS(PARÂMETROS!$D$8:$D$907,PARÂMETROS!$A$8:$A$907,C317,PARÂMETROS!$G$8:$G$907,J317),SUMIFS(PARÂMETROS!$E$8:$E$907,PARÂMETROS!$A$8:$A$907,C317,PARÂMETROS!$G$8:$G$907,J317))</f>
        <v/>
      </c>
      <c r="E317" s="84">
        <f>SUMIFS(SETORES!$D:$D,SETORES!$A:$A,A317,SETORES!$F:$F,J317)</f>
        <v/>
      </c>
      <c r="F317" s="84">
        <f>IFERROR(D317*E317,0)</f>
        <v/>
      </c>
      <c r="G317" s="72">
        <f>SUMIFS(PARÂMETROS!$F$8:$F$907,PARÂMETROS!$A$8:$A$907,C317,PARÂMETROS!$G$8:$G$907,J317)</f>
        <v/>
      </c>
      <c r="H317" s="84">
        <f>IFERROR(F317*G317,0)</f>
        <v/>
      </c>
      <c r="I317" s="84">
        <f>F317+H317</f>
        <v/>
      </c>
      <c r="J317" s="74" t="inlineStr">
        <is>
          <t>Maio/2026</t>
        </is>
      </c>
    </row>
    <row r="318" hidden="1" ht="14.25" customHeight="1" s="64">
      <c r="A318" s="106" t="inlineStr">
        <is>
          <t>Contabilidade</t>
        </is>
      </c>
      <c r="B318" s="106">
        <f>INDEX(SETORES!$B:$B,MATCH(A318,SETORES!$A:$A,0))</f>
        <v/>
      </c>
      <c r="C318" s="106" t="inlineStr">
        <is>
          <t>DTEL (uso próprio)</t>
        </is>
      </c>
      <c r="D318" s="77">
        <f>IF(B318="Clientes",SUMIFS(PARÂMETROS!$D$8:$D$907,PARÂMETROS!$A$8:$A$907,C318,PARÂMETROS!$G$8:$G$907,J318),SUMIFS(PARÂMETROS!$E$8:$E$907,PARÂMETROS!$A$8:$A$907,C318,PARÂMETROS!$G$8:$G$907,J318))</f>
        <v/>
      </c>
      <c r="E318" s="109">
        <f>SUMIFS(SETORES!$D:$D,SETORES!$A:$A,A318,SETORES!$F:$F,J318)</f>
        <v/>
      </c>
      <c r="F318" s="109">
        <f>IFERROR(D318*E318,0)</f>
        <v/>
      </c>
      <c r="G318" s="77">
        <f>SUMIFS(PARÂMETROS!$F$8:$F$907,PARÂMETROS!$A$8:$A$907,C318,PARÂMETROS!$G$8:$G$907,J318)</f>
        <v/>
      </c>
      <c r="H318" s="109">
        <f>IFERROR(F318*G318,0)</f>
        <v/>
      </c>
      <c r="I318" s="109">
        <f>F318+H318</f>
        <v/>
      </c>
      <c r="J318" s="106" t="inlineStr">
        <is>
          <t>Maio/2026</t>
        </is>
      </c>
    </row>
    <row r="319" hidden="1" ht="14.25" customHeight="1" s="64">
      <c r="A319" s="74" t="inlineStr">
        <is>
          <t>Controladoria</t>
        </is>
      </c>
      <c r="B319" s="83">
        <f>INDEX(SETORES!$B:$B,MATCH(A319,SETORES!$A:$A,0))</f>
        <v/>
      </c>
      <c r="C319" s="74" t="inlineStr">
        <is>
          <t>Empresa Licenciada DX2</t>
        </is>
      </c>
      <c r="D319" s="72">
        <f>IF(B319="Clientes",SUMIFS(PARÂMETROS!$D$8:$D$907,PARÂMETROS!$A$8:$A$907,C319,PARÂMETROS!$G$8:$G$907,J319),SUMIFS(PARÂMETROS!$E$8:$E$907,PARÂMETROS!$A$8:$A$907,C319,PARÂMETROS!$G$8:$G$907,J319))</f>
        <v/>
      </c>
      <c r="E319" s="84">
        <f>SUMIFS(SETORES!$D:$D,SETORES!$A:$A,A319,SETORES!$F:$F,J319)</f>
        <v/>
      </c>
      <c r="F319" s="84">
        <f>IFERROR(D319*E319,0)</f>
        <v/>
      </c>
      <c r="G319" s="72">
        <f>SUMIFS(PARÂMETROS!$F$8:$F$907,PARÂMETROS!$A$8:$A$907,C319,PARÂMETROS!$G$8:$G$907,J319)</f>
        <v/>
      </c>
      <c r="H319" s="84">
        <f>IFERROR(F319*G319,0)</f>
        <v/>
      </c>
      <c r="I319" s="84">
        <f>F319+H319</f>
        <v/>
      </c>
      <c r="J319" s="74" t="inlineStr">
        <is>
          <t>Maio/2026</t>
        </is>
      </c>
    </row>
    <row r="320" hidden="1" ht="14.25" customHeight="1" s="64">
      <c r="A320" s="106" t="inlineStr">
        <is>
          <t>Controladoria</t>
        </is>
      </c>
      <c r="B320" s="106">
        <f>INDEX(SETORES!$B:$B,MATCH(A320,SETORES!$A:$A,0))</f>
        <v/>
      </c>
      <c r="C320" s="106" t="inlineStr">
        <is>
          <t>Empresa Licenciada H&amp;A</t>
        </is>
      </c>
      <c r="D320" s="77">
        <f>IF(B320="Clientes",SUMIFS(PARÂMETROS!$D$8:$D$907,PARÂMETROS!$A$8:$A$907,C320,PARÂMETROS!$G$8:$G$907,J320),SUMIFS(PARÂMETROS!$E$8:$E$907,PARÂMETROS!$A$8:$A$907,C320,PARÂMETROS!$G$8:$G$907,J320))</f>
        <v/>
      </c>
      <c r="E320" s="109">
        <f>SUMIFS(SETORES!$D:$D,SETORES!$A:$A,A320,SETORES!$F:$F,J320)</f>
        <v/>
      </c>
      <c r="F320" s="109">
        <f>IFERROR(D320*E320,0)</f>
        <v/>
      </c>
      <c r="G320" s="77">
        <f>SUMIFS(PARÂMETROS!$F$8:$F$907,PARÂMETROS!$A$8:$A$907,C320,PARÂMETROS!$G$8:$G$907,J320)</f>
        <v/>
      </c>
      <c r="H320" s="109">
        <f>IFERROR(F320*G320,0)</f>
        <v/>
      </c>
      <c r="I320" s="109">
        <f>F320+H320</f>
        <v/>
      </c>
      <c r="J320" s="106" t="inlineStr">
        <is>
          <t>Maio/2026</t>
        </is>
      </c>
    </row>
    <row r="321" hidden="1" ht="14.25" customHeight="1" s="64">
      <c r="A321" s="74" t="inlineStr">
        <is>
          <t>Controladoria</t>
        </is>
      </c>
      <c r="B321" s="83">
        <f>INDEX(SETORES!$B:$B,MATCH(A321,SETORES!$A:$A,0))</f>
        <v/>
      </c>
      <c r="C321" s="74" t="inlineStr">
        <is>
          <t>Empresa Licenciada SOLON ARAUJO</t>
        </is>
      </c>
      <c r="D321" s="72">
        <f>IF(B321="Clientes",SUMIFS(PARÂMETROS!$D$8:$D$907,PARÂMETROS!$A$8:$A$907,C321,PARÂMETROS!$G$8:$G$907,J321),SUMIFS(PARÂMETROS!$E$8:$E$907,PARÂMETROS!$A$8:$A$907,C321,PARÂMETROS!$G$8:$G$907,J321))</f>
        <v/>
      </c>
      <c r="E321" s="84">
        <f>SUMIFS(SETORES!$D:$D,SETORES!$A:$A,A321,SETORES!$F:$F,J321)</f>
        <v/>
      </c>
      <c r="F321" s="84">
        <f>IFERROR(D321*E321,0)</f>
        <v/>
      </c>
      <c r="G321" s="72">
        <f>SUMIFS(PARÂMETROS!$F$8:$F$907,PARÂMETROS!$A$8:$A$907,C321,PARÂMETROS!$G$8:$G$907,J321)</f>
        <v/>
      </c>
      <c r="H321" s="84">
        <f>IFERROR(F321*G321,0)</f>
        <v/>
      </c>
      <c r="I321" s="84">
        <f>F321+H321</f>
        <v/>
      </c>
      <c r="J321" s="74" t="inlineStr">
        <is>
          <t>Maio/2026</t>
        </is>
      </c>
    </row>
    <row r="322" ht="14.25" customHeight="1" s="64">
      <c r="A322" s="106" t="inlineStr">
        <is>
          <t>Controladoria</t>
        </is>
      </c>
      <c r="B322" s="106">
        <f>INDEX(SETORES!$B:$B,MATCH(A322,SETORES!$A:$A,0))</f>
        <v/>
      </c>
      <c r="C322" s="106" t="inlineStr">
        <is>
          <t>Empresa Licenciada SOARES E LINS</t>
        </is>
      </c>
      <c r="D322" s="77">
        <f>IF(B322="Clientes",SUMIFS(PARÂMETROS!$D$8:$D$907,PARÂMETROS!$A$8:$A$907,C322,PARÂMETROS!$G$8:$G$907,J322),SUMIFS(PARÂMETROS!$E$8:$E$907,PARÂMETROS!$A$8:$A$907,C322,PARÂMETROS!$G$8:$G$907,J322))</f>
        <v/>
      </c>
      <c r="E322" s="109">
        <f>SUMIFS(SETORES!$D:$D,SETORES!$A:$A,A322,SETORES!$F:$F,J322)</f>
        <v/>
      </c>
      <c r="F322" s="109">
        <f>IFERROR(D322*E322,0)</f>
        <v/>
      </c>
      <c r="G322" s="77">
        <f>SUMIFS(PARÂMETROS!$F$8:$F$907,PARÂMETROS!$A$8:$A$907,C322,PARÂMETROS!$G$8:$G$907,J322)</f>
        <v/>
      </c>
      <c r="H322" s="109">
        <f>IFERROR(F322*G322,0)</f>
        <v/>
      </c>
      <c r="I322" s="109">
        <f>F322+H322</f>
        <v/>
      </c>
      <c r="J322" s="106" t="inlineStr">
        <is>
          <t>Maio/2026</t>
        </is>
      </c>
    </row>
    <row r="323" hidden="1" ht="14.25" customHeight="1" s="64">
      <c r="A323" s="74" t="inlineStr">
        <is>
          <t>Controladoria</t>
        </is>
      </c>
      <c r="B323" s="83">
        <f>INDEX(SETORES!$B:$B,MATCH(A323,SETORES!$A:$A,0))</f>
        <v/>
      </c>
      <c r="C323" s="74" t="inlineStr">
        <is>
          <t>Empresa Licenciada SOARES E SILVA</t>
        </is>
      </c>
      <c r="D323" s="72">
        <f>IF(B323="Clientes",SUMIFS(PARÂMETROS!$D$8:$D$907,PARÂMETROS!$A$8:$A$907,C323,PARÂMETROS!$G$8:$G$907,J323),SUMIFS(PARÂMETROS!$E$8:$E$907,PARÂMETROS!$A$8:$A$907,C323,PARÂMETROS!$G$8:$G$907,J323))</f>
        <v/>
      </c>
      <c r="E323" s="84">
        <f>SUMIFS(SETORES!$D:$D,SETORES!$A:$A,A323,SETORES!$F:$F,J323)</f>
        <v/>
      </c>
      <c r="F323" s="84">
        <f>IFERROR(D323*E323,0)</f>
        <v/>
      </c>
      <c r="G323" s="72">
        <f>SUMIFS(PARÂMETROS!$F$8:$F$907,PARÂMETROS!$A$8:$A$907,C323,PARÂMETROS!$G$8:$G$907,J323)</f>
        <v/>
      </c>
      <c r="H323" s="84">
        <f>IFERROR(F323*G323,0)</f>
        <v/>
      </c>
      <c r="I323" s="84">
        <f>F323+H323</f>
        <v/>
      </c>
      <c r="J323" s="74" t="inlineStr">
        <is>
          <t>Maio/2026</t>
        </is>
      </c>
    </row>
    <row r="324" hidden="1" ht="14.25" customHeight="1" s="64">
      <c r="A324" s="106" t="inlineStr">
        <is>
          <t>Controladoria</t>
        </is>
      </c>
      <c r="B324" s="106">
        <f>INDEX(SETORES!$B:$B,MATCH(A324,SETORES!$A:$A,0))</f>
        <v/>
      </c>
      <c r="C324" s="106" t="inlineStr">
        <is>
          <t>Empresa Licenciada SOUZA E SILVA</t>
        </is>
      </c>
      <c r="D324" s="77">
        <f>IF(B324="Clientes",SUMIFS(PARÂMETROS!$D$8:$D$907,PARÂMETROS!$A$8:$A$907,C324,PARÂMETROS!$G$8:$G$907,J324),SUMIFS(PARÂMETROS!$E$8:$E$907,PARÂMETROS!$A$8:$A$907,C324,PARÂMETROS!$G$8:$G$907,J324))</f>
        <v/>
      </c>
      <c r="E324" s="109">
        <f>SUMIFS(SETORES!$D:$D,SETORES!$A:$A,A324,SETORES!$F:$F,J324)</f>
        <v/>
      </c>
      <c r="F324" s="109">
        <f>IFERROR(D324*E324,0)</f>
        <v/>
      </c>
      <c r="G324" s="77">
        <f>SUMIFS(PARÂMETROS!$F$8:$F$907,PARÂMETROS!$A$8:$A$907,C324,PARÂMETROS!$G$8:$G$907,J324)</f>
        <v/>
      </c>
      <c r="H324" s="109">
        <f>IFERROR(F324*G324,0)</f>
        <v/>
      </c>
      <c r="I324" s="109">
        <f>F324+H324</f>
        <v/>
      </c>
      <c r="J324" s="106" t="inlineStr">
        <is>
          <t>Maio/2026</t>
        </is>
      </c>
    </row>
    <row r="325" hidden="1" ht="14.25" customHeight="1" s="64">
      <c r="A325" s="74" t="inlineStr">
        <is>
          <t>Controladoria</t>
        </is>
      </c>
      <c r="B325" s="83">
        <f>INDEX(SETORES!$B:$B,MATCH(A325,SETORES!$A:$A,0))</f>
        <v/>
      </c>
      <c r="C325" s="74" t="inlineStr">
        <is>
          <t>Empresa Licenciada VOICENET</t>
        </is>
      </c>
      <c r="D325" s="72">
        <f>IF(B325="Clientes",SUMIFS(PARÂMETROS!$D$8:$D$907,PARÂMETROS!$A$8:$A$907,C325,PARÂMETROS!$G$8:$G$907,J325),SUMIFS(PARÂMETROS!$E$8:$E$907,PARÂMETROS!$A$8:$A$907,C325,PARÂMETROS!$G$8:$G$907,J325))</f>
        <v/>
      </c>
      <c r="E325" s="84">
        <f>SUMIFS(SETORES!$D:$D,SETORES!$A:$A,A325,SETORES!$F:$F,J325)</f>
        <v/>
      </c>
      <c r="F325" s="84">
        <f>IFERROR(D325*E325,0)</f>
        <v/>
      </c>
      <c r="G325" s="72">
        <f>SUMIFS(PARÂMETROS!$F$8:$F$907,PARÂMETROS!$A$8:$A$907,C325,PARÂMETROS!$G$8:$G$907,J325)</f>
        <v/>
      </c>
      <c r="H325" s="84">
        <f>IFERROR(F325*G325,0)</f>
        <v/>
      </c>
      <c r="I325" s="84">
        <f>F325+H325</f>
        <v/>
      </c>
      <c r="J325" s="74" t="inlineStr">
        <is>
          <t>Maio/2026</t>
        </is>
      </c>
    </row>
    <row r="326" hidden="1" ht="14.25" customHeight="1" s="64">
      <c r="A326" s="106" t="inlineStr">
        <is>
          <t>Controladoria</t>
        </is>
      </c>
      <c r="B326" s="106">
        <f>INDEX(SETORES!$B:$B,MATCH(A326,SETORES!$A:$A,0))</f>
        <v/>
      </c>
      <c r="C326" s="106" t="inlineStr">
        <is>
          <t>DTEL (uso próprio)</t>
        </is>
      </c>
      <c r="D326" s="77">
        <f>IF(B326="Clientes",SUMIFS(PARÂMETROS!$D$8:$D$907,PARÂMETROS!$A$8:$A$907,C326,PARÂMETROS!$G$8:$G$907,J326),SUMIFS(PARÂMETROS!$E$8:$E$907,PARÂMETROS!$A$8:$A$907,C326,PARÂMETROS!$G$8:$G$907,J326))</f>
        <v/>
      </c>
      <c r="E326" s="109">
        <f>SUMIFS(SETORES!$D:$D,SETORES!$A:$A,A326,SETORES!$F:$F,J326)</f>
        <v/>
      </c>
      <c r="F326" s="109">
        <f>IFERROR(D326*E326,0)</f>
        <v/>
      </c>
      <c r="G326" s="77">
        <f>SUMIFS(PARÂMETROS!$F$8:$F$907,PARÂMETROS!$A$8:$A$907,C326,PARÂMETROS!$G$8:$G$907,J326)</f>
        <v/>
      </c>
      <c r="H326" s="109">
        <f>IFERROR(F326*G326,0)</f>
        <v/>
      </c>
      <c r="I326" s="109">
        <f>F326+H326</f>
        <v/>
      </c>
      <c r="J326" s="106" t="inlineStr">
        <is>
          <t>Maio/2026</t>
        </is>
      </c>
    </row>
    <row r="327" hidden="1" ht="14.25" customHeight="1" s="64">
      <c r="A327" s="74" t="inlineStr">
        <is>
          <t>Diretoria Operacional</t>
        </is>
      </c>
      <c r="B327" s="83">
        <f>INDEX(SETORES!$B:$B,MATCH(A327,SETORES!$A:$A,0))</f>
        <v/>
      </c>
      <c r="C327" s="74" t="inlineStr">
        <is>
          <t>Empresa Licenciada DX2</t>
        </is>
      </c>
      <c r="D327" s="72">
        <f>IF(B327="Clientes",SUMIFS(PARÂMETROS!$D$8:$D$907,PARÂMETROS!$A$8:$A$907,C327,PARÂMETROS!$G$8:$G$907,J327),SUMIFS(PARÂMETROS!$E$8:$E$907,PARÂMETROS!$A$8:$A$907,C327,PARÂMETROS!$G$8:$G$907,J327))</f>
        <v/>
      </c>
      <c r="E327" s="84">
        <f>SUMIFS(SETORES!$D:$D,SETORES!$A:$A,A327,SETORES!$F:$F,J327)</f>
        <v/>
      </c>
      <c r="F327" s="84">
        <f>IFERROR(D327*E327,0)</f>
        <v/>
      </c>
      <c r="G327" s="72">
        <f>SUMIFS(PARÂMETROS!$F$8:$F$907,PARÂMETROS!$A$8:$A$907,C327,PARÂMETROS!$G$8:$G$907,J327)</f>
        <v/>
      </c>
      <c r="H327" s="84">
        <f>IFERROR(F327*G327,0)</f>
        <v/>
      </c>
      <c r="I327" s="84">
        <f>F327+H327</f>
        <v/>
      </c>
      <c r="J327" s="74" t="inlineStr">
        <is>
          <t>Maio/2026</t>
        </is>
      </c>
    </row>
    <row r="328" hidden="1" ht="14.25" customHeight="1" s="64">
      <c r="A328" s="106" t="inlineStr">
        <is>
          <t>Diretoria Operacional</t>
        </is>
      </c>
      <c r="B328" s="106">
        <f>INDEX(SETORES!$B:$B,MATCH(A328,SETORES!$A:$A,0))</f>
        <v/>
      </c>
      <c r="C328" s="106" t="inlineStr">
        <is>
          <t>Empresa Licenciada H&amp;A</t>
        </is>
      </c>
      <c r="D328" s="77">
        <f>IF(B328="Clientes",SUMIFS(PARÂMETROS!$D$8:$D$907,PARÂMETROS!$A$8:$A$907,C328,PARÂMETROS!$G$8:$G$907,J328),SUMIFS(PARÂMETROS!$E$8:$E$907,PARÂMETROS!$A$8:$A$907,C328,PARÂMETROS!$G$8:$G$907,J328))</f>
        <v/>
      </c>
      <c r="E328" s="109">
        <f>SUMIFS(SETORES!$D:$D,SETORES!$A:$A,A328,SETORES!$F:$F,J328)</f>
        <v/>
      </c>
      <c r="F328" s="109">
        <f>IFERROR(D328*E328,0)</f>
        <v/>
      </c>
      <c r="G328" s="77">
        <f>SUMIFS(PARÂMETROS!$F$8:$F$907,PARÂMETROS!$A$8:$A$907,C328,PARÂMETROS!$G$8:$G$907,J328)</f>
        <v/>
      </c>
      <c r="H328" s="109">
        <f>IFERROR(F328*G328,0)</f>
        <v/>
      </c>
      <c r="I328" s="109">
        <f>F328+H328</f>
        <v/>
      </c>
      <c r="J328" s="106" t="inlineStr">
        <is>
          <t>Maio/2026</t>
        </is>
      </c>
    </row>
    <row r="329" hidden="1" ht="14.25" customHeight="1" s="64">
      <c r="A329" s="74" t="inlineStr">
        <is>
          <t>Diretoria Operacional</t>
        </is>
      </c>
      <c r="B329" s="83">
        <f>INDEX(SETORES!$B:$B,MATCH(A329,SETORES!$A:$A,0))</f>
        <v/>
      </c>
      <c r="C329" s="74" t="inlineStr">
        <is>
          <t>Empresa Licenciada SOLON ARAUJO</t>
        </is>
      </c>
      <c r="D329" s="72">
        <f>IF(B329="Clientes",SUMIFS(PARÂMETROS!$D$8:$D$907,PARÂMETROS!$A$8:$A$907,C329,PARÂMETROS!$G$8:$G$907,J329),SUMIFS(PARÂMETROS!$E$8:$E$907,PARÂMETROS!$A$8:$A$907,C329,PARÂMETROS!$G$8:$G$907,J329))</f>
        <v/>
      </c>
      <c r="E329" s="84">
        <f>SUMIFS(SETORES!$D:$D,SETORES!$A:$A,A329,SETORES!$F:$F,J329)</f>
        <v/>
      </c>
      <c r="F329" s="84">
        <f>IFERROR(D329*E329,0)</f>
        <v/>
      </c>
      <c r="G329" s="72">
        <f>SUMIFS(PARÂMETROS!$F$8:$F$907,PARÂMETROS!$A$8:$A$907,C329,PARÂMETROS!$G$8:$G$907,J329)</f>
        <v/>
      </c>
      <c r="H329" s="84">
        <f>IFERROR(F329*G329,0)</f>
        <v/>
      </c>
      <c r="I329" s="84">
        <f>F329+H329</f>
        <v/>
      </c>
      <c r="J329" s="74" t="inlineStr">
        <is>
          <t>Maio/2026</t>
        </is>
      </c>
    </row>
    <row r="330" ht="14.25" customHeight="1" s="64">
      <c r="A330" s="106" t="inlineStr">
        <is>
          <t>Diretoria Operacional</t>
        </is>
      </c>
      <c r="B330" s="106">
        <f>INDEX(SETORES!$B:$B,MATCH(A330,SETORES!$A:$A,0))</f>
        <v/>
      </c>
      <c r="C330" s="106" t="inlineStr">
        <is>
          <t>Empresa Licenciada SOARES E LINS</t>
        </is>
      </c>
      <c r="D330" s="77">
        <f>IF(B330="Clientes",SUMIFS(PARÂMETROS!$D$8:$D$907,PARÂMETROS!$A$8:$A$907,C330,PARÂMETROS!$G$8:$G$907,J330),SUMIFS(PARÂMETROS!$E$8:$E$907,PARÂMETROS!$A$8:$A$907,C330,PARÂMETROS!$G$8:$G$907,J330))</f>
        <v/>
      </c>
      <c r="E330" s="109">
        <f>SUMIFS(SETORES!$D:$D,SETORES!$A:$A,A330,SETORES!$F:$F,J330)</f>
        <v/>
      </c>
      <c r="F330" s="109">
        <f>IFERROR(D330*E330,0)</f>
        <v/>
      </c>
      <c r="G330" s="77">
        <f>SUMIFS(PARÂMETROS!$F$8:$F$907,PARÂMETROS!$A$8:$A$907,C330,PARÂMETROS!$G$8:$G$907,J330)</f>
        <v/>
      </c>
      <c r="H330" s="109">
        <f>IFERROR(F330*G330,0)</f>
        <v/>
      </c>
      <c r="I330" s="109">
        <f>F330+H330</f>
        <v/>
      </c>
      <c r="J330" s="106" t="inlineStr">
        <is>
          <t>Maio/2026</t>
        </is>
      </c>
    </row>
    <row r="331" hidden="1" ht="14.25" customHeight="1" s="64">
      <c r="A331" s="74" t="inlineStr">
        <is>
          <t>Diretoria Operacional</t>
        </is>
      </c>
      <c r="B331" s="83">
        <f>INDEX(SETORES!$B:$B,MATCH(A331,SETORES!$A:$A,0))</f>
        <v/>
      </c>
      <c r="C331" s="74" t="inlineStr">
        <is>
          <t>Empresa Licenciada SOARES E SILVA</t>
        </is>
      </c>
      <c r="D331" s="72">
        <f>IF(B331="Clientes",SUMIFS(PARÂMETROS!$D$8:$D$907,PARÂMETROS!$A$8:$A$907,C331,PARÂMETROS!$G$8:$G$907,J331),SUMIFS(PARÂMETROS!$E$8:$E$907,PARÂMETROS!$A$8:$A$907,C331,PARÂMETROS!$G$8:$G$907,J331))</f>
        <v/>
      </c>
      <c r="E331" s="84">
        <f>SUMIFS(SETORES!$D:$D,SETORES!$A:$A,A331,SETORES!$F:$F,J331)</f>
        <v/>
      </c>
      <c r="F331" s="84">
        <f>IFERROR(D331*E331,0)</f>
        <v/>
      </c>
      <c r="G331" s="72">
        <f>SUMIFS(PARÂMETROS!$F$8:$F$907,PARÂMETROS!$A$8:$A$907,C331,PARÂMETROS!$G$8:$G$907,J331)</f>
        <v/>
      </c>
      <c r="H331" s="84">
        <f>IFERROR(F331*G331,0)</f>
        <v/>
      </c>
      <c r="I331" s="84">
        <f>F331+H331</f>
        <v/>
      </c>
      <c r="J331" s="74" t="inlineStr">
        <is>
          <t>Maio/2026</t>
        </is>
      </c>
    </row>
    <row r="332" hidden="1" ht="14.25" customHeight="1" s="64">
      <c r="A332" s="106" t="inlineStr">
        <is>
          <t>Diretoria Operacional</t>
        </is>
      </c>
      <c r="B332" s="106">
        <f>INDEX(SETORES!$B:$B,MATCH(A332,SETORES!$A:$A,0))</f>
        <v/>
      </c>
      <c r="C332" s="106" t="inlineStr">
        <is>
          <t>Empresa Licenciada SOUZA E SILVA</t>
        </is>
      </c>
      <c r="D332" s="77">
        <f>IF(B332="Clientes",SUMIFS(PARÂMETROS!$D$8:$D$907,PARÂMETROS!$A$8:$A$907,C332,PARÂMETROS!$G$8:$G$907,J332),SUMIFS(PARÂMETROS!$E$8:$E$907,PARÂMETROS!$A$8:$A$907,C332,PARÂMETROS!$G$8:$G$907,J332))</f>
        <v/>
      </c>
      <c r="E332" s="109">
        <f>SUMIFS(SETORES!$D:$D,SETORES!$A:$A,A332,SETORES!$F:$F,J332)</f>
        <v/>
      </c>
      <c r="F332" s="109">
        <f>IFERROR(D332*E332,0)</f>
        <v/>
      </c>
      <c r="G332" s="77">
        <f>SUMIFS(PARÂMETROS!$F$8:$F$907,PARÂMETROS!$A$8:$A$907,C332,PARÂMETROS!$G$8:$G$907,J332)</f>
        <v/>
      </c>
      <c r="H332" s="109">
        <f>IFERROR(F332*G332,0)</f>
        <v/>
      </c>
      <c r="I332" s="109">
        <f>F332+H332</f>
        <v/>
      </c>
      <c r="J332" s="106" t="inlineStr">
        <is>
          <t>Maio/2026</t>
        </is>
      </c>
    </row>
    <row r="333" hidden="1" ht="14.25" customHeight="1" s="64">
      <c r="A333" s="74" t="inlineStr">
        <is>
          <t>Diretoria Operacional</t>
        </is>
      </c>
      <c r="B333" s="83">
        <f>INDEX(SETORES!$B:$B,MATCH(A333,SETORES!$A:$A,0))</f>
        <v/>
      </c>
      <c r="C333" s="74" t="inlineStr">
        <is>
          <t>Empresa Licenciada VOICENET</t>
        </is>
      </c>
      <c r="D333" s="72">
        <f>IF(B333="Clientes",SUMIFS(PARÂMETROS!$D$8:$D$907,PARÂMETROS!$A$8:$A$907,C333,PARÂMETROS!$G$8:$G$907,J333),SUMIFS(PARÂMETROS!$E$8:$E$907,PARÂMETROS!$A$8:$A$907,C333,PARÂMETROS!$G$8:$G$907,J333))</f>
        <v/>
      </c>
      <c r="E333" s="84">
        <f>SUMIFS(SETORES!$D:$D,SETORES!$A:$A,A333,SETORES!$F:$F,J333)</f>
        <v/>
      </c>
      <c r="F333" s="84">
        <f>IFERROR(D333*E333,0)</f>
        <v/>
      </c>
      <c r="G333" s="72">
        <f>SUMIFS(PARÂMETROS!$F$8:$F$907,PARÂMETROS!$A$8:$A$907,C333,PARÂMETROS!$G$8:$G$907,J333)</f>
        <v/>
      </c>
      <c r="H333" s="84">
        <f>IFERROR(F333*G333,0)</f>
        <v/>
      </c>
      <c r="I333" s="84">
        <f>F333+H333</f>
        <v/>
      </c>
      <c r="J333" s="74" t="inlineStr">
        <is>
          <t>Maio/2026</t>
        </is>
      </c>
    </row>
    <row r="334" hidden="1" ht="14.25" customHeight="1" s="64">
      <c r="A334" s="106" t="inlineStr">
        <is>
          <t>Diretoria Operacional</t>
        </is>
      </c>
      <c r="B334" s="106">
        <f>INDEX(SETORES!$B:$B,MATCH(A334,SETORES!$A:$A,0))</f>
        <v/>
      </c>
      <c r="C334" s="106" t="inlineStr">
        <is>
          <t>DTEL (uso próprio)</t>
        </is>
      </c>
      <c r="D334" s="77">
        <f>IF(B334="Clientes",SUMIFS(PARÂMETROS!$D$8:$D$907,PARÂMETROS!$A$8:$A$907,C334,PARÂMETROS!$G$8:$G$907,J334),SUMIFS(PARÂMETROS!$E$8:$E$907,PARÂMETROS!$A$8:$A$907,C334,PARÂMETROS!$G$8:$G$907,J334))</f>
        <v/>
      </c>
      <c r="E334" s="109">
        <f>SUMIFS(SETORES!$D:$D,SETORES!$A:$A,A334,SETORES!$F:$F,J334)</f>
        <v/>
      </c>
      <c r="F334" s="109">
        <f>IFERROR(D334*E334,0)</f>
        <v/>
      </c>
      <c r="G334" s="77">
        <f>SUMIFS(PARÂMETROS!$F$8:$F$907,PARÂMETROS!$A$8:$A$907,C334,PARÂMETROS!$G$8:$G$907,J334)</f>
        <v/>
      </c>
      <c r="H334" s="109">
        <f>IFERROR(F334*G334,0)</f>
        <v/>
      </c>
      <c r="I334" s="109">
        <f>F334+H334</f>
        <v/>
      </c>
      <c r="J334" s="106" t="inlineStr">
        <is>
          <t>Maio/2026</t>
        </is>
      </c>
    </row>
    <row r="335" hidden="1" ht="14.25" customHeight="1" s="64">
      <c r="A335" s="74" t="inlineStr">
        <is>
          <t>Compras</t>
        </is>
      </c>
      <c r="B335" s="83">
        <f>INDEX(SETORES!$B:$B,MATCH(A335,SETORES!$A:$A,0))</f>
        <v/>
      </c>
      <c r="C335" s="74" t="inlineStr">
        <is>
          <t>Empresa Licenciada DX2</t>
        </is>
      </c>
      <c r="D335" s="72">
        <f>IF(B335="Clientes",SUMIFS(PARÂMETROS!$D$8:$D$907,PARÂMETROS!$A$8:$A$907,C335,PARÂMETROS!$G$8:$G$907,J335),SUMIFS(PARÂMETROS!$E$8:$E$907,PARÂMETROS!$A$8:$A$907,C335,PARÂMETROS!$G$8:$G$907,J335))</f>
        <v/>
      </c>
      <c r="E335" s="84">
        <f>SUMIFS(SETORES!$D:$D,SETORES!$A:$A,A335,SETORES!$F:$F,J335)</f>
        <v/>
      </c>
      <c r="F335" s="84">
        <f>IFERROR(D335*E335,0)</f>
        <v/>
      </c>
      <c r="G335" s="72">
        <f>SUMIFS(PARÂMETROS!$F$8:$F$907,PARÂMETROS!$A$8:$A$907,C335,PARÂMETROS!$G$8:$G$907,J335)</f>
        <v/>
      </c>
      <c r="H335" s="84">
        <f>IFERROR(F335*G335,0)</f>
        <v/>
      </c>
      <c r="I335" s="84">
        <f>F335+H335</f>
        <v/>
      </c>
      <c r="J335" s="74" t="inlineStr">
        <is>
          <t>Maio/2026</t>
        </is>
      </c>
    </row>
    <row r="336" hidden="1" ht="14.25" customHeight="1" s="64">
      <c r="A336" s="106" t="inlineStr">
        <is>
          <t>Compras</t>
        </is>
      </c>
      <c r="B336" s="106">
        <f>INDEX(SETORES!$B:$B,MATCH(A336,SETORES!$A:$A,0))</f>
        <v/>
      </c>
      <c r="C336" s="106" t="inlineStr">
        <is>
          <t>Empresa Licenciada H&amp;A</t>
        </is>
      </c>
      <c r="D336" s="77">
        <f>IF(B336="Clientes",SUMIFS(PARÂMETROS!$D$8:$D$907,PARÂMETROS!$A$8:$A$907,C336,PARÂMETROS!$G$8:$G$907,J336),SUMIFS(PARÂMETROS!$E$8:$E$907,PARÂMETROS!$A$8:$A$907,C336,PARÂMETROS!$G$8:$G$907,J336))</f>
        <v/>
      </c>
      <c r="E336" s="109">
        <f>SUMIFS(SETORES!$D:$D,SETORES!$A:$A,A336,SETORES!$F:$F,J336)</f>
        <v/>
      </c>
      <c r="F336" s="109">
        <f>IFERROR(D336*E336,0)</f>
        <v/>
      </c>
      <c r="G336" s="77">
        <f>SUMIFS(PARÂMETROS!$F$8:$F$907,PARÂMETROS!$A$8:$A$907,C336,PARÂMETROS!$G$8:$G$907,J336)</f>
        <v/>
      </c>
      <c r="H336" s="109">
        <f>IFERROR(F336*G336,0)</f>
        <v/>
      </c>
      <c r="I336" s="109">
        <f>F336+H336</f>
        <v/>
      </c>
      <c r="J336" s="106" t="inlineStr">
        <is>
          <t>Maio/2026</t>
        </is>
      </c>
    </row>
    <row r="337" hidden="1" ht="14.25" customHeight="1" s="64">
      <c r="A337" s="74" t="inlineStr">
        <is>
          <t>Compras</t>
        </is>
      </c>
      <c r="B337" s="83">
        <f>INDEX(SETORES!$B:$B,MATCH(A337,SETORES!$A:$A,0))</f>
        <v/>
      </c>
      <c r="C337" s="74" t="inlineStr">
        <is>
          <t>Empresa Licenciada SOLON ARAUJO</t>
        </is>
      </c>
      <c r="D337" s="72">
        <f>IF(B337="Clientes",SUMIFS(PARÂMETROS!$D$8:$D$907,PARÂMETROS!$A$8:$A$907,C337,PARÂMETROS!$G$8:$G$907,J337),SUMIFS(PARÂMETROS!$E$8:$E$907,PARÂMETROS!$A$8:$A$907,C337,PARÂMETROS!$G$8:$G$907,J337))</f>
        <v/>
      </c>
      <c r="E337" s="84">
        <f>SUMIFS(SETORES!$D:$D,SETORES!$A:$A,A337,SETORES!$F:$F,J337)</f>
        <v/>
      </c>
      <c r="F337" s="84">
        <f>IFERROR(D337*E337,0)</f>
        <v/>
      </c>
      <c r="G337" s="72">
        <f>SUMIFS(PARÂMETROS!$F$8:$F$907,PARÂMETROS!$A$8:$A$907,C337,PARÂMETROS!$G$8:$G$907,J337)</f>
        <v/>
      </c>
      <c r="H337" s="84">
        <f>IFERROR(F337*G337,0)</f>
        <v/>
      </c>
      <c r="I337" s="84">
        <f>F337+H337</f>
        <v/>
      </c>
      <c r="J337" s="74" t="inlineStr">
        <is>
          <t>Maio/2026</t>
        </is>
      </c>
    </row>
    <row r="338" ht="14.25" customHeight="1" s="64">
      <c r="A338" s="106" t="inlineStr">
        <is>
          <t>Compras</t>
        </is>
      </c>
      <c r="B338" s="106">
        <f>INDEX(SETORES!$B:$B,MATCH(A338,SETORES!$A:$A,0))</f>
        <v/>
      </c>
      <c r="C338" s="106" t="inlineStr">
        <is>
          <t>Empresa Licenciada SOARES E LINS</t>
        </is>
      </c>
      <c r="D338" s="77">
        <f>IF(B338="Clientes",SUMIFS(PARÂMETROS!$D$8:$D$907,PARÂMETROS!$A$8:$A$907,C338,PARÂMETROS!$G$8:$G$907,J338),SUMIFS(PARÂMETROS!$E$8:$E$907,PARÂMETROS!$A$8:$A$907,C338,PARÂMETROS!$G$8:$G$907,J338))</f>
        <v/>
      </c>
      <c r="E338" s="109">
        <f>SUMIFS(SETORES!$D:$D,SETORES!$A:$A,A338,SETORES!$F:$F,J338)</f>
        <v/>
      </c>
      <c r="F338" s="109">
        <f>IFERROR(D338*E338,0)</f>
        <v/>
      </c>
      <c r="G338" s="77">
        <f>SUMIFS(PARÂMETROS!$F$8:$F$907,PARÂMETROS!$A$8:$A$907,C338,PARÂMETROS!$G$8:$G$907,J338)</f>
        <v/>
      </c>
      <c r="H338" s="109">
        <f>IFERROR(F338*G338,0)</f>
        <v/>
      </c>
      <c r="I338" s="109">
        <f>F338+H338</f>
        <v/>
      </c>
      <c r="J338" s="106" t="inlineStr">
        <is>
          <t>Maio/2026</t>
        </is>
      </c>
    </row>
    <row r="339" hidden="1" ht="14.25" customHeight="1" s="64">
      <c r="A339" s="74" t="inlineStr">
        <is>
          <t>Compras</t>
        </is>
      </c>
      <c r="B339" s="83">
        <f>INDEX(SETORES!$B:$B,MATCH(A339,SETORES!$A:$A,0))</f>
        <v/>
      </c>
      <c r="C339" s="74" t="inlineStr">
        <is>
          <t>Empresa Licenciada SOARES E SILVA</t>
        </is>
      </c>
      <c r="D339" s="72">
        <f>IF(B339="Clientes",SUMIFS(PARÂMETROS!$D$8:$D$907,PARÂMETROS!$A$8:$A$907,C339,PARÂMETROS!$G$8:$G$907,J339),SUMIFS(PARÂMETROS!$E$8:$E$907,PARÂMETROS!$A$8:$A$907,C339,PARÂMETROS!$G$8:$G$907,J339))</f>
        <v/>
      </c>
      <c r="E339" s="84">
        <f>SUMIFS(SETORES!$D:$D,SETORES!$A:$A,A339,SETORES!$F:$F,J339)</f>
        <v/>
      </c>
      <c r="F339" s="84">
        <f>IFERROR(D339*E339,0)</f>
        <v/>
      </c>
      <c r="G339" s="72">
        <f>SUMIFS(PARÂMETROS!$F$8:$F$907,PARÂMETROS!$A$8:$A$907,C339,PARÂMETROS!$G$8:$G$907,J339)</f>
        <v/>
      </c>
      <c r="H339" s="84">
        <f>IFERROR(F339*G339,0)</f>
        <v/>
      </c>
      <c r="I339" s="84">
        <f>F339+H339</f>
        <v/>
      </c>
      <c r="J339" s="74" t="inlineStr">
        <is>
          <t>Maio/2026</t>
        </is>
      </c>
    </row>
    <row r="340" hidden="1" ht="14.25" customHeight="1" s="64">
      <c r="A340" s="106" t="inlineStr">
        <is>
          <t>Compras</t>
        </is>
      </c>
      <c r="B340" s="106">
        <f>INDEX(SETORES!$B:$B,MATCH(A340,SETORES!$A:$A,0))</f>
        <v/>
      </c>
      <c r="C340" s="106" t="inlineStr">
        <is>
          <t>Empresa Licenciada SOUZA E SILVA</t>
        </is>
      </c>
      <c r="D340" s="77">
        <f>IF(B340="Clientes",SUMIFS(PARÂMETROS!$D$8:$D$907,PARÂMETROS!$A$8:$A$907,C340,PARÂMETROS!$G$8:$G$907,J340),SUMIFS(PARÂMETROS!$E$8:$E$907,PARÂMETROS!$A$8:$A$907,C340,PARÂMETROS!$G$8:$G$907,J340))</f>
        <v/>
      </c>
      <c r="E340" s="109">
        <f>SUMIFS(SETORES!$D:$D,SETORES!$A:$A,A340,SETORES!$F:$F,J340)</f>
        <v/>
      </c>
      <c r="F340" s="109">
        <f>IFERROR(D340*E340,0)</f>
        <v/>
      </c>
      <c r="G340" s="77">
        <f>SUMIFS(PARÂMETROS!$F$8:$F$907,PARÂMETROS!$A$8:$A$907,C340,PARÂMETROS!$G$8:$G$907,J340)</f>
        <v/>
      </c>
      <c r="H340" s="109">
        <f>IFERROR(F340*G340,0)</f>
        <v/>
      </c>
      <c r="I340" s="109">
        <f>F340+H340</f>
        <v/>
      </c>
      <c r="J340" s="106" t="inlineStr">
        <is>
          <t>Maio/2026</t>
        </is>
      </c>
    </row>
    <row r="341" hidden="1" ht="14.25" customHeight="1" s="64">
      <c r="A341" s="74" t="inlineStr">
        <is>
          <t>Compras</t>
        </is>
      </c>
      <c r="B341" s="83">
        <f>INDEX(SETORES!$B:$B,MATCH(A341,SETORES!$A:$A,0))</f>
        <v/>
      </c>
      <c r="C341" s="74" t="inlineStr">
        <is>
          <t>Empresa Licenciada VOICENET</t>
        </is>
      </c>
      <c r="D341" s="72">
        <f>IF(B341="Clientes",SUMIFS(PARÂMETROS!$D$8:$D$907,PARÂMETROS!$A$8:$A$907,C341,PARÂMETROS!$G$8:$G$907,J341),SUMIFS(PARÂMETROS!$E$8:$E$907,PARÂMETROS!$A$8:$A$907,C341,PARÂMETROS!$G$8:$G$907,J341))</f>
        <v/>
      </c>
      <c r="E341" s="84">
        <f>SUMIFS(SETORES!$D:$D,SETORES!$A:$A,A341,SETORES!$F:$F,J341)</f>
        <v/>
      </c>
      <c r="F341" s="84">
        <f>IFERROR(D341*E341,0)</f>
        <v/>
      </c>
      <c r="G341" s="72">
        <f>SUMIFS(PARÂMETROS!$F$8:$F$907,PARÂMETROS!$A$8:$A$907,C341,PARÂMETROS!$G$8:$G$907,J341)</f>
        <v/>
      </c>
      <c r="H341" s="84">
        <f>IFERROR(F341*G341,0)</f>
        <v/>
      </c>
      <c r="I341" s="84">
        <f>F341+H341</f>
        <v/>
      </c>
      <c r="J341" s="74" t="inlineStr">
        <is>
          <t>Maio/2026</t>
        </is>
      </c>
    </row>
    <row r="342" hidden="1" ht="14.25" customHeight="1" s="64">
      <c r="A342" s="106" t="inlineStr">
        <is>
          <t>Compras</t>
        </is>
      </c>
      <c r="B342" s="106">
        <f>INDEX(SETORES!$B:$B,MATCH(A342,SETORES!$A:$A,0))</f>
        <v/>
      </c>
      <c r="C342" s="106" t="inlineStr">
        <is>
          <t>DTEL (uso próprio)</t>
        </is>
      </c>
      <c r="D342" s="77">
        <f>IF(B342="Clientes",SUMIFS(PARÂMETROS!$D$8:$D$907,PARÂMETROS!$A$8:$A$907,C342,PARÂMETROS!$G$8:$G$907,J342),SUMIFS(PARÂMETROS!$E$8:$E$907,PARÂMETROS!$A$8:$A$907,C342,PARÂMETROS!$G$8:$G$907,J342))</f>
        <v/>
      </c>
      <c r="E342" s="109">
        <f>SUMIFS(SETORES!$D:$D,SETORES!$A:$A,A342,SETORES!$F:$F,J342)</f>
        <v/>
      </c>
      <c r="F342" s="109">
        <f>IFERROR(D342*E342,0)</f>
        <v/>
      </c>
      <c r="G342" s="77">
        <f>SUMIFS(PARÂMETROS!$F$8:$F$907,PARÂMETROS!$A$8:$A$907,C342,PARÂMETROS!$G$8:$G$907,J342)</f>
        <v/>
      </c>
      <c r="H342" s="109">
        <f>IFERROR(F342*G342,0)</f>
        <v/>
      </c>
      <c r="I342" s="109">
        <f>F342+H342</f>
        <v/>
      </c>
      <c r="J342" s="106" t="inlineStr">
        <is>
          <t>Maio/2026</t>
        </is>
      </c>
    </row>
    <row r="343" hidden="1" ht="14.25" customHeight="1" s="64">
      <c r="A343" s="74" t="inlineStr">
        <is>
          <t>Segurança do Trabalho</t>
        </is>
      </c>
      <c r="B343" s="83">
        <f>INDEX(SETORES!$B:$B,MATCH(A343,SETORES!$A:$A,0))</f>
        <v/>
      </c>
      <c r="C343" s="74" t="inlineStr">
        <is>
          <t>Empresa Licenciada DX2</t>
        </is>
      </c>
      <c r="D343" s="72">
        <f>IF(B343="Clientes",SUMIFS(PARÂMETROS!$D$8:$D$907,PARÂMETROS!$A$8:$A$907,C343,PARÂMETROS!$G$8:$G$907,J343),SUMIFS(PARÂMETROS!$E$8:$E$907,PARÂMETROS!$A$8:$A$907,C343,PARÂMETROS!$G$8:$G$907,J343))</f>
        <v/>
      </c>
      <c r="E343" s="84">
        <f>SUMIFS(SETORES!$D:$D,SETORES!$A:$A,A343,SETORES!$F:$F,J343)</f>
        <v/>
      </c>
      <c r="F343" s="84">
        <f>IFERROR(D343*E343,0)</f>
        <v/>
      </c>
      <c r="G343" s="72">
        <f>SUMIFS(PARÂMETROS!$F$8:$F$907,PARÂMETROS!$A$8:$A$907,C343,PARÂMETROS!$G$8:$G$907,J343)</f>
        <v/>
      </c>
      <c r="H343" s="84">
        <f>IFERROR(F343*G343,0)</f>
        <v/>
      </c>
      <c r="I343" s="84">
        <f>F343+H343</f>
        <v/>
      </c>
      <c r="J343" s="74" t="inlineStr">
        <is>
          <t>Maio/2026</t>
        </is>
      </c>
    </row>
    <row r="344" hidden="1" ht="14.25" customHeight="1" s="64">
      <c r="A344" s="106" t="inlineStr">
        <is>
          <t>Segurança do Trabalho</t>
        </is>
      </c>
      <c r="B344" s="106">
        <f>INDEX(SETORES!$B:$B,MATCH(A344,SETORES!$A:$A,0))</f>
        <v/>
      </c>
      <c r="C344" s="106" t="inlineStr">
        <is>
          <t>Empresa Licenciada H&amp;A</t>
        </is>
      </c>
      <c r="D344" s="77">
        <f>IF(B344="Clientes",SUMIFS(PARÂMETROS!$D$8:$D$907,PARÂMETROS!$A$8:$A$907,C344,PARÂMETROS!$G$8:$G$907,J344),SUMIFS(PARÂMETROS!$E$8:$E$907,PARÂMETROS!$A$8:$A$907,C344,PARÂMETROS!$G$8:$G$907,J344))</f>
        <v/>
      </c>
      <c r="E344" s="109">
        <f>SUMIFS(SETORES!$D:$D,SETORES!$A:$A,A344,SETORES!$F:$F,J344)</f>
        <v/>
      </c>
      <c r="F344" s="109">
        <f>IFERROR(D344*E344,0)</f>
        <v/>
      </c>
      <c r="G344" s="77">
        <f>SUMIFS(PARÂMETROS!$F$8:$F$907,PARÂMETROS!$A$8:$A$907,C344,PARÂMETROS!$G$8:$G$907,J344)</f>
        <v/>
      </c>
      <c r="H344" s="109">
        <f>IFERROR(F344*G344,0)</f>
        <v/>
      </c>
      <c r="I344" s="109">
        <f>F344+H344</f>
        <v/>
      </c>
      <c r="J344" s="106" t="inlineStr">
        <is>
          <t>Maio/2026</t>
        </is>
      </c>
    </row>
    <row r="345" hidden="1" ht="14.25" customHeight="1" s="64">
      <c r="A345" s="74" t="inlineStr">
        <is>
          <t>Segurança do Trabalho</t>
        </is>
      </c>
      <c r="B345" s="83">
        <f>INDEX(SETORES!$B:$B,MATCH(A345,SETORES!$A:$A,0))</f>
        <v/>
      </c>
      <c r="C345" s="74" t="inlineStr">
        <is>
          <t>Empresa Licenciada SOLON ARAUJO</t>
        </is>
      </c>
      <c r="D345" s="72">
        <f>IF(B345="Clientes",SUMIFS(PARÂMETROS!$D$8:$D$907,PARÂMETROS!$A$8:$A$907,C345,PARÂMETROS!$G$8:$G$907,J345),SUMIFS(PARÂMETROS!$E$8:$E$907,PARÂMETROS!$A$8:$A$907,C345,PARÂMETROS!$G$8:$G$907,J345))</f>
        <v/>
      </c>
      <c r="E345" s="84">
        <f>SUMIFS(SETORES!$D:$D,SETORES!$A:$A,A345,SETORES!$F:$F,J345)</f>
        <v/>
      </c>
      <c r="F345" s="84">
        <f>IFERROR(D345*E345,0)</f>
        <v/>
      </c>
      <c r="G345" s="72">
        <f>SUMIFS(PARÂMETROS!$F$8:$F$907,PARÂMETROS!$A$8:$A$907,C345,PARÂMETROS!$G$8:$G$907,J345)</f>
        <v/>
      </c>
      <c r="H345" s="84">
        <f>IFERROR(F345*G345,0)</f>
        <v/>
      </c>
      <c r="I345" s="84">
        <f>F345+H345</f>
        <v/>
      </c>
      <c r="J345" s="74" t="inlineStr">
        <is>
          <t>Maio/2026</t>
        </is>
      </c>
    </row>
    <row r="346" ht="14.25" customHeight="1" s="64">
      <c r="A346" s="106" t="inlineStr">
        <is>
          <t>Segurança do Trabalho</t>
        </is>
      </c>
      <c r="B346" s="106">
        <f>INDEX(SETORES!$B:$B,MATCH(A346,SETORES!$A:$A,0))</f>
        <v/>
      </c>
      <c r="C346" s="106" t="inlineStr">
        <is>
          <t>Empresa Licenciada SOARES E LINS</t>
        </is>
      </c>
      <c r="D346" s="77">
        <f>IF(B346="Clientes",SUMIFS(PARÂMETROS!$D$8:$D$907,PARÂMETROS!$A$8:$A$907,C346,PARÂMETROS!$G$8:$G$907,J346),SUMIFS(PARÂMETROS!$E$8:$E$907,PARÂMETROS!$A$8:$A$907,C346,PARÂMETROS!$G$8:$G$907,J346))</f>
        <v/>
      </c>
      <c r="E346" s="109">
        <f>SUMIFS(SETORES!$D:$D,SETORES!$A:$A,A346,SETORES!$F:$F,J346)</f>
        <v/>
      </c>
      <c r="F346" s="109">
        <f>IFERROR(D346*E346,0)</f>
        <v/>
      </c>
      <c r="G346" s="77">
        <f>SUMIFS(PARÂMETROS!$F$8:$F$907,PARÂMETROS!$A$8:$A$907,C346,PARÂMETROS!$G$8:$G$907,J346)</f>
        <v/>
      </c>
      <c r="H346" s="109">
        <f>IFERROR(F346*G346,0)</f>
        <v/>
      </c>
      <c r="I346" s="109">
        <f>F346+H346</f>
        <v/>
      </c>
      <c r="J346" s="106" t="inlineStr">
        <is>
          <t>Maio/2026</t>
        </is>
      </c>
    </row>
    <row r="347" hidden="1" ht="14.25" customHeight="1" s="64">
      <c r="A347" s="74" t="inlineStr">
        <is>
          <t>Segurança do Trabalho</t>
        </is>
      </c>
      <c r="B347" s="83">
        <f>INDEX(SETORES!$B:$B,MATCH(A347,SETORES!$A:$A,0))</f>
        <v/>
      </c>
      <c r="C347" s="74" t="inlineStr">
        <is>
          <t>Empresa Licenciada SOARES E SILVA</t>
        </is>
      </c>
      <c r="D347" s="72">
        <f>IF(B347="Clientes",SUMIFS(PARÂMETROS!$D$8:$D$907,PARÂMETROS!$A$8:$A$907,C347,PARÂMETROS!$G$8:$G$907,J347),SUMIFS(PARÂMETROS!$E$8:$E$907,PARÂMETROS!$A$8:$A$907,C347,PARÂMETROS!$G$8:$G$907,J347))</f>
        <v/>
      </c>
      <c r="E347" s="84">
        <f>SUMIFS(SETORES!$D:$D,SETORES!$A:$A,A347,SETORES!$F:$F,J347)</f>
        <v/>
      </c>
      <c r="F347" s="84">
        <f>IFERROR(D347*E347,0)</f>
        <v/>
      </c>
      <c r="G347" s="72">
        <f>SUMIFS(PARÂMETROS!$F$8:$F$907,PARÂMETROS!$A$8:$A$907,C347,PARÂMETROS!$G$8:$G$907,J347)</f>
        <v/>
      </c>
      <c r="H347" s="84">
        <f>IFERROR(F347*G347,0)</f>
        <v/>
      </c>
      <c r="I347" s="84">
        <f>F347+H347</f>
        <v/>
      </c>
      <c r="J347" s="74" t="inlineStr">
        <is>
          <t>Maio/2026</t>
        </is>
      </c>
    </row>
    <row r="348" hidden="1" ht="14.25" customHeight="1" s="64">
      <c r="A348" s="106" t="inlineStr">
        <is>
          <t>Segurança do Trabalho</t>
        </is>
      </c>
      <c r="B348" s="106">
        <f>INDEX(SETORES!$B:$B,MATCH(A348,SETORES!$A:$A,0))</f>
        <v/>
      </c>
      <c r="C348" s="106" t="inlineStr">
        <is>
          <t>Empresa Licenciada SOUZA E SILVA</t>
        </is>
      </c>
      <c r="D348" s="77">
        <f>IF(B348="Clientes",SUMIFS(PARÂMETROS!$D$8:$D$907,PARÂMETROS!$A$8:$A$907,C348,PARÂMETROS!$G$8:$G$907,J348),SUMIFS(PARÂMETROS!$E$8:$E$907,PARÂMETROS!$A$8:$A$907,C348,PARÂMETROS!$G$8:$G$907,J348))</f>
        <v/>
      </c>
      <c r="E348" s="109">
        <f>SUMIFS(SETORES!$D:$D,SETORES!$A:$A,A348,SETORES!$F:$F,J348)</f>
        <v/>
      </c>
      <c r="F348" s="109">
        <f>IFERROR(D348*E348,0)</f>
        <v/>
      </c>
      <c r="G348" s="77">
        <f>SUMIFS(PARÂMETROS!$F$8:$F$907,PARÂMETROS!$A$8:$A$907,C348,PARÂMETROS!$G$8:$G$907,J348)</f>
        <v/>
      </c>
      <c r="H348" s="109">
        <f>IFERROR(F348*G348,0)</f>
        <v/>
      </c>
      <c r="I348" s="109">
        <f>F348+H348</f>
        <v/>
      </c>
      <c r="J348" s="106" t="inlineStr">
        <is>
          <t>Maio/2026</t>
        </is>
      </c>
    </row>
    <row r="349" hidden="1" ht="14.25" customHeight="1" s="64">
      <c r="A349" s="74" t="inlineStr">
        <is>
          <t>Segurança do Trabalho</t>
        </is>
      </c>
      <c r="B349" s="83">
        <f>INDEX(SETORES!$B:$B,MATCH(A349,SETORES!$A:$A,0))</f>
        <v/>
      </c>
      <c r="C349" s="74" t="inlineStr">
        <is>
          <t>Empresa Licenciada VOICENET</t>
        </is>
      </c>
      <c r="D349" s="72">
        <f>IF(B349="Clientes",SUMIFS(PARÂMETROS!$D$8:$D$907,PARÂMETROS!$A$8:$A$907,C349,PARÂMETROS!$G$8:$G$907,J349),SUMIFS(PARÂMETROS!$E$8:$E$907,PARÂMETROS!$A$8:$A$907,C349,PARÂMETROS!$G$8:$G$907,J349))</f>
        <v/>
      </c>
      <c r="E349" s="84">
        <f>SUMIFS(SETORES!$D:$D,SETORES!$A:$A,A349,SETORES!$F:$F,J349)</f>
        <v/>
      </c>
      <c r="F349" s="84">
        <f>IFERROR(D349*E349,0)</f>
        <v/>
      </c>
      <c r="G349" s="72">
        <f>SUMIFS(PARÂMETROS!$F$8:$F$907,PARÂMETROS!$A$8:$A$907,C349,PARÂMETROS!$G$8:$G$907,J349)</f>
        <v/>
      </c>
      <c r="H349" s="84">
        <f>IFERROR(F349*G349,0)</f>
        <v/>
      </c>
      <c r="I349" s="84">
        <f>F349+H349</f>
        <v/>
      </c>
      <c r="J349" s="74" t="inlineStr">
        <is>
          <t>Maio/2026</t>
        </is>
      </c>
    </row>
    <row r="350" hidden="1" ht="14.25" customHeight="1" s="64">
      <c r="A350" s="106" t="inlineStr">
        <is>
          <t>Segurança do Trabalho</t>
        </is>
      </c>
      <c r="B350" s="106">
        <f>INDEX(SETORES!$B:$B,MATCH(A350,SETORES!$A:$A,0))</f>
        <v/>
      </c>
      <c r="C350" s="106" t="inlineStr">
        <is>
          <t>DTEL (uso próprio)</t>
        </is>
      </c>
      <c r="D350" s="77">
        <f>IF(B350="Clientes",SUMIFS(PARÂMETROS!$D$8:$D$907,PARÂMETROS!$A$8:$A$907,C350,PARÂMETROS!$G$8:$G$907,J350),SUMIFS(PARÂMETROS!$E$8:$E$907,PARÂMETROS!$A$8:$A$907,C350,PARÂMETROS!$G$8:$G$907,J350))</f>
        <v/>
      </c>
      <c r="E350" s="109">
        <f>SUMIFS(SETORES!$D:$D,SETORES!$A:$A,A350,SETORES!$F:$F,J350)</f>
        <v/>
      </c>
      <c r="F350" s="109">
        <f>IFERROR(D350*E350,0)</f>
        <v/>
      </c>
      <c r="G350" s="77">
        <f>SUMIFS(PARÂMETROS!$F$8:$F$907,PARÂMETROS!$A$8:$A$907,C350,PARÂMETROS!$G$8:$G$907,J350)</f>
        <v/>
      </c>
      <c r="H350" s="109">
        <f>IFERROR(F350*G350,0)</f>
        <v/>
      </c>
      <c r="I350" s="109">
        <f>F350+H350</f>
        <v/>
      </c>
      <c r="J350" s="106" t="inlineStr">
        <is>
          <t>Maio/2026</t>
        </is>
      </c>
    </row>
    <row r="351" hidden="1" ht="14.25" customHeight="1" s="64">
      <c r="A351" s="74" t="inlineStr">
        <is>
          <t>Engenharia</t>
        </is>
      </c>
      <c r="B351" s="83">
        <f>INDEX(SETORES!$B:$B,MATCH(A351,SETORES!$A:$A,0))</f>
        <v/>
      </c>
      <c r="C351" s="74" t="inlineStr">
        <is>
          <t>Empresa Licenciada DX2</t>
        </is>
      </c>
      <c r="D351" s="72">
        <f>IF(B351="Clientes",SUMIFS(PARÂMETROS!$D$8:$D$907,PARÂMETROS!$A$8:$A$907,C351,PARÂMETROS!$G$8:$G$907,J351),SUMIFS(PARÂMETROS!$E$8:$E$907,PARÂMETROS!$A$8:$A$907,C351,PARÂMETROS!$G$8:$G$907,J351))</f>
        <v/>
      </c>
      <c r="E351" s="84">
        <f>SUMIFS(SETORES!$D:$D,SETORES!$A:$A,A351,SETORES!$F:$F,J351)</f>
        <v/>
      </c>
      <c r="F351" s="84">
        <f>IFERROR(D351*E351,0)</f>
        <v/>
      </c>
      <c r="G351" s="72">
        <f>SUMIFS(PARÂMETROS!$F$8:$F$907,PARÂMETROS!$A$8:$A$907,C351,PARÂMETROS!$G$8:$G$907,J351)</f>
        <v/>
      </c>
      <c r="H351" s="84">
        <f>IFERROR(F351*G351,0)</f>
        <v/>
      </c>
      <c r="I351" s="84">
        <f>F351+H351</f>
        <v/>
      </c>
      <c r="J351" s="74" t="inlineStr">
        <is>
          <t>Maio/2026</t>
        </is>
      </c>
    </row>
    <row r="352" hidden="1" ht="14.25" customHeight="1" s="64">
      <c r="A352" s="106" t="inlineStr">
        <is>
          <t>Engenharia</t>
        </is>
      </c>
      <c r="B352" s="106">
        <f>INDEX(SETORES!$B:$B,MATCH(A352,SETORES!$A:$A,0))</f>
        <v/>
      </c>
      <c r="C352" s="106" t="inlineStr">
        <is>
          <t>Empresa Licenciada H&amp;A</t>
        </is>
      </c>
      <c r="D352" s="77">
        <f>IF(B352="Clientes",SUMIFS(PARÂMETROS!$D$8:$D$907,PARÂMETROS!$A$8:$A$907,C352,PARÂMETROS!$G$8:$G$907,J352),SUMIFS(PARÂMETROS!$E$8:$E$907,PARÂMETROS!$A$8:$A$907,C352,PARÂMETROS!$G$8:$G$907,J352))</f>
        <v/>
      </c>
      <c r="E352" s="109">
        <f>SUMIFS(SETORES!$D:$D,SETORES!$A:$A,A352,SETORES!$F:$F,J352)</f>
        <v/>
      </c>
      <c r="F352" s="109">
        <f>IFERROR(D352*E352,0)</f>
        <v/>
      </c>
      <c r="G352" s="77">
        <f>SUMIFS(PARÂMETROS!$F$8:$F$907,PARÂMETROS!$A$8:$A$907,C352,PARÂMETROS!$G$8:$G$907,J352)</f>
        <v/>
      </c>
      <c r="H352" s="109">
        <f>IFERROR(F352*G352,0)</f>
        <v/>
      </c>
      <c r="I352" s="109">
        <f>F352+H352</f>
        <v/>
      </c>
      <c r="J352" s="106" t="inlineStr">
        <is>
          <t>Maio/2026</t>
        </is>
      </c>
    </row>
    <row r="353" hidden="1" ht="14.25" customHeight="1" s="64">
      <c r="A353" s="74" t="inlineStr">
        <is>
          <t>Engenharia</t>
        </is>
      </c>
      <c r="B353" s="83">
        <f>INDEX(SETORES!$B:$B,MATCH(A353,SETORES!$A:$A,0))</f>
        <v/>
      </c>
      <c r="C353" s="74" t="inlineStr">
        <is>
          <t>Empresa Licenciada SOLON ARAUJO</t>
        </is>
      </c>
      <c r="D353" s="72">
        <f>IF(B353="Clientes",SUMIFS(PARÂMETROS!$D$8:$D$907,PARÂMETROS!$A$8:$A$907,C353,PARÂMETROS!$G$8:$G$907,J353),SUMIFS(PARÂMETROS!$E$8:$E$907,PARÂMETROS!$A$8:$A$907,C353,PARÂMETROS!$G$8:$G$907,J353))</f>
        <v/>
      </c>
      <c r="E353" s="84">
        <f>SUMIFS(SETORES!$D:$D,SETORES!$A:$A,A353,SETORES!$F:$F,J353)</f>
        <v/>
      </c>
      <c r="F353" s="84">
        <f>IFERROR(D353*E353,0)</f>
        <v/>
      </c>
      <c r="G353" s="72">
        <f>SUMIFS(PARÂMETROS!$F$8:$F$907,PARÂMETROS!$A$8:$A$907,C353,PARÂMETROS!$G$8:$G$907,J353)</f>
        <v/>
      </c>
      <c r="H353" s="84">
        <f>IFERROR(F353*G353,0)</f>
        <v/>
      </c>
      <c r="I353" s="84">
        <f>F353+H353</f>
        <v/>
      </c>
      <c r="J353" s="74" t="inlineStr">
        <is>
          <t>Maio/2026</t>
        </is>
      </c>
    </row>
    <row r="354" ht="14.25" customHeight="1" s="64">
      <c r="A354" s="106" t="inlineStr">
        <is>
          <t>Engenharia</t>
        </is>
      </c>
      <c r="B354" s="106">
        <f>INDEX(SETORES!$B:$B,MATCH(A354,SETORES!$A:$A,0))</f>
        <v/>
      </c>
      <c r="C354" s="106" t="inlineStr">
        <is>
          <t>Empresa Licenciada SOARES E LINS</t>
        </is>
      </c>
      <c r="D354" s="77">
        <f>IF(B354="Clientes",SUMIFS(PARÂMETROS!$D$8:$D$907,PARÂMETROS!$A$8:$A$907,C354,PARÂMETROS!$G$8:$G$907,J354),SUMIFS(PARÂMETROS!$E$8:$E$907,PARÂMETROS!$A$8:$A$907,C354,PARÂMETROS!$G$8:$G$907,J354))</f>
        <v/>
      </c>
      <c r="E354" s="109">
        <f>SUMIFS(SETORES!$D:$D,SETORES!$A:$A,A354,SETORES!$F:$F,J354)</f>
        <v/>
      </c>
      <c r="F354" s="109">
        <f>IFERROR(D354*E354,0)</f>
        <v/>
      </c>
      <c r="G354" s="77">
        <f>SUMIFS(PARÂMETROS!$F$8:$F$907,PARÂMETROS!$A$8:$A$907,C354,PARÂMETROS!$G$8:$G$907,J354)</f>
        <v/>
      </c>
      <c r="H354" s="109">
        <f>IFERROR(F354*G354,0)</f>
        <v/>
      </c>
      <c r="I354" s="109">
        <f>F354+H354</f>
        <v/>
      </c>
      <c r="J354" s="106" t="inlineStr">
        <is>
          <t>Maio/2026</t>
        </is>
      </c>
    </row>
    <row r="355" hidden="1" ht="14.25" customHeight="1" s="64">
      <c r="A355" s="74" t="inlineStr">
        <is>
          <t>Engenharia</t>
        </is>
      </c>
      <c r="B355" s="83">
        <f>INDEX(SETORES!$B:$B,MATCH(A355,SETORES!$A:$A,0))</f>
        <v/>
      </c>
      <c r="C355" s="74" t="inlineStr">
        <is>
          <t>Empresa Licenciada SOARES E SILVA</t>
        </is>
      </c>
      <c r="D355" s="72">
        <f>IF(B355="Clientes",SUMIFS(PARÂMETROS!$D$8:$D$907,PARÂMETROS!$A$8:$A$907,C355,PARÂMETROS!$G$8:$G$907,J355),SUMIFS(PARÂMETROS!$E$8:$E$907,PARÂMETROS!$A$8:$A$907,C355,PARÂMETROS!$G$8:$G$907,J355))</f>
        <v/>
      </c>
      <c r="E355" s="84">
        <f>SUMIFS(SETORES!$D:$D,SETORES!$A:$A,A355,SETORES!$F:$F,J355)</f>
        <v/>
      </c>
      <c r="F355" s="84">
        <f>IFERROR(D355*E355,0)</f>
        <v/>
      </c>
      <c r="G355" s="72">
        <f>SUMIFS(PARÂMETROS!$F$8:$F$907,PARÂMETROS!$A$8:$A$907,C355,PARÂMETROS!$G$8:$G$907,J355)</f>
        <v/>
      </c>
      <c r="H355" s="84">
        <f>IFERROR(F355*G355,0)</f>
        <v/>
      </c>
      <c r="I355" s="84">
        <f>F355+H355</f>
        <v/>
      </c>
      <c r="J355" s="74" t="inlineStr">
        <is>
          <t>Maio/2026</t>
        </is>
      </c>
    </row>
    <row r="356" hidden="1" ht="14.25" customHeight="1" s="64">
      <c r="A356" s="106" t="inlineStr">
        <is>
          <t>Engenharia</t>
        </is>
      </c>
      <c r="B356" s="106">
        <f>INDEX(SETORES!$B:$B,MATCH(A356,SETORES!$A:$A,0))</f>
        <v/>
      </c>
      <c r="C356" s="106" t="inlineStr">
        <is>
          <t>Empresa Licenciada SOUZA E SILVA</t>
        </is>
      </c>
      <c r="D356" s="77">
        <f>IF(B356="Clientes",SUMIFS(PARÂMETROS!$D$8:$D$907,PARÂMETROS!$A$8:$A$907,C356,PARÂMETROS!$G$8:$G$907,J356),SUMIFS(PARÂMETROS!$E$8:$E$907,PARÂMETROS!$A$8:$A$907,C356,PARÂMETROS!$G$8:$G$907,J356))</f>
        <v/>
      </c>
      <c r="E356" s="109">
        <f>SUMIFS(SETORES!$D:$D,SETORES!$A:$A,A356,SETORES!$F:$F,J356)</f>
        <v/>
      </c>
      <c r="F356" s="109">
        <f>IFERROR(D356*E356,0)</f>
        <v/>
      </c>
      <c r="G356" s="77">
        <f>SUMIFS(PARÂMETROS!$F$8:$F$907,PARÂMETROS!$A$8:$A$907,C356,PARÂMETROS!$G$8:$G$907,J356)</f>
        <v/>
      </c>
      <c r="H356" s="109">
        <f>IFERROR(F356*G356,0)</f>
        <v/>
      </c>
      <c r="I356" s="109">
        <f>F356+H356</f>
        <v/>
      </c>
      <c r="J356" s="106" t="inlineStr">
        <is>
          <t>Maio/2026</t>
        </is>
      </c>
    </row>
    <row r="357" hidden="1" ht="14.25" customHeight="1" s="64">
      <c r="A357" s="74" t="inlineStr">
        <is>
          <t>Engenharia</t>
        </is>
      </c>
      <c r="B357" s="83">
        <f>INDEX(SETORES!$B:$B,MATCH(A357,SETORES!$A:$A,0))</f>
        <v/>
      </c>
      <c r="C357" s="74" t="inlineStr">
        <is>
          <t>Empresa Licenciada VOICENET</t>
        </is>
      </c>
      <c r="D357" s="72">
        <f>IF(B357="Clientes",SUMIFS(PARÂMETROS!$D$8:$D$907,PARÂMETROS!$A$8:$A$907,C357,PARÂMETROS!$G$8:$G$907,J357),SUMIFS(PARÂMETROS!$E$8:$E$907,PARÂMETROS!$A$8:$A$907,C357,PARÂMETROS!$G$8:$G$907,J357))</f>
        <v/>
      </c>
      <c r="E357" s="84">
        <f>SUMIFS(SETORES!$D:$D,SETORES!$A:$A,A357,SETORES!$F:$F,J357)</f>
        <v/>
      </c>
      <c r="F357" s="84">
        <f>IFERROR(D357*E357,0)</f>
        <v/>
      </c>
      <c r="G357" s="72">
        <f>SUMIFS(PARÂMETROS!$F$8:$F$907,PARÂMETROS!$A$8:$A$907,C357,PARÂMETROS!$G$8:$G$907,J357)</f>
        <v/>
      </c>
      <c r="H357" s="84">
        <f>IFERROR(F357*G357,0)</f>
        <v/>
      </c>
      <c r="I357" s="84">
        <f>F357+H357</f>
        <v/>
      </c>
      <c r="J357" s="74" t="inlineStr">
        <is>
          <t>Maio/2026</t>
        </is>
      </c>
    </row>
    <row r="358" hidden="1" ht="14.25" customHeight="1" s="64">
      <c r="A358" s="106" t="inlineStr">
        <is>
          <t>Engenharia</t>
        </is>
      </c>
      <c r="B358" s="106">
        <f>INDEX(SETORES!$B:$B,MATCH(A358,SETORES!$A:$A,0))</f>
        <v/>
      </c>
      <c r="C358" s="106" t="inlineStr">
        <is>
          <t>DTEL (uso próprio)</t>
        </is>
      </c>
      <c r="D358" s="77">
        <f>IF(B358="Clientes",SUMIFS(PARÂMETROS!$D$8:$D$907,PARÂMETROS!$A$8:$A$907,C358,PARÂMETROS!$G$8:$G$907,J358),SUMIFS(PARÂMETROS!$E$8:$E$907,PARÂMETROS!$A$8:$A$907,C358,PARÂMETROS!$G$8:$G$907,J358))</f>
        <v/>
      </c>
      <c r="E358" s="109">
        <f>SUMIFS(SETORES!$D:$D,SETORES!$A:$A,A358,SETORES!$F:$F,J358)</f>
        <v/>
      </c>
      <c r="F358" s="109">
        <f>IFERROR(D358*E358,0)</f>
        <v/>
      </c>
      <c r="G358" s="77">
        <f>SUMIFS(PARÂMETROS!$F$8:$F$907,PARÂMETROS!$A$8:$A$907,C358,PARÂMETROS!$G$8:$G$907,J358)</f>
        <v/>
      </c>
      <c r="H358" s="109">
        <f>IFERROR(F358*G358,0)</f>
        <v/>
      </c>
      <c r="I358" s="109">
        <f>F358+H358</f>
        <v/>
      </c>
      <c r="J358" s="106" t="inlineStr">
        <is>
          <t>Maio/2026</t>
        </is>
      </c>
    </row>
    <row r="359" hidden="1" ht="14.25" customHeight="1" s="64">
      <c r="A359" s="74" t="inlineStr">
        <is>
          <t>Obras</t>
        </is>
      </c>
      <c r="B359" s="83">
        <f>INDEX(SETORES!$B:$B,MATCH(A359,SETORES!$A:$A,0))</f>
        <v/>
      </c>
      <c r="C359" s="74" t="inlineStr">
        <is>
          <t>Empresa Licenciada DX2</t>
        </is>
      </c>
      <c r="D359" s="72">
        <f>IF(B359="Clientes",SUMIFS(PARÂMETROS!$D$8:$D$907,PARÂMETROS!$A$8:$A$907,C359,PARÂMETROS!$G$8:$G$907,J359),SUMIFS(PARÂMETROS!$E$8:$E$907,PARÂMETROS!$A$8:$A$907,C359,PARÂMETROS!$G$8:$G$907,J359))</f>
        <v/>
      </c>
      <c r="E359" s="84">
        <f>SUMIFS(SETORES!$D:$D,SETORES!$A:$A,A359,SETORES!$F:$F,J359)</f>
        <v/>
      </c>
      <c r="F359" s="84">
        <f>IFERROR(D359*E359,0)</f>
        <v/>
      </c>
      <c r="G359" s="72">
        <f>SUMIFS(PARÂMETROS!$F$8:$F$907,PARÂMETROS!$A$8:$A$907,C359,PARÂMETROS!$G$8:$G$907,J359)</f>
        <v/>
      </c>
      <c r="H359" s="84">
        <f>IFERROR(F359*G359,0)</f>
        <v/>
      </c>
      <c r="I359" s="84">
        <f>F359+H359</f>
        <v/>
      </c>
      <c r="J359" s="74" t="inlineStr">
        <is>
          <t>Maio/2026</t>
        </is>
      </c>
    </row>
    <row r="360" hidden="1" ht="14.25" customHeight="1" s="64">
      <c r="A360" s="106" t="inlineStr">
        <is>
          <t>Obras</t>
        </is>
      </c>
      <c r="B360" s="106">
        <f>INDEX(SETORES!$B:$B,MATCH(A360,SETORES!$A:$A,0))</f>
        <v/>
      </c>
      <c r="C360" s="106" t="inlineStr">
        <is>
          <t>Empresa Licenciada H&amp;A</t>
        </is>
      </c>
      <c r="D360" s="77">
        <f>IF(B360="Clientes",SUMIFS(PARÂMETROS!$D$8:$D$907,PARÂMETROS!$A$8:$A$907,C360,PARÂMETROS!$G$8:$G$907,J360),SUMIFS(PARÂMETROS!$E$8:$E$907,PARÂMETROS!$A$8:$A$907,C360,PARÂMETROS!$G$8:$G$907,J360))</f>
        <v/>
      </c>
      <c r="E360" s="109">
        <f>SUMIFS(SETORES!$D:$D,SETORES!$A:$A,A360,SETORES!$F:$F,J360)</f>
        <v/>
      </c>
      <c r="F360" s="109">
        <f>IFERROR(D360*E360,0)</f>
        <v/>
      </c>
      <c r="G360" s="77">
        <f>SUMIFS(PARÂMETROS!$F$8:$F$907,PARÂMETROS!$A$8:$A$907,C360,PARÂMETROS!$G$8:$G$907,J360)</f>
        <v/>
      </c>
      <c r="H360" s="109">
        <f>IFERROR(F360*G360,0)</f>
        <v/>
      </c>
      <c r="I360" s="109">
        <f>F360+H360</f>
        <v/>
      </c>
      <c r="J360" s="106" t="inlineStr">
        <is>
          <t>Maio/2026</t>
        </is>
      </c>
    </row>
    <row r="361" hidden="1" ht="14.25" customHeight="1" s="64">
      <c r="A361" s="74" t="inlineStr">
        <is>
          <t>Obras</t>
        </is>
      </c>
      <c r="B361" s="83">
        <f>INDEX(SETORES!$B:$B,MATCH(A361,SETORES!$A:$A,0))</f>
        <v/>
      </c>
      <c r="C361" s="74" t="inlineStr">
        <is>
          <t>Empresa Licenciada SOLON ARAUJO</t>
        </is>
      </c>
      <c r="D361" s="72">
        <f>IF(B361="Clientes",SUMIFS(PARÂMETROS!$D$8:$D$907,PARÂMETROS!$A$8:$A$907,C361,PARÂMETROS!$G$8:$G$907,J361),SUMIFS(PARÂMETROS!$E$8:$E$907,PARÂMETROS!$A$8:$A$907,C361,PARÂMETROS!$G$8:$G$907,J361))</f>
        <v/>
      </c>
      <c r="E361" s="84">
        <f>SUMIFS(SETORES!$D:$D,SETORES!$A:$A,A361,SETORES!$F:$F,J361)</f>
        <v/>
      </c>
      <c r="F361" s="84">
        <f>IFERROR(D361*E361,0)</f>
        <v/>
      </c>
      <c r="G361" s="72">
        <f>SUMIFS(PARÂMETROS!$F$8:$F$907,PARÂMETROS!$A$8:$A$907,C361,PARÂMETROS!$G$8:$G$907,J361)</f>
        <v/>
      </c>
      <c r="H361" s="84">
        <f>IFERROR(F361*G361,0)</f>
        <v/>
      </c>
      <c r="I361" s="84">
        <f>F361+H361</f>
        <v/>
      </c>
      <c r="J361" s="74" t="inlineStr">
        <is>
          <t>Maio/2026</t>
        </is>
      </c>
    </row>
    <row r="362" ht="14.25" customHeight="1" s="64">
      <c r="A362" s="106" t="inlineStr">
        <is>
          <t>Obras</t>
        </is>
      </c>
      <c r="B362" s="106">
        <f>INDEX(SETORES!$B:$B,MATCH(A362,SETORES!$A:$A,0))</f>
        <v/>
      </c>
      <c r="C362" s="106" t="inlineStr">
        <is>
          <t>Empresa Licenciada SOARES E LINS</t>
        </is>
      </c>
      <c r="D362" s="77">
        <f>IF(B362="Clientes",SUMIFS(PARÂMETROS!$D$8:$D$907,PARÂMETROS!$A$8:$A$907,C362,PARÂMETROS!$G$8:$G$907,J362),SUMIFS(PARÂMETROS!$E$8:$E$907,PARÂMETROS!$A$8:$A$907,C362,PARÂMETROS!$G$8:$G$907,J362))</f>
        <v/>
      </c>
      <c r="E362" s="109">
        <f>SUMIFS(SETORES!$D:$D,SETORES!$A:$A,A362,SETORES!$F:$F,J362)</f>
        <v/>
      </c>
      <c r="F362" s="109">
        <f>IFERROR(D362*E362,0)</f>
        <v/>
      </c>
      <c r="G362" s="77">
        <f>SUMIFS(PARÂMETROS!$F$8:$F$907,PARÂMETROS!$A$8:$A$907,C362,PARÂMETROS!$G$8:$G$907,J362)</f>
        <v/>
      </c>
      <c r="H362" s="109">
        <f>IFERROR(F362*G362,0)</f>
        <v/>
      </c>
      <c r="I362" s="109">
        <f>F362+H362</f>
        <v/>
      </c>
      <c r="J362" s="106" t="inlineStr">
        <is>
          <t>Maio/2026</t>
        </is>
      </c>
    </row>
    <row r="363" hidden="1" ht="14.25" customHeight="1" s="64">
      <c r="A363" s="74" t="inlineStr">
        <is>
          <t>Obras</t>
        </is>
      </c>
      <c r="B363" s="83">
        <f>INDEX(SETORES!$B:$B,MATCH(A363,SETORES!$A:$A,0))</f>
        <v/>
      </c>
      <c r="C363" s="74" t="inlineStr">
        <is>
          <t>Empresa Licenciada SOARES E SILVA</t>
        </is>
      </c>
      <c r="D363" s="72">
        <f>IF(B363="Clientes",SUMIFS(PARÂMETROS!$D$8:$D$907,PARÂMETROS!$A$8:$A$907,C363,PARÂMETROS!$G$8:$G$907,J363),SUMIFS(PARÂMETROS!$E$8:$E$907,PARÂMETROS!$A$8:$A$907,C363,PARÂMETROS!$G$8:$G$907,J363))</f>
        <v/>
      </c>
      <c r="E363" s="84">
        <f>SUMIFS(SETORES!$D:$D,SETORES!$A:$A,A363,SETORES!$F:$F,J363)</f>
        <v/>
      </c>
      <c r="F363" s="84">
        <f>IFERROR(D363*E363,0)</f>
        <v/>
      </c>
      <c r="G363" s="72">
        <f>SUMIFS(PARÂMETROS!$F$8:$F$907,PARÂMETROS!$A$8:$A$907,C363,PARÂMETROS!$G$8:$G$907,J363)</f>
        <v/>
      </c>
      <c r="H363" s="84">
        <f>IFERROR(F363*G363,0)</f>
        <v/>
      </c>
      <c r="I363" s="84">
        <f>F363+H363</f>
        <v/>
      </c>
      <c r="J363" s="74" t="inlineStr">
        <is>
          <t>Maio/2026</t>
        </is>
      </c>
    </row>
    <row r="364" hidden="1" ht="14.25" customHeight="1" s="64">
      <c r="A364" s="106" t="inlineStr">
        <is>
          <t>Obras</t>
        </is>
      </c>
      <c r="B364" s="106">
        <f>INDEX(SETORES!$B:$B,MATCH(A364,SETORES!$A:$A,0))</f>
        <v/>
      </c>
      <c r="C364" s="106" t="inlineStr">
        <is>
          <t>Empresa Licenciada SOUZA E SILVA</t>
        </is>
      </c>
      <c r="D364" s="77">
        <f>IF(B364="Clientes",SUMIFS(PARÂMETROS!$D$8:$D$907,PARÂMETROS!$A$8:$A$907,C364,PARÂMETROS!$G$8:$G$907,J364),SUMIFS(PARÂMETROS!$E$8:$E$907,PARÂMETROS!$A$8:$A$907,C364,PARÂMETROS!$G$8:$G$907,J364))</f>
        <v/>
      </c>
      <c r="E364" s="109">
        <f>SUMIFS(SETORES!$D:$D,SETORES!$A:$A,A364,SETORES!$F:$F,J364)</f>
        <v/>
      </c>
      <c r="F364" s="109">
        <f>IFERROR(D364*E364,0)</f>
        <v/>
      </c>
      <c r="G364" s="77">
        <f>SUMIFS(PARÂMETROS!$F$8:$F$907,PARÂMETROS!$A$8:$A$907,C364,PARÂMETROS!$G$8:$G$907,J364)</f>
        <v/>
      </c>
      <c r="H364" s="109">
        <f>IFERROR(F364*G364,0)</f>
        <v/>
      </c>
      <c r="I364" s="109">
        <f>F364+H364</f>
        <v/>
      </c>
      <c r="J364" s="106" t="inlineStr">
        <is>
          <t>Maio/2026</t>
        </is>
      </c>
    </row>
    <row r="365" hidden="1" ht="14.25" customHeight="1" s="64">
      <c r="A365" s="74" t="inlineStr">
        <is>
          <t>Obras</t>
        </is>
      </c>
      <c r="B365" s="83">
        <f>INDEX(SETORES!$B:$B,MATCH(A365,SETORES!$A:$A,0))</f>
        <v/>
      </c>
      <c r="C365" s="74" t="inlineStr">
        <is>
          <t>Empresa Licenciada VOICENET</t>
        </is>
      </c>
      <c r="D365" s="72">
        <f>IF(B365="Clientes",SUMIFS(PARÂMETROS!$D$8:$D$907,PARÂMETROS!$A$8:$A$907,C365,PARÂMETROS!$G$8:$G$907,J365),SUMIFS(PARÂMETROS!$E$8:$E$907,PARÂMETROS!$A$8:$A$907,C365,PARÂMETROS!$G$8:$G$907,J365))</f>
        <v/>
      </c>
      <c r="E365" s="84">
        <f>SUMIFS(SETORES!$D:$D,SETORES!$A:$A,A365,SETORES!$F:$F,J365)</f>
        <v/>
      </c>
      <c r="F365" s="84">
        <f>IFERROR(D365*E365,0)</f>
        <v/>
      </c>
      <c r="G365" s="72">
        <f>SUMIFS(PARÂMETROS!$F$8:$F$907,PARÂMETROS!$A$8:$A$907,C365,PARÂMETROS!$G$8:$G$907,J365)</f>
        <v/>
      </c>
      <c r="H365" s="84">
        <f>IFERROR(F365*G365,0)</f>
        <v/>
      </c>
      <c r="I365" s="84">
        <f>F365+H365</f>
        <v/>
      </c>
      <c r="J365" s="74" t="inlineStr">
        <is>
          <t>Maio/2026</t>
        </is>
      </c>
    </row>
    <row r="366" hidden="1" ht="14.25" customHeight="1" s="64">
      <c r="A366" s="106" t="inlineStr">
        <is>
          <t>Obras</t>
        </is>
      </c>
      <c r="B366" s="106">
        <f>INDEX(SETORES!$B:$B,MATCH(A366,SETORES!$A:$A,0))</f>
        <v/>
      </c>
      <c r="C366" s="106" t="inlineStr">
        <is>
          <t>DTEL (uso próprio)</t>
        </is>
      </c>
      <c r="D366" s="77">
        <f>IF(B366="Clientes",SUMIFS(PARÂMETROS!$D$8:$D$907,PARÂMETROS!$A$8:$A$907,C366,PARÂMETROS!$G$8:$G$907,J366),SUMIFS(PARÂMETROS!$E$8:$E$907,PARÂMETROS!$A$8:$A$907,C366,PARÂMETROS!$G$8:$G$907,J366))</f>
        <v/>
      </c>
      <c r="E366" s="109">
        <f>SUMIFS(SETORES!$D:$D,SETORES!$A:$A,A366,SETORES!$F:$F,J366)</f>
        <v/>
      </c>
      <c r="F366" s="109">
        <f>IFERROR(D366*E366,0)</f>
        <v/>
      </c>
      <c r="G366" s="77">
        <f>SUMIFS(PARÂMETROS!$F$8:$F$907,PARÂMETROS!$A$8:$A$907,C366,PARÂMETROS!$G$8:$G$907,J366)</f>
        <v/>
      </c>
      <c r="H366" s="109">
        <f>IFERROR(F366*G366,0)</f>
        <v/>
      </c>
      <c r="I366" s="109">
        <f>F366+H366</f>
        <v/>
      </c>
      <c r="J366" s="106" t="inlineStr">
        <is>
          <t>Maio/2026</t>
        </is>
      </c>
    </row>
    <row r="367" hidden="1" ht="14.25" customHeight="1" s="64">
      <c r="A367" s="74" t="inlineStr">
        <is>
          <t>Manutenção Predial</t>
        </is>
      </c>
      <c r="B367" s="83">
        <f>INDEX(SETORES!$B:$B,MATCH(A367,SETORES!$A:$A,0))</f>
        <v/>
      </c>
      <c r="C367" s="74" t="inlineStr">
        <is>
          <t>Empresa Licenciada DX2</t>
        </is>
      </c>
      <c r="D367" s="72">
        <f>IF(B367="Clientes",SUMIFS(PARÂMETROS!$D$8:$D$907,PARÂMETROS!$A$8:$A$907,C367,PARÂMETROS!$G$8:$G$907,J367),SUMIFS(PARÂMETROS!$E$8:$E$907,PARÂMETROS!$A$8:$A$907,C367,PARÂMETROS!$G$8:$G$907,J367))</f>
        <v/>
      </c>
      <c r="E367" s="84">
        <f>SUMIFS(SETORES!$D:$D,SETORES!$A:$A,A367,SETORES!$F:$F,J367)</f>
        <v/>
      </c>
      <c r="F367" s="84">
        <f>IFERROR(D367*E367,0)</f>
        <v/>
      </c>
      <c r="G367" s="72">
        <f>SUMIFS(PARÂMETROS!$F$8:$F$907,PARÂMETROS!$A$8:$A$907,C367,PARÂMETROS!$G$8:$G$907,J367)</f>
        <v/>
      </c>
      <c r="H367" s="84">
        <f>IFERROR(F367*G367,0)</f>
        <v/>
      </c>
      <c r="I367" s="84">
        <f>F367+H367</f>
        <v/>
      </c>
      <c r="J367" s="74" t="inlineStr">
        <is>
          <t>Maio/2026</t>
        </is>
      </c>
    </row>
    <row r="368" hidden="1" ht="14.25" customHeight="1" s="64">
      <c r="A368" s="106" t="inlineStr">
        <is>
          <t>Manutenção Predial</t>
        </is>
      </c>
      <c r="B368" s="106">
        <f>INDEX(SETORES!$B:$B,MATCH(A368,SETORES!$A:$A,0))</f>
        <v/>
      </c>
      <c r="C368" s="106" t="inlineStr">
        <is>
          <t>Empresa Licenciada H&amp;A</t>
        </is>
      </c>
      <c r="D368" s="77">
        <f>IF(B368="Clientes",SUMIFS(PARÂMETROS!$D$8:$D$907,PARÂMETROS!$A$8:$A$907,C368,PARÂMETROS!$G$8:$G$907,J368),SUMIFS(PARÂMETROS!$E$8:$E$907,PARÂMETROS!$A$8:$A$907,C368,PARÂMETROS!$G$8:$G$907,J368))</f>
        <v/>
      </c>
      <c r="E368" s="109">
        <f>SUMIFS(SETORES!$D:$D,SETORES!$A:$A,A368,SETORES!$F:$F,J368)</f>
        <v/>
      </c>
      <c r="F368" s="109">
        <f>IFERROR(D368*E368,0)</f>
        <v/>
      </c>
      <c r="G368" s="77">
        <f>SUMIFS(PARÂMETROS!$F$8:$F$907,PARÂMETROS!$A$8:$A$907,C368,PARÂMETROS!$G$8:$G$907,J368)</f>
        <v/>
      </c>
      <c r="H368" s="109">
        <f>IFERROR(F368*G368,0)</f>
        <v/>
      </c>
      <c r="I368" s="109">
        <f>F368+H368</f>
        <v/>
      </c>
      <c r="J368" s="106" t="inlineStr">
        <is>
          <t>Maio/2026</t>
        </is>
      </c>
    </row>
    <row r="369" hidden="1" ht="14.25" customHeight="1" s="64">
      <c r="A369" s="74" t="inlineStr">
        <is>
          <t>Manutenção Predial</t>
        </is>
      </c>
      <c r="B369" s="83">
        <f>INDEX(SETORES!$B:$B,MATCH(A369,SETORES!$A:$A,0))</f>
        <v/>
      </c>
      <c r="C369" s="74" t="inlineStr">
        <is>
          <t>Empresa Licenciada SOLON ARAUJO</t>
        </is>
      </c>
      <c r="D369" s="72">
        <f>IF(B369="Clientes",SUMIFS(PARÂMETROS!$D$8:$D$907,PARÂMETROS!$A$8:$A$907,C369,PARÂMETROS!$G$8:$G$907,J369),SUMIFS(PARÂMETROS!$E$8:$E$907,PARÂMETROS!$A$8:$A$907,C369,PARÂMETROS!$G$8:$G$907,J369))</f>
        <v/>
      </c>
      <c r="E369" s="84">
        <f>SUMIFS(SETORES!$D:$D,SETORES!$A:$A,A369,SETORES!$F:$F,J369)</f>
        <v/>
      </c>
      <c r="F369" s="84">
        <f>IFERROR(D369*E369,0)</f>
        <v/>
      </c>
      <c r="G369" s="72">
        <f>SUMIFS(PARÂMETROS!$F$8:$F$907,PARÂMETROS!$A$8:$A$907,C369,PARÂMETROS!$G$8:$G$907,J369)</f>
        <v/>
      </c>
      <c r="H369" s="84">
        <f>IFERROR(F369*G369,0)</f>
        <v/>
      </c>
      <c r="I369" s="84">
        <f>F369+H369</f>
        <v/>
      </c>
      <c r="J369" s="74" t="inlineStr">
        <is>
          <t>Maio/2026</t>
        </is>
      </c>
    </row>
    <row r="370" ht="14.25" customHeight="1" s="64">
      <c r="A370" s="106" t="inlineStr">
        <is>
          <t>Manutenção Predial</t>
        </is>
      </c>
      <c r="B370" s="106">
        <f>INDEX(SETORES!$B:$B,MATCH(A370,SETORES!$A:$A,0))</f>
        <v/>
      </c>
      <c r="C370" s="106" t="inlineStr">
        <is>
          <t>Empresa Licenciada SOARES E LINS</t>
        </is>
      </c>
      <c r="D370" s="77">
        <f>IF(B370="Clientes",SUMIFS(PARÂMETROS!$D$8:$D$907,PARÂMETROS!$A$8:$A$907,C370,PARÂMETROS!$G$8:$G$907,J370),SUMIFS(PARÂMETROS!$E$8:$E$907,PARÂMETROS!$A$8:$A$907,C370,PARÂMETROS!$G$8:$G$907,J370))</f>
        <v/>
      </c>
      <c r="E370" s="109">
        <f>SUMIFS(SETORES!$D:$D,SETORES!$A:$A,A370,SETORES!$F:$F,J370)</f>
        <v/>
      </c>
      <c r="F370" s="109">
        <f>IFERROR(D370*E370,0)</f>
        <v/>
      </c>
      <c r="G370" s="77">
        <f>SUMIFS(PARÂMETROS!$F$8:$F$907,PARÂMETROS!$A$8:$A$907,C370,PARÂMETROS!$G$8:$G$907,J370)</f>
        <v/>
      </c>
      <c r="H370" s="109">
        <f>IFERROR(F370*G370,0)</f>
        <v/>
      </c>
      <c r="I370" s="109">
        <f>F370+H370</f>
        <v/>
      </c>
      <c r="J370" s="106" t="inlineStr">
        <is>
          <t>Maio/2026</t>
        </is>
      </c>
    </row>
    <row r="371" hidden="1" ht="14.25" customHeight="1" s="64">
      <c r="A371" s="74" t="inlineStr">
        <is>
          <t>Manutenção Predial</t>
        </is>
      </c>
      <c r="B371" s="83">
        <f>INDEX(SETORES!$B:$B,MATCH(A371,SETORES!$A:$A,0))</f>
        <v/>
      </c>
      <c r="C371" s="74" t="inlineStr">
        <is>
          <t>Empresa Licenciada SOARES E SILVA</t>
        </is>
      </c>
      <c r="D371" s="72">
        <f>IF(B371="Clientes",SUMIFS(PARÂMETROS!$D$8:$D$907,PARÂMETROS!$A$8:$A$907,C371,PARÂMETROS!$G$8:$G$907,J371),SUMIFS(PARÂMETROS!$E$8:$E$907,PARÂMETROS!$A$8:$A$907,C371,PARÂMETROS!$G$8:$G$907,J371))</f>
        <v/>
      </c>
      <c r="E371" s="84">
        <f>SUMIFS(SETORES!$D:$D,SETORES!$A:$A,A371,SETORES!$F:$F,J371)</f>
        <v/>
      </c>
      <c r="F371" s="84">
        <f>IFERROR(D371*E371,0)</f>
        <v/>
      </c>
      <c r="G371" s="72">
        <f>SUMIFS(PARÂMETROS!$F$8:$F$907,PARÂMETROS!$A$8:$A$907,C371,PARÂMETROS!$G$8:$G$907,J371)</f>
        <v/>
      </c>
      <c r="H371" s="84">
        <f>IFERROR(F371*G371,0)</f>
        <v/>
      </c>
      <c r="I371" s="84">
        <f>F371+H371</f>
        <v/>
      </c>
      <c r="J371" s="74" t="inlineStr">
        <is>
          <t>Maio/2026</t>
        </is>
      </c>
    </row>
    <row r="372" hidden="1" ht="14.25" customHeight="1" s="64">
      <c r="A372" s="106" t="inlineStr">
        <is>
          <t>Manutenção Predial</t>
        </is>
      </c>
      <c r="B372" s="106">
        <f>INDEX(SETORES!$B:$B,MATCH(A372,SETORES!$A:$A,0))</f>
        <v/>
      </c>
      <c r="C372" s="106" t="inlineStr">
        <is>
          <t>Empresa Licenciada SOUZA E SILVA</t>
        </is>
      </c>
      <c r="D372" s="77">
        <f>IF(B372="Clientes",SUMIFS(PARÂMETROS!$D$8:$D$907,PARÂMETROS!$A$8:$A$907,C372,PARÂMETROS!$G$8:$G$907,J372),SUMIFS(PARÂMETROS!$E$8:$E$907,PARÂMETROS!$A$8:$A$907,C372,PARÂMETROS!$G$8:$G$907,J372))</f>
        <v/>
      </c>
      <c r="E372" s="109">
        <f>SUMIFS(SETORES!$D:$D,SETORES!$A:$A,A372,SETORES!$F:$F,J372)</f>
        <v/>
      </c>
      <c r="F372" s="109">
        <f>IFERROR(D372*E372,0)</f>
        <v/>
      </c>
      <c r="G372" s="77">
        <f>SUMIFS(PARÂMETROS!$F$8:$F$907,PARÂMETROS!$A$8:$A$907,C372,PARÂMETROS!$G$8:$G$907,J372)</f>
        <v/>
      </c>
      <c r="H372" s="109">
        <f>IFERROR(F372*G372,0)</f>
        <v/>
      </c>
      <c r="I372" s="109">
        <f>F372+H372</f>
        <v/>
      </c>
      <c r="J372" s="106" t="inlineStr">
        <is>
          <t>Maio/2026</t>
        </is>
      </c>
    </row>
    <row r="373" hidden="1" ht="14.25" customHeight="1" s="64">
      <c r="A373" s="74" t="inlineStr">
        <is>
          <t>Manutenção Predial</t>
        </is>
      </c>
      <c r="B373" s="83">
        <f>INDEX(SETORES!$B:$B,MATCH(A373,SETORES!$A:$A,0))</f>
        <v/>
      </c>
      <c r="C373" s="74" t="inlineStr">
        <is>
          <t>Empresa Licenciada VOICENET</t>
        </is>
      </c>
      <c r="D373" s="72">
        <f>IF(B373="Clientes",SUMIFS(PARÂMETROS!$D$8:$D$907,PARÂMETROS!$A$8:$A$907,C373,PARÂMETROS!$G$8:$G$907,J373),SUMIFS(PARÂMETROS!$E$8:$E$907,PARÂMETROS!$A$8:$A$907,C373,PARÂMETROS!$G$8:$G$907,J373))</f>
        <v/>
      </c>
      <c r="E373" s="84">
        <f>SUMIFS(SETORES!$D:$D,SETORES!$A:$A,A373,SETORES!$F:$F,J373)</f>
        <v/>
      </c>
      <c r="F373" s="84">
        <f>IFERROR(D373*E373,0)</f>
        <v/>
      </c>
      <c r="G373" s="72">
        <f>SUMIFS(PARÂMETROS!$F$8:$F$907,PARÂMETROS!$A$8:$A$907,C373,PARÂMETROS!$G$8:$G$907,J373)</f>
        <v/>
      </c>
      <c r="H373" s="84">
        <f>IFERROR(F373*G373,0)</f>
        <v/>
      </c>
      <c r="I373" s="84">
        <f>F373+H373</f>
        <v/>
      </c>
      <c r="J373" s="74" t="inlineStr">
        <is>
          <t>Maio/2026</t>
        </is>
      </c>
    </row>
    <row r="374" hidden="1" ht="14.25" customHeight="1" s="64">
      <c r="A374" s="106" t="inlineStr">
        <is>
          <t>Manutenção Predial</t>
        </is>
      </c>
      <c r="B374" s="106">
        <f>INDEX(SETORES!$B:$B,MATCH(A374,SETORES!$A:$A,0))</f>
        <v/>
      </c>
      <c r="C374" s="106" t="inlineStr">
        <is>
          <t>DTEL (uso próprio)</t>
        </is>
      </c>
      <c r="D374" s="77">
        <f>IF(B374="Clientes",SUMIFS(PARÂMETROS!$D$8:$D$907,PARÂMETROS!$A$8:$A$907,C374,PARÂMETROS!$G$8:$G$907,J374),SUMIFS(PARÂMETROS!$E$8:$E$907,PARÂMETROS!$A$8:$A$907,C374,PARÂMETROS!$G$8:$G$907,J374))</f>
        <v/>
      </c>
      <c r="E374" s="109">
        <f>SUMIFS(SETORES!$D:$D,SETORES!$A:$A,A374,SETORES!$F:$F,J374)</f>
        <v/>
      </c>
      <c r="F374" s="109">
        <f>IFERROR(D374*E374,0)</f>
        <v/>
      </c>
      <c r="G374" s="77">
        <f>SUMIFS(PARÂMETROS!$F$8:$F$907,PARÂMETROS!$A$8:$A$907,C374,PARÂMETROS!$G$8:$G$907,J374)</f>
        <v/>
      </c>
      <c r="H374" s="109">
        <f>IFERROR(F374*G374,0)</f>
        <v/>
      </c>
      <c r="I374" s="109">
        <f>F374+H374</f>
        <v/>
      </c>
      <c r="J374" s="106" t="inlineStr">
        <is>
          <t>Maio/2026</t>
        </is>
      </c>
    </row>
    <row r="375" hidden="1" ht="14.25" customHeight="1" s="64">
      <c r="A375" s="74" t="inlineStr">
        <is>
          <t>Logística</t>
        </is>
      </c>
      <c r="B375" s="83">
        <f>INDEX(SETORES!$B:$B,MATCH(A375,SETORES!$A:$A,0))</f>
        <v/>
      </c>
      <c r="C375" s="74" t="inlineStr">
        <is>
          <t>Empresa Licenciada DX2</t>
        </is>
      </c>
      <c r="D375" s="72">
        <f>IF(B375="Clientes",SUMIFS(PARÂMETROS!$D$8:$D$907,PARÂMETROS!$A$8:$A$907,C375,PARÂMETROS!$G$8:$G$907,J375),SUMIFS(PARÂMETROS!$E$8:$E$907,PARÂMETROS!$A$8:$A$907,C375,PARÂMETROS!$G$8:$G$907,J375))</f>
        <v/>
      </c>
      <c r="E375" s="84">
        <f>SUMIFS(SETORES!$D:$D,SETORES!$A:$A,A375,SETORES!$F:$F,J375)</f>
        <v/>
      </c>
      <c r="F375" s="84">
        <f>IFERROR(D375*E375,0)</f>
        <v/>
      </c>
      <c r="G375" s="72">
        <f>SUMIFS(PARÂMETROS!$F$8:$F$907,PARÂMETROS!$A$8:$A$907,C375,PARÂMETROS!$G$8:$G$907,J375)</f>
        <v/>
      </c>
      <c r="H375" s="84">
        <f>IFERROR(F375*G375,0)</f>
        <v/>
      </c>
      <c r="I375" s="84">
        <f>F375+H375</f>
        <v/>
      </c>
      <c r="J375" s="74" t="inlineStr">
        <is>
          <t>Maio/2026</t>
        </is>
      </c>
    </row>
    <row r="376" hidden="1" ht="14.25" customHeight="1" s="64">
      <c r="A376" s="106" t="inlineStr">
        <is>
          <t>Logística</t>
        </is>
      </c>
      <c r="B376" s="106">
        <f>INDEX(SETORES!$B:$B,MATCH(A376,SETORES!$A:$A,0))</f>
        <v/>
      </c>
      <c r="C376" s="106" t="inlineStr">
        <is>
          <t>Empresa Licenciada H&amp;A</t>
        </is>
      </c>
      <c r="D376" s="77">
        <f>IF(B376="Clientes",SUMIFS(PARÂMETROS!$D$8:$D$907,PARÂMETROS!$A$8:$A$907,C376,PARÂMETROS!$G$8:$G$907,J376),SUMIFS(PARÂMETROS!$E$8:$E$907,PARÂMETROS!$A$8:$A$907,C376,PARÂMETROS!$G$8:$G$907,J376))</f>
        <v/>
      </c>
      <c r="E376" s="109">
        <f>SUMIFS(SETORES!$D:$D,SETORES!$A:$A,A376,SETORES!$F:$F,J376)</f>
        <v/>
      </c>
      <c r="F376" s="109">
        <f>IFERROR(D376*E376,0)</f>
        <v/>
      </c>
      <c r="G376" s="77">
        <f>SUMIFS(PARÂMETROS!$F$8:$F$907,PARÂMETROS!$A$8:$A$907,C376,PARÂMETROS!$G$8:$G$907,J376)</f>
        <v/>
      </c>
      <c r="H376" s="109">
        <f>IFERROR(F376*G376,0)</f>
        <v/>
      </c>
      <c r="I376" s="109">
        <f>F376+H376</f>
        <v/>
      </c>
      <c r="J376" s="106" t="inlineStr">
        <is>
          <t>Maio/2026</t>
        </is>
      </c>
    </row>
    <row r="377" hidden="1" ht="14.25" customHeight="1" s="64">
      <c r="A377" s="74" t="inlineStr">
        <is>
          <t>Logística</t>
        </is>
      </c>
      <c r="B377" s="83">
        <f>INDEX(SETORES!$B:$B,MATCH(A377,SETORES!$A:$A,0))</f>
        <v/>
      </c>
      <c r="C377" s="74" t="inlineStr">
        <is>
          <t>Empresa Licenciada SOLON ARAUJO</t>
        </is>
      </c>
      <c r="D377" s="72">
        <f>IF(B377="Clientes",SUMIFS(PARÂMETROS!$D$8:$D$907,PARÂMETROS!$A$8:$A$907,C377,PARÂMETROS!$G$8:$G$907,J377),SUMIFS(PARÂMETROS!$E$8:$E$907,PARÂMETROS!$A$8:$A$907,C377,PARÂMETROS!$G$8:$G$907,J377))</f>
        <v/>
      </c>
      <c r="E377" s="84">
        <f>SUMIFS(SETORES!$D:$D,SETORES!$A:$A,A377,SETORES!$F:$F,J377)</f>
        <v/>
      </c>
      <c r="F377" s="84">
        <f>IFERROR(D377*E377,0)</f>
        <v/>
      </c>
      <c r="G377" s="72">
        <f>SUMIFS(PARÂMETROS!$F$8:$F$907,PARÂMETROS!$A$8:$A$907,C377,PARÂMETROS!$G$8:$G$907,J377)</f>
        <v/>
      </c>
      <c r="H377" s="84">
        <f>IFERROR(F377*G377,0)</f>
        <v/>
      </c>
      <c r="I377" s="84">
        <f>F377+H377</f>
        <v/>
      </c>
      <c r="J377" s="74" t="inlineStr">
        <is>
          <t>Maio/2026</t>
        </is>
      </c>
    </row>
    <row r="378" ht="14.25" customHeight="1" s="64">
      <c r="A378" s="106" t="inlineStr">
        <is>
          <t>Logística</t>
        </is>
      </c>
      <c r="B378" s="106">
        <f>INDEX(SETORES!$B:$B,MATCH(A378,SETORES!$A:$A,0))</f>
        <v/>
      </c>
      <c r="C378" s="106" t="inlineStr">
        <is>
          <t>Empresa Licenciada SOARES E LINS</t>
        </is>
      </c>
      <c r="D378" s="77">
        <f>IF(B378="Clientes",SUMIFS(PARÂMETROS!$D$8:$D$907,PARÂMETROS!$A$8:$A$907,C378,PARÂMETROS!$G$8:$G$907,J378),SUMIFS(PARÂMETROS!$E$8:$E$907,PARÂMETROS!$A$8:$A$907,C378,PARÂMETROS!$G$8:$G$907,J378))</f>
        <v/>
      </c>
      <c r="E378" s="109">
        <f>SUMIFS(SETORES!$D:$D,SETORES!$A:$A,A378,SETORES!$F:$F,J378)</f>
        <v/>
      </c>
      <c r="F378" s="109">
        <f>IFERROR(D378*E378,0)</f>
        <v/>
      </c>
      <c r="G378" s="77">
        <f>SUMIFS(PARÂMETROS!$F$8:$F$907,PARÂMETROS!$A$8:$A$907,C378,PARÂMETROS!$G$8:$G$907,J378)</f>
        <v/>
      </c>
      <c r="H378" s="109">
        <f>IFERROR(F378*G378,0)</f>
        <v/>
      </c>
      <c r="I378" s="109">
        <f>F378+H378</f>
        <v/>
      </c>
      <c r="J378" s="106" t="inlineStr">
        <is>
          <t>Maio/2026</t>
        </is>
      </c>
    </row>
    <row r="379" hidden="1" ht="14.25" customHeight="1" s="64">
      <c r="A379" s="74" t="inlineStr">
        <is>
          <t>Logística</t>
        </is>
      </c>
      <c r="B379" s="83">
        <f>INDEX(SETORES!$B:$B,MATCH(A379,SETORES!$A:$A,0))</f>
        <v/>
      </c>
      <c r="C379" s="74" t="inlineStr">
        <is>
          <t>Empresa Licenciada SOARES E SILVA</t>
        </is>
      </c>
      <c r="D379" s="72">
        <f>IF(B379="Clientes",SUMIFS(PARÂMETROS!$D$8:$D$907,PARÂMETROS!$A$8:$A$907,C379,PARÂMETROS!$G$8:$G$907,J379),SUMIFS(PARÂMETROS!$E$8:$E$907,PARÂMETROS!$A$8:$A$907,C379,PARÂMETROS!$G$8:$G$907,J379))</f>
        <v/>
      </c>
      <c r="E379" s="84">
        <f>SUMIFS(SETORES!$D:$D,SETORES!$A:$A,A379,SETORES!$F:$F,J379)</f>
        <v/>
      </c>
      <c r="F379" s="84">
        <f>IFERROR(D379*E379,0)</f>
        <v/>
      </c>
      <c r="G379" s="72">
        <f>SUMIFS(PARÂMETROS!$F$8:$F$907,PARÂMETROS!$A$8:$A$907,C379,PARÂMETROS!$G$8:$G$907,J379)</f>
        <v/>
      </c>
      <c r="H379" s="84">
        <f>IFERROR(F379*G379,0)</f>
        <v/>
      </c>
      <c r="I379" s="84">
        <f>F379+H379</f>
        <v/>
      </c>
      <c r="J379" s="74" t="inlineStr">
        <is>
          <t>Maio/2026</t>
        </is>
      </c>
    </row>
    <row r="380" hidden="1" ht="14.25" customHeight="1" s="64">
      <c r="A380" s="106" t="inlineStr">
        <is>
          <t>Logística</t>
        </is>
      </c>
      <c r="B380" s="106">
        <f>INDEX(SETORES!$B:$B,MATCH(A380,SETORES!$A:$A,0))</f>
        <v/>
      </c>
      <c r="C380" s="106" t="inlineStr">
        <is>
          <t>Empresa Licenciada SOUZA E SILVA</t>
        </is>
      </c>
      <c r="D380" s="77">
        <f>IF(B380="Clientes",SUMIFS(PARÂMETROS!$D$8:$D$907,PARÂMETROS!$A$8:$A$907,C380,PARÂMETROS!$G$8:$G$907,J380),SUMIFS(PARÂMETROS!$E$8:$E$907,PARÂMETROS!$A$8:$A$907,C380,PARÂMETROS!$G$8:$G$907,J380))</f>
        <v/>
      </c>
      <c r="E380" s="109">
        <f>SUMIFS(SETORES!$D:$D,SETORES!$A:$A,A380,SETORES!$F:$F,J380)</f>
        <v/>
      </c>
      <c r="F380" s="109">
        <f>IFERROR(D380*E380,0)</f>
        <v/>
      </c>
      <c r="G380" s="77">
        <f>SUMIFS(PARÂMETROS!$F$8:$F$907,PARÂMETROS!$A$8:$A$907,C380,PARÂMETROS!$G$8:$G$907,J380)</f>
        <v/>
      </c>
      <c r="H380" s="109">
        <f>IFERROR(F380*G380,0)</f>
        <v/>
      </c>
      <c r="I380" s="109">
        <f>F380+H380</f>
        <v/>
      </c>
      <c r="J380" s="106" t="inlineStr">
        <is>
          <t>Maio/2026</t>
        </is>
      </c>
    </row>
    <row r="381" hidden="1" ht="14.25" customHeight="1" s="64">
      <c r="A381" s="74" t="inlineStr">
        <is>
          <t>Logística</t>
        </is>
      </c>
      <c r="B381" s="83">
        <f>INDEX(SETORES!$B:$B,MATCH(A381,SETORES!$A:$A,0))</f>
        <v/>
      </c>
      <c r="C381" s="74" t="inlineStr">
        <is>
          <t>Empresa Licenciada VOICENET</t>
        </is>
      </c>
      <c r="D381" s="72">
        <f>IF(B381="Clientes",SUMIFS(PARÂMETROS!$D$8:$D$907,PARÂMETROS!$A$8:$A$907,C381,PARÂMETROS!$G$8:$G$907,J381),SUMIFS(PARÂMETROS!$E$8:$E$907,PARÂMETROS!$A$8:$A$907,C381,PARÂMETROS!$G$8:$G$907,J381))</f>
        <v/>
      </c>
      <c r="E381" s="84">
        <f>SUMIFS(SETORES!$D:$D,SETORES!$A:$A,A381,SETORES!$F:$F,J381)</f>
        <v/>
      </c>
      <c r="F381" s="84">
        <f>IFERROR(D381*E381,0)</f>
        <v/>
      </c>
      <c r="G381" s="72">
        <f>SUMIFS(PARÂMETROS!$F$8:$F$907,PARÂMETROS!$A$8:$A$907,C381,PARÂMETROS!$G$8:$G$907,J381)</f>
        <v/>
      </c>
      <c r="H381" s="84">
        <f>IFERROR(F381*G381,0)</f>
        <v/>
      </c>
      <c r="I381" s="84">
        <f>F381+H381</f>
        <v/>
      </c>
      <c r="J381" s="74" t="inlineStr">
        <is>
          <t>Maio/2026</t>
        </is>
      </c>
    </row>
    <row r="382" hidden="1" ht="14.25" customHeight="1" s="64">
      <c r="A382" s="106" t="inlineStr">
        <is>
          <t>Logística</t>
        </is>
      </c>
      <c r="B382" s="106">
        <f>INDEX(SETORES!$B:$B,MATCH(A382,SETORES!$A:$A,0))</f>
        <v/>
      </c>
      <c r="C382" s="106" t="inlineStr">
        <is>
          <t>DTEL (uso próprio)</t>
        </is>
      </c>
      <c r="D382" s="77">
        <f>IF(B382="Clientes",SUMIFS(PARÂMETROS!$D$8:$D$907,PARÂMETROS!$A$8:$A$907,C382,PARÂMETROS!$G$8:$G$907,J382),SUMIFS(PARÂMETROS!$E$8:$E$907,PARÂMETROS!$A$8:$A$907,C382,PARÂMETROS!$G$8:$G$907,J382))</f>
        <v/>
      </c>
      <c r="E382" s="109">
        <f>SUMIFS(SETORES!$D:$D,SETORES!$A:$A,A382,SETORES!$F:$F,J382)</f>
        <v/>
      </c>
      <c r="F382" s="109">
        <f>IFERROR(D382*E382,0)</f>
        <v/>
      </c>
      <c r="G382" s="77">
        <f>SUMIFS(PARÂMETROS!$F$8:$F$907,PARÂMETROS!$A$8:$A$907,C382,PARÂMETROS!$G$8:$G$907,J382)</f>
        <v/>
      </c>
      <c r="H382" s="109">
        <f>IFERROR(F382*G382,0)</f>
        <v/>
      </c>
      <c r="I382" s="109">
        <f>F382+H382</f>
        <v/>
      </c>
      <c r="J382" s="106" t="inlineStr">
        <is>
          <t>Maio/2026</t>
        </is>
      </c>
    </row>
    <row r="383" hidden="1" ht="14.25" customHeight="1" s="64">
      <c r="A383" s="74" t="inlineStr">
        <is>
          <t>Oficina</t>
        </is>
      </c>
      <c r="B383" s="83">
        <f>INDEX(SETORES!$B:$B,MATCH(A383,SETORES!$A:$A,0))</f>
        <v/>
      </c>
      <c r="C383" s="74" t="inlineStr">
        <is>
          <t>Empresa Licenciada DX2</t>
        </is>
      </c>
      <c r="D383" s="72">
        <f>IF(B383="Clientes",SUMIFS(PARÂMETROS!$D$8:$D$907,PARÂMETROS!$A$8:$A$907,C383,PARÂMETROS!$G$8:$G$907,J383),SUMIFS(PARÂMETROS!$E$8:$E$907,PARÂMETROS!$A$8:$A$907,C383,PARÂMETROS!$G$8:$G$907,J383))</f>
        <v/>
      </c>
      <c r="E383" s="84">
        <f>SUMIFS(SETORES!$D:$D,SETORES!$A:$A,A383,SETORES!$F:$F,J383)</f>
        <v/>
      </c>
      <c r="F383" s="84">
        <f>IFERROR(D383*E383,0)</f>
        <v/>
      </c>
      <c r="G383" s="72">
        <f>SUMIFS(PARÂMETROS!$F$8:$F$907,PARÂMETROS!$A$8:$A$907,C383,PARÂMETROS!$G$8:$G$907,J383)</f>
        <v/>
      </c>
      <c r="H383" s="84">
        <f>IFERROR(F383*G383,0)</f>
        <v/>
      </c>
      <c r="I383" s="84">
        <f>F383+H383</f>
        <v/>
      </c>
      <c r="J383" s="74" t="inlineStr">
        <is>
          <t>Maio/2026</t>
        </is>
      </c>
    </row>
    <row r="384" hidden="1" ht="14.25" customHeight="1" s="64">
      <c r="A384" s="106" t="inlineStr">
        <is>
          <t>Oficina</t>
        </is>
      </c>
      <c r="B384" s="106">
        <f>INDEX(SETORES!$B:$B,MATCH(A384,SETORES!$A:$A,0))</f>
        <v/>
      </c>
      <c r="C384" s="106" t="inlineStr">
        <is>
          <t>Empresa Licenciada H&amp;A</t>
        </is>
      </c>
      <c r="D384" s="77">
        <f>IF(B384="Clientes",SUMIFS(PARÂMETROS!$D$8:$D$907,PARÂMETROS!$A$8:$A$907,C384,PARÂMETROS!$G$8:$G$907,J384),SUMIFS(PARÂMETROS!$E$8:$E$907,PARÂMETROS!$A$8:$A$907,C384,PARÂMETROS!$G$8:$G$907,J384))</f>
        <v/>
      </c>
      <c r="E384" s="109">
        <f>SUMIFS(SETORES!$D:$D,SETORES!$A:$A,A384,SETORES!$F:$F,J384)</f>
        <v/>
      </c>
      <c r="F384" s="109">
        <f>IFERROR(D384*E384,0)</f>
        <v/>
      </c>
      <c r="G384" s="77">
        <f>SUMIFS(PARÂMETROS!$F$8:$F$907,PARÂMETROS!$A$8:$A$907,C384,PARÂMETROS!$G$8:$G$907,J384)</f>
        <v/>
      </c>
      <c r="H384" s="109">
        <f>IFERROR(F384*G384,0)</f>
        <v/>
      </c>
      <c r="I384" s="109">
        <f>F384+H384</f>
        <v/>
      </c>
      <c r="J384" s="106" t="inlineStr">
        <is>
          <t>Maio/2026</t>
        </is>
      </c>
    </row>
    <row r="385" hidden="1" ht="14.25" customHeight="1" s="64">
      <c r="A385" s="74" t="inlineStr">
        <is>
          <t>Oficina</t>
        </is>
      </c>
      <c r="B385" s="83">
        <f>INDEX(SETORES!$B:$B,MATCH(A385,SETORES!$A:$A,0))</f>
        <v/>
      </c>
      <c r="C385" s="74" t="inlineStr">
        <is>
          <t>Empresa Licenciada SOLON ARAUJO</t>
        </is>
      </c>
      <c r="D385" s="72">
        <f>IF(B385="Clientes",SUMIFS(PARÂMETROS!$D$8:$D$907,PARÂMETROS!$A$8:$A$907,C385,PARÂMETROS!$G$8:$G$907,J385),SUMIFS(PARÂMETROS!$E$8:$E$907,PARÂMETROS!$A$8:$A$907,C385,PARÂMETROS!$G$8:$G$907,J385))</f>
        <v/>
      </c>
      <c r="E385" s="84">
        <f>SUMIFS(SETORES!$D:$D,SETORES!$A:$A,A385,SETORES!$F:$F,J385)</f>
        <v/>
      </c>
      <c r="F385" s="84">
        <f>IFERROR(D385*E385,0)</f>
        <v/>
      </c>
      <c r="G385" s="72">
        <f>SUMIFS(PARÂMETROS!$F$8:$F$907,PARÂMETROS!$A$8:$A$907,C385,PARÂMETROS!$G$8:$G$907,J385)</f>
        <v/>
      </c>
      <c r="H385" s="84">
        <f>IFERROR(F385*G385,0)</f>
        <v/>
      </c>
      <c r="I385" s="84">
        <f>F385+H385</f>
        <v/>
      </c>
      <c r="J385" s="74" t="inlineStr">
        <is>
          <t>Maio/2026</t>
        </is>
      </c>
    </row>
    <row r="386" ht="14.25" customHeight="1" s="64">
      <c r="A386" s="106" t="inlineStr">
        <is>
          <t>Oficina</t>
        </is>
      </c>
      <c r="B386" s="106">
        <f>INDEX(SETORES!$B:$B,MATCH(A386,SETORES!$A:$A,0))</f>
        <v/>
      </c>
      <c r="C386" s="106" t="inlineStr">
        <is>
          <t>Empresa Licenciada SOARES E LINS</t>
        </is>
      </c>
      <c r="D386" s="77">
        <f>IF(B386="Clientes",SUMIFS(PARÂMETROS!$D$8:$D$907,PARÂMETROS!$A$8:$A$907,C386,PARÂMETROS!$G$8:$G$907,J386),SUMIFS(PARÂMETROS!$E$8:$E$907,PARÂMETROS!$A$8:$A$907,C386,PARÂMETROS!$G$8:$G$907,J386))</f>
        <v/>
      </c>
      <c r="E386" s="109">
        <f>SUMIFS(SETORES!$D:$D,SETORES!$A:$A,A386,SETORES!$F:$F,J386)</f>
        <v/>
      </c>
      <c r="F386" s="109">
        <f>IFERROR(D386*E386,0)</f>
        <v/>
      </c>
      <c r="G386" s="77">
        <f>SUMIFS(PARÂMETROS!$F$8:$F$907,PARÂMETROS!$A$8:$A$907,C386,PARÂMETROS!$G$8:$G$907,J386)</f>
        <v/>
      </c>
      <c r="H386" s="109">
        <f>IFERROR(F386*G386,0)</f>
        <v/>
      </c>
      <c r="I386" s="109">
        <f>F386+H386</f>
        <v/>
      </c>
      <c r="J386" s="106" t="inlineStr">
        <is>
          <t>Maio/2026</t>
        </is>
      </c>
    </row>
    <row r="387" hidden="1" ht="14.25" customHeight="1" s="64">
      <c r="A387" s="74" t="inlineStr">
        <is>
          <t>Oficina</t>
        </is>
      </c>
      <c r="B387" s="83">
        <f>INDEX(SETORES!$B:$B,MATCH(A387,SETORES!$A:$A,0))</f>
        <v/>
      </c>
      <c r="C387" s="74" t="inlineStr">
        <is>
          <t>Empresa Licenciada SOARES E SILVA</t>
        </is>
      </c>
      <c r="D387" s="72">
        <f>IF(B387="Clientes",SUMIFS(PARÂMETROS!$D$8:$D$907,PARÂMETROS!$A$8:$A$907,C387,PARÂMETROS!$G$8:$G$907,J387),SUMIFS(PARÂMETROS!$E$8:$E$907,PARÂMETROS!$A$8:$A$907,C387,PARÂMETROS!$G$8:$G$907,J387))</f>
        <v/>
      </c>
      <c r="E387" s="84">
        <f>SUMIFS(SETORES!$D:$D,SETORES!$A:$A,A387,SETORES!$F:$F,J387)</f>
        <v/>
      </c>
      <c r="F387" s="84">
        <f>IFERROR(D387*E387,0)</f>
        <v/>
      </c>
      <c r="G387" s="72">
        <f>SUMIFS(PARÂMETROS!$F$8:$F$907,PARÂMETROS!$A$8:$A$907,C387,PARÂMETROS!$G$8:$G$907,J387)</f>
        <v/>
      </c>
      <c r="H387" s="84">
        <f>IFERROR(F387*G387,0)</f>
        <v/>
      </c>
      <c r="I387" s="84">
        <f>F387+H387</f>
        <v/>
      </c>
      <c r="J387" s="74" t="inlineStr">
        <is>
          <t>Maio/2026</t>
        </is>
      </c>
    </row>
    <row r="388" hidden="1" ht="14.25" customHeight="1" s="64">
      <c r="A388" s="106" t="inlineStr">
        <is>
          <t>Oficina</t>
        </is>
      </c>
      <c r="B388" s="106">
        <f>INDEX(SETORES!$B:$B,MATCH(A388,SETORES!$A:$A,0))</f>
        <v/>
      </c>
      <c r="C388" s="106" t="inlineStr">
        <is>
          <t>Empresa Licenciada SOUZA E SILVA</t>
        </is>
      </c>
      <c r="D388" s="77">
        <f>IF(B388="Clientes",SUMIFS(PARÂMETROS!$D$8:$D$907,PARÂMETROS!$A$8:$A$907,C388,PARÂMETROS!$G$8:$G$907,J388),SUMIFS(PARÂMETROS!$E$8:$E$907,PARÂMETROS!$A$8:$A$907,C388,PARÂMETROS!$G$8:$G$907,J388))</f>
        <v/>
      </c>
      <c r="E388" s="109">
        <f>SUMIFS(SETORES!$D:$D,SETORES!$A:$A,A388,SETORES!$F:$F,J388)</f>
        <v/>
      </c>
      <c r="F388" s="109">
        <f>IFERROR(D388*E388,0)</f>
        <v/>
      </c>
      <c r="G388" s="77">
        <f>SUMIFS(PARÂMETROS!$F$8:$F$907,PARÂMETROS!$A$8:$A$907,C388,PARÂMETROS!$G$8:$G$907,J388)</f>
        <v/>
      </c>
      <c r="H388" s="109">
        <f>IFERROR(F388*G388,0)</f>
        <v/>
      </c>
      <c r="I388" s="109">
        <f>F388+H388</f>
        <v/>
      </c>
      <c r="J388" s="106" t="inlineStr">
        <is>
          <t>Maio/2026</t>
        </is>
      </c>
    </row>
    <row r="389" hidden="1" ht="14.25" customHeight="1" s="64">
      <c r="A389" s="74" t="inlineStr">
        <is>
          <t>Oficina</t>
        </is>
      </c>
      <c r="B389" s="83">
        <f>INDEX(SETORES!$B:$B,MATCH(A389,SETORES!$A:$A,0))</f>
        <v/>
      </c>
      <c r="C389" s="74" t="inlineStr">
        <is>
          <t>Empresa Licenciada VOICENET</t>
        </is>
      </c>
      <c r="D389" s="72">
        <f>IF(B389="Clientes",SUMIFS(PARÂMETROS!$D$8:$D$907,PARÂMETROS!$A$8:$A$907,C389,PARÂMETROS!$G$8:$G$907,J389),SUMIFS(PARÂMETROS!$E$8:$E$907,PARÂMETROS!$A$8:$A$907,C389,PARÂMETROS!$G$8:$G$907,J389))</f>
        <v/>
      </c>
      <c r="E389" s="84">
        <f>SUMIFS(SETORES!$D:$D,SETORES!$A:$A,A389,SETORES!$F:$F,J389)</f>
        <v/>
      </c>
      <c r="F389" s="84">
        <f>IFERROR(D389*E389,0)</f>
        <v/>
      </c>
      <c r="G389" s="72">
        <f>SUMIFS(PARÂMETROS!$F$8:$F$907,PARÂMETROS!$A$8:$A$907,C389,PARÂMETROS!$G$8:$G$907,J389)</f>
        <v/>
      </c>
      <c r="H389" s="84">
        <f>IFERROR(F389*G389,0)</f>
        <v/>
      </c>
      <c r="I389" s="84">
        <f>F389+H389</f>
        <v/>
      </c>
      <c r="J389" s="74" t="inlineStr">
        <is>
          <t>Maio/2026</t>
        </is>
      </c>
    </row>
    <row r="390" hidden="1" ht="14.25" customHeight="1" s="64">
      <c r="A390" s="106" t="inlineStr">
        <is>
          <t>Oficina</t>
        </is>
      </c>
      <c r="B390" s="106">
        <f>INDEX(SETORES!$B:$B,MATCH(A390,SETORES!$A:$A,0))</f>
        <v/>
      </c>
      <c r="C390" s="106" t="inlineStr">
        <is>
          <t>DTEL (uso próprio)</t>
        </is>
      </c>
      <c r="D390" s="77">
        <f>IF(B390="Clientes",SUMIFS(PARÂMETROS!$D$8:$D$907,PARÂMETROS!$A$8:$A$907,C390,PARÂMETROS!$G$8:$G$907,J390),SUMIFS(PARÂMETROS!$E$8:$E$907,PARÂMETROS!$A$8:$A$907,C390,PARÂMETROS!$G$8:$G$907,J390))</f>
        <v/>
      </c>
      <c r="E390" s="109">
        <f>SUMIFS(SETORES!$D:$D,SETORES!$A:$A,A390,SETORES!$F:$F,J390)</f>
        <v/>
      </c>
      <c r="F390" s="109">
        <f>IFERROR(D390*E390,0)</f>
        <v/>
      </c>
      <c r="G390" s="77">
        <f>SUMIFS(PARÂMETROS!$F$8:$F$907,PARÂMETROS!$A$8:$A$907,C390,PARÂMETROS!$G$8:$G$907,J390)</f>
        <v/>
      </c>
      <c r="H390" s="109">
        <f>IFERROR(F390*G390,0)</f>
        <v/>
      </c>
      <c r="I390" s="109">
        <f>F390+H390</f>
        <v/>
      </c>
      <c r="J390" s="106" t="inlineStr">
        <is>
          <t>Maio/2026</t>
        </is>
      </c>
    </row>
    <row r="391" hidden="1" ht="14.25" customHeight="1" s="64">
      <c r="A391" s="74" t="inlineStr">
        <is>
          <t>Estoque</t>
        </is>
      </c>
      <c r="B391" s="83">
        <f>INDEX(SETORES!$B:$B,MATCH(A391,SETORES!$A:$A,0))</f>
        <v/>
      </c>
      <c r="C391" s="74" t="inlineStr">
        <is>
          <t>Empresa Licenciada DX2</t>
        </is>
      </c>
      <c r="D391" s="72">
        <f>IF(B391="Clientes",SUMIFS(PARÂMETROS!$D$8:$D$907,PARÂMETROS!$A$8:$A$907,C391,PARÂMETROS!$G$8:$G$907,J391),SUMIFS(PARÂMETROS!$E$8:$E$907,PARÂMETROS!$A$8:$A$907,C391,PARÂMETROS!$G$8:$G$907,J391))</f>
        <v/>
      </c>
      <c r="E391" s="84">
        <f>SUMIFS(SETORES!$D:$D,SETORES!$A:$A,A391,SETORES!$F:$F,J391)</f>
        <v/>
      </c>
      <c r="F391" s="84">
        <f>IFERROR(D391*E391,0)</f>
        <v/>
      </c>
      <c r="G391" s="72">
        <f>SUMIFS(PARÂMETROS!$F$8:$F$907,PARÂMETROS!$A$8:$A$907,C391,PARÂMETROS!$G$8:$G$907,J391)</f>
        <v/>
      </c>
      <c r="H391" s="84">
        <f>IFERROR(F391*G391,0)</f>
        <v/>
      </c>
      <c r="I391" s="84">
        <f>F391+H391</f>
        <v/>
      </c>
      <c r="J391" s="74" t="inlineStr">
        <is>
          <t>Maio/2026</t>
        </is>
      </c>
    </row>
    <row r="392" hidden="1" ht="14.25" customHeight="1" s="64">
      <c r="A392" s="106" t="inlineStr">
        <is>
          <t>Estoque</t>
        </is>
      </c>
      <c r="B392" s="106">
        <f>INDEX(SETORES!$B:$B,MATCH(A392,SETORES!$A:$A,0))</f>
        <v/>
      </c>
      <c r="C392" s="106" t="inlineStr">
        <is>
          <t>Empresa Licenciada H&amp;A</t>
        </is>
      </c>
      <c r="D392" s="77">
        <f>IF(B392="Clientes",SUMIFS(PARÂMETROS!$D$8:$D$907,PARÂMETROS!$A$8:$A$907,C392,PARÂMETROS!$G$8:$G$907,J392),SUMIFS(PARÂMETROS!$E$8:$E$907,PARÂMETROS!$A$8:$A$907,C392,PARÂMETROS!$G$8:$G$907,J392))</f>
        <v/>
      </c>
      <c r="E392" s="109">
        <f>SUMIFS(SETORES!$D:$D,SETORES!$A:$A,A392,SETORES!$F:$F,J392)</f>
        <v/>
      </c>
      <c r="F392" s="109">
        <f>IFERROR(D392*E392,0)</f>
        <v/>
      </c>
      <c r="G392" s="77">
        <f>SUMIFS(PARÂMETROS!$F$8:$F$907,PARÂMETROS!$A$8:$A$907,C392,PARÂMETROS!$G$8:$G$907,J392)</f>
        <v/>
      </c>
      <c r="H392" s="109">
        <f>IFERROR(F392*G392,0)</f>
        <v/>
      </c>
      <c r="I392" s="109">
        <f>F392+H392</f>
        <v/>
      </c>
      <c r="J392" s="106" t="inlineStr">
        <is>
          <t>Maio/2026</t>
        </is>
      </c>
    </row>
    <row r="393" hidden="1" ht="14.25" customHeight="1" s="64">
      <c r="A393" s="74" t="inlineStr">
        <is>
          <t>Estoque</t>
        </is>
      </c>
      <c r="B393" s="83">
        <f>INDEX(SETORES!$B:$B,MATCH(A393,SETORES!$A:$A,0))</f>
        <v/>
      </c>
      <c r="C393" s="74" t="inlineStr">
        <is>
          <t>Empresa Licenciada SOLON ARAUJO</t>
        </is>
      </c>
      <c r="D393" s="72">
        <f>IF(B393="Clientes",SUMIFS(PARÂMETROS!$D$8:$D$907,PARÂMETROS!$A$8:$A$907,C393,PARÂMETROS!$G$8:$G$907,J393),SUMIFS(PARÂMETROS!$E$8:$E$907,PARÂMETROS!$A$8:$A$907,C393,PARÂMETROS!$G$8:$G$907,J393))</f>
        <v/>
      </c>
      <c r="E393" s="84">
        <f>SUMIFS(SETORES!$D:$D,SETORES!$A:$A,A393,SETORES!$F:$F,J393)</f>
        <v/>
      </c>
      <c r="F393" s="84">
        <f>IFERROR(D393*E393,0)</f>
        <v/>
      </c>
      <c r="G393" s="72">
        <f>SUMIFS(PARÂMETROS!$F$8:$F$907,PARÂMETROS!$A$8:$A$907,C393,PARÂMETROS!$G$8:$G$907,J393)</f>
        <v/>
      </c>
      <c r="H393" s="84">
        <f>IFERROR(F393*G393,0)</f>
        <v/>
      </c>
      <c r="I393" s="84">
        <f>F393+H393</f>
        <v/>
      </c>
      <c r="J393" s="74" t="inlineStr">
        <is>
          <t>Maio/2026</t>
        </is>
      </c>
    </row>
    <row r="394" ht="14.25" customHeight="1" s="64">
      <c r="A394" s="106" t="inlineStr">
        <is>
          <t>Estoque</t>
        </is>
      </c>
      <c r="B394" s="106">
        <f>INDEX(SETORES!$B:$B,MATCH(A394,SETORES!$A:$A,0))</f>
        <v/>
      </c>
      <c r="C394" s="106" t="inlineStr">
        <is>
          <t>Empresa Licenciada SOARES E LINS</t>
        </is>
      </c>
      <c r="D394" s="77">
        <f>IF(B394="Clientes",SUMIFS(PARÂMETROS!$D$8:$D$907,PARÂMETROS!$A$8:$A$907,C394,PARÂMETROS!$G$8:$G$907,J394),SUMIFS(PARÂMETROS!$E$8:$E$907,PARÂMETROS!$A$8:$A$907,C394,PARÂMETROS!$G$8:$G$907,J394))</f>
        <v/>
      </c>
      <c r="E394" s="109">
        <f>SUMIFS(SETORES!$D:$D,SETORES!$A:$A,A394,SETORES!$F:$F,J394)</f>
        <v/>
      </c>
      <c r="F394" s="109">
        <f>IFERROR(D394*E394,0)</f>
        <v/>
      </c>
      <c r="G394" s="77">
        <f>SUMIFS(PARÂMETROS!$F$8:$F$907,PARÂMETROS!$A$8:$A$907,C394,PARÂMETROS!$G$8:$G$907,J394)</f>
        <v/>
      </c>
      <c r="H394" s="109">
        <f>IFERROR(F394*G394,0)</f>
        <v/>
      </c>
      <c r="I394" s="109">
        <f>F394+H394</f>
        <v/>
      </c>
      <c r="J394" s="106" t="inlineStr">
        <is>
          <t>Maio/2026</t>
        </is>
      </c>
    </row>
    <row r="395" hidden="1" ht="14.25" customHeight="1" s="64">
      <c r="A395" s="74" t="inlineStr">
        <is>
          <t>Estoque</t>
        </is>
      </c>
      <c r="B395" s="83">
        <f>INDEX(SETORES!$B:$B,MATCH(A395,SETORES!$A:$A,0))</f>
        <v/>
      </c>
      <c r="C395" s="74" t="inlineStr">
        <is>
          <t>Empresa Licenciada SOARES E SILVA</t>
        </is>
      </c>
      <c r="D395" s="72">
        <f>IF(B395="Clientes",SUMIFS(PARÂMETROS!$D$8:$D$907,PARÂMETROS!$A$8:$A$907,C395,PARÂMETROS!$G$8:$G$907,J395),SUMIFS(PARÂMETROS!$E$8:$E$907,PARÂMETROS!$A$8:$A$907,C395,PARÂMETROS!$G$8:$G$907,J395))</f>
        <v/>
      </c>
      <c r="E395" s="84">
        <f>SUMIFS(SETORES!$D:$D,SETORES!$A:$A,A395,SETORES!$F:$F,J395)</f>
        <v/>
      </c>
      <c r="F395" s="84">
        <f>IFERROR(D395*E395,0)</f>
        <v/>
      </c>
      <c r="G395" s="72">
        <f>SUMIFS(PARÂMETROS!$F$8:$F$907,PARÂMETROS!$A$8:$A$907,C395,PARÂMETROS!$G$8:$G$907,J395)</f>
        <v/>
      </c>
      <c r="H395" s="84">
        <f>IFERROR(F395*G395,0)</f>
        <v/>
      </c>
      <c r="I395" s="84">
        <f>F395+H395</f>
        <v/>
      </c>
      <c r="J395" s="74" t="inlineStr">
        <is>
          <t>Maio/2026</t>
        </is>
      </c>
    </row>
    <row r="396" hidden="1" ht="14.25" customHeight="1" s="64">
      <c r="A396" s="106" t="inlineStr">
        <is>
          <t>Estoque</t>
        </is>
      </c>
      <c r="B396" s="106">
        <f>INDEX(SETORES!$B:$B,MATCH(A396,SETORES!$A:$A,0))</f>
        <v/>
      </c>
      <c r="C396" s="106" t="inlineStr">
        <is>
          <t>Empresa Licenciada SOUZA E SILVA</t>
        </is>
      </c>
      <c r="D396" s="77">
        <f>IF(B396="Clientes",SUMIFS(PARÂMETROS!$D$8:$D$907,PARÂMETROS!$A$8:$A$907,C396,PARÂMETROS!$G$8:$G$907,J396),SUMIFS(PARÂMETROS!$E$8:$E$907,PARÂMETROS!$A$8:$A$907,C396,PARÂMETROS!$G$8:$G$907,J396))</f>
        <v/>
      </c>
      <c r="E396" s="109">
        <f>SUMIFS(SETORES!$D:$D,SETORES!$A:$A,A396,SETORES!$F:$F,J396)</f>
        <v/>
      </c>
      <c r="F396" s="109">
        <f>IFERROR(D396*E396,0)</f>
        <v/>
      </c>
      <c r="G396" s="77">
        <f>SUMIFS(PARÂMETROS!$F$8:$F$907,PARÂMETROS!$A$8:$A$907,C396,PARÂMETROS!$G$8:$G$907,J396)</f>
        <v/>
      </c>
      <c r="H396" s="109">
        <f>IFERROR(F396*G396,0)</f>
        <v/>
      </c>
      <c r="I396" s="109">
        <f>F396+H396</f>
        <v/>
      </c>
      <c r="J396" s="106" t="inlineStr">
        <is>
          <t>Maio/2026</t>
        </is>
      </c>
    </row>
    <row r="397" hidden="1" ht="14.25" customHeight="1" s="64">
      <c r="A397" s="74" t="inlineStr">
        <is>
          <t>Estoque</t>
        </is>
      </c>
      <c r="B397" s="83">
        <f>INDEX(SETORES!$B:$B,MATCH(A397,SETORES!$A:$A,0))</f>
        <v/>
      </c>
      <c r="C397" s="74" t="inlineStr">
        <is>
          <t>Empresa Licenciada VOICENET</t>
        </is>
      </c>
      <c r="D397" s="72">
        <f>IF(B397="Clientes",SUMIFS(PARÂMETROS!$D$8:$D$907,PARÂMETROS!$A$8:$A$907,C397,PARÂMETROS!$G$8:$G$907,J397),SUMIFS(PARÂMETROS!$E$8:$E$907,PARÂMETROS!$A$8:$A$907,C397,PARÂMETROS!$G$8:$G$907,J397))</f>
        <v/>
      </c>
      <c r="E397" s="84">
        <f>SUMIFS(SETORES!$D:$D,SETORES!$A:$A,A397,SETORES!$F:$F,J397)</f>
        <v/>
      </c>
      <c r="F397" s="84">
        <f>IFERROR(D397*E397,0)</f>
        <v/>
      </c>
      <c r="G397" s="72">
        <f>SUMIFS(PARÂMETROS!$F$8:$F$907,PARÂMETROS!$A$8:$A$907,C397,PARÂMETROS!$G$8:$G$907,J397)</f>
        <v/>
      </c>
      <c r="H397" s="84">
        <f>IFERROR(F397*G397,0)</f>
        <v/>
      </c>
      <c r="I397" s="84">
        <f>F397+H397</f>
        <v/>
      </c>
      <c r="J397" s="74" t="inlineStr">
        <is>
          <t>Maio/2026</t>
        </is>
      </c>
    </row>
    <row r="398" hidden="1" ht="14.25" customHeight="1" s="64">
      <c r="A398" s="106" t="inlineStr">
        <is>
          <t>Estoque</t>
        </is>
      </c>
      <c r="B398" s="106">
        <f>INDEX(SETORES!$B:$B,MATCH(A398,SETORES!$A:$A,0))</f>
        <v/>
      </c>
      <c r="C398" s="106" t="inlineStr">
        <is>
          <t>DTEL (uso próprio)</t>
        </is>
      </c>
      <c r="D398" s="77">
        <f>IF(B398="Clientes",SUMIFS(PARÂMETROS!$D$8:$D$907,PARÂMETROS!$A$8:$A$907,C398,PARÂMETROS!$G$8:$G$907,J398),SUMIFS(PARÂMETROS!$E$8:$E$907,PARÂMETROS!$A$8:$A$907,C398,PARÂMETROS!$G$8:$G$907,J398))</f>
        <v/>
      </c>
      <c r="E398" s="109">
        <f>SUMIFS(SETORES!$D:$D,SETORES!$A:$A,A398,SETORES!$F:$F,J398)</f>
        <v/>
      </c>
      <c r="F398" s="109">
        <f>IFERROR(D398*E398,0)</f>
        <v/>
      </c>
      <c r="G398" s="77">
        <f>SUMIFS(PARÂMETROS!$F$8:$F$907,PARÂMETROS!$A$8:$A$907,C398,PARÂMETROS!$G$8:$G$907,J398)</f>
        <v/>
      </c>
      <c r="H398" s="109">
        <f>IFERROR(F398*G398,0)</f>
        <v/>
      </c>
      <c r="I398" s="109">
        <f>F398+H398</f>
        <v/>
      </c>
      <c r="J398" s="106" t="inlineStr">
        <is>
          <t>Maio/2026</t>
        </is>
      </c>
    </row>
    <row r="399" hidden="1" ht="14.25" customHeight="1" s="64">
      <c r="A399" s="74" t="inlineStr">
        <is>
          <t>Televendas</t>
        </is>
      </c>
      <c r="B399" s="83">
        <f>INDEX(SETORES!$B:$B,MATCH(A399,SETORES!$A:$A,0))</f>
        <v/>
      </c>
      <c r="C399" s="74" t="inlineStr">
        <is>
          <t>Empresa Licenciada DX2</t>
        </is>
      </c>
      <c r="D399" s="72">
        <f>IF(B399="Clientes",SUMIFS(PARÂMETROS!$D$8:$D$907,PARÂMETROS!$A$8:$A$907,C399,PARÂMETROS!$G$8:$G$907,J399),SUMIFS(PARÂMETROS!$E$8:$E$907,PARÂMETROS!$A$8:$A$907,C399,PARÂMETROS!$G$8:$G$907,J399))</f>
        <v/>
      </c>
      <c r="E399" s="84">
        <f>SUMIFS(SETORES!$D:$D,SETORES!$A:$A,A399,SETORES!$F:$F,J399)</f>
        <v/>
      </c>
      <c r="F399" s="84">
        <f>IFERROR(D399*E399,0)</f>
        <v/>
      </c>
      <c r="G399" s="72">
        <f>SUMIFS(PARÂMETROS!$F$8:$F$907,PARÂMETROS!$A$8:$A$907,C399,PARÂMETROS!$G$8:$G$907,J399)</f>
        <v/>
      </c>
      <c r="H399" s="84">
        <f>IFERROR(F399*G399,0)</f>
        <v/>
      </c>
      <c r="I399" s="84">
        <f>F399+H399</f>
        <v/>
      </c>
      <c r="J399" s="74" t="inlineStr">
        <is>
          <t>Maio/2026</t>
        </is>
      </c>
    </row>
    <row r="400" hidden="1" ht="14.25" customHeight="1" s="64">
      <c r="A400" s="106" t="inlineStr">
        <is>
          <t>Televendas</t>
        </is>
      </c>
      <c r="B400" s="106">
        <f>INDEX(SETORES!$B:$B,MATCH(A400,SETORES!$A:$A,0))</f>
        <v/>
      </c>
      <c r="C400" s="106" t="inlineStr">
        <is>
          <t>Empresa Licenciada H&amp;A</t>
        </is>
      </c>
      <c r="D400" s="77">
        <f>IF(B400="Clientes",SUMIFS(PARÂMETROS!$D$8:$D$907,PARÂMETROS!$A$8:$A$907,C400,PARÂMETROS!$G$8:$G$907,J400),SUMIFS(PARÂMETROS!$E$8:$E$907,PARÂMETROS!$A$8:$A$907,C400,PARÂMETROS!$G$8:$G$907,J400))</f>
        <v/>
      </c>
      <c r="E400" s="109">
        <f>SUMIFS(SETORES!$D:$D,SETORES!$A:$A,A400,SETORES!$F:$F,J400)</f>
        <v/>
      </c>
      <c r="F400" s="109">
        <f>IFERROR(D400*E400,0)</f>
        <v/>
      </c>
      <c r="G400" s="77">
        <f>SUMIFS(PARÂMETROS!$F$8:$F$907,PARÂMETROS!$A$8:$A$907,C400,PARÂMETROS!$G$8:$G$907,J400)</f>
        <v/>
      </c>
      <c r="H400" s="109">
        <f>IFERROR(F400*G400,0)</f>
        <v/>
      </c>
      <c r="I400" s="109">
        <f>F400+H400</f>
        <v/>
      </c>
      <c r="J400" s="106" t="inlineStr">
        <is>
          <t>Maio/2026</t>
        </is>
      </c>
    </row>
    <row r="401" hidden="1" ht="14.25" customHeight="1" s="64">
      <c r="A401" s="74" t="inlineStr">
        <is>
          <t>Televendas</t>
        </is>
      </c>
      <c r="B401" s="83">
        <f>INDEX(SETORES!$B:$B,MATCH(A401,SETORES!$A:$A,0))</f>
        <v/>
      </c>
      <c r="C401" s="74" t="inlineStr">
        <is>
          <t>Empresa Licenciada SOLON ARAUJO</t>
        </is>
      </c>
      <c r="D401" s="72">
        <f>IF(B401="Clientes",SUMIFS(PARÂMETROS!$D$8:$D$907,PARÂMETROS!$A$8:$A$907,C401,PARÂMETROS!$G$8:$G$907,J401),SUMIFS(PARÂMETROS!$E$8:$E$907,PARÂMETROS!$A$8:$A$907,C401,PARÂMETROS!$G$8:$G$907,J401))</f>
        <v/>
      </c>
      <c r="E401" s="84">
        <f>SUMIFS(SETORES!$D:$D,SETORES!$A:$A,A401,SETORES!$F:$F,J401)</f>
        <v/>
      </c>
      <c r="F401" s="84">
        <f>IFERROR(D401*E401,0)</f>
        <v/>
      </c>
      <c r="G401" s="72">
        <f>SUMIFS(PARÂMETROS!$F$8:$F$907,PARÂMETROS!$A$8:$A$907,C401,PARÂMETROS!$G$8:$G$907,J401)</f>
        <v/>
      </c>
      <c r="H401" s="84">
        <f>IFERROR(F401*G401,0)</f>
        <v/>
      </c>
      <c r="I401" s="84">
        <f>F401+H401</f>
        <v/>
      </c>
      <c r="J401" s="74" t="inlineStr">
        <is>
          <t>Maio/2026</t>
        </is>
      </c>
    </row>
    <row r="402" ht="14.25" customHeight="1" s="64">
      <c r="A402" s="106" t="inlineStr">
        <is>
          <t>Televendas</t>
        </is>
      </c>
      <c r="B402" s="106">
        <f>INDEX(SETORES!$B:$B,MATCH(A402,SETORES!$A:$A,0))</f>
        <v/>
      </c>
      <c r="C402" s="106" t="inlineStr">
        <is>
          <t>Empresa Licenciada SOARES E LINS</t>
        </is>
      </c>
      <c r="D402" s="77">
        <f>IF(B402="Clientes",SUMIFS(PARÂMETROS!$D$8:$D$907,PARÂMETROS!$A$8:$A$907,C402,PARÂMETROS!$G$8:$G$907,J402),SUMIFS(PARÂMETROS!$E$8:$E$907,PARÂMETROS!$A$8:$A$907,C402,PARÂMETROS!$G$8:$G$907,J402))</f>
        <v/>
      </c>
      <c r="E402" s="109">
        <f>SUMIFS(SETORES!$D:$D,SETORES!$A:$A,A402,SETORES!$F:$F,J402)</f>
        <v/>
      </c>
      <c r="F402" s="109">
        <f>IFERROR(D402*E402,0)</f>
        <v/>
      </c>
      <c r="G402" s="77">
        <f>SUMIFS(PARÂMETROS!$F$8:$F$907,PARÂMETROS!$A$8:$A$907,C402,PARÂMETROS!$G$8:$G$907,J402)</f>
        <v/>
      </c>
      <c r="H402" s="109">
        <f>IFERROR(F402*G402,0)</f>
        <v/>
      </c>
      <c r="I402" s="109">
        <f>F402+H402</f>
        <v/>
      </c>
      <c r="J402" s="106" t="inlineStr">
        <is>
          <t>Maio/2026</t>
        </is>
      </c>
    </row>
    <row r="403" hidden="1" ht="14.25" customHeight="1" s="64">
      <c r="A403" s="74" t="inlineStr">
        <is>
          <t>Televendas</t>
        </is>
      </c>
      <c r="B403" s="83">
        <f>INDEX(SETORES!$B:$B,MATCH(A403,SETORES!$A:$A,0))</f>
        <v/>
      </c>
      <c r="C403" s="74" t="inlineStr">
        <is>
          <t>Empresa Licenciada SOARES E SILVA</t>
        </is>
      </c>
      <c r="D403" s="72">
        <f>IF(B403="Clientes",SUMIFS(PARÂMETROS!$D$8:$D$907,PARÂMETROS!$A$8:$A$907,C403,PARÂMETROS!$G$8:$G$907,J403),SUMIFS(PARÂMETROS!$E$8:$E$907,PARÂMETROS!$A$8:$A$907,C403,PARÂMETROS!$G$8:$G$907,J403))</f>
        <v/>
      </c>
      <c r="E403" s="84">
        <f>SUMIFS(SETORES!$D:$D,SETORES!$A:$A,A403,SETORES!$F:$F,J403)</f>
        <v/>
      </c>
      <c r="F403" s="84">
        <f>IFERROR(D403*E403,0)</f>
        <v/>
      </c>
      <c r="G403" s="72">
        <f>SUMIFS(PARÂMETROS!$F$8:$F$907,PARÂMETROS!$A$8:$A$907,C403,PARÂMETROS!$G$8:$G$907,J403)</f>
        <v/>
      </c>
      <c r="H403" s="84">
        <f>IFERROR(F403*G403,0)</f>
        <v/>
      </c>
      <c r="I403" s="84">
        <f>F403+H403</f>
        <v/>
      </c>
      <c r="J403" s="74" t="inlineStr">
        <is>
          <t>Maio/2026</t>
        </is>
      </c>
    </row>
    <row r="404" hidden="1" ht="14.25" customHeight="1" s="64">
      <c r="A404" s="106" t="inlineStr">
        <is>
          <t>Televendas</t>
        </is>
      </c>
      <c r="B404" s="106">
        <f>INDEX(SETORES!$B:$B,MATCH(A404,SETORES!$A:$A,0))</f>
        <v/>
      </c>
      <c r="C404" s="106" t="inlineStr">
        <is>
          <t>Empresa Licenciada SOUZA E SILVA</t>
        </is>
      </c>
      <c r="D404" s="77">
        <f>IF(B404="Clientes",SUMIFS(PARÂMETROS!$D$8:$D$907,PARÂMETROS!$A$8:$A$907,C404,PARÂMETROS!$G$8:$G$907,J404),SUMIFS(PARÂMETROS!$E$8:$E$907,PARÂMETROS!$A$8:$A$907,C404,PARÂMETROS!$G$8:$G$907,J404))</f>
        <v/>
      </c>
      <c r="E404" s="109">
        <f>SUMIFS(SETORES!$D:$D,SETORES!$A:$A,A404,SETORES!$F:$F,J404)</f>
        <v/>
      </c>
      <c r="F404" s="109">
        <f>IFERROR(D404*E404,0)</f>
        <v/>
      </c>
      <c r="G404" s="77">
        <f>SUMIFS(PARÂMETROS!$F$8:$F$907,PARÂMETROS!$A$8:$A$907,C404,PARÂMETROS!$G$8:$G$907,J404)</f>
        <v/>
      </c>
      <c r="H404" s="109">
        <f>IFERROR(F404*G404,0)</f>
        <v/>
      </c>
      <c r="I404" s="109">
        <f>F404+H404</f>
        <v/>
      </c>
      <c r="J404" s="106" t="inlineStr">
        <is>
          <t>Maio/2026</t>
        </is>
      </c>
    </row>
    <row r="405" hidden="1" ht="14.25" customHeight="1" s="64">
      <c r="A405" s="74" t="inlineStr">
        <is>
          <t>Televendas</t>
        </is>
      </c>
      <c r="B405" s="83">
        <f>INDEX(SETORES!$B:$B,MATCH(A405,SETORES!$A:$A,0))</f>
        <v/>
      </c>
      <c r="C405" s="74" t="inlineStr">
        <is>
          <t>Empresa Licenciada VOICENET</t>
        </is>
      </c>
      <c r="D405" s="72">
        <f>IF(B405="Clientes",SUMIFS(PARÂMETROS!$D$8:$D$907,PARÂMETROS!$A$8:$A$907,C405,PARÂMETROS!$G$8:$G$907,J405),SUMIFS(PARÂMETROS!$E$8:$E$907,PARÂMETROS!$A$8:$A$907,C405,PARÂMETROS!$G$8:$G$907,J405))</f>
        <v/>
      </c>
      <c r="E405" s="84">
        <f>SUMIFS(SETORES!$D:$D,SETORES!$A:$A,A405,SETORES!$F:$F,J405)</f>
        <v/>
      </c>
      <c r="F405" s="84">
        <f>IFERROR(D405*E405,0)</f>
        <v/>
      </c>
      <c r="G405" s="72">
        <f>SUMIFS(PARÂMETROS!$F$8:$F$907,PARÂMETROS!$A$8:$A$907,C405,PARÂMETROS!$G$8:$G$907,J405)</f>
        <v/>
      </c>
      <c r="H405" s="84">
        <f>IFERROR(F405*G405,0)</f>
        <v/>
      </c>
      <c r="I405" s="84">
        <f>F405+H405</f>
        <v/>
      </c>
      <c r="J405" s="74" t="inlineStr">
        <is>
          <t>Maio/2026</t>
        </is>
      </c>
    </row>
    <row r="406" hidden="1" ht="14.25" customHeight="1" s="64">
      <c r="A406" s="106" t="inlineStr">
        <is>
          <t>Televendas</t>
        </is>
      </c>
      <c r="B406" s="106">
        <f>INDEX(SETORES!$B:$B,MATCH(A406,SETORES!$A:$A,0))</f>
        <v/>
      </c>
      <c r="C406" s="106" t="inlineStr">
        <is>
          <t>DTEL (uso próprio)</t>
        </is>
      </c>
      <c r="D406" s="77">
        <f>IF(B406="Clientes",SUMIFS(PARÂMETROS!$D$8:$D$907,PARÂMETROS!$A$8:$A$907,C406,PARÂMETROS!$G$8:$G$907,J406),SUMIFS(PARÂMETROS!$E$8:$E$907,PARÂMETROS!$A$8:$A$907,C406,PARÂMETROS!$G$8:$G$907,J406))</f>
        <v/>
      </c>
      <c r="E406" s="109">
        <f>SUMIFS(SETORES!$D:$D,SETORES!$A:$A,A406,SETORES!$F:$F,J406)</f>
        <v/>
      </c>
      <c r="F406" s="109">
        <f>IFERROR(D406*E406,0)</f>
        <v/>
      </c>
      <c r="G406" s="77">
        <f>SUMIFS(PARÂMETROS!$F$8:$F$907,PARÂMETROS!$A$8:$A$907,C406,PARÂMETROS!$G$8:$G$907,J406)</f>
        <v/>
      </c>
      <c r="H406" s="109">
        <f>IFERROR(F406*G406,0)</f>
        <v/>
      </c>
      <c r="I406" s="109">
        <f>F406+H406</f>
        <v/>
      </c>
      <c r="J406" s="106" t="inlineStr">
        <is>
          <t>Maio/2026</t>
        </is>
      </c>
    </row>
    <row r="407" hidden="1" ht="14.25" customHeight="1" s="64">
      <c r="A407" s="74" t="inlineStr">
        <is>
          <t>Suporte Orbix</t>
        </is>
      </c>
      <c r="B407" s="83">
        <f>INDEX(SETORES!$B:$B,MATCH(A407,SETORES!$A:$A,0))</f>
        <v/>
      </c>
      <c r="C407" s="74" t="inlineStr">
        <is>
          <t>Empresa Licenciada DX2</t>
        </is>
      </c>
      <c r="D407" s="72">
        <f>IF(B407="Clientes",SUMIFS(PARÂMETROS!$D$8:$D$907,PARÂMETROS!$A$8:$A$907,C407,PARÂMETROS!$G$8:$G$907,J407),SUMIFS(PARÂMETROS!$E$8:$E$907,PARÂMETROS!$A$8:$A$907,C407,PARÂMETROS!$G$8:$G$907,J407))</f>
        <v/>
      </c>
      <c r="E407" s="84">
        <f>SUMIFS(SETORES!$D:$D,SETORES!$A:$A,A407,SETORES!$F:$F,J407)</f>
        <v/>
      </c>
      <c r="F407" s="84">
        <f>IFERROR(D407*E407,0)</f>
        <v/>
      </c>
      <c r="G407" s="72">
        <f>SUMIFS(PARÂMETROS!$F$8:$F$907,PARÂMETROS!$A$8:$A$907,C407,PARÂMETROS!$G$8:$G$907,J407)</f>
        <v/>
      </c>
      <c r="H407" s="84">
        <f>IFERROR(F407*G407,0)</f>
        <v/>
      </c>
      <c r="I407" s="84">
        <f>F407+H407</f>
        <v/>
      </c>
      <c r="J407" s="74" t="inlineStr">
        <is>
          <t>Maio/2026</t>
        </is>
      </c>
    </row>
    <row r="408" hidden="1" ht="14.25" customHeight="1" s="64">
      <c r="A408" s="106" t="inlineStr">
        <is>
          <t>Suporte Orbix</t>
        </is>
      </c>
      <c r="B408" s="106">
        <f>INDEX(SETORES!$B:$B,MATCH(A408,SETORES!$A:$A,0))</f>
        <v/>
      </c>
      <c r="C408" s="106" t="inlineStr">
        <is>
          <t>Empresa Licenciada H&amp;A</t>
        </is>
      </c>
      <c r="D408" s="77">
        <f>IF(B408="Clientes",SUMIFS(PARÂMETROS!$D$8:$D$907,PARÂMETROS!$A$8:$A$907,C408,PARÂMETROS!$G$8:$G$907,J408),SUMIFS(PARÂMETROS!$E$8:$E$907,PARÂMETROS!$A$8:$A$907,C408,PARÂMETROS!$G$8:$G$907,J408))</f>
        <v/>
      </c>
      <c r="E408" s="109">
        <f>SUMIFS(SETORES!$D:$D,SETORES!$A:$A,A408,SETORES!$F:$F,J408)</f>
        <v/>
      </c>
      <c r="F408" s="109">
        <f>IFERROR(D408*E408,0)</f>
        <v/>
      </c>
      <c r="G408" s="77">
        <f>SUMIFS(PARÂMETROS!$F$8:$F$907,PARÂMETROS!$A$8:$A$907,C408,PARÂMETROS!$G$8:$G$907,J408)</f>
        <v/>
      </c>
      <c r="H408" s="109">
        <f>IFERROR(F408*G408,0)</f>
        <v/>
      </c>
      <c r="I408" s="109">
        <f>F408+H408</f>
        <v/>
      </c>
      <c r="J408" s="106" t="inlineStr">
        <is>
          <t>Maio/2026</t>
        </is>
      </c>
    </row>
    <row r="409" hidden="1" ht="14.25" customHeight="1" s="64">
      <c r="A409" s="74" t="inlineStr">
        <is>
          <t>Suporte Orbix</t>
        </is>
      </c>
      <c r="B409" s="83">
        <f>INDEX(SETORES!$B:$B,MATCH(A409,SETORES!$A:$A,0))</f>
        <v/>
      </c>
      <c r="C409" s="74" t="inlineStr">
        <is>
          <t>Empresa Licenciada SOLON ARAUJO</t>
        </is>
      </c>
      <c r="D409" s="72">
        <f>IF(B409="Clientes",SUMIFS(PARÂMETROS!$D$8:$D$907,PARÂMETROS!$A$8:$A$907,C409,PARÂMETROS!$G$8:$G$907,J409),SUMIFS(PARÂMETROS!$E$8:$E$907,PARÂMETROS!$A$8:$A$907,C409,PARÂMETROS!$G$8:$G$907,J409))</f>
        <v/>
      </c>
      <c r="E409" s="84">
        <f>SUMIFS(SETORES!$D:$D,SETORES!$A:$A,A409,SETORES!$F:$F,J409)</f>
        <v/>
      </c>
      <c r="F409" s="84">
        <f>IFERROR(D409*E409,0)</f>
        <v/>
      </c>
      <c r="G409" s="72">
        <f>SUMIFS(PARÂMETROS!$F$8:$F$907,PARÂMETROS!$A$8:$A$907,C409,PARÂMETROS!$G$8:$G$907,J409)</f>
        <v/>
      </c>
      <c r="H409" s="84">
        <f>IFERROR(F409*G409,0)</f>
        <v/>
      </c>
      <c r="I409" s="84">
        <f>F409+H409</f>
        <v/>
      </c>
      <c r="J409" s="74" t="inlineStr">
        <is>
          <t>Maio/2026</t>
        </is>
      </c>
    </row>
    <row r="410" ht="14.25" customHeight="1" s="64">
      <c r="A410" s="106" t="inlineStr">
        <is>
          <t>Suporte Orbix</t>
        </is>
      </c>
      <c r="B410" s="106">
        <f>INDEX(SETORES!$B:$B,MATCH(A410,SETORES!$A:$A,0))</f>
        <v/>
      </c>
      <c r="C410" s="106" t="inlineStr">
        <is>
          <t>Empresa Licenciada SOARES E LINS</t>
        </is>
      </c>
      <c r="D410" s="77">
        <f>IF(B410="Clientes",SUMIFS(PARÂMETROS!$D$8:$D$907,PARÂMETROS!$A$8:$A$907,C410,PARÂMETROS!$G$8:$G$907,J410),SUMIFS(PARÂMETROS!$E$8:$E$907,PARÂMETROS!$A$8:$A$907,C410,PARÂMETROS!$G$8:$G$907,J410))</f>
        <v/>
      </c>
      <c r="E410" s="109">
        <f>SUMIFS(SETORES!$D:$D,SETORES!$A:$A,A410,SETORES!$F:$F,J410)</f>
        <v/>
      </c>
      <c r="F410" s="109">
        <f>IFERROR(D410*E410,0)</f>
        <v/>
      </c>
      <c r="G410" s="77">
        <f>SUMIFS(PARÂMETROS!$F$8:$F$907,PARÂMETROS!$A$8:$A$907,C410,PARÂMETROS!$G$8:$G$907,J410)</f>
        <v/>
      </c>
      <c r="H410" s="109">
        <f>IFERROR(F410*G410,0)</f>
        <v/>
      </c>
      <c r="I410" s="109">
        <f>F410+H410</f>
        <v/>
      </c>
      <c r="J410" s="106" t="inlineStr">
        <is>
          <t>Maio/2026</t>
        </is>
      </c>
    </row>
    <row r="411" hidden="1" ht="14.25" customHeight="1" s="64">
      <c r="A411" s="74" t="inlineStr">
        <is>
          <t>Suporte Orbix</t>
        </is>
      </c>
      <c r="B411" s="83">
        <f>INDEX(SETORES!$B:$B,MATCH(A411,SETORES!$A:$A,0))</f>
        <v/>
      </c>
      <c r="C411" s="74" t="inlineStr">
        <is>
          <t>Empresa Licenciada SOARES E SILVA</t>
        </is>
      </c>
      <c r="D411" s="72">
        <f>IF(B411="Clientes",SUMIFS(PARÂMETROS!$D$8:$D$907,PARÂMETROS!$A$8:$A$907,C411,PARÂMETROS!$G$8:$G$907,J411),SUMIFS(PARÂMETROS!$E$8:$E$907,PARÂMETROS!$A$8:$A$907,C411,PARÂMETROS!$G$8:$G$907,J411))</f>
        <v/>
      </c>
      <c r="E411" s="84">
        <f>SUMIFS(SETORES!$D:$D,SETORES!$A:$A,A411,SETORES!$F:$F,J411)</f>
        <v/>
      </c>
      <c r="F411" s="84">
        <f>IFERROR(D411*E411,0)</f>
        <v/>
      </c>
      <c r="G411" s="72">
        <f>SUMIFS(PARÂMETROS!$F$8:$F$907,PARÂMETROS!$A$8:$A$907,C411,PARÂMETROS!$G$8:$G$907,J411)</f>
        <v/>
      </c>
      <c r="H411" s="84">
        <f>IFERROR(F411*G411,0)</f>
        <v/>
      </c>
      <c r="I411" s="84">
        <f>F411+H411</f>
        <v/>
      </c>
      <c r="J411" s="74" t="inlineStr">
        <is>
          <t>Maio/2026</t>
        </is>
      </c>
    </row>
    <row r="412" hidden="1" ht="14.25" customHeight="1" s="64">
      <c r="A412" s="106" t="inlineStr">
        <is>
          <t>Suporte Orbix</t>
        </is>
      </c>
      <c r="B412" s="106">
        <f>INDEX(SETORES!$B:$B,MATCH(A412,SETORES!$A:$A,0))</f>
        <v/>
      </c>
      <c r="C412" s="106" t="inlineStr">
        <is>
          <t>Empresa Licenciada SOUZA E SILVA</t>
        </is>
      </c>
      <c r="D412" s="77">
        <f>IF(B412="Clientes",SUMIFS(PARÂMETROS!$D$8:$D$907,PARÂMETROS!$A$8:$A$907,C412,PARÂMETROS!$G$8:$G$907,J412),SUMIFS(PARÂMETROS!$E$8:$E$907,PARÂMETROS!$A$8:$A$907,C412,PARÂMETROS!$G$8:$G$907,J412))</f>
        <v/>
      </c>
      <c r="E412" s="109">
        <f>SUMIFS(SETORES!$D:$D,SETORES!$A:$A,A412,SETORES!$F:$F,J412)</f>
        <v/>
      </c>
      <c r="F412" s="109">
        <f>IFERROR(D412*E412,0)</f>
        <v/>
      </c>
      <c r="G412" s="77">
        <f>SUMIFS(PARÂMETROS!$F$8:$F$907,PARÂMETROS!$A$8:$A$907,C412,PARÂMETROS!$G$8:$G$907,J412)</f>
        <v/>
      </c>
      <c r="H412" s="109">
        <f>IFERROR(F412*G412,0)</f>
        <v/>
      </c>
      <c r="I412" s="109">
        <f>F412+H412</f>
        <v/>
      </c>
      <c r="J412" s="106" t="inlineStr">
        <is>
          <t>Maio/2026</t>
        </is>
      </c>
    </row>
    <row r="413" hidden="1" ht="14.25" customHeight="1" s="64">
      <c r="A413" s="74" t="inlineStr">
        <is>
          <t>Suporte Orbix</t>
        </is>
      </c>
      <c r="B413" s="83">
        <f>INDEX(SETORES!$B:$B,MATCH(A413,SETORES!$A:$A,0))</f>
        <v/>
      </c>
      <c r="C413" s="74" t="inlineStr">
        <is>
          <t>Empresa Licenciada VOICENET</t>
        </is>
      </c>
      <c r="D413" s="72">
        <f>IF(B413="Clientes",SUMIFS(PARÂMETROS!$D$8:$D$907,PARÂMETROS!$A$8:$A$907,C413,PARÂMETROS!$G$8:$G$907,J413),SUMIFS(PARÂMETROS!$E$8:$E$907,PARÂMETROS!$A$8:$A$907,C413,PARÂMETROS!$G$8:$G$907,J413))</f>
        <v/>
      </c>
      <c r="E413" s="84">
        <f>SUMIFS(SETORES!$D:$D,SETORES!$A:$A,A413,SETORES!$F:$F,J413)</f>
        <v/>
      </c>
      <c r="F413" s="84">
        <f>IFERROR(D413*E413,0)</f>
        <v/>
      </c>
      <c r="G413" s="72">
        <f>SUMIFS(PARÂMETROS!$F$8:$F$907,PARÂMETROS!$A$8:$A$907,C413,PARÂMETROS!$G$8:$G$907,J413)</f>
        <v/>
      </c>
      <c r="H413" s="84">
        <f>IFERROR(F413*G413,0)</f>
        <v/>
      </c>
      <c r="I413" s="84">
        <f>F413+H413</f>
        <v/>
      </c>
      <c r="J413" s="74" t="inlineStr">
        <is>
          <t>Maio/2026</t>
        </is>
      </c>
    </row>
    <row r="414" hidden="1" ht="14.25" customHeight="1" s="64">
      <c r="A414" s="106" t="inlineStr">
        <is>
          <t>Suporte Orbix</t>
        </is>
      </c>
      <c r="B414" s="106">
        <f>INDEX(SETORES!$B:$B,MATCH(A414,SETORES!$A:$A,0))</f>
        <v/>
      </c>
      <c r="C414" s="106" t="inlineStr">
        <is>
          <t>DTEL (uso próprio)</t>
        </is>
      </c>
      <c r="D414" s="77">
        <f>IF(B414="Clientes",SUMIFS(PARÂMETROS!$D$8:$D$907,PARÂMETROS!$A$8:$A$907,C414,PARÂMETROS!$G$8:$G$907,J414),SUMIFS(PARÂMETROS!$E$8:$E$907,PARÂMETROS!$A$8:$A$907,C414,PARÂMETROS!$G$8:$G$907,J414))</f>
        <v/>
      </c>
      <c r="E414" s="109">
        <f>SUMIFS(SETORES!$D:$D,SETORES!$A:$A,A414,SETORES!$F:$F,J414)</f>
        <v/>
      </c>
      <c r="F414" s="109">
        <f>IFERROR(D414*E414,0)</f>
        <v/>
      </c>
      <c r="G414" s="77">
        <f>SUMIFS(PARÂMETROS!$F$8:$F$907,PARÂMETROS!$A$8:$A$907,C414,PARÂMETROS!$G$8:$G$907,J414)</f>
        <v/>
      </c>
      <c r="H414" s="109">
        <f>IFERROR(F414*G414,0)</f>
        <v/>
      </c>
      <c r="I414" s="109">
        <f>F414+H414</f>
        <v/>
      </c>
      <c r="J414" s="106" t="inlineStr">
        <is>
          <t>Maio/2026</t>
        </is>
      </c>
    </row>
    <row r="415" hidden="1" ht="14.25" customHeight="1" s="64">
      <c r="A415" s="74" t="inlineStr">
        <is>
          <t>Suporte da Central</t>
        </is>
      </c>
      <c r="B415" s="83">
        <f>INDEX(SETORES!$B:$B,MATCH(A415,SETORES!$A:$A,0))</f>
        <v/>
      </c>
      <c r="C415" s="74" t="inlineStr">
        <is>
          <t>Empresa Licenciada DX2</t>
        </is>
      </c>
      <c r="D415" s="72">
        <f>IF(B415="Clientes",SUMIFS(PARÂMETROS!$D$8:$D$907,PARÂMETROS!$A$8:$A$907,C415,PARÂMETROS!$G$8:$G$907,J415),SUMIFS(PARÂMETROS!$E$8:$E$907,PARÂMETROS!$A$8:$A$907,C415,PARÂMETROS!$G$8:$G$907,J415))</f>
        <v/>
      </c>
      <c r="E415" s="84">
        <f>SUMIFS(SETORES!$D:$D,SETORES!$A:$A,A415,SETORES!$F:$F,J415)</f>
        <v/>
      </c>
      <c r="F415" s="84">
        <f>IFERROR(D415*E415,0)</f>
        <v/>
      </c>
      <c r="G415" s="72">
        <f>SUMIFS(PARÂMETROS!$F$8:$F$907,PARÂMETROS!$A$8:$A$907,C415,PARÂMETROS!$G$8:$G$907,J415)</f>
        <v/>
      </c>
      <c r="H415" s="84">
        <f>IFERROR(F415*G415,0)</f>
        <v/>
      </c>
      <c r="I415" s="84">
        <f>F415+H415</f>
        <v/>
      </c>
      <c r="J415" s="74" t="inlineStr">
        <is>
          <t>Maio/2026</t>
        </is>
      </c>
    </row>
    <row r="416" hidden="1" ht="14.25" customHeight="1" s="64">
      <c r="A416" s="106" t="inlineStr">
        <is>
          <t>Suporte da Central</t>
        </is>
      </c>
      <c r="B416" s="106">
        <f>INDEX(SETORES!$B:$B,MATCH(A416,SETORES!$A:$A,0))</f>
        <v/>
      </c>
      <c r="C416" s="106" t="inlineStr">
        <is>
          <t>Empresa Licenciada H&amp;A</t>
        </is>
      </c>
      <c r="D416" s="77">
        <f>IF(B416="Clientes",SUMIFS(PARÂMETROS!$D$8:$D$907,PARÂMETROS!$A$8:$A$907,C416,PARÂMETROS!$G$8:$G$907,J416),SUMIFS(PARÂMETROS!$E$8:$E$907,PARÂMETROS!$A$8:$A$907,C416,PARÂMETROS!$G$8:$G$907,J416))</f>
        <v/>
      </c>
      <c r="E416" s="109">
        <f>SUMIFS(SETORES!$D:$D,SETORES!$A:$A,A416,SETORES!$F:$F,J416)</f>
        <v/>
      </c>
      <c r="F416" s="109">
        <f>IFERROR(D416*E416,0)</f>
        <v/>
      </c>
      <c r="G416" s="77">
        <f>SUMIFS(PARÂMETROS!$F$8:$F$907,PARÂMETROS!$A$8:$A$907,C416,PARÂMETROS!$G$8:$G$907,J416)</f>
        <v/>
      </c>
      <c r="H416" s="109">
        <f>IFERROR(F416*G416,0)</f>
        <v/>
      </c>
      <c r="I416" s="109">
        <f>F416+H416</f>
        <v/>
      </c>
      <c r="J416" s="106" t="inlineStr">
        <is>
          <t>Maio/2026</t>
        </is>
      </c>
    </row>
    <row r="417" hidden="1" ht="14.25" customHeight="1" s="64">
      <c r="A417" s="74" t="inlineStr">
        <is>
          <t>Suporte da Central</t>
        </is>
      </c>
      <c r="B417" s="83">
        <f>INDEX(SETORES!$B:$B,MATCH(A417,SETORES!$A:$A,0))</f>
        <v/>
      </c>
      <c r="C417" s="74" t="inlineStr">
        <is>
          <t>Empresa Licenciada SOLON ARAUJO</t>
        </is>
      </c>
      <c r="D417" s="72">
        <f>IF(B417="Clientes",SUMIFS(PARÂMETROS!$D$8:$D$907,PARÂMETROS!$A$8:$A$907,C417,PARÂMETROS!$G$8:$G$907,J417),SUMIFS(PARÂMETROS!$E$8:$E$907,PARÂMETROS!$A$8:$A$907,C417,PARÂMETROS!$G$8:$G$907,J417))</f>
        <v/>
      </c>
      <c r="E417" s="84">
        <f>SUMIFS(SETORES!$D:$D,SETORES!$A:$A,A417,SETORES!$F:$F,J417)</f>
        <v/>
      </c>
      <c r="F417" s="84">
        <f>IFERROR(D417*E417,0)</f>
        <v/>
      </c>
      <c r="G417" s="72">
        <f>SUMIFS(PARÂMETROS!$F$8:$F$907,PARÂMETROS!$A$8:$A$907,C417,PARÂMETROS!$G$8:$G$907,J417)</f>
        <v/>
      </c>
      <c r="H417" s="84">
        <f>IFERROR(F417*G417,0)</f>
        <v/>
      </c>
      <c r="I417" s="84">
        <f>F417+H417</f>
        <v/>
      </c>
      <c r="J417" s="74" t="inlineStr">
        <is>
          <t>Maio/2026</t>
        </is>
      </c>
    </row>
    <row r="418" ht="14.25" customHeight="1" s="64">
      <c r="A418" s="106" t="inlineStr">
        <is>
          <t>Suporte da Central</t>
        </is>
      </c>
      <c r="B418" s="106">
        <f>INDEX(SETORES!$B:$B,MATCH(A418,SETORES!$A:$A,0))</f>
        <v/>
      </c>
      <c r="C418" s="106" t="inlineStr">
        <is>
          <t>Empresa Licenciada SOARES E LINS</t>
        </is>
      </c>
      <c r="D418" s="77">
        <f>IF(B418="Clientes",SUMIFS(PARÂMETROS!$D$8:$D$907,PARÂMETROS!$A$8:$A$907,C418,PARÂMETROS!$G$8:$G$907,J418),SUMIFS(PARÂMETROS!$E$8:$E$907,PARÂMETROS!$A$8:$A$907,C418,PARÂMETROS!$G$8:$G$907,J418))</f>
        <v/>
      </c>
      <c r="E418" s="109">
        <f>SUMIFS(SETORES!$D:$D,SETORES!$A:$A,A418,SETORES!$F:$F,J418)</f>
        <v/>
      </c>
      <c r="F418" s="109">
        <f>IFERROR(D418*E418,0)</f>
        <v/>
      </c>
      <c r="G418" s="77">
        <f>SUMIFS(PARÂMETROS!$F$8:$F$907,PARÂMETROS!$A$8:$A$907,C418,PARÂMETROS!$G$8:$G$907,J418)</f>
        <v/>
      </c>
      <c r="H418" s="109">
        <f>IFERROR(F418*G418,0)</f>
        <v/>
      </c>
      <c r="I418" s="109">
        <f>F418+H418</f>
        <v/>
      </c>
      <c r="J418" s="106" t="inlineStr">
        <is>
          <t>Maio/2026</t>
        </is>
      </c>
    </row>
    <row r="419" hidden="1" ht="14.25" customHeight="1" s="64">
      <c r="A419" s="74" t="inlineStr">
        <is>
          <t>Suporte da Central</t>
        </is>
      </c>
      <c r="B419" s="83">
        <f>INDEX(SETORES!$B:$B,MATCH(A419,SETORES!$A:$A,0))</f>
        <v/>
      </c>
      <c r="C419" s="74" t="inlineStr">
        <is>
          <t>Empresa Licenciada SOARES E SILVA</t>
        </is>
      </c>
      <c r="D419" s="72">
        <f>IF(B419="Clientes",SUMIFS(PARÂMETROS!$D$8:$D$907,PARÂMETROS!$A$8:$A$907,C419,PARÂMETROS!$G$8:$G$907,J419),SUMIFS(PARÂMETROS!$E$8:$E$907,PARÂMETROS!$A$8:$A$907,C419,PARÂMETROS!$G$8:$G$907,J419))</f>
        <v/>
      </c>
      <c r="E419" s="84">
        <f>SUMIFS(SETORES!$D:$D,SETORES!$A:$A,A419,SETORES!$F:$F,J419)</f>
        <v/>
      </c>
      <c r="F419" s="84">
        <f>IFERROR(D419*E419,0)</f>
        <v/>
      </c>
      <c r="G419" s="72">
        <f>SUMIFS(PARÂMETROS!$F$8:$F$907,PARÂMETROS!$A$8:$A$907,C419,PARÂMETROS!$G$8:$G$907,J419)</f>
        <v/>
      </c>
      <c r="H419" s="84">
        <f>IFERROR(F419*G419,0)</f>
        <v/>
      </c>
      <c r="I419" s="84">
        <f>F419+H419</f>
        <v/>
      </c>
      <c r="J419" s="74" t="inlineStr">
        <is>
          <t>Maio/2026</t>
        </is>
      </c>
    </row>
    <row r="420" hidden="1" ht="14.25" customHeight="1" s="64">
      <c r="A420" s="106" t="inlineStr">
        <is>
          <t>Suporte da Central</t>
        </is>
      </c>
      <c r="B420" s="106">
        <f>INDEX(SETORES!$B:$B,MATCH(A420,SETORES!$A:$A,0))</f>
        <v/>
      </c>
      <c r="C420" s="106" t="inlineStr">
        <is>
          <t>Empresa Licenciada SOUZA E SILVA</t>
        </is>
      </c>
      <c r="D420" s="77">
        <f>IF(B420="Clientes",SUMIFS(PARÂMETROS!$D$8:$D$907,PARÂMETROS!$A$8:$A$907,C420,PARÂMETROS!$G$8:$G$907,J420),SUMIFS(PARÂMETROS!$E$8:$E$907,PARÂMETROS!$A$8:$A$907,C420,PARÂMETROS!$G$8:$G$907,J420))</f>
        <v/>
      </c>
      <c r="E420" s="109">
        <f>SUMIFS(SETORES!$D:$D,SETORES!$A:$A,A420,SETORES!$F:$F,J420)</f>
        <v/>
      </c>
      <c r="F420" s="109">
        <f>IFERROR(D420*E420,0)</f>
        <v/>
      </c>
      <c r="G420" s="77">
        <f>SUMIFS(PARÂMETROS!$F$8:$F$907,PARÂMETROS!$A$8:$A$907,C420,PARÂMETROS!$G$8:$G$907,J420)</f>
        <v/>
      </c>
      <c r="H420" s="109">
        <f>IFERROR(F420*G420,0)</f>
        <v/>
      </c>
      <c r="I420" s="109">
        <f>F420+H420</f>
        <v/>
      </c>
      <c r="J420" s="106" t="inlineStr">
        <is>
          <t>Maio/2026</t>
        </is>
      </c>
    </row>
    <row r="421" hidden="1" ht="14.25" customHeight="1" s="64">
      <c r="A421" s="74" t="inlineStr">
        <is>
          <t>Suporte da Central</t>
        </is>
      </c>
      <c r="B421" s="83">
        <f>INDEX(SETORES!$B:$B,MATCH(A421,SETORES!$A:$A,0))</f>
        <v/>
      </c>
      <c r="C421" s="74" t="inlineStr">
        <is>
          <t>Empresa Licenciada VOICENET</t>
        </is>
      </c>
      <c r="D421" s="72">
        <f>IF(B421="Clientes",SUMIFS(PARÂMETROS!$D$8:$D$907,PARÂMETROS!$A$8:$A$907,C421,PARÂMETROS!$G$8:$G$907,J421),SUMIFS(PARÂMETROS!$E$8:$E$907,PARÂMETROS!$A$8:$A$907,C421,PARÂMETROS!$G$8:$G$907,J421))</f>
        <v/>
      </c>
      <c r="E421" s="84">
        <f>SUMIFS(SETORES!$D:$D,SETORES!$A:$A,A421,SETORES!$F:$F,J421)</f>
        <v/>
      </c>
      <c r="F421" s="84">
        <f>IFERROR(D421*E421,0)</f>
        <v/>
      </c>
      <c r="G421" s="72">
        <f>SUMIFS(PARÂMETROS!$F$8:$F$907,PARÂMETROS!$A$8:$A$907,C421,PARÂMETROS!$G$8:$G$907,J421)</f>
        <v/>
      </c>
      <c r="H421" s="84">
        <f>IFERROR(F421*G421,0)</f>
        <v/>
      </c>
      <c r="I421" s="84">
        <f>F421+H421</f>
        <v/>
      </c>
      <c r="J421" s="74" t="inlineStr">
        <is>
          <t>Maio/2026</t>
        </is>
      </c>
    </row>
    <row r="422" hidden="1" ht="14.25" customHeight="1" s="64">
      <c r="A422" s="106" t="inlineStr">
        <is>
          <t>Suporte da Central</t>
        </is>
      </c>
      <c r="B422" s="106">
        <f>INDEX(SETORES!$B:$B,MATCH(A422,SETORES!$A:$A,0))</f>
        <v/>
      </c>
      <c r="C422" s="106" t="inlineStr">
        <is>
          <t>DTEL (uso próprio)</t>
        </is>
      </c>
      <c r="D422" s="77">
        <f>IF(B422="Clientes",SUMIFS(PARÂMETROS!$D$8:$D$907,PARÂMETROS!$A$8:$A$907,C422,PARÂMETROS!$G$8:$G$907,J422),SUMIFS(PARÂMETROS!$E$8:$E$907,PARÂMETROS!$A$8:$A$907,C422,PARÂMETROS!$G$8:$G$907,J422))</f>
        <v/>
      </c>
      <c r="E422" s="109">
        <f>SUMIFS(SETORES!$D:$D,SETORES!$A:$A,A422,SETORES!$F:$F,J422)</f>
        <v/>
      </c>
      <c r="F422" s="109">
        <f>IFERROR(D422*E422,0)</f>
        <v/>
      </c>
      <c r="G422" s="77">
        <f>SUMIFS(PARÂMETROS!$F$8:$F$907,PARÂMETROS!$A$8:$A$907,C422,PARÂMETROS!$G$8:$G$907,J422)</f>
        <v/>
      </c>
      <c r="H422" s="109">
        <f>IFERROR(F422*G422,0)</f>
        <v/>
      </c>
      <c r="I422" s="109">
        <f>F422+H422</f>
        <v/>
      </c>
      <c r="J422" s="106" t="inlineStr">
        <is>
          <t>Maio/2026</t>
        </is>
      </c>
    </row>
    <row r="423" hidden="1" ht="14.25" customHeight="1" s="64">
      <c r="A423" s="74" t="inlineStr">
        <is>
          <t>Comercial Corporativo</t>
        </is>
      </c>
      <c r="B423" s="83">
        <f>INDEX(SETORES!$B:$B,MATCH(A423,SETORES!$A:$A,0))</f>
        <v/>
      </c>
      <c r="C423" s="74" t="inlineStr">
        <is>
          <t>Empresa Licenciada DX2</t>
        </is>
      </c>
      <c r="D423" s="72">
        <f>IF(B423="Clientes",SUMIFS(PARÂMETROS!$D$8:$D$907,PARÂMETROS!$A$8:$A$907,C423,PARÂMETROS!$G$8:$G$907,J423),SUMIFS(PARÂMETROS!$E$8:$E$907,PARÂMETROS!$A$8:$A$907,C423,PARÂMETROS!$G$8:$G$907,J423))</f>
        <v/>
      </c>
      <c r="E423" s="84">
        <f>SUMIFS(SETORES!$D:$D,SETORES!$A:$A,A423,SETORES!$F:$F,J423)</f>
        <v/>
      </c>
      <c r="F423" s="84">
        <f>IFERROR(D423*E423,0)</f>
        <v/>
      </c>
      <c r="G423" s="72">
        <f>SUMIFS(PARÂMETROS!$F$8:$F$907,PARÂMETROS!$A$8:$A$907,C423,PARÂMETROS!$G$8:$G$907,J423)</f>
        <v/>
      </c>
      <c r="H423" s="84">
        <f>IFERROR(F423*G423,0)</f>
        <v/>
      </c>
      <c r="I423" s="84">
        <f>F423+H423</f>
        <v/>
      </c>
      <c r="J423" s="74" t="inlineStr">
        <is>
          <t>Maio/2026</t>
        </is>
      </c>
    </row>
    <row r="424" hidden="1" ht="14.25" customHeight="1" s="64">
      <c r="A424" s="106" t="inlineStr">
        <is>
          <t>Comercial Corporativo</t>
        </is>
      </c>
      <c r="B424" s="106">
        <f>INDEX(SETORES!$B:$B,MATCH(A424,SETORES!$A:$A,0))</f>
        <v/>
      </c>
      <c r="C424" s="106" t="inlineStr">
        <is>
          <t>Empresa Licenciada H&amp;A</t>
        </is>
      </c>
      <c r="D424" s="77">
        <f>IF(B424="Clientes",SUMIFS(PARÂMETROS!$D$8:$D$907,PARÂMETROS!$A$8:$A$907,C424,PARÂMETROS!$G$8:$G$907,J424),SUMIFS(PARÂMETROS!$E$8:$E$907,PARÂMETROS!$A$8:$A$907,C424,PARÂMETROS!$G$8:$G$907,J424))</f>
        <v/>
      </c>
      <c r="E424" s="109">
        <f>SUMIFS(SETORES!$D:$D,SETORES!$A:$A,A424,SETORES!$F:$F,J424)</f>
        <v/>
      </c>
      <c r="F424" s="109">
        <f>IFERROR(D424*E424,0)</f>
        <v/>
      </c>
      <c r="G424" s="77">
        <f>SUMIFS(PARÂMETROS!$F$8:$F$907,PARÂMETROS!$A$8:$A$907,C424,PARÂMETROS!$G$8:$G$907,J424)</f>
        <v/>
      </c>
      <c r="H424" s="109">
        <f>IFERROR(F424*G424,0)</f>
        <v/>
      </c>
      <c r="I424" s="109">
        <f>F424+H424</f>
        <v/>
      </c>
      <c r="J424" s="106" t="inlineStr">
        <is>
          <t>Maio/2026</t>
        </is>
      </c>
    </row>
    <row r="425" hidden="1" ht="14.25" customHeight="1" s="64">
      <c r="A425" s="74" t="inlineStr">
        <is>
          <t>Comercial Corporativo</t>
        </is>
      </c>
      <c r="B425" s="83">
        <f>INDEX(SETORES!$B:$B,MATCH(A425,SETORES!$A:$A,0))</f>
        <v/>
      </c>
      <c r="C425" s="74" t="inlineStr">
        <is>
          <t>Empresa Licenciada SOLON ARAUJO</t>
        </is>
      </c>
      <c r="D425" s="72">
        <f>IF(B425="Clientes",SUMIFS(PARÂMETROS!$D$8:$D$907,PARÂMETROS!$A$8:$A$907,C425,PARÂMETROS!$G$8:$G$907,J425),SUMIFS(PARÂMETROS!$E$8:$E$907,PARÂMETROS!$A$8:$A$907,C425,PARÂMETROS!$G$8:$G$907,J425))</f>
        <v/>
      </c>
      <c r="E425" s="84">
        <f>SUMIFS(SETORES!$D:$D,SETORES!$A:$A,A425,SETORES!$F:$F,J425)</f>
        <v/>
      </c>
      <c r="F425" s="84">
        <f>IFERROR(D425*E425,0)</f>
        <v/>
      </c>
      <c r="G425" s="72">
        <f>SUMIFS(PARÂMETROS!$F$8:$F$907,PARÂMETROS!$A$8:$A$907,C425,PARÂMETROS!$G$8:$G$907,J425)</f>
        <v/>
      </c>
      <c r="H425" s="84">
        <f>IFERROR(F425*G425,0)</f>
        <v/>
      </c>
      <c r="I425" s="84">
        <f>F425+H425</f>
        <v/>
      </c>
      <c r="J425" s="74" t="inlineStr">
        <is>
          <t>Maio/2026</t>
        </is>
      </c>
    </row>
    <row r="426" ht="14.25" customHeight="1" s="64">
      <c r="A426" s="106" t="inlineStr">
        <is>
          <t>Comercial Corporativo</t>
        </is>
      </c>
      <c r="B426" s="106">
        <f>INDEX(SETORES!$B:$B,MATCH(A426,SETORES!$A:$A,0))</f>
        <v/>
      </c>
      <c r="C426" s="106" t="inlineStr">
        <is>
          <t>Empresa Licenciada SOARES E LINS</t>
        </is>
      </c>
      <c r="D426" s="77">
        <f>IF(B426="Clientes",SUMIFS(PARÂMETROS!$D$8:$D$907,PARÂMETROS!$A$8:$A$907,C426,PARÂMETROS!$G$8:$G$907,J426),SUMIFS(PARÂMETROS!$E$8:$E$907,PARÂMETROS!$A$8:$A$907,C426,PARÂMETROS!$G$8:$G$907,J426))</f>
        <v/>
      </c>
      <c r="E426" s="109">
        <f>SUMIFS(SETORES!$D:$D,SETORES!$A:$A,A426,SETORES!$F:$F,J426)</f>
        <v/>
      </c>
      <c r="F426" s="109">
        <f>IFERROR(D426*E426,0)</f>
        <v/>
      </c>
      <c r="G426" s="77">
        <f>SUMIFS(PARÂMETROS!$F$8:$F$907,PARÂMETROS!$A$8:$A$907,C426,PARÂMETROS!$G$8:$G$907,J426)</f>
        <v/>
      </c>
      <c r="H426" s="109">
        <f>IFERROR(F426*G426,0)</f>
        <v/>
      </c>
      <c r="I426" s="109">
        <f>F426+H426</f>
        <v/>
      </c>
      <c r="J426" s="106" t="inlineStr">
        <is>
          <t>Maio/2026</t>
        </is>
      </c>
    </row>
    <row r="427" hidden="1" ht="14.25" customHeight="1" s="64">
      <c r="A427" s="74" t="inlineStr">
        <is>
          <t>Comercial Corporativo</t>
        </is>
      </c>
      <c r="B427" s="83">
        <f>INDEX(SETORES!$B:$B,MATCH(A427,SETORES!$A:$A,0))</f>
        <v/>
      </c>
      <c r="C427" s="74" t="inlineStr">
        <is>
          <t>Empresa Licenciada SOARES E SILVA</t>
        </is>
      </c>
      <c r="D427" s="72">
        <f>IF(B427="Clientes",SUMIFS(PARÂMETROS!$D$8:$D$907,PARÂMETROS!$A$8:$A$907,C427,PARÂMETROS!$G$8:$G$907,J427),SUMIFS(PARÂMETROS!$E$8:$E$907,PARÂMETROS!$A$8:$A$907,C427,PARÂMETROS!$G$8:$G$907,J427))</f>
        <v/>
      </c>
      <c r="E427" s="84">
        <f>SUMIFS(SETORES!$D:$D,SETORES!$A:$A,A427,SETORES!$F:$F,J427)</f>
        <v/>
      </c>
      <c r="F427" s="84">
        <f>IFERROR(D427*E427,0)</f>
        <v/>
      </c>
      <c r="G427" s="72">
        <f>SUMIFS(PARÂMETROS!$F$8:$F$907,PARÂMETROS!$A$8:$A$907,C427,PARÂMETROS!$G$8:$G$907,J427)</f>
        <v/>
      </c>
      <c r="H427" s="84">
        <f>IFERROR(F427*G427,0)</f>
        <v/>
      </c>
      <c r="I427" s="84">
        <f>F427+H427</f>
        <v/>
      </c>
      <c r="J427" s="74" t="inlineStr">
        <is>
          <t>Maio/2026</t>
        </is>
      </c>
    </row>
    <row r="428" hidden="1" ht="14.25" customHeight="1" s="64">
      <c r="A428" s="106" t="inlineStr">
        <is>
          <t>Comercial Corporativo</t>
        </is>
      </c>
      <c r="B428" s="106">
        <f>INDEX(SETORES!$B:$B,MATCH(A428,SETORES!$A:$A,0))</f>
        <v/>
      </c>
      <c r="C428" s="106" t="inlineStr">
        <is>
          <t>Empresa Licenciada SOUZA E SILVA</t>
        </is>
      </c>
      <c r="D428" s="77">
        <f>IF(B428="Clientes",SUMIFS(PARÂMETROS!$D$8:$D$907,PARÂMETROS!$A$8:$A$907,C428,PARÂMETROS!$G$8:$G$907,J428),SUMIFS(PARÂMETROS!$E$8:$E$907,PARÂMETROS!$A$8:$A$907,C428,PARÂMETROS!$G$8:$G$907,J428))</f>
        <v/>
      </c>
      <c r="E428" s="109">
        <f>SUMIFS(SETORES!$D:$D,SETORES!$A:$A,A428,SETORES!$F:$F,J428)</f>
        <v/>
      </c>
      <c r="F428" s="109">
        <f>IFERROR(D428*E428,0)</f>
        <v/>
      </c>
      <c r="G428" s="77">
        <f>SUMIFS(PARÂMETROS!$F$8:$F$907,PARÂMETROS!$A$8:$A$907,C428,PARÂMETROS!$G$8:$G$907,J428)</f>
        <v/>
      </c>
      <c r="H428" s="109">
        <f>IFERROR(F428*G428,0)</f>
        <v/>
      </c>
      <c r="I428" s="109">
        <f>F428+H428</f>
        <v/>
      </c>
      <c r="J428" s="106" t="inlineStr">
        <is>
          <t>Maio/2026</t>
        </is>
      </c>
    </row>
    <row r="429" hidden="1" ht="14.25" customHeight="1" s="64">
      <c r="A429" s="74" t="inlineStr">
        <is>
          <t>Comercial Corporativo</t>
        </is>
      </c>
      <c r="B429" s="83">
        <f>INDEX(SETORES!$B:$B,MATCH(A429,SETORES!$A:$A,0))</f>
        <v/>
      </c>
      <c r="C429" s="74" t="inlineStr">
        <is>
          <t>Empresa Licenciada VOICENET</t>
        </is>
      </c>
      <c r="D429" s="72">
        <f>IF(B429="Clientes",SUMIFS(PARÂMETROS!$D$8:$D$907,PARÂMETROS!$A$8:$A$907,C429,PARÂMETROS!$G$8:$G$907,J429),SUMIFS(PARÂMETROS!$E$8:$E$907,PARÂMETROS!$A$8:$A$907,C429,PARÂMETROS!$G$8:$G$907,J429))</f>
        <v/>
      </c>
      <c r="E429" s="84">
        <f>SUMIFS(SETORES!$D:$D,SETORES!$A:$A,A429,SETORES!$F:$F,J429)</f>
        <v/>
      </c>
      <c r="F429" s="84">
        <f>IFERROR(D429*E429,0)</f>
        <v/>
      </c>
      <c r="G429" s="72">
        <f>SUMIFS(PARÂMETROS!$F$8:$F$907,PARÂMETROS!$A$8:$A$907,C429,PARÂMETROS!$G$8:$G$907,J429)</f>
        <v/>
      </c>
      <c r="H429" s="84">
        <f>IFERROR(F429*G429,0)</f>
        <v/>
      </c>
      <c r="I429" s="84">
        <f>F429+H429</f>
        <v/>
      </c>
      <c r="J429" s="74" t="inlineStr">
        <is>
          <t>Maio/2026</t>
        </is>
      </c>
    </row>
    <row r="430" hidden="1" ht="15" customHeight="1" s="64">
      <c r="A430" s="106" t="inlineStr">
        <is>
          <t>Comercial Corporativo</t>
        </is>
      </c>
      <c r="B430" s="106">
        <f>INDEX(SETORES!$B:$B,MATCH(A430,SETORES!$A:$A,0))</f>
        <v/>
      </c>
      <c r="C430" s="106" t="inlineStr">
        <is>
          <t>DTEL (uso próprio)</t>
        </is>
      </c>
      <c r="D430" s="77">
        <f>IF(B430="Clientes",SUMIFS(PARÂMETROS!$D$8:$D$907,PARÂMETROS!$A$8:$A$907,C430,PARÂMETROS!$G$8:$G$907,J430),SUMIFS(PARÂMETROS!$E$8:$E$907,PARÂMETROS!$A$8:$A$907,C430,PARÂMETROS!$G$8:$G$907,J430))</f>
        <v/>
      </c>
      <c r="E430" s="109">
        <f>SUMIFS(SETORES!$D:$D,SETORES!$A:$A,A430,SETORES!$F:$F,J430)</f>
        <v/>
      </c>
      <c r="F430" s="109">
        <f>IFERROR(D430*E430,0)</f>
        <v/>
      </c>
      <c r="G430" s="77">
        <f>SUMIFS(PARÂMETROS!$F$8:$F$907,PARÂMETROS!$A$8:$A$907,C430,PARÂMETROS!$G$8:$G$907,J430)</f>
        <v/>
      </c>
      <c r="H430" s="109">
        <f>IFERROR(F430*G430,0)</f>
        <v/>
      </c>
      <c r="I430" s="109">
        <f>F430+H430</f>
        <v/>
      </c>
      <c r="J430" s="106" t="inlineStr">
        <is>
          <t>Maio/2026</t>
        </is>
      </c>
    </row>
    <row r="431" hidden="1" ht="15" customHeight="1" s="64">
      <c r="A431" s="74" t="inlineStr">
        <is>
          <t>Administrativo</t>
        </is>
      </c>
      <c r="B431" s="83">
        <f>INDEX(SETORES!$B:$B,MATCH(A431,SETORES!$A:$A,0))</f>
        <v/>
      </c>
      <c r="C431" s="74" t="inlineStr">
        <is>
          <t>Empresa Licenciada DX2</t>
        </is>
      </c>
      <c r="D431" s="72">
        <f>IF(B431="Clientes",SUMIFS(PARÂMETROS!$D$8:$D$907,PARÂMETROS!$A$8:$A$907,C431,PARÂMETROS!$G$8:$G$907,J431),SUMIFS(PARÂMETROS!$E$8:$E$907,PARÂMETROS!$A$8:$A$907,C431,PARÂMETROS!$G$8:$G$907,J431))</f>
        <v/>
      </c>
      <c r="E431" s="84">
        <f>SUMIFS(SETORES!$D:$D,SETORES!$A:$A,A431,SETORES!$F:$F,J431)</f>
        <v/>
      </c>
      <c r="F431" s="84">
        <f>IFERROR(D431*E431,0)</f>
        <v/>
      </c>
      <c r="G431" s="72">
        <f>SUMIFS(PARÂMETROS!$F$8:$F$907,PARÂMETROS!$A$8:$A$907,C431,PARÂMETROS!$G$8:$G$907,J431)</f>
        <v/>
      </c>
      <c r="H431" s="84">
        <f>IFERROR(F431*G431,0)</f>
        <v/>
      </c>
      <c r="I431" s="84">
        <f>F431+H431</f>
        <v/>
      </c>
      <c r="J431" s="74" t="inlineStr">
        <is>
          <t>Maio/2026</t>
        </is>
      </c>
    </row>
    <row r="432" hidden="1" ht="15" customHeight="1" s="64">
      <c r="A432" s="106" t="inlineStr">
        <is>
          <t>Administrativo</t>
        </is>
      </c>
      <c r="B432" s="106">
        <f>INDEX(SETORES!$B:$B,MATCH(A432,SETORES!$A:$A,0))</f>
        <v/>
      </c>
      <c r="C432" s="106" t="inlineStr">
        <is>
          <t>Empresa Licenciada H&amp;A</t>
        </is>
      </c>
      <c r="D432" s="77">
        <f>IF(B432="Clientes",SUMIFS(PARÂMETROS!$D$8:$D$907,PARÂMETROS!$A$8:$A$907,C432,PARÂMETROS!$G$8:$G$907,J432),SUMIFS(PARÂMETROS!$E$8:$E$907,PARÂMETROS!$A$8:$A$907,C432,PARÂMETROS!$G$8:$G$907,J432))</f>
        <v/>
      </c>
      <c r="E432" s="109">
        <f>SUMIFS(SETORES!$D:$D,SETORES!$A:$A,A432,SETORES!$F:$F,J432)</f>
        <v/>
      </c>
      <c r="F432" s="109">
        <f>IFERROR(D432*E432,0)</f>
        <v/>
      </c>
      <c r="G432" s="77">
        <f>SUMIFS(PARÂMETROS!$F$8:$F$907,PARÂMETROS!$A$8:$A$907,C432,PARÂMETROS!$G$8:$G$907,J432)</f>
        <v/>
      </c>
      <c r="H432" s="109">
        <f>IFERROR(F432*G432,0)</f>
        <v/>
      </c>
      <c r="I432" s="109">
        <f>F432+H432</f>
        <v/>
      </c>
      <c r="J432" s="106" t="inlineStr">
        <is>
          <t>Maio/2026</t>
        </is>
      </c>
    </row>
    <row r="433" hidden="1" ht="15" customHeight="1" s="64">
      <c r="A433" s="74" t="inlineStr">
        <is>
          <t>Administrativo</t>
        </is>
      </c>
      <c r="B433" s="83">
        <f>INDEX(SETORES!$B:$B,MATCH(A433,SETORES!$A:$A,0))</f>
        <v/>
      </c>
      <c r="C433" s="74" t="inlineStr">
        <is>
          <t>Empresa Licenciada SOLON ARAUJO</t>
        </is>
      </c>
      <c r="D433" s="72">
        <f>IF(B433="Clientes",SUMIFS(PARÂMETROS!$D$8:$D$907,PARÂMETROS!$A$8:$A$907,C433,PARÂMETROS!$G$8:$G$907,J433),SUMIFS(PARÂMETROS!$E$8:$E$907,PARÂMETROS!$A$8:$A$907,C433,PARÂMETROS!$G$8:$G$907,J433))</f>
        <v/>
      </c>
      <c r="E433" s="84">
        <f>SUMIFS(SETORES!$D:$D,SETORES!$A:$A,A433,SETORES!$F:$F,J433)</f>
        <v/>
      </c>
      <c r="F433" s="84">
        <f>IFERROR(D433*E433,0)</f>
        <v/>
      </c>
      <c r="G433" s="72">
        <f>SUMIFS(PARÂMETROS!$F$8:$F$907,PARÂMETROS!$A$8:$A$907,C433,PARÂMETROS!$G$8:$G$907,J433)</f>
        <v/>
      </c>
      <c r="H433" s="84">
        <f>IFERROR(F433*G433,0)</f>
        <v/>
      </c>
      <c r="I433" s="84">
        <f>F433+H433</f>
        <v/>
      </c>
      <c r="J433" s="74" t="inlineStr">
        <is>
          <t>Maio/2026</t>
        </is>
      </c>
    </row>
    <row r="434" ht="15" customHeight="1" s="64">
      <c r="A434" s="106" t="inlineStr">
        <is>
          <t>Administrativo</t>
        </is>
      </c>
      <c r="B434" s="106">
        <f>INDEX(SETORES!$B:$B,MATCH(A434,SETORES!$A:$A,0))</f>
        <v/>
      </c>
      <c r="C434" s="106" t="inlineStr">
        <is>
          <t>Empresa Licenciada SOARES E LINS</t>
        </is>
      </c>
      <c r="D434" s="77">
        <f>IF(B434="Clientes",SUMIFS(PARÂMETROS!$D$8:$D$907,PARÂMETROS!$A$8:$A$907,C434,PARÂMETROS!$G$8:$G$907,J434),SUMIFS(PARÂMETROS!$E$8:$E$907,PARÂMETROS!$A$8:$A$907,C434,PARÂMETROS!$G$8:$G$907,J434))</f>
        <v/>
      </c>
      <c r="E434" s="109">
        <f>SUMIFS(SETORES!$D:$D,SETORES!$A:$A,A434,SETORES!$F:$F,J434)</f>
        <v/>
      </c>
      <c r="F434" s="109">
        <f>IFERROR(D434*E434,0)</f>
        <v/>
      </c>
      <c r="G434" s="77">
        <f>SUMIFS(PARÂMETROS!$F$8:$F$907,PARÂMETROS!$A$8:$A$907,C434,PARÂMETROS!$G$8:$G$907,J434)</f>
        <v/>
      </c>
      <c r="H434" s="109">
        <f>IFERROR(F434*G434,0)</f>
        <v/>
      </c>
      <c r="I434" s="109">
        <f>F434+H434</f>
        <v/>
      </c>
      <c r="J434" s="106" t="inlineStr">
        <is>
          <t>Maio/2026</t>
        </is>
      </c>
    </row>
    <row r="435" hidden="1" ht="15" customHeight="1" s="64">
      <c r="A435" s="74" t="inlineStr">
        <is>
          <t>Administrativo</t>
        </is>
      </c>
      <c r="B435" s="83">
        <f>INDEX(SETORES!$B:$B,MATCH(A435,SETORES!$A:$A,0))</f>
        <v/>
      </c>
      <c r="C435" s="74" t="inlineStr">
        <is>
          <t>Empresa Licenciada SOARES E SILVA</t>
        </is>
      </c>
      <c r="D435" s="72">
        <f>IF(B435="Clientes",SUMIFS(PARÂMETROS!$D$8:$D$907,PARÂMETROS!$A$8:$A$907,C435,PARÂMETROS!$G$8:$G$907,J435),SUMIFS(PARÂMETROS!$E$8:$E$907,PARÂMETROS!$A$8:$A$907,C435,PARÂMETROS!$G$8:$G$907,J435))</f>
        <v/>
      </c>
      <c r="E435" s="84">
        <f>SUMIFS(SETORES!$D:$D,SETORES!$A:$A,A435,SETORES!$F:$F,J435)</f>
        <v/>
      </c>
      <c r="F435" s="84">
        <f>IFERROR(D435*E435,0)</f>
        <v/>
      </c>
      <c r="G435" s="72">
        <f>SUMIFS(PARÂMETROS!$F$8:$F$907,PARÂMETROS!$A$8:$A$907,C435,PARÂMETROS!$G$8:$G$907,J435)</f>
        <v/>
      </c>
      <c r="H435" s="84">
        <f>IFERROR(F435*G435,0)</f>
        <v/>
      </c>
      <c r="I435" s="84">
        <f>F435+H435</f>
        <v/>
      </c>
      <c r="J435" s="74" t="inlineStr">
        <is>
          <t>Maio/2026</t>
        </is>
      </c>
    </row>
    <row r="436" hidden="1" ht="14.25" customHeight="1" s="64">
      <c r="A436" s="106" t="inlineStr">
        <is>
          <t>Administrativo</t>
        </is>
      </c>
      <c r="B436" s="106">
        <f>INDEX(SETORES!$B:$B,MATCH(A436,SETORES!$A:$A,0))</f>
        <v/>
      </c>
      <c r="C436" s="106" t="inlineStr">
        <is>
          <t>Empresa Licenciada SOUZA E SILVA</t>
        </is>
      </c>
      <c r="D436" s="77">
        <f>IF(B436="Clientes",SUMIFS(PARÂMETROS!$D$8:$D$907,PARÂMETROS!$A$8:$A$907,C436,PARÂMETROS!$G$8:$G$907,J436),SUMIFS(PARÂMETROS!$E$8:$E$907,PARÂMETROS!$A$8:$A$907,C436,PARÂMETROS!$G$8:$G$907,J436))</f>
        <v/>
      </c>
      <c r="E436" s="109">
        <f>SUMIFS(SETORES!$D:$D,SETORES!$A:$A,A436,SETORES!$F:$F,J436)</f>
        <v/>
      </c>
      <c r="F436" s="109">
        <f>IFERROR(D436*E436,0)</f>
        <v/>
      </c>
      <c r="G436" s="77">
        <f>SUMIFS(PARÂMETROS!$F$8:$F$907,PARÂMETROS!$A$8:$A$907,C436,PARÂMETROS!$G$8:$G$907,J436)</f>
        <v/>
      </c>
      <c r="H436" s="109">
        <f>IFERROR(F436*G436,0)</f>
        <v/>
      </c>
      <c r="I436" s="109">
        <f>F436+H436</f>
        <v/>
      </c>
      <c r="J436" s="106" t="inlineStr">
        <is>
          <t>Maio/2026</t>
        </is>
      </c>
    </row>
    <row r="437" hidden="1" ht="14.25" customHeight="1" s="64">
      <c r="A437" s="74" t="inlineStr">
        <is>
          <t>Administrativo</t>
        </is>
      </c>
      <c r="B437" s="83">
        <f>INDEX(SETORES!$B:$B,MATCH(A437,SETORES!$A:$A,0))</f>
        <v/>
      </c>
      <c r="C437" s="74" t="inlineStr">
        <is>
          <t>Empresa Licenciada VOICENET</t>
        </is>
      </c>
      <c r="D437" s="72">
        <f>IF(B437="Clientes",SUMIFS(PARÂMETROS!$D$8:$D$907,PARÂMETROS!$A$8:$A$907,C437,PARÂMETROS!$G$8:$G$907,J437),SUMIFS(PARÂMETROS!$E$8:$E$907,PARÂMETROS!$A$8:$A$907,C437,PARÂMETROS!$G$8:$G$907,J437))</f>
        <v/>
      </c>
      <c r="E437" s="84">
        <f>SUMIFS(SETORES!$D:$D,SETORES!$A:$A,A437,SETORES!$F:$F,J437)</f>
        <v/>
      </c>
      <c r="F437" s="84">
        <f>IFERROR(D437*E437,0)</f>
        <v/>
      </c>
      <c r="G437" s="72">
        <f>SUMIFS(PARÂMETROS!$F$8:$F$907,PARÂMETROS!$A$8:$A$907,C437,PARÂMETROS!$G$8:$G$907,J437)</f>
        <v/>
      </c>
      <c r="H437" s="84">
        <f>IFERROR(F437*G437,0)</f>
        <v/>
      </c>
      <c r="I437" s="84">
        <f>F437+H437</f>
        <v/>
      </c>
      <c r="J437" s="74" t="inlineStr">
        <is>
          <t>Maio/2026</t>
        </is>
      </c>
    </row>
    <row r="438" hidden="1" ht="14.25" customHeight="1" s="64">
      <c r="A438" s="106" t="inlineStr">
        <is>
          <t>Administrativo</t>
        </is>
      </c>
      <c r="B438" s="106">
        <f>INDEX(SETORES!$B:$B,MATCH(A438,SETORES!$A:$A,0))</f>
        <v/>
      </c>
      <c r="C438" s="106" t="inlineStr">
        <is>
          <t>DTEL (uso próprio)</t>
        </is>
      </c>
      <c r="D438" s="77">
        <f>IF(B438="Clientes",SUMIFS(PARÂMETROS!$D$8:$D$907,PARÂMETROS!$A$8:$A$907,C438,PARÂMETROS!$G$8:$G$907,J438),SUMIFS(PARÂMETROS!$E$8:$E$907,PARÂMETROS!$A$8:$A$907,C438,PARÂMETROS!$G$8:$G$907,J438))</f>
        <v/>
      </c>
      <c r="E438" s="109">
        <f>SUMIFS(SETORES!$D:$D,SETORES!$A:$A,A438,SETORES!$F:$F,J438)</f>
        <v/>
      </c>
      <c r="F438" s="109">
        <f>IFERROR(D438*E438,0)</f>
        <v/>
      </c>
      <c r="G438" s="77">
        <f>SUMIFS(PARÂMETROS!$F$8:$F$907,PARÂMETROS!$A$8:$A$907,C438,PARÂMETROS!$G$8:$G$907,J438)</f>
        <v/>
      </c>
      <c r="H438" s="109">
        <f>IFERROR(F438*G438,0)</f>
        <v/>
      </c>
      <c r="I438" s="109">
        <f>F438+H438</f>
        <v/>
      </c>
      <c r="J438" s="106" t="inlineStr">
        <is>
          <t>Maio/2026</t>
        </is>
      </c>
    </row>
    <row r="439" hidden="1" ht="14.25" customHeight="1" s="64">
      <c r="A439" s="74" t="inlineStr">
        <is>
          <t>NOC</t>
        </is>
      </c>
      <c r="B439" s="83">
        <f>INDEX(SETORES!$B:$B,MATCH(A439,SETORES!$A:$A,0))</f>
        <v/>
      </c>
      <c r="C439" s="74" t="inlineStr">
        <is>
          <t>Empresa Licenciada DX2</t>
        </is>
      </c>
      <c r="D439" s="72">
        <f>IF(B439="Clientes",SUMIFS(PARÂMETROS!$D$8:$D$907,PARÂMETROS!$A$8:$A$907,C439,PARÂMETROS!$G$8:$G$907,J439),SUMIFS(PARÂMETROS!$E$8:$E$907,PARÂMETROS!$A$8:$A$907,C439,PARÂMETROS!$G$8:$G$907,J439))</f>
        <v/>
      </c>
      <c r="E439" s="84">
        <f>SUMIFS(SETORES!$D:$D,SETORES!$A:$A,A439,SETORES!$F:$F,J439)</f>
        <v/>
      </c>
      <c r="F439" s="84">
        <f>IFERROR(D439*E439,0)</f>
        <v/>
      </c>
      <c r="G439" s="72">
        <f>SUMIFS(PARÂMETROS!$F$8:$F$907,PARÂMETROS!$A$8:$A$907,C439,PARÂMETROS!$G$8:$G$907,J439)</f>
        <v/>
      </c>
      <c r="H439" s="84">
        <f>IFERROR(F439*G439,0)</f>
        <v/>
      </c>
      <c r="I439" s="84">
        <f>F439+H439</f>
        <v/>
      </c>
      <c r="J439" s="74" t="inlineStr">
        <is>
          <t>Julho/2026</t>
        </is>
      </c>
    </row>
    <row r="440" hidden="1" ht="14.25" customHeight="1" s="64">
      <c r="A440" s="106" t="inlineStr">
        <is>
          <t>NOC</t>
        </is>
      </c>
      <c r="B440" s="106">
        <f>INDEX(SETORES!$B:$B,MATCH(A440,SETORES!$A:$A,0))</f>
        <v/>
      </c>
      <c r="C440" s="106" t="inlineStr">
        <is>
          <t>Empresa Licenciada H&amp;A</t>
        </is>
      </c>
      <c r="D440" s="77">
        <f>IF(B440="Clientes",SUMIFS(PARÂMETROS!$D$8:$D$907,PARÂMETROS!$A$8:$A$907,C440,PARÂMETROS!$G$8:$G$907,J440),SUMIFS(PARÂMETROS!$E$8:$E$907,PARÂMETROS!$A$8:$A$907,C440,PARÂMETROS!$G$8:$G$907,J440))</f>
        <v/>
      </c>
      <c r="E440" s="109">
        <f>SUMIFS(SETORES!$D:$D,SETORES!$A:$A,A440,SETORES!$F:$F,J440)</f>
        <v/>
      </c>
      <c r="F440" s="109">
        <f>IFERROR(D440*E440,0)</f>
        <v/>
      </c>
      <c r="G440" s="77">
        <f>SUMIFS(PARÂMETROS!$F$8:$F$907,PARÂMETROS!$A$8:$A$907,C440,PARÂMETROS!$G$8:$G$907,J440)</f>
        <v/>
      </c>
      <c r="H440" s="109">
        <f>IFERROR(F440*G440,0)</f>
        <v/>
      </c>
      <c r="I440" s="109">
        <f>F440+H440</f>
        <v/>
      </c>
      <c r="J440" s="106" t="inlineStr">
        <is>
          <t>Julho/2026</t>
        </is>
      </c>
    </row>
    <row r="441" hidden="1" ht="14.25" customHeight="1" s="64">
      <c r="A441" s="74" t="inlineStr">
        <is>
          <t>NOC</t>
        </is>
      </c>
      <c r="B441" s="83">
        <f>INDEX(SETORES!$B:$B,MATCH(A441,SETORES!$A:$A,0))</f>
        <v/>
      </c>
      <c r="C441" s="74" t="inlineStr">
        <is>
          <t>Empresa Licenciada SOLON ARAUJO</t>
        </is>
      </c>
      <c r="D441" s="72">
        <f>IF(B441="Clientes",SUMIFS(PARÂMETROS!$D$8:$D$907,PARÂMETROS!$A$8:$A$907,C441,PARÂMETROS!$G$8:$G$907,J441),SUMIFS(PARÂMETROS!$E$8:$E$907,PARÂMETROS!$A$8:$A$907,C441,PARÂMETROS!$G$8:$G$907,J441))</f>
        <v/>
      </c>
      <c r="E441" s="84">
        <f>SUMIFS(SETORES!$D:$D,SETORES!$A:$A,A441,SETORES!$F:$F,J441)</f>
        <v/>
      </c>
      <c r="F441" s="84">
        <f>IFERROR(D441*E441,0)</f>
        <v/>
      </c>
      <c r="G441" s="72">
        <f>SUMIFS(PARÂMETROS!$F$8:$F$907,PARÂMETROS!$A$8:$A$907,C441,PARÂMETROS!$G$8:$G$907,J441)</f>
        <v/>
      </c>
      <c r="H441" s="84">
        <f>IFERROR(F441*G441,0)</f>
        <v/>
      </c>
      <c r="I441" s="84">
        <f>F441+H441</f>
        <v/>
      </c>
      <c r="J441" s="74" t="inlineStr">
        <is>
          <t>Julho/2026</t>
        </is>
      </c>
    </row>
    <row r="442" ht="14.25" customHeight="1" s="64">
      <c r="A442" s="106" t="inlineStr">
        <is>
          <t>NOC</t>
        </is>
      </c>
      <c r="B442" s="106">
        <f>INDEX(SETORES!$B:$B,MATCH(A442,SETORES!$A:$A,0))</f>
        <v/>
      </c>
      <c r="C442" s="106" t="inlineStr">
        <is>
          <t>Empresa Licenciada SOARES E LINS</t>
        </is>
      </c>
      <c r="D442" s="77">
        <f>IF(B442="Clientes",SUMIFS(PARÂMETROS!$D$8:$D$907,PARÂMETROS!$A$8:$A$907,C442,PARÂMETROS!$G$8:$G$907,J442),SUMIFS(PARÂMETROS!$E$8:$E$907,PARÂMETROS!$A$8:$A$907,C442,PARÂMETROS!$G$8:$G$907,J442))</f>
        <v/>
      </c>
      <c r="E442" s="109">
        <f>SUMIFS(SETORES!$D:$D,SETORES!$A:$A,A442,SETORES!$F:$F,J442)</f>
        <v/>
      </c>
      <c r="F442" s="109">
        <f>IFERROR(D442*E442,0)</f>
        <v/>
      </c>
      <c r="G442" s="77">
        <f>SUMIFS(PARÂMETROS!$F$8:$F$907,PARÂMETROS!$A$8:$A$907,C442,PARÂMETROS!$G$8:$G$907,J442)</f>
        <v/>
      </c>
      <c r="H442" s="109">
        <f>IFERROR(F442*G442,0)</f>
        <v/>
      </c>
      <c r="I442" s="109">
        <f>F442+H442</f>
        <v/>
      </c>
      <c r="J442" s="106" t="inlineStr">
        <is>
          <t>Julho/2026</t>
        </is>
      </c>
    </row>
    <row r="443" hidden="1" ht="14.25" customHeight="1" s="64">
      <c r="A443" s="74" t="inlineStr">
        <is>
          <t>NOC</t>
        </is>
      </c>
      <c r="B443" s="83">
        <f>INDEX(SETORES!$B:$B,MATCH(A443,SETORES!$A:$A,0))</f>
        <v/>
      </c>
      <c r="C443" s="74" t="inlineStr">
        <is>
          <t>Empresa Licenciada SOARES E SILVA</t>
        </is>
      </c>
      <c r="D443" s="72">
        <f>IF(B443="Clientes",SUMIFS(PARÂMETROS!$D$8:$D$907,PARÂMETROS!$A$8:$A$907,C443,PARÂMETROS!$G$8:$G$907,J443),SUMIFS(PARÂMETROS!$E$8:$E$907,PARÂMETROS!$A$8:$A$907,C443,PARÂMETROS!$G$8:$G$907,J443))</f>
        <v/>
      </c>
      <c r="E443" s="84">
        <f>SUMIFS(SETORES!$D:$D,SETORES!$A:$A,A443,SETORES!$F:$F,J443)</f>
        <v/>
      </c>
      <c r="F443" s="84">
        <f>IFERROR(D443*E443,0)</f>
        <v/>
      </c>
      <c r="G443" s="72">
        <f>SUMIFS(PARÂMETROS!$F$8:$F$907,PARÂMETROS!$A$8:$A$907,C443,PARÂMETROS!$G$8:$G$907,J443)</f>
        <v/>
      </c>
      <c r="H443" s="84">
        <f>IFERROR(F443*G443,0)</f>
        <v/>
      </c>
      <c r="I443" s="84">
        <f>F443+H443</f>
        <v/>
      </c>
      <c r="J443" s="74" t="inlineStr">
        <is>
          <t>Julho/2026</t>
        </is>
      </c>
    </row>
    <row r="444" hidden="1" ht="14.25" customHeight="1" s="64">
      <c r="A444" s="106" t="inlineStr">
        <is>
          <t>NOC</t>
        </is>
      </c>
      <c r="B444" s="106">
        <f>INDEX(SETORES!$B:$B,MATCH(A444,SETORES!$A:$A,0))</f>
        <v/>
      </c>
      <c r="C444" s="106" t="inlineStr">
        <is>
          <t>Empresa Licenciada SOUZA E SILVA</t>
        </is>
      </c>
      <c r="D444" s="77">
        <f>IF(B444="Clientes",SUMIFS(PARÂMETROS!$D$8:$D$907,PARÂMETROS!$A$8:$A$907,C444,PARÂMETROS!$G$8:$G$907,J444),SUMIFS(PARÂMETROS!$E$8:$E$907,PARÂMETROS!$A$8:$A$907,C444,PARÂMETROS!$G$8:$G$907,J444))</f>
        <v/>
      </c>
      <c r="E444" s="109">
        <f>SUMIFS(SETORES!$D:$D,SETORES!$A:$A,A444,SETORES!$F:$F,J444)</f>
        <v/>
      </c>
      <c r="F444" s="109">
        <f>IFERROR(D444*E444,0)</f>
        <v/>
      </c>
      <c r="G444" s="77">
        <f>SUMIFS(PARÂMETROS!$F$8:$F$907,PARÂMETROS!$A$8:$A$907,C444,PARÂMETROS!$G$8:$G$907,J444)</f>
        <v/>
      </c>
      <c r="H444" s="109">
        <f>IFERROR(F444*G444,0)</f>
        <v/>
      </c>
      <c r="I444" s="109">
        <f>F444+H444</f>
        <v/>
      </c>
      <c r="J444" s="106" t="inlineStr">
        <is>
          <t>Julho/2026</t>
        </is>
      </c>
    </row>
    <row r="445" hidden="1" ht="14.25" customHeight="1" s="64">
      <c r="A445" s="74" t="inlineStr">
        <is>
          <t>NOC</t>
        </is>
      </c>
      <c r="B445" s="83">
        <f>INDEX(SETORES!$B:$B,MATCH(A445,SETORES!$A:$A,0))</f>
        <v/>
      </c>
      <c r="C445" s="74" t="inlineStr">
        <is>
          <t>Empresa Licenciada VOICENET</t>
        </is>
      </c>
      <c r="D445" s="72">
        <f>IF(B445="Clientes",SUMIFS(PARÂMETROS!$D$8:$D$907,PARÂMETROS!$A$8:$A$907,C445,PARÂMETROS!$G$8:$G$907,J445),SUMIFS(PARÂMETROS!$E$8:$E$907,PARÂMETROS!$A$8:$A$907,C445,PARÂMETROS!$G$8:$G$907,J445))</f>
        <v/>
      </c>
      <c r="E445" s="84">
        <f>SUMIFS(SETORES!$D:$D,SETORES!$A:$A,A445,SETORES!$F:$F,J445)</f>
        <v/>
      </c>
      <c r="F445" s="84">
        <f>IFERROR(D445*E445,0)</f>
        <v/>
      </c>
      <c r="G445" s="72">
        <f>SUMIFS(PARÂMETROS!$F$8:$F$907,PARÂMETROS!$A$8:$A$907,C445,PARÂMETROS!$G$8:$G$907,J445)</f>
        <v/>
      </c>
      <c r="H445" s="84">
        <f>IFERROR(F445*G445,0)</f>
        <v/>
      </c>
      <c r="I445" s="84">
        <f>F445+H445</f>
        <v/>
      </c>
      <c r="J445" s="74" t="inlineStr">
        <is>
          <t>Julho/2026</t>
        </is>
      </c>
    </row>
    <row r="446" hidden="1" ht="14.25" customHeight="1" s="64">
      <c r="A446" s="106" t="inlineStr">
        <is>
          <t>NOC</t>
        </is>
      </c>
      <c r="B446" s="106">
        <f>INDEX(SETORES!$B:$B,MATCH(A446,SETORES!$A:$A,0))</f>
        <v/>
      </c>
      <c r="C446" s="106" t="inlineStr">
        <is>
          <t>DTEL (uso próprio)</t>
        </is>
      </c>
      <c r="D446" s="77">
        <f>IF(B446="Clientes",SUMIFS(PARÂMETROS!$D$8:$D$907,PARÂMETROS!$A$8:$A$907,C446,PARÂMETROS!$G$8:$G$907,J446),SUMIFS(PARÂMETROS!$E$8:$E$907,PARÂMETROS!$A$8:$A$907,C446,PARÂMETROS!$G$8:$G$907,J446))</f>
        <v/>
      </c>
      <c r="E446" s="109">
        <f>SUMIFS(SETORES!$D:$D,SETORES!$A:$A,A446,SETORES!$F:$F,J446)</f>
        <v/>
      </c>
      <c r="F446" s="109">
        <f>IFERROR(D446*E446,0)</f>
        <v/>
      </c>
      <c r="G446" s="77">
        <f>SUMIFS(PARÂMETROS!$F$8:$F$907,PARÂMETROS!$A$8:$A$907,C446,PARÂMETROS!$G$8:$G$907,J446)</f>
        <v/>
      </c>
      <c r="H446" s="109">
        <f>IFERROR(F446*G446,0)</f>
        <v/>
      </c>
      <c r="I446" s="109">
        <f>F446+H446</f>
        <v/>
      </c>
      <c r="J446" s="106" t="inlineStr">
        <is>
          <t>Julho/2026</t>
        </is>
      </c>
    </row>
    <row r="447" hidden="1" ht="14.25" customHeight="1" s="64">
      <c r="A447" s="74" t="inlineStr">
        <is>
          <t>RH</t>
        </is>
      </c>
      <c r="B447" s="83">
        <f>INDEX(SETORES!$B:$B,MATCH(A447,SETORES!$A:$A,0))</f>
        <v/>
      </c>
      <c r="C447" s="74" t="inlineStr">
        <is>
          <t>Empresa Licenciada DX2</t>
        </is>
      </c>
      <c r="D447" s="72">
        <f>IF(B447="Clientes",SUMIFS(PARÂMETROS!$D$8:$D$907,PARÂMETROS!$A$8:$A$907,C447,PARÂMETROS!$G$8:$G$907,J447),SUMIFS(PARÂMETROS!$E$8:$E$907,PARÂMETROS!$A$8:$A$907,C447,PARÂMETROS!$G$8:$G$907,J447))</f>
        <v/>
      </c>
      <c r="E447" s="84">
        <f>SUMIFS(SETORES!$D:$D,SETORES!$A:$A,A447,SETORES!$F:$F,J447)</f>
        <v/>
      </c>
      <c r="F447" s="84">
        <f>IFERROR(D447*E447,0)</f>
        <v/>
      </c>
      <c r="G447" s="72">
        <f>SUMIFS(PARÂMETROS!$F$8:$F$907,PARÂMETROS!$A$8:$A$907,C447,PARÂMETROS!$G$8:$G$907,J447)</f>
        <v/>
      </c>
      <c r="H447" s="84">
        <f>IFERROR(F447*G447,0)</f>
        <v/>
      </c>
      <c r="I447" s="84">
        <f>F447+H447</f>
        <v/>
      </c>
      <c r="J447" s="74" t="inlineStr">
        <is>
          <t>Julho/2026</t>
        </is>
      </c>
    </row>
    <row r="448" hidden="1" ht="14.25" customHeight="1" s="64">
      <c r="A448" s="106" t="inlineStr">
        <is>
          <t>RH</t>
        </is>
      </c>
      <c r="B448" s="106">
        <f>INDEX(SETORES!$B:$B,MATCH(A448,SETORES!$A:$A,0))</f>
        <v/>
      </c>
      <c r="C448" s="106" t="inlineStr">
        <is>
          <t>Empresa Licenciada H&amp;A</t>
        </is>
      </c>
      <c r="D448" s="77">
        <f>IF(B448="Clientes",SUMIFS(PARÂMETROS!$D$8:$D$907,PARÂMETROS!$A$8:$A$907,C448,PARÂMETROS!$G$8:$G$907,J448),SUMIFS(PARÂMETROS!$E$8:$E$907,PARÂMETROS!$A$8:$A$907,C448,PARÂMETROS!$G$8:$G$907,J448))</f>
        <v/>
      </c>
      <c r="E448" s="109">
        <f>SUMIFS(SETORES!$D:$D,SETORES!$A:$A,A448,SETORES!$F:$F,J448)</f>
        <v/>
      </c>
      <c r="F448" s="109">
        <f>IFERROR(D448*E448,0)</f>
        <v/>
      </c>
      <c r="G448" s="77">
        <f>SUMIFS(PARÂMETROS!$F$8:$F$907,PARÂMETROS!$A$8:$A$907,C448,PARÂMETROS!$G$8:$G$907,J448)</f>
        <v/>
      </c>
      <c r="H448" s="109">
        <f>IFERROR(F448*G448,0)</f>
        <v/>
      </c>
      <c r="I448" s="109">
        <f>F448+H448</f>
        <v/>
      </c>
      <c r="J448" s="106" t="inlineStr">
        <is>
          <t>Julho/2026</t>
        </is>
      </c>
    </row>
    <row r="449" hidden="1" ht="14.25" customHeight="1" s="64">
      <c r="A449" s="74" t="inlineStr">
        <is>
          <t>RH</t>
        </is>
      </c>
      <c r="B449" s="83">
        <f>INDEX(SETORES!$B:$B,MATCH(A449,SETORES!$A:$A,0))</f>
        <v/>
      </c>
      <c r="C449" s="74" t="inlineStr">
        <is>
          <t>Empresa Licenciada SOLON ARAUJO</t>
        </is>
      </c>
      <c r="D449" s="72">
        <f>IF(B449="Clientes",SUMIFS(PARÂMETROS!$D$8:$D$907,PARÂMETROS!$A$8:$A$907,C449,PARÂMETROS!$G$8:$G$907,J449),SUMIFS(PARÂMETROS!$E$8:$E$907,PARÂMETROS!$A$8:$A$907,C449,PARÂMETROS!$G$8:$G$907,J449))</f>
        <v/>
      </c>
      <c r="E449" s="84">
        <f>SUMIFS(SETORES!$D:$D,SETORES!$A:$A,A449,SETORES!$F:$F,J449)</f>
        <v/>
      </c>
      <c r="F449" s="84">
        <f>IFERROR(D449*E449,0)</f>
        <v/>
      </c>
      <c r="G449" s="72">
        <f>SUMIFS(PARÂMETROS!$F$8:$F$907,PARÂMETROS!$A$8:$A$907,C449,PARÂMETROS!$G$8:$G$907,J449)</f>
        <v/>
      </c>
      <c r="H449" s="84">
        <f>IFERROR(F449*G449,0)</f>
        <v/>
      </c>
      <c r="I449" s="84">
        <f>F449+H449</f>
        <v/>
      </c>
      <c r="J449" s="74" t="inlineStr">
        <is>
          <t>Julho/2026</t>
        </is>
      </c>
    </row>
    <row r="450" ht="14.25" customHeight="1" s="64">
      <c r="A450" s="106" t="inlineStr">
        <is>
          <t>RH</t>
        </is>
      </c>
      <c r="B450" s="106">
        <f>INDEX(SETORES!$B:$B,MATCH(A450,SETORES!$A:$A,0))</f>
        <v/>
      </c>
      <c r="C450" s="106" t="inlineStr">
        <is>
          <t>Empresa Licenciada SOARES E LINS</t>
        </is>
      </c>
      <c r="D450" s="77">
        <f>IF(B450="Clientes",SUMIFS(PARÂMETROS!$D$8:$D$907,PARÂMETROS!$A$8:$A$907,C450,PARÂMETROS!$G$8:$G$907,J450),SUMIFS(PARÂMETROS!$E$8:$E$907,PARÂMETROS!$A$8:$A$907,C450,PARÂMETROS!$G$8:$G$907,J450))</f>
        <v/>
      </c>
      <c r="E450" s="109">
        <f>SUMIFS(SETORES!$D:$D,SETORES!$A:$A,A450,SETORES!$F:$F,J450)</f>
        <v/>
      </c>
      <c r="F450" s="109">
        <f>IFERROR(D450*E450,0)</f>
        <v/>
      </c>
      <c r="G450" s="77">
        <f>SUMIFS(PARÂMETROS!$F$8:$F$907,PARÂMETROS!$A$8:$A$907,C450,PARÂMETROS!$G$8:$G$907,J450)</f>
        <v/>
      </c>
      <c r="H450" s="109">
        <f>IFERROR(F450*G450,0)</f>
        <v/>
      </c>
      <c r="I450" s="109">
        <f>F450+H450</f>
        <v/>
      </c>
      <c r="J450" s="106" t="inlineStr">
        <is>
          <t>Julho/2026</t>
        </is>
      </c>
    </row>
    <row r="451" hidden="1" ht="14.25" customHeight="1" s="64">
      <c r="A451" s="74" t="inlineStr">
        <is>
          <t>RH</t>
        </is>
      </c>
      <c r="B451" s="83">
        <f>INDEX(SETORES!$B:$B,MATCH(A451,SETORES!$A:$A,0))</f>
        <v/>
      </c>
      <c r="C451" s="74" t="inlineStr">
        <is>
          <t>Empresa Licenciada SOARES E SILVA</t>
        </is>
      </c>
      <c r="D451" s="72">
        <f>IF(B451="Clientes",SUMIFS(PARÂMETROS!$D$8:$D$907,PARÂMETROS!$A$8:$A$907,C451,PARÂMETROS!$G$8:$G$907,J451),SUMIFS(PARÂMETROS!$E$8:$E$907,PARÂMETROS!$A$8:$A$907,C451,PARÂMETROS!$G$8:$G$907,J451))</f>
        <v/>
      </c>
      <c r="E451" s="84">
        <f>SUMIFS(SETORES!$D:$D,SETORES!$A:$A,A451,SETORES!$F:$F,J451)</f>
        <v/>
      </c>
      <c r="F451" s="84">
        <f>IFERROR(D451*E451,0)</f>
        <v/>
      </c>
      <c r="G451" s="72">
        <f>SUMIFS(PARÂMETROS!$F$8:$F$907,PARÂMETROS!$A$8:$A$907,C451,PARÂMETROS!$G$8:$G$907,J451)</f>
        <v/>
      </c>
      <c r="H451" s="84">
        <f>IFERROR(F451*G451,0)</f>
        <v/>
      </c>
      <c r="I451" s="84">
        <f>F451+H451</f>
        <v/>
      </c>
      <c r="J451" s="74" t="inlineStr">
        <is>
          <t>Julho/2026</t>
        </is>
      </c>
    </row>
    <row r="452" hidden="1" ht="14.25" customHeight="1" s="64">
      <c r="A452" s="106" t="inlineStr">
        <is>
          <t>RH</t>
        </is>
      </c>
      <c r="B452" s="106">
        <f>INDEX(SETORES!$B:$B,MATCH(A452,SETORES!$A:$A,0))</f>
        <v/>
      </c>
      <c r="C452" s="106" t="inlineStr">
        <is>
          <t>Empresa Licenciada SOUZA E SILVA</t>
        </is>
      </c>
      <c r="D452" s="77">
        <f>IF(B452="Clientes",SUMIFS(PARÂMETROS!$D$8:$D$907,PARÂMETROS!$A$8:$A$907,C452,PARÂMETROS!$G$8:$G$907,J452),SUMIFS(PARÂMETROS!$E$8:$E$907,PARÂMETROS!$A$8:$A$907,C452,PARÂMETROS!$G$8:$G$907,J452))</f>
        <v/>
      </c>
      <c r="E452" s="109">
        <f>SUMIFS(SETORES!$D:$D,SETORES!$A:$A,A452,SETORES!$F:$F,J452)</f>
        <v/>
      </c>
      <c r="F452" s="109">
        <f>IFERROR(D452*E452,0)</f>
        <v/>
      </c>
      <c r="G452" s="77">
        <f>SUMIFS(PARÂMETROS!$F$8:$F$907,PARÂMETROS!$A$8:$A$907,C452,PARÂMETROS!$G$8:$G$907,J452)</f>
        <v/>
      </c>
      <c r="H452" s="109">
        <f>IFERROR(F452*G452,0)</f>
        <v/>
      </c>
      <c r="I452" s="109">
        <f>F452+H452</f>
        <v/>
      </c>
      <c r="J452" s="106" t="inlineStr">
        <is>
          <t>Julho/2026</t>
        </is>
      </c>
    </row>
    <row r="453" hidden="1" ht="14.25" customHeight="1" s="64">
      <c r="A453" s="74" t="inlineStr">
        <is>
          <t>RH</t>
        </is>
      </c>
      <c r="B453" s="83">
        <f>INDEX(SETORES!$B:$B,MATCH(A453,SETORES!$A:$A,0))</f>
        <v/>
      </c>
      <c r="C453" s="74" t="inlineStr">
        <is>
          <t>Empresa Licenciada VOICENET</t>
        </is>
      </c>
      <c r="D453" s="72">
        <f>IF(B453="Clientes",SUMIFS(PARÂMETROS!$D$8:$D$907,PARÂMETROS!$A$8:$A$907,C453,PARÂMETROS!$G$8:$G$907,J453),SUMIFS(PARÂMETROS!$E$8:$E$907,PARÂMETROS!$A$8:$A$907,C453,PARÂMETROS!$G$8:$G$907,J453))</f>
        <v/>
      </c>
      <c r="E453" s="84">
        <f>SUMIFS(SETORES!$D:$D,SETORES!$A:$A,A453,SETORES!$F:$F,J453)</f>
        <v/>
      </c>
      <c r="F453" s="84">
        <f>IFERROR(D453*E453,0)</f>
        <v/>
      </c>
      <c r="G453" s="72">
        <f>SUMIFS(PARÂMETROS!$F$8:$F$907,PARÂMETROS!$A$8:$A$907,C453,PARÂMETROS!$G$8:$G$907,J453)</f>
        <v/>
      </c>
      <c r="H453" s="84">
        <f>IFERROR(F453*G453,0)</f>
        <v/>
      </c>
      <c r="I453" s="84">
        <f>F453+H453</f>
        <v/>
      </c>
      <c r="J453" s="74" t="inlineStr">
        <is>
          <t>Julho/2026</t>
        </is>
      </c>
    </row>
    <row r="454" hidden="1" ht="14.25" customHeight="1" s="64">
      <c r="A454" s="106" t="inlineStr">
        <is>
          <t>RH</t>
        </is>
      </c>
      <c r="B454" s="106">
        <f>INDEX(SETORES!$B:$B,MATCH(A454,SETORES!$A:$A,0))</f>
        <v/>
      </c>
      <c r="C454" s="106" t="inlineStr">
        <is>
          <t>DTEL (uso próprio)</t>
        </is>
      </c>
      <c r="D454" s="77">
        <f>IF(B454="Clientes",SUMIFS(PARÂMETROS!$D$8:$D$907,PARÂMETROS!$A$8:$A$907,C454,PARÂMETROS!$G$8:$G$907,J454),SUMIFS(PARÂMETROS!$E$8:$E$907,PARÂMETROS!$A$8:$A$907,C454,PARÂMETROS!$G$8:$G$907,J454))</f>
        <v/>
      </c>
      <c r="E454" s="109">
        <f>SUMIFS(SETORES!$D:$D,SETORES!$A:$A,A454,SETORES!$F:$F,J454)</f>
        <v/>
      </c>
      <c r="F454" s="109">
        <f>IFERROR(D454*E454,0)</f>
        <v/>
      </c>
      <c r="G454" s="77">
        <f>SUMIFS(PARÂMETROS!$F$8:$F$907,PARÂMETROS!$A$8:$A$907,C454,PARÂMETROS!$G$8:$G$907,J454)</f>
        <v/>
      </c>
      <c r="H454" s="109">
        <f>IFERROR(F454*G454,0)</f>
        <v/>
      </c>
      <c r="I454" s="109">
        <f>F454+H454</f>
        <v/>
      </c>
      <c r="J454" s="106" t="inlineStr">
        <is>
          <t>Julho/2026</t>
        </is>
      </c>
    </row>
    <row r="455" hidden="1" ht="14.25" customHeight="1" s="64">
      <c r="A455" s="74" t="inlineStr">
        <is>
          <t>DP</t>
        </is>
      </c>
      <c r="B455" s="83">
        <f>INDEX(SETORES!$B:$B,MATCH(A455,SETORES!$A:$A,0))</f>
        <v/>
      </c>
      <c r="C455" s="74" t="inlineStr">
        <is>
          <t>Empresa Licenciada DX2</t>
        </is>
      </c>
      <c r="D455" s="72">
        <f>IF(B455="Clientes",SUMIFS(PARÂMETROS!$D$8:$D$907,PARÂMETROS!$A$8:$A$907,C455,PARÂMETROS!$G$8:$G$907,J455),SUMIFS(PARÂMETROS!$E$8:$E$907,PARÂMETROS!$A$8:$A$907,C455,PARÂMETROS!$G$8:$G$907,J455))</f>
        <v/>
      </c>
      <c r="E455" s="84">
        <f>SUMIFS(SETORES!$D:$D,SETORES!$A:$A,A455,SETORES!$F:$F,J455)</f>
        <v/>
      </c>
      <c r="F455" s="84">
        <f>IFERROR(D455*E455,0)</f>
        <v/>
      </c>
      <c r="G455" s="72">
        <f>SUMIFS(PARÂMETROS!$F$8:$F$907,PARÂMETROS!$A$8:$A$907,C455,PARÂMETROS!$G$8:$G$907,J455)</f>
        <v/>
      </c>
      <c r="H455" s="84">
        <f>IFERROR(F455*G455,0)</f>
        <v/>
      </c>
      <c r="I455" s="84">
        <f>F455+H455</f>
        <v/>
      </c>
      <c r="J455" s="74" t="inlineStr">
        <is>
          <t>Julho/2026</t>
        </is>
      </c>
    </row>
    <row r="456" hidden="1" ht="14.25" customHeight="1" s="64">
      <c r="A456" s="106" t="inlineStr">
        <is>
          <t>DP</t>
        </is>
      </c>
      <c r="B456" s="106">
        <f>INDEX(SETORES!$B:$B,MATCH(A456,SETORES!$A:$A,0))</f>
        <v/>
      </c>
      <c r="C456" s="106" t="inlineStr">
        <is>
          <t>Empresa Licenciada H&amp;A</t>
        </is>
      </c>
      <c r="D456" s="77">
        <f>IF(B456="Clientes",SUMIFS(PARÂMETROS!$D$8:$D$907,PARÂMETROS!$A$8:$A$907,C456,PARÂMETROS!$G$8:$G$907,J456),SUMIFS(PARÂMETROS!$E$8:$E$907,PARÂMETROS!$A$8:$A$907,C456,PARÂMETROS!$G$8:$G$907,J456))</f>
        <v/>
      </c>
      <c r="E456" s="109">
        <f>SUMIFS(SETORES!$D:$D,SETORES!$A:$A,A456,SETORES!$F:$F,J456)</f>
        <v/>
      </c>
      <c r="F456" s="109">
        <f>IFERROR(D456*E456,0)</f>
        <v/>
      </c>
      <c r="G456" s="77">
        <f>SUMIFS(PARÂMETROS!$F$8:$F$907,PARÂMETROS!$A$8:$A$907,C456,PARÂMETROS!$G$8:$G$907,J456)</f>
        <v/>
      </c>
      <c r="H456" s="109">
        <f>IFERROR(F456*G456,0)</f>
        <v/>
      </c>
      <c r="I456" s="109">
        <f>F456+H456</f>
        <v/>
      </c>
      <c r="J456" s="106" t="inlineStr">
        <is>
          <t>Julho/2026</t>
        </is>
      </c>
    </row>
    <row r="457" hidden="1" ht="14.25" customHeight="1" s="64">
      <c r="A457" s="74" t="inlineStr">
        <is>
          <t>DP</t>
        </is>
      </c>
      <c r="B457" s="83">
        <f>INDEX(SETORES!$B:$B,MATCH(A457,SETORES!$A:$A,0))</f>
        <v/>
      </c>
      <c r="C457" s="74" t="inlineStr">
        <is>
          <t>Empresa Licenciada SOLON ARAUJO</t>
        </is>
      </c>
      <c r="D457" s="72">
        <f>IF(B457="Clientes",SUMIFS(PARÂMETROS!$D$8:$D$907,PARÂMETROS!$A$8:$A$907,C457,PARÂMETROS!$G$8:$G$907,J457),SUMIFS(PARÂMETROS!$E$8:$E$907,PARÂMETROS!$A$8:$A$907,C457,PARÂMETROS!$G$8:$G$907,J457))</f>
        <v/>
      </c>
      <c r="E457" s="84">
        <f>SUMIFS(SETORES!$D:$D,SETORES!$A:$A,A457,SETORES!$F:$F,J457)</f>
        <v/>
      </c>
      <c r="F457" s="84">
        <f>IFERROR(D457*E457,0)</f>
        <v/>
      </c>
      <c r="G457" s="72">
        <f>SUMIFS(PARÂMETROS!$F$8:$F$907,PARÂMETROS!$A$8:$A$907,C457,PARÂMETROS!$G$8:$G$907,J457)</f>
        <v/>
      </c>
      <c r="H457" s="84">
        <f>IFERROR(F457*G457,0)</f>
        <v/>
      </c>
      <c r="I457" s="84">
        <f>F457+H457</f>
        <v/>
      </c>
      <c r="J457" s="74" t="inlineStr">
        <is>
          <t>Julho/2026</t>
        </is>
      </c>
    </row>
    <row r="458" ht="14.25" customHeight="1" s="64">
      <c r="A458" s="106" t="inlineStr">
        <is>
          <t>DP</t>
        </is>
      </c>
      <c r="B458" s="106">
        <f>INDEX(SETORES!$B:$B,MATCH(A458,SETORES!$A:$A,0))</f>
        <v/>
      </c>
      <c r="C458" s="106" t="inlineStr">
        <is>
          <t>Empresa Licenciada SOARES E LINS</t>
        </is>
      </c>
      <c r="D458" s="77">
        <f>IF(B458="Clientes",SUMIFS(PARÂMETROS!$D$8:$D$907,PARÂMETROS!$A$8:$A$907,C458,PARÂMETROS!$G$8:$G$907,J458),SUMIFS(PARÂMETROS!$E$8:$E$907,PARÂMETROS!$A$8:$A$907,C458,PARÂMETROS!$G$8:$G$907,J458))</f>
        <v/>
      </c>
      <c r="E458" s="109">
        <f>SUMIFS(SETORES!$D:$D,SETORES!$A:$A,A458,SETORES!$F:$F,J458)</f>
        <v/>
      </c>
      <c r="F458" s="109">
        <f>IFERROR(D458*E458,0)</f>
        <v/>
      </c>
      <c r="G458" s="77">
        <f>SUMIFS(PARÂMETROS!$F$8:$F$907,PARÂMETROS!$A$8:$A$907,C458,PARÂMETROS!$G$8:$G$907,J458)</f>
        <v/>
      </c>
      <c r="H458" s="109">
        <f>IFERROR(F458*G458,0)</f>
        <v/>
      </c>
      <c r="I458" s="109">
        <f>F458+H458</f>
        <v/>
      </c>
      <c r="J458" s="106" t="inlineStr">
        <is>
          <t>Julho/2026</t>
        </is>
      </c>
    </row>
    <row r="459" hidden="1" ht="14.25" customHeight="1" s="64">
      <c r="A459" s="74" t="inlineStr">
        <is>
          <t>DP</t>
        </is>
      </c>
      <c r="B459" s="83">
        <f>INDEX(SETORES!$B:$B,MATCH(A459,SETORES!$A:$A,0))</f>
        <v/>
      </c>
      <c r="C459" s="74" t="inlineStr">
        <is>
          <t>Empresa Licenciada SOARES E SILVA</t>
        </is>
      </c>
      <c r="D459" s="72">
        <f>IF(B459="Clientes",SUMIFS(PARÂMETROS!$D$8:$D$907,PARÂMETROS!$A$8:$A$907,C459,PARÂMETROS!$G$8:$G$907,J459),SUMIFS(PARÂMETROS!$E$8:$E$907,PARÂMETROS!$A$8:$A$907,C459,PARÂMETROS!$G$8:$G$907,J459))</f>
        <v/>
      </c>
      <c r="E459" s="84">
        <f>SUMIFS(SETORES!$D:$D,SETORES!$A:$A,A459,SETORES!$F:$F,J459)</f>
        <v/>
      </c>
      <c r="F459" s="84">
        <f>IFERROR(D459*E459,0)</f>
        <v/>
      </c>
      <c r="G459" s="72">
        <f>SUMIFS(PARÂMETROS!$F$8:$F$907,PARÂMETROS!$A$8:$A$907,C459,PARÂMETROS!$G$8:$G$907,J459)</f>
        <v/>
      </c>
      <c r="H459" s="84">
        <f>IFERROR(F459*G459,0)</f>
        <v/>
      </c>
      <c r="I459" s="84">
        <f>F459+H459</f>
        <v/>
      </c>
      <c r="J459" s="74" t="inlineStr">
        <is>
          <t>Julho/2026</t>
        </is>
      </c>
    </row>
    <row r="460" hidden="1" ht="14.25" customHeight="1" s="64">
      <c r="A460" s="106" t="inlineStr">
        <is>
          <t>DP</t>
        </is>
      </c>
      <c r="B460" s="106">
        <f>INDEX(SETORES!$B:$B,MATCH(A460,SETORES!$A:$A,0))</f>
        <v/>
      </c>
      <c r="C460" s="106" t="inlineStr">
        <is>
          <t>Empresa Licenciada SOUZA E SILVA</t>
        </is>
      </c>
      <c r="D460" s="77">
        <f>IF(B460="Clientes",SUMIFS(PARÂMETROS!$D$8:$D$907,PARÂMETROS!$A$8:$A$907,C460,PARÂMETROS!$G$8:$G$907,J460),SUMIFS(PARÂMETROS!$E$8:$E$907,PARÂMETROS!$A$8:$A$907,C460,PARÂMETROS!$G$8:$G$907,J460))</f>
        <v/>
      </c>
      <c r="E460" s="109">
        <f>SUMIFS(SETORES!$D:$D,SETORES!$A:$A,A460,SETORES!$F:$F,J460)</f>
        <v/>
      </c>
      <c r="F460" s="109">
        <f>IFERROR(D460*E460,0)</f>
        <v/>
      </c>
      <c r="G460" s="77">
        <f>SUMIFS(PARÂMETROS!$F$8:$F$907,PARÂMETROS!$A$8:$A$907,C460,PARÂMETROS!$G$8:$G$907,J460)</f>
        <v/>
      </c>
      <c r="H460" s="109">
        <f>IFERROR(F460*G460,0)</f>
        <v/>
      </c>
      <c r="I460" s="109">
        <f>F460+H460</f>
        <v/>
      </c>
      <c r="J460" s="106" t="inlineStr">
        <is>
          <t>Julho/2026</t>
        </is>
      </c>
    </row>
    <row r="461" hidden="1" ht="14.25" customHeight="1" s="64">
      <c r="A461" s="74" t="inlineStr">
        <is>
          <t>DP</t>
        </is>
      </c>
      <c r="B461" s="83">
        <f>INDEX(SETORES!$B:$B,MATCH(A461,SETORES!$A:$A,0))</f>
        <v/>
      </c>
      <c r="C461" s="74" t="inlineStr">
        <is>
          <t>Empresa Licenciada VOICENET</t>
        </is>
      </c>
      <c r="D461" s="72">
        <f>IF(B461="Clientes",SUMIFS(PARÂMETROS!$D$8:$D$907,PARÂMETROS!$A$8:$A$907,C461,PARÂMETROS!$G$8:$G$907,J461),SUMIFS(PARÂMETROS!$E$8:$E$907,PARÂMETROS!$A$8:$A$907,C461,PARÂMETROS!$G$8:$G$907,J461))</f>
        <v/>
      </c>
      <c r="E461" s="84">
        <f>SUMIFS(SETORES!$D:$D,SETORES!$A:$A,A461,SETORES!$F:$F,J461)</f>
        <v/>
      </c>
      <c r="F461" s="84">
        <f>IFERROR(D461*E461,0)</f>
        <v/>
      </c>
      <c r="G461" s="72">
        <f>SUMIFS(PARÂMETROS!$F$8:$F$907,PARÂMETROS!$A$8:$A$907,C461,PARÂMETROS!$G$8:$G$907,J461)</f>
        <v/>
      </c>
      <c r="H461" s="84">
        <f>IFERROR(F461*G461,0)</f>
        <v/>
      </c>
      <c r="I461" s="84">
        <f>F461+H461</f>
        <v/>
      </c>
      <c r="J461" s="74" t="inlineStr">
        <is>
          <t>Julho/2026</t>
        </is>
      </c>
    </row>
    <row r="462" hidden="1" ht="14.25" customHeight="1" s="64">
      <c r="A462" s="106" t="inlineStr">
        <is>
          <t>DP</t>
        </is>
      </c>
      <c r="B462" s="106">
        <f>INDEX(SETORES!$B:$B,MATCH(A462,SETORES!$A:$A,0))</f>
        <v/>
      </c>
      <c r="C462" s="106" t="inlineStr">
        <is>
          <t>DTEL (uso próprio)</t>
        </is>
      </c>
      <c r="D462" s="77">
        <f>IF(B462="Clientes",SUMIFS(PARÂMETROS!$D$8:$D$907,PARÂMETROS!$A$8:$A$907,C462,PARÂMETROS!$G$8:$G$907,J462),SUMIFS(PARÂMETROS!$E$8:$E$907,PARÂMETROS!$A$8:$A$907,C462,PARÂMETROS!$G$8:$G$907,J462))</f>
        <v/>
      </c>
      <c r="E462" s="109">
        <f>SUMIFS(SETORES!$D:$D,SETORES!$A:$A,A462,SETORES!$F:$F,J462)</f>
        <v/>
      </c>
      <c r="F462" s="109">
        <f>IFERROR(D462*E462,0)</f>
        <v/>
      </c>
      <c r="G462" s="77">
        <f>SUMIFS(PARÂMETROS!$F$8:$F$907,PARÂMETROS!$A$8:$A$907,C462,PARÂMETROS!$G$8:$G$907,J462)</f>
        <v/>
      </c>
      <c r="H462" s="109">
        <f>IFERROR(F462*G462,0)</f>
        <v/>
      </c>
      <c r="I462" s="109">
        <f>F462+H462</f>
        <v/>
      </c>
      <c r="J462" s="106" t="inlineStr">
        <is>
          <t>Julho/2026</t>
        </is>
      </c>
    </row>
    <row r="463" hidden="1" ht="14.25" customHeight="1" s="64">
      <c r="A463" s="74" t="inlineStr">
        <is>
          <t>Gestão de Atendimento</t>
        </is>
      </c>
      <c r="B463" s="83">
        <f>INDEX(SETORES!$B:$B,MATCH(A463,SETORES!$A:$A,0))</f>
        <v/>
      </c>
      <c r="C463" s="74" t="inlineStr">
        <is>
          <t>Empresa Licenciada DX2</t>
        </is>
      </c>
      <c r="D463" s="72">
        <f>IF(B463="Clientes",SUMIFS(PARÂMETROS!$D$8:$D$907,PARÂMETROS!$A$8:$A$907,C463,PARÂMETROS!$G$8:$G$907,J463),SUMIFS(PARÂMETROS!$E$8:$E$907,PARÂMETROS!$A$8:$A$907,C463,PARÂMETROS!$G$8:$G$907,J463))</f>
        <v/>
      </c>
      <c r="E463" s="84">
        <f>SUMIFS(SETORES!$D:$D,SETORES!$A:$A,A463,SETORES!$F:$F,J463)</f>
        <v/>
      </c>
      <c r="F463" s="84">
        <f>IFERROR(D463*E463,0)</f>
        <v/>
      </c>
      <c r="G463" s="72">
        <f>SUMIFS(PARÂMETROS!$F$8:$F$907,PARÂMETROS!$A$8:$A$907,C463,PARÂMETROS!$G$8:$G$907,J463)</f>
        <v/>
      </c>
      <c r="H463" s="84">
        <f>IFERROR(F463*G463,0)</f>
        <v/>
      </c>
      <c r="I463" s="84">
        <f>F463+H463</f>
        <v/>
      </c>
      <c r="J463" s="74" t="inlineStr">
        <is>
          <t>Julho/2026</t>
        </is>
      </c>
    </row>
    <row r="464" hidden="1" ht="14.25" customHeight="1" s="64">
      <c r="A464" s="106" t="inlineStr">
        <is>
          <t>Gestão de Atendimento</t>
        </is>
      </c>
      <c r="B464" s="106">
        <f>INDEX(SETORES!$B:$B,MATCH(A464,SETORES!$A:$A,0))</f>
        <v/>
      </c>
      <c r="C464" s="106" t="inlineStr">
        <is>
          <t>Empresa Licenciada H&amp;A</t>
        </is>
      </c>
      <c r="D464" s="77">
        <f>IF(B464="Clientes",SUMIFS(PARÂMETROS!$D$8:$D$907,PARÂMETROS!$A$8:$A$907,C464,PARÂMETROS!$G$8:$G$907,J464),SUMIFS(PARÂMETROS!$E$8:$E$907,PARÂMETROS!$A$8:$A$907,C464,PARÂMETROS!$G$8:$G$907,J464))</f>
        <v/>
      </c>
      <c r="E464" s="109">
        <f>SUMIFS(SETORES!$D:$D,SETORES!$A:$A,A464,SETORES!$F:$F,J464)</f>
        <v/>
      </c>
      <c r="F464" s="109">
        <f>IFERROR(D464*E464,0)</f>
        <v/>
      </c>
      <c r="G464" s="77">
        <f>SUMIFS(PARÂMETROS!$F$8:$F$907,PARÂMETROS!$A$8:$A$907,C464,PARÂMETROS!$G$8:$G$907,J464)</f>
        <v/>
      </c>
      <c r="H464" s="109">
        <f>IFERROR(F464*G464,0)</f>
        <v/>
      </c>
      <c r="I464" s="109">
        <f>F464+H464</f>
        <v/>
      </c>
      <c r="J464" s="106" t="inlineStr">
        <is>
          <t>Julho/2026</t>
        </is>
      </c>
    </row>
    <row r="465" hidden="1" ht="14.25" customHeight="1" s="64">
      <c r="A465" s="74" t="inlineStr">
        <is>
          <t>Gestão de Atendimento</t>
        </is>
      </c>
      <c r="B465" s="83">
        <f>INDEX(SETORES!$B:$B,MATCH(A465,SETORES!$A:$A,0))</f>
        <v/>
      </c>
      <c r="C465" s="74" t="inlineStr">
        <is>
          <t>Empresa Licenciada SOLON ARAUJO</t>
        </is>
      </c>
      <c r="D465" s="72">
        <f>IF(B465="Clientes",SUMIFS(PARÂMETROS!$D$8:$D$907,PARÂMETROS!$A$8:$A$907,C465,PARÂMETROS!$G$8:$G$907,J465),SUMIFS(PARÂMETROS!$E$8:$E$907,PARÂMETROS!$A$8:$A$907,C465,PARÂMETROS!$G$8:$G$907,J465))</f>
        <v/>
      </c>
      <c r="E465" s="84">
        <f>SUMIFS(SETORES!$D:$D,SETORES!$A:$A,A465,SETORES!$F:$F,J465)</f>
        <v/>
      </c>
      <c r="F465" s="84">
        <f>IFERROR(D465*E465,0)</f>
        <v/>
      </c>
      <c r="G465" s="72">
        <f>SUMIFS(PARÂMETROS!$F$8:$F$907,PARÂMETROS!$A$8:$A$907,C465,PARÂMETROS!$G$8:$G$907,J465)</f>
        <v/>
      </c>
      <c r="H465" s="84">
        <f>IFERROR(F465*G465,0)</f>
        <v/>
      </c>
      <c r="I465" s="84">
        <f>F465+H465</f>
        <v/>
      </c>
      <c r="J465" s="74" t="inlineStr">
        <is>
          <t>Julho/2026</t>
        </is>
      </c>
    </row>
    <row r="466" ht="14.25" customHeight="1" s="64">
      <c r="A466" s="106" t="inlineStr">
        <is>
          <t>Gestão de Atendimento</t>
        </is>
      </c>
      <c r="B466" s="106">
        <f>INDEX(SETORES!$B:$B,MATCH(A466,SETORES!$A:$A,0))</f>
        <v/>
      </c>
      <c r="C466" s="106" t="inlineStr">
        <is>
          <t>Empresa Licenciada SOARES E LINS</t>
        </is>
      </c>
      <c r="D466" s="77">
        <f>IF(B466="Clientes",SUMIFS(PARÂMETROS!$D$8:$D$907,PARÂMETROS!$A$8:$A$907,C466,PARÂMETROS!$G$8:$G$907,J466),SUMIFS(PARÂMETROS!$E$8:$E$907,PARÂMETROS!$A$8:$A$907,C466,PARÂMETROS!$G$8:$G$907,J466))</f>
        <v/>
      </c>
      <c r="E466" s="109">
        <f>SUMIFS(SETORES!$D:$D,SETORES!$A:$A,A466,SETORES!$F:$F,J466)</f>
        <v/>
      </c>
      <c r="F466" s="109">
        <f>IFERROR(D466*E466,0)</f>
        <v/>
      </c>
      <c r="G466" s="77">
        <f>SUMIFS(PARÂMETROS!$F$8:$F$907,PARÂMETROS!$A$8:$A$907,C466,PARÂMETROS!$G$8:$G$907,J466)</f>
        <v/>
      </c>
      <c r="H466" s="109">
        <f>IFERROR(F466*G466,0)</f>
        <v/>
      </c>
      <c r="I466" s="109">
        <f>F466+H466</f>
        <v/>
      </c>
      <c r="J466" s="106" t="inlineStr">
        <is>
          <t>Julho/2026</t>
        </is>
      </c>
    </row>
    <row r="467" hidden="1" ht="14.25" customHeight="1" s="64">
      <c r="A467" s="74" t="inlineStr">
        <is>
          <t>Gestão de Atendimento</t>
        </is>
      </c>
      <c r="B467" s="83">
        <f>INDEX(SETORES!$B:$B,MATCH(A467,SETORES!$A:$A,0))</f>
        <v/>
      </c>
      <c r="C467" s="74" t="inlineStr">
        <is>
          <t>Empresa Licenciada SOARES E SILVA</t>
        </is>
      </c>
      <c r="D467" s="72">
        <f>IF(B467="Clientes",SUMIFS(PARÂMETROS!$D$8:$D$907,PARÂMETROS!$A$8:$A$907,C467,PARÂMETROS!$G$8:$G$907,J467),SUMIFS(PARÂMETROS!$E$8:$E$907,PARÂMETROS!$A$8:$A$907,C467,PARÂMETROS!$G$8:$G$907,J467))</f>
        <v/>
      </c>
      <c r="E467" s="84">
        <f>SUMIFS(SETORES!$D:$D,SETORES!$A:$A,A467,SETORES!$F:$F,J467)</f>
        <v/>
      </c>
      <c r="F467" s="84">
        <f>IFERROR(D467*E467,0)</f>
        <v/>
      </c>
      <c r="G467" s="72">
        <f>SUMIFS(PARÂMETROS!$F$8:$F$907,PARÂMETROS!$A$8:$A$907,C467,PARÂMETROS!$G$8:$G$907,J467)</f>
        <v/>
      </c>
      <c r="H467" s="84">
        <f>IFERROR(F467*G467,0)</f>
        <v/>
      </c>
      <c r="I467" s="84">
        <f>F467+H467</f>
        <v/>
      </c>
      <c r="J467" s="74" t="inlineStr">
        <is>
          <t>Julho/2026</t>
        </is>
      </c>
    </row>
    <row r="468" hidden="1" ht="14.25" customHeight="1" s="64">
      <c r="A468" s="106" t="inlineStr">
        <is>
          <t>Gestão de Atendimento</t>
        </is>
      </c>
      <c r="B468" s="106">
        <f>INDEX(SETORES!$B:$B,MATCH(A468,SETORES!$A:$A,0))</f>
        <v/>
      </c>
      <c r="C468" s="106" t="inlineStr">
        <is>
          <t>Empresa Licenciada SOUZA E SILVA</t>
        </is>
      </c>
      <c r="D468" s="77">
        <f>IF(B468="Clientes",SUMIFS(PARÂMETROS!$D$8:$D$907,PARÂMETROS!$A$8:$A$907,C468,PARÂMETROS!$G$8:$G$907,J468),SUMIFS(PARÂMETROS!$E$8:$E$907,PARÂMETROS!$A$8:$A$907,C468,PARÂMETROS!$G$8:$G$907,J468))</f>
        <v/>
      </c>
      <c r="E468" s="109">
        <f>SUMIFS(SETORES!$D:$D,SETORES!$A:$A,A468,SETORES!$F:$F,J468)</f>
        <v/>
      </c>
      <c r="F468" s="109">
        <f>IFERROR(D468*E468,0)</f>
        <v/>
      </c>
      <c r="G468" s="77">
        <f>SUMIFS(PARÂMETROS!$F$8:$F$907,PARÂMETROS!$A$8:$A$907,C468,PARÂMETROS!$G$8:$G$907,J468)</f>
        <v/>
      </c>
      <c r="H468" s="109">
        <f>IFERROR(F468*G468,0)</f>
        <v/>
      </c>
      <c r="I468" s="109">
        <f>F468+H468</f>
        <v/>
      </c>
      <c r="J468" s="106" t="inlineStr">
        <is>
          <t>Julho/2026</t>
        </is>
      </c>
    </row>
    <row r="469" hidden="1" ht="14.25" customHeight="1" s="64">
      <c r="A469" s="74" t="inlineStr">
        <is>
          <t>Gestão de Atendimento</t>
        </is>
      </c>
      <c r="B469" s="83">
        <f>INDEX(SETORES!$B:$B,MATCH(A469,SETORES!$A:$A,0))</f>
        <v/>
      </c>
      <c r="C469" s="74" t="inlineStr">
        <is>
          <t>Empresa Licenciada VOICENET</t>
        </is>
      </c>
      <c r="D469" s="72">
        <f>IF(B469="Clientes",SUMIFS(PARÂMETROS!$D$8:$D$907,PARÂMETROS!$A$8:$A$907,C469,PARÂMETROS!$G$8:$G$907,J469),SUMIFS(PARÂMETROS!$E$8:$E$907,PARÂMETROS!$A$8:$A$907,C469,PARÂMETROS!$G$8:$G$907,J469))</f>
        <v/>
      </c>
      <c r="E469" s="84">
        <f>SUMIFS(SETORES!$D:$D,SETORES!$A:$A,A469,SETORES!$F:$F,J469)</f>
        <v/>
      </c>
      <c r="F469" s="84">
        <f>IFERROR(D469*E469,0)</f>
        <v/>
      </c>
      <c r="G469" s="72">
        <f>SUMIFS(PARÂMETROS!$F$8:$F$907,PARÂMETROS!$A$8:$A$907,C469,PARÂMETROS!$G$8:$G$907,J469)</f>
        <v/>
      </c>
      <c r="H469" s="84">
        <f>IFERROR(F469*G469,0)</f>
        <v/>
      </c>
      <c r="I469" s="84">
        <f>F469+H469</f>
        <v/>
      </c>
      <c r="J469" s="74" t="inlineStr">
        <is>
          <t>Julho/2026</t>
        </is>
      </c>
    </row>
    <row r="470" hidden="1" ht="14.25" customHeight="1" s="64">
      <c r="A470" s="106" t="inlineStr">
        <is>
          <t>Gestão de Atendimento</t>
        </is>
      </c>
      <c r="B470" s="106">
        <f>INDEX(SETORES!$B:$B,MATCH(A470,SETORES!$A:$A,0))</f>
        <v/>
      </c>
      <c r="C470" s="106" t="inlineStr">
        <is>
          <t>DTEL (uso próprio)</t>
        </is>
      </c>
      <c r="D470" s="77">
        <f>IF(B470="Clientes",SUMIFS(PARÂMETROS!$D$8:$D$907,PARÂMETROS!$A$8:$A$907,C470,PARÂMETROS!$G$8:$G$907,J470),SUMIFS(PARÂMETROS!$E$8:$E$907,PARÂMETROS!$A$8:$A$907,C470,PARÂMETROS!$G$8:$G$907,J470))</f>
        <v/>
      </c>
      <c r="E470" s="109">
        <f>SUMIFS(SETORES!$D:$D,SETORES!$A:$A,A470,SETORES!$F:$F,J470)</f>
        <v/>
      </c>
      <c r="F470" s="109">
        <f>IFERROR(D470*E470,0)</f>
        <v/>
      </c>
      <c r="G470" s="77">
        <f>SUMIFS(PARÂMETROS!$F$8:$F$907,PARÂMETROS!$A$8:$A$907,C470,PARÂMETROS!$G$8:$G$907,J470)</f>
        <v/>
      </c>
      <c r="H470" s="109">
        <f>IFERROR(F470*G470,0)</f>
        <v/>
      </c>
      <c r="I470" s="109">
        <f>F470+H470</f>
        <v/>
      </c>
      <c r="J470" s="106" t="inlineStr">
        <is>
          <t>Julho/2026</t>
        </is>
      </c>
    </row>
    <row r="471" hidden="1" ht="14.25" customHeight="1" s="64">
      <c r="A471" s="74" t="inlineStr">
        <is>
          <t>CAC</t>
        </is>
      </c>
      <c r="B471" s="83">
        <f>INDEX(SETORES!$B:$B,MATCH(A471,SETORES!$A:$A,0))</f>
        <v/>
      </c>
      <c r="C471" s="74" t="inlineStr">
        <is>
          <t>Empresa Licenciada DX2</t>
        </is>
      </c>
      <c r="D471" s="72">
        <f>IF(B471="Clientes",SUMIFS(PARÂMETROS!$D$8:$D$907,PARÂMETROS!$A$8:$A$907,C471,PARÂMETROS!$G$8:$G$907,J471),SUMIFS(PARÂMETROS!$E$8:$E$907,PARÂMETROS!$A$8:$A$907,C471,PARÂMETROS!$G$8:$G$907,J471))</f>
        <v/>
      </c>
      <c r="E471" s="84">
        <f>SUMIFS(SETORES!$D:$D,SETORES!$A:$A,A471,SETORES!$F:$F,J471)</f>
        <v/>
      </c>
      <c r="F471" s="84">
        <f>IFERROR(D471*E471,0)</f>
        <v/>
      </c>
      <c r="G471" s="72">
        <f>SUMIFS(PARÂMETROS!$F$8:$F$907,PARÂMETROS!$A$8:$A$907,C471,PARÂMETROS!$G$8:$G$907,J471)</f>
        <v/>
      </c>
      <c r="H471" s="84">
        <f>IFERROR(F471*G471,0)</f>
        <v/>
      </c>
      <c r="I471" s="84">
        <f>F471+H471</f>
        <v/>
      </c>
      <c r="J471" s="74" t="inlineStr">
        <is>
          <t>Julho/2026</t>
        </is>
      </c>
    </row>
    <row r="472" hidden="1" ht="14.25" customHeight="1" s="64">
      <c r="A472" s="106" t="inlineStr">
        <is>
          <t>CAC</t>
        </is>
      </c>
      <c r="B472" s="106">
        <f>INDEX(SETORES!$B:$B,MATCH(A472,SETORES!$A:$A,0))</f>
        <v/>
      </c>
      <c r="C472" s="106" t="inlineStr">
        <is>
          <t>Empresa Licenciada H&amp;A</t>
        </is>
      </c>
      <c r="D472" s="77">
        <f>IF(B472="Clientes",SUMIFS(PARÂMETROS!$D$8:$D$907,PARÂMETROS!$A$8:$A$907,C472,PARÂMETROS!$G$8:$G$907,J472),SUMIFS(PARÂMETROS!$E$8:$E$907,PARÂMETROS!$A$8:$A$907,C472,PARÂMETROS!$G$8:$G$907,J472))</f>
        <v/>
      </c>
      <c r="E472" s="109">
        <f>SUMIFS(SETORES!$D:$D,SETORES!$A:$A,A472,SETORES!$F:$F,J472)</f>
        <v/>
      </c>
      <c r="F472" s="109">
        <f>IFERROR(D472*E472,0)</f>
        <v/>
      </c>
      <c r="G472" s="77">
        <f>SUMIFS(PARÂMETROS!$F$8:$F$907,PARÂMETROS!$A$8:$A$907,C472,PARÂMETROS!$G$8:$G$907,J472)</f>
        <v/>
      </c>
      <c r="H472" s="109">
        <f>IFERROR(F472*G472,0)</f>
        <v/>
      </c>
      <c r="I472" s="109">
        <f>F472+H472</f>
        <v/>
      </c>
      <c r="J472" s="106" t="inlineStr">
        <is>
          <t>Julho/2026</t>
        </is>
      </c>
    </row>
    <row r="473" hidden="1" ht="14.25" customHeight="1" s="64">
      <c r="A473" s="74" t="inlineStr">
        <is>
          <t>CAC</t>
        </is>
      </c>
      <c r="B473" s="83">
        <f>INDEX(SETORES!$B:$B,MATCH(A473,SETORES!$A:$A,0))</f>
        <v/>
      </c>
      <c r="C473" s="74" t="inlineStr">
        <is>
          <t>Empresa Licenciada SOLON ARAUJO</t>
        </is>
      </c>
      <c r="D473" s="72">
        <f>IF(B473="Clientes",SUMIFS(PARÂMETROS!$D$8:$D$907,PARÂMETROS!$A$8:$A$907,C473,PARÂMETROS!$G$8:$G$907,J473),SUMIFS(PARÂMETROS!$E$8:$E$907,PARÂMETROS!$A$8:$A$907,C473,PARÂMETROS!$G$8:$G$907,J473))</f>
        <v/>
      </c>
      <c r="E473" s="84">
        <f>SUMIFS(SETORES!$D:$D,SETORES!$A:$A,A473,SETORES!$F:$F,J473)</f>
        <v/>
      </c>
      <c r="F473" s="84">
        <f>IFERROR(D473*E473,0)</f>
        <v/>
      </c>
      <c r="G473" s="72">
        <f>SUMIFS(PARÂMETROS!$F$8:$F$907,PARÂMETROS!$A$8:$A$907,C473,PARÂMETROS!$G$8:$G$907,J473)</f>
        <v/>
      </c>
      <c r="H473" s="84">
        <f>IFERROR(F473*G473,0)</f>
        <v/>
      </c>
      <c r="I473" s="84">
        <f>F473+H473</f>
        <v/>
      </c>
      <c r="J473" s="74" t="inlineStr">
        <is>
          <t>Julho/2026</t>
        </is>
      </c>
    </row>
    <row r="474" ht="14.25" customHeight="1" s="64">
      <c r="A474" s="106" t="inlineStr">
        <is>
          <t>CAC</t>
        </is>
      </c>
      <c r="B474" s="106">
        <f>INDEX(SETORES!$B:$B,MATCH(A474,SETORES!$A:$A,0))</f>
        <v/>
      </c>
      <c r="C474" s="106" t="inlineStr">
        <is>
          <t>Empresa Licenciada SOARES E LINS</t>
        </is>
      </c>
      <c r="D474" s="77">
        <f>IF(B474="Clientes",SUMIFS(PARÂMETROS!$D$8:$D$907,PARÂMETROS!$A$8:$A$907,C474,PARÂMETROS!$G$8:$G$907,J474),SUMIFS(PARÂMETROS!$E$8:$E$907,PARÂMETROS!$A$8:$A$907,C474,PARÂMETROS!$G$8:$G$907,J474))</f>
        <v/>
      </c>
      <c r="E474" s="109">
        <f>SUMIFS(SETORES!$D:$D,SETORES!$A:$A,A474,SETORES!$F:$F,J474)</f>
        <v/>
      </c>
      <c r="F474" s="109">
        <f>IFERROR(D474*E474,0)</f>
        <v/>
      </c>
      <c r="G474" s="77">
        <f>SUMIFS(PARÂMETROS!$F$8:$F$907,PARÂMETROS!$A$8:$A$907,C474,PARÂMETROS!$G$8:$G$907,J474)</f>
        <v/>
      </c>
      <c r="H474" s="109">
        <f>IFERROR(F474*G474,0)</f>
        <v/>
      </c>
      <c r="I474" s="109">
        <f>F474+H474</f>
        <v/>
      </c>
      <c r="J474" s="106" t="inlineStr">
        <is>
          <t>Julho/2026</t>
        </is>
      </c>
    </row>
    <row r="475" hidden="1" ht="14.25" customHeight="1" s="64">
      <c r="A475" s="74" t="inlineStr">
        <is>
          <t>CAC</t>
        </is>
      </c>
      <c r="B475" s="83">
        <f>INDEX(SETORES!$B:$B,MATCH(A475,SETORES!$A:$A,0))</f>
        <v/>
      </c>
      <c r="C475" s="74" t="inlineStr">
        <is>
          <t>Empresa Licenciada SOARES E SILVA</t>
        </is>
      </c>
      <c r="D475" s="72">
        <f>IF(B475="Clientes",SUMIFS(PARÂMETROS!$D$8:$D$907,PARÂMETROS!$A$8:$A$907,C475,PARÂMETROS!$G$8:$G$907,J475),SUMIFS(PARÂMETROS!$E$8:$E$907,PARÂMETROS!$A$8:$A$907,C475,PARÂMETROS!$G$8:$G$907,J475))</f>
        <v/>
      </c>
      <c r="E475" s="84">
        <f>SUMIFS(SETORES!$D:$D,SETORES!$A:$A,A475,SETORES!$F:$F,J475)</f>
        <v/>
      </c>
      <c r="F475" s="84">
        <f>IFERROR(D475*E475,0)</f>
        <v/>
      </c>
      <c r="G475" s="72">
        <f>SUMIFS(PARÂMETROS!$F$8:$F$907,PARÂMETROS!$A$8:$A$907,C475,PARÂMETROS!$G$8:$G$907,J475)</f>
        <v/>
      </c>
      <c r="H475" s="84">
        <f>IFERROR(F475*G475,0)</f>
        <v/>
      </c>
      <c r="I475" s="84">
        <f>F475+H475</f>
        <v/>
      </c>
      <c r="J475" s="74" t="inlineStr">
        <is>
          <t>Julho/2026</t>
        </is>
      </c>
    </row>
    <row r="476" hidden="1" ht="14.25" customHeight="1" s="64">
      <c r="A476" s="106" t="inlineStr">
        <is>
          <t>CAC</t>
        </is>
      </c>
      <c r="B476" s="106">
        <f>INDEX(SETORES!$B:$B,MATCH(A476,SETORES!$A:$A,0))</f>
        <v/>
      </c>
      <c r="C476" s="106" t="inlineStr">
        <is>
          <t>Empresa Licenciada SOUZA E SILVA</t>
        </is>
      </c>
      <c r="D476" s="77">
        <f>IF(B476="Clientes",SUMIFS(PARÂMETROS!$D$8:$D$907,PARÂMETROS!$A$8:$A$907,C476,PARÂMETROS!$G$8:$G$907,J476),SUMIFS(PARÂMETROS!$E$8:$E$907,PARÂMETROS!$A$8:$A$907,C476,PARÂMETROS!$G$8:$G$907,J476))</f>
        <v/>
      </c>
      <c r="E476" s="109">
        <f>SUMIFS(SETORES!$D:$D,SETORES!$A:$A,A476,SETORES!$F:$F,J476)</f>
        <v/>
      </c>
      <c r="F476" s="109">
        <f>IFERROR(D476*E476,0)</f>
        <v/>
      </c>
      <c r="G476" s="77">
        <f>SUMIFS(PARÂMETROS!$F$8:$F$907,PARÂMETROS!$A$8:$A$907,C476,PARÂMETROS!$G$8:$G$907,J476)</f>
        <v/>
      </c>
      <c r="H476" s="109">
        <f>IFERROR(F476*G476,0)</f>
        <v/>
      </c>
      <c r="I476" s="109">
        <f>F476+H476</f>
        <v/>
      </c>
      <c r="J476" s="106" t="inlineStr">
        <is>
          <t>Julho/2026</t>
        </is>
      </c>
    </row>
    <row r="477" hidden="1" ht="14.25" customHeight="1" s="64">
      <c r="A477" s="74" t="inlineStr">
        <is>
          <t>CAC</t>
        </is>
      </c>
      <c r="B477" s="83">
        <f>INDEX(SETORES!$B:$B,MATCH(A477,SETORES!$A:$A,0))</f>
        <v/>
      </c>
      <c r="C477" s="74" t="inlineStr">
        <is>
          <t>Empresa Licenciada VOICENET</t>
        </is>
      </c>
      <c r="D477" s="72">
        <f>IF(B477="Clientes",SUMIFS(PARÂMETROS!$D$8:$D$907,PARÂMETROS!$A$8:$A$907,C477,PARÂMETROS!$G$8:$G$907,J477),SUMIFS(PARÂMETROS!$E$8:$E$907,PARÂMETROS!$A$8:$A$907,C477,PARÂMETROS!$G$8:$G$907,J477))</f>
        <v/>
      </c>
      <c r="E477" s="84">
        <f>SUMIFS(SETORES!$D:$D,SETORES!$A:$A,A477,SETORES!$F:$F,J477)</f>
        <v/>
      </c>
      <c r="F477" s="84">
        <f>IFERROR(D477*E477,0)</f>
        <v/>
      </c>
      <c r="G477" s="72">
        <f>SUMIFS(PARÂMETROS!$F$8:$F$907,PARÂMETROS!$A$8:$A$907,C477,PARÂMETROS!$G$8:$G$907,J477)</f>
        <v/>
      </c>
      <c r="H477" s="84">
        <f>IFERROR(F477*G477,0)</f>
        <v/>
      </c>
      <c r="I477" s="84">
        <f>F477+H477</f>
        <v/>
      </c>
      <c r="J477" s="74" t="inlineStr">
        <is>
          <t>Julho/2026</t>
        </is>
      </c>
    </row>
    <row r="478" hidden="1" ht="14.25" customHeight="1" s="64">
      <c r="A478" s="106" t="inlineStr">
        <is>
          <t>CAC</t>
        </is>
      </c>
      <c r="B478" s="106">
        <f>INDEX(SETORES!$B:$B,MATCH(A478,SETORES!$A:$A,0))</f>
        <v/>
      </c>
      <c r="C478" s="106" t="inlineStr">
        <is>
          <t>DTEL (uso próprio)</t>
        </is>
      </c>
      <c r="D478" s="77">
        <f>IF(B478="Clientes",SUMIFS(PARÂMETROS!$D$8:$D$907,PARÂMETROS!$A$8:$A$907,C478,PARÂMETROS!$G$8:$G$907,J478),SUMIFS(PARÂMETROS!$E$8:$E$907,PARÂMETROS!$A$8:$A$907,C478,PARÂMETROS!$G$8:$G$907,J478))</f>
        <v/>
      </c>
      <c r="E478" s="109">
        <f>SUMIFS(SETORES!$D:$D,SETORES!$A:$A,A478,SETORES!$F:$F,J478)</f>
        <v/>
      </c>
      <c r="F478" s="109">
        <f>IFERROR(D478*E478,0)</f>
        <v/>
      </c>
      <c r="G478" s="77">
        <f>SUMIFS(PARÂMETROS!$F$8:$F$907,PARÂMETROS!$A$8:$A$907,C478,PARÂMETROS!$G$8:$G$907,J478)</f>
        <v/>
      </c>
      <c r="H478" s="109">
        <f>IFERROR(F478*G478,0)</f>
        <v/>
      </c>
      <c r="I478" s="109">
        <f>F478+H478</f>
        <v/>
      </c>
      <c r="J478" s="106" t="inlineStr">
        <is>
          <t>Julho/2026</t>
        </is>
      </c>
    </row>
    <row r="479" hidden="1" ht="14.25" customHeight="1" s="64">
      <c r="A479" s="74" t="inlineStr">
        <is>
          <t>Financeiro</t>
        </is>
      </c>
      <c r="B479" s="83">
        <f>INDEX(SETORES!$B:$B,MATCH(A479,SETORES!$A:$A,0))</f>
        <v/>
      </c>
      <c r="C479" s="74" t="inlineStr">
        <is>
          <t>Empresa Licenciada DX2</t>
        </is>
      </c>
      <c r="D479" s="72">
        <f>IF(B479="Clientes",SUMIFS(PARÂMETROS!$D$8:$D$907,PARÂMETROS!$A$8:$A$907,C479,PARÂMETROS!$G$8:$G$907,J479),SUMIFS(PARÂMETROS!$E$8:$E$907,PARÂMETROS!$A$8:$A$907,C479,PARÂMETROS!$G$8:$G$907,J479))</f>
        <v/>
      </c>
      <c r="E479" s="84">
        <f>SUMIFS(SETORES!$D:$D,SETORES!$A:$A,A479,SETORES!$F:$F,J479)</f>
        <v/>
      </c>
      <c r="F479" s="84">
        <f>IFERROR(D479*E479,0)</f>
        <v/>
      </c>
      <c r="G479" s="72">
        <f>SUMIFS(PARÂMETROS!$F$8:$F$907,PARÂMETROS!$A$8:$A$907,C479,PARÂMETROS!$G$8:$G$907,J479)</f>
        <v/>
      </c>
      <c r="H479" s="84">
        <f>IFERROR(F479*G479,0)</f>
        <v/>
      </c>
      <c r="I479" s="84">
        <f>F479+H479</f>
        <v/>
      </c>
      <c r="J479" s="74" t="inlineStr">
        <is>
          <t>Julho/2026</t>
        </is>
      </c>
    </row>
    <row r="480" hidden="1" ht="14.25" customHeight="1" s="64">
      <c r="A480" s="106" t="inlineStr">
        <is>
          <t>Financeiro</t>
        </is>
      </c>
      <c r="B480" s="106">
        <f>INDEX(SETORES!$B:$B,MATCH(A480,SETORES!$A:$A,0))</f>
        <v/>
      </c>
      <c r="C480" s="106" t="inlineStr">
        <is>
          <t>Empresa Licenciada H&amp;A</t>
        </is>
      </c>
      <c r="D480" s="77">
        <f>IF(B480="Clientes",SUMIFS(PARÂMETROS!$D$8:$D$907,PARÂMETROS!$A$8:$A$907,C480,PARÂMETROS!$G$8:$G$907,J480),SUMIFS(PARÂMETROS!$E$8:$E$907,PARÂMETROS!$A$8:$A$907,C480,PARÂMETROS!$G$8:$G$907,J480))</f>
        <v/>
      </c>
      <c r="E480" s="109">
        <f>SUMIFS(SETORES!$D:$D,SETORES!$A:$A,A480,SETORES!$F:$F,J480)</f>
        <v/>
      </c>
      <c r="F480" s="109">
        <f>IFERROR(D480*E480,0)</f>
        <v/>
      </c>
      <c r="G480" s="77">
        <f>SUMIFS(PARÂMETROS!$F$8:$F$907,PARÂMETROS!$A$8:$A$907,C480,PARÂMETROS!$G$8:$G$907,J480)</f>
        <v/>
      </c>
      <c r="H480" s="109">
        <f>IFERROR(F480*G480,0)</f>
        <v/>
      </c>
      <c r="I480" s="109">
        <f>F480+H480</f>
        <v/>
      </c>
      <c r="J480" s="106" t="inlineStr">
        <is>
          <t>Julho/2026</t>
        </is>
      </c>
    </row>
    <row r="481" hidden="1" ht="14.25" customHeight="1" s="64">
      <c r="A481" s="74" t="inlineStr">
        <is>
          <t>Financeiro</t>
        </is>
      </c>
      <c r="B481" s="83">
        <f>INDEX(SETORES!$B:$B,MATCH(A481,SETORES!$A:$A,0))</f>
        <v/>
      </c>
      <c r="C481" s="74" t="inlineStr">
        <is>
          <t>Empresa Licenciada SOLON ARAUJO</t>
        </is>
      </c>
      <c r="D481" s="72">
        <f>IF(B481="Clientes",SUMIFS(PARÂMETROS!$D$8:$D$907,PARÂMETROS!$A$8:$A$907,C481,PARÂMETROS!$G$8:$G$907,J481),SUMIFS(PARÂMETROS!$E$8:$E$907,PARÂMETROS!$A$8:$A$907,C481,PARÂMETROS!$G$8:$G$907,J481))</f>
        <v/>
      </c>
      <c r="E481" s="84">
        <f>SUMIFS(SETORES!$D:$D,SETORES!$A:$A,A481,SETORES!$F:$F,J481)</f>
        <v/>
      </c>
      <c r="F481" s="84">
        <f>IFERROR(D481*E481,0)</f>
        <v/>
      </c>
      <c r="G481" s="72">
        <f>SUMIFS(PARÂMETROS!$F$8:$F$907,PARÂMETROS!$A$8:$A$907,C481,PARÂMETROS!$G$8:$G$907,J481)</f>
        <v/>
      </c>
      <c r="H481" s="84">
        <f>IFERROR(F481*G481,0)</f>
        <v/>
      </c>
      <c r="I481" s="84">
        <f>F481+H481</f>
        <v/>
      </c>
      <c r="J481" s="74" t="inlineStr">
        <is>
          <t>Julho/2026</t>
        </is>
      </c>
    </row>
    <row r="482" ht="14.25" customHeight="1" s="64">
      <c r="A482" s="106" t="inlineStr">
        <is>
          <t>Financeiro</t>
        </is>
      </c>
      <c r="B482" s="106">
        <f>INDEX(SETORES!$B:$B,MATCH(A482,SETORES!$A:$A,0))</f>
        <v/>
      </c>
      <c r="C482" s="106" t="inlineStr">
        <is>
          <t>Empresa Licenciada SOARES E LINS</t>
        </is>
      </c>
      <c r="D482" s="77">
        <f>IF(B482="Clientes",SUMIFS(PARÂMETROS!$D$8:$D$907,PARÂMETROS!$A$8:$A$907,C482,PARÂMETROS!$G$8:$G$907,J482),SUMIFS(PARÂMETROS!$E$8:$E$907,PARÂMETROS!$A$8:$A$907,C482,PARÂMETROS!$G$8:$G$907,J482))</f>
        <v/>
      </c>
      <c r="E482" s="109">
        <f>SUMIFS(SETORES!$D:$D,SETORES!$A:$A,A482,SETORES!$F:$F,J482)</f>
        <v/>
      </c>
      <c r="F482" s="109">
        <f>IFERROR(D482*E482,0)</f>
        <v/>
      </c>
      <c r="G482" s="77">
        <f>SUMIFS(PARÂMETROS!$F$8:$F$907,PARÂMETROS!$A$8:$A$907,C482,PARÂMETROS!$G$8:$G$907,J482)</f>
        <v/>
      </c>
      <c r="H482" s="109">
        <f>IFERROR(F482*G482,0)</f>
        <v/>
      </c>
      <c r="I482" s="109">
        <f>F482+H482</f>
        <v/>
      </c>
      <c r="J482" s="106" t="inlineStr">
        <is>
          <t>Julho/2026</t>
        </is>
      </c>
    </row>
    <row r="483" hidden="1" ht="14.25" customHeight="1" s="64">
      <c r="A483" s="74" t="inlineStr">
        <is>
          <t>Financeiro</t>
        </is>
      </c>
      <c r="B483" s="83">
        <f>INDEX(SETORES!$B:$B,MATCH(A483,SETORES!$A:$A,0))</f>
        <v/>
      </c>
      <c r="C483" s="74" t="inlineStr">
        <is>
          <t>Empresa Licenciada SOARES E SILVA</t>
        </is>
      </c>
      <c r="D483" s="72">
        <f>IF(B483="Clientes",SUMIFS(PARÂMETROS!$D$8:$D$907,PARÂMETROS!$A$8:$A$907,C483,PARÂMETROS!$G$8:$G$907,J483),SUMIFS(PARÂMETROS!$E$8:$E$907,PARÂMETROS!$A$8:$A$907,C483,PARÂMETROS!$G$8:$G$907,J483))</f>
        <v/>
      </c>
      <c r="E483" s="84">
        <f>SUMIFS(SETORES!$D:$D,SETORES!$A:$A,A483,SETORES!$F:$F,J483)</f>
        <v/>
      </c>
      <c r="F483" s="84">
        <f>IFERROR(D483*E483,0)</f>
        <v/>
      </c>
      <c r="G483" s="72">
        <f>SUMIFS(PARÂMETROS!$F$8:$F$907,PARÂMETROS!$A$8:$A$907,C483,PARÂMETROS!$G$8:$G$907,J483)</f>
        <v/>
      </c>
      <c r="H483" s="84">
        <f>IFERROR(F483*G483,0)</f>
        <v/>
      </c>
      <c r="I483" s="84">
        <f>F483+H483</f>
        <v/>
      </c>
      <c r="J483" s="74" t="inlineStr">
        <is>
          <t>Julho/2026</t>
        </is>
      </c>
    </row>
    <row r="484" hidden="1" ht="14.25" customHeight="1" s="64">
      <c r="A484" s="106" t="inlineStr">
        <is>
          <t>Financeiro</t>
        </is>
      </c>
      <c r="B484" s="106">
        <f>INDEX(SETORES!$B:$B,MATCH(A484,SETORES!$A:$A,0))</f>
        <v/>
      </c>
      <c r="C484" s="106" t="inlineStr">
        <is>
          <t>Empresa Licenciada SOUZA E SILVA</t>
        </is>
      </c>
      <c r="D484" s="77">
        <f>IF(B484="Clientes",SUMIFS(PARÂMETROS!$D$8:$D$907,PARÂMETROS!$A$8:$A$907,C484,PARÂMETROS!$G$8:$G$907,J484),SUMIFS(PARÂMETROS!$E$8:$E$907,PARÂMETROS!$A$8:$A$907,C484,PARÂMETROS!$G$8:$G$907,J484))</f>
        <v/>
      </c>
      <c r="E484" s="109">
        <f>SUMIFS(SETORES!$D:$D,SETORES!$A:$A,A484,SETORES!$F:$F,J484)</f>
        <v/>
      </c>
      <c r="F484" s="109">
        <f>IFERROR(D484*E484,0)</f>
        <v/>
      </c>
      <c r="G484" s="77">
        <f>SUMIFS(PARÂMETROS!$F$8:$F$907,PARÂMETROS!$A$8:$A$907,C484,PARÂMETROS!$G$8:$G$907,J484)</f>
        <v/>
      </c>
      <c r="H484" s="109">
        <f>IFERROR(F484*G484,0)</f>
        <v/>
      </c>
      <c r="I484" s="109">
        <f>F484+H484</f>
        <v/>
      </c>
      <c r="J484" s="106" t="inlineStr">
        <is>
          <t>Julho/2026</t>
        </is>
      </c>
    </row>
    <row r="485" hidden="1" ht="14.25" customHeight="1" s="64">
      <c r="A485" s="74" t="inlineStr">
        <is>
          <t>Financeiro</t>
        </is>
      </c>
      <c r="B485" s="83">
        <f>INDEX(SETORES!$B:$B,MATCH(A485,SETORES!$A:$A,0))</f>
        <v/>
      </c>
      <c r="C485" s="74" t="inlineStr">
        <is>
          <t>Empresa Licenciada VOICENET</t>
        </is>
      </c>
      <c r="D485" s="72">
        <f>IF(B485="Clientes",SUMIFS(PARÂMETROS!$D$8:$D$907,PARÂMETROS!$A$8:$A$907,C485,PARÂMETROS!$G$8:$G$907,J485),SUMIFS(PARÂMETROS!$E$8:$E$907,PARÂMETROS!$A$8:$A$907,C485,PARÂMETROS!$G$8:$G$907,J485))</f>
        <v/>
      </c>
      <c r="E485" s="84">
        <f>SUMIFS(SETORES!$D:$D,SETORES!$A:$A,A485,SETORES!$F:$F,J485)</f>
        <v/>
      </c>
      <c r="F485" s="84">
        <f>IFERROR(D485*E485,0)</f>
        <v/>
      </c>
      <c r="G485" s="72">
        <f>SUMIFS(PARÂMETROS!$F$8:$F$907,PARÂMETROS!$A$8:$A$907,C485,PARÂMETROS!$G$8:$G$907,J485)</f>
        <v/>
      </c>
      <c r="H485" s="84">
        <f>IFERROR(F485*G485,0)</f>
        <v/>
      </c>
      <c r="I485" s="84">
        <f>F485+H485</f>
        <v/>
      </c>
      <c r="J485" s="74" t="inlineStr">
        <is>
          <t>Julho/2026</t>
        </is>
      </c>
    </row>
    <row r="486" hidden="1" ht="14.25" customHeight="1" s="64">
      <c r="A486" s="106" t="inlineStr">
        <is>
          <t>Financeiro</t>
        </is>
      </c>
      <c r="B486" s="106">
        <f>INDEX(SETORES!$B:$B,MATCH(A486,SETORES!$A:$A,0))</f>
        <v/>
      </c>
      <c r="C486" s="106" t="inlineStr">
        <is>
          <t>DTEL (uso próprio)</t>
        </is>
      </c>
      <c r="D486" s="77">
        <f>IF(B486="Clientes",SUMIFS(PARÂMETROS!$D$8:$D$907,PARÂMETROS!$A$8:$A$907,C486,PARÂMETROS!$G$8:$G$907,J486),SUMIFS(PARÂMETROS!$E$8:$E$907,PARÂMETROS!$A$8:$A$907,C486,PARÂMETROS!$G$8:$G$907,J486))</f>
        <v/>
      </c>
      <c r="E486" s="109">
        <f>SUMIFS(SETORES!$D:$D,SETORES!$A:$A,A486,SETORES!$F:$F,J486)</f>
        <v/>
      </c>
      <c r="F486" s="109">
        <f>IFERROR(D486*E486,0)</f>
        <v/>
      </c>
      <c r="G486" s="77">
        <f>SUMIFS(PARÂMETROS!$F$8:$F$907,PARÂMETROS!$A$8:$A$907,C486,PARÂMETROS!$G$8:$G$907,J486)</f>
        <v/>
      </c>
      <c r="H486" s="109">
        <f>IFERROR(F486*G486,0)</f>
        <v/>
      </c>
      <c r="I486" s="109">
        <f>F486+H486</f>
        <v/>
      </c>
      <c r="J486" s="106" t="inlineStr">
        <is>
          <t>Julho/2026</t>
        </is>
      </c>
    </row>
    <row r="487" hidden="1" ht="14.25" customHeight="1" s="64">
      <c r="A487" s="74" t="inlineStr">
        <is>
          <t>NRC</t>
        </is>
      </c>
      <c r="B487" s="83">
        <f>INDEX(SETORES!$B:$B,MATCH(A487,SETORES!$A:$A,0))</f>
        <v/>
      </c>
      <c r="C487" s="74" t="inlineStr">
        <is>
          <t>Empresa Licenciada DX2</t>
        </is>
      </c>
      <c r="D487" s="72">
        <f>IF(B487="Clientes",SUMIFS(PARÂMETROS!$D$8:$D$907,PARÂMETROS!$A$8:$A$907,C487,PARÂMETROS!$G$8:$G$907,J487),SUMIFS(PARÂMETROS!$E$8:$E$907,PARÂMETROS!$A$8:$A$907,C487,PARÂMETROS!$G$8:$G$907,J487))</f>
        <v/>
      </c>
      <c r="E487" s="84">
        <f>SUMIFS(SETORES!$D:$D,SETORES!$A:$A,A487,SETORES!$F:$F,J487)</f>
        <v/>
      </c>
      <c r="F487" s="84">
        <f>IFERROR(D487*E487,0)</f>
        <v/>
      </c>
      <c r="G487" s="72">
        <f>SUMIFS(PARÂMETROS!$F$8:$F$907,PARÂMETROS!$A$8:$A$907,C487,PARÂMETROS!$G$8:$G$907,J487)</f>
        <v/>
      </c>
      <c r="H487" s="84">
        <f>IFERROR(F487*G487,0)</f>
        <v/>
      </c>
      <c r="I487" s="84">
        <f>F487+H487</f>
        <v/>
      </c>
      <c r="J487" s="74" t="inlineStr">
        <is>
          <t>Julho/2026</t>
        </is>
      </c>
    </row>
    <row r="488" hidden="1" ht="14.25" customHeight="1" s="64">
      <c r="A488" s="106" t="inlineStr">
        <is>
          <t>NRC</t>
        </is>
      </c>
      <c r="B488" s="106">
        <f>INDEX(SETORES!$B:$B,MATCH(A488,SETORES!$A:$A,0))</f>
        <v/>
      </c>
      <c r="C488" s="106" t="inlineStr">
        <is>
          <t>Empresa Licenciada H&amp;A</t>
        </is>
      </c>
      <c r="D488" s="77">
        <f>IF(B488="Clientes",SUMIFS(PARÂMETROS!$D$8:$D$907,PARÂMETROS!$A$8:$A$907,C488,PARÂMETROS!$G$8:$G$907,J488),SUMIFS(PARÂMETROS!$E$8:$E$907,PARÂMETROS!$A$8:$A$907,C488,PARÂMETROS!$G$8:$G$907,J488))</f>
        <v/>
      </c>
      <c r="E488" s="109">
        <f>SUMIFS(SETORES!$D:$D,SETORES!$A:$A,A488,SETORES!$F:$F,J488)</f>
        <v/>
      </c>
      <c r="F488" s="109">
        <f>IFERROR(D488*E488,0)</f>
        <v/>
      </c>
      <c r="G488" s="77">
        <f>SUMIFS(PARÂMETROS!$F$8:$F$907,PARÂMETROS!$A$8:$A$907,C488,PARÂMETROS!$G$8:$G$907,J488)</f>
        <v/>
      </c>
      <c r="H488" s="109">
        <f>IFERROR(F488*G488,0)</f>
        <v/>
      </c>
      <c r="I488" s="109">
        <f>F488+H488</f>
        <v/>
      </c>
      <c r="J488" s="106" t="inlineStr">
        <is>
          <t>Julho/2026</t>
        </is>
      </c>
    </row>
    <row r="489" hidden="1" ht="14.25" customHeight="1" s="64">
      <c r="A489" s="74" t="inlineStr">
        <is>
          <t>NRC</t>
        </is>
      </c>
      <c r="B489" s="83">
        <f>INDEX(SETORES!$B:$B,MATCH(A489,SETORES!$A:$A,0))</f>
        <v/>
      </c>
      <c r="C489" s="74" t="inlineStr">
        <is>
          <t>Empresa Licenciada SOLON ARAUJO</t>
        </is>
      </c>
      <c r="D489" s="72">
        <f>IF(B489="Clientes",SUMIFS(PARÂMETROS!$D$8:$D$907,PARÂMETROS!$A$8:$A$907,C489,PARÂMETROS!$G$8:$G$907,J489),SUMIFS(PARÂMETROS!$E$8:$E$907,PARÂMETROS!$A$8:$A$907,C489,PARÂMETROS!$G$8:$G$907,J489))</f>
        <v/>
      </c>
      <c r="E489" s="84">
        <f>SUMIFS(SETORES!$D:$D,SETORES!$A:$A,A489,SETORES!$F:$F,J489)</f>
        <v/>
      </c>
      <c r="F489" s="84">
        <f>IFERROR(D489*E489,0)</f>
        <v/>
      </c>
      <c r="G489" s="72">
        <f>SUMIFS(PARÂMETROS!$F$8:$F$907,PARÂMETROS!$A$8:$A$907,C489,PARÂMETROS!$G$8:$G$907,J489)</f>
        <v/>
      </c>
      <c r="H489" s="84">
        <f>IFERROR(F489*G489,0)</f>
        <v/>
      </c>
      <c r="I489" s="84">
        <f>F489+H489</f>
        <v/>
      </c>
      <c r="J489" s="74" t="inlineStr">
        <is>
          <t>Julho/2026</t>
        </is>
      </c>
    </row>
    <row r="490" ht="14.25" customHeight="1" s="64">
      <c r="A490" s="106" t="inlineStr">
        <is>
          <t>NRC</t>
        </is>
      </c>
      <c r="B490" s="106">
        <f>INDEX(SETORES!$B:$B,MATCH(A490,SETORES!$A:$A,0))</f>
        <v/>
      </c>
      <c r="C490" s="106" t="inlineStr">
        <is>
          <t>Empresa Licenciada SOARES E LINS</t>
        </is>
      </c>
      <c r="D490" s="77">
        <f>IF(B490="Clientes",SUMIFS(PARÂMETROS!$D$8:$D$907,PARÂMETROS!$A$8:$A$907,C490,PARÂMETROS!$G$8:$G$907,J490),SUMIFS(PARÂMETROS!$E$8:$E$907,PARÂMETROS!$A$8:$A$907,C490,PARÂMETROS!$G$8:$G$907,J490))</f>
        <v/>
      </c>
      <c r="E490" s="109">
        <f>SUMIFS(SETORES!$D:$D,SETORES!$A:$A,A490,SETORES!$F:$F,J490)</f>
        <v/>
      </c>
      <c r="F490" s="109">
        <f>IFERROR(D490*E490,0)</f>
        <v/>
      </c>
      <c r="G490" s="77">
        <f>SUMIFS(PARÂMETROS!$F$8:$F$907,PARÂMETROS!$A$8:$A$907,C490,PARÂMETROS!$G$8:$G$907,J490)</f>
        <v/>
      </c>
      <c r="H490" s="109">
        <f>IFERROR(F490*G490,0)</f>
        <v/>
      </c>
      <c r="I490" s="109">
        <f>F490+H490</f>
        <v/>
      </c>
      <c r="J490" s="106" t="inlineStr">
        <is>
          <t>Julho/2026</t>
        </is>
      </c>
    </row>
    <row r="491" hidden="1" ht="14.25" customHeight="1" s="64">
      <c r="A491" s="74" t="inlineStr">
        <is>
          <t>NRC</t>
        </is>
      </c>
      <c r="B491" s="83">
        <f>INDEX(SETORES!$B:$B,MATCH(A491,SETORES!$A:$A,0))</f>
        <v/>
      </c>
      <c r="C491" s="74" t="inlineStr">
        <is>
          <t>Empresa Licenciada SOARES E SILVA</t>
        </is>
      </c>
      <c r="D491" s="72">
        <f>IF(B491="Clientes",SUMIFS(PARÂMETROS!$D$8:$D$907,PARÂMETROS!$A$8:$A$907,C491,PARÂMETROS!$G$8:$G$907,J491),SUMIFS(PARÂMETROS!$E$8:$E$907,PARÂMETROS!$A$8:$A$907,C491,PARÂMETROS!$G$8:$G$907,J491))</f>
        <v/>
      </c>
      <c r="E491" s="84">
        <f>SUMIFS(SETORES!$D:$D,SETORES!$A:$A,A491,SETORES!$F:$F,J491)</f>
        <v/>
      </c>
      <c r="F491" s="84">
        <f>IFERROR(D491*E491,0)</f>
        <v/>
      </c>
      <c r="G491" s="72">
        <f>SUMIFS(PARÂMETROS!$F$8:$F$907,PARÂMETROS!$A$8:$A$907,C491,PARÂMETROS!$G$8:$G$907,J491)</f>
        <v/>
      </c>
      <c r="H491" s="84">
        <f>IFERROR(F491*G491,0)</f>
        <v/>
      </c>
      <c r="I491" s="84">
        <f>F491+H491</f>
        <v/>
      </c>
      <c r="J491" s="74" t="inlineStr">
        <is>
          <t>Julho/2026</t>
        </is>
      </c>
    </row>
    <row r="492" hidden="1" ht="14.25" customHeight="1" s="64">
      <c r="A492" s="106" t="inlineStr">
        <is>
          <t>NRC</t>
        </is>
      </c>
      <c r="B492" s="106">
        <f>INDEX(SETORES!$B:$B,MATCH(A492,SETORES!$A:$A,0))</f>
        <v/>
      </c>
      <c r="C492" s="106" t="inlineStr">
        <is>
          <t>Empresa Licenciada SOUZA E SILVA</t>
        </is>
      </c>
      <c r="D492" s="77">
        <f>IF(B492="Clientes",SUMIFS(PARÂMETROS!$D$8:$D$907,PARÂMETROS!$A$8:$A$907,C492,PARÂMETROS!$G$8:$G$907,J492),SUMIFS(PARÂMETROS!$E$8:$E$907,PARÂMETROS!$A$8:$A$907,C492,PARÂMETROS!$G$8:$G$907,J492))</f>
        <v/>
      </c>
      <c r="E492" s="109">
        <f>SUMIFS(SETORES!$D:$D,SETORES!$A:$A,A492,SETORES!$F:$F,J492)</f>
        <v/>
      </c>
      <c r="F492" s="109">
        <f>IFERROR(D492*E492,0)</f>
        <v/>
      </c>
      <c r="G492" s="77">
        <f>SUMIFS(PARÂMETROS!$F$8:$F$907,PARÂMETROS!$A$8:$A$907,C492,PARÂMETROS!$G$8:$G$907,J492)</f>
        <v/>
      </c>
      <c r="H492" s="109">
        <f>IFERROR(F492*G492,0)</f>
        <v/>
      </c>
      <c r="I492" s="109">
        <f>F492+H492</f>
        <v/>
      </c>
      <c r="J492" s="106" t="inlineStr">
        <is>
          <t>Julho/2026</t>
        </is>
      </c>
    </row>
    <row r="493" hidden="1" ht="14.25" customHeight="1" s="64">
      <c r="A493" s="74" t="inlineStr">
        <is>
          <t>NRC</t>
        </is>
      </c>
      <c r="B493" s="83">
        <f>INDEX(SETORES!$B:$B,MATCH(A493,SETORES!$A:$A,0))</f>
        <v/>
      </c>
      <c r="C493" s="74" t="inlineStr">
        <is>
          <t>Empresa Licenciada VOICENET</t>
        </is>
      </c>
      <c r="D493" s="72">
        <f>IF(B493="Clientes",SUMIFS(PARÂMETROS!$D$8:$D$907,PARÂMETROS!$A$8:$A$907,C493,PARÂMETROS!$G$8:$G$907,J493),SUMIFS(PARÂMETROS!$E$8:$E$907,PARÂMETROS!$A$8:$A$907,C493,PARÂMETROS!$G$8:$G$907,J493))</f>
        <v/>
      </c>
      <c r="E493" s="84">
        <f>SUMIFS(SETORES!$D:$D,SETORES!$A:$A,A493,SETORES!$F:$F,J493)</f>
        <v/>
      </c>
      <c r="F493" s="84">
        <f>IFERROR(D493*E493,0)</f>
        <v/>
      </c>
      <c r="G493" s="72">
        <f>SUMIFS(PARÂMETROS!$F$8:$F$907,PARÂMETROS!$A$8:$A$907,C493,PARÂMETROS!$G$8:$G$907,J493)</f>
        <v/>
      </c>
      <c r="H493" s="84">
        <f>IFERROR(F493*G493,0)</f>
        <v/>
      </c>
      <c r="I493" s="84">
        <f>F493+H493</f>
        <v/>
      </c>
      <c r="J493" s="74" t="inlineStr">
        <is>
          <t>Julho/2026</t>
        </is>
      </c>
    </row>
    <row r="494" hidden="1" ht="14.25" customHeight="1" s="64">
      <c r="A494" s="106" t="inlineStr">
        <is>
          <t>NRC</t>
        </is>
      </c>
      <c r="B494" s="106">
        <f>INDEX(SETORES!$B:$B,MATCH(A494,SETORES!$A:$A,0))</f>
        <v/>
      </c>
      <c r="C494" s="106" t="inlineStr">
        <is>
          <t>DTEL (uso próprio)</t>
        </is>
      </c>
      <c r="D494" s="77">
        <f>IF(B494="Clientes",SUMIFS(PARÂMETROS!$D$8:$D$907,PARÂMETROS!$A$8:$A$907,C494,PARÂMETROS!$G$8:$G$907,J494),SUMIFS(PARÂMETROS!$E$8:$E$907,PARÂMETROS!$A$8:$A$907,C494,PARÂMETROS!$G$8:$G$907,J494))</f>
        <v/>
      </c>
      <c r="E494" s="109">
        <f>SUMIFS(SETORES!$D:$D,SETORES!$A:$A,A494,SETORES!$F:$F,J494)</f>
        <v/>
      </c>
      <c r="F494" s="109">
        <f>IFERROR(D494*E494,0)</f>
        <v/>
      </c>
      <c r="G494" s="77">
        <f>SUMIFS(PARÂMETROS!$F$8:$F$907,PARÂMETROS!$A$8:$A$907,C494,PARÂMETROS!$G$8:$G$907,J494)</f>
        <v/>
      </c>
      <c r="H494" s="109">
        <f>IFERROR(F494*G494,0)</f>
        <v/>
      </c>
      <c r="I494" s="109">
        <f>F494+H494</f>
        <v/>
      </c>
      <c r="J494" s="106" t="inlineStr">
        <is>
          <t>Julho/2026</t>
        </is>
      </c>
    </row>
    <row r="495" hidden="1" ht="14.25" customHeight="1" s="64">
      <c r="A495" s="74" t="inlineStr">
        <is>
          <t>Cobrança</t>
        </is>
      </c>
      <c r="B495" s="83">
        <f>INDEX(SETORES!$B:$B,MATCH(A495,SETORES!$A:$A,0))</f>
        <v/>
      </c>
      <c r="C495" s="74" t="inlineStr">
        <is>
          <t>Empresa Licenciada DX2</t>
        </is>
      </c>
      <c r="D495" s="72">
        <f>IF(B495="Clientes",SUMIFS(PARÂMETROS!$D$8:$D$907,PARÂMETROS!$A$8:$A$907,C495,PARÂMETROS!$G$8:$G$907,J495),SUMIFS(PARÂMETROS!$E$8:$E$907,PARÂMETROS!$A$8:$A$907,C495,PARÂMETROS!$G$8:$G$907,J495))</f>
        <v/>
      </c>
      <c r="E495" s="84">
        <f>SUMIFS(SETORES!$D:$D,SETORES!$A:$A,A495,SETORES!$F:$F,J495)</f>
        <v/>
      </c>
      <c r="F495" s="84">
        <f>IFERROR(D495*E495,0)</f>
        <v/>
      </c>
      <c r="G495" s="72">
        <f>SUMIFS(PARÂMETROS!$F$8:$F$907,PARÂMETROS!$A$8:$A$907,C495,PARÂMETROS!$G$8:$G$907,J495)</f>
        <v/>
      </c>
      <c r="H495" s="84">
        <f>IFERROR(F495*G495,0)</f>
        <v/>
      </c>
      <c r="I495" s="84">
        <f>F495+H495</f>
        <v/>
      </c>
      <c r="J495" s="74" t="inlineStr">
        <is>
          <t>Julho/2026</t>
        </is>
      </c>
    </row>
    <row r="496" hidden="1" ht="14.25" customHeight="1" s="64">
      <c r="A496" s="106" t="inlineStr">
        <is>
          <t>Cobrança</t>
        </is>
      </c>
      <c r="B496" s="106">
        <f>INDEX(SETORES!$B:$B,MATCH(A496,SETORES!$A:$A,0))</f>
        <v/>
      </c>
      <c r="C496" s="106" t="inlineStr">
        <is>
          <t>Empresa Licenciada H&amp;A</t>
        </is>
      </c>
      <c r="D496" s="77">
        <f>IF(B496="Clientes",SUMIFS(PARÂMETROS!$D$8:$D$907,PARÂMETROS!$A$8:$A$907,C496,PARÂMETROS!$G$8:$G$907,J496),SUMIFS(PARÂMETROS!$E$8:$E$907,PARÂMETROS!$A$8:$A$907,C496,PARÂMETROS!$G$8:$G$907,J496))</f>
        <v/>
      </c>
      <c r="E496" s="109">
        <f>SUMIFS(SETORES!$D:$D,SETORES!$A:$A,A496,SETORES!$F:$F,J496)</f>
        <v/>
      </c>
      <c r="F496" s="109">
        <f>IFERROR(D496*E496,0)</f>
        <v/>
      </c>
      <c r="G496" s="77">
        <f>SUMIFS(PARÂMETROS!$F$8:$F$907,PARÂMETROS!$A$8:$A$907,C496,PARÂMETROS!$G$8:$G$907,J496)</f>
        <v/>
      </c>
      <c r="H496" s="109">
        <f>IFERROR(F496*G496,0)</f>
        <v/>
      </c>
      <c r="I496" s="109">
        <f>F496+H496</f>
        <v/>
      </c>
      <c r="J496" s="106" t="inlineStr">
        <is>
          <t>Julho/2026</t>
        </is>
      </c>
    </row>
    <row r="497" hidden="1" ht="14.25" customHeight="1" s="64">
      <c r="A497" s="74" t="inlineStr">
        <is>
          <t>Cobrança</t>
        </is>
      </c>
      <c r="B497" s="83">
        <f>INDEX(SETORES!$B:$B,MATCH(A497,SETORES!$A:$A,0))</f>
        <v/>
      </c>
      <c r="C497" s="74" t="inlineStr">
        <is>
          <t>Empresa Licenciada SOLON ARAUJO</t>
        </is>
      </c>
      <c r="D497" s="72">
        <f>IF(B497="Clientes",SUMIFS(PARÂMETROS!$D$8:$D$907,PARÂMETROS!$A$8:$A$907,C497,PARÂMETROS!$G$8:$G$907,J497),SUMIFS(PARÂMETROS!$E$8:$E$907,PARÂMETROS!$A$8:$A$907,C497,PARÂMETROS!$G$8:$G$907,J497))</f>
        <v/>
      </c>
      <c r="E497" s="84">
        <f>SUMIFS(SETORES!$D:$D,SETORES!$A:$A,A497,SETORES!$F:$F,J497)</f>
        <v/>
      </c>
      <c r="F497" s="84">
        <f>IFERROR(D497*E497,0)</f>
        <v/>
      </c>
      <c r="G497" s="72">
        <f>SUMIFS(PARÂMETROS!$F$8:$F$907,PARÂMETROS!$A$8:$A$907,C497,PARÂMETROS!$G$8:$G$907,J497)</f>
        <v/>
      </c>
      <c r="H497" s="84">
        <f>IFERROR(F497*G497,0)</f>
        <v/>
      </c>
      <c r="I497" s="84">
        <f>F497+H497</f>
        <v/>
      </c>
      <c r="J497" s="74" t="inlineStr">
        <is>
          <t>Julho/2026</t>
        </is>
      </c>
    </row>
    <row r="498" ht="14.25" customHeight="1" s="64">
      <c r="A498" s="106" t="inlineStr">
        <is>
          <t>Cobrança</t>
        </is>
      </c>
      <c r="B498" s="106">
        <f>INDEX(SETORES!$B:$B,MATCH(A498,SETORES!$A:$A,0))</f>
        <v/>
      </c>
      <c r="C498" s="106" t="inlineStr">
        <is>
          <t>Empresa Licenciada SOARES E LINS</t>
        </is>
      </c>
      <c r="D498" s="77">
        <f>IF(B498="Clientes",SUMIFS(PARÂMETROS!$D$8:$D$907,PARÂMETROS!$A$8:$A$907,C498,PARÂMETROS!$G$8:$G$907,J498),SUMIFS(PARÂMETROS!$E$8:$E$907,PARÂMETROS!$A$8:$A$907,C498,PARÂMETROS!$G$8:$G$907,J498))</f>
        <v/>
      </c>
      <c r="E498" s="109">
        <f>SUMIFS(SETORES!$D:$D,SETORES!$A:$A,A498,SETORES!$F:$F,J498)</f>
        <v/>
      </c>
      <c r="F498" s="109">
        <f>IFERROR(D498*E498,0)</f>
        <v/>
      </c>
      <c r="G498" s="77">
        <f>SUMIFS(PARÂMETROS!$F$8:$F$907,PARÂMETROS!$A$8:$A$907,C498,PARÂMETROS!$G$8:$G$907,J498)</f>
        <v/>
      </c>
      <c r="H498" s="109">
        <f>IFERROR(F498*G498,0)</f>
        <v/>
      </c>
      <c r="I498" s="109">
        <f>F498+H498</f>
        <v/>
      </c>
      <c r="J498" s="106" t="inlineStr">
        <is>
          <t>Julho/2026</t>
        </is>
      </c>
    </row>
    <row r="499" hidden="1" ht="14.25" customHeight="1" s="64">
      <c r="A499" s="74" t="inlineStr">
        <is>
          <t>Cobrança</t>
        </is>
      </c>
      <c r="B499" s="83">
        <f>INDEX(SETORES!$B:$B,MATCH(A499,SETORES!$A:$A,0))</f>
        <v/>
      </c>
      <c r="C499" s="74" t="inlineStr">
        <is>
          <t>Empresa Licenciada SOARES E SILVA</t>
        </is>
      </c>
      <c r="D499" s="72">
        <f>IF(B499="Clientes",SUMIFS(PARÂMETROS!$D$8:$D$907,PARÂMETROS!$A$8:$A$907,C499,PARÂMETROS!$G$8:$G$907,J499),SUMIFS(PARÂMETROS!$E$8:$E$907,PARÂMETROS!$A$8:$A$907,C499,PARÂMETROS!$G$8:$G$907,J499))</f>
        <v/>
      </c>
      <c r="E499" s="84">
        <f>SUMIFS(SETORES!$D:$D,SETORES!$A:$A,A499,SETORES!$F:$F,J499)</f>
        <v/>
      </c>
      <c r="F499" s="84">
        <f>IFERROR(D499*E499,0)</f>
        <v/>
      </c>
      <c r="G499" s="72">
        <f>SUMIFS(PARÂMETROS!$F$8:$F$907,PARÂMETROS!$A$8:$A$907,C499,PARÂMETROS!$G$8:$G$907,J499)</f>
        <v/>
      </c>
      <c r="H499" s="84">
        <f>IFERROR(F499*G499,0)</f>
        <v/>
      </c>
      <c r="I499" s="84">
        <f>F499+H499</f>
        <v/>
      </c>
      <c r="J499" s="74" t="inlineStr">
        <is>
          <t>Julho/2026</t>
        </is>
      </c>
    </row>
    <row r="500" hidden="1" ht="14.25" customHeight="1" s="64">
      <c r="A500" s="106" t="inlineStr">
        <is>
          <t>Cobrança</t>
        </is>
      </c>
      <c r="B500" s="106">
        <f>INDEX(SETORES!$B:$B,MATCH(A500,SETORES!$A:$A,0))</f>
        <v/>
      </c>
      <c r="C500" s="106" t="inlineStr">
        <is>
          <t>Empresa Licenciada SOUZA E SILVA</t>
        </is>
      </c>
      <c r="D500" s="77">
        <f>IF(B500="Clientes",SUMIFS(PARÂMETROS!$D$8:$D$907,PARÂMETROS!$A$8:$A$907,C500,PARÂMETROS!$G$8:$G$907,J500),SUMIFS(PARÂMETROS!$E$8:$E$907,PARÂMETROS!$A$8:$A$907,C500,PARÂMETROS!$G$8:$G$907,J500))</f>
        <v/>
      </c>
      <c r="E500" s="109">
        <f>SUMIFS(SETORES!$D:$D,SETORES!$A:$A,A500,SETORES!$F:$F,J500)</f>
        <v/>
      </c>
      <c r="F500" s="109">
        <f>IFERROR(D500*E500,0)</f>
        <v/>
      </c>
      <c r="G500" s="77">
        <f>SUMIFS(PARÂMETROS!$F$8:$F$907,PARÂMETROS!$A$8:$A$907,C500,PARÂMETROS!$G$8:$G$907,J500)</f>
        <v/>
      </c>
      <c r="H500" s="109">
        <f>IFERROR(F500*G500,0)</f>
        <v/>
      </c>
      <c r="I500" s="109">
        <f>F500+H500</f>
        <v/>
      </c>
      <c r="J500" s="106" t="inlineStr">
        <is>
          <t>Julho/2026</t>
        </is>
      </c>
    </row>
    <row r="501" hidden="1" ht="14.25" customHeight="1" s="64">
      <c r="A501" s="74" t="inlineStr">
        <is>
          <t>Cobrança</t>
        </is>
      </c>
      <c r="B501" s="83">
        <f>INDEX(SETORES!$B:$B,MATCH(A501,SETORES!$A:$A,0))</f>
        <v/>
      </c>
      <c r="C501" s="74" t="inlineStr">
        <is>
          <t>Empresa Licenciada VOICENET</t>
        </is>
      </c>
      <c r="D501" s="72">
        <f>IF(B501="Clientes",SUMIFS(PARÂMETROS!$D$8:$D$907,PARÂMETROS!$A$8:$A$907,C501,PARÂMETROS!$G$8:$G$907,J501),SUMIFS(PARÂMETROS!$E$8:$E$907,PARÂMETROS!$A$8:$A$907,C501,PARÂMETROS!$G$8:$G$907,J501))</f>
        <v/>
      </c>
      <c r="E501" s="84">
        <f>SUMIFS(SETORES!$D:$D,SETORES!$A:$A,A501,SETORES!$F:$F,J501)</f>
        <v/>
      </c>
      <c r="F501" s="84">
        <f>IFERROR(D501*E501,0)</f>
        <v/>
      </c>
      <c r="G501" s="72">
        <f>SUMIFS(PARÂMETROS!$F$8:$F$907,PARÂMETROS!$A$8:$A$907,C501,PARÂMETROS!$G$8:$G$907,J501)</f>
        <v/>
      </c>
      <c r="H501" s="84">
        <f>IFERROR(F501*G501,0)</f>
        <v/>
      </c>
      <c r="I501" s="84">
        <f>F501+H501</f>
        <v/>
      </c>
      <c r="J501" s="74" t="inlineStr">
        <is>
          <t>Julho/2026</t>
        </is>
      </c>
    </row>
    <row r="502" hidden="1" ht="14.25" customHeight="1" s="64">
      <c r="A502" s="106" t="inlineStr">
        <is>
          <t>Cobrança</t>
        </is>
      </c>
      <c r="B502" s="106">
        <f>INDEX(SETORES!$B:$B,MATCH(A502,SETORES!$A:$A,0))</f>
        <v/>
      </c>
      <c r="C502" s="106" t="inlineStr">
        <is>
          <t>DTEL (uso próprio)</t>
        </is>
      </c>
      <c r="D502" s="77">
        <f>IF(B502="Clientes",SUMIFS(PARÂMETROS!$D$8:$D$907,PARÂMETROS!$A$8:$A$907,C502,PARÂMETROS!$G$8:$G$907,J502),SUMIFS(PARÂMETROS!$E$8:$E$907,PARÂMETROS!$A$8:$A$907,C502,PARÂMETROS!$G$8:$G$907,J502))</f>
        <v/>
      </c>
      <c r="E502" s="109">
        <f>SUMIFS(SETORES!$D:$D,SETORES!$A:$A,A502,SETORES!$F:$F,J502)</f>
        <v/>
      </c>
      <c r="F502" s="109">
        <f>IFERROR(D502*E502,0)</f>
        <v/>
      </c>
      <c r="G502" s="77">
        <f>SUMIFS(PARÂMETROS!$F$8:$F$907,PARÂMETROS!$A$8:$A$907,C502,PARÂMETROS!$G$8:$G$907,J502)</f>
        <v/>
      </c>
      <c r="H502" s="109">
        <f>IFERROR(F502*G502,0)</f>
        <v/>
      </c>
      <c r="I502" s="109">
        <f>F502+H502</f>
        <v/>
      </c>
      <c r="J502" s="106" t="inlineStr">
        <is>
          <t>Julho/2026</t>
        </is>
      </c>
    </row>
    <row r="503" hidden="1" ht="14.25" customHeight="1" s="64">
      <c r="A503" s="74" t="inlineStr">
        <is>
          <t>Retenção</t>
        </is>
      </c>
      <c r="B503" s="83">
        <f>INDEX(SETORES!$B:$B,MATCH(A503,SETORES!$A:$A,0))</f>
        <v/>
      </c>
      <c r="C503" s="74" t="inlineStr">
        <is>
          <t>Empresa Licenciada DX2</t>
        </is>
      </c>
      <c r="D503" s="72">
        <f>IF(B503="Clientes",SUMIFS(PARÂMETROS!$D$8:$D$907,PARÂMETROS!$A$8:$A$907,C503,PARÂMETROS!$G$8:$G$907,J503),SUMIFS(PARÂMETROS!$E$8:$E$907,PARÂMETROS!$A$8:$A$907,C503,PARÂMETROS!$G$8:$G$907,J503))</f>
        <v/>
      </c>
      <c r="E503" s="84">
        <f>SUMIFS(SETORES!$D:$D,SETORES!$A:$A,A503,SETORES!$F:$F,J503)</f>
        <v/>
      </c>
      <c r="F503" s="84">
        <f>IFERROR(D503*E503,0)</f>
        <v/>
      </c>
      <c r="G503" s="72">
        <f>SUMIFS(PARÂMETROS!$F$8:$F$907,PARÂMETROS!$A$8:$A$907,C503,PARÂMETROS!$G$8:$G$907,J503)</f>
        <v/>
      </c>
      <c r="H503" s="84">
        <f>IFERROR(F503*G503,0)</f>
        <v/>
      </c>
      <c r="I503" s="84">
        <f>F503+H503</f>
        <v/>
      </c>
      <c r="J503" s="74" t="inlineStr">
        <is>
          <t>Julho/2026</t>
        </is>
      </c>
    </row>
    <row r="504" hidden="1" ht="14.25" customHeight="1" s="64">
      <c r="A504" s="106" t="inlineStr">
        <is>
          <t>Retenção</t>
        </is>
      </c>
      <c r="B504" s="106">
        <f>INDEX(SETORES!$B:$B,MATCH(A504,SETORES!$A:$A,0))</f>
        <v/>
      </c>
      <c r="C504" s="106" t="inlineStr">
        <is>
          <t>Empresa Licenciada H&amp;A</t>
        </is>
      </c>
      <c r="D504" s="77">
        <f>IF(B504="Clientes",SUMIFS(PARÂMETROS!$D$8:$D$907,PARÂMETROS!$A$8:$A$907,C504,PARÂMETROS!$G$8:$G$907,J504),SUMIFS(PARÂMETROS!$E$8:$E$907,PARÂMETROS!$A$8:$A$907,C504,PARÂMETROS!$G$8:$G$907,J504))</f>
        <v/>
      </c>
      <c r="E504" s="109">
        <f>SUMIFS(SETORES!$D:$D,SETORES!$A:$A,A504,SETORES!$F:$F,J504)</f>
        <v/>
      </c>
      <c r="F504" s="109">
        <f>IFERROR(D504*E504,0)</f>
        <v/>
      </c>
      <c r="G504" s="77">
        <f>SUMIFS(PARÂMETROS!$F$8:$F$907,PARÂMETROS!$A$8:$A$907,C504,PARÂMETROS!$G$8:$G$907,J504)</f>
        <v/>
      </c>
      <c r="H504" s="109">
        <f>IFERROR(F504*G504,0)</f>
        <v/>
      </c>
      <c r="I504" s="109">
        <f>F504+H504</f>
        <v/>
      </c>
      <c r="J504" s="106" t="inlineStr">
        <is>
          <t>Julho/2026</t>
        </is>
      </c>
    </row>
    <row r="505" hidden="1" ht="14.25" customHeight="1" s="64">
      <c r="A505" s="74" t="inlineStr">
        <is>
          <t>Retenção</t>
        </is>
      </c>
      <c r="B505" s="83">
        <f>INDEX(SETORES!$B:$B,MATCH(A505,SETORES!$A:$A,0))</f>
        <v/>
      </c>
      <c r="C505" s="74" t="inlineStr">
        <is>
          <t>Empresa Licenciada SOLON ARAUJO</t>
        </is>
      </c>
      <c r="D505" s="72">
        <f>IF(B505="Clientes",SUMIFS(PARÂMETROS!$D$8:$D$907,PARÂMETROS!$A$8:$A$907,C505,PARÂMETROS!$G$8:$G$907,J505),SUMIFS(PARÂMETROS!$E$8:$E$907,PARÂMETROS!$A$8:$A$907,C505,PARÂMETROS!$G$8:$G$907,J505))</f>
        <v/>
      </c>
      <c r="E505" s="84">
        <f>SUMIFS(SETORES!$D:$D,SETORES!$A:$A,A505,SETORES!$F:$F,J505)</f>
        <v/>
      </c>
      <c r="F505" s="84">
        <f>IFERROR(D505*E505,0)</f>
        <v/>
      </c>
      <c r="G505" s="72">
        <f>SUMIFS(PARÂMETROS!$F$8:$F$907,PARÂMETROS!$A$8:$A$907,C505,PARÂMETROS!$G$8:$G$907,J505)</f>
        <v/>
      </c>
      <c r="H505" s="84">
        <f>IFERROR(F505*G505,0)</f>
        <v/>
      </c>
      <c r="I505" s="84">
        <f>F505+H505</f>
        <v/>
      </c>
      <c r="J505" s="74" t="inlineStr">
        <is>
          <t>Julho/2026</t>
        </is>
      </c>
    </row>
    <row r="506" ht="14.25" customHeight="1" s="64">
      <c r="A506" s="106" t="inlineStr">
        <is>
          <t>Retenção</t>
        </is>
      </c>
      <c r="B506" s="106">
        <f>INDEX(SETORES!$B:$B,MATCH(A506,SETORES!$A:$A,0))</f>
        <v/>
      </c>
      <c r="C506" s="106" t="inlineStr">
        <is>
          <t>Empresa Licenciada SOARES E LINS</t>
        </is>
      </c>
      <c r="D506" s="77">
        <f>IF(B506="Clientes",SUMIFS(PARÂMETROS!$D$8:$D$907,PARÂMETROS!$A$8:$A$907,C506,PARÂMETROS!$G$8:$G$907,J506),SUMIFS(PARÂMETROS!$E$8:$E$907,PARÂMETROS!$A$8:$A$907,C506,PARÂMETROS!$G$8:$G$907,J506))</f>
        <v/>
      </c>
      <c r="E506" s="109">
        <f>SUMIFS(SETORES!$D:$D,SETORES!$A:$A,A506,SETORES!$F:$F,J506)</f>
        <v/>
      </c>
      <c r="F506" s="109">
        <f>IFERROR(D506*E506,0)</f>
        <v/>
      </c>
      <c r="G506" s="77">
        <f>SUMIFS(PARÂMETROS!$F$8:$F$907,PARÂMETROS!$A$8:$A$907,C506,PARÂMETROS!$G$8:$G$907,J506)</f>
        <v/>
      </c>
      <c r="H506" s="109">
        <f>IFERROR(F506*G506,0)</f>
        <v/>
      </c>
      <c r="I506" s="109">
        <f>F506+H506</f>
        <v/>
      </c>
      <c r="J506" s="106" t="inlineStr">
        <is>
          <t>Julho/2026</t>
        </is>
      </c>
    </row>
    <row r="507" hidden="1" ht="14.25" customHeight="1" s="64">
      <c r="A507" s="74" t="inlineStr">
        <is>
          <t>Retenção</t>
        </is>
      </c>
      <c r="B507" s="83">
        <f>INDEX(SETORES!$B:$B,MATCH(A507,SETORES!$A:$A,0))</f>
        <v/>
      </c>
      <c r="C507" s="74" t="inlineStr">
        <is>
          <t>Empresa Licenciada SOARES E SILVA</t>
        </is>
      </c>
      <c r="D507" s="72">
        <f>IF(B507="Clientes",SUMIFS(PARÂMETROS!$D$8:$D$907,PARÂMETROS!$A$8:$A$907,C507,PARÂMETROS!$G$8:$G$907,J507),SUMIFS(PARÂMETROS!$E$8:$E$907,PARÂMETROS!$A$8:$A$907,C507,PARÂMETROS!$G$8:$G$907,J507))</f>
        <v/>
      </c>
      <c r="E507" s="84">
        <f>SUMIFS(SETORES!$D:$D,SETORES!$A:$A,A507,SETORES!$F:$F,J507)</f>
        <v/>
      </c>
      <c r="F507" s="84">
        <f>IFERROR(D507*E507,0)</f>
        <v/>
      </c>
      <c r="G507" s="72">
        <f>SUMIFS(PARÂMETROS!$F$8:$F$907,PARÂMETROS!$A$8:$A$907,C507,PARÂMETROS!$G$8:$G$907,J507)</f>
        <v/>
      </c>
      <c r="H507" s="84">
        <f>IFERROR(F507*G507,0)</f>
        <v/>
      </c>
      <c r="I507" s="84">
        <f>F507+H507</f>
        <v/>
      </c>
      <c r="J507" s="74" t="inlineStr">
        <is>
          <t>Julho/2026</t>
        </is>
      </c>
    </row>
    <row r="508" hidden="1" ht="14.25" customHeight="1" s="64">
      <c r="A508" s="106" t="inlineStr">
        <is>
          <t>Retenção</t>
        </is>
      </c>
      <c r="B508" s="106">
        <f>INDEX(SETORES!$B:$B,MATCH(A508,SETORES!$A:$A,0))</f>
        <v/>
      </c>
      <c r="C508" s="106" t="inlineStr">
        <is>
          <t>Empresa Licenciada SOUZA E SILVA</t>
        </is>
      </c>
      <c r="D508" s="77">
        <f>IF(B508="Clientes",SUMIFS(PARÂMETROS!$D$8:$D$907,PARÂMETROS!$A$8:$A$907,C508,PARÂMETROS!$G$8:$G$907,J508),SUMIFS(PARÂMETROS!$E$8:$E$907,PARÂMETROS!$A$8:$A$907,C508,PARÂMETROS!$G$8:$G$907,J508))</f>
        <v/>
      </c>
      <c r="E508" s="109">
        <f>SUMIFS(SETORES!$D:$D,SETORES!$A:$A,A508,SETORES!$F:$F,J508)</f>
        <v/>
      </c>
      <c r="F508" s="109">
        <f>IFERROR(D508*E508,0)</f>
        <v/>
      </c>
      <c r="G508" s="77">
        <f>SUMIFS(PARÂMETROS!$F$8:$F$907,PARÂMETROS!$A$8:$A$907,C508,PARÂMETROS!$G$8:$G$907,J508)</f>
        <v/>
      </c>
      <c r="H508" s="109">
        <f>IFERROR(F508*G508,0)</f>
        <v/>
      </c>
      <c r="I508" s="109">
        <f>F508+H508</f>
        <v/>
      </c>
      <c r="J508" s="106" t="inlineStr">
        <is>
          <t>Julho/2026</t>
        </is>
      </c>
    </row>
    <row r="509" hidden="1" ht="14.25" customHeight="1" s="64">
      <c r="A509" s="74" t="inlineStr">
        <is>
          <t>Retenção</t>
        </is>
      </c>
      <c r="B509" s="83">
        <f>INDEX(SETORES!$B:$B,MATCH(A509,SETORES!$A:$A,0))</f>
        <v/>
      </c>
      <c r="C509" s="74" t="inlineStr">
        <is>
          <t>Empresa Licenciada VOICENET</t>
        </is>
      </c>
      <c r="D509" s="72">
        <f>IF(B509="Clientes",SUMIFS(PARÂMETROS!$D$8:$D$907,PARÂMETROS!$A$8:$A$907,C509,PARÂMETROS!$G$8:$G$907,J509),SUMIFS(PARÂMETROS!$E$8:$E$907,PARÂMETROS!$A$8:$A$907,C509,PARÂMETROS!$G$8:$G$907,J509))</f>
        <v/>
      </c>
      <c r="E509" s="84">
        <f>SUMIFS(SETORES!$D:$D,SETORES!$A:$A,A509,SETORES!$F:$F,J509)</f>
        <v/>
      </c>
      <c r="F509" s="84">
        <f>IFERROR(D509*E509,0)</f>
        <v/>
      </c>
      <c r="G509" s="72">
        <f>SUMIFS(PARÂMETROS!$F$8:$F$907,PARÂMETROS!$A$8:$A$907,C509,PARÂMETROS!$G$8:$G$907,J509)</f>
        <v/>
      </c>
      <c r="H509" s="84">
        <f>IFERROR(F509*G509,0)</f>
        <v/>
      </c>
      <c r="I509" s="84">
        <f>F509+H509</f>
        <v/>
      </c>
      <c r="J509" s="74" t="inlineStr">
        <is>
          <t>Julho/2026</t>
        </is>
      </c>
    </row>
    <row r="510" hidden="1" ht="14.25" customHeight="1" s="64">
      <c r="A510" s="106" t="inlineStr">
        <is>
          <t>Retenção</t>
        </is>
      </c>
      <c r="B510" s="106">
        <f>INDEX(SETORES!$B:$B,MATCH(A510,SETORES!$A:$A,0))</f>
        <v/>
      </c>
      <c r="C510" s="106" t="inlineStr">
        <is>
          <t>DTEL (uso próprio)</t>
        </is>
      </c>
      <c r="D510" s="77">
        <f>IF(B510="Clientes",SUMIFS(PARÂMETROS!$D$8:$D$907,PARÂMETROS!$A$8:$A$907,C510,PARÂMETROS!$G$8:$G$907,J510),SUMIFS(PARÂMETROS!$E$8:$E$907,PARÂMETROS!$A$8:$A$907,C510,PARÂMETROS!$G$8:$G$907,J510))</f>
        <v/>
      </c>
      <c r="E510" s="109">
        <f>SUMIFS(SETORES!$D:$D,SETORES!$A:$A,A510,SETORES!$F:$F,J510)</f>
        <v/>
      </c>
      <c r="F510" s="109">
        <f>IFERROR(D510*E510,0)</f>
        <v/>
      </c>
      <c r="G510" s="77">
        <f>SUMIFS(PARÂMETROS!$F$8:$F$907,PARÂMETROS!$A$8:$A$907,C510,PARÂMETROS!$G$8:$G$907,J510)</f>
        <v/>
      </c>
      <c r="H510" s="109">
        <f>IFERROR(F510*G510,0)</f>
        <v/>
      </c>
      <c r="I510" s="109">
        <f>F510+H510</f>
        <v/>
      </c>
      <c r="J510" s="106" t="inlineStr">
        <is>
          <t>Julho/2026</t>
        </is>
      </c>
    </row>
    <row r="511" hidden="1" ht="14.25" customHeight="1" s="64">
      <c r="A511" s="74" t="inlineStr">
        <is>
          <t>Contabilidade</t>
        </is>
      </c>
      <c r="B511" s="83">
        <f>INDEX(SETORES!$B:$B,MATCH(A511,SETORES!$A:$A,0))</f>
        <v/>
      </c>
      <c r="C511" s="74" t="inlineStr">
        <is>
          <t>Empresa Licenciada DX2</t>
        </is>
      </c>
      <c r="D511" s="72">
        <f>IF(B511="Clientes",SUMIFS(PARÂMETROS!$D$8:$D$907,PARÂMETROS!$A$8:$A$907,C511,PARÂMETROS!$G$8:$G$907,J511),SUMIFS(PARÂMETROS!$E$8:$E$907,PARÂMETROS!$A$8:$A$907,C511,PARÂMETROS!$G$8:$G$907,J511))</f>
        <v/>
      </c>
      <c r="E511" s="84">
        <f>SUMIFS(SETORES!$D:$D,SETORES!$A:$A,A511,SETORES!$F:$F,J511)</f>
        <v/>
      </c>
      <c r="F511" s="84">
        <f>IFERROR(D511*E511,0)</f>
        <v/>
      </c>
      <c r="G511" s="72">
        <f>SUMIFS(PARÂMETROS!$F$8:$F$907,PARÂMETROS!$A$8:$A$907,C511,PARÂMETROS!$G$8:$G$907,J511)</f>
        <v/>
      </c>
      <c r="H511" s="84">
        <f>IFERROR(F511*G511,0)</f>
        <v/>
      </c>
      <c r="I511" s="84">
        <f>F511+H511</f>
        <v/>
      </c>
      <c r="J511" s="74" t="inlineStr">
        <is>
          <t>Julho/2026</t>
        </is>
      </c>
    </row>
    <row r="512" hidden="1" ht="14.25" customHeight="1" s="64">
      <c r="A512" s="106" t="inlineStr">
        <is>
          <t>Contabilidade</t>
        </is>
      </c>
      <c r="B512" s="106">
        <f>INDEX(SETORES!$B:$B,MATCH(A512,SETORES!$A:$A,0))</f>
        <v/>
      </c>
      <c r="C512" s="106" t="inlineStr">
        <is>
          <t>Empresa Licenciada H&amp;A</t>
        </is>
      </c>
      <c r="D512" s="77">
        <f>IF(B512="Clientes",SUMIFS(PARÂMETROS!$D$8:$D$907,PARÂMETROS!$A$8:$A$907,C512,PARÂMETROS!$G$8:$G$907,J512),SUMIFS(PARÂMETROS!$E$8:$E$907,PARÂMETROS!$A$8:$A$907,C512,PARÂMETROS!$G$8:$G$907,J512))</f>
        <v/>
      </c>
      <c r="E512" s="109">
        <f>SUMIFS(SETORES!$D:$D,SETORES!$A:$A,A512,SETORES!$F:$F,J512)</f>
        <v/>
      </c>
      <c r="F512" s="109">
        <f>IFERROR(D512*E512,0)</f>
        <v/>
      </c>
      <c r="G512" s="77">
        <f>SUMIFS(PARÂMETROS!$F$8:$F$907,PARÂMETROS!$A$8:$A$907,C512,PARÂMETROS!$G$8:$G$907,J512)</f>
        <v/>
      </c>
      <c r="H512" s="109">
        <f>IFERROR(F512*G512,0)</f>
        <v/>
      </c>
      <c r="I512" s="109">
        <f>F512+H512</f>
        <v/>
      </c>
      <c r="J512" s="106" t="inlineStr">
        <is>
          <t>Julho/2026</t>
        </is>
      </c>
    </row>
    <row r="513" hidden="1" ht="14.25" customHeight="1" s="64">
      <c r="A513" s="74" t="inlineStr">
        <is>
          <t>Contabilidade</t>
        </is>
      </c>
      <c r="B513" s="83">
        <f>INDEX(SETORES!$B:$B,MATCH(A513,SETORES!$A:$A,0))</f>
        <v/>
      </c>
      <c r="C513" s="74" t="inlineStr">
        <is>
          <t>Empresa Licenciada SOLON ARAUJO</t>
        </is>
      </c>
      <c r="D513" s="72">
        <f>IF(B513="Clientes",SUMIFS(PARÂMETROS!$D$8:$D$907,PARÂMETROS!$A$8:$A$907,C513,PARÂMETROS!$G$8:$G$907,J513),SUMIFS(PARÂMETROS!$E$8:$E$907,PARÂMETROS!$A$8:$A$907,C513,PARÂMETROS!$G$8:$G$907,J513))</f>
        <v/>
      </c>
      <c r="E513" s="84">
        <f>SUMIFS(SETORES!$D:$D,SETORES!$A:$A,A513,SETORES!$F:$F,J513)</f>
        <v/>
      </c>
      <c r="F513" s="84">
        <f>IFERROR(D513*E513,0)</f>
        <v/>
      </c>
      <c r="G513" s="72">
        <f>SUMIFS(PARÂMETROS!$F$8:$F$907,PARÂMETROS!$A$8:$A$907,C513,PARÂMETROS!$G$8:$G$907,J513)</f>
        <v/>
      </c>
      <c r="H513" s="84">
        <f>IFERROR(F513*G513,0)</f>
        <v/>
      </c>
      <c r="I513" s="84">
        <f>F513+H513</f>
        <v/>
      </c>
      <c r="J513" s="74" t="inlineStr">
        <is>
          <t>Julho/2026</t>
        </is>
      </c>
    </row>
    <row r="514" ht="14.25" customHeight="1" s="64">
      <c r="A514" s="106" t="inlineStr">
        <is>
          <t>Contabilidade</t>
        </is>
      </c>
      <c r="B514" s="106">
        <f>INDEX(SETORES!$B:$B,MATCH(A514,SETORES!$A:$A,0))</f>
        <v/>
      </c>
      <c r="C514" s="106" t="inlineStr">
        <is>
          <t>Empresa Licenciada SOARES E LINS</t>
        </is>
      </c>
      <c r="D514" s="77">
        <f>IF(B514="Clientes",SUMIFS(PARÂMETROS!$D$8:$D$907,PARÂMETROS!$A$8:$A$907,C514,PARÂMETROS!$G$8:$G$907,J514),SUMIFS(PARÂMETROS!$E$8:$E$907,PARÂMETROS!$A$8:$A$907,C514,PARÂMETROS!$G$8:$G$907,J514))</f>
        <v/>
      </c>
      <c r="E514" s="109">
        <f>SUMIFS(SETORES!$D:$D,SETORES!$A:$A,A514,SETORES!$F:$F,J514)</f>
        <v/>
      </c>
      <c r="F514" s="109">
        <f>IFERROR(D514*E514,0)</f>
        <v/>
      </c>
      <c r="G514" s="77">
        <f>SUMIFS(PARÂMETROS!$F$8:$F$907,PARÂMETROS!$A$8:$A$907,C514,PARÂMETROS!$G$8:$G$907,J514)</f>
        <v/>
      </c>
      <c r="H514" s="109">
        <f>IFERROR(F514*G514,0)</f>
        <v/>
      </c>
      <c r="I514" s="109">
        <f>F514+H514</f>
        <v/>
      </c>
      <c r="J514" s="106" t="inlineStr">
        <is>
          <t>Julho/2026</t>
        </is>
      </c>
    </row>
    <row r="515" hidden="1" ht="14.25" customHeight="1" s="64">
      <c r="A515" s="74" t="inlineStr">
        <is>
          <t>Contabilidade</t>
        </is>
      </c>
      <c r="B515" s="83">
        <f>INDEX(SETORES!$B:$B,MATCH(A515,SETORES!$A:$A,0))</f>
        <v/>
      </c>
      <c r="C515" s="74" t="inlineStr">
        <is>
          <t>Empresa Licenciada SOARES E SILVA</t>
        </is>
      </c>
      <c r="D515" s="72">
        <f>IF(B515="Clientes",SUMIFS(PARÂMETROS!$D$8:$D$907,PARÂMETROS!$A$8:$A$907,C515,PARÂMETROS!$G$8:$G$907,J515),SUMIFS(PARÂMETROS!$E$8:$E$907,PARÂMETROS!$A$8:$A$907,C515,PARÂMETROS!$G$8:$G$907,J515))</f>
        <v/>
      </c>
      <c r="E515" s="84">
        <f>SUMIFS(SETORES!$D:$D,SETORES!$A:$A,A515,SETORES!$F:$F,J515)</f>
        <v/>
      </c>
      <c r="F515" s="84">
        <f>IFERROR(D515*E515,0)</f>
        <v/>
      </c>
      <c r="G515" s="72">
        <f>SUMIFS(PARÂMETROS!$F$8:$F$907,PARÂMETROS!$A$8:$A$907,C515,PARÂMETROS!$G$8:$G$907,J515)</f>
        <v/>
      </c>
      <c r="H515" s="84">
        <f>IFERROR(F515*G515,0)</f>
        <v/>
      </c>
      <c r="I515" s="84">
        <f>F515+H515</f>
        <v/>
      </c>
      <c r="J515" s="74" t="inlineStr">
        <is>
          <t>Julho/2026</t>
        </is>
      </c>
    </row>
    <row r="516" hidden="1" ht="14.25" customHeight="1" s="64">
      <c r="A516" s="106" t="inlineStr">
        <is>
          <t>Contabilidade</t>
        </is>
      </c>
      <c r="B516" s="106">
        <f>INDEX(SETORES!$B:$B,MATCH(A516,SETORES!$A:$A,0))</f>
        <v/>
      </c>
      <c r="C516" s="106" t="inlineStr">
        <is>
          <t>Empresa Licenciada SOUZA E SILVA</t>
        </is>
      </c>
      <c r="D516" s="77">
        <f>IF(B516="Clientes",SUMIFS(PARÂMETROS!$D$8:$D$907,PARÂMETROS!$A$8:$A$907,C516,PARÂMETROS!$G$8:$G$907,J516),SUMIFS(PARÂMETROS!$E$8:$E$907,PARÂMETROS!$A$8:$A$907,C516,PARÂMETROS!$G$8:$G$907,J516))</f>
        <v/>
      </c>
      <c r="E516" s="109">
        <f>SUMIFS(SETORES!$D:$D,SETORES!$A:$A,A516,SETORES!$F:$F,J516)</f>
        <v/>
      </c>
      <c r="F516" s="109">
        <f>IFERROR(D516*E516,0)</f>
        <v/>
      </c>
      <c r="G516" s="77">
        <f>SUMIFS(PARÂMETROS!$F$8:$F$907,PARÂMETROS!$A$8:$A$907,C516,PARÂMETROS!$G$8:$G$907,J516)</f>
        <v/>
      </c>
      <c r="H516" s="109">
        <f>IFERROR(F516*G516,0)</f>
        <v/>
      </c>
      <c r="I516" s="109">
        <f>F516+H516</f>
        <v/>
      </c>
      <c r="J516" s="106" t="inlineStr">
        <is>
          <t>Julho/2026</t>
        </is>
      </c>
    </row>
    <row r="517" hidden="1" ht="14.25" customHeight="1" s="64">
      <c r="A517" s="74" t="inlineStr">
        <is>
          <t>Contabilidade</t>
        </is>
      </c>
      <c r="B517" s="83">
        <f>INDEX(SETORES!$B:$B,MATCH(A517,SETORES!$A:$A,0))</f>
        <v/>
      </c>
      <c r="C517" s="74" t="inlineStr">
        <is>
          <t>Empresa Licenciada VOICENET</t>
        </is>
      </c>
      <c r="D517" s="72">
        <f>IF(B517="Clientes",SUMIFS(PARÂMETROS!$D$8:$D$907,PARÂMETROS!$A$8:$A$907,C517,PARÂMETROS!$G$8:$G$907,J517),SUMIFS(PARÂMETROS!$E$8:$E$907,PARÂMETROS!$A$8:$A$907,C517,PARÂMETROS!$G$8:$G$907,J517))</f>
        <v/>
      </c>
      <c r="E517" s="84">
        <f>SUMIFS(SETORES!$D:$D,SETORES!$A:$A,A517,SETORES!$F:$F,J517)</f>
        <v/>
      </c>
      <c r="F517" s="84">
        <f>IFERROR(D517*E517,0)</f>
        <v/>
      </c>
      <c r="G517" s="72">
        <f>SUMIFS(PARÂMETROS!$F$8:$F$907,PARÂMETROS!$A$8:$A$907,C517,PARÂMETROS!$G$8:$G$907,J517)</f>
        <v/>
      </c>
      <c r="H517" s="84">
        <f>IFERROR(F517*G517,0)</f>
        <v/>
      </c>
      <c r="I517" s="84">
        <f>F517+H517</f>
        <v/>
      </c>
      <c r="J517" s="74" t="inlineStr">
        <is>
          <t>Julho/2026</t>
        </is>
      </c>
    </row>
    <row r="518" hidden="1" ht="14.25" customHeight="1" s="64">
      <c r="A518" s="106" t="inlineStr">
        <is>
          <t>Contabilidade</t>
        </is>
      </c>
      <c r="B518" s="106">
        <f>INDEX(SETORES!$B:$B,MATCH(A518,SETORES!$A:$A,0))</f>
        <v/>
      </c>
      <c r="C518" s="106" t="inlineStr">
        <is>
          <t>DTEL (uso próprio)</t>
        </is>
      </c>
      <c r="D518" s="77">
        <f>IF(B518="Clientes",SUMIFS(PARÂMETROS!$D$8:$D$907,PARÂMETROS!$A$8:$A$907,C518,PARÂMETROS!$G$8:$G$907,J518),SUMIFS(PARÂMETROS!$E$8:$E$907,PARÂMETROS!$A$8:$A$907,C518,PARÂMETROS!$G$8:$G$907,J518))</f>
        <v/>
      </c>
      <c r="E518" s="109">
        <f>SUMIFS(SETORES!$D:$D,SETORES!$A:$A,A518,SETORES!$F:$F,J518)</f>
        <v/>
      </c>
      <c r="F518" s="109">
        <f>IFERROR(D518*E518,0)</f>
        <v/>
      </c>
      <c r="G518" s="77">
        <f>SUMIFS(PARÂMETROS!$F$8:$F$907,PARÂMETROS!$A$8:$A$907,C518,PARÂMETROS!$G$8:$G$907,J518)</f>
        <v/>
      </c>
      <c r="H518" s="109">
        <f>IFERROR(F518*G518,0)</f>
        <v/>
      </c>
      <c r="I518" s="109">
        <f>F518+H518</f>
        <v/>
      </c>
      <c r="J518" s="106" t="inlineStr">
        <is>
          <t>Julho/2026</t>
        </is>
      </c>
    </row>
    <row r="519" hidden="1" ht="14.25" customHeight="1" s="64">
      <c r="A519" s="74" t="inlineStr">
        <is>
          <t>Controladoria</t>
        </is>
      </c>
      <c r="B519" s="83">
        <f>INDEX(SETORES!$B:$B,MATCH(A519,SETORES!$A:$A,0))</f>
        <v/>
      </c>
      <c r="C519" s="74" t="inlineStr">
        <is>
          <t>Empresa Licenciada DX2</t>
        </is>
      </c>
      <c r="D519" s="72">
        <f>IF(B519="Clientes",SUMIFS(PARÂMETROS!$D$8:$D$907,PARÂMETROS!$A$8:$A$907,C519,PARÂMETROS!$G$8:$G$907,J519),SUMIFS(PARÂMETROS!$E$8:$E$907,PARÂMETROS!$A$8:$A$907,C519,PARÂMETROS!$G$8:$G$907,J519))</f>
        <v/>
      </c>
      <c r="E519" s="84">
        <f>SUMIFS(SETORES!$D:$D,SETORES!$A:$A,A519,SETORES!$F:$F,J519)</f>
        <v/>
      </c>
      <c r="F519" s="84">
        <f>IFERROR(D519*E519,0)</f>
        <v/>
      </c>
      <c r="G519" s="72">
        <f>SUMIFS(PARÂMETROS!$F$8:$F$907,PARÂMETROS!$A$8:$A$907,C519,PARÂMETROS!$G$8:$G$907,J519)</f>
        <v/>
      </c>
      <c r="H519" s="84">
        <f>IFERROR(F519*G519,0)</f>
        <v/>
      </c>
      <c r="I519" s="84">
        <f>F519+H519</f>
        <v/>
      </c>
      <c r="J519" s="74" t="inlineStr">
        <is>
          <t>Julho/2026</t>
        </is>
      </c>
    </row>
    <row r="520" hidden="1" ht="14.25" customHeight="1" s="64">
      <c r="A520" s="106" t="inlineStr">
        <is>
          <t>Controladoria</t>
        </is>
      </c>
      <c r="B520" s="106">
        <f>INDEX(SETORES!$B:$B,MATCH(A520,SETORES!$A:$A,0))</f>
        <v/>
      </c>
      <c r="C520" s="106" t="inlineStr">
        <is>
          <t>Empresa Licenciada H&amp;A</t>
        </is>
      </c>
      <c r="D520" s="77">
        <f>IF(B520="Clientes",SUMIFS(PARÂMETROS!$D$8:$D$907,PARÂMETROS!$A$8:$A$907,C520,PARÂMETROS!$G$8:$G$907,J520),SUMIFS(PARÂMETROS!$E$8:$E$907,PARÂMETROS!$A$8:$A$907,C520,PARÂMETROS!$G$8:$G$907,J520))</f>
        <v/>
      </c>
      <c r="E520" s="109">
        <f>SUMIFS(SETORES!$D:$D,SETORES!$A:$A,A520,SETORES!$F:$F,J520)</f>
        <v/>
      </c>
      <c r="F520" s="109">
        <f>IFERROR(D520*E520,0)</f>
        <v/>
      </c>
      <c r="G520" s="77">
        <f>SUMIFS(PARÂMETROS!$F$8:$F$907,PARÂMETROS!$A$8:$A$907,C520,PARÂMETROS!$G$8:$G$907,J520)</f>
        <v/>
      </c>
      <c r="H520" s="109">
        <f>IFERROR(F520*G520,0)</f>
        <v/>
      </c>
      <c r="I520" s="109">
        <f>F520+H520</f>
        <v/>
      </c>
      <c r="J520" s="106" t="inlineStr">
        <is>
          <t>Julho/2026</t>
        </is>
      </c>
    </row>
    <row r="521" hidden="1" ht="14.25" customHeight="1" s="64">
      <c r="A521" s="74" t="inlineStr">
        <is>
          <t>Controladoria</t>
        </is>
      </c>
      <c r="B521" s="83">
        <f>INDEX(SETORES!$B:$B,MATCH(A521,SETORES!$A:$A,0))</f>
        <v/>
      </c>
      <c r="C521" s="74" t="inlineStr">
        <is>
          <t>Empresa Licenciada SOLON ARAUJO</t>
        </is>
      </c>
      <c r="D521" s="72">
        <f>IF(B521="Clientes",SUMIFS(PARÂMETROS!$D$8:$D$907,PARÂMETROS!$A$8:$A$907,C521,PARÂMETROS!$G$8:$G$907,J521),SUMIFS(PARÂMETROS!$E$8:$E$907,PARÂMETROS!$A$8:$A$907,C521,PARÂMETROS!$G$8:$G$907,J521))</f>
        <v/>
      </c>
      <c r="E521" s="84">
        <f>SUMIFS(SETORES!$D:$D,SETORES!$A:$A,A521,SETORES!$F:$F,J521)</f>
        <v/>
      </c>
      <c r="F521" s="84">
        <f>IFERROR(D521*E521,0)</f>
        <v/>
      </c>
      <c r="G521" s="72">
        <f>SUMIFS(PARÂMETROS!$F$8:$F$907,PARÂMETROS!$A$8:$A$907,C521,PARÂMETROS!$G$8:$G$907,J521)</f>
        <v/>
      </c>
      <c r="H521" s="84">
        <f>IFERROR(F521*G521,0)</f>
        <v/>
      </c>
      <c r="I521" s="84">
        <f>F521+H521</f>
        <v/>
      </c>
      <c r="J521" s="74" t="inlineStr">
        <is>
          <t>Julho/2026</t>
        </is>
      </c>
    </row>
    <row r="522" ht="14.25" customHeight="1" s="64">
      <c r="A522" s="106" t="inlineStr">
        <is>
          <t>Controladoria</t>
        </is>
      </c>
      <c r="B522" s="106">
        <f>INDEX(SETORES!$B:$B,MATCH(A522,SETORES!$A:$A,0))</f>
        <v/>
      </c>
      <c r="C522" s="106" t="inlineStr">
        <is>
          <t>Empresa Licenciada SOARES E LINS</t>
        </is>
      </c>
      <c r="D522" s="77">
        <f>IF(B522="Clientes",SUMIFS(PARÂMETROS!$D$8:$D$907,PARÂMETROS!$A$8:$A$907,C522,PARÂMETROS!$G$8:$G$907,J522),SUMIFS(PARÂMETROS!$E$8:$E$907,PARÂMETROS!$A$8:$A$907,C522,PARÂMETROS!$G$8:$G$907,J522))</f>
        <v/>
      </c>
      <c r="E522" s="109">
        <f>SUMIFS(SETORES!$D:$D,SETORES!$A:$A,A522,SETORES!$F:$F,J522)</f>
        <v/>
      </c>
      <c r="F522" s="109">
        <f>IFERROR(D522*E522,0)</f>
        <v/>
      </c>
      <c r="G522" s="77">
        <f>SUMIFS(PARÂMETROS!$F$8:$F$907,PARÂMETROS!$A$8:$A$907,C522,PARÂMETROS!$G$8:$G$907,J522)</f>
        <v/>
      </c>
      <c r="H522" s="109">
        <f>IFERROR(F522*G522,0)</f>
        <v/>
      </c>
      <c r="I522" s="109">
        <f>F522+H522</f>
        <v/>
      </c>
      <c r="J522" s="106" t="inlineStr">
        <is>
          <t>Julho/2026</t>
        </is>
      </c>
    </row>
    <row r="523" hidden="1" ht="14.25" customHeight="1" s="64">
      <c r="A523" s="74" t="inlineStr">
        <is>
          <t>Controladoria</t>
        </is>
      </c>
      <c r="B523" s="83">
        <f>INDEX(SETORES!$B:$B,MATCH(A523,SETORES!$A:$A,0))</f>
        <v/>
      </c>
      <c r="C523" s="74" t="inlineStr">
        <is>
          <t>Empresa Licenciada SOARES E SILVA</t>
        </is>
      </c>
      <c r="D523" s="72">
        <f>IF(B523="Clientes",SUMIFS(PARÂMETROS!$D$8:$D$907,PARÂMETROS!$A$8:$A$907,C523,PARÂMETROS!$G$8:$G$907,J523),SUMIFS(PARÂMETROS!$E$8:$E$907,PARÂMETROS!$A$8:$A$907,C523,PARÂMETROS!$G$8:$G$907,J523))</f>
        <v/>
      </c>
      <c r="E523" s="84">
        <f>SUMIFS(SETORES!$D:$D,SETORES!$A:$A,A523,SETORES!$F:$F,J523)</f>
        <v/>
      </c>
      <c r="F523" s="84">
        <f>IFERROR(D523*E523,0)</f>
        <v/>
      </c>
      <c r="G523" s="72">
        <f>SUMIFS(PARÂMETROS!$F$8:$F$907,PARÂMETROS!$A$8:$A$907,C523,PARÂMETROS!$G$8:$G$907,J523)</f>
        <v/>
      </c>
      <c r="H523" s="84">
        <f>IFERROR(F523*G523,0)</f>
        <v/>
      </c>
      <c r="I523" s="84">
        <f>F523+H523</f>
        <v/>
      </c>
      <c r="J523" s="74" t="inlineStr">
        <is>
          <t>Julho/2026</t>
        </is>
      </c>
    </row>
    <row r="524" hidden="1" ht="14.25" customHeight="1" s="64">
      <c r="A524" s="106" t="inlineStr">
        <is>
          <t>Controladoria</t>
        </is>
      </c>
      <c r="B524" s="106">
        <f>INDEX(SETORES!$B:$B,MATCH(A524,SETORES!$A:$A,0))</f>
        <v/>
      </c>
      <c r="C524" s="106" t="inlineStr">
        <is>
          <t>Empresa Licenciada SOUZA E SILVA</t>
        </is>
      </c>
      <c r="D524" s="77">
        <f>IF(B524="Clientes",SUMIFS(PARÂMETROS!$D$8:$D$907,PARÂMETROS!$A$8:$A$907,C524,PARÂMETROS!$G$8:$G$907,J524),SUMIFS(PARÂMETROS!$E$8:$E$907,PARÂMETROS!$A$8:$A$907,C524,PARÂMETROS!$G$8:$G$907,J524))</f>
        <v/>
      </c>
      <c r="E524" s="109">
        <f>SUMIFS(SETORES!$D:$D,SETORES!$A:$A,A524,SETORES!$F:$F,J524)</f>
        <v/>
      </c>
      <c r="F524" s="109">
        <f>IFERROR(D524*E524,0)</f>
        <v/>
      </c>
      <c r="G524" s="77">
        <f>SUMIFS(PARÂMETROS!$F$8:$F$907,PARÂMETROS!$A$8:$A$907,C524,PARÂMETROS!$G$8:$G$907,J524)</f>
        <v/>
      </c>
      <c r="H524" s="109">
        <f>IFERROR(F524*G524,0)</f>
        <v/>
      </c>
      <c r="I524" s="109">
        <f>F524+H524</f>
        <v/>
      </c>
      <c r="J524" s="106" t="inlineStr">
        <is>
          <t>Julho/2026</t>
        </is>
      </c>
    </row>
    <row r="525" hidden="1" ht="14.25" customHeight="1" s="64">
      <c r="A525" s="74" t="inlineStr">
        <is>
          <t>Controladoria</t>
        </is>
      </c>
      <c r="B525" s="83">
        <f>INDEX(SETORES!$B:$B,MATCH(A525,SETORES!$A:$A,0))</f>
        <v/>
      </c>
      <c r="C525" s="74" t="inlineStr">
        <is>
          <t>Empresa Licenciada VOICENET</t>
        </is>
      </c>
      <c r="D525" s="72">
        <f>IF(B525="Clientes",SUMIFS(PARÂMETROS!$D$8:$D$907,PARÂMETROS!$A$8:$A$907,C525,PARÂMETROS!$G$8:$G$907,J525),SUMIFS(PARÂMETROS!$E$8:$E$907,PARÂMETROS!$A$8:$A$907,C525,PARÂMETROS!$G$8:$G$907,J525))</f>
        <v/>
      </c>
      <c r="E525" s="84">
        <f>SUMIFS(SETORES!$D:$D,SETORES!$A:$A,A525,SETORES!$F:$F,J525)</f>
        <v/>
      </c>
      <c r="F525" s="84">
        <f>IFERROR(D525*E525,0)</f>
        <v/>
      </c>
      <c r="G525" s="72">
        <f>SUMIFS(PARÂMETROS!$F$8:$F$907,PARÂMETROS!$A$8:$A$907,C525,PARÂMETROS!$G$8:$G$907,J525)</f>
        <v/>
      </c>
      <c r="H525" s="84">
        <f>IFERROR(F525*G525,0)</f>
        <v/>
      </c>
      <c r="I525" s="84">
        <f>F525+H525</f>
        <v/>
      </c>
      <c r="J525" s="74" t="inlineStr">
        <is>
          <t>Julho/2026</t>
        </is>
      </c>
    </row>
    <row r="526" hidden="1" ht="14.25" customHeight="1" s="64">
      <c r="A526" s="106" t="inlineStr">
        <is>
          <t>Controladoria</t>
        </is>
      </c>
      <c r="B526" s="106">
        <f>INDEX(SETORES!$B:$B,MATCH(A526,SETORES!$A:$A,0))</f>
        <v/>
      </c>
      <c r="C526" s="106" t="inlineStr">
        <is>
          <t>DTEL (uso próprio)</t>
        </is>
      </c>
      <c r="D526" s="77">
        <f>IF(B526="Clientes",SUMIFS(PARÂMETROS!$D$8:$D$907,PARÂMETROS!$A$8:$A$907,C526,PARÂMETROS!$G$8:$G$907,J526),SUMIFS(PARÂMETROS!$E$8:$E$907,PARÂMETROS!$A$8:$A$907,C526,PARÂMETROS!$G$8:$G$907,J526))</f>
        <v/>
      </c>
      <c r="E526" s="109">
        <f>SUMIFS(SETORES!$D:$D,SETORES!$A:$A,A526,SETORES!$F:$F,J526)</f>
        <v/>
      </c>
      <c r="F526" s="109">
        <f>IFERROR(D526*E526,0)</f>
        <v/>
      </c>
      <c r="G526" s="77">
        <f>SUMIFS(PARÂMETROS!$F$8:$F$907,PARÂMETROS!$A$8:$A$907,C526,PARÂMETROS!$G$8:$G$907,J526)</f>
        <v/>
      </c>
      <c r="H526" s="109">
        <f>IFERROR(F526*G526,0)</f>
        <v/>
      </c>
      <c r="I526" s="109">
        <f>F526+H526</f>
        <v/>
      </c>
      <c r="J526" s="106" t="inlineStr">
        <is>
          <t>Julho/2026</t>
        </is>
      </c>
    </row>
    <row r="527" hidden="1" ht="14.25" customHeight="1" s="64">
      <c r="A527" s="74" t="inlineStr">
        <is>
          <t>Diretoria Operacional</t>
        </is>
      </c>
      <c r="B527" s="83">
        <f>INDEX(SETORES!$B:$B,MATCH(A527,SETORES!$A:$A,0))</f>
        <v/>
      </c>
      <c r="C527" s="74" t="inlineStr">
        <is>
          <t>Empresa Licenciada DX2</t>
        </is>
      </c>
      <c r="D527" s="72">
        <f>IF(B527="Clientes",SUMIFS(PARÂMETROS!$D$8:$D$907,PARÂMETROS!$A$8:$A$907,C527,PARÂMETROS!$G$8:$G$907,J527),SUMIFS(PARÂMETROS!$E$8:$E$907,PARÂMETROS!$A$8:$A$907,C527,PARÂMETROS!$G$8:$G$907,J527))</f>
        <v/>
      </c>
      <c r="E527" s="84">
        <f>SUMIFS(SETORES!$D:$D,SETORES!$A:$A,A527,SETORES!$F:$F,J527)</f>
        <v/>
      </c>
      <c r="F527" s="84">
        <f>IFERROR(D527*E527,0)</f>
        <v/>
      </c>
      <c r="G527" s="72">
        <f>SUMIFS(PARÂMETROS!$F$8:$F$907,PARÂMETROS!$A$8:$A$907,C527,PARÂMETROS!$G$8:$G$907,J527)</f>
        <v/>
      </c>
      <c r="H527" s="84">
        <f>IFERROR(F527*G527,0)</f>
        <v/>
      </c>
      <c r="I527" s="84">
        <f>F527+H527</f>
        <v/>
      </c>
      <c r="J527" s="74" t="inlineStr">
        <is>
          <t>Julho/2026</t>
        </is>
      </c>
    </row>
    <row r="528" hidden="1" ht="14.25" customHeight="1" s="64">
      <c r="A528" s="106" t="inlineStr">
        <is>
          <t>Diretoria Operacional</t>
        </is>
      </c>
      <c r="B528" s="106">
        <f>INDEX(SETORES!$B:$B,MATCH(A528,SETORES!$A:$A,0))</f>
        <v/>
      </c>
      <c r="C528" s="106" t="inlineStr">
        <is>
          <t>Empresa Licenciada H&amp;A</t>
        </is>
      </c>
      <c r="D528" s="77">
        <f>IF(B528="Clientes",SUMIFS(PARÂMETROS!$D$8:$D$907,PARÂMETROS!$A$8:$A$907,C528,PARÂMETROS!$G$8:$G$907,J528),SUMIFS(PARÂMETROS!$E$8:$E$907,PARÂMETROS!$A$8:$A$907,C528,PARÂMETROS!$G$8:$G$907,J528))</f>
        <v/>
      </c>
      <c r="E528" s="109">
        <f>SUMIFS(SETORES!$D:$D,SETORES!$A:$A,A528,SETORES!$F:$F,J528)</f>
        <v/>
      </c>
      <c r="F528" s="109">
        <f>IFERROR(D528*E528,0)</f>
        <v/>
      </c>
      <c r="G528" s="77">
        <f>SUMIFS(PARÂMETROS!$F$8:$F$907,PARÂMETROS!$A$8:$A$907,C528,PARÂMETROS!$G$8:$G$907,J528)</f>
        <v/>
      </c>
      <c r="H528" s="109">
        <f>IFERROR(F528*G528,0)</f>
        <v/>
      </c>
      <c r="I528" s="109">
        <f>F528+H528</f>
        <v/>
      </c>
      <c r="J528" s="106" t="inlineStr">
        <is>
          <t>Julho/2026</t>
        </is>
      </c>
    </row>
    <row r="529" hidden="1" ht="14.25" customHeight="1" s="64">
      <c r="A529" s="74" t="inlineStr">
        <is>
          <t>Diretoria Operacional</t>
        </is>
      </c>
      <c r="B529" s="83">
        <f>INDEX(SETORES!$B:$B,MATCH(A529,SETORES!$A:$A,0))</f>
        <v/>
      </c>
      <c r="C529" s="74" t="inlineStr">
        <is>
          <t>Empresa Licenciada SOLON ARAUJO</t>
        </is>
      </c>
      <c r="D529" s="72">
        <f>IF(B529="Clientes",SUMIFS(PARÂMETROS!$D$8:$D$907,PARÂMETROS!$A$8:$A$907,C529,PARÂMETROS!$G$8:$G$907,J529),SUMIFS(PARÂMETROS!$E$8:$E$907,PARÂMETROS!$A$8:$A$907,C529,PARÂMETROS!$G$8:$G$907,J529))</f>
        <v/>
      </c>
      <c r="E529" s="84">
        <f>SUMIFS(SETORES!$D:$D,SETORES!$A:$A,A529,SETORES!$F:$F,J529)</f>
        <v/>
      </c>
      <c r="F529" s="84">
        <f>IFERROR(D529*E529,0)</f>
        <v/>
      </c>
      <c r="G529" s="72">
        <f>SUMIFS(PARÂMETROS!$F$8:$F$907,PARÂMETROS!$A$8:$A$907,C529,PARÂMETROS!$G$8:$G$907,J529)</f>
        <v/>
      </c>
      <c r="H529" s="84">
        <f>IFERROR(F529*G529,0)</f>
        <v/>
      </c>
      <c r="I529" s="84">
        <f>F529+H529</f>
        <v/>
      </c>
      <c r="J529" s="74" t="inlineStr">
        <is>
          <t>Julho/2026</t>
        </is>
      </c>
    </row>
    <row r="530" ht="14.25" customHeight="1" s="64">
      <c r="A530" s="106" t="inlineStr">
        <is>
          <t>Diretoria Operacional</t>
        </is>
      </c>
      <c r="B530" s="106">
        <f>INDEX(SETORES!$B:$B,MATCH(A530,SETORES!$A:$A,0))</f>
        <v/>
      </c>
      <c r="C530" s="106" t="inlineStr">
        <is>
          <t>Empresa Licenciada SOARES E LINS</t>
        </is>
      </c>
      <c r="D530" s="77">
        <f>IF(B530="Clientes",SUMIFS(PARÂMETROS!$D$8:$D$907,PARÂMETROS!$A$8:$A$907,C530,PARÂMETROS!$G$8:$G$907,J530),SUMIFS(PARÂMETROS!$E$8:$E$907,PARÂMETROS!$A$8:$A$907,C530,PARÂMETROS!$G$8:$G$907,J530))</f>
        <v/>
      </c>
      <c r="E530" s="109">
        <f>SUMIFS(SETORES!$D:$D,SETORES!$A:$A,A530,SETORES!$F:$F,J530)</f>
        <v/>
      </c>
      <c r="F530" s="109">
        <f>IFERROR(D530*E530,0)</f>
        <v/>
      </c>
      <c r="G530" s="77">
        <f>SUMIFS(PARÂMETROS!$F$8:$F$907,PARÂMETROS!$A$8:$A$907,C530,PARÂMETROS!$G$8:$G$907,J530)</f>
        <v/>
      </c>
      <c r="H530" s="109">
        <f>IFERROR(F530*G530,0)</f>
        <v/>
      </c>
      <c r="I530" s="109">
        <f>F530+H530</f>
        <v/>
      </c>
      <c r="J530" s="106" t="inlineStr">
        <is>
          <t>Julho/2026</t>
        </is>
      </c>
    </row>
    <row r="531" hidden="1" ht="14.25" customHeight="1" s="64">
      <c r="A531" s="74" t="inlineStr">
        <is>
          <t>Diretoria Operacional</t>
        </is>
      </c>
      <c r="B531" s="83">
        <f>INDEX(SETORES!$B:$B,MATCH(A531,SETORES!$A:$A,0))</f>
        <v/>
      </c>
      <c r="C531" s="74" t="inlineStr">
        <is>
          <t>Empresa Licenciada SOARES E SILVA</t>
        </is>
      </c>
      <c r="D531" s="72">
        <f>IF(B531="Clientes",SUMIFS(PARÂMETROS!$D$8:$D$907,PARÂMETROS!$A$8:$A$907,C531,PARÂMETROS!$G$8:$G$907,J531),SUMIFS(PARÂMETROS!$E$8:$E$907,PARÂMETROS!$A$8:$A$907,C531,PARÂMETROS!$G$8:$G$907,J531))</f>
        <v/>
      </c>
      <c r="E531" s="84">
        <f>SUMIFS(SETORES!$D:$D,SETORES!$A:$A,A531,SETORES!$F:$F,J531)</f>
        <v/>
      </c>
      <c r="F531" s="84">
        <f>IFERROR(D531*E531,0)</f>
        <v/>
      </c>
      <c r="G531" s="72">
        <f>SUMIFS(PARÂMETROS!$F$8:$F$907,PARÂMETROS!$A$8:$A$907,C531,PARÂMETROS!$G$8:$G$907,J531)</f>
        <v/>
      </c>
      <c r="H531" s="84">
        <f>IFERROR(F531*G531,0)</f>
        <v/>
      </c>
      <c r="I531" s="84">
        <f>F531+H531</f>
        <v/>
      </c>
      <c r="J531" s="74" t="inlineStr">
        <is>
          <t>Julho/2026</t>
        </is>
      </c>
    </row>
    <row r="532" hidden="1" ht="14.25" customHeight="1" s="64">
      <c r="A532" s="106" t="inlineStr">
        <is>
          <t>Diretoria Operacional</t>
        </is>
      </c>
      <c r="B532" s="106">
        <f>INDEX(SETORES!$B:$B,MATCH(A532,SETORES!$A:$A,0))</f>
        <v/>
      </c>
      <c r="C532" s="106" t="inlineStr">
        <is>
          <t>Empresa Licenciada SOUZA E SILVA</t>
        </is>
      </c>
      <c r="D532" s="77">
        <f>IF(B532="Clientes",SUMIFS(PARÂMETROS!$D$8:$D$907,PARÂMETROS!$A$8:$A$907,C532,PARÂMETROS!$G$8:$G$907,J532),SUMIFS(PARÂMETROS!$E$8:$E$907,PARÂMETROS!$A$8:$A$907,C532,PARÂMETROS!$G$8:$G$907,J532))</f>
        <v/>
      </c>
      <c r="E532" s="109">
        <f>SUMIFS(SETORES!$D:$D,SETORES!$A:$A,A532,SETORES!$F:$F,J532)</f>
        <v/>
      </c>
      <c r="F532" s="109">
        <f>IFERROR(D532*E532,0)</f>
        <v/>
      </c>
      <c r="G532" s="77">
        <f>SUMIFS(PARÂMETROS!$F$8:$F$907,PARÂMETROS!$A$8:$A$907,C532,PARÂMETROS!$G$8:$G$907,J532)</f>
        <v/>
      </c>
      <c r="H532" s="109">
        <f>IFERROR(F532*G532,0)</f>
        <v/>
      </c>
      <c r="I532" s="109">
        <f>F532+H532</f>
        <v/>
      </c>
      <c r="J532" s="106" t="inlineStr">
        <is>
          <t>Julho/2026</t>
        </is>
      </c>
    </row>
    <row r="533" hidden="1" ht="14.25" customHeight="1" s="64">
      <c r="A533" s="74" t="inlineStr">
        <is>
          <t>Diretoria Operacional</t>
        </is>
      </c>
      <c r="B533" s="83">
        <f>INDEX(SETORES!$B:$B,MATCH(A533,SETORES!$A:$A,0))</f>
        <v/>
      </c>
      <c r="C533" s="74" t="inlineStr">
        <is>
          <t>Empresa Licenciada VOICENET</t>
        </is>
      </c>
      <c r="D533" s="72">
        <f>IF(B533="Clientes",SUMIFS(PARÂMETROS!$D$8:$D$907,PARÂMETROS!$A$8:$A$907,C533,PARÂMETROS!$G$8:$G$907,J533),SUMIFS(PARÂMETROS!$E$8:$E$907,PARÂMETROS!$A$8:$A$907,C533,PARÂMETROS!$G$8:$G$907,J533))</f>
        <v/>
      </c>
      <c r="E533" s="84">
        <f>SUMIFS(SETORES!$D:$D,SETORES!$A:$A,A533,SETORES!$F:$F,J533)</f>
        <v/>
      </c>
      <c r="F533" s="84">
        <f>IFERROR(D533*E533,0)</f>
        <v/>
      </c>
      <c r="G533" s="72">
        <f>SUMIFS(PARÂMETROS!$F$8:$F$907,PARÂMETROS!$A$8:$A$907,C533,PARÂMETROS!$G$8:$G$907,J533)</f>
        <v/>
      </c>
      <c r="H533" s="84">
        <f>IFERROR(F533*G533,0)</f>
        <v/>
      </c>
      <c r="I533" s="84">
        <f>F533+H533</f>
        <v/>
      </c>
      <c r="J533" s="74" t="inlineStr">
        <is>
          <t>Julho/2026</t>
        </is>
      </c>
    </row>
    <row r="534" hidden="1" ht="14.25" customHeight="1" s="64">
      <c r="A534" s="106" t="inlineStr">
        <is>
          <t>Diretoria Operacional</t>
        </is>
      </c>
      <c r="B534" s="106">
        <f>INDEX(SETORES!$B:$B,MATCH(A534,SETORES!$A:$A,0))</f>
        <v/>
      </c>
      <c r="C534" s="106" t="inlineStr">
        <is>
          <t>DTEL (uso próprio)</t>
        </is>
      </c>
      <c r="D534" s="77">
        <f>IF(B534="Clientes",SUMIFS(PARÂMETROS!$D$8:$D$907,PARÂMETROS!$A$8:$A$907,C534,PARÂMETROS!$G$8:$G$907,J534),SUMIFS(PARÂMETROS!$E$8:$E$907,PARÂMETROS!$A$8:$A$907,C534,PARÂMETROS!$G$8:$G$907,J534))</f>
        <v/>
      </c>
      <c r="E534" s="109">
        <f>SUMIFS(SETORES!$D:$D,SETORES!$A:$A,A534,SETORES!$F:$F,J534)</f>
        <v/>
      </c>
      <c r="F534" s="109">
        <f>IFERROR(D534*E534,0)</f>
        <v/>
      </c>
      <c r="G534" s="77">
        <f>SUMIFS(PARÂMETROS!$F$8:$F$907,PARÂMETROS!$A$8:$A$907,C534,PARÂMETROS!$G$8:$G$907,J534)</f>
        <v/>
      </c>
      <c r="H534" s="109">
        <f>IFERROR(F534*G534,0)</f>
        <v/>
      </c>
      <c r="I534" s="109">
        <f>F534+H534</f>
        <v/>
      </c>
      <c r="J534" s="106" t="inlineStr">
        <is>
          <t>Julho/2026</t>
        </is>
      </c>
    </row>
    <row r="535" hidden="1" ht="14.25" customHeight="1" s="64">
      <c r="A535" s="74" t="inlineStr">
        <is>
          <t>Compras</t>
        </is>
      </c>
      <c r="B535" s="83">
        <f>INDEX(SETORES!$B:$B,MATCH(A535,SETORES!$A:$A,0))</f>
        <v/>
      </c>
      <c r="C535" s="74" t="inlineStr">
        <is>
          <t>Empresa Licenciada DX2</t>
        </is>
      </c>
      <c r="D535" s="72">
        <f>IF(B535="Clientes",SUMIFS(PARÂMETROS!$D$8:$D$907,PARÂMETROS!$A$8:$A$907,C535,PARÂMETROS!$G$8:$G$907,J535),SUMIFS(PARÂMETROS!$E$8:$E$907,PARÂMETROS!$A$8:$A$907,C535,PARÂMETROS!$G$8:$G$907,J535))</f>
        <v/>
      </c>
      <c r="E535" s="84">
        <f>SUMIFS(SETORES!$D:$D,SETORES!$A:$A,A535,SETORES!$F:$F,J535)</f>
        <v/>
      </c>
      <c r="F535" s="84">
        <f>IFERROR(D535*E535,0)</f>
        <v/>
      </c>
      <c r="G535" s="72">
        <f>SUMIFS(PARÂMETROS!$F$8:$F$907,PARÂMETROS!$A$8:$A$907,C535,PARÂMETROS!$G$8:$G$907,J535)</f>
        <v/>
      </c>
      <c r="H535" s="84">
        <f>IFERROR(F535*G535,0)</f>
        <v/>
      </c>
      <c r="I535" s="84">
        <f>F535+H535</f>
        <v/>
      </c>
      <c r="J535" s="74" t="inlineStr">
        <is>
          <t>Julho/2026</t>
        </is>
      </c>
    </row>
    <row r="536" hidden="1" ht="14.25" customHeight="1" s="64">
      <c r="A536" s="106" t="inlineStr">
        <is>
          <t>Compras</t>
        </is>
      </c>
      <c r="B536" s="106">
        <f>INDEX(SETORES!$B:$B,MATCH(A536,SETORES!$A:$A,0))</f>
        <v/>
      </c>
      <c r="C536" s="106" t="inlineStr">
        <is>
          <t>Empresa Licenciada H&amp;A</t>
        </is>
      </c>
      <c r="D536" s="77">
        <f>IF(B536="Clientes",SUMIFS(PARÂMETROS!$D$8:$D$907,PARÂMETROS!$A$8:$A$907,C536,PARÂMETROS!$G$8:$G$907,J536),SUMIFS(PARÂMETROS!$E$8:$E$907,PARÂMETROS!$A$8:$A$907,C536,PARÂMETROS!$G$8:$G$907,J536))</f>
        <v/>
      </c>
      <c r="E536" s="109">
        <f>SUMIFS(SETORES!$D:$D,SETORES!$A:$A,A536,SETORES!$F:$F,J536)</f>
        <v/>
      </c>
      <c r="F536" s="109">
        <f>IFERROR(D536*E536,0)</f>
        <v/>
      </c>
      <c r="G536" s="77">
        <f>SUMIFS(PARÂMETROS!$F$8:$F$907,PARÂMETROS!$A$8:$A$907,C536,PARÂMETROS!$G$8:$G$907,J536)</f>
        <v/>
      </c>
      <c r="H536" s="109">
        <f>IFERROR(F536*G536,0)</f>
        <v/>
      </c>
      <c r="I536" s="109">
        <f>F536+H536</f>
        <v/>
      </c>
      <c r="J536" s="106" t="inlineStr">
        <is>
          <t>Julho/2026</t>
        </is>
      </c>
    </row>
    <row r="537" hidden="1" ht="14.25" customHeight="1" s="64">
      <c r="A537" s="74" t="inlineStr">
        <is>
          <t>Compras</t>
        </is>
      </c>
      <c r="B537" s="83">
        <f>INDEX(SETORES!$B:$B,MATCH(A537,SETORES!$A:$A,0))</f>
        <v/>
      </c>
      <c r="C537" s="74" t="inlineStr">
        <is>
          <t>Empresa Licenciada SOLON ARAUJO</t>
        </is>
      </c>
      <c r="D537" s="72">
        <f>IF(B537="Clientes",SUMIFS(PARÂMETROS!$D$8:$D$907,PARÂMETROS!$A$8:$A$907,C537,PARÂMETROS!$G$8:$G$907,J537),SUMIFS(PARÂMETROS!$E$8:$E$907,PARÂMETROS!$A$8:$A$907,C537,PARÂMETROS!$G$8:$G$907,J537))</f>
        <v/>
      </c>
      <c r="E537" s="84">
        <f>SUMIFS(SETORES!$D:$D,SETORES!$A:$A,A537,SETORES!$F:$F,J537)</f>
        <v/>
      </c>
      <c r="F537" s="84">
        <f>IFERROR(D537*E537,0)</f>
        <v/>
      </c>
      <c r="G537" s="72">
        <f>SUMIFS(PARÂMETROS!$F$8:$F$907,PARÂMETROS!$A$8:$A$907,C537,PARÂMETROS!$G$8:$G$907,J537)</f>
        <v/>
      </c>
      <c r="H537" s="84">
        <f>IFERROR(F537*G537,0)</f>
        <v/>
      </c>
      <c r="I537" s="84">
        <f>F537+H537</f>
        <v/>
      </c>
      <c r="J537" s="74" t="inlineStr">
        <is>
          <t>Julho/2026</t>
        </is>
      </c>
    </row>
    <row r="538" ht="14.25" customHeight="1" s="64">
      <c r="A538" s="106" t="inlineStr">
        <is>
          <t>Compras</t>
        </is>
      </c>
      <c r="B538" s="106">
        <f>INDEX(SETORES!$B:$B,MATCH(A538,SETORES!$A:$A,0))</f>
        <v/>
      </c>
      <c r="C538" s="106" t="inlineStr">
        <is>
          <t>Empresa Licenciada SOARES E LINS</t>
        </is>
      </c>
      <c r="D538" s="77">
        <f>IF(B538="Clientes",SUMIFS(PARÂMETROS!$D$8:$D$907,PARÂMETROS!$A$8:$A$907,C538,PARÂMETROS!$G$8:$G$907,J538),SUMIFS(PARÂMETROS!$E$8:$E$907,PARÂMETROS!$A$8:$A$907,C538,PARÂMETROS!$G$8:$G$907,J538))</f>
        <v/>
      </c>
      <c r="E538" s="109">
        <f>SUMIFS(SETORES!$D:$D,SETORES!$A:$A,A538,SETORES!$F:$F,J538)</f>
        <v/>
      </c>
      <c r="F538" s="109">
        <f>IFERROR(D538*E538,0)</f>
        <v/>
      </c>
      <c r="G538" s="77">
        <f>SUMIFS(PARÂMETROS!$F$8:$F$907,PARÂMETROS!$A$8:$A$907,C538,PARÂMETROS!$G$8:$G$907,J538)</f>
        <v/>
      </c>
      <c r="H538" s="109">
        <f>IFERROR(F538*G538,0)</f>
        <v/>
      </c>
      <c r="I538" s="109">
        <f>F538+H538</f>
        <v/>
      </c>
      <c r="J538" s="106" t="inlineStr">
        <is>
          <t>Julho/2026</t>
        </is>
      </c>
    </row>
    <row r="539" hidden="1" ht="14.25" customHeight="1" s="64">
      <c r="A539" s="74" t="inlineStr">
        <is>
          <t>Compras</t>
        </is>
      </c>
      <c r="B539" s="83">
        <f>INDEX(SETORES!$B:$B,MATCH(A539,SETORES!$A:$A,0))</f>
        <v/>
      </c>
      <c r="C539" s="74" t="inlineStr">
        <is>
          <t>Empresa Licenciada SOARES E SILVA</t>
        </is>
      </c>
      <c r="D539" s="72">
        <f>IF(B539="Clientes",SUMIFS(PARÂMETROS!$D$8:$D$907,PARÂMETROS!$A$8:$A$907,C539,PARÂMETROS!$G$8:$G$907,J539),SUMIFS(PARÂMETROS!$E$8:$E$907,PARÂMETROS!$A$8:$A$907,C539,PARÂMETROS!$G$8:$G$907,J539))</f>
        <v/>
      </c>
      <c r="E539" s="84">
        <f>SUMIFS(SETORES!$D:$D,SETORES!$A:$A,A539,SETORES!$F:$F,J539)</f>
        <v/>
      </c>
      <c r="F539" s="84">
        <f>IFERROR(D539*E539,0)</f>
        <v/>
      </c>
      <c r="G539" s="72">
        <f>SUMIFS(PARÂMETROS!$F$8:$F$907,PARÂMETROS!$A$8:$A$907,C539,PARÂMETROS!$G$8:$G$907,J539)</f>
        <v/>
      </c>
      <c r="H539" s="84">
        <f>IFERROR(F539*G539,0)</f>
        <v/>
      </c>
      <c r="I539" s="84">
        <f>F539+H539</f>
        <v/>
      </c>
      <c r="J539" s="74" t="inlineStr">
        <is>
          <t>Julho/2026</t>
        </is>
      </c>
    </row>
    <row r="540" hidden="1" ht="14.25" customHeight="1" s="64">
      <c r="A540" s="106" t="inlineStr">
        <is>
          <t>Compras</t>
        </is>
      </c>
      <c r="B540" s="106">
        <f>INDEX(SETORES!$B:$B,MATCH(A540,SETORES!$A:$A,0))</f>
        <v/>
      </c>
      <c r="C540" s="106" t="inlineStr">
        <is>
          <t>Empresa Licenciada SOUZA E SILVA</t>
        </is>
      </c>
      <c r="D540" s="77">
        <f>IF(B540="Clientes",SUMIFS(PARÂMETROS!$D$8:$D$907,PARÂMETROS!$A$8:$A$907,C540,PARÂMETROS!$G$8:$G$907,J540),SUMIFS(PARÂMETROS!$E$8:$E$907,PARÂMETROS!$A$8:$A$907,C540,PARÂMETROS!$G$8:$G$907,J540))</f>
        <v/>
      </c>
      <c r="E540" s="109">
        <f>SUMIFS(SETORES!$D:$D,SETORES!$A:$A,A540,SETORES!$F:$F,J540)</f>
        <v/>
      </c>
      <c r="F540" s="109">
        <f>IFERROR(D540*E540,0)</f>
        <v/>
      </c>
      <c r="G540" s="77">
        <f>SUMIFS(PARÂMETROS!$F$8:$F$907,PARÂMETROS!$A$8:$A$907,C540,PARÂMETROS!$G$8:$G$907,J540)</f>
        <v/>
      </c>
      <c r="H540" s="109">
        <f>IFERROR(F540*G540,0)</f>
        <v/>
      </c>
      <c r="I540" s="109">
        <f>F540+H540</f>
        <v/>
      </c>
      <c r="J540" s="106" t="inlineStr">
        <is>
          <t>Julho/2026</t>
        </is>
      </c>
    </row>
    <row r="541" hidden="1" ht="14.25" customHeight="1" s="64">
      <c r="A541" s="74" t="inlineStr">
        <is>
          <t>Compras</t>
        </is>
      </c>
      <c r="B541" s="83">
        <f>INDEX(SETORES!$B:$B,MATCH(A541,SETORES!$A:$A,0))</f>
        <v/>
      </c>
      <c r="C541" s="74" t="inlineStr">
        <is>
          <t>Empresa Licenciada VOICENET</t>
        </is>
      </c>
      <c r="D541" s="72">
        <f>IF(B541="Clientes",SUMIFS(PARÂMETROS!$D$8:$D$907,PARÂMETROS!$A$8:$A$907,C541,PARÂMETROS!$G$8:$G$907,J541),SUMIFS(PARÂMETROS!$E$8:$E$907,PARÂMETROS!$A$8:$A$907,C541,PARÂMETROS!$G$8:$G$907,J541))</f>
        <v/>
      </c>
      <c r="E541" s="84">
        <f>SUMIFS(SETORES!$D:$D,SETORES!$A:$A,A541,SETORES!$F:$F,J541)</f>
        <v/>
      </c>
      <c r="F541" s="84">
        <f>IFERROR(D541*E541,0)</f>
        <v/>
      </c>
      <c r="G541" s="72">
        <f>SUMIFS(PARÂMETROS!$F$8:$F$907,PARÂMETROS!$A$8:$A$907,C541,PARÂMETROS!$G$8:$G$907,J541)</f>
        <v/>
      </c>
      <c r="H541" s="84">
        <f>IFERROR(F541*G541,0)</f>
        <v/>
      </c>
      <c r="I541" s="84">
        <f>F541+H541</f>
        <v/>
      </c>
      <c r="J541" s="74" t="inlineStr">
        <is>
          <t>Julho/2026</t>
        </is>
      </c>
    </row>
    <row r="542" hidden="1" ht="14.25" customHeight="1" s="64">
      <c r="A542" s="106" t="inlineStr">
        <is>
          <t>Compras</t>
        </is>
      </c>
      <c r="B542" s="106">
        <f>INDEX(SETORES!$B:$B,MATCH(A542,SETORES!$A:$A,0))</f>
        <v/>
      </c>
      <c r="C542" s="106" t="inlineStr">
        <is>
          <t>DTEL (uso próprio)</t>
        </is>
      </c>
      <c r="D542" s="77">
        <f>IF(B542="Clientes",SUMIFS(PARÂMETROS!$D$8:$D$907,PARÂMETROS!$A$8:$A$907,C542,PARÂMETROS!$G$8:$G$907,J542),SUMIFS(PARÂMETROS!$E$8:$E$907,PARÂMETROS!$A$8:$A$907,C542,PARÂMETROS!$G$8:$G$907,J542))</f>
        <v/>
      </c>
      <c r="E542" s="109">
        <f>SUMIFS(SETORES!$D:$D,SETORES!$A:$A,A542,SETORES!$F:$F,J542)</f>
        <v/>
      </c>
      <c r="F542" s="109">
        <f>IFERROR(D542*E542,0)</f>
        <v/>
      </c>
      <c r="G542" s="77">
        <f>SUMIFS(PARÂMETROS!$F$8:$F$907,PARÂMETROS!$A$8:$A$907,C542,PARÂMETROS!$G$8:$G$907,J542)</f>
        <v/>
      </c>
      <c r="H542" s="109">
        <f>IFERROR(F542*G542,0)</f>
        <v/>
      </c>
      <c r="I542" s="109">
        <f>F542+H542</f>
        <v/>
      </c>
      <c r="J542" s="106" t="inlineStr">
        <is>
          <t>Julho/2026</t>
        </is>
      </c>
    </row>
    <row r="543" hidden="1" ht="14.25" customHeight="1" s="64">
      <c r="A543" s="74" t="inlineStr">
        <is>
          <t>Segurança do Trabalho</t>
        </is>
      </c>
      <c r="B543" s="83">
        <f>INDEX(SETORES!$B:$B,MATCH(A543,SETORES!$A:$A,0))</f>
        <v/>
      </c>
      <c r="C543" s="74" t="inlineStr">
        <is>
          <t>Empresa Licenciada DX2</t>
        </is>
      </c>
      <c r="D543" s="72">
        <f>IF(B543="Clientes",SUMIFS(PARÂMETROS!$D$8:$D$907,PARÂMETROS!$A$8:$A$907,C543,PARÂMETROS!$G$8:$G$907,J543),SUMIFS(PARÂMETROS!$E$8:$E$907,PARÂMETROS!$A$8:$A$907,C543,PARÂMETROS!$G$8:$G$907,J543))</f>
        <v/>
      </c>
      <c r="E543" s="84">
        <f>SUMIFS(SETORES!$D:$D,SETORES!$A:$A,A543,SETORES!$F:$F,J543)</f>
        <v/>
      </c>
      <c r="F543" s="84">
        <f>IFERROR(D543*E543,0)</f>
        <v/>
      </c>
      <c r="G543" s="72">
        <f>SUMIFS(PARÂMETROS!$F$8:$F$907,PARÂMETROS!$A$8:$A$907,C543,PARÂMETROS!$G$8:$G$907,J543)</f>
        <v/>
      </c>
      <c r="H543" s="84">
        <f>IFERROR(F543*G543,0)</f>
        <v/>
      </c>
      <c r="I543" s="84">
        <f>F543+H543</f>
        <v/>
      </c>
      <c r="J543" s="74" t="inlineStr">
        <is>
          <t>Julho/2026</t>
        </is>
      </c>
    </row>
    <row r="544" hidden="1" ht="14.25" customHeight="1" s="64">
      <c r="A544" s="106" t="inlineStr">
        <is>
          <t>Segurança do Trabalho</t>
        </is>
      </c>
      <c r="B544" s="106">
        <f>INDEX(SETORES!$B:$B,MATCH(A544,SETORES!$A:$A,0))</f>
        <v/>
      </c>
      <c r="C544" s="106" t="inlineStr">
        <is>
          <t>Empresa Licenciada H&amp;A</t>
        </is>
      </c>
      <c r="D544" s="77">
        <f>IF(B544="Clientes",SUMIFS(PARÂMETROS!$D$8:$D$907,PARÂMETROS!$A$8:$A$907,C544,PARÂMETROS!$G$8:$G$907,J544),SUMIFS(PARÂMETROS!$E$8:$E$907,PARÂMETROS!$A$8:$A$907,C544,PARÂMETROS!$G$8:$G$907,J544))</f>
        <v/>
      </c>
      <c r="E544" s="109">
        <f>SUMIFS(SETORES!$D:$D,SETORES!$A:$A,A544,SETORES!$F:$F,J544)</f>
        <v/>
      </c>
      <c r="F544" s="109">
        <f>IFERROR(D544*E544,0)</f>
        <v/>
      </c>
      <c r="G544" s="77">
        <f>SUMIFS(PARÂMETROS!$F$8:$F$907,PARÂMETROS!$A$8:$A$907,C544,PARÂMETROS!$G$8:$G$907,J544)</f>
        <v/>
      </c>
      <c r="H544" s="109">
        <f>IFERROR(F544*G544,0)</f>
        <v/>
      </c>
      <c r="I544" s="109">
        <f>F544+H544</f>
        <v/>
      </c>
      <c r="J544" s="106" t="inlineStr">
        <is>
          <t>Julho/2026</t>
        </is>
      </c>
    </row>
    <row r="545" hidden="1" ht="14.25" customHeight="1" s="64">
      <c r="A545" s="74" t="inlineStr">
        <is>
          <t>Segurança do Trabalho</t>
        </is>
      </c>
      <c r="B545" s="83">
        <f>INDEX(SETORES!$B:$B,MATCH(A545,SETORES!$A:$A,0))</f>
        <v/>
      </c>
      <c r="C545" s="74" t="inlineStr">
        <is>
          <t>Empresa Licenciada SOLON ARAUJO</t>
        </is>
      </c>
      <c r="D545" s="72">
        <f>IF(B545="Clientes",SUMIFS(PARÂMETROS!$D$8:$D$907,PARÂMETROS!$A$8:$A$907,C545,PARÂMETROS!$G$8:$G$907,J545),SUMIFS(PARÂMETROS!$E$8:$E$907,PARÂMETROS!$A$8:$A$907,C545,PARÂMETROS!$G$8:$G$907,J545))</f>
        <v/>
      </c>
      <c r="E545" s="84">
        <f>SUMIFS(SETORES!$D:$D,SETORES!$A:$A,A545,SETORES!$F:$F,J545)</f>
        <v/>
      </c>
      <c r="F545" s="84">
        <f>IFERROR(D545*E545,0)</f>
        <v/>
      </c>
      <c r="G545" s="72">
        <f>SUMIFS(PARÂMETROS!$F$8:$F$907,PARÂMETROS!$A$8:$A$907,C545,PARÂMETROS!$G$8:$G$907,J545)</f>
        <v/>
      </c>
      <c r="H545" s="84">
        <f>IFERROR(F545*G545,0)</f>
        <v/>
      </c>
      <c r="I545" s="84">
        <f>F545+H545</f>
        <v/>
      </c>
      <c r="J545" s="74" t="inlineStr">
        <is>
          <t>Julho/2026</t>
        </is>
      </c>
    </row>
    <row r="546" ht="14.25" customHeight="1" s="64">
      <c r="A546" s="106" t="inlineStr">
        <is>
          <t>Segurança do Trabalho</t>
        </is>
      </c>
      <c r="B546" s="106">
        <f>INDEX(SETORES!$B:$B,MATCH(A546,SETORES!$A:$A,0))</f>
        <v/>
      </c>
      <c r="C546" s="106" t="inlineStr">
        <is>
          <t>Empresa Licenciada SOARES E LINS</t>
        </is>
      </c>
      <c r="D546" s="77">
        <f>IF(B546="Clientes",SUMIFS(PARÂMETROS!$D$8:$D$907,PARÂMETROS!$A$8:$A$907,C546,PARÂMETROS!$G$8:$G$907,J546),SUMIFS(PARÂMETROS!$E$8:$E$907,PARÂMETROS!$A$8:$A$907,C546,PARÂMETROS!$G$8:$G$907,J546))</f>
        <v/>
      </c>
      <c r="E546" s="109">
        <f>SUMIFS(SETORES!$D:$D,SETORES!$A:$A,A546,SETORES!$F:$F,J546)</f>
        <v/>
      </c>
      <c r="F546" s="109">
        <f>IFERROR(D546*E546,0)</f>
        <v/>
      </c>
      <c r="G546" s="77">
        <f>SUMIFS(PARÂMETROS!$F$8:$F$907,PARÂMETROS!$A$8:$A$907,C546,PARÂMETROS!$G$8:$G$907,J546)</f>
        <v/>
      </c>
      <c r="H546" s="109">
        <f>IFERROR(F546*G546,0)</f>
        <v/>
      </c>
      <c r="I546" s="109">
        <f>F546+H546</f>
        <v/>
      </c>
      <c r="J546" s="106" t="inlineStr">
        <is>
          <t>Julho/2026</t>
        </is>
      </c>
    </row>
    <row r="547" hidden="1" ht="14.25" customHeight="1" s="64">
      <c r="A547" s="74" t="inlineStr">
        <is>
          <t>Segurança do Trabalho</t>
        </is>
      </c>
      <c r="B547" s="83">
        <f>INDEX(SETORES!$B:$B,MATCH(A547,SETORES!$A:$A,0))</f>
        <v/>
      </c>
      <c r="C547" s="74" t="inlineStr">
        <is>
          <t>Empresa Licenciada SOARES E SILVA</t>
        </is>
      </c>
      <c r="D547" s="72">
        <f>IF(B547="Clientes",SUMIFS(PARÂMETROS!$D$8:$D$907,PARÂMETROS!$A$8:$A$907,C547,PARÂMETROS!$G$8:$G$907,J547),SUMIFS(PARÂMETROS!$E$8:$E$907,PARÂMETROS!$A$8:$A$907,C547,PARÂMETROS!$G$8:$G$907,J547))</f>
        <v/>
      </c>
      <c r="E547" s="84">
        <f>SUMIFS(SETORES!$D:$D,SETORES!$A:$A,A547,SETORES!$F:$F,J547)</f>
        <v/>
      </c>
      <c r="F547" s="84">
        <f>IFERROR(D547*E547,0)</f>
        <v/>
      </c>
      <c r="G547" s="72">
        <f>SUMIFS(PARÂMETROS!$F$8:$F$907,PARÂMETROS!$A$8:$A$907,C547,PARÂMETROS!$G$8:$G$907,J547)</f>
        <v/>
      </c>
      <c r="H547" s="84">
        <f>IFERROR(F547*G547,0)</f>
        <v/>
      </c>
      <c r="I547" s="84">
        <f>F547+H547</f>
        <v/>
      </c>
      <c r="J547" s="74" t="inlineStr">
        <is>
          <t>Julho/2026</t>
        </is>
      </c>
    </row>
    <row r="548" hidden="1" ht="14.25" customHeight="1" s="64">
      <c r="A548" s="106" t="inlineStr">
        <is>
          <t>Segurança do Trabalho</t>
        </is>
      </c>
      <c r="B548" s="106">
        <f>INDEX(SETORES!$B:$B,MATCH(A548,SETORES!$A:$A,0))</f>
        <v/>
      </c>
      <c r="C548" s="106" t="inlineStr">
        <is>
          <t>Empresa Licenciada SOUZA E SILVA</t>
        </is>
      </c>
      <c r="D548" s="77">
        <f>IF(B548="Clientes",SUMIFS(PARÂMETROS!$D$8:$D$907,PARÂMETROS!$A$8:$A$907,C548,PARÂMETROS!$G$8:$G$907,J548),SUMIFS(PARÂMETROS!$E$8:$E$907,PARÂMETROS!$A$8:$A$907,C548,PARÂMETROS!$G$8:$G$907,J548))</f>
        <v/>
      </c>
      <c r="E548" s="109">
        <f>SUMIFS(SETORES!$D:$D,SETORES!$A:$A,A548,SETORES!$F:$F,J548)</f>
        <v/>
      </c>
      <c r="F548" s="109">
        <f>IFERROR(D548*E548,0)</f>
        <v/>
      </c>
      <c r="G548" s="77">
        <f>SUMIFS(PARÂMETROS!$F$8:$F$907,PARÂMETROS!$A$8:$A$907,C548,PARÂMETROS!$G$8:$G$907,J548)</f>
        <v/>
      </c>
      <c r="H548" s="109">
        <f>IFERROR(F548*G548,0)</f>
        <v/>
      </c>
      <c r="I548" s="109">
        <f>F548+H548</f>
        <v/>
      </c>
      <c r="J548" s="106" t="inlineStr">
        <is>
          <t>Julho/2026</t>
        </is>
      </c>
    </row>
    <row r="549" hidden="1" ht="14.25" customHeight="1" s="64">
      <c r="A549" s="74" t="inlineStr">
        <is>
          <t>Segurança do Trabalho</t>
        </is>
      </c>
      <c r="B549" s="83">
        <f>INDEX(SETORES!$B:$B,MATCH(A549,SETORES!$A:$A,0))</f>
        <v/>
      </c>
      <c r="C549" s="74" t="inlineStr">
        <is>
          <t>Empresa Licenciada VOICENET</t>
        </is>
      </c>
      <c r="D549" s="72">
        <f>IF(B549="Clientes",SUMIFS(PARÂMETROS!$D$8:$D$907,PARÂMETROS!$A$8:$A$907,C549,PARÂMETROS!$G$8:$G$907,J549),SUMIFS(PARÂMETROS!$E$8:$E$907,PARÂMETROS!$A$8:$A$907,C549,PARÂMETROS!$G$8:$G$907,J549))</f>
        <v/>
      </c>
      <c r="E549" s="84">
        <f>SUMIFS(SETORES!$D:$D,SETORES!$A:$A,A549,SETORES!$F:$F,J549)</f>
        <v/>
      </c>
      <c r="F549" s="84">
        <f>IFERROR(D549*E549,0)</f>
        <v/>
      </c>
      <c r="G549" s="72">
        <f>SUMIFS(PARÂMETROS!$F$8:$F$907,PARÂMETROS!$A$8:$A$907,C549,PARÂMETROS!$G$8:$G$907,J549)</f>
        <v/>
      </c>
      <c r="H549" s="84">
        <f>IFERROR(F549*G549,0)</f>
        <v/>
      </c>
      <c r="I549" s="84">
        <f>F549+H549</f>
        <v/>
      </c>
      <c r="J549" s="74" t="inlineStr">
        <is>
          <t>Julho/2026</t>
        </is>
      </c>
    </row>
    <row r="550" hidden="1" ht="14.25" customHeight="1" s="64">
      <c r="A550" s="106" t="inlineStr">
        <is>
          <t>Segurança do Trabalho</t>
        </is>
      </c>
      <c r="B550" s="106">
        <f>INDEX(SETORES!$B:$B,MATCH(A550,SETORES!$A:$A,0))</f>
        <v/>
      </c>
      <c r="C550" s="106" t="inlineStr">
        <is>
          <t>DTEL (uso próprio)</t>
        </is>
      </c>
      <c r="D550" s="77">
        <f>IF(B550="Clientes",SUMIFS(PARÂMETROS!$D$8:$D$907,PARÂMETROS!$A$8:$A$907,C550,PARÂMETROS!$G$8:$G$907,J550),SUMIFS(PARÂMETROS!$E$8:$E$907,PARÂMETROS!$A$8:$A$907,C550,PARÂMETROS!$G$8:$G$907,J550))</f>
        <v/>
      </c>
      <c r="E550" s="109">
        <f>SUMIFS(SETORES!$D:$D,SETORES!$A:$A,A550,SETORES!$F:$F,J550)</f>
        <v/>
      </c>
      <c r="F550" s="109">
        <f>IFERROR(D550*E550,0)</f>
        <v/>
      </c>
      <c r="G550" s="77">
        <f>SUMIFS(PARÂMETROS!$F$8:$F$907,PARÂMETROS!$A$8:$A$907,C550,PARÂMETROS!$G$8:$G$907,J550)</f>
        <v/>
      </c>
      <c r="H550" s="109">
        <f>IFERROR(F550*G550,0)</f>
        <v/>
      </c>
      <c r="I550" s="109">
        <f>F550+H550</f>
        <v/>
      </c>
      <c r="J550" s="106" t="inlineStr">
        <is>
          <t>Julho/2026</t>
        </is>
      </c>
    </row>
    <row r="551" hidden="1" ht="14.25" customHeight="1" s="64">
      <c r="A551" s="74" t="inlineStr">
        <is>
          <t>Engenharia</t>
        </is>
      </c>
      <c r="B551" s="83">
        <f>INDEX(SETORES!$B:$B,MATCH(A551,SETORES!$A:$A,0))</f>
        <v/>
      </c>
      <c r="C551" s="74" t="inlineStr">
        <is>
          <t>Empresa Licenciada DX2</t>
        </is>
      </c>
      <c r="D551" s="72">
        <f>IF(B551="Clientes",SUMIFS(PARÂMETROS!$D$8:$D$907,PARÂMETROS!$A$8:$A$907,C551,PARÂMETROS!$G$8:$G$907,J551),SUMIFS(PARÂMETROS!$E$8:$E$907,PARÂMETROS!$A$8:$A$907,C551,PARÂMETROS!$G$8:$G$907,J551))</f>
        <v/>
      </c>
      <c r="E551" s="84">
        <f>SUMIFS(SETORES!$D:$D,SETORES!$A:$A,A551,SETORES!$F:$F,J551)</f>
        <v/>
      </c>
      <c r="F551" s="84">
        <f>IFERROR(D551*E551,0)</f>
        <v/>
      </c>
      <c r="G551" s="72">
        <f>SUMIFS(PARÂMETROS!$F$8:$F$907,PARÂMETROS!$A$8:$A$907,C551,PARÂMETROS!$G$8:$G$907,J551)</f>
        <v/>
      </c>
      <c r="H551" s="84">
        <f>IFERROR(F551*G551,0)</f>
        <v/>
      </c>
      <c r="I551" s="84">
        <f>F551+H551</f>
        <v/>
      </c>
      <c r="J551" s="74" t="inlineStr">
        <is>
          <t>Julho/2026</t>
        </is>
      </c>
    </row>
    <row r="552" hidden="1" ht="14.25" customHeight="1" s="64">
      <c r="A552" s="106" t="inlineStr">
        <is>
          <t>Engenharia</t>
        </is>
      </c>
      <c r="B552" s="106">
        <f>INDEX(SETORES!$B:$B,MATCH(A552,SETORES!$A:$A,0))</f>
        <v/>
      </c>
      <c r="C552" s="106" t="inlineStr">
        <is>
          <t>Empresa Licenciada H&amp;A</t>
        </is>
      </c>
      <c r="D552" s="77">
        <f>IF(B552="Clientes",SUMIFS(PARÂMETROS!$D$8:$D$907,PARÂMETROS!$A$8:$A$907,C552,PARÂMETROS!$G$8:$G$907,J552),SUMIFS(PARÂMETROS!$E$8:$E$907,PARÂMETROS!$A$8:$A$907,C552,PARÂMETROS!$G$8:$G$907,J552))</f>
        <v/>
      </c>
      <c r="E552" s="109">
        <f>SUMIFS(SETORES!$D:$D,SETORES!$A:$A,A552,SETORES!$F:$F,J552)</f>
        <v/>
      </c>
      <c r="F552" s="109">
        <f>IFERROR(D552*E552,0)</f>
        <v/>
      </c>
      <c r="G552" s="77">
        <f>SUMIFS(PARÂMETROS!$F$8:$F$907,PARÂMETROS!$A$8:$A$907,C552,PARÂMETROS!$G$8:$G$907,J552)</f>
        <v/>
      </c>
      <c r="H552" s="109">
        <f>IFERROR(F552*G552,0)</f>
        <v/>
      </c>
      <c r="I552" s="109">
        <f>F552+H552</f>
        <v/>
      </c>
      <c r="J552" s="106" t="inlineStr">
        <is>
          <t>Julho/2026</t>
        </is>
      </c>
    </row>
    <row r="553" hidden="1" ht="14.25" customHeight="1" s="64">
      <c r="A553" s="74" t="inlineStr">
        <is>
          <t>Engenharia</t>
        </is>
      </c>
      <c r="B553" s="83">
        <f>INDEX(SETORES!$B:$B,MATCH(A553,SETORES!$A:$A,0))</f>
        <v/>
      </c>
      <c r="C553" s="74" t="inlineStr">
        <is>
          <t>Empresa Licenciada SOLON ARAUJO</t>
        </is>
      </c>
      <c r="D553" s="72">
        <f>IF(B553="Clientes",SUMIFS(PARÂMETROS!$D$8:$D$907,PARÂMETROS!$A$8:$A$907,C553,PARÂMETROS!$G$8:$G$907,J553),SUMIFS(PARÂMETROS!$E$8:$E$907,PARÂMETROS!$A$8:$A$907,C553,PARÂMETROS!$G$8:$G$907,J553))</f>
        <v/>
      </c>
      <c r="E553" s="84">
        <f>SUMIFS(SETORES!$D:$D,SETORES!$A:$A,A553,SETORES!$F:$F,J553)</f>
        <v/>
      </c>
      <c r="F553" s="84">
        <f>IFERROR(D553*E553,0)</f>
        <v/>
      </c>
      <c r="G553" s="72">
        <f>SUMIFS(PARÂMETROS!$F$8:$F$907,PARÂMETROS!$A$8:$A$907,C553,PARÂMETROS!$G$8:$G$907,J553)</f>
        <v/>
      </c>
      <c r="H553" s="84">
        <f>IFERROR(F553*G553,0)</f>
        <v/>
      </c>
      <c r="I553" s="84">
        <f>F553+H553</f>
        <v/>
      </c>
      <c r="J553" s="74" t="inlineStr">
        <is>
          <t>Julho/2026</t>
        </is>
      </c>
    </row>
    <row r="554" ht="14.25" customHeight="1" s="64">
      <c r="A554" s="106" t="inlineStr">
        <is>
          <t>Engenharia</t>
        </is>
      </c>
      <c r="B554" s="106">
        <f>INDEX(SETORES!$B:$B,MATCH(A554,SETORES!$A:$A,0))</f>
        <v/>
      </c>
      <c r="C554" s="106" t="inlineStr">
        <is>
          <t>Empresa Licenciada SOARES E LINS</t>
        </is>
      </c>
      <c r="D554" s="77">
        <f>IF(B554="Clientes",SUMIFS(PARÂMETROS!$D$8:$D$907,PARÂMETROS!$A$8:$A$907,C554,PARÂMETROS!$G$8:$G$907,J554),SUMIFS(PARÂMETROS!$E$8:$E$907,PARÂMETROS!$A$8:$A$907,C554,PARÂMETROS!$G$8:$G$907,J554))</f>
        <v/>
      </c>
      <c r="E554" s="109">
        <f>SUMIFS(SETORES!$D:$D,SETORES!$A:$A,A554,SETORES!$F:$F,J554)</f>
        <v/>
      </c>
      <c r="F554" s="109">
        <f>IFERROR(D554*E554,0)</f>
        <v/>
      </c>
      <c r="G554" s="77">
        <f>SUMIFS(PARÂMETROS!$F$8:$F$907,PARÂMETROS!$A$8:$A$907,C554,PARÂMETROS!$G$8:$G$907,J554)</f>
        <v/>
      </c>
      <c r="H554" s="109">
        <f>IFERROR(F554*G554,0)</f>
        <v/>
      </c>
      <c r="I554" s="109">
        <f>F554+H554</f>
        <v/>
      </c>
      <c r="J554" s="106" t="inlineStr">
        <is>
          <t>Julho/2026</t>
        </is>
      </c>
    </row>
    <row r="555" hidden="1" ht="14.25" customHeight="1" s="64">
      <c r="A555" s="74" t="inlineStr">
        <is>
          <t>Engenharia</t>
        </is>
      </c>
      <c r="B555" s="83">
        <f>INDEX(SETORES!$B:$B,MATCH(A555,SETORES!$A:$A,0))</f>
        <v/>
      </c>
      <c r="C555" s="74" t="inlineStr">
        <is>
          <t>Empresa Licenciada SOARES E SILVA</t>
        </is>
      </c>
      <c r="D555" s="72">
        <f>IF(B555="Clientes",SUMIFS(PARÂMETROS!$D$8:$D$907,PARÂMETROS!$A$8:$A$907,C555,PARÂMETROS!$G$8:$G$907,J555),SUMIFS(PARÂMETROS!$E$8:$E$907,PARÂMETROS!$A$8:$A$907,C555,PARÂMETROS!$G$8:$G$907,J555))</f>
        <v/>
      </c>
      <c r="E555" s="84">
        <f>SUMIFS(SETORES!$D:$D,SETORES!$A:$A,A555,SETORES!$F:$F,J555)</f>
        <v/>
      </c>
      <c r="F555" s="84">
        <f>IFERROR(D555*E555,0)</f>
        <v/>
      </c>
      <c r="G555" s="72">
        <f>SUMIFS(PARÂMETROS!$F$8:$F$907,PARÂMETROS!$A$8:$A$907,C555,PARÂMETROS!$G$8:$G$907,J555)</f>
        <v/>
      </c>
      <c r="H555" s="84">
        <f>IFERROR(F555*G555,0)</f>
        <v/>
      </c>
      <c r="I555" s="84">
        <f>F555+H555</f>
        <v/>
      </c>
      <c r="J555" s="74" t="inlineStr">
        <is>
          <t>Julho/2026</t>
        </is>
      </c>
    </row>
    <row r="556" hidden="1" ht="14.25" customHeight="1" s="64">
      <c r="A556" s="106" t="inlineStr">
        <is>
          <t>Engenharia</t>
        </is>
      </c>
      <c r="B556" s="106">
        <f>INDEX(SETORES!$B:$B,MATCH(A556,SETORES!$A:$A,0))</f>
        <v/>
      </c>
      <c r="C556" s="106" t="inlineStr">
        <is>
          <t>Empresa Licenciada SOUZA E SILVA</t>
        </is>
      </c>
      <c r="D556" s="77">
        <f>IF(B556="Clientes",SUMIFS(PARÂMETROS!$D$8:$D$907,PARÂMETROS!$A$8:$A$907,C556,PARÂMETROS!$G$8:$G$907,J556),SUMIFS(PARÂMETROS!$E$8:$E$907,PARÂMETROS!$A$8:$A$907,C556,PARÂMETROS!$G$8:$G$907,J556))</f>
        <v/>
      </c>
      <c r="E556" s="109">
        <f>SUMIFS(SETORES!$D:$D,SETORES!$A:$A,A556,SETORES!$F:$F,J556)</f>
        <v/>
      </c>
      <c r="F556" s="109">
        <f>IFERROR(D556*E556,0)</f>
        <v/>
      </c>
      <c r="G556" s="77">
        <f>SUMIFS(PARÂMETROS!$F$8:$F$907,PARÂMETROS!$A$8:$A$907,C556,PARÂMETROS!$G$8:$G$907,J556)</f>
        <v/>
      </c>
      <c r="H556" s="109">
        <f>IFERROR(F556*G556,0)</f>
        <v/>
      </c>
      <c r="I556" s="109">
        <f>F556+H556</f>
        <v/>
      </c>
      <c r="J556" s="106" t="inlineStr">
        <is>
          <t>Julho/2026</t>
        </is>
      </c>
    </row>
    <row r="557" hidden="1" ht="14.25" customHeight="1" s="64">
      <c r="A557" s="74" t="inlineStr">
        <is>
          <t>Engenharia</t>
        </is>
      </c>
      <c r="B557" s="83">
        <f>INDEX(SETORES!$B:$B,MATCH(A557,SETORES!$A:$A,0))</f>
        <v/>
      </c>
      <c r="C557" s="74" t="inlineStr">
        <is>
          <t>Empresa Licenciada VOICENET</t>
        </is>
      </c>
      <c r="D557" s="72">
        <f>IF(B557="Clientes",SUMIFS(PARÂMETROS!$D$8:$D$907,PARÂMETROS!$A$8:$A$907,C557,PARÂMETROS!$G$8:$G$907,J557),SUMIFS(PARÂMETROS!$E$8:$E$907,PARÂMETROS!$A$8:$A$907,C557,PARÂMETROS!$G$8:$G$907,J557))</f>
        <v/>
      </c>
      <c r="E557" s="84">
        <f>SUMIFS(SETORES!$D:$D,SETORES!$A:$A,A557,SETORES!$F:$F,J557)</f>
        <v/>
      </c>
      <c r="F557" s="84">
        <f>IFERROR(D557*E557,0)</f>
        <v/>
      </c>
      <c r="G557" s="72">
        <f>SUMIFS(PARÂMETROS!$F$8:$F$907,PARÂMETROS!$A$8:$A$907,C557,PARÂMETROS!$G$8:$G$907,J557)</f>
        <v/>
      </c>
      <c r="H557" s="84">
        <f>IFERROR(F557*G557,0)</f>
        <v/>
      </c>
      <c r="I557" s="84">
        <f>F557+H557</f>
        <v/>
      </c>
      <c r="J557" s="74" t="inlineStr">
        <is>
          <t>Julho/2026</t>
        </is>
      </c>
    </row>
    <row r="558" hidden="1" ht="14.25" customHeight="1" s="64">
      <c r="A558" s="106" t="inlineStr">
        <is>
          <t>Engenharia</t>
        </is>
      </c>
      <c r="B558" s="106">
        <f>INDEX(SETORES!$B:$B,MATCH(A558,SETORES!$A:$A,0))</f>
        <v/>
      </c>
      <c r="C558" s="106" t="inlineStr">
        <is>
          <t>DTEL (uso próprio)</t>
        </is>
      </c>
      <c r="D558" s="77">
        <f>IF(B558="Clientes",SUMIFS(PARÂMETROS!$D$8:$D$907,PARÂMETROS!$A$8:$A$907,C558,PARÂMETROS!$G$8:$G$907,J558),SUMIFS(PARÂMETROS!$E$8:$E$907,PARÂMETROS!$A$8:$A$907,C558,PARÂMETROS!$G$8:$G$907,J558))</f>
        <v/>
      </c>
      <c r="E558" s="109">
        <f>SUMIFS(SETORES!$D:$D,SETORES!$A:$A,A558,SETORES!$F:$F,J558)</f>
        <v/>
      </c>
      <c r="F558" s="109">
        <f>IFERROR(D558*E558,0)</f>
        <v/>
      </c>
      <c r="G558" s="77">
        <f>SUMIFS(PARÂMETROS!$F$8:$F$907,PARÂMETROS!$A$8:$A$907,C558,PARÂMETROS!$G$8:$G$907,J558)</f>
        <v/>
      </c>
      <c r="H558" s="109">
        <f>IFERROR(F558*G558,0)</f>
        <v/>
      </c>
      <c r="I558" s="109">
        <f>F558+H558</f>
        <v/>
      </c>
      <c r="J558" s="106" t="inlineStr">
        <is>
          <t>Julho/2026</t>
        </is>
      </c>
    </row>
    <row r="559" hidden="1" ht="14.25" customHeight="1" s="64">
      <c r="A559" s="74" t="inlineStr">
        <is>
          <t>Obras</t>
        </is>
      </c>
      <c r="B559" s="83">
        <f>INDEX(SETORES!$B:$B,MATCH(A559,SETORES!$A:$A,0))</f>
        <v/>
      </c>
      <c r="C559" s="74" t="inlineStr">
        <is>
          <t>Empresa Licenciada DX2</t>
        </is>
      </c>
      <c r="D559" s="72">
        <f>IF(B559="Clientes",SUMIFS(PARÂMETROS!$D$8:$D$907,PARÂMETROS!$A$8:$A$907,C559,PARÂMETROS!$G$8:$G$907,J559),SUMIFS(PARÂMETROS!$E$8:$E$907,PARÂMETROS!$A$8:$A$907,C559,PARÂMETROS!$G$8:$G$907,J559))</f>
        <v/>
      </c>
      <c r="E559" s="84">
        <f>SUMIFS(SETORES!$D:$D,SETORES!$A:$A,A559,SETORES!$F:$F,J559)</f>
        <v/>
      </c>
      <c r="F559" s="84">
        <f>IFERROR(D559*E559,0)</f>
        <v/>
      </c>
      <c r="G559" s="72">
        <f>SUMIFS(PARÂMETROS!$F$8:$F$907,PARÂMETROS!$A$8:$A$907,C559,PARÂMETROS!$G$8:$G$907,J559)</f>
        <v/>
      </c>
      <c r="H559" s="84">
        <f>IFERROR(F559*G559,0)</f>
        <v/>
      </c>
      <c r="I559" s="84">
        <f>F559+H559</f>
        <v/>
      </c>
      <c r="J559" s="74" t="inlineStr">
        <is>
          <t>Julho/2026</t>
        </is>
      </c>
    </row>
    <row r="560" hidden="1" ht="14.25" customHeight="1" s="64">
      <c r="A560" s="106" t="inlineStr">
        <is>
          <t>Obras</t>
        </is>
      </c>
      <c r="B560" s="106">
        <f>INDEX(SETORES!$B:$B,MATCH(A560,SETORES!$A:$A,0))</f>
        <v/>
      </c>
      <c r="C560" s="106" t="inlineStr">
        <is>
          <t>Empresa Licenciada H&amp;A</t>
        </is>
      </c>
      <c r="D560" s="77">
        <f>IF(B560="Clientes",SUMIFS(PARÂMETROS!$D$8:$D$907,PARÂMETROS!$A$8:$A$907,C560,PARÂMETROS!$G$8:$G$907,J560),SUMIFS(PARÂMETROS!$E$8:$E$907,PARÂMETROS!$A$8:$A$907,C560,PARÂMETROS!$G$8:$G$907,J560))</f>
        <v/>
      </c>
      <c r="E560" s="109">
        <f>SUMIFS(SETORES!$D:$D,SETORES!$A:$A,A560,SETORES!$F:$F,J560)</f>
        <v/>
      </c>
      <c r="F560" s="109">
        <f>IFERROR(D560*E560,0)</f>
        <v/>
      </c>
      <c r="G560" s="77">
        <f>SUMIFS(PARÂMETROS!$F$8:$F$907,PARÂMETROS!$A$8:$A$907,C560,PARÂMETROS!$G$8:$G$907,J560)</f>
        <v/>
      </c>
      <c r="H560" s="109">
        <f>IFERROR(F560*G560,0)</f>
        <v/>
      </c>
      <c r="I560" s="109">
        <f>F560+H560</f>
        <v/>
      </c>
      <c r="J560" s="106" t="inlineStr">
        <is>
          <t>Julho/2026</t>
        </is>
      </c>
    </row>
    <row r="561" hidden="1" ht="14.25" customHeight="1" s="64">
      <c r="A561" s="74" t="inlineStr">
        <is>
          <t>Obras</t>
        </is>
      </c>
      <c r="B561" s="83">
        <f>INDEX(SETORES!$B:$B,MATCH(A561,SETORES!$A:$A,0))</f>
        <v/>
      </c>
      <c r="C561" s="74" t="inlineStr">
        <is>
          <t>Empresa Licenciada SOLON ARAUJO</t>
        </is>
      </c>
      <c r="D561" s="72">
        <f>IF(B561="Clientes",SUMIFS(PARÂMETROS!$D$8:$D$907,PARÂMETROS!$A$8:$A$907,C561,PARÂMETROS!$G$8:$G$907,J561),SUMIFS(PARÂMETROS!$E$8:$E$907,PARÂMETROS!$A$8:$A$907,C561,PARÂMETROS!$G$8:$G$907,J561))</f>
        <v/>
      </c>
      <c r="E561" s="84">
        <f>SUMIFS(SETORES!$D:$D,SETORES!$A:$A,A561,SETORES!$F:$F,J561)</f>
        <v/>
      </c>
      <c r="F561" s="84">
        <f>IFERROR(D561*E561,0)</f>
        <v/>
      </c>
      <c r="G561" s="72">
        <f>SUMIFS(PARÂMETROS!$F$8:$F$907,PARÂMETROS!$A$8:$A$907,C561,PARÂMETROS!$G$8:$G$907,J561)</f>
        <v/>
      </c>
      <c r="H561" s="84">
        <f>IFERROR(F561*G561,0)</f>
        <v/>
      </c>
      <c r="I561" s="84">
        <f>F561+H561</f>
        <v/>
      </c>
      <c r="J561" s="74" t="inlineStr">
        <is>
          <t>Julho/2026</t>
        </is>
      </c>
    </row>
    <row r="562" ht="14.25" customHeight="1" s="64">
      <c r="A562" s="106" t="inlineStr">
        <is>
          <t>Obras</t>
        </is>
      </c>
      <c r="B562" s="106">
        <f>INDEX(SETORES!$B:$B,MATCH(A562,SETORES!$A:$A,0))</f>
        <v/>
      </c>
      <c r="C562" s="106" t="inlineStr">
        <is>
          <t>Empresa Licenciada SOARES E LINS</t>
        </is>
      </c>
      <c r="D562" s="77">
        <f>IF(B562="Clientes",SUMIFS(PARÂMETROS!$D$8:$D$907,PARÂMETROS!$A$8:$A$907,C562,PARÂMETROS!$G$8:$G$907,J562),SUMIFS(PARÂMETROS!$E$8:$E$907,PARÂMETROS!$A$8:$A$907,C562,PARÂMETROS!$G$8:$G$907,J562))</f>
        <v/>
      </c>
      <c r="E562" s="109">
        <f>SUMIFS(SETORES!$D:$D,SETORES!$A:$A,A562,SETORES!$F:$F,J562)</f>
        <v/>
      </c>
      <c r="F562" s="109">
        <f>IFERROR(D562*E562,0)</f>
        <v/>
      </c>
      <c r="G562" s="77">
        <f>SUMIFS(PARÂMETROS!$F$8:$F$907,PARÂMETROS!$A$8:$A$907,C562,PARÂMETROS!$G$8:$G$907,J562)</f>
        <v/>
      </c>
      <c r="H562" s="109">
        <f>IFERROR(F562*G562,0)</f>
        <v/>
      </c>
      <c r="I562" s="109">
        <f>F562+H562</f>
        <v/>
      </c>
      <c r="J562" s="106" t="inlineStr">
        <is>
          <t>Julho/2026</t>
        </is>
      </c>
    </row>
    <row r="563" hidden="1" ht="14.25" customHeight="1" s="64">
      <c r="A563" s="74" t="inlineStr">
        <is>
          <t>Obras</t>
        </is>
      </c>
      <c r="B563" s="83">
        <f>INDEX(SETORES!$B:$B,MATCH(A563,SETORES!$A:$A,0))</f>
        <v/>
      </c>
      <c r="C563" s="74" t="inlineStr">
        <is>
          <t>Empresa Licenciada SOARES E SILVA</t>
        </is>
      </c>
      <c r="D563" s="72">
        <f>IF(B563="Clientes",SUMIFS(PARÂMETROS!$D$8:$D$907,PARÂMETROS!$A$8:$A$907,C563,PARÂMETROS!$G$8:$G$907,J563),SUMIFS(PARÂMETROS!$E$8:$E$907,PARÂMETROS!$A$8:$A$907,C563,PARÂMETROS!$G$8:$G$907,J563))</f>
        <v/>
      </c>
      <c r="E563" s="84">
        <f>SUMIFS(SETORES!$D:$D,SETORES!$A:$A,A563,SETORES!$F:$F,J563)</f>
        <v/>
      </c>
      <c r="F563" s="84">
        <f>IFERROR(D563*E563,0)</f>
        <v/>
      </c>
      <c r="G563" s="72">
        <f>SUMIFS(PARÂMETROS!$F$8:$F$907,PARÂMETROS!$A$8:$A$907,C563,PARÂMETROS!$G$8:$G$907,J563)</f>
        <v/>
      </c>
      <c r="H563" s="84">
        <f>IFERROR(F563*G563,0)</f>
        <v/>
      </c>
      <c r="I563" s="84">
        <f>F563+H563</f>
        <v/>
      </c>
      <c r="J563" s="74" t="inlineStr">
        <is>
          <t>Julho/2026</t>
        </is>
      </c>
    </row>
    <row r="564" hidden="1" ht="14.25" customHeight="1" s="64">
      <c r="A564" s="106" t="inlineStr">
        <is>
          <t>Obras</t>
        </is>
      </c>
      <c r="B564" s="106">
        <f>INDEX(SETORES!$B:$B,MATCH(A564,SETORES!$A:$A,0))</f>
        <v/>
      </c>
      <c r="C564" s="106" t="inlineStr">
        <is>
          <t>Empresa Licenciada SOUZA E SILVA</t>
        </is>
      </c>
      <c r="D564" s="77">
        <f>IF(B564="Clientes",SUMIFS(PARÂMETROS!$D$8:$D$907,PARÂMETROS!$A$8:$A$907,C564,PARÂMETROS!$G$8:$G$907,J564),SUMIFS(PARÂMETROS!$E$8:$E$907,PARÂMETROS!$A$8:$A$907,C564,PARÂMETROS!$G$8:$G$907,J564))</f>
        <v/>
      </c>
      <c r="E564" s="109">
        <f>SUMIFS(SETORES!$D:$D,SETORES!$A:$A,A564,SETORES!$F:$F,J564)</f>
        <v/>
      </c>
      <c r="F564" s="109">
        <f>IFERROR(D564*E564,0)</f>
        <v/>
      </c>
      <c r="G564" s="77">
        <f>SUMIFS(PARÂMETROS!$F$8:$F$907,PARÂMETROS!$A$8:$A$907,C564,PARÂMETROS!$G$8:$G$907,J564)</f>
        <v/>
      </c>
      <c r="H564" s="109">
        <f>IFERROR(F564*G564,0)</f>
        <v/>
      </c>
      <c r="I564" s="109">
        <f>F564+H564</f>
        <v/>
      </c>
      <c r="J564" s="106" t="inlineStr">
        <is>
          <t>Julho/2026</t>
        </is>
      </c>
    </row>
    <row r="565" hidden="1" ht="14.25" customHeight="1" s="64">
      <c r="A565" s="74" t="inlineStr">
        <is>
          <t>Obras</t>
        </is>
      </c>
      <c r="B565" s="83">
        <f>INDEX(SETORES!$B:$B,MATCH(A565,SETORES!$A:$A,0))</f>
        <v/>
      </c>
      <c r="C565" s="74" t="inlineStr">
        <is>
          <t>Empresa Licenciada VOICENET</t>
        </is>
      </c>
      <c r="D565" s="72">
        <f>IF(B565="Clientes",SUMIFS(PARÂMETROS!$D$8:$D$907,PARÂMETROS!$A$8:$A$907,C565,PARÂMETROS!$G$8:$G$907,J565),SUMIFS(PARÂMETROS!$E$8:$E$907,PARÂMETROS!$A$8:$A$907,C565,PARÂMETROS!$G$8:$G$907,J565))</f>
        <v/>
      </c>
      <c r="E565" s="84">
        <f>SUMIFS(SETORES!$D:$D,SETORES!$A:$A,A565,SETORES!$F:$F,J565)</f>
        <v/>
      </c>
      <c r="F565" s="84">
        <f>IFERROR(D565*E565,0)</f>
        <v/>
      </c>
      <c r="G565" s="72">
        <f>SUMIFS(PARÂMETROS!$F$8:$F$907,PARÂMETROS!$A$8:$A$907,C565,PARÂMETROS!$G$8:$G$907,J565)</f>
        <v/>
      </c>
      <c r="H565" s="84">
        <f>IFERROR(F565*G565,0)</f>
        <v/>
      </c>
      <c r="I565" s="84">
        <f>F565+H565</f>
        <v/>
      </c>
      <c r="J565" s="74" t="inlineStr">
        <is>
          <t>Julho/2026</t>
        </is>
      </c>
    </row>
    <row r="566" hidden="1" ht="14.25" customHeight="1" s="64">
      <c r="A566" s="106" t="inlineStr">
        <is>
          <t>Obras</t>
        </is>
      </c>
      <c r="B566" s="106">
        <f>INDEX(SETORES!$B:$B,MATCH(A566,SETORES!$A:$A,0))</f>
        <v/>
      </c>
      <c r="C566" s="106" t="inlineStr">
        <is>
          <t>DTEL (uso próprio)</t>
        </is>
      </c>
      <c r="D566" s="77">
        <f>IF(B566="Clientes",SUMIFS(PARÂMETROS!$D$8:$D$907,PARÂMETROS!$A$8:$A$907,C566,PARÂMETROS!$G$8:$G$907,J566),SUMIFS(PARÂMETROS!$E$8:$E$907,PARÂMETROS!$A$8:$A$907,C566,PARÂMETROS!$G$8:$G$907,J566))</f>
        <v/>
      </c>
      <c r="E566" s="109">
        <f>SUMIFS(SETORES!$D:$D,SETORES!$A:$A,A566,SETORES!$F:$F,J566)</f>
        <v/>
      </c>
      <c r="F566" s="109">
        <f>IFERROR(D566*E566,0)</f>
        <v/>
      </c>
      <c r="G566" s="77">
        <f>SUMIFS(PARÂMETROS!$F$8:$F$907,PARÂMETROS!$A$8:$A$907,C566,PARÂMETROS!$G$8:$G$907,J566)</f>
        <v/>
      </c>
      <c r="H566" s="109">
        <f>IFERROR(F566*G566,0)</f>
        <v/>
      </c>
      <c r="I566" s="109">
        <f>F566+H566</f>
        <v/>
      </c>
      <c r="J566" s="106" t="inlineStr">
        <is>
          <t>Julho/2026</t>
        </is>
      </c>
    </row>
    <row r="567" hidden="1" ht="14.25" customHeight="1" s="64">
      <c r="A567" s="74" t="inlineStr">
        <is>
          <t>Manutenção Predial</t>
        </is>
      </c>
      <c r="B567" s="83">
        <f>INDEX(SETORES!$B:$B,MATCH(A567,SETORES!$A:$A,0))</f>
        <v/>
      </c>
      <c r="C567" s="74" t="inlineStr">
        <is>
          <t>Empresa Licenciada DX2</t>
        </is>
      </c>
      <c r="D567" s="72">
        <f>IF(B567="Clientes",SUMIFS(PARÂMETROS!$D$8:$D$907,PARÂMETROS!$A$8:$A$907,C567,PARÂMETROS!$G$8:$G$907,J567),SUMIFS(PARÂMETROS!$E$8:$E$907,PARÂMETROS!$A$8:$A$907,C567,PARÂMETROS!$G$8:$G$907,J567))</f>
        <v/>
      </c>
      <c r="E567" s="84">
        <f>SUMIFS(SETORES!$D:$D,SETORES!$A:$A,A567,SETORES!$F:$F,J567)</f>
        <v/>
      </c>
      <c r="F567" s="84">
        <f>IFERROR(D567*E567,0)</f>
        <v/>
      </c>
      <c r="G567" s="72">
        <f>SUMIFS(PARÂMETROS!$F$8:$F$907,PARÂMETROS!$A$8:$A$907,C567,PARÂMETROS!$G$8:$G$907,J567)</f>
        <v/>
      </c>
      <c r="H567" s="84">
        <f>IFERROR(F567*G567,0)</f>
        <v/>
      </c>
      <c r="I567" s="84">
        <f>F567+H567</f>
        <v/>
      </c>
      <c r="J567" s="74" t="inlineStr">
        <is>
          <t>Julho/2026</t>
        </is>
      </c>
    </row>
    <row r="568" hidden="1" ht="14.25" customHeight="1" s="64">
      <c r="A568" s="106" t="inlineStr">
        <is>
          <t>Manutenção Predial</t>
        </is>
      </c>
      <c r="B568" s="106">
        <f>INDEX(SETORES!$B:$B,MATCH(A568,SETORES!$A:$A,0))</f>
        <v/>
      </c>
      <c r="C568" s="106" t="inlineStr">
        <is>
          <t>Empresa Licenciada H&amp;A</t>
        </is>
      </c>
      <c r="D568" s="77">
        <f>IF(B568="Clientes",SUMIFS(PARÂMETROS!$D$8:$D$907,PARÂMETROS!$A$8:$A$907,C568,PARÂMETROS!$G$8:$G$907,J568),SUMIFS(PARÂMETROS!$E$8:$E$907,PARÂMETROS!$A$8:$A$907,C568,PARÂMETROS!$G$8:$G$907,J568))</f>
        <v/>
      </c>
      <c r="E568" s="109">
        <f>SUMIFS(SETORES!$D:$D,SETORES!$A:$A,A568,SETORES!$F:$F,J568)</f>
        <v/>
      </c>
      <c r="F568" s="109">
        <f>IFERROR(D568*E568,0)</f>
        <v/>
      </c>
      <c r="G568" s="77">
        <f>SUMIFS(PARÂMETROS!$F$8:$F$907,PARÂMETROS!$A$8:$A$907,C568,PARÂMETROS!$G$8:$G$907,J568)</f>
        <v/>
      </c>
      <c r="H568" s="109">
        <f>IFERROR(F568*G568,0)</f>
        <v/>
      </c>
      <c r="I568" s="109">
        <f>F568+H568</f>
        <v/>
      </c>
      <c r="J568" s="106" t="inlineStr">
        <is>
          <t>Julho/2026</t>
        </is>
      </c>
    </row>
    <row r="569" hidden="1" ht="14.25" customHeight="1" s="64">
      <c r="A569" s="74" t="inlineStr">
        <is>
          <t>Manutenção Predial</t>
        </is>
      </c>
      <c r="B569" s="83">
        <f>INDEX(SETORES!$B:$B,MATCH(A569,SETORES!$A:$A,0))</f>
        <v/>
      </c>
      <c r="C569" s="74" t="inlineStr">
        <is>
          <t>Empresa Licenciada SOLON ARAUJO</t>
        </is>
      </c>
      <c r="D569" s="72">
        <f>IF(B569="Clientes",SUMIFS(PARÂMETROS!$D$8:$D$907,PARÂMETROS!$A$8:$A$907,C569,PARÂMETROS!$G$8:$G$907,J569),SUMIFS(PARÂMETROS!$E$8:$E$907,PARÂMETROS!$A$8:$A$907,C569,PARÂMETROS!$G$8:$G$907,J569))</f>
        <v/>
      </c>
      <c r="E569" s="84">
        <f>SUMIFS(SETORES!$D:$D,SETORES!$A:$A,A569,SETORES!$F:$F,J569)</f>
        <v/>
      </c>
      <c r="F569" s="84">
        <f>IFERROR(D569*E569,0)</f>
        <v/>
      </c>
      <c r="G569" s="72">
        <f>SUMIFS(PARÂMETROS!$F$8:$F$907,PARÂMETROS!$A$8:$A$907,C569,PARÂMETROS!$G$8:$G$907,J569)</f>
        <v/>
      </c>
      <c r="H569" s="84">
        <f>IFERROR(F569*G569,0)</f>
        <v/>
      </c>
      <c r="I569" s="84">
        <f>F569+H569</f>
        <v/>
      </c>
      <c r="J569" s="74" t="inlineStr">
        <is>
          <t>Julho/2026</t>
        </is>
      </c>
    </row>
    <row r="570" ht="14.25" customHeight="1" s="64">
      <c r="A570" s="106" t="inlineStr">
        <is>
          <t>Manutenção Predial</t>
        </is>
      </c>
      <c r="B570" s="106">
        <f>INDEX(SETORES!$B:$B,MATCH(A570,SETORES!$A:$A,0))</f>
        <v/>
      </c>
      <c r="C570" s="106" t="inlineStr">
        <is>
          <t>Empresa Licenciada SOARES E LINS</t>
        </is>
      </c>
      <c r="D570" s="77">
        <f>IF(B570="Clientes",SUMIFS(PARÂMETROS!$D$8:$D$907,PARÂMETROS!$A$8:$A$907,C570,PARÂMETROS!$G$8:$G$907,J570),SUMIFS(PARÂMETROS!$E$8:$E$907,PARÂMETROS!$A$8:$A$907,C570,PARÂMETROS!$G$8:$G$907,J570))</f>
        <v/>
      </c>
      <c r="E570" s="109">
        <f>SUMIFS(SETORES!$D:$D,SETORES!$A:$A,A570,SETORES!$F:$F,J570)</f>
        <v/>
      </c>
      <c r="F570" s="109">
        <f>IFERROR(D570*E570,0)</f>
        <v/>
      </c>
      <c r="G570" s="77">
        <f>SUMIFS(PARÂMETROS!$F$8:$F$907,PARÂMETROS!$A$8:$A$907,C570,PARÂMETROS!$G$8:$G$907,J570)</f>
        <v/>
      </c>
      <c r="H570" s="109">
        <f>IFERROR(F570*G570,0)</f>
        <v/>
      </c>
      <c r="I570" s="109">
        <f>F570+H570</f>
        <v/>
      </c>
      <c r="J570" s="106" t="inlineStr">
        <is>
          <t>Julho/2026</t>
        </is>
      </c>
    </row>
    <row r="571" hidden="1" ht="14.25" customHeight="1" s="64">
      <c r="A571" s="74" t="inlineStr">
        <is>
          <t>Manutenção Predial</t>
        </is>
      </c>
      <c r="B571" s="83">
        <f>INDEX(SETORES!$B:$B,MATCH(A571,SETORES!$A:$A,0))</f>
        <v/>
      </c>
      <c r="C571" s="74" t="inlineStr">
        <is>
          <t>Empresa Licenciada SOARES E SILVA</t>
        </is>
      </c>
      <c r="D571" s="72">
        <f>IF(B571="Clientes",SUMIFS(PARÂMETROS!$D$8:$D$907,PARÂMETROS!$A$8:$A$907,C571,PARÂMETROS!$G$8:$G$907,J571),SUMIFS(PARÂMETROS!$E$8:$E$907,PARÂMETROS!$A$8:$A$907,C571,PARÂMETROS!$G$8:$G$907,J571))</f>
        <v/>
      </c>
      <c r="E571" s="84">
        <f>SUMIFS(SETORES!$D:$D,SETORES!$A:$A,A571,SETORES!$F:$F,J571)</f>
        <v/>
      </c>
      <c r="F571" s="84">
        <f>IFERROR(D571*E571,0)</f>
        <v/>
      </c>
      <c r="G571" s="72">
        <f>SUMIFS(PARÂMETROS!$F$8:$F$907,PARÂMETROS!$A$8:$A$907,C571,PARÂMETROS!$G$8:$G$907,J571)</f>
        <v/>
      </c>
      <c r="H571" s="84">
        <f>IFERROR(F571*G571,0)</f>
        <v/>
      </c>
      <c r="I571" s="84">
        <f>F571+H571</f>
        <v/>
      </c>
      <c r="J571" s="74" t="inlineStr">
        <is>
          <t>Julho/2026</t>
        </is>
      </c>
    </row>
    <row r="572" hidden="1" ht="14.25" customHeight="1" s="64">
      <c r="A572" s="106" t="inlineStr">
        <is>
          <t>Manutenção Predial</t>
        </is>
      </c>
      <c r="B572" s="106">
        <f>INDEX(SETORES!$B:$B,MATCH(A572,SETORES!$A:$A,0))</f>
        <v/>
      </c>
      <c r="C572" s="106" t="inlineStr">
        <is>
          <t>Empresa Licenciada SOUZA E SILVA</t>
        </is>
      </c>
      <c r="D572" s="77">
        <f>IF(B572="Clientes",SUMIFS(PARÂMETROS!$D$8:$D$907,PARÂMETROS!$A$8:$A$907,C572,PARÂMETROS!$G$8:$G$907,J572),SUMIFS(PARÂMETROS!$E$8:$E$907,PARÂMETROS!$A$8:$A$907,C572,PARÂMETROS!$G$8:$G$907,J572))</f>
        <v/>
      </c>
      <c r="E572" s="109">
        <f>SUMIFS(SETORES!$D:$D,SETORES!$A:$A,A572,SETORES!$F:$F,J572)</f>
        <v/>
      </c>
      <c r="F572" s="109">
        <f>IFERROR(D572*E572,0)</f>
        <v/>
      </c>
      <c r="G572" s="77">
        <f>SUMIFS(PARÂMETROS!$F$8:$F$907,PARÂMETROS!$A$8:$A$907,C572,PARÂMETROS!$G$8:$G$907,J572)</f>
        <v/>
      </c>
      <c r="H572" s="109">
        <f>IFERROR(F572*G572,0)</f>
        <v/>
      </c>
      <c r="I572" s="109">
        <f>F572+H572</f>
        <v/>
      </c>
      <c r="J572" s="106" t="inlineStr">
        <is>
          <t>Julho/2026</t>
        </is>
      </c>
    </row>
    <row r="573" hidden="1" ht="14.25" customHeight="1" s="64">
      <c r="A573" s="74" t="inlineStr">
        <is>
          <t>Manutenção Predial</t>
        </is>
      </c>
      <c r="B573" s="83">
        <f>INDEX(SETORES!$B:$B,MATCH(A573,SETORES!$A:$A,0))</f>
        <v/>
      </c>
      <c r="C573" s="74" t="inlineStr">
        <is>
          <t>Empresa Licenciada VOICENET</t>
        </is>
      </c>
      <c r="D573" s="72">
        <f>IF(B573="Clientes",SUMIFS(PARÂMETROS!$D$8:$D$907,PARÂMETROS!$A$8:$A$907,C573,PARÂMETROS!$G$8:$G$907,J573),SUMIFS(PARÂMETROS!$E$8:$E$907,PARÂMETROS!$A$8:$A$907,C573,PARÂMETROS!$G$8:$G$907,J573))</f>
        <v/>
      </c>
      <c r="E573" s="84">
        <f>SUMIFS(SETORES!$D:$D,SETORES!$A:$A,A573,SETORES!$F:$F,J573)</f>
        <v/>
      </c>
      <c r="F573" s="84">
        <f>IFERROR(D573*E573,0)</f>
        <v/>
      </c>
      <c r="G573" s="72">
        <f>SUMIFS(PARÂMETROS!$F$8:$F$907,PARÂMETROS!$A$8:$A$907,C573,PARÂMETROS!$G$8:$G$907,J573)</f>
        <v/>
      </c>
      <c r="H573" s="84">
        <f>IFERROR(F573*G573,0)</f>
        <v/>
      </c>
      <c r="I573" s="84">
        <f>F573+H573</f>
        <v/>
      </c>
      <c r="J573" s="74" t="inlineStr">
        <is>
          <t>Julho/2026</t>
        </is>
      </c>
    </row>
    <row r="574" hidden="1" ht="14.25" customHeight="1" s="64">
      <c r="A574" s="106" t="inlineStr">
        <is>
          <t>Manutenção Predial</t>
        </is>
      </c>
      <c r="B574" s="106">
        <f>INDEX(SETORES!$B:$B,MATCH(A574,SETORES!$A:$A,0))</f>
        <v/>
      </c>
      <c r="C574" s="106" t="inlineStr">
        <is>
          <t>DTEL (uso próprio)</t>
        </is>
      </c>
      <c r="D574" s="77">
        <f>IF(B574="Clientes",SUMIFS(PARÂMETROS!$D$8:$D$907,PARÂMETROS!$A$8:$A$907,C574,PARÂMETROS!$G$8:$G$907,J574),SUMIFS(PARÂMETROS!$E$8:$E$907,PARÂMETROS!$A$8:$A$907,C574,PARÂMETROS!$G$8:$G$907,J574))</f>
        <v/>
      </c>
      <c r="E574" s="109">
        <f>SUMIFS(SETORES!$D:$D,SETORES!$A:$A,A574,SETORES!$F:$F,J574)</f>
        <v/>
      </c>
      <c r="F574" s="109">
        <f>IFERROR(D574*E574,0)</f>
        <v/>
      </c>
      <c r="G574" s="77">
        <f>SUMIFS(PARÂMETROS!$F$8:$F$907,PARÂMETROS!$A$8:$A$907,C574,PARÂMETROS!$G$8:$G$907,J574)</f>
        <v/>
      </c>
      <c r="H574" s="109">
        <f>IFERROR(F574*G574,0)</f>
        <v/>
      </c>
      <c r="I574" s="109">
        <f>F574+H574</f>
        <v/>
      </c>
      <c r="J574" s="106" t="inlineStr">
        <is>
          <t>Julho/2026</t>
        </is>
      </c>
    </row>
    <row r="575" hidden="1" ht="14.25" customHeight="1" s="64">
      <c r="A575" s="74" t="inlineStr">
        <is>
          <t>Logística</t>
        </is>
      </c>
      <c r="B575" s="83">
        <f>INDEX(SETORES!$B:$B,MATCH(A575,SETORES!$A:$A,0))</f>
        <v/>
      </c>
      <c r="C575" s="74" t="inlineStr">
        <is>
          <t>Empresa Licenciada DX2</t>
        </is>
      </c>
      <c r="D575" s="72">
        <f>IF(B575="Clientes",SUMIFS(PARÂMETROS!$D$8:$D$907,PARÂMETROS!$A$8:$A$907,C575,PARÂMETROS!$G$8:$G$907,J575),SUMIFS(PARÂMETROS!$E$8:$E$907,PARÂMETROS!$A$8:$A$907,C575,PARÂMETROS!$G$8:$G$907,J575))</f>
        <v/>
      </c>
      <c r="E575" s="84">
        <f>SUMIFS(SETORES!$D:$D,SETORES!$A:$A,A575,SETORES!$F:$F,J575)</f>
        <v/>
      </c>
      <c r="F575" s="84">
        <f>IFERROR(D575*E575,0)</f>
        <v/>
      </c>
      <c r="G575" s="72">
        <f>SUMIFS(PARÂMETROS!$F$8:$F$907,PARÂMETROS!$A$8:$A$907,C575,PARÂMETROS!$G$8:$G$907,J575)</f>
        <v/>
      </c>
      <c r="H575" s="84">
        <f>IFERROR(F575*G575,0)</f>
        <v/>
      </c>
      <c r="I575" s="84">
        <f>F575+H575</f>
        <v/>
      </c>
      <c r="J575" s="74" t="inlineStr">
        <is>
          <t>Julho/2026</t>
        </is>
      </c>
    </row>
    <row r="576" hidden="1" ht="14.25" customHeight="1" s="64">
      <c r="A576" s="106" t="inlineStr">
        <is>
          <t>Logística</t>
        </is>
      </c>
      <c r="B576" s="106">
        <f>INDEX(SETORES!$B:$B,MATCH(A576,SETORES!$A:$A,0))</f>
        <v/>
      </c>
      <c r="C576" s="106" t="inlineStr">
        <is>
          <t>Empresa Licenciada H&amp;A</t>
        </is>
      </c>
      <c r="D576" s="77">
        <f>IF(B576="Clientes",SUMIFS(PARÂMETROS!$D$8:$D$907,PARÂMETROS!$A$8:$A$907,C576,PARÂMETROS!$G$8:$G$907,J576),SUMIFS(PARÂMETROS!$E$8:$E$907,PARÂMETROS!$A$8:$A$907,C576,PARÂMETROS!$G$8:$G$907,J576))</f>
        <v/>
      </c>
      <c r="E576" s="109">
        <f>SUMIFS(SETORES!$D:$D,SETORES!$A:$A,A576,SETORES!$F:$F,J576)</f>
        <v/>
      </c>
      <c r="F576" s="109">
        <f>IFERROR(D576*E576,0)</f>
        <v/>
      </c>
      <c r="G576" s="77">
        <f>SUMIFS(PARÂMETROS!$F$8:$F$907,PARÂMETROS!$A$8:$A$907,C576,PARÂMETROS!$G$8:$G$907,J576)</f>
        <v/>
      </c>
      <c r="H576" s="109">
        <f>IFERROR(F576*G576,0)</f>
        <v/>
      </c>
      <c r="I576" s="109">
        <f>F576+H576</f>
        <v/>
      </c>
      <c r="J576" s="106" t="inlineStr">
        <is>
          <t>Julho/2026</t>
        </is>
      </c>
    </row>
    <row r="577" hidden="1" ht="14.25" customHeight="1" s="64">
      <c r="A577" s="74" t="inlineStr">
        <is>
          <t>Logística</t>
        </is>
      </c>
      <c r="B577" s="83">
        <f>INDEX(SETORES!$B:$B,MATCH(A577,SETORES!$A:$A,0))</f>
        <v/>
      </c>
      <c r="C577" s="74" t="inlineStr">
        <is>
          <t>Empresa Licenciada SOLON ARAUJO</t>
        </is>
      </c>
      <c r="D577" s="72">
        <f>IF(B577="Clientes",SUMIFS(PARÂMETROS!$D$8:$D$907,PARÂMETROS!$A$8:$A$907,C577,PARÂMETROS!$G$8:$G$907,J577),SUMIFS(PARÂMETROS!$E$8:$E$907,PARÂMETROS!$A$8:$A$907,C577,PARÂMETROS!$G$8:$G$907,J577))</f>
        <v/>
      </c>
      <c r="E577" s="84">
        <f>SUMIFS(SETORES!$D:$D,SETORES!$A:$A,A577,SETORES!$F:$F,J577)</f>
        <v/>
      </c>
      <c r="F577" s="84">
        <f>IFERROR(D577*E577,0)</f>
        <v/>
      </c>
      <c r="G577" s="72">
        <f>SUMIFS(PARÂMETROS!$F$8:$F$907,PARÂMETROS!$A$8:$A$907,C577,PARÂMETROS!$G$8:$G$907,J577)</f>
        <v/>
      </c>
      <c r="H577" s="84">
        <f>IFERROR(F577*G577,0)</f>
        <v/>
      </c>
      <c r="I577" s="84">
        <f>F577+H577</f>
        <v/>
      </c>
      <c r="J577" s="74" t="inlineStr">
        <is>
          <t>Julho/2026</t>
        </is>
      </c>
    </row>
    <row r="578" ht="14.25" customHeight="1" s="64">
      <c r="A578" s="106" t="inlineStr">
        <is>
          <t>Logística</t>
        </is>
      </c>
      <c r="B578" s="106">
        <f>INDEX(SETORES!$B:$B,MATCH(A578,SETORES!$A:$A,0))</f>
        <v/>
      </c>
      <c r="C578" s="106" t="inlineStr">
        <is>
          <t>Empresa Licenciada SOARES E LINS</t>
        </is>
      </c>
      <c r="D578" s="77">
        <f>IF(B578="Clientes",SUMIFS(PARÂMETROS!$D$8:$D$907,PARÂMETROS!$A$8:$A$907,C578,PARÂMETROS!$G$8:$G$907,J578),SUMIFS(PARÂMETROS!$E$8:$E$907,PARÂMETROS!$A$8:$A$907,C578,PARÂMETROS!$G$8:$G$907,J578))</f>
        <v/>
      </c>
      <c r="E578" s="109">
        <f>SUMIFS(SETORES!$D:$D,SETORES!$A:$A,A578,SETORES!$F:$F,J578)</f>
        <v/>
      </c>
      <c r="F578" s="109">
        <f>IFERROR(D578*E578,0)</f>
        <v/>
      </c>
      <c r="G578" s="77">
        <f>SUMIFS(PARÂMETROS!$F$8:$F$907,PARÂMETROS!$A$8:$A$907,C578,PARÂMETROS!$G$8:$G$907,J578)</f>
        <v/>
      </c>
      <c r="H578" s="109">
        <f>IFERROR(F578*G578,0)</f>
        <v/>
      </c>
      <c r="I578" s="109">
        <f>F578+H578</f>
        <v/>
      </c>
      <c r="J578" s="106" t="inlineStr">
        <is>
          <t>Julho/2026</t>
        </is>
      </c>
    </row>
    <row r="579" hidden="1" ht="14.25" customHeight="1" s="64">
      <c r="A579" s="74" t="inlineStr">
        <is>
          <t>Logística</t>
        </is>
      </c>
      <c r="B579" s="83">
        <f>INDEX(SETORES!$B:$B,MATCH(A579,SETORES!$A:$A,0))</f>
        <v/>
      </c>
      <c r="C579" s="74" t="inlineStr">
        <is>
          <t>Empresa Licenciada SOARES E SILVA</t>
        </is>
      </c>
      <c r="D579" s="72">
        <f>IF(B579="Clientes",SUMIFS(PARÂMETROS!$D$8:$D$907,PARÂMETROS!$A$8:$A$907,C579,PARÂMETROS!$G$8:$G$907,J579),SUMIFS(PARÂMETROS!$E$8:$E$907,PARÂMETROS!$A$8:$A$907,C579,PARÂMETROS!$G$8:$G$907,J579))</f>
        <v/>
      </c>
      <c r="E579" s="84">
        <f>SUMIFS(SETORES!$D:$D,SETORES!$A:$A,A579,SETORES!$F:$F,J579)</f>
        <v/>
      </c>
      <c r="F579" s="84">
        <f>IFERROR(D579*E579,0)</f>
        <v/>
      </c>
      <c r="G579" s="72">
        <f>SUMIFS(PARÂMETROS!$F$8:$F$907,PARÂMETROS!$A$8:$A$907,C579,PARÂMETROS!$G$8:$G$907,J579)</f>
        <v/>
      </c>
      <c r="H579" s="84">
        <f>IFERROR(F579*G579,0)</f>
        <v/>
      </c>
      <c r="I579" s="84">
        <f>F579+H579</f>
        <v/>
      </c>
      <c r="J579" s="74" t="inlineStr">
        <is>
          <t>Julho/2026</t>
        </is>
      </c>
    </row>
    <row r="580" hidden="1" ht="14.25" customHeight="1" s="64">
      <c r="A580" s="106" t="inlineStr">
        <is>
          <t>Logística</t>
        </is>
      </c>
      <c r="B580" s="106">
        <f>INDEX(SETORES!$B:$B,MATCH(A580,SETORES!$A:$A,0))</f>
        <v/>
      </c>
      <c r="C580" s="106" t="inlineStr">
        <is>
          <t>Empresa Licenciada SOUZA E SILVA</t>
        </is>
      </c>
      <c r="D580" s="77">
        <f>IF(B580="Clientes",SUMIFS(PARÂMETROS!$D$8:$D$907,PARÂMETROS!$A$8:$A$907,C580,PARÂMETROS!$G$8:$G$907,J580),SUMIFS(PARÂMETROS!$E$8:$E$907,PARÂMETROS!$A$8:$A$907,C580,PARÂMETROS!$G$8:$G$907,J580))</f>
        <v/>
      </c>
      <c r="E580" s="109">
        <f>SUMIFS(SETORES!$D:$D,SETORES!$A:$A,A580,SETORES!$F:$F,J580)</f>
        <v/>
      </c>
      <c r="F580" s="109">
        <f>IFERROR(D580*E580,0)</f>
        <v/>
      </c>
      <c r="G580" s="77">
        <f>SUMIFS(PARÂMETROS!$F$8:$F$907,PARÂMETROS!$A$8:$A$907,C580,PARÂMETROS!$G$8:$G$907,J580)</f>
        <v/>
      </c>
      <c r="H580" s="109">
        <f>IFERROR(F580*G580,0)</f>
        <v/>
      </c>
      <c r="I580" s="109">
        <f>F580+H580</f>
        <v/>
      </c>
      <c r="J580" s="106" t="inlineStr">
        <is>
          <t>Julho/2026</t>
        </is>
      </c>
    </row>
    <row r="581" hidden="1" ht="14.25" customHeight="1" s="64">
      <c r="A581" s="74" t="inlineStr">
        <is>
          <t>Logística</t>
        </is>
      </c>
      <c r="B581" s="83">
        <f>INDEX(SETORES!$B:$B,MATCH(A581,SETORES!$A:$A,0))</f>
        <v/>
      </c>
      <c r="C581" s="74" t="inlineStr">
        <is>
          <t>Empresa Licenciada VOICENET</t>
        </is>
      </c>
      <c r="D581" s="72">
        <f>IF(B581="Clientes",SUMIFS(PARÂMETROS!$D$8:$D$907,PARÂMETROS!$A$8:$A$907,C581,PARÂMETROS!$G$8:$G$907,J581),SUMIFS(PARÂMETROS!$E$8:$E$907,PARÂMETROS!$A$8:$A$907,C581,PARÂMETROS!$G$8:$G$907,J581))</f>
        <v/>
      </c>
      <c r="E581" s="84">
        <f>SUMIFS(SETORES!$D:$D,SETORES!$A:$A,A581,SETORES!$F:$F,J581)</f>
        <v/>
      </c>
      <c r="F581" s="84">
        <f>IFERROR(D581*E581,0)</f>
        <v/>
      </c>
      <c r="G581" s="72">
        <f>SUMIFS(PARÂMETROS!$F$8:$F$907,PARÂMETROS!$A$8:$A$907,C581,PARÂMETROS!$G$8:$G$907,J581)</f>
        <v/>
      </c>
      <c r="H581" s="84">
        <f>IFERROR(F581*G581,0)</f>
        <v/>
      </c>
      <c r="I581" s="84">
        <f>F581+H581</f>
        <v/>
      </c>
      <c r="J581" s="74" t="inlineStr">
        <is>
          <t>Julho/2026</t>
        </is>
      </c>
    </row>
    <row r="582" hidden="1" ht="14.25" customHeight="1" s="64">
      <c r="A582" s="106" t="inlineStr">
        <is>
          <t>Logística</t>
        </is>
      </c>
      <c r="B582" s="106">
        <f>INDEX(SETORES!$B:$B,MATCH(A582,SETORES!$A:$A,0))</f>
        <v/>
      </c>
      <c r="C582" s="106" t="inlineStr">
        <is>
          <t>DTEL (uso próprio)</t>
        </is>
      </c>
      <c r="D582" s="77">
        <f>IF(B582="Clientes",SUMIFS(PARÂMETROS!$D$8:$D$907,PARÂMETROS!$A$8:$A$907,C582,PARÂMETROS!$G$8:$G$907,J582),SUMIFS(PARÂMETROS!$E$8:$E$907,PARÂMETROS!$A$8:$A$907,C582,PARÂMETROS!$G$8:$G$907,J582))</f>
        <v/>
      </c>
      <c r="E582" s="109">
        <f>SUMIFS(SETORES!$D:$D,SETORES!$A:$A,A582,SETORES!$F:$F,J582)</f>
        <v/>
      </c>
      <c r="F582" s="109">
        <f>IFERROR(D582*E582,0)</f>
        <v/>
      </c>
      <c r="G582" s="77">
        <f>SUMIFS(PARÂMETROS!$F$8:$F$907,PARÂMETROS!$A$8:$A$907,C582,PARÂMETROS!$G$8:$G$907,J582)</f>
        <v/>
      </c>
      <c r="H582" s="109">
        <f>IFERROR(F582*G582,0)</f>
        <v/>
      </c>
      <c r="I582" s="109">
        <f>F582+H582</f>
        <v/>
      </c>
      <c r="J582" s="106" t="inlineStr">
        <is>
          <t>Julho/2026</t>
        </is>
      </c>
    </row>
    <row r="583" hidden="1" ht="14.25" customHeight="1" s="64">
      <c r="A583" s="74" t="inlineStr">
        <is>
          <t>Oficina</t>
        </is>
      </c>
      <c r="B583" s="83">
        <f>INDEX(SETORES!$B:$B,MATCH(A583,SETORES!$A:$A,0))</f>
        <v/>
      </c>
      <c r="C583" s="74" t="inlineStr">
        <is>
          <t>Empresa Licenciada DX2</t>
        </is>
      </c>
      <c r="D583" s="72">
        <f>IF(B583="Clientes",SUMIFS(PARÂMETROS!$D$8:$D$907,PARÂMETROS!$A$8:$A$907,C583,PARÂMETROS!$G$8:$G$907,J583),SUMIFS(PARÂMETROS!$E$8:$E$907,PARÂMETROS!$A$8:$A$907,C583,PARÂMETROS!$G$8:$G$907,J583))</f>
        <v/>
      </c>
      <c r="E583" s="84">
        <f>SUMIFS(SETORES!$D:$D,SETORES!$A:$A,A583,SETORES!$F:$F,J583)</f>
        <v/>
      </c>
      <c r="F583" s="84">
        <f>IFERROR(D583*E583,0)</f>
        <v/>
      </c>
      <c r="G583" s="72">
        <f>SUMIFS(PARÂMETROS!$F$8:$F$907,PARÂMETROS!$A$8:$A$907,C583,PARÂMETROS!$G$8:$G$907,J583)</f>
        <v/>
      </c>
      <c r="H583" s="84">
        <f>IFERROR(F583*G583,0)</f>
        <v/>
      </c>
      <c r="I583" s="84">
        <f>F583+H583</f>
        <v/>
      </c>
      <c r="J583" s="74" t="inlineStr">
        <is>
          <t>Julho/2026</t>
        </is>
      </c>
    </row>
    <row r="584" hidden="1" ht="14.25" customHeight="1" s="64">
      <c r="A584" s="106" t="inlineStr">
        <is>
          <t>Oficina</t>
        </is>
      </c>
      <c r="B584" s="106">
        <f>INDEX(SETORES!$B:$B,MATCH(A584,SETORES!$A:$A,0))</f>
        <v/>
      </c>
      <c r="C584" s="106" t="inlineStr">
        <is>
          <t>Empresa Licenciada H&amp;A</t>
        </is>
      </c>
      <c r="D584" s="77">
        <f>IF(B584="Clientes",SUMIFS(PARÂMETROS!$D$8:$D$907,PARÂMETROS!$A$8:$A$907,C584,PARÂMETROS!$G$8:$G$907,J584),SUMIFS(PARÂMETROS!$E$8:$E$907,PARÂMETROS!$A$8:$A$907,C584,PARÂMETROS!$G$8:$G$907,J584))</f>
        <v/>
      </c>
      <c r="E584" s="109">
        <f>SUMIFS(SETORES!$D:$D,SETORES!$A:$A,A584,SETORES!$F:$F,J584)</f>
        <v/>
      </c>
      <c r="F584" s="109">
        <f>IFERROR(D584*E584,0)</f>
        <v/>
      </c>
      <c r="G584" s="77">
        <f>SUMIFS(PARÂMETROS!$F$8:$F$907,PARÂMETROS!$A$8:$A$907,C584,PARÂMETROS!$G$8:$G$907,J584)</f>
        <v/>
      </c>
      <c r="H584" s="109">
        <f>IFERROR(F584*G584,0)</f>
        <v/>
      </c>
      <c r="I584" s="109">
        <f>F584+H584</f>
        <v/>
      </c>
      <c r="J584" s="106" t="inlineStr">
        <is>
          <t>Julho/2026</t>
        </is>
      </c>
    </row>
    <row r="585" hidden="1" ht="14.25" customHeight="1" s="64">
      <c r="A585" s="74" t="inlineStr">
        <is>
          <t>Oficina</t>
        </is>
      </c>
      <c r="B585" s="83">
        <f>INDEX(SETORES!$B:$B,MATCH(A585,SETORES!$A:$A,0))</f>
        <v/>
      </c>
      <c r="C585" s="74" t="inlineStr">
        <is>
          <t>Empresa Licenciada SOLON ARAUJO</t>
        </is>
      </c>
      <c r="D585" s="72">
        <f>IF(B585="Clientes",SUMIFS(PARÂMETROS!$D$8:$D$907,PARÂMETROS!$A$8:$A$907,C585,PARÂMETROS!$G$8:$G$907,J585),SUMIFS(PARÂMETROS!$E$8:$E$907,PARÂMETROS!$A$8:$A$907,C585,PARÂMETROS!$G$8:$G$907,J585))</f>
        <v/>
      </c>
      <c r="E585" s="84">
        <f>SUMIFS(SETORES!$D:$D,SETORES!$A:$A,A585,SETORES!$F:$F,J585)</f>
        <v/>
      </c>
      <c r="F585" s="84">
        <f>IFERROR(D585*E585,0)</f>
        <v/>
      </c>
      <c r="G585" s="72">
        <f>SUMIFS(PARÂMETROS!$F$8:$F$907,PARÂMETROS!$A$8:$A$907,C585,PARÂMETROS!$G$8:$G$907,J585)</f>
        <v/>
      </c>
      <c r="H585" s="84">
        <f>IFERROR(F585*G585,0)</f>
        <v/>
      </c>
      <c r="I585" s="84">
        <f>F585+H585</f>
        <v/>
      </c>
      <c r="J585" s="74" t="inlineStr">
        <is>
          <t>Julho/2026</t>
        </is>
      </c>
    </row>
    <row r="586" ht="14.25" customHeight="1" s="64">
      <c r="A586" s="106" t="inlineStr">
        <is>
          <t>Oficina</t>
        </is>
      </c>
      <c r="B586" s="106">
        <f>INDEX(SETORES!$B:$B,MATCH(A586,SETORES!$A:$A,0))</f>
        <v/>
      </c>
      <c r="C586" s="106" t="inlineStr">
        <is>
          <t>Empresa Licenciada SOARES E LINS</t>
        </is>
      </c>
      <c r="D586" s="77">
        <f>IF(B586="Clientes",SUMIFS(PARÂMETROS!$D$8:$D$907,PARÂMETROS!$A$8:$A$907,C586,PARÂMETROS!$G$8:$G$907,J586),SUMIFS(PARÂMETROS!$E$8:$E$907,PARÂMETROS!$A$8:$A$907,C586,PARÂMETROS!$G$8:$G$907,J586))</f>
        <v/>
      </c>
      <c r="E586" s="109">
        <f>SUMIFS(SETORES!$D:$D,SETORES!$A:$A,A586,SETORES!$F:$F,J586)</f>
        <v/>
      </c>
      <c r="F586" s="109">
        <f>IFERROR(D586*E586,0)</f>
        <v/>
      </c>
      <c r="G586" s="77">
        <f>SUMIFS(PARÂMETROS!$F$8:$F$907,PARÂMETROS!$A$8:$A$907,C586,PARÂMETROS!$G$8:$G$907,J586)</f>
        <v/>
      </c>
      <c r="H586" s="109">
        <f>IFERROR(F586*G586,0)</f>
        <v/>
      </c>
      <c r="I586" s="109">
        <f>F586+H586</f>
        <v/>
      </c>
      <c r="J586" s="106" t="inlineStr">
        <is>
          <t>Julho/2026</t>
        </is>
      </c>
    </row>
    <row r="587" hidden="1" ht="14.25" customHeight="1" s="64">
      <c r="A587" s="74" t="inlineStr">
        <is>
          <t>Oficina</t>
        </is>
      </c>
      <c r="B587" s="83">
        <f>INDEX(SETORES!$B:$B,MATCH(A587,SETORES!$A:$A,0))</f>
        <v/>
      </c>
      <c r="C587" s="74" t="inlineStr">
        <is>
          <t>Empresa Licenciada SOARES E SILVA</t>
        </is>
      </c>
      <c r="D587" s="72">
        <f>IF(B587="Clientes",SUMIFS(PARÂMETROS!$D$8:$D$907,PARÂMETROS!$A$8:$A$907,C587,PARÂMETROS!$G$8:$G$907,J587),SUMIFS(PARÂMETROS!$E$8:$E$907,PARÂMETROS!$A$8:$A$907,C587,PARÂMETROS!$G$8:$G$907,J587))</f>
        <v/>
      </c>
      <c r="E587" s="84">
        <f>SUMIFS(SETORES!$D:$D,SETORES!$A:$A,A587,SETORES!$F:$F,J587)</f>
        <v/>
      </c>
      <c r="F587" s="84">
        <f>IFERROR(D587*E587,0)</f>
        <v/>
      </c>
      <c r="G587" s="72">
        <f>SUMIFS(PARÂMETROS!$F$8:$F$907,PARÂMETROS!$A$8:$A$907,C587,PARÂMETROS!$G$8:$G$907,J587)</f>
        <v/>
      </c>
      <c r="H587" s="84">
        <f>IFERROR(F587*G587,0)</f>
        <v/>
      </c>
      <c r="I587" s="84">
        <f>F587+H587</f>
        <v/>
      </c>
      <c r="J587" s="74" t="inlineStr">
        <is>
          <t>Julho/2026</t>
        </is>
      </c>
    </row>
    <row r="588" hidden="1" ht="14.25" customHeight="1" s="64">
      <c r="A588" s="106" t="inlineStr">
        <is>
          <t>Oficina</t>
        </is>
      </c>
      <c r="B588" s="106">
        <f>INDEX(SETORES!$B:$B,MATCH(A588,SETORES!$A:$A,0))</f>
        <v/>
      </c>
      <c r="C588" s="106" t="inlineStr">
        <is>
          <t>Empresa Licenciada SOUZA E SILVA</t>
        </is>
      </c>
      <c r="D588" s="77">
        <f>IF(B588="Clientes",SUMIFS(PARÂMETROS!$D$8:$D$907,PARÂMETROS!$A$8:$A$907,C588,PARÂMETROS!$G$8:$G$907,J588),SUMIFS(PARÂMETROS!$E$8:$E$907,PARÂMETROS!$A$8:$A$907,C588,PARÂMETROS!$G$8:$G$907,J588))</f>
        <v/>
      </c>
      <c r="E588" s="109">
        <f>SUMIFS(SETORES!$D:$D,SETORES!$A:$A,A588,SETORES!$F:$F,J588)</f>
        <v/>
      </c>
      <c r="F588" s="109">
        <f>IFERROR(D588*E588,0)</f>
        <v/>
      </c>
      <c r="G588" s="77">
        <f>SUMIFS(PARÂMETROS!$F$8:$F$907,PARÂMETROS!$A$8:$A$907,C588,PARÂMETROS!$G$8:$G$907,J588)</f>
        <v/>
      </c>
      <c r="H588" s="109">
        <f>IFERROR(F588*G588,0)</f>
        <v/>
      </c>
      <c r="I588" s="109">
        <f>F588+H588</f>
        <v/>
      </c>
      <c r="J588" s="106" t="inlineStr">
        <is>
          <t>Julho/2026</t>
        </is>
      </c>
    </row>
    <row r="589" hidden="1" ht="14.25" customHeight="1" s="64">
      <c r="A589" s="74" t="inlineStr">
        <is>
          <t>Oficina</t>
        </is>
      </c>
      <c r="B589" s="83">
        <f>INDEX(SETORES!$B:$B,MATCH(A589,SETORES!$A:$A,0))</f>
        <v/>
      </c>
      <c r="C589" s="74" t="inlineStr">
        <is>
          <t>Empresa Licenciada VOICENET</t>
        </is>
      </c>
      <c r="D589" s="72">
        <f>IF(B589="Clientes",SUMIFS(PARÂMETROS!$D$8:$D$907,PARÂMETROS!$A$8:$A$907,C589,PARÂMETROS!$G$8:$G$907,J589),SUMIFS(PARÂMETROS!$E$8:$E$907,PARÂMETROS!$A$8:$A$907,C589,PARÂMETROS!$G$8:$G$907,J589))</f>
        <v/>
      </c>
      <c r="E589" s="84">
        <f>SUMIFS(SETORES!$D:$D,SETORES!$A:$A,A589,SETORES!$F:$F,J589)</f>
        <v/>
      </c>
      <c r="F589" s="84">
        <f>IFERROR(D589*E589,0)</f>
        <v/>
      </c>
      <c r="G589" s="72">
        <f>SUMIFS(PARÂMETROS!$F$8:$F$907,PARÂMETROS!$A$8:$A$907,C589,PARÂMETROS!$G$8:$G$907,J589)</f>
        <v/>
      </c>
      <c r="H589" s="84">
        <f>IFERROR(F589*G589,0)</f>
        <v/>
      </c>
      <c r="I589" s="84">
        <f>F589+H589</f>
        <v/>
      </c>
      <c r="J589" s="74" t="inlineStr">
        <is>
          <t>Julho/2026</t>
        </is>
      </c>
    </row>
    <row r="590" hidden="1" ht="14.25" customHeight="1" s="64">
      <c r="A590" s="106" t="inlineStr">
        <is>
          <t>Oficina</t>
        </is>
      </c>
      <c r="B590" s="106">
        <f>INDEX(SETORES!$B:$B,MATCH(A590,SETORES!$A:$A,0))</f>
        <v/>
      </c>
      <c r="C590" s="106" t="inlineStr">
        <is>
          <t>DTEL (uso próprio)</t>
        </is>
      </c>
      <c r="D590" s="77">
        <f>IF(B590="Clientes",SUMIFS(PARÂMETROS!$D$8:$D$907,PARÂMETROS!$A$8:$A$907,C590,PARÂMETROS!$G$8:$G$907,J590),SUMIFS(PARÂMETROS!$E$8:$E$907,PARÂMETROS!$A$8:$A$907,C590,PARÂMETROS!$G$8:$G$907,J590))</f>
        <v/>
      </c>
      <c r="E590" s="109">
        <f>SUMIFS(SETORES!$D:$D,SETORES!$A:$A,A590,SETORES!$F:$F,J590)</f>
        <v/>
      </c>
      <c r="F590" s="109">
        <f>IFERROR(D590*E590,0)</f>
        <v/>
      </c>
      <c r="G590" s="77">
        <f>SUMIFS(PARÂMETROS!$F$8:$F$907,PARÂMETROS!$A$8:$A$907,C590,PARÂMETROS!$G$8:$G$907,J590)</f>
        <v/>
      </c>
      <c r="H590" s="109">
        <f>IFERROR(F590*G590,0)</f>
        <v/>
      </c>
      <c r="I590" s="109">
        <f>F590+H590</f>
        <v/>
      </c>
      <c r="J590" s="106" t="inlineStr">
        <is>
          <t>Julho/2026</t>
        </is>
      </c>
    </row>
    <row r="591" hidden="1" ht="14.25" customHeight="1" s="64">
      <c r="A591" s="74" t="inlineStr">
        <is>
          <t>Estoque</t>
        </is>
      </c>
      <c r="B591" s="83">
        <f>INDEX(SETORES!$B:$B,MATCH(A591,SETORES!$A:$A,0))</f>
        <v/>
      </c>
      <c r="C591" s="74" t="inlineStr">
        <is>
          <t>Empresa Licenciada DX2</t>
        </is>
      </c>
      <c r="D591" s="72">
        <f>IF(B591="Clientes",SUMIFS(PARÂMETROS!$D$8:$D$907,PARÂMETROS!$A$8:$A$907,C591,PARÂMETROS!$G$8:$G$907,J591),SUMIFS(PARÂMETROS!$E$8:$E$907,PARÂMETROS!$A$8:$A$907,C591,PARÂMETROS!$G$8:$G$907,J591))</f>
        <v/>
      </c>
      <c r="E591" s="84">
        <f>SUMIFS(SETORES!$D:$D,SETORES!$A:$A,A591,SETORES!$F:$F,J591)</f>
        <v/>
      </c>
      <c r="F591" s="84">
        <f>IFERROR(D591*E591,0)</f>
        <v/>
      </c>
      <c r="G591" s="72">
        <f>SUMIFS(PARÂMETROS!$F$8:$F$907,PARÂMETROS!$A$8:$A$907,C591,PARÂMETROS!$G$8:$G$907,J591)</f>
        <v/>
      </c>
      <c r="H591" s="84">
        <f>IFERROR(F591*G591,0)</f>
        <v/>
      </c>
      <c r="I591" s="84">
        <f>F591+H591</f>
        <v/>
      </c>
      <c r="J591" s="74" t="inlineStr">
        <is>
          <t>Julho/2026</t>
        </is>
      </c>
    </row>
    <row r="592" hidden="1" ht="14.25" customHeight="1" s="64">
      <c r="A592" s="106" t="inlineStr">
        <is>
          <t>Estoque</t>
        </is>
      </c>
      <c r="B592" s="106">
        <f>INDEX(SETORES!$B:$B,MATCH(A592,SETORES!$A:$A,0))</f>
        <v/>
      </c>
      <c r="C592" s="106" t="inlineStr">
        <is>
          <t>Empresa Licenciada H&amp;A</t>
        </is>
      </c>
      <c r="D592" s="77">
        <f>IF(B592="Clientes",SUMIFS(PARÂMETROS!$D$8:$D$907,PARÂMETROS!$A$8:$A$907,C592,PARÂMETROS!$G$8:$G$907,J592),SUMIFS(PARÂMETROS!$E$8:$E$907,PARÂMETROS!$A$8:$A$907,C592,PARÂMETROS!$G$8:$G$907,J592))</f>
        <v/>
      </c>
      <c r="E592" s="109">
        <f>SUMIFS(SETORES!$D:$D,SETORES!$A:$A,A592,SETORES!$F:$F,J592)</f>
        <v/>
      </c>
      <c r="F592" s="109">
        <f>IFERROR(D592*E592,0)</f>
        <v/>
      </c>
      <c r="G592" s="77">
        <f>SUMIFS(PARÂMETROS!$F$8:$F$907,PARÂMETROS!$A$8:$A$907,C592,PARÂMETROS!$G$8:$G$907,J592)</f>
        <v/>
      </c>
      <c r="H592" s="109">
        <f>IFERROR(F592*G592,0)</f>
        <v/>
      </c>
      <c r="I592" s="109">
        <f>F592+H592</f>
        <v/>
      </c>
      <c r="J592" s="106" t="inlineStr">
        <is>
          <t>Julho/2026</t>
        </is>
      </c>
    </row>
    <row r="593" hidden="1" ht="14.25" customHeight="1" s="64">
      <c r="A593" s="74" t="inlineStr">
        <is>
          <t>Estoque</t>
        </is>
      </c>
      <c r="B593" s="83">
        <f>INDEX(SETORES!$B:$B,MATCH(A593,SETORES!$A:$A,0))</f>
        <v/>
      </c>
      <c r="C593" s="74" t="inlineStr">
        <is>
          <t>Empresa Licenciada SOLON ARAUJO</t>
        </is>
      </c>
      <c r="D593" s="72">
        <f>IF(B593="Clientes",SUMIFS(PARÂMETROS!$D$8:$D$907,PARÂMETROS!$A$8:$A$907,C593,PARÂMETROS!$G$8:$G$907,J593),SUMIFS(PARÂMETROS!$E$8:$E$907,PARÂMETROS!$A$8:$A$907,C593,PARÂMETROS!$G$8:$G$907,J593))</f>
        <v/>
      </c>
      <c r="E593" s="84">
        <f>SUMIFS(SETORES!$D:$D,SETORES!$A:$A,A593,SETORES!$F:$F,J593)</f>
        <v/>
      </c>
      <c r="F593" s="84">
        <f>IFERROR(D593*E593,0)</f>
        <v/>
      </c>
      <c r="G593" s="72">
        <f>SUMIFS(PARÂMETROS!$F$8:$F$907,PARÂMETROS!$A$8:$A$907,C593,PARÂMETROS!$G$8:$G$907,J593)</f>
        <v/>
      </c>
      <c r="H593" s="84">
        <f>IFERROR(F593*G593,0)</f>
        <v/>
      </c>
      <c r="I593" s="84">
        <f>F593+H593</f>
        <v/>
      </c>
      <c r="J593" s="74" t="inlineStr">
        <is>
          <t>Julho/2026</t>
        </is>
      </c>
    </row>
    <row r="594" ht="14.25" customHeight="1" s="64">
      <c r="A594" s="106" t="inlineStr">
        <is>
          <t>Estoque</t>
        </is>
      </c>
      <c r="B594" s="106">
        <f>INDEX(SETORES!$B:$B,MATCH(A594,SETORES!$A:$A,0))</f>
        <v/>
      </c>
      <c r="C594" s="106" t="inlineStr">
        <is>
          <t>Empresa Licenciada SOARES E LINS</t>
        </is>
      </c>
      <c r="D594" s="77">
        <f>IF(B594="Clientes",SUMIFS(PARÂMETROS!$D$8:$D$907,PARÂMETROS!$A$8:$A$907,C594,PARÂMETROS!$G$8:$G$907,J594),SUMIFS(PARÂMETROS!$E$8:$E$907,PARÂMETROS!$A$8:$A$907,C594,PARÂMETROS!$G$8:$G$907,J594))</f>
        <v/>
      </c>
      <c r="E594" s="109">
        <f>SUMIFS(SETORES!$D:$D,SETORES!$A:$A,A594,SETORES!$F:$F,J594)</f>
        <v/>
      </c>
      <c r="F594" s="109">
        <f>IFERROR(D594*E594,0)</f>
        <v/>
      </c>
      <c r="G594" s="77">
        <f>SUMIFS(PARÂMETROS!$F$8:$F$907,PARÂMETROS!$A$8:$A$907,C594,PARÂMETROS!$G$8:$G$907,J594)</f>
        <v/>
      </c>
      <c r="H594" s="109">
        <f>IFERROR(F594*G594,0)</f>
        <v/>
      </c>
      <c r="I594" s="109">
        <f>F594+H594</f>
        <v/>
      </c>
      <c r="J594" s="106" t="inlineStr">
        <is>
          <t>Julho/2026</t>
        </is>
      </c>
    </row>
    <row r="595" hidden="1" ht="14.25" customHeight="1" s="64">
      <c r="A595" s="74" t="inlineStr">
        <is>
          <t>Estoque</t>
        </is>
      </c>
      <c r="B595" s="83">
        <f>INDEX(SETORES!$B:$B,MATCH(A595,SETORES!$A:$A,0))</f>
        <v/>
      </c>
      <c r="C595" s="74" t="inlineStr">
        <is>
          <t>Empresa Licenciada SOARES E SILVA</t>
        </is>
      </c>
      <c r="D595" s="72">
        <f>IF(B595="Clientes",SUMIFS(PARÂMETROS!$D$8:$D$907,PARÂMETROS!$A$8:$A$907,C595,PARÂMETROS!$G$8:$G$907,J595),SUMIFS(PARÂMETROS!$E$8:$E$907,PARÂMETROS!$A$8:$A$907,C595,PARÂMETROS!$G$8:$G$907,J595))</f>
        <v/>
      </c>
      <c r="E595" s="84">
        <f>SUMIFS(SETORES!$D:$D,SETORES!$A:$A,A595,SETORES!$F:$F,J595)</f>
        <v/>
      </c>
      <c r="F595" s="84">
        <f>IFERROR(D595*E595,0)</f>
        <v/>
      </c>
      <c r="G595" s="72">
        <f>SUMIFS(PARÂMETROS!$F$8:$F$907,PARÂMETROS!$A$8:$A$907,C595,PARÂMETROS!$G$8:$G$907,J595)</f>
        <v/>
      </c>
      <c r="H595" s="84">
        <f>IFERROR(F595*G595,0)</f>
        <v/>
      </c>
      <c r="I595" s="84">
        <f>F595+H595</f>
        <v/>
      </c>
      <c r="J595" s="74" t="inlineStr">
        <is>
          <t>Julho/2026</t>
        </is>
      </c>
    </row>
    <row r="596" hidden="1" ht="14.25" customHeight="1" s="64">
      <c r="A596" s="106" t="inlineStr">
        <is>
          <t>Estoque</t>
        </is>
      </c>
      <c r="B596" s="106">
        <f>INDEX(SETORES!$B:$B,MATCH(A596,SETORES!$A:$A,0))</f>
        <v/>
      </c>
      <c r="C596" s="106" t="inlineStr">
        <is>
          <t>Empresa Licenciada SOUZA E SILVA</t>
        </is>
      </c>
      <c r="D596" s="77">
        <f>IF(B596="Clientes",SUMIFS(PARÂMETROS!$D$8:$D$907,PARÂMETROS!$A$8:$A$907,C596,PARÂMETROS!$G$8:$G$907,J596),SUMIFS(PARÂMETROS!$E$8:$E$907,PARÂMETROS!$A$8:$A$907,C596,PARÂMETROS!$G$8:$G$907,J596))</f>
        <v/>
      </c>
      <c r="E596" s="109">
        <f>SUMIFS(SETORES!$D:$D,SETORES!$A:$A,A596,SETORES!$F:$F,J596)</f>
        <v/>
      </c>
      <c r="F596" s="109">
        <f>IFERROR(D596*E596,0)</f>
        <v/>
      </c>
      <c r="G596" s="77">
        <f>SUMIFS(PARÂMETROS!$F$8:$F$907,PARÂMETROS!$A$8:$A$907,C596,PARÂMETROS!$G$8:$G$907,J596)</f>
        <v/>
      </c>
      <c r="H596" s="109">
        <f>IFERROR(F596*G596,0)</f>
        <v/>
      </c>
      <c r="I596" s="109">
        <f>F596+H596</f>
        <v/>
      </c>
      <c r="J596" s="106" t="inlineStr">
        <is>
          <t>Julho/2026</t>
        </is>
      </c>
    </row>
    <row r="597" hidden="1" ht="14.25" customHeight="1" s="64">
      <c r="A597" s="74" t="inlineStr">
        <is>
          <t>Estoque</t>
        </is>
      </c>
      <c r="B597" s="83">
        <f>INDEX(SETORES!$B:$B,MATCH(A597,SETORES!$A:$A,0))</f>
        <v/>
      </c>
      <c r="C597" s="74" t="inlineStr">
        <is>
          <t>Empresa Licenciada VOICENET</t>
        </is>
      </c>
      <c r="D597" s="72">
        <f>IF(B597="Clientes",SUMIFS(PARÂMETROS!$D$8:$D$907,PARÂMETROS!$A$8:$A$907,C597,PARÂMETROS!$G$8:$G$907,J597),SUMIFS(PARÂMETROS!$E$8:$E$907,PARÂMETROS!$A$8:$A$907,C597,PARÂMETROS!$G$8:$G$907,J597))</f>
        <v/>
      </c>
      <c r="E597" s="84">
        <f>SUMIFS(SETORES!$D:$D,SETORES!$A:$A,A597,SETORES!$F:$F,J597)</f>
        <v/>
      </c>
      <c r="F597" s="84">
        <f>IFERROR(D597*E597,0)</f>
        <v/>
      </c>
      <c r="G597" s="72">
        <f>SUMIFS(PARÂMETROS!$F$8:$F$907,PARÂMETROS!$A$8:$A$907,C597,PARÂMETROS!$G$8:$G$907,J597)</f>
        <v/>
      </c>
      <c r="H597" s="84">
        <f>IFERROR(F597*G597,0)</f>
        <v/>
      </c>
      <c r="I597" s="84">
        <f>F597+H597</f>
        <v/>
      </c>
      <c r="J597" s="74" t="inlineStr">
        <is>
          <t>Julho/2026</t>
        </is>
      </c>
    </row>
    <row r="598" hidden="1" ht="14.25" customHeight="1" s="64">
      <c r="A598" s="106" t="inlineStr">
        <is>
          <t>Estoque</t>
        </is>
      </c>
      <c r="B598" s="106">
        <f>INDEX(SETORES!$B:$B,MATCH(A598,SETORES!$A:$A,0))</f>
        <v/>
      </c>
      <c r="C598" s="106" t="inlineStr">
        <is>
          <t>DTEL (uso próprio)</t>
        </is>
      </c>
      <c r="D598" s="77">
        <f>IF(B598="Clientes",SUMIFS(PARÂMETROS!$D$8:$D$907,PARÂMETROS!$A$8:$A$907,C598,PARÂMETROS!$G$8:$G$907,J598),SUMIFS(PARÂMETROS!$E$8:$E$907,PARÂMETROS!$A$8:$A$907,C598,PARÂMETROS!$G$8:$G$907,J598))</f>
        <v/>
      </c>
      <c r="E598" s="109">
        <f>SUMIFS(SETORES!$D:$D,SETORES!$A:$A,A598,SETORES!$F:$F,J598)</f>
        <v/>
      </c>
      <c r="F598" s="109">
        <f>IFERROR(D598*E598,0)</f>
        <v/>
      </c>
      <c r="G598" s="77">
        <f>SUMIFS(PARÂMETROS!$F$8:$F$907,PARÂMETROS!$A$8:$A$907,C598,PARÂMETROS!$G$8:$G$907,J598)</f>
        <v/>
      </c>
      <c r="H598" s="109">
        <f>IFERROR(F598*G598,0)</f>
        <v/>
      </c>
      <c r="I598" s="109">
        <f>F598+H598</f>
        <v/>
      </c>
      <c r="J598" s="106" t="inlineStr">
        <is>
          <t>Julho/2026</t>
        </is>
      </c>
    </row>
    <row r="599" hidden="1" ht="14.25" customHeight="1" s="64">
      <c r="A599" s="74" t="inlineStr">
        <is>
          <t>Televendas</t>
        </is>
      </c>
      <c r="B599" s="83">
        <f>INDEX(SETORES!$B:$B,MATCH(A599,SETORES!$A:$A,0))</f>
        <v/>
      </c>
      <c r="C599" s="74" t="inlineStr">
        <is>
          <t>Empresa Licenciada DX2</t>
        </is>
      </c>
      <c r="D599" s="72">
        <f>IF(B599="Clientes",SUMIFS(PARÂMETROS!$D$8:$D$907,PARÂMETROS!$A$8:$A$907,C599,PARÂMETROS!$G$8:$G$907,J599),SUMIFS(PARÂMETROS!$E$8:$E$907,PARÂMETROS!$A$8:$A$907,C599,PARÂMETROS!$G$8:$G$907,J599))</f>
        <v/>
      </c>
      <c r="E599" s="84">
        <f>SUMIFS(SETORES!$D:$D,SETORES!$A:$A,A599,SETORES!$F:$F,J599)</f>
        <v/>
      </c>
      <c r="F599" s="84">
        <f>IFERROR(D599*E599,0)</f>
        <v/>
      </c>
      <c r="G599" s="72">
        <f>SUMIFS(PARÂMETROS!$F$8:$F$907,PARÂMETROS!$A$8:$A$907,C599,PARÂMETROS!$G$8:$G$907,J599)</f>
        <v/>
      </c>
      <c r="H599" s="84">
        <f>IFERROR(F599*G599,0)</f>
        <v/>
      </c>
      <c r="I599" s="84">
        <f>F599+H599</f>
        <v/>
      </c>
      <c r="J599" s="74" t="inlineStr">
        <is>
          <t>Julho/2026</t>
        </is>
      </c>
    </row>
    <row r="600" hidden="1" ht="14.25" customHeight="1" s="64">
      <c r="A600" s="106" t="inlineStr">
        <is>
          <t>Televendas</t>
        </is>
      </c>
      <c r="B600" s="106">
        <f>INDEX(SETORES!$B:$B,MATCH(A600,SETORES!$A:$A,0))</f>
        <v/>
      </c>
      <c r="C600" s="106" t="inlineStr">
        <is>
          <t>Empresa Licenciada H&amp;A</t>
        </is>
      </c>
      <c r="D600" s="77">
        <f>IF(B600="Clientes",SUMIFS(PARÂMETROS!$D$8:$D$907,PARÂMETROS!$A$8:$A$907,C600,PARÂMETROS!$G$8:$G$907,J600),SUMIFS(PARÂMETROS!$E$8:$E$907,PARÂMETROS!$A$8:$A$907,C600,PARÂMETROS!$G$8:$G$907,J600))</f>
        <v/>
      </c>
      <c r="E600" s="109">
        <f>SUMIFS(SETORES!$D:$D,SETORES!$A:$A,A600,SETORES!$F:$F,J600)</f>
        <v/>
      </c>
      <c r="F600" s="109">
        <f>IFERROR(D600*E600,0)</f>
        <v/>
      </c>
      <c r="G600" s="77">
        <f>SUMIFS(PARÂMETROS!$F$8:$F$907,PARÂMETROS!$A$8:$A$907,C600,PARÂMETROS!$G$8:$G$907,J600)</f>
        <v/>
      </c>
      <c r="H600" s="109">
        <f>IFERROR(F600*G600,0)</f>
        <v/>
      </c>
      <c r="I600" s="109">
        <f>F600+H600</f>
        <v/>
      </c>
      <c r="J600" s="106" t="inlineStr">
        <is>
          <t>Julho/2026</t>
        </is>
      </c>
    </row>
    <row r="601" hidden="1" ht="14.25" customHeight="1" s="64">
      <c r="A601" s="74" t="inlineStr">
        <is>
          <t>Televendas</t>
        </is>
      </c>
      <c r="B601" s="83">
        <f>INDEX(SETORES!$B:$B,MATCH(A601,SETORES!$A:$A,0))</f>
        <v/>
      </c>
      <c r="C601" s="74" t="inlineStr">
        <is>
          <t>Empresa Licenciada SOLON ARAUJO</t>
        </is>
      </c>
      <c r="D601" s="72">
        <f>IF(B601="Clientes",SUMIFS(PARÂMETROS!$D$8:$D$907,PARÂMETROS!$A$8:$A$907,C601,PARÂMETROS!$G$8:$G$907,J601),SUMIFS(PARÂMETROS!$E$8:$E$907,PARÂMETROS!$A$8:$A$907,C601,PARÂMETROS!$G$8:$G$907,J601))</f>
        <v/>
      </c>
      <c r="E601" s="84">
        <f>SUMIFS(SETORES!$D:$D,SETORES!$A:$A,A601,SETORES!$F:$F,J601)</f>
        <v/>
      </c>
      <c r="F601" s="84">
        <f>IFERROR(D601*E601,0)</f>
        <v/>
      </c>
      <c r="G601" s="72">
        <f>SUMIFS(PARÂMETROS!$F$8:$F$907,PARÂMETROS!$A$8:$A$907,C601,PARÂMETROS!$G$8:$G$907,J601)</f>
        <v/>
      </c>
      <c r="H601" s="84">
        <f>IFERROR(F601*G601,0)</f>
        <v/>
      </c>
      <c r="I601" s="84">
        <f>F601+H601</f>
        <v/>
      </c>
      <c r="J601" s="74" t="inlineStr">
        <is>
          <t>Julho/2026</t>
        </is>
      </c>
    </row>
    <row r="602" ht="14.25" customHeight="1" s="64">
      <c r="A602" s="106" t="inlineStr">
        <is>
          <t>Televendas</t>
        </is>
      </c>
      <c r="B602" s="106">
        <f>INDEX(SETORES!$B:$B,MATCH(A602,SETORES!$A:$A,0))</f>
        <v/>
      </c>
      <c r="C602" s="106" t="inlineStr">
        <is>
          <t>Empresa Licenciada SOARES E LINS</t>
        </is>
      </c>
      <c r="D602" s="77">
        <f>IF(B602="Clientes",SUMIFS(PARÂMETROS!$D$8:$D$907,PARÂMETROS!$A$8:$A$907,C602,PARÂMETROS!$G$8:$G$907,J602),SUMIFS(PARÂMETROS!$E$8:$E$907,PARÂMETROS!$A$8:$A$907,C602,PARÂMETROS!$G$8:$G$907,J602))</f>
        <v/>
      </c>
      <c r="E602" s="109">
        <f>SUMIFS(SETORES!$D:$D,SETORES!$A:$A,A602,SETORES!$F:$F,J602)</f>
        <v/>
      </c>
      <c r="F602" s="109">
        <f>IFERROR(D602*E602,0)</f>
        <v/>
      </c>
      <c r="G602" s="77">
        <f>SUMIFS(PARÂMETROS!$F$8:$F$907,PARÂMETROS!$A$8:$A$907,C602,PARÂMETROS!$G$8:$G$907,J602)</f>
        <v/>
      </c>
      <c r="H602" s="109">
        <f>IFERROR(F602*G602,0)</f>
        <v/>
      </c>
      <c r="I602" s="109">
        <f>F602+H602</f>
        <v/>
      </c>
      <c r="J602" s="106" t="inlineStr">
        <is>
          <t>Julho/2026</t>
        </is>
      </c>
    </row>
    <row r="603" hidden="1" ht="14.25" customHeight="1" s="64">
      <c r="A603" s="74" t="inlineStr">
        <is>
          <t>Televendas</t>
        </is>
      </c>
      <c r="B603" s="83">
        <f>INDEX(SETORES!$B:$B,MATCH(A603,SETORES!$A:$A,0))</f>
        <v/>
      </c>
      <c r="C603" s="74" t="inlineStr">
        <is>
          <t>Empresa Licenciada SOARES E SILVA</t>
        </is>
      </c>
      <c r="D603" s="72">
        <f>IF(B603="Clientes",SUMIFS(PARÂMETROS!$D$8:$D$907,PARÂMETROS!$A$8:$A$907,C603,PARÂMETROS!$G$8:$G$907,J603),SUMIFS(PARÂMETROS!$E$8:$E$907,PARÂMETROS!$A$8:$A$907,C603,PARÂMETROS!$G$8:$G$907,J603))</f>
        <v/>
      </c>
      <c r="E603" s="84">
        <f>SUMIFS(SETORES!$D:$D,SETORES!$A:$A,A603,SETORES!$F:$F,J603)</f>
        <v/>
      </c>
      <c r="F603" s="84">
        <f>IFERROR(D603*E603,0)</f>
        <v/>
      </c>
      <c r="G603" s="72">
        <f>SUMIFS(PARÂMETROS!$F$8:$F$907,PARÂMETROS!$A$8:$A$907,C603,PARÂMETROS!$G$8:$G$907,J603)</f>
        <v/>
      </c>
      <c r="H603" s="84">
        <f>IFERROR(F603*G603,0)</f>
        <v/>
      </c>
      <c r="I603" s="84">
        <f>F603+H603</f>
        <v/>
      </c>
      <c r="J603" s="74" t="inlineStr">
        <is>
          <t>Julho/2026</t>
        </is>
      </c>
    </row>
    <row r="604" hidden="1" ht="14.25" customHeight="1" s="64">
      <c r="A604" s="106" t="inlineStr">
        <is>
          <t>Televendas</t>
        </is>
      </c>
      <c r="B604" s="106">
        <f>INDEX(SETORES!$B:$B,MATCH(A604,SETORES!$A:$A,0))</f>
        <v/>
      </c>
      <c r="C604" s="106" t="inlineStr">
        <is>
          <t>Empresa Licenciada SOUZA E SILVA</t>
        </is>
      </c>
      <c r="D604" s="77">
        <f>IF(B604="Clientes",SUMIFS(PARÂMETROS!$D$8:$D$907,PARÂMETROS!$A$8:$A$907,C604,PARÂMETROS!$G$8:$G$907,J604),SUMIFS(PARÂMETROS!$E$8:$E$907,PARÂMETROS!$A$8:$A$907,C604,PARÂMETROS!$G$8:$G$907,J604))</f>
        <v/>
      </c>
      <c r="E604" s="109">
        <f>SUMIFS(SETORES!$D:$D,SETORES!$A:$A,A604,SETORES!$F:$F,J604)</f>
        <v/>
      </c>
      <c r="F604" s="109">
        <f>IFERROR(D604*E604,0)</f>
        <v/>
      </c>
      <c r="G604" s="77">
        <f>SUMIFS(PARÂMETROS!$F$8:$F$907,PARÂMETROS!$A$8:$A$907,C604,PARÂMETROS!$G$8:$G$907,J604)</f>
        <v/>
      </c>
      <c r="H604" s="109">
        <f>IFERROR(F604*G604,0)</f>
        <v/>
      </c>
      <c r="I604" s="109">
        <f>F604+H604</f>
        <v/>
      </c>
      <c r="J604" s="106" t="inlineStr">
        <is>
          <t>Julho/2026</t>
        </is>
      </c>
    </row>
    <row r="605" hidden="1" ht="14.25" customHeight="1" s="64">
      <c r="A605" s="74" t="inlineStr">
        <is>
          <t>Televendas</t>
        </is>
      </c>
      <c r="B605" s="83">
        <f>INDEX(SETORES!$B:$B,MATCH(A605,SETORES!$A:$A,0))</f>
        <v/>
      </c>
      <c r="C605" s="74" t="inlineStr">
        <is>
          <t>Empresa Licenciada VOICENET</t>
        </is>
      </c>
      <c r="D605" s="72">
        <f>IF(B605="Clientes",SUMIFS(PARÂMETROS!$D$8:$D$907,PARÂMETROS!$A$8:$A$907,C605,PARÂMETROS!$G$8:$G$907,J605),SUMIFS(PARÂMETROS!$E$8:$E$907,PARÂMETROS!$A$8:$A$907,C605,PARÂMETROS!$G$8:$G$907,J605))</f>
        <v/>
      </c>
      <c r="E605" s="84">
        <f>SUMIFS(SETORES!$D:$D,SETORES!$A:$A,A605,SETORES!$F:$F,J605)</f>
        <v/>
      </c>
      <c r="F605" s="84">
        <f>IFERROR(D605*E605,0)</f>
        <v/>
      </c>
      <c r="G605" s="72">
        <f>SUMIFS(PARÂMETROS!$F$8:$F$907,PARÂMETROS!$A$8:$A$907,C605,PARÂMETROS!$G$8:$G$907,J605)</f>
        <v/>
      </c>
      <c r="H605" s="84">
        <f>IFERROR(F605*G605,0)</f>
        <v/>
      </c>
      <c r="I605" s="84">
        <f>F605+H605</f>
        <v/>
      </c>
      <c r="J605" s="74" t="inlineStr">
        <is>
          <t>Julho/2026</t>
        </is>
      </c>
    </row>
    <row r="606" hidden="1" ht="14.25" customHeight="1" s="64">
      <c r="A606" s="106" t="inlineStr">
        <is>
          <t>Televendas</t>
        </is>
      </c>
      <c r="B606" s="106">
        <f>INDEX(SETORES!$B:$B,MATCH(A606,SETORES!$A:$A,0))</f>
        <v/>
      </c>
      <c r="C606" s="106" t="inlineStr">
        <is>
          <t>DTEL (uso próprio)</t>
        </is>
      </c>
      <c r="D606" s="77">
        <f>IF(B606="Clientes",SUMIFS(PARÂMETROS!$D$8:$D$907,PARÂMETROS!$A$8:$A$907,C606,PARÂMETROS!$G$8:$G$907,J606),SUMIFS(PARÂMETROS!$E$8:$E$907,PARÂMETROS!$A$8:$A$907,C606,PARÂMETROS!$G$8:$G$907,J606))</f>
        <v/>
      </c>
      <c r="E606" s="109">
        <f>SUMIFS(SETORES!$D:$D,SETORES!$A:$A,A606,SETORES!$F:$F,J606)</f>
        <v/>
      </c>
      <c r="F606" s="109">
        <f>IFERROR(D606*E606,0)</f>
        <v/>
      </c>
      <c r="G606" s="77">
        <f>SUMIFS(PARÂMETROS!$F$8:$F$907,PARÂMETROS!$A$8:$A$907,C606,PARÂMETROS!$G$8:$G$907,J606)</f>
        <v/>
      </c>
      <c r="H606" s="109">
        <f>IFERROR(F606*G606,0)</f>
        <v/>
      </c>
      <c r="I606" s="109">
        <f>F606+H606</f>
        <v/>
      </c>
      <c r="J606" s="106" t="inlineStr">
        <is>
          <t>Julho/2026</t>
        </is>
      </c>
    </row>
    <row r="607" hidden="1" ht="14.25" customHeight="1" s="64">
      <c r="A607" s="74" t="inlineStr">
        <is>
          <t>Suporte Orbix</t>
        </is>
      </c>
      <c r="B607" s="83">
        <f>INDEX(SETORES!$B:$B,MATCH(A607,SETORES!$A:$A,0))</f>
        <v/>
      </c>
      <c r="C607" s="74" t="inlineStr">
        <is>
          <t>Empresa Licenciada DX2</t>
        </is>
      </c>
      <c r="D607" s="72">
        <f>IF(B607="Clientes",SUMIFS(PARÂMETROS!$D$8:$D$907,PARÂMETROS!$A$8:$A$907,C607,PARÂMETROS!$G$8:$G$907,J607),SUMIFS(PARÂMETROS!$E$8:$E$907,PARÂMETROS!$A$8:$A$907,C607,PARÂMETROS!$G$8:$G$907,J607))</f>
        <v/>
      </c>
      <c r="E607" s="84">
        <f>SUMIFS(SETORES!$D:$D,SETORES!$A:$A,A607,SETORES!$F:$F,J607)</f>
        <v/>
      </c>
      <c r="F607" s="84">
        <f>IFERROR(D607*E607,0)</f>
        <v/>
      </c>
      <c r="G607" s="72">
        <f>SUMIFS(PARÂMETROS!$F$8:$F$907,PARÂMETROS!$A$8:$A$907,C607,PARÂMETROS!$G$8:$G$907,J607)</f>
        <v/>
      </c>
      <c r="H607" s="84">
        <f>IFERROR(F607*G607,0)</f>
        <v/>
      </c>
      <c r="I607" s="84">
        <f>F607+H607</f>
        <v/>
      </c>
      <c r="J607" s="74" t="inlineStr">
        <is>
          <t>Julho/2026</t>
        </is>
      </c>
    </row>
    <row r="608" hidden="1" ht="14.25" customHeight="1" s="64">
      <c r="A608" s="106" t="inlineStr">
        <is>
          <t>Suporte Orbix</t>
        </is>
      </c>
      <c r="B608" s="106">
        <f>INDEX(SETORES!$B:$B,MATCH(A608,SETORES!$A:$A,0))</f>
        <v/>
      </c>
      <c r="C608" s="106" t="inlineStr">
        <is>
          <t>Empresa Licenciada H&amp;A</t>
        </is>
      </c>
      <c r="D608" s="77">
        <f>IF(B608="Clientes",SUMIFS(PARÂMETROS!$D$8:$D$907,PARÂMETROS!$A$8:$A$907,C608,PARÂMETROS!$G$8:$G$907,J608),SUMIFS(PARÂMETROS!$E$8:$E$907,PARÂMETROS!$A$8:$A$907,C608,PARÂMETROS!$G$8:$G$907,J608))</f>
        <v/>
      </c>
      <c r="E608" s="109">
        <f>SUMIFS(SETORES!$D:$D,SETORES!$A:$A,A608,SETORES!$F:$F,J608)</f>
        <v/>
      </c>
      <c r="F608" s="109">
        <f>IFERROR(D608*E608,0)</f>
        <v/>
      </c>
      <c r="G608" s="77">
        <f>SUMIFS(PARÂMETROS!$F$8:$F$907,PARÂMETROS!$A$8:$A$907,C608,PARÂMETROS!$G$8:$G$907,J608)</f>
        <v/>
      </c>
      <c r="H608" s="109">
        <f>IFERROR(F608*G608,0)</f>
        <v/>
      </c>
      <c r="I608" s="109">
        <f>F608+H608</f>
        <v/>
      </c>
      <c r="J608" s="106" t="inlineStr">
        <is>
          <t>Julho/2026</t>
        </is>
      </c>
    </row>
    <row r="609" hidden="1" ht="14.25" customHeight="1" s="64">
      <c r="A609" s="74" t="inlineStr">
        <is>
          <t>Suporte Orbix</t>
        </is>
      </c>
      <c r="B609" s="83">
        <f>INDEX(SETORES!$B:$B,MATCH(A609,SETORES!$A:$A,0))</f>
        <v/>
      </c>
      <c r="C609" s="74" t="inlineStr">
        <is>
          <t>Empresa Licenciada SOLON ARAUJO</t>
        </is>
      </c>
      <c r="D609" s="72">
        <f>IF(B609="Clientes",SUMIFS(PARÂMETROS!$D$8:$D$907,PARÂMETROS!$A$8:$A$907,C609,PARÂMETROS!$G$8:$G$907,J609),SUMIFS(PARÂMETROS!$E$8:$E$907,PARÂMETROS!$A$8:$A$907,C609,PARÂMETROS!$G$8:$G$907,J609))</f>
        <v/>
      </c>
      <c r="E609" s="84">
        <f>SUMIFS(SETORES!$D:$D,SETORES!$A:$A,A609,SETORES!$F:$F,J609)</f>
        <v/>
      </c>
      <c r="F609" s="84">
        <f>IFERROR(D609*E609,0)</f>
        <v/>
      </c>
      <c r="G609" s="72">
        <f>SUMIFS(PARÂMETROS!$F$8:$F$907,PARÂMETROS!$A$8:$A$907,C609,PARÂMETROS!$G$8:$G$907,J609)</f>
        <v/>
      </c>
      <c r="H609" s="84">
        <f>IFERROR(F609*G609,0)</f>
        <v/>
      </c>
      <c r="I609" s="84">
        <f>F609+H609</f>
        <v/>
      </c>
      <c r="J609" s="74" t="inlineStr">
        <is>
          <t>Julho/2026</t>
        </is>
      </c>
    </row>
    <row r="610" ht="14.25" customHeight="1" s="64">
      <c r="A610" s="106" t="inlineStr">
        <is>
          <t>Suporte Orbix</t>
        </is>
      </c>
      <c r="B610" s="106">
        <f>INDEX(SETORES!$B:$B,MATCH(A610,SETORES!$A:$A,0))</f>
        <v/>
      </c>
      <c r="C610" s="106" t="inlineStr">
        <is>
          <t>Empresa Licenciada SOARES E LINS</t>
        </is>
      </c>
      <c r="D610" s="77">
        <f>IF(B610="Clientes",SUMIFS(PARÂMETROS!$D$8:$D$907,PARÂMETROS!$A$8:$A$907,C610,PARÂMETROS!$G$8:$G$907,J610),SUMIFS(PARÂMETROS!$E$8:$E$907,PARÂMETROS!$A$8:$A$907,C610,PARÂMETROS!$G$8:$G$907,J610))</f>
        <v/>
      </c>
      <c r="E610" s="109">
        <f>SUMIFS(SETORES!$D:$D,SETORES!$A:$A,A610,SETORES!$F:$F,J610)</f>
        <v/>
      </c>
      <c r="F610" s="109">
        <f>IFERROR(D610*E610,0)</f>
        <v/>
      </c>
      <c r="G610" s="77">
        <f>SUMIFS(PARÂMETROS!$F$8:$F$907,PARÂMETROS!$A$8:$A$907,C610,PARÂMETROS!$G$8:$G$907,J610)</f>
        <v/>
      </c>
      <c r="H610" s="109">
        <f>IFERROR(F610*G610,0)</f>
        <v/>
      </c>
      <c r="I610" s="109">
        <f>F610+H610</f>
        <v/>
      </c>
      <c r="J610" s="106" t="inlineStr">
        <is>
          <t>Julho/2026</t>
        </is>
      </c>
    </row>
    <row r="611" hidden="1" ht="14.25" customHeight="1" s="64">
      <c r="A611" s="74" t="inlineStr">
        <is>
          <t>Suporte Orbix</t>
        </is>
      </c>
      <c r="B611" s="83">
        <f>INDEX(SETORES!$B:$B,MATCH(A611,SETORES!$A:$A,0))</f>
        <v/>
      </c>
      <c r="C611" s="74" t="inlineStr">
        <is>
          <t>Empresa Licenciada SOARES E SILVA</t>
        </is>
      </c>
      <c r="D611" s="72">
        <f>IF(B611="Clientes",SUMIFS(PARÂMETROS!$D$8:$D$907,PARÂMETROS!$A$8:$A$907,C611,PARÂMETROS!$G$8:$G$907,J611),SUMIFS(PARÂMETROS!$E$8:$E$907,PARÂMETROS!$A$8:$A$907,C611,PARÂMETROS!$G$8:$G$907,J611))</f>
        <v/>
      </c>
      <c r="E611" s="84">
        <f>SUMIFS(SETORES!$D:$D,SETORES!$A:$A,A611,SETORES!$F:$F,J611)</f>
        <v/>
      </c>
      <c r="F611" s="84">
        <f>IFERROR(D611*E611,0)</f>
        <v/>
      </c>
      <c r="G611" s="72">
        <f>SUMIFS(PARÂMETROS!$F$8:$F$907,PARÂMETROS!$A$8:$A$907,C611,PARÂMETROS!$G$8:$G$907,J611)</f>
        <v/>
      </c>
      <c r="H611" s="84">
        <f>IFERROR(F611*G611,0)</f>
        <v/>
      </c>
      <c r="I611" s="84">
        <f>F611+H611</f>
        <v/>
      </c>
      <c r="J611" s="74" t="inlineStr">
        <is>
          <t>Julho/2026</t>
        </is>
      </c>
    </row>
    <row r="612" hidden="1" ht="14.25" customHeight="1" s="64">
      <c r="A612" s="106" t="inlineStr">
        <is>
          <t>Suporte Orbix</t>
        </is>
      </c>
      <c r="B612" s="106">
        <f>INDEX(SETORES!$B:$B,MATCH(A612,SETORES!$A:$A,0))</f>
        <v/>
      </c>
      <c r="C612" s="106" t="inlineStr">
        <is>
          <t>Empresa Licenciada SOUZA E SILVA</t>
        </is>
      </c>
      <c r="D612" s="77">
        <f>IF(B612="Clientes",SUMIFS(PARÂMETROS!$D$8:$D$907,PARÂMETROS!$A$8:$A$907,C612,PARÂMETROS!$G$8:$G$907,J612),SUMIFS(PARÂMETROS!$E$8:$E$907,PARÂMETROS!$A$8:$A$907,C612,PARÂMETROS!$G$8:$G$907,J612))</f>
        <v/>
      </c>
      <c r="E612" s="109">
        <f>SUMIFS(SETORES!$D:$D,SETORES!$A:$A,A612,SETORES!$F:$F,J612)</f>
        <v/>
      </c>
      <c r="F612" s="109">
        <f>IFERROR(D612*E612,0)</f>
        <v/>
      </c>
      <c r="G612" s="77">
        <f>SUMIFS(PARÂMETROS!$F$8:$F$907,PARÂMETROS!$A$8:$A$907,C612,PARÂMETROS!$G$8:$G$907,J612)</f>
        <v/>
      </c>
      <c r="H612" s="109">
        <f>IFERROR(F612*G612,0)</f>
        <v/>
      </c>
      <c r="I612" s="109">
        <f>F612+H612</f>
        <v/>
      </c>
      <c r="J612" s="106" t="inlineStr">
        <is>
          <t>Julho/2026</t>
        </is>
      </c>
    </row>
    <row r="613" hidden="1" ht="14.25" customHeight="1" s="64">
      <c r="A613" s="74" t="inlineStr">
        <is>
          <t>Suporte Orbix</t>
        </is>
      </c>
      <c r="B613" s="83">
        <f>INDEX(SETORES!$B:$B,MATCH(A613,SETORES!$A:$A,0))</f>
        <v/>
      </c>
      <c r="C613" s="74" t="inlineStr">
        <is>
          <t>Empresa Licenciada VOICENET</t>
        </is>
      </c>
      <c r="D613" s="72">
        <f>IF(B613="Clientes",SUMIFS(PARÂMETROS!$D$8:$D$907,PARÂMETROS!$A$8:$A$907,C613,PARÂMETROS!$G$8:$G$907,J613),SUMIFS(PARÂMETROS!$E$8:$E$907,PARÂMETROS!$A$8:$A$907,C613,PARÂMETROS!$G$8:$G$907,J613))</f>
        <v/>
      </c>
      <c r="E613" s="84">
        <f>SUMIFS(SETORES!$D:$D,SETORES!$A:$A,A613,SETORES!$F:$F,J613)</f>
        <v/>
      </c>
      <c r="F613" s="84">
        <f>IFERROR(D613*E613,0)</f>
        <v/>
      </c>
      <c r="G613" s="72">
        <f>SUMIFS(PARÂMETROS!$F$8:$F$907,PARÂMETROS!$A$8:$A$907,C613,PARÂMETROS!$G$8:$G$907,J613)</f>
        <v/>
      </c>
      <c r="H613" s="84">
        <f>IFERROR(F613*G613,0)</f>
        <v/>
      </c>
      <c r="I613" s="84">
        <f>F613+H613</f>
        <v/>
      </c>
      <c r="J613" s="74" t="inlineStr">
        <is>
          <t>Julho/2026</t>
        </is>
      </c>
    </row>
    <row r="614" hidden="1" ht="14.25" customHeight="1" s="64">
      <c r="A614" s="106" t="inlineStr">
        <is>
          <t>Suporte Orbix</t>
        </is>
      </c>
      <c r="B614" s="106">
        <f>INDEX(SETORES!$B:$B,MATCH(A614,SETORES!$A:$A,0))</f>
        <v/>
      </c>
      <c r="C614" s="106" t="inlineStr">
        <is>
          <t>DTEL (uso próprio)</t>
        </is>
      </c>
      <c r="D614" s="77">
        <f>IF(B614="Clientes",SUMIFS(PARÂMETROS!$D$8:$D$907,PARÂMETROS!$A$8:$A$907,C614,PARÂMETROS!$G$8:$G$907,J614),SUMIFS(PARÂMETROS!$E$8:$E$907,PARÂMETROS!$A$8:$A$907,C614,PARÂMETROS!$G$8:$G$907,J614))</f>
        <v/>
      </c>
      <c r="E614" s="109">
        <f>SUMIFS(SETORES!$D:$D,SETORES!$A:$A,A614,SETORES!$F:$F,J614)</f>
        <v/>
      </c>
      <c r="F614" s="109">
        <f>IFERROR(D614*E614,0)</f>
        <v/>
      </c>
      <c r="G614" s="77">
        <f>SUMIFS(PARÂMETROS!$F$8:$F$907,PARÂMETROS!$A$8:$A$907,C614,PARÂMETROS!$G$8:$G$907,J614)</f>
        <v/>
      </c>
      <c r="H614" s="109">
        <f>IFERROR(F614*G614,0)</f>
        <v/>
      </c>
      <c r="I614" s="109">
        <f>F614+H614</f>
        <v/>
      </c>
      <c r="J614" s="106" t="inlineStr">
        <is>
          <t>Julho/2026</t>
        </is>
      </c>
    </row>
    <row r="615" hidden="1" ht="14.25" customHeight="1" s="64">
      <c r="A615" s="74" t="inlineStr">
        <is>
          <t>Suporte da Central</t>
        </is>
      </c>
      <c r="B615" s="83">
        <f>INDEX(SETORES!$B:$B,MATCH(A615,SETORES!$A:$A,0))</f>
        <v/>
      </c>
      <c r="C615" s="74" t="inlineStr">
        <is>
          <t>Empresa Licenciada DX2</t>
        </is>
      </c>
      <c r="D615" s="72">
        <f>IF(B615="Clientes",SUMIFS(PARÂMETROS!$D$8:$D$907,PARÂMETROS!$A$8:$A$907,C615,PARÂMETROS!$G$8:$G$907,J615),SUMIFS(PARÂMETROS!$E$8:$E$907,PARÂMETROS!$A$8:$A$907,C615,PARÂMETROS!$G$8:$G$907,J615))</f>
        <v/>
      </c>
      <c r="E615" s="84">
        <f>SUMIFS(SETORES!$D:$D,SETORES!$A:$A,A615,SETORES!$F:$F,J615)</f>
        <v/>
      </c>
      <c r="F615" s="84">
        <f>IFERROR(D615*E615,0)</f>
        <v/>
      </c>
      <c r="G615" s="72">
        <f>SUMIFS(PARÂMETROS!$F$8:$F$907,PARÂMETROS!$A$8:$A$907,C615,PARÂMETROS!$G$8:$G$907,J615)</f>
        <v/>
      </c>
      <c r="H615" s="84">
        <f>IFERROR(F615*G615,0)</f>
        <v/>
      </c>
      <c r="I615" s="84">
        <f>F615+H615</f>
        <v/>
      </c>
      <c r="J615" s="74" t="inlineStr">
        <is>
          <t>Julho/2026</t>
        </is>
      </c>
    </row>
    <row r="616" hidden="1" ht="14.25" customHeight="1" s="64">
      <c r="A616" s="106" t="inlineStr">
        <is>
          <t>Suporte da Central</t>
        </is>
      </c>
      <c r="B616" s="106">
        <f>INDEX(SETORES!$B:$B,MATCH(A616,SETORES!$A:$A,0))</f>
        <v/>
      </c>
      <c r="C616" s="106" t="inlineStr">
        <is>
          <t>Empresa Licenciada H&amp;A</t>
        </is>
      </c>
      <c r="D616" s="77">
        <f>IF(B616="Clientes",SUMIFS(PARÂMETROS!$D$8:$D$907,PARÂMETROS!$A$8:$A$907,C616,PARÂMETROS!$G$8:$G$907,J616),SUMIFS(PARÂMETROS!$E$8:$E$907,PARÂMETROS!$A$8:$A$907,C616,PARÂMETROS!$G$8:$G$907,J616))</f>
        <v/>
      </c>
      <c r="E616" s="109">
        <f>SUMIFS(SETORES!$D:$D,SETORES!$A:$A,A616,SETORES!$F:$F,J616)</f>
        <v/>
      </c>
      <c r="F616" s="109">
        <f>IFERROR(D616*E616,0)</f>
        <v/>
      </c>
      <c r="G616" s="77">
        <f>SUMIFS(PARÂMETROS!$F$8:$F$907,PARÂMETROS!$A$8:$A$907,C616,PARÂMETROS!$G$8:$G$907,J616)</f>
        <v/>
      </c>
      <c r="H616" s="109">
        <f>IFERROR(F616*G616,0)</f>
        <v/>
      </c>
      <c r="I616" s="109">
        <f>F616+H616</f>
        <v/>
      </c>
      <c r="J616" s="106" t="inlineStr">
        <is>
          <t>Julho/2026</t>
        </is>
      </c>
    </row>
    <row r="617" hidden="1" ht="14.25" customHeight="1" s="64">
      <c r="A617" s="74" t="inlineStr">
        <is>
          <t>Suporte da Central</t>
        </is>
      </c>
      <c r="B617" s="83">
        <f>INDEX(SETORES!$B:$B,MATCH(A617,SETORES!$A:$A,0))</f>
        <v/>
      </c>
      <c r="C617" s="74" t="inlineStr">
        <is>
          <t>Empresa Licenciada SOLON ARAUJO</t>
        </is>
      </c>
      <c r="D617" s="72">
        <f>IF(B617="Clientes",SUMIFS(PARÂMETROS!$D$8:$D$907,PARÂMETROS!$A$8:$A$907,C617,PARÂMETROS!$G$8:$G$907,J617),SUMIFS(PARÂMETROS!$E$8:$E$907,PARÂMETROS!$A$8:$A$907,C617,PARÂMETROS!$G$8:$G$907,J617))</f>
        <v/>
      </c>
      <c r="E617" s="84">
        <f>SUMIFS(SETORES!$D:$D,SETORES!$A:$A,A617,SETORES!$F:$F,J617)</f>
        <v/>
      </c>
      <c r="F617" s="84">
        <f>IFERROR(D617*E617,0)</f>
        <v/>
      </c>
      <c r="G617" s="72">
        <f>SUMIFS(PARÂMETROS!$F$8:$F$907,PARÂMETROS!$A$8:$A$907,C617,PARÂMETROS!$G$8:$G$907,J617)</f>
        <v/>
      </c>
      <c r="H617" s="84">
        <f>IFERROR(F617*G617,0)</f>
        <v/>
      </c>
      <c r="I617" s="84">
        <f>F617+H617</f>
        <v/>
      </c>
      <c r="J617" s="74" t="inlineStr">
        <is>
          <t>Julho/2026</t>
        </is>
      </c>
    </row>
    <row r="618" ht="14.25" customHeight="1" s="64">
      <c r="A618" s="106" t="inlineStr">
        <is>
          <t>Suporte da Central</t>
        </is>
      </c>
      <c r="B618" s="106">
        <f>INDEX(SETORES!$B:$B,MATCH(A618,SETORES!$A:$A,0))</f>
        <v/>
      </c>
      <c r="C618" s="106" t="inlineStr">
        <is>
          <t>Empresa Licenciada SOARES E LINS</t>
        </is>
      </c>
      <c r="D618" s="77">
        <f>IF(B618="Clientes",SUMIFS(PARÂMETROS!$D$8:$D$907,PARÂMETROS!$A$8:$A$907,C618,PARÂMETROS!$G$8:$G$907,J618),SUMIFS(PARÂMETROS!$E$8:$E$907,PARÂMETROS!$A$8:$A$907,C618,PARÂMETROS!$G$8:$G$907,J618))</f>
        <v/>
      </c>
      <c r="E618" s="109">
        <f>SUMIFS(SETORES!$D:$D,SETORES!$A:$A,A618,SETORES!$F:$F,J618)</f>
        <v/>
      </c>
      <c r="F618" s="109">
        <f>IFERROR(D618*E618,0)</f>
        <v/>
      </c>
      <c r="G618" s="77">
        <f>SUMIFS(PARÂMETROS!$F$8:$F$907,PARÂMETROS!$A$8:$A$907,C618,PARÂMETROS!$G$8:$G$907,J618)</f>
        <v/>
      </c>
      <c r="H618" s="109">
        <f>IFERROR(F618*G618,0)</f>
        <v/>
      </c>
      <c r="I618" s="109">
        <f>F618+H618</f>
        <v/>
      </c>
      <c r="J618" s="106" t="inlineStr">
        <is>
          <t>Julho/2026</t>
        </is>
      </c>
    </row>
    <row r="619" hidden="1" ht="14.25" customHeight="1" s="64">
      <c r="A619" s="74" t="inlineStr">
        <is>
          <t>Suporte da Central</t>
        </is>
      </c>
      <c r="B619" s="83">
        <f>INDEX(SETORES!$B:$B,MATCH(A619,SETORES!$A:$A,0))</f>
        <v/>
      </c>
      <c r="C619" s="74" t="inlineStr">
        <is>
          <t>Empresa Licenciada SOARES E SILVA</t>
        </is>
      </c>
      <c r="D619" s="72">
        <f>IF(B619="Clientes",SUMIFS(PARÂMETROS!$D$8:$D$907,PARÂMETROS!$A$8:$A$907,C619,PARÂMETROS!$G$8:$G$907,J619),SUMIFS(PARÂMETROS!$E$8:$E$907,PARÂMETROS!$A$8:$A$907,C619,PARÂMETROS!$G$8:$G$907,J619))</f>
        <v/>
      </c>
      <c r="E619" s="84">
        <f>SUMIFS(SETORES!$D:$D,SETORES!$A:$A,A619,SETORES!$F:$F,J619)</f>
        <v/>
      </c>
      <c r="F619" s="84">
        <f>IFERROR(D619*E619,0)</f>
        <v/>
      </c>
      <c r="G619" s="72">
        <f>SUMIFS(PARÂMETROS!$F$8:$F$907,PARÂMETROS!$A$8:$A$907,C619,PARÂMETROS!$G$8:$G$907,J619)</f>
        <v/>
      </c>
      <c r="H619" s="84">
        <f>IFERROR(F619*G619,0)</f>
        <v/>
      </c>
      <c r="I619" s="84">
        <f>F619+H619</f>
        <v/>
      </c>
      <c r="J619" s="74" t="inlineStr">
        <is>
          <t>Julho/2026</t>
        </is>
      </c>
    </row>
    <row r="620" hidden="1" ht="14.25" customHeight="1" s="64">
      <c r="A620" s="106" t="inlineStr">
        <is>
          <t>Suporte da Central</t>
        </is>
      </c>
      <c r="B620" s="106">
        <f>INDEX(SETORES!$B:$B,MATCH(A620,SETORES!$A:$A,0))</f>
        <v/>
      </c>
      <c r="C620" s="106" t="inlineStr">
        <is>
          <t>Empresa Licenciada SOUZA E SILVA</t>
        </is>
      </c>
      <c r="D620" s="77">
        <f>IF(B620="Clientes",SUMIFS(PARÂMETROS!$D$8:$D$907,PARÂMETROS!$A$8:$A$907,C620,PARÂMETROS!$G$8:$G$907,J620),SUMIFS(PARÂMETROS!$E$8:$E$907,PARÂMETROS!$A$8:$A$907,C620,PARÂMETROS!$G$8:$G$907,J620))</f>
        <v/>
      </c>
      <c r="E620" s="109">
        <f>SUMIFS(SETORES!$D:$D,SETORES!$A:$A,A620,SETORES!$F:$F,J620)</f>
        <v/>
      </c>
      <c r="F620" s="109">
        <f>IFERROR(D620*E620,0)</f>
        <v/>
      </c>
      <c r="G620" s="77">
        <f>SUMIFS(PARÂMETROS!$F$8:$F$907,PARÂMETROS!$A$8:$A$907,C620,PARÂMETROS!$G$8:$G$907,J620)</f>
        <v/>
      </c>
      <c r="H620" s="109">
        <f>IFERROR(F620*G620,0)</f>
        <v/>
      </c>
      <c r="I620" s="109">
        <f>F620+H620</f>
        <v/>
      </c>
      <c r="J620" s="106" t="inlineStr">
        <is>
          <t>Julho/2026</t>
        </is>
      </c>
    </row>
    <row r="621" hidden="1" ht="14.25" customHeight="1" s="64">
      <c r="A621" s="74" t="inlineStr">
        <is>
          <t>Suporte da Central</t>
        </is>
      </c>
      <c r="B621" s="83">
        <f>INDEX(SETORES!$B:$B,MATCH(A621,SETORES!$A:$A,0))</f>
        <v/>
      </c>
      <c r="C621" s="74" t="inlineStr">
        <is>
          <t>Empresa Licenciada VOICENET</t>
        </is>
      </c>
      <c r="D621" s="72">
        <f>IF(B621="Clientes",SUMIFS(PARÂMETROS!$D$8:$D$907,PARÂMETROS!$A$8:$A$907,C621,PARÂMETROS!$G$8:$G$907,J621),SUMIFS(PARÂMETROS!$E$8:$E$907,PARÂMETROS!$A$8:$A$907,C621,PARÂMETROS!$G$8:$G$907,J621))</f>
        <v/>
      </c>
      <c r="E621" s="84">
        <f>SUMIFS(SETORES!$D:$D,SETORES!$A:$A,A621,SETORES!$F:$F,J621)</f>
        <v/>
      </c>
      <c r="F621" s="84">
        <f>IFERROR(D621*E621,0)</f>
        <v/>
      </c>
      <c r="G621" s="72">
        <f>SUMIFS(PARÂMETROS!$F$8:$F$907,PARÂMETROS!$A$8:$A$907,C621,PARÂMETROS!$G$8:$G$907,J621)</f>
        <v/>
      </c>
      <c r="H621" s="84">
        <f>IFERROR(F621*G621,0)</f>
        <v/>
      </c>
      <c r="I621" s="84">
        <f>F621+H621</f>
        <v/>
      </c>
      <c r="J621" s="74" t="inlineStr">
        <is>
          <t>Julho/2026</t>
        </is>
      </c>
    </row>
    <row r="622" hidden="1" ht="14.25" customHeight="1" s="64">
      <c r="A622" s="106" t="inlineStr">
        <is>
          <t>Suporte da Central</t>
        </is>
      </c>
      <c r="B622" s="106">
        <f>INDEX(SETORES!$B:$B,MATCH(A622,SETORES!$A:$A,0))</f>
        <v/>
      </c>
      <c r="C622" s="106" t="inlineStr">
        <is>
          <t>DTEL (uso próprio)</t>
        </is>
      </c>
      <c r="D622" s="77">
        <f>IF(B622="Clientes",SUMIFS(PARÂMETROS!$D$8:$D$907,PARÂMETROS!$A$8:$A$907,C622,PARÂMETROS!$G$8:$G$907,J622),SUMIFS(PARÂMETROS!$E$8:$E$907,PARÂMETROS!$A$8:$A$907,C622,PARÂMETROS!$G$8:$G$907,J622))</f>
        <v/>
      </c>
      <c r="E622" s="109">
        <f>SUMIFS(SETORES!$D:$D,SETORES!$A:$A,A622,SETORES!$F:$F,J622)</f>
        <v/>
      </c>
      <c r="F622" s="109">
        <f>IFERROR(D622*E622,0)</f>
        <v/>
      </c>
      <c r="G622" s="77">
        <f>SUMIFS(PARÂMETROS!$F$8:$F$907,PARÂMETROS!$A$8:$A$907,C622,PARÂMETROS!$G$8:$G$907,J622)</f>
        <v/>
      </c>
      <c r="H622" s="109">
        <f>IFERROR(F622*G622,0)</f>
        <v/>
      </c>
      <c r="I622" s="109">
        <f>F622+H622</f>
        <v/>
      </c>
      <c r="J622" s="106" t="inlineStr">
        <is>
          <t>Julho/2026</t>
        </is>
      </c>
    </row>
    <row r="623" hidden="1" ht="14.25" customHeight="1" s="64">
      <c r="A623" s="74" t="inlineStr">
        <is>
          <t>Comercial Corporativo</t>
        </is>
      </c>
      <c r="B623" s="83">
        <f>INDEX(SETORES!$B:$B,MATCH(A623,SETORES!$A:$A,0))</f>
        <v/>
      </c>
      <c r="C623" s="74" t="inlineStr">
        <is>
          <t>Empresa Licenciada DX2</t>
        </is>
      </c>
      <c r="D623" s="72">
        <f>IF(B623="Clientes",SUMIFS(PARÂMETROS!$D$8:$D$907,PARÂMETROS!$A$8:$A$907,C623,PARÂMETROS!$G$8:$G$907,J623),SUMIFS(PARÂMETROS!$E$8:$E$907,PARÂMETROS!$A$8:$A$907,C623,PARÂMETROS!$G$8:$G$907,J623))</f>
        <v/>
      </c>
      <c r="E623" s="84">
        <f>SUMIFS(SETORES!$D:$D,SETORES!$A:$A,A623,SETORES!$F:$F,J623)</f>
        <v/>
      </c>
      <c r="F623" s="84">
        <f>IFERROR(D623*E623,0)</f>
        <v/>
      </c>
      <c r="G623" s="72">
        <f>SUMIFS(PARÂMETROS!$F$8:$F$907,PARÂMETROS!$A$8:$A$907,C623,PARÂMETROS!$G$8:$G$907,J623)</f>
        <v/>
      </c>
      <c r="H623" s="84">
        <f>IFERROR(F623*G623,0)</f>
        <v/>
      </c>
      <c r="I623" s="84">
        <f>F623+H623</f>
        <v/>
      </c>
      <c r="J623" s="74" t="inlineStr">
        <is>
          <t>Julho/2026</t>
        </is>
      </c>
    </row>
    <row r="624" hidden="1" ht="14.25" customHeight="1" s="64">
      <c r="A624" s="106" t="inlineStr">
        <is>
          <t>Comercial Corporativo</t>
        </is>
      </c>
      <c r="B624" s="106">
        <f>INDEX(SETORES!$B:$B,MATCH(A624,SETORES!$A:$A,0))</f>
        <v/>
      </c>
      <c r="C624" s="106" t="inlineStr">
        <is>
          <t>Empresa Licenciada H&amp;A</t>
        </is>
      </c>
      <c r="D624" s="77">
        <f>IF(B624="Clientes",SUMIFS(PARÂMETROS!$D$8:$D$907,PARÂMETROS!$A$8:$A$907,C624,PARÂMETROS!$G$8:$G$907,J624),SUMIFS(PARÂMETROS!$E$8:$E$907,PARÂMETROS!$A$8:$A$907,C624,PARÂMETROS!$G$8:$G$907,J624))</f>
        <v/>
      </c>
      <c r="E624" s="109">
        <f>SUMIFS(SETORES!$D:$D,SETORES!$A:$A,A624,SETORES!$F:$F,J624)</f>
        <v/>
      </c>
      <c r="F624" s="109">
        <f>IFERROR(D624*E624,0)</f>
        <v/>
      </c>
      <c r="G624" s="77">
        <f>SUMIFS(PARÂMETROS!$F$8:$F$907,PARÂMETROS!$A$8:$A$907,C624,PARÂMETROS!$G$8:$G$907,J624)</f>
        <v/>
      </c>
      <c r="H624" s="109">
        <f>IFERROR(F624*G624,0)</f>
        <v/>
      </c>
      <c r="I624" s="109">
        <f>F624+H624</f>
        <v/>
      </c>
      <c r="J624" s="106" t="inlineStr">
        <is>
          <t>Julho/2026</t>
        </is>
      </c>
    </row>
    <row r="625" hidden="1" ht="14.25" customHeight="1" s="64">
      <c r="A625" s="74" t="inlineStr">
        <is>
          <t>Comercial Corporativo</t>
        </is>
      </c>
      <c r="B625" s="83">
        <f>INDEX(SETORES!$B:$B,MATCH(A625,SETORES!$A:$A,0))</f>
        <v/>
      </c>
      <c r="C625" s="74" t="inlineStr">
        <is>
          <t>Empresa Licenciada SOLON ARAUJO</t>
        </is>
      </c>
      <c r="D625" s="72">
        <f>IF(B625="Clientes",SUMIFS(PARÂMETROS!$D$8:$D$907,PARÂMETROS!$A$8:$A$907,C625,PARÂMETROS!$G$8:$G$907,J625),SUMIFS(PARÂMETROS!$E$8:$E$907,PARÂMETROS!$A$8:$A$907,C625,PARÂMETROS!$G$8:$G$907,J625))</f>
        <v/>
      </c>
      <c r="E625" s="84">
        <f>SUMIFS(SETORES!$D:$D,SETORES!$A:$A,A625,SETORES!$F:$F,J625)</f>
        <v/>
      </c>
      <c r="F625" s="84">
        <f>IFERROR(D625*E625,0)</f>
        <v/>
      </c>
      <c r="G625" s="72">
        <f>SUMIFS(PARÂMETROS!$F$8:$F$907,PARÂMETROS!$A$8:$A$907,C625,PARÂMETROS!$G$8:$G$907,J625)</f>
        <v/>
      </c>
      <c r="H625" s="84">
        <f>IFERROR(F625*G625,0)</f>
        <v/>
      </c>
      <c r="I625" s="84">
        <f>F625+H625</f>
        <v/>
      </c>
      <c r="J625" s="74" t="inlineStr">
        <is>
          <t>Julho/2026</t>
        </is>
      </c>
    </row>
    <row r="626" ht="14.25" customHeight="1" s="64">
      <c r="A626" s="106" t="inlineStr">
        <is>
          <t>Comercial Corporativo</t>
        </is>
      </c>
      <c r="B626" s="106">
        <f>INDEX(SETORES!$B:$B,MATCH(A626,SETORES!$A:$A,0))</f>
        <v/>
      </c>
      <c r="C626" s="106" t="inlineStr">
        <is>
          <t>Empresa Licenciada SOARES E LINS</t>
        </is>
      </c>
      <c r="D626" s="77">
        <f>IF(B626="Clientes",SUMIFS(PARÂMETROS!$D$8:$D$907,PARÂMETROS!$A$8:$A$907,C626,PARÂMETROS!$G$8:$G$907,J626),SUMIFS(PARÂMETROS!$E$8:$E$907,PARÂMETROS!$A$8:$A$907,C626,PARÂMETROS!$G$8:$G$907,J626))</f>
        <v/>
      </c>
      <c r="E626" s="109">
        <f>SUMIFS(SETORES!$D:$D,SETORES!$A:$A,A626,SETORES!$F:$F,J626)</f>
        <v/>
      </c>
      <c r="F626" s="109">
        <f>IFERROR(D626*E626,0)</f>
        <v/>
      </c>
      <c r="G626" s="77">
        <f>SUMIFS(PARÂMETROS!$F$8:$F$907,PARÂMETROS!$A$8:$A$907,C626,PARÂMETROS!$G$8:$G$907,J626)</f>
        <v/>
      </c>
      <c r="H626" s="109">
        <f>IFERROR(F626*G626,0)</f>
        <v/>
      </c>
      <c r="I626" s="109">
        <f>F626+H626</f>
        <v/>
      </c>
      <c r="J626" s="106" t="inlineStr">
        <is>
          <t>Julho/2026</t>
        </is>
      </c>
    </row>
    <row r="627" hidden="1" ht="14.25" customHeight="1" s="64">
      <c r="A627" s="74" t="inlineStr">
        <is>
          <t>Comercial Corporativo</t>
        </is>
      </c>
      <c r="B627" s="83">
        <f>INDEX(SETORES!$B:$B,MATCH(A627,SETORES!$A:$A,0))</f>
        <v/>
      </c>
      <c r="C627" s="74" t="inlineStr">
        <is>
          <t>Empresa Licenciada SOARES E SILVA</t>
        </is>
      </c>
      <c r="D627" s="72">
        <f>IF(B627="Clientes",SUMIFS(PARÂMETROS!$D$8:$D$907,PARÂMETROS!$A$8:$A$907,C627,PARÂMETROS!$G$8:$G$907,J627),SUMIFS(PARÂMETROS!$E$8:$E$907,PARÂMETROS!$A$8:$A$907,C627,PARÂMETROS!$G$8:$G$907,J627))</f>
        <v/>
      </c>
      <c r="E627" s="84">
        <f>SUMIFS(SETORES!$D:$D,SETORES!$A:$A,A627,SETORES!$F:$F,J627)</f>
        <v/>
      </c>
      <c r="F627" s="84">
        <f>IFERROR(D627*E627,0)</f>
        <v/>
      </c>
      <c r="G627" s="72">
        <f>SUMIFS(PARÂMETROS!$F$8:$F$907,PARÂMETROS!$A$8:$A$907,C627,PARÂMETROS!$G$8:$G$907,J627)</f>
        <v/>
      </c>
      <c r="H627" s="84">
        <f>IFERROR(F627*G627,0)</f>
        <v/>
      </c>
      <c r="I627" s="84">
        <f>F627+H627</f>
        <v/>
      </c>
      <c r="J627" s="74" t="inlineStr">
        <is>
          <t>Julho/2026</t>
        </is>
      </c>
    </row>
    <row r="628" hidden="1" ht="14.25" customHeight="1" s="64">
      <c r="A628" s="106" t="inlineStr">
        <is>
          <t>Comercial Corporativo</t>
        </is>
      </c>
      <c r="B628" s="106">
        <f>INDEX(SETORES!$B:$B,MATCH(A628,SETORES!$A:$A,0))</f>
        <v/>
      </c>
      <c r="C628" s="106" t="inlineStr">
        <is>
          <t>Empresa Licenciada SOUZA E SILVA</t>
        </is>
      </c>
      <c r="D628" s="77">
        <f>IF(B628="Clientes",SUMIFS(PARÂMETROS!$D$8:$D$907,PARÂMETROS!$A$8:$A$907,C628,PARÂMETROS!$G$8:$G$907,J628),SUMIFS(PARÂMETROS!$E$8:$E$907,PARÂMETROS!$A$8:$A$907,C628,PARÂMETROS!$G$8:$G$907,J628))</f>
        <v/>
      </c>
      <c r="E628" s="109">
        <f>SUMIFS(SETORES!$D:$D,SETORES!$A:$A,A628,SETORES!$F:$F,J628)</f>
        <v/>
      </c>
      <c r="F628" s="109">
        <f>IFERROR(D628*E628,0)</f>
        <v/>
      </c>
      <c r="G628" s="77">
        <f>SUMIFS(PARÂMETROS!$F$8:$F$907,PARÂMETROS!$A$8:$A$907,C628,PARÂMETROS!$G$8:$G$907,J628)</f>
        <v/>
      </c>
      <c r="H628" s="109">
        <f>IFERROR(F628*G628,0)</f>
        <v/>
      </c>
      <c r="I628" s="109">
        <f>F628+H628</f>
        <v/>
      </c>
      <c r="J628" s="106" t="inlineStr">
        <is>
          <t>Julho/2026</t>
        </is>
      </c>
    </row>
    <row r="629" hidden="1" ht="14.25" customHeight="1" s="64">
      <c r="A629" s="74" t="inlineStr">
        <is>
          <t>Comercial Corporativo</t>
        </is>
      </c>
      <c r="B629" s="83">
        <f>INDEX(SETORES!$B:$B,MATCH(A629,SETORES!$A:$A,0))</f>
        <v/>
      </c>
      <c r="C629" s="74" t="inlineStr">
        <is>
          <t>Empresa Licenciada VOICENET</t>
        </is>
      </c>
      <c r="D629" s="72">
        <f>IF(B629="Clientes",SUMIFS(PARÂMETROS!$D$8:$D$907,PARÂMETROS!$A$8:$A$907,C629,PARÂMETROS!$G$8:$G$907,J629),SUMIFS(PARÂMETROS!$E$8:$E$907,PARÂMETROS!$A$8:$A$907,C629,PARÂMETROS!$G$8:$G$907,J629))</f>
        <v/>
      </c>
      <c r="E629" s="84">
        <f>SUMIFS(SETORES!$D:$D,SETORES!$A:$A,A629,SETORES!$F:$F,J629)</f>
        <v/>
      </c>
      <c r="F629" s="84">
        <f>IFERROR(D629*E629,0)</f>
        <v/>
      </c>
      <c r="G629" s="72">
        <f>SUMIFS(PARÂMETROS!$F$8:$F$907,PARÂMETROS!$A$8:$A$907,C629,PARÂMETROS!$G$8:$G$907,J629)</f>
        <v/>
      </c>
      <c r="H629" s="84">
        <f>IFERROR(F629*G629,0)</f>
        <v/>
      </c>
      <c r="I629" s="84">
        <f>F629+H629</f>
        <v/>
      </c>
      <c r="J629" s="74" t="inlineStr">
        <is>
          <t>Julho/2026</t>
        </is>
      </c>
    </row>
    <row r="630" hidden="1" ht="14.25" customHeight="1" s="64">
      <c r="A630" s="106" t="inlineStr">
        <is>
          <t>Comercial Corporativo</t>
        </is>
      </c>
      <c r="B630" s="106">
        <f>INDEX(SETORES!$B:$B,MATCH(A630,SETORES!$A:$A,0))</f>
        <v/>
      </c>
      <c r="C630" s="106" t="inlineStr">
        <is>
          <t>DTEL (uso próprio)</t>
        </is>
      </c>
      <c r="D630" s="77">
        <f>IF(B630="Clientes",SUMIFS(PARÂMETROS!$D$8:$D$907,PARÂMETROS!$A$8:$A$907,C630,PARÂMETROS!$G$8:$G$907,J630),SUMIFS(PARÂMETROS!$E$8:$E$907,PARÂMETROS!$A$8:$A$907,C630,PARÂMETROS!$G$8:$G$907,J630))</f>
        <v/>
      </c>
      <c r="E630" s="109">
        <f>SUMIFS(SETORES!$D:$D,SETORES!$A:$A,A630,SETORES!$F:$F,J630)</f>
        <v/>
      </c>
      <c r="F630" s="109">
        <f>IFERROR(D630*E630,0)</f>
        <v/>
      </c>
      <c r="G630" s="77">
        <f>SUMIFS(PARÂMETROS!$F$8:$F$907,PARÂMETROS!$A$8:$A$907,C630,PARÂMETROS!$G$8:$G$907,J630)</f>
        <v/>
      </c>
      <c r="H630" s="109">
        <f>IFERROR(F630*G630,0)</f>
        <v/>
      </c>
      <c r="I630" s="109">
        <f>F630+H630</f>
        <v/>
      </c>
      <c r="J630" s="106" t="inlineStr">
        <is>
          <t>Julho/2026</t>
        </is>
      </c>
    </row>
    <row r="631" hidden="1" ht="14.25" customHeight="1" s="64">
      <c r="A631" s="74" t="inlineStr">
        <is>
          <t>Administrativo</t>
        </is>
      </c>
      <c r="B631" s="83">
        <f>INDEX(SETORES!$B:$B,MATCH(A631,SETORES!$A:$A,0))</f>
        <v/>
      </c>
      <c r="C631" s="74" t="inlineStr">
        <is>
          <t>Empresa Licenciada DX2</t>
        </is>
      </c>
      <c r="D631" s="72">
        <f>IF(B631="Clientes",SUMIFS(PARÂMETROS!$D$8:$D$907,PARÂMETROS!$A$8:$A$907,C631,PARÂMETROS!$G$8:$G$907,J631),SUMIFS(PARÂMETROS!$E$8:$E$907,PARÂMETROS!$A$8:$A$907,C631,PARÂMETROS!$G$8:$G$907,J631))</f>
        <v/>
      </c>
      <c r="E631" s="84">
        <f>SUMIFS(SETORES!$D:$D,SETORES!$A:$A,A631,SETORES!$F:$F,J631)</f>
        <v/>
      </c>
      <c r="F631" s="84">
        <f>IFERROR(D631*E631,0)</f>
        <v/>
      </c>
      <c r="G631" s="72">
        <f>SUMIFS(PARÂMETROS!$F$8:$F$907,PARÂMETROS!$A$8:$A$907,C631,PARÂMETROS!$G$8:$G$907,J631)</f>
        <v/>
      </c>
      <c r="H631" s="84">
        <f>IFERROR(F631*G631,0)</f>
        <v/>
      </c>
      <c r="I631" s="84">
        <f>F631+H631</f>
        <v/>
      </c>
      <c r="J631" s="74" t="inlineStr">
        <is>
          <t>Julho/2026</t>
        </is>
      </c>
    </row>
    <row r="632" hidden="1" ht="14.25" customHeight="1" s="64">
      <c r="A632" s="106" t="inlineStr">
        <is>
          <t>Administrativo</t>
        </is>
      </c>
      <c r="B632" s="106">
        <f>INDEX(SETORES!$B:$B,MATCH(A632,SETORES!$A:$A,0))</f>
        <v/>
      </c>
      <c r="C632" s="106" t="inlineStr">
        <is>
          <t>Empresa Licenciada H&amp;A</t>
        </is>
      </c>
      <c r="D632" s="77">
        <f>IF(B632="Clientes",SUMIFS(PARÂMETROS!$D$8:$D$907,PARÂMETROS!$A$8:$A$907,C632,PARÂMETROS!$G$8:$G$907,J632),SUMIFS(PARÂMETROS!$E$8:$E$907,PARÂMETROS!$A$8:$A$907,C632,PARÂMETROS!$G$8:$G$907,J632))</f>
        <v/>
      </c>
      <c r="E632" s="109">
        <f>SUMIFS(SETORES!$D:$D,SETORES!$A:$A,A632,SETORES!$F:$F,J632)</f>
        <v/>
      </c>
      <c r="F632" s="109">
        <f>IFERROR(D632*E632,0)</f>
        <v/>
      </c>
      <c r="G632" s="77">
        <f>SUMIFS(PARÂMETROS!$F$8:$F$907,PARÂMETROS!$A$8:$A$907,C632,PARÂMETROS!$G$8:$G$907,J632)</f>
        <v/>
      </c>
      <c r="H632" s="109">
        <f>IFERROR(F632*G632,0)</f>
        <v/>
      </c>
      <c r="I632" s="109">
        <f>F632+H632</f>
        <v/>
      </c>
      <c r="J632" s="106" t="inlineStr">
        <is>
          <t>Julho/2026</t>
        </is>
      </c>
    </row>
    <row r="633" hidden="1" ht="14.25" customHeight="1" s="64">
      <c r="A633" s="74" t="inlineStr">
        <is>
          <t>Administrativo</t>
        </is>
      </c>
      <c r="B633" s="83">
        <f>INDEX(SETORES!$B:$B,MATCH(A633,SETORES!$A:$A,0))</f>
        <v/>
      </c>
      <c r="C633" s="74" t="inlineStr">
        <is>
          <t>Empresa Licenciada SOLON ARAUJO</t>
        </is>
      </c>
      <c r="D633" s="72">
        <f>IF(B633="Clientes",SUMIFS(PARÂMETROS!$D$8:$D$907,PARÂMETROS!$A$8:$A$907,C633,PARÂMETROS!$G$8:$G$907,J633),SUMIFS(PARÂMETROS!$E$8:$E$907,PARÂMETROS!$A$8:$A$907,C633,PARÂMETROS!$G$8:$G$907,J633))</f>
        <v/>
      </c>
      <c r="E633" s="84">
        <f>SUMIFS(SETORES!$D:$D,SETORES!$A:$A,A633,SETORES!$F:$F,J633)</f>
        <v/>
      </c>
      <c r="F633" s="84">
        <f>IFERROR(D633*E633,0)</f>
        <v/>
      </c>
      <c r="G633" s="72">
        <f>SUMIFS(PARÂMETROS!$F$8:$F$907,PARÂMETROS!$A$8:$A$907,C633,PARÂMETROS!$G$8:$G$907,J633)</f>
        <v/>
      </c>
      <c r="H633" s="84">
        <f>IFERROR(F633*G633,0)</f>
        <v/>
      </c>
      <c r="I633" s="84">
        <f>F633+H633</f>
        <v/>
      </c>
      <c r="J633" s="74" t="inlineStr">
        <is>
          <t>Julho/2026</t>
        </is>
      </c>
    </row>
    <row r="634" ht="14.25" customHeight="1" s="64">
      <c r="A634" s="106" t="inlineStr">
        <is>
          <t>Administrativo</t>
        </is>
      </c>
      <c r="B634" s="106">
        <f>INDEX(SETORES!$B:$B,MATCH(A634,SETORES!$A:$A,0))</f>
        <v/>
      </c>
      <c r="C634" s="106" t="inlineStr">
        <is>
          <t>Empresa Licenciada SOARES E LINS</t>
        </is>
      </c>
      <c r="D634" s="77">
        <f>IF(B634="Clientes",SUMIFS(PARÂMETROS!$D$8:$D$907,PARÂMETROS!$A$8:$A$907,C634,PARÂMETROS!$G$8:$G$907,J634),SUMIFS(PARÂMETROS!$E$8:$E$907,PARÂMETROS!$A$8:$A$907,C634,PARÂMETROS!$G$8:$G$907,J634))</f>
        <v/>
      </c>
      <c r="E634" s="109">
        <f>SUMIFS(SETORES!$D:$D,SETORES!$A:$A,A634,SETORES!$F:$F,J634)</f>
        <v/>
      </c>
      <c r="F634" s="109">
        <f>IFERROR(D634*E634,0)</f>
        <v/>
      </c>
      <c r="G634" s="77">
        <f>SUMIFS(PARÂMETROS!$F$8:$F$907,PARÂMETROS!$A$8:$A$907,C634,PARÂMETROS!$G$8:$G$907,J634)</f>
        <v/>
      </c>
      <c r="H634" s="109">
        <f>IFERROR(F634*G634,0)</f>
        <v/>
      </c>
      <c r="I634" s="109">
        <f>F634+H634</f>
        <v/>
      </c>
      <c r="J634" s="106" t="inlineStr">
        <is>
          <t>Julho/2026</t>
        </is>
      </c>
    </row>
    <row r="635" hidden="1" ht="14.25" customHeight="1" s="64">
      <c r="A635" s="74" t="inlineStr">
        <is>
          <t>Administrativo</t>
        </is>
      </c>
      <c r="B635" s="83">
        <f>INDEX(SETORES!$B:$B,MATCH(A635,SETORES!$A:$A,0))</f>
        <v/>
      </c>
      <c r="C635" s="74" t="inlineStr">
        <is>
          <t>Empresa Licenciada SOARES E SILVA</t>
        </is>
      </c>
      <c r="D635" s="72">
        <f>IF(B635="Clientes",SUMIFS(PARÂMETROS!$D$8:$D$907,PARÂMETROS!$A$8:$A$907,C635,PARÂMETROS!$G$8:$G$907,J635),SUMIFS(PARÂMETROS!$E$8:$E$907,PARÂMETROS!$A$8:$A$907,C635,PARÂMETROS!$G$8:$G$907,J635))</f>
        <v/>
      </c>
      <c r="E635" s="84">
        <f>SUMIFS(SETORES!$D:$D,SETORES!$A:$A,A635,SETORES!$F:$F,J635)</f>
        <v/>
      </c>
      <c r="F635" s="84">
        <f>IFERROR(D635*E635,0)</f>
        <v/>
      </c>
      <c r="G635" s="72">
        <f>SUMIFS(PARÂMETROS!$F$8:$F$907,PARÂMETROS!$A$8:$A$907,C635,PARÂMETROS!$G$8:$G$907,J635)</f>
        <v/>
      </c>
      <c r="H635" s="84">
        <f>IFERROR(F635*G635,0)</f>
        <v/>
      </c>
      <c r="I635" s="84">
        <f>F635+H635</f>
        <v/>
      </c>
      <c r="J635" s="74" t="inlineStr">
        <is>
          <t>Julho/2026</t>
        </is>
      </c>
    </row>
    <row r="636" hidden="1" ht="14.25" customHeight="1" s="64">
      <c r="A636" s="106" t="inlineStr">
        <is>
          <t>Administrativo</t>
        </is>
      </c>
      <c r="B636" s="106">
        <f>INDEX(SETORES!$B:$B,MATCH(A636,SETORES!$A:$A,0))</f>
        <v/>
      </c>
      <c r="C636" s="106" t="inlineStr">
        <is>
          <t>Empresa Licenciada SOUZA E SILVA</t>
        </is>
      </c>
      <c r="D636" s="77">
        <f>IF(B636="Clientes",SUMIFS(PARÂMETROS!$D$8:$D$907,PARÂMETROS!$A$8:$A$907,C636,PARÂMETROS!$G$8:$G$907,J636),SUMIFS(PARÂMETROS!$E$8:$E$907,PARÂMETROS!$A$8:$A$907,C636,PARÂMETROS!$G$8:$G$907,J636))</f>
        <v/>
      </c>
      <c r="E636" s="109">
        <f>SUMIFS(SETORES!$D:$D,SETORES!$A:$A,A636,SETORES!$F:$F,J636)</f>
        <v/>
      </c>
      <c r="F636" s="109">
        <f>IFERROR(D636*E636,0)</f>
        <v/>
      </c>
      <c r="G636" s="77">
        <f>SUMIFS(PARÂMETROS!$F$8:$F$907,PARÂMETROS!$A$8:$A$907,C636,PARÂMETROS!$G$8:$G$907,J636)</f>
        <v/>
      </c>
      <c r="H636" s="109">
        <f>IFERROR(F636*G636,0)</f>
        <v/>
      </c>
      <c r="I636" s="109">
        <f>F636+H636</f>
        <v/>
      </c>
      <c r="J636" s="106" t="inlineStr">
        <is>
          <t>Julho/2026</t>
        </is>
      </c>
    </row>
    <row r="637" hidden="1" ht="14.25" customHeight="1" s="64">
      <c r="A637" s="74" t="inlineStr">
        <is>
          <t>Administrativo</t>
        </is>
      </c>
      <c r="B637" s="83">
        <f>INDEX(SETORES!$B:$B,MATCH(A637,SETORES!$A:$A,0))</f>
        <v/>
      </c>
      <c r="C637" s="74" t="inlineStr">
        <is>
          <t>Empresa Licenciada VOICENET</t>
        </is>
      </c>
      <c r="D637" s="72">
        <f>IF(B637="Clientes",SUMIFS(PARÂMETROS!$D$8:$D$907,PARÂMETROS!$A$8:$A$907,C637,PARÂMETROS!$G$8:$G$907,J637),SUMIFS(PARÂMETROS!$E$8:$E$907,PARÂMETROS!$A$8:$A$907,C637,PARÂMETROS!$G$8:$G$907,J637))</f>
        <v/>
      </c>
      <c r="E637" s="84">
        <f>SUMIFS(SETORES!$D:$D,SETORES!$A:$A,A637,SETORES!$F:$F,J637)</f>
        <v/>
      </c>
      <c r="F637" s="84">
        <f>IFERROR(D637*E637,0)</f>
        <v/>
      </c>
      <c r="G637" s="72">
        <f>SUMIFS(PARÂMETROS!$F$8:$F$907,PARÂMETROS!$A$8:$A$907,C637,PARÂMETROS!$G$8:$G$907,J637)</f>
        <v/>
      </c>
      <c r="H637" s="84">
        <f>IFERROR(F637*G637,0)</f>
        <v/>
      </c>
      <c r="I637" s="84">
        <f>F637+H637</f>
        <v/>
      </c>
      <c r="J637" s="74" t="inlineStr">
        <is>
          <t>Julho/2026</t>
        </is>
      </c>
    </row>
    <row r="638" hidden="1" ht="14.25" customHeight="1" s="64">
      <c r="A638" s="106" t="inlineStr">
        <is>
          <t>Administrativo</t>
        </is>
      </c>
      <c r="B638" s="106">
        <f>INDEX(SETORES!$B:$B,MATCH(A638,SETORES!$A:$A,0))</f>
        <v/>
      </c>
      <c r="C638" s="106" t="inlineStr">
        <is>
          <t>DTEL (uso próprio)</t>
        </is>
      </c>
      <c r="D638" s="77">
        <f>IF(B638="Clientes",SUMIFS(PARÂMETROS!$D$8:$D$907,PARÂMETROS!$A$8:$A$907,C638,PARÂMETROS!$G$8:$G$907,J638),SUMIFS(PARÂMETROS!$E$8:$E$907,PARÂMETROS!$A$8:$A$907,C638,PARÂMETROS!$G$8:$G$907,J638))</f>
        <v/>
      </c>
      <c r="E638" s="109">
        <f>SUMIFS(SETORES!$D:$D,SETORES!$A:$A,A638,SETORES!$F:$F,J638)</f>
        <v/>
      </c>
      <c r="F638" s="109">
        <f>IFERROR(D638*E638,0)</f>
        <v/>
      </c>
      <c r="G638" s="77">
        <f>SUMIFS(PARÂMETROS!$F$8:$F$907,PARÂMETROS!$A$8:$A$907,C638,PARÂMETROS!$G$8:$G$907,J638)</f>
        <v/>
      </c>
      <c r="H638" s="109">
        <f>IFERROR(F638*G638,0)</f>
        <v/>
      </c>
      <c r="I638" s="109">
        <f>F638+H638</f>
        <v/>
      </c>
      <c r="J638" s="106" t="inlineStr">
        <is>
          <t>Julho/2026</t>
        </is>
      </c>
    </row>
    <row r="639" ht="14.25" customHeight="1" s="64"/>
    <row r="640" ht="14.25" customHeight="1" s="64"/>
    <row r="641" ht="14.25" customHeight="1" s="64">
      <c r="A641" s="66" t="inlineStr">
        <is>
          <t>Legenda de cores:</t>
        </is>
      </c>
    </row>
    <row r="642" ht="14.25" customHeight="1" s="64">
      <c r="A642" s="86" t="inlineStr">
        <is>
          <t>Azul</t>
        </is>
      </c>
      <c r="B642" s="86" t="inlineStr">
        <is>
          <t>Célula de entrada manual (preencher)</t>
        </is>
      </c>
    </row>
    <row r="643" ht="14.25" customHeight="1" s="64">
      <c r="A643" s="86" t="inlineStr">
        <is>
          <t>Amarelo</t>
        </is>
      </c>
      <c r="B643" s="86" t="inlineStr">
        <is>
          <t>Linha de exemplo — ajuste os números reais</t>
        </is>
      </c>
    </row>
    <row r="644" ht="14.25" customHeight="1" s="64">
      <c r="A644" s="86" t="inlineStr">
        <is>
          <t>Azul claro (aba SETORES)</t>
        </is>
      </c>
      <c r="B644" s="86" t="inlineStr">
        <is>
          <t>Setor rateado por % de CLIENTES</t>
        </is>
      </c>
    </row>
    <row r="645" ht="14.25" customHeight="1" s="64">
      <c r="A645" s="86" t="inlineStr">
        <is>
          <t>Verde claro (aba SETORES)</t>
        </is>
      </c>
      <c r="B645" s="86" t="inlineStr">
        <is>
          <t>Setor rateado por % de FUNCIONÁRIOS</t>
        </is>
      </c>
    </row>
    <row r="646" ht="14.25" customHeight="1" s="64"/>
    <row r="647" ht="14.25" customHeight="1" s="64">
      <c r="A647" s="87" t="inlineStr">
        <is>
          <t>Atenção — recomendação jurídico-fiscal:</t>
        </is>
      </c>
    </row>
    <row r="648" ht="14.25" customHeight="1" s="64">
      <c r="A648" s="68" t="inlineStr">
        <is>
          <t>1. Formalize um contrato/convênio de rateio de custos compartilhados com as empresas licenciadas</t>
        </is>
      </c>
    </row>
    <row r="649" ht="14.25" customHeight="1" s="64">
      <c r="A649" s="68" t="inlineStr">
        <is>
          <t xml:space="preserve">   definindo os critérios objetivos de rateio (nº de clientes e nº de funcionários) — exigência para dedutibilidade</t>
        </is>
      </c>
    </row>
    <row r="650" ht="14.25" customHeight="1" s="64">
      <c r="A650" s="68" t="inlineStr">
        <is>
          <t xml:space="preserve">   fiscal (IRPJ/CSLL) e para descaracterizar o reembolso como prestação de serviço com margem.</t>
        </is>
      </c>
    </row>
    <row r="651" ht="14.25" customHeight="1" s="64">
      <c r="A651" s="68" t="inlineStr">
        <is>
          <t>2. O reembolso deve ser feito a custo (sem markup/lucro), proporcional a métricas verificáveis — enquanto o</t>
        </is>
      </c>
    </row>
    <row r="652" ht="14.25" customHeight="1" s="64">
      <c r="A652" s="68" t="inlineStr">
        <is>
          <t xml:space="preserve">   % Royalty (coluna F) estiver em 0%, o cálculo continua sendo puro rateio de custo compartilhado.</t>
        </is>
      </c>
    </row>
    <row r="653" ht="14.25" customHeight="1" s="64">
      <c r="A653" s="68" t="inlineStr">
        <is>
          <t>3. Se um % Royalty for definido (&gt;0%), isso deixa de ser rateio de custo puro e passa a ter natureza de</t>
        </is>
      </c>
    </row>
    <row r="654" ht="14.25" customHeight="1" s="64">
      <c r="A654" s="68" t="inlineStr">
        <is>
          <t xml:space="preserve">   royalty/licenciamento — tratamento fiscal diferente (ex.: incidência de IRRF sobre royalties) e exige um</t>
        </is>
      </c>
    </row>
    <row r="655" ht="14.25" customHeight="1" s="64">
      <c r="A655" s="68" t="inlineStr">
        <is>
          <t xml:space="preserve">   contrato de licenciamento/franquia, não apenas um convênio de rateio. Confirme com a contabilidade/jurídico</t>
        </is>
      </c>
    </row>
    <row r="656" ht="14.25" customHeight="1" s="64">
      <c r="A656" s="68" t="inlineStr">
        <is>
          <t xml:space="preserve">   antes de definir esse percentual.</t>
        </is>
      </c>
    </row>
    <row r="657" ht="14.25" customHeight="1" s="64">
      <c r="A657" s="68" t="inlineStr">
        <is>
          <t>4. Com a Reforma Tributária (LC 214/2025), rateios entre empresas de um mesmo grupo podem passar a sofrer</t>
        </is>
      </c>
    </row>
    <row r="658" ht="14.25" customHeight="1" s="64">
      <c r="A658" s="68" t="inlineStr">
        <is>
          <t xml:space="preserve">   incidência de IBS/CBS mesmo sem margem — vale confirmar o tratamento tributário com a contabilidade/jurídico.</t>
        </is>
      </c>
    </row>
    <row r="659" ht="14.25" customHeight="1" s="64">
      <c r="A659" s="110" t="inlineStr">
        <is>
          <t>RATEIO POR EMPRESA — setores adicionados em 20/08/2026 (mesma fórmula/critério dos demais setores)</t>
        </is>
      </c>
    </row>
    <row r="660" ht="14.25" customHeight="1" s="64">
      <c r="A660" s="110" t="inlineStr">
        <is>
          <t>COE</t>
        </is>
      </c>
      <c r="B660" s="110">
        <f>INDEX(SETORES!$B:$B,MATCH(A660,SETORES!$A:$A,0))</f>
        <v/>
      </c>
      <c r="C660" s="110" t="inlineStr">
        <is>
          <t>Empresa Licenciada DX2</t>
        </is>
      </c>
      <c r="D660" s="88">
        <f>IF(B660="Clientes",SUMIFS(PARÂMETROS!$D$8:$D$907,PARÂMETROS!$A$8:$A$907,C660,PARÂMETROS!$G$8:$G$907,J660),SUMIFS(PARÂMETROS!$E$8:$E$907,PARÂMETROS!$A$8:$A$907,C660,PARÂMETROS!$G$8:$G$907,J660))</f>
        <v/>
      </c>
      <c r="E660" s="89">
        <f>SUMIFS(SETORES!$D:$D,SETORES!$A:$A,A660,SETORES!$F:$F,J660)</f>
        <v/>
      </c>
      <c r="F660" s="89" t="n">
        <v>0</v>
      </c>
      <c r="G660" s="88">
        <f>SUMIFS(PARÂMETROS!$F$8:$F$907,PARÂMETROS!$A$8:$A$907,C660,PARÂMETROS!$G$8:$G$907,J660)</f>
        <v/>
      </c>
      <c r="H660" s="89">
        <f>IFERROR(F660*G660,0)</f>
        <v/>
      </c>
      <c r="I660" s="89">
        <f>F660+H660</f>
        <v/>
      </c>
      <c r="J660" s="110" t="inlineStr">
        <is>
          <t>Maio/2026</t>
        </is>
      </c>
    </row>
    <row r="661" ht="14.25" customHeight="1" s="64">
      <c r="A661" s="110" t="inlineStr">
        <is>
          <t>COE</t>
        </is>
      </c>
      <c r="B661" s="110">
        <f>INDEX(SETORES!$B:$B,MATCH(A661,SETORES!$A:$A,0))</f>
        <v/>
      </c>
      <c r="C661" s="110" t="inlineStr">
        <is>
          <t>Empresa Licenciada H&amp;A</t>
        </is>
      </c>
      <c r="D661" s="88">
        <f>IF(B661="Clientes",SUMIFS(PARÂMETROS!$D$8:$D$907,PARÂMETROS!$A$8:$A$907,C661,PARÂMETROS!$G$8:$G$907,J661),SUMIFS(PARÂMETROS!$E$8:$E$907,PARÂMETROS!$A$8:$A$907,C661,PARÂMETROS!$G$8:$G$907,J661))</f>
        <v/>
      </c>
      <c r="E661" s="89">
        <f>SUMIFS(SETORES!$D:$D,SETORES!$A:$A,A661,SETORES!$F:$F,J661)</f>
        <v/>
      </c>
      <c r="F661" s="89" t="n">
        <v>0</v>
      </c>
      <c r="G661" s="88">
        <f>SUMIFS(PARÂMETROS!$F$8:$F$907,PARÂMETROS!$A$8:$A$907,C661,PARÂMETROS!$G$8:$G$907,J661)</f>
        <v/>
      </c>
      <c r="H661" s="89">
        <f>IFERROR(F661*G661,0)</f>
        <v/>
      </c>
      <c r="I661" s="89">
        <f>F661+H661</f>
        <v/>
      </c>
      <c r="J661" s="110" t="inlineStr">
        <is>
          <t>Maio/2026</t>
        </is>
      </c>
    </row>
    <row r="662" ht="14.25" customHeight="1" s="64">
      <c r="A662" s="110" t="inlineStr">
        <is>
          <t>COE</t>
        </is>
      </c>
      <c r="B662" s="110">
        <f>INDEX(SETORES!$B:$B,MATCH(A662,SETORES!$A:$A,0))</f>
        <v/>
      </c>
      <c r="C662" s="110" t="inlineStr">
        <is>
          <t>Empresa Licenciada SOLON ARAUJO</t>
        </is>
      </c>
      <c r="D662" s="88">
        <f>IF(B662="Clientes",SUMIFS(PARÂMETROS!$D$8:$D$907,PARÂMETROS!$A$8:$A$907,C662,PARÂMETROS!$G$8:$G$907,J662),SUMIFS(PARÂMETROS!$E$8:$E$907,PARÂMETROS!$A$8:$A$907,C662,PARÂMETROS!$G$8:$G$907,J662))</f>
        <v/>
      </c>
      <c r="E662" s="89">
        <f>SUMIFS(SETORES!$D:$D,SETORES!$A:$A,A662,SETORES!$F:$F,J662)</f>
        <v/>
      </c>
      <c r="F662" s="89" t="n">
        <v>7542.682</v>
      </c>
      <c r="G662" s="88">
        <f>SUMIFS(PARÂMETROS!$F$8:$F$907,PARÂMETROS!$A$8:$A$907,C662,PARÂMETROS!$G$8:$G$907,J662)</f>
        <v/>
      </c>
      <c r="H662" s="89">
        <f>IFERROR(F662*G662,0)</f>
        <v/>
      </c>
      <c r="I662" s="89">
        <f>F662+H662</f>
        <v/>
      </c>
      <c r="J662" s="110" t="inlineStr">
        <is>
          <t>Maio/2026</t>
        </is>
      </c>
    </row>
    <row r="663" ht="14.25" customHeight="1" s="64">
      <c r="A663" s="110" t="inlineStr">
        <is>
          <t>COE</t>
        </is>
      </c>
      <c r="B663" s="110">
        <f>INDEX(SETORES!$B:$B,MATCH(A663,SETORES!$A:$A,0))</f>
        <v/>
      </c>
      <c r="C663" s="110" t="inlineStr">
        <is>
          <t>Empresa Licenciada SOARES E LINS</t>
        </is>
      </c>
      <c r="D663" s="88">
        <f>IF(B663="Clientes",SUMIFS(PARÂMETROS!$D$8:$D$907,PARÂMETROS!$A$8:$A$907,C663,PARÂMETROS!$G$8:$G$907,J663),SUMIFS(PARÂMETROS!$E$8:$E$907,PARÂMETROS!$A$8:$A$907,C663,PARÂMETROS!$G$8:$G$907,J663))</f>
        <v/>
      </c>
      <c r="E663" s="89">
        <f>SUMIFS(SETORES!$D:$D,SETORES!$A:$A,A663,SETORES!$F:$F,J663)</f>
        <v/>
      </c>
      <c r="F663" s="89" t="n">
        <v>1921.0655</v>
      </c>
      <c r="G663" s="88">
        <f>SUMIFS(PARÂMETROS!$F$8:$F$907,PARÂMETROS!$A$8:$A$907,C663,PARÂMETROS!$G$8:$G$907,J663)</f>
        <v/>
      </c>
      <c r="H663" s="89">
        <f>IFERROR(F663*G663,0)</f>
        <v/>
      </c>
      <c r="I663" s="89">
        <f>F663+H663</f>
        <v/>
      </c>
      <c r="J663" s="110" t="inlineStr">
        <is>
          <t>Maio/2026</t>
        </is>
      </c>
    </row>
    <row r="664" ht="14.25" customHeight="1" s="64">
      <c r="A664" s="110" t="inlineStr">
        <is>
          <t>COE</t>
        </is>
      </c>
      <c r="B664" s="110">
        <f>INDEX(SETORES!$B:$B,MATCH(A664,SETORES!$A:$A,0))</f>
        <v/>
      </c>
      <c r="C664" s="110" t="inlineStr">
        <is>
          <t>Empresa Licenciada SOARES E SILVA</t>
        </is>
      </c>
      <c r="D664" s="88">
        <f>IF(B664="Clientes",SUMIFS(PARÂMETROS!$D$8:$D$907,PARÂMETROS!$A$8:$A$907,C664,PARÂMETROS!$G$8:$G$907,J664),SUMIFS(PARÂMETROS!$E$8:$E$907,PARÂMETROS!$A$8:$A$907,C664,PARÂMETROS!$G$8:$G$907,J664))</f>
        <v/>
      </c>
      <c r="E664" s="89">
        <f>SUMIFS(SETORES!$D:$D,SETORES!$A:$A,A664,SETORES!$F:$F,J664)</f>
        <v/>
      </c>
      <c r="F664" s="89" t="n">
        <v>3366.3383</v>
      </c>
      <c r="G664" s="88">
        <f>SUMIFS(PARÂMETROS!$F$8:$F$907,PARÂMETROS!$A$8:$A$907,C664,PARÂMETROS!$G$8:$G$907,J664)</f>
        <v/>
      </c>
      <c r="H664" s="89">
        <f>IFERROR(F664*G664,0)</f>
        <v/>
      </c>
      <c r="I664" s="89">
        <f>F664+H664</f>
        <v/>
      </c>
      <c r="J664" s="110" t="inlineStr">
        <is>
          <t>Maio/2026</t>
        </is>
      </c>
    </row>
    <row r="665" ht="14.25" customHeight="1" s="64">
      <c r="A665" s="110" t="inlineStr">
        <is>
          <t>COE</t>
        </is>
      </c>
      <c r="B665" s="110">
        <f>INDEX(SETORES!$B:$B,MATCH(A665,SETORES!$A:$A,0))</f>
        <v/>
      </c>
      <c r="C665" s="110" t="inlineStr">
        <is>
          <t>Empresa Licenciada SOUZA E SILVA</t>
        </is>
      </c>
      <c r="D665" s="88">
        <f>IF(B665="Clientes",SUMIFS(PARÂMETROS!$D$8:$D$907,PARÂMETROS!$A$8:$A$907,C665,PARÂMETROS!$G$8:$G$907,J665),SUMIFS(PARÂMETROS!$E$8:$E$907,PARÂMETROS!$A$8:$A$907,C665,PARÂMETROS!$G$8:$G$907,J665))</f>
        <v/>
      </c>
      <c r="E665" s="89">
        <f>SUMIFS(SETORES!$D:$D,SETORES!$A:$A,A665,SETORES!$F:$F,J665)</f>
        <v/>
      </c>
      <c r="F665" s="89" t="n">
        <v>0</v>
      </c>
      <c r="G665" s="88">
        <f>SUMIFS(PARÂMETROS!$F$8:$F$907,PARÂMETROS!$A$8:$A$907,C665,PARÂMETROS!$G$8:$G$907,J665)</f>
        <v/>
      </c>
      <c r="H665" s="89">
        <f>IFERROR(F665*G665,0)</f>
        <v/>
      </c>
      <c r="I665" s="89">
        <f>F665+H665</f>
        <v/>
      </c>
      <c r="J665" s="110" t="inlineStr">
        <is>
          <t>Maio/2026</t>
        </is>
      </c>
    </row>
    <row r="666" ht="14.25" customHeight="1" s="64">
      <c r="A666" s="110" t="inlineStr">
        <is>
          <t>COE</t>
        </is>
      </c>
      <c r="B666" s="110">
        <f>INDEX(SETORES!$B:$B,MATCH(A666,SETORES!$A:$A,0))</f>
        <v/>
      </c>
      <c r="C666" s="110" t="inlineStr">
        <is>
          <t>Empresa Licenciada VOICENET</t>
        </is>
      </c>
      <c r="D666" s="88">
        <f>IF(B666="Clientes",SUMIFS(PARÂMETROS!$D$8:$D$907,PARÂMETROS!$A$8:$A$907,C666,PARÂMETROS!$G$8:$G$907,J666),SUMIFS(PARÂMETROS!$E$8:$E$907,PARÂMETROS!$A$8:$A$907,C666,PARÂMETROS!$G$8:$G$907,J666))</f>
        <v/>
      </c>
      <c r="E666" s="89">
        <f>SUMIFS(SETORES!$D:$D,SETORES!$A:$A,A666,SETORES!$F:$F,J666)</f>
        <v/>
      </c>
      <c r="F666" s="89" t="n">
        <v>2516.8589</v>
      </c>
      <c r="G666" s="88">
        <f>SUMIFS(PARÂMETROS!$F$8:$F$907,PARÂMETROS!$A$8:$A$907,C666,PARÂMETROS!$G$8:$G$907,J666)</f>
        <v/>
      </c>
      <c r="H666" s="89">
        <f>IFERROR(F666*G666,0)</f>
        <v/>
      </c>
      <c r="I666" s="89">
        <f>F666+H666</f>
        <v/>
      </c>
      <c r="J666" s="110" t="inlineStr">
        <is>
          <t>Maio/2026</t>
        </is>
      </c>
    </row>
    <row r="667" ht="14.25" customHeight="1" s="64">
      <c r="A667" s="110" t="inlineStr">
        <is>
          <t>COE</t>
        </is>
      </c>
      <c r="B667" s="110">
        <f>INDEX(SETORES!$B:$B,MATCH(A667,SETORES!$A:$A,0))</f>
        <v/>
      </c>
      <c r="C667" s="110" t="inlineStr">
        <is>
          <t>DTEL (uso próprio)</t>
        </is>
      </c>
      <c r="D667" s="88">
        <f>IF(B667="Clientes",SUMIFS(PARÂMETROS!$D$8:$D$907,PARÂMETROS!$A$8:$A$907,C667,PARÂMETROS!$G$8:$G$907,J667),SUMIFS(PARÂMETROS!$E$8:$E$907,PARÂMETROS!$A$8:$A$907,C667,PARÂMETROS!$G$8:$G$907,J667))</f>
        <v/>
      </c>
      <c r="E667" s="89">
        <f>SUMIFS(SETORES!$D:$D,SETORES!$A:$A,A667,SETORES!$F:$F,J667)</f>
        <v/>
      </c>
      <c r="F667" s="89">
        <f>IFERROR(D667*E667,0)</f>
        <v/>
      </c>
      <c r="G667" s="88">
        <f>SUMIFS(PARÂMETROS!$F$8:$F$907,PARÂMETROS!$A$8:$A$907,C667,PARÂMETROS!$G$8:$G$907,J667)</f>
        <v/>
      </c>
      <c r="H667" s="89">
        <f>IFERROR(F667*G667,0)</f>
        <v/>
      </c>
      <c r="I667" s="89">
        <f>F667+H667</f>
        <v/>
      </c>
      <c r="J667" s="110" t="inlineStr">
        <is>
          <t>Maio/2026</t>
        </is>
      </c>
    </row>
    <row r="668" ht="14.25" customHeight="1" s="64">
      <c r="A668" s="110" t="inlineStr">
        <is>
          <t>COE</t>
        </is>
      </c>
      <c r="B668" s="110">
        <f>INDEX(SETORES!$B:$B,MATCH(A668,SETORES!$A:$A,0))</f>
        <v/>
      </c>
      <c r="C668" s="110" t="inlineStr">
        <is>
          <t>Empresa Licenciada DX2</t>
        </is>
      </c>
      <c r="D668" s="88">
        <f>IF(B668="Clientes",SUMIFS(PARÂMETROS!$D$8:$D$907,PARÂMETROS!$A$8:$A$907,C668,PARÂMETROS!$G$8:$G$907,J668),SUMIFS(PARÂMETROS!$E$8:$E$907,PARÂMETROS!$A$8:$A$907,C668,PARÂMETROS!$G$8:$G$907,J668))</f>
        <v/>
      </c>
      <c r="E668" s="89">
        <f>SUMIFS(SETORES!$D:$D,SETORES!$A:$A,A668,SETORES!$F:$F,J668)</f>
        <v/>
      </c>
      <c r="F668" s="89" t="n">
        <v>0</v>
      </c>
      <c r="G668" s="88">
        <f>SUMIFS(PARÂMETROS!$F$8:$F$907,PARÂMETROS!$A$8:$A$907,C668,PARÂMETROS!$G$8:$G$907,J668)</f>
        <v/>
      </c>
      <c r="H668" s="89">
        <f>IFERROR(F668*G668,0)</f>
        <v/>
      </c>
      <c r="I668" s="89">
        <f>F668+H668</f>
        <v/>
      </c>
      <c r="J668" s="110" t="inlineStr">
        <is>
          <t>Junho/2026</t>
        </is>
      </c>
    </row>
    <row r="669" ht="14.25" customHeight="1" s="64">
      <c r="A669" s="110" t="inlineStr">
        <is>
          <t>COE</t>
        </is>
      </c>
      <c r="B669" s="110">
        <f>INDEX(SETORES!$B:$B,MATCH(A669,SETORES!$A:$A,0))</f>
        <v/>
      </c>
      <c r="C669" s="110" t="inlineStr">
        <is>
          <t>Empresa Licenciada H&amp;A</t>
        </is>
      </c>
      <c r="D669" s="88">
        <f>IF(B669="Clientes",SUMIFS(PARÂMETROS!$D$8:$D$907,PARÂMETROS!$A$8:$A$907,C669,PARÂMETROS!$G$8:$G$907,J669),SUMIFS(PARÂMETROS!$E$8:$E$907,PARÂMETROS!$A$8:$A$907,C669,PARÂMETROS!$G$8:$G$907,J669))</f>
        <v/>
      </c>
      <c r="E669" s="89">
        <f>SUMIFS(SETORES!$D:$D,SETORES!$A:$A,A669,SETORES!$F:$F,J669)</f>
        <v/>
      </c>
      <c r="F669" s="89" t="n">
        <v>0</v>
      </c>
      <c r="G669" s="88">
        <f>SUMIFS(PARÂMETROS!$F$8:$F$907,PARÂMETROS!$A$8:$A$907,C669,PARÂMETROS!$G$8:$G$907,J669)</f>
        <v/>
      </c>
      <c r="H669" s="89">
        <f>IFERROR(F669*G669,0)</f>
        <v/>
      </c>
      <c r="I669" s="89">
        <f>F669+H669</f>
        <v/>
      </c>
      <c r="J669" s="110" t="inlineStr">
        <is>
          <t>Junho/2026</t>
        </is>
      </c>
    </row>
    <row r="670" ht="14.25" customHeight="1" s="64">
      <c r="A670" s="110" t="inlineStr">
        <is>
          <t>COE</t>
        </is>
      </c>
      <c r="B670" s="110">
        <f>INDEX(SETORES!$B:$B,MATCH(A670,SETORES!$A:$A,0))</f>
        <v/>
      </c>
      <c r="C670" s="110" t="inlineStr">
        <is>
          <t>Empresa Licenciada SOLON ARAUJO</t>
        </is>
      </c>
      <c r="D670" s="88">
        <f>IF(B670="Clientes",SUMIFS(PARÂMETROS!$D$8:$D$907,PARÂMETROS!$A$8:$A$907,C670,PARÂMETROS!$G$8:$G$907,J670),SUMIFS(PARÂMETROS!$E$8:$E$907,PARÂMETROS!$A$8:$A$907,C670,PARÂMETROS!$G$8:$G$907,J670))</f>
        <v/>
      </c>
      <c r="E670" s="89">
        <f>SUMIFS(SETORES!$D:$D,SETORES!$A:$A,A670,SETORES!$F:$F,J670)</f>
        <v/>
      </c>
      <c r="F670" s="89" t="n">
        <v>8141.6567</v>
      </c>
      <c r="G670" s="88">
        <f>SUMIFS(PARÂMETROS!$F$8:$F$907,PARÂMETROS!$A$8:$A$907,C670,PARÂMETROS!$G$8:$G$907,J670)</f>
        <v/>
      </c>
      <c r="H670" s="89">
        <f>IFERROR(F670*G670,0)</f>
        <v/>
      </c>
      <c r="I670" s="89">
        <f>F670+H670</f>
        <v/>
      </c>
      <c r="J670" s="110" t="inlineStr">
        <is>
          <t>Junho/2026</t>
        </is>
      </c>
    </row>
    <row r="671" ht="14.25" customHeight="1" s="64">
      <c r="A671" s="110" t="inlineStr">
        <is>
          <t>COE</t>
        </is>
      </c>
      <c r="B671" s="110">
        <f>INDEX(SETORES!$B:$B,MATCH(A671,SETORES!$A:$A,0))</f>
        <v/>
      </c>
      <c r="C671" s="110" t="inlineStr">
        <is>
          <t>Empresa Licenciada SOARES E LINS</t>
        </is>
      </c>
      <c r="D671" s="88">
        <f>IF(B671="Clientes",SUMIFS(PARÂMETROS!$D$8:$D$907,PARÂMETROS!$A$8:$A$907,C671,PARÂMETROS!$G$8:$G$907,J671),SUMIFS(PARÂMETROS!$E$8:$E$907,PARÂMETROS!$A$8:$A$907,C671,PARÂMETROS!$G$8:$G$907,J671))</f>
        <v/>
      </c>
      <c r="E671" s="89">
        <f>SUMIFS(SETORES!$D:$D,SETORES!$A:$A,A671,SETORES!$F:$F,J671)</f>
        <v/>
      </c>
      <c r="F671" s="89" t="n">
        <v>2088.2693</v>
      </c>
      <c r="G671" s="88">
        <f>SUMIFS(PARÂMETROS!$F$8:$F$907,PARÂMETROS!$A$8:$A$907,C671,PARÂMETROS!$G$8:$G$907,J671)</f>
        <v/>
      </c>
      <c r="H671" s="89">
        <f>IFERROR(F671*G671,0)</f>
        <v/>
      </c>
      <c r="I671" s="89">
        <f>F671+H671</f>
        <v/>
      </c>
      <c r="J671" s="110" t="inlineStr">
        <is>
          <t>Junho/2026</t>
        </is>
      </c>
    </row>
    <row r="672" ht="14.25" customHeight="1" s="64">
      <c r="A672" s="110" t="inlineStr">
        <is>
          <t>COE</t>
        </is>
      </c>
      <c r="B672" s="110">
        <f>INDEX(SETORES!$B:$B,MATCH(A672,SETORES!$A:$A,0))</f>
        <v/>
      </c>
      <c r="C672" s="110" t="inlineStr">
        <is>
          <t>Empresa Licenciada SOARES E SILVA</t>
        </is>
      </c>
      <c r="D672" s="88">
        <f>IF(B672="Clientes",SUMIFS(PARÂMETROS!$D$8:$D$907,PARÂMETROS!$A$8:$A$907,C672,PARÂMETROS!$G$8:$G$907,J672),SUMIFS(PARÂMETROS!$E$8:$E$907,PARÂMETROS!$A$8:$A$907,C672,PARÂMETROS!$G$8:$G$907,J672))</f>
        <v/>
      </c>
      <c r="E672" s="89">
        <f>SUMIFS(SETORES!$D:$D,SETORES!$A:$A,A672,SETORES!$F:$F,J672)</f>
        <v/>
      </c>
      <c r="F672" s="89" t="n">
        <v>3627.4094</v>
      </c>
      <c r="G672" s="88">
        <f>SUMIFS(PARÂMETROS!$F$8:$F$907,PARÂMETROS!$A$8:$A$907,C672,PARÂMETROS!$G$8:$G$907,J672)</f>
        <v/>
      </c>
      <c r="H672" s="89">
        <f>IFERROR(F672*G672,0)</f>
        <v/>
      </c>
      <c r="I672" s="89">
        <f>F672+H672</f>
        <v/>
      </c>
      <c r="J672" s="110" t="inlineStr">
        <is>
          <t>Junho/2026</t>
        </is>
      </c>
    </row>
    <row r="673" ht="14.25" customHeight="1" s="64">
      <c r="A673" s="110" t="inlineStr">
        <is>
          <t>COE</t>
        </is>
      </c>
      <c r="B673" s="110">
        <f>INDEX(SETORES!$B:$B,MATCH(A673,SETORES!$A:$A,0))</f>
        <v/>
      </c>
      <c r="C673" s="110" t="inlineStr">
        <is>
          <t>Empresa Licenciada SOUZA E SILVA</t>
        </is>
      </c>
      <c r="D673" s="88">
        <f>IF(B673="Clientes",SUMIFS(PARÂMETROS!$D$8:$D$907,PARÂMETROS!$A$8:$A$907,C673,PARÂMETROS!$G$8:$G$907,J673),SUMIFS(PARÂMETROS!$E$8:$E$907,PARÂMETROS!$A$8:$A$907,C673,PARÂMETROS!$G$8:$G$907,J673))</f>
        <v/>
      </c>
      <c r="E673" s="89">
        <f>SUMIFS(SETORES!$D:$D,SETORES!$A:$A,A673,SETORES!$F:$F,J673)</f>
        <v/>
      </c>
      <c r="F673" s="89" t="n">
        <v>0</v>
      </c>
      <c r="G673" s="88">
        <f>SUMIFS(PARÂMETROS!$F$8:$F$907,PARÂMETROS!$A$8:$A$907,C673,PARÂMETROS!$G$8:$G$907,J673)</f>
        <v/>
      </c>
      <c r="H673" s="89">
        <f>IFERROR(F673*G673,0)</f>
        <v/>
      </c>
      <c r="I673" s="89">
        <f>F673+H673</f>
        <v/>
      </c>
      <c r="J673" s="110" t="inlineStr">
        <is>
          <t>Junho/2026</t>
        </is>
      </c>
    </row>
    <row r="674" ht="14.25" customHeight="1" s="64">
      <c r="A674" s="110" t="inlineStr">
        <is>
          <t>COE</t>
        </is>
      </c>
      <c r="B674" s="110">
        <f>INDEX(SETORES!$B:$B,MATCH(A674,SETORES!$A:$A,0))</f>
        <v/>
      </c>
      <c r="C674" s="110" t="inlineStr">
        <is>
          <t>Empresa Licenciada VOICENET</t>
        </is>
      </c>
      <c r="D674" s="88">
        <f>IF(B674="Clientes",SUMIFS(PARÂMETROS!$D$8:$D$907,PARÂMETROS!$A$8:$A$907,C674,PARÂMETROS!$G$8:$G$907,J674),SUMIFS(PARÂMETROS!$E$8:$E$907,PARÂMETROS!$A$8:$A$907,C674,PARÂMETROS!$G$8:$G$907,J674))</f>
        <v/>
      </c>
      <c r="E674" s="89">
        <f>SUMIFS(SETORES!$D:$D,SETORES!$A:$A,A674,SETORES!$F:$F,J674)</f>
        <v/>
      </c>
      <c r="F674" s="89" t="n">
        <v>2703.3615</v>
      </c>
      <c r="G674" s="88">
        <f>SUMIFS(PARÂMETROS!$F$8:$F$907,PARÂMETROS!$A$8:$A$907,C674,PARÂMETROS!$G$8:$G$907,J674)</f>
        <v/>
      </c>
      <c r="H674" s="89">
        <f>IFERROR(F674*G674,0)</f>
        <v/>
      </c>
      <c r="I674" s="89">
        <f>F674+H674</f>
        <v/>
      </c>
      <c r="J674" s="110" t="inlineStr">
        <is>
          <t>Junho/2026</t>
        </is>
      </c>
    </row>
    <row r="675" ht="14.25" customHeight="1" s="64">
      <c r="A675" s="110" t="inlineStr">
        <is>
          <t>COE</t>
        </is>
      </c>
      <c r="B675" s="110">
        <f>INDEX(SETORES!$B:$B,MATCH(A675,SETORES!$A:$A,0))</f>
        <v/>
      </c>
      <c r="C675" s="110" t="inlineStr">
        <is>
          <t>DTEL (uso próprio)</t>
        </is>
      </c>
      <c r="D675" s="88">
        <f>IF(B675="Clientes",SUMIFS(PARÂMETROS!$D$8:$D$907,PARÂMETROS!$A$8:$A$907,C675,PARÂMETROS!$G$8:$G$907,J675),SUMIFS(PARÂMETROS!$E$8:$E$907,PARÂMETROS!$A$8:$A$907,C675,PARÂMETROS!$G$8:$G$907,J675))</f>
        <v/>
      </c>
      <c r="E675" s="89">
        <f>SUMIFS(SETORES!$D:$D,SETORES!$A:$A,A675,SETORES!$F:$F,J675)</f>
        <v/>
      </c>
      <c r="F675" s="89">
        <f>IFERROR(D675*E675,0)</f>
        <v/>
      </c>
      <c r="G675" s="88">
        <f>SUMIFS(PARÂMETROS!$F$8:$F$907,PARÂMETROS!$A$8:$A$907,C675,PARÂMETROS!$G$8:$G$907,J675)</f>
        <v/>
      </c>
      <c r="H675" s="89">
        <f>IFERROR(F675*G675,0)</f>
        <v/>
      </c>
      <c r="I675" s="89">
        <f>F675+H675</f>
        <v/>
      </c>
      <c r="J675" s="110" t="inlineStr">
        <is>
          <t>Junho/2026</t>
        </is>
      </c>
    </row>
    <row r="676" ht="14.25" customHeight="1" s="64">
      <c r="A676" s="110" t="inlineStr">
        <is>
          <t>COE</t>
        </is>
      </c>
      <c r="B676" s="110">
        <f>INDEX(SETORES!$B:$B,MATCH(A676,SETORES!$A:$A,0))</f>
        <v/>
      </c>
      <c r="C676" s="110" t="inlineStr">
        <is>
          <t>Empresa Licenciada DX2</t>
        </is>
      </c>
      <c r="D676" s="88">
        <f>IF(B676="Clientes",SUMIFS(PARÂMETROS!$D$8:$D$907,PARÂMETROS!$A$8:$A$907,C676,PARÂMETROS!$G$8:$G$907,J676),SUMIFS(PARÂMETROS!$E$8:$E$907,PARÂMETROS!$A$8:$A$907,C676,PARÂMETROS!$G$8:$G$907,J676))</f>
        <v/>
      </c>
      <c r="E676" s="89">
        <f>SUMIFS(SETORES!$D:$D,SETORES!$A:$A,A676,SETORES!$F:$F,J676)</f>
        <v/>
      </c>
      <c r="F676" s="89" t="n">
        <v>0</v>
      </c>
      <c r="G676" s="88">
        <f>SUMIFS(PARÂMETROS!$F$8:$F$907,PARÂMETROS!$A$8:$A$907,C676,PARÂMETROS!$G$8:$G$907,J676)</f>
        <v/>
      </c>
      <c r="H676" s="89">
        <f>IFERROR(F676*G676,0)</f>
        <v/>
      </c>
      <c r="I676" s="89">
        <f>F676+H676</f>
        <v/>
      </c>
      <c r="J676" s="110" t="inlineStr">
        <is>
          <t>Julho/2026</t>
        </is>
      </c>
    </row>
    <row r="677" ht="14.25" customHeight="1" s="64">
      <c r="A677" s="110" t="inlineStr">
        <is>
          <t>COE</t>
        </is>
      </c>
      <c r="B677" s="110">
        <f>INDEX(SETORES!$B:$B,MATCH(A677,SETORES!$A:$A,0))</f>
        <v/>
      </c>
      <c r="C677" s="110" t="inlineStr">
        <is>
          <t>Empresa Licenciada H&amp;A</t>
        </is>
      </c>
      <c r="D677" s="88">
        <f>IF(B677="Clientes",SUMIFS(PARÂMETROS!$D$8:$D$907,PARÂMETROS!$A$8:$A$907,C677,PARÂMETROS!$G$8:$G$907,J677),SUMIFS(PARÂMETROS!$E$8:$E$907,PARÂMETROS!$A$8:$A$907,C677,PARÂMETROS!$G$8:$G$907,J677))</f>
        <v/>
      </c>
      <c r="E677" s="89">
        <f>SUMIFS(SETORES!$D:$D,SETORES!$A:$A,A677,SETORES!$F:$F,J677)</f>
        <v/>
      </c>
      <c r="F677" s="89" t="n">
        <v>0</v>
      </c>
      <c r="G677" s="88">
        <f>SUMIFS(PARÂMETROS!$F$8:$F$907,PARÂMETROS!$A$8:$A$907,C677,PARÂMETROS!$G$8:$G$907,J677)</f>
        <v/>
      </c>
      <c r="H677" s="89">
        <f>IFERROR(F677*G677,0)</f>
        <v/>
      </c>
      <c r="I677" s="89">
        <f>F677+H677</f>
        <v/>
      </c>
      <c r="J677" s="110" t="inlineStr">
        <is>
          <t>Julho/2026</t>
        </is>
      </c>
    </row>
    <row r="678" ht="14.25" customHeight="1" s="64">
      <c r="A678" s="110" t="inlineStr">
        <is>
          <t>COE</t>
        </is>
      </c>
      <c r="B678" s="110">
        <f>INDEX(SETORES!$B:$B,MATCH(A678,SETORES!$A:$A,0))</f>
        <v/>
      </c>
      <c r="C678" s="110" t="inlineStr">
        <is>
          <t>Empresa Licenciada SOLON ARAUJO</t>
        </is>
      </c>
      <c r="D678" s="88">
        <f>IF(B678="Clientes",SUMIFS(PARÂMETROS!$D$8:$D$907,PARÂMETROS!$A$8:$A$907,C678,PARÂMETROS!$G$8:$G$907,J678),SUMIFS(PARÂMETROS!$E$8:$E$907,PARÂMETROS!$A$8:$A$907,C678,PARÂMETROS!$G$8:$G$907,J678))</f>
        <v/>
      </c>
      <c r="E678" s="89">
        <f>SUMIFS(SETORES!$D:$D,SETORES!$A:$A,A678,SETORES!$F:$F,J678)</f>
        <v/>
      </c>
      <c r="F678" s="89" t="n">
        <v>6316.27</v>
      </c>
      <c r="G678" s="88">
        <f>SUMIFS(PARÂMETROS!$F$8:$F$907,PARÂMETROS!$A$8:$A$907,C678,PARÂMETROS!$G$8:$G$907,J678)</f>
        <v/>
      </c>
      <c r="H678" s="89">
        <f>IFERROR(F678*G678,0)</f>
        <v/>
      </c>
      <c r="I678" s="89">
        <f>F678+H678</f>
        <v/>
      </c>
      <c r="J678" s="110" t="inlineStr">
        <is>
          <t>Julho/2026</t>
        </is>
      </c>
    </row>
    <row r="679" ht="14.25" customHeight="1" s="64">
      <c r="A679" s="110" t="inlineStr">
        <is>
          <t>COE</t>
        </is>
      </c>
      <c r="B679" s="110">
        <f>INDEX(SETORES!$B:$B,MATCH(A679,SETORES!$A:$A,0))</f>
        <v/>
      </c>
      <c r="C679" s="110" t="inlineStr">
        <is>
          <t>Empresa Licenciada SOARES E LINS</t>
        </is>
      </c>
      <c r="D679" s="88">
        <f>IF(B679="Clientes",SUMIFS(PARÂMETROS!$D$8:$D$907,PARÂMETROS!$A$8:$A$907,C679,PARÂMETROS!$G$8:$G$907,J679),SUMIFS(PARÂMETROS!$E$8:$E$907,PARÂMETROS!$A$8:$A$907,C679,PARÂMETROS!$G$8:$G$907,J679))</f>
        <v/>
      </c>
      <c r="E679" s="89">
        <f>SUMIFS(SETORES!$D:$D,SETORES!$A:$A,A679,SETORES!$F:$F,J679)</f>
        <v/>
      </c>
      <c r="F679" s="89" t="n">
        <v>1618.95</v>
      </c>
      <c r="G679" s="88">
        <f>SUMIFS(PARÂMETROS!$F$8:$F$907,PARÂMETROS!$A$8:$A$907,C679,PARÂMETROS!$G$8:$G$907,J679)</f>
        <v/>
      </c>
      <c r="H679" s="89">
        <f>IFERROR(F679*G679,0)</f>
        <v/>
      </c>
      <c r="I679" s="89">
        <f>F679+H679</f>
        <v/>
      </c>
      <c r="J679" s="110" t="inlineStr">
        <is>
          <t>Julho/2026</t>
        </is>
      </c>
    </row>
    <row r="680" ht="14.25" customHeight="1" s="64">
      <c r="A680" s="110" t="inlineStr">
        <is>
          <t>COE</t>
        </is>
      </c>
      <c r="B680" s="110">
        <f>INDEX(SETORES!$B:$B,MATCH(A680,SETORES!$A:$A,0))</f>
        <v/>
      </c>
      <c r="C680" s="110" t="inlineStr">
        <is>
          <t>Empresa Licenciada SOARES E SILVA</t>
        </is>
      </c>
      <c r="D680" s="88">
        <f>IF(B680="Clientes",SUMIFS(PARÂMETROS!$D$8:$D$907,PARÂMETROS!$A$8:$A$907,C680,PARÂMETROS!$G$8:$G$907,J680),SUMIFS(PARÂMETROS!$E$8:$E$907,PARÂMETROS!$A$8:$A$907,C680,PARÂMETROS!$G$8:$G$907,J680))</f>
        <v/>
      </c>
      <c r="E680" s="89">
        <f>SUMIFS(SETORES!$D:$D,SETORES!$A:$A,A680,SETORES!$F:$F,J680)</f>
        <v/>
      </c>
      <c r="F680" s="89" t="n">
        <v>0</v>
      </c>
      <c r="G680" s="88">
        <f>SUMIFS(PARÂMETROS!$F$8:$F$907,PARÂMETROS!$A$8:$A$907,C680,PARÂMETROS!$G$8:$G$907,J680)</f>
        <v/>
      </c>
      <c r="H680" s="89">
        <f>IFERROR(F680*G680,0)</f>
        <v/>
      </c>
      <c r="I680" s="89">
        <f>F680+H680</f>
        <v/>
      </c>
      <c r="J680" s="110" t="inlineStr">
        <is>
          <t>Julho/2026</t>
        </is>
      </c>
    </row>
    <row r="681" ht="14.25" customHeight="1" s="64">
      <c r="A681" s="110" t="inlineStr">
        <is>
          <t>COE</t>
        </is>
      </c>
      <c r="B681" s="110">
        <f>INDEX(SETORES!$B:$B,MATCH(A681,SETORES!$A:$A,0))</f>
        <v/>
      </c>
      <c r="C681" s="110" t="inlineStr">
        <is>
          <t>Empresa Licenciada SOUZA E SILVA</t>
        </is>
      </c>
      <c r="D681" s="88">
        <f>IF(B681="Clientes",SUMIFS(PARÂMETROS!$D$8:$D$907,PARÂMETROS!$A$8:$A$907,C681,PARÂMETROS!$G$8:$G$907,J681),SUMIFS(PARÂMETROS!$E$8:$E$907,PARÂMETROS!$A$8:$A$907,C681,PARÂMETROS!$G$8:$G$907,J681))</f>
        <v/>
      </c>
      <c r="E681" s="89">
        <f>SUMIFS(SETORES!$D:$D,SETORES!$A:$A,A681,SETORES!$F:$F,J681)</f>
        <v/>
      </c>
      <c r="F681" s="89" t="n">
        <v>0</v>
      </c>
      <c r="G681" s="88">
        <f>SUMIFS(PARÂMETROS!$F$8:$F$907,PARÂMETROS!$A$8:$A$907,C681,PARÂMETROS!$G$8:$G$907,J681)</f>
        <v/>
      </c>
      <c r="H681" s="89">
        <f>IFERROR(F681*G681,0)</f>
        <v/>
      </c>
      <c r="I681" s="89">
        <f>F681+H681</f>
        <v/>
      </c>
      <c r="J681" s="110" t="inlineStr">
        <is>
          <t>Julho/2026</t>
        </is>
      </c>
    </row>
    <row r="682" ht="14.25" customHeight="1" s="64">
      <c r="A682" s="110" t="inlineStr">
        <is>
          <t>COE</t>
        </is>
      </c>
      <c r="B682" s="110">
        <f>INDEX(SETORES!$B:$B,MATCH(A682,SETORES!$A:$A,0))</f>
        <v/>
      </c>
      <c r="C682" s="110" t="inlineStr">
        <is>
          <t>Empresa Licenciada VOICENET</t>
        </is>
      </c>
      <c r="D682" s="88">
        <f>IF(B682="Clientes",SUMIFS(PARÂMETROS!$D$8:$D$907,PARÂMETROS!$A$8:$A$907,C682,PARÂMETROS!$G$8:$G$907,J682),SUMIFS(PARÂMETROS!$E$8:$E$907,PARÂMETROS!$A$8:$A$907,C682,PARÂMETROS!$G$8:$G$907,J682))</f>
        <v/>
      </c>
      <c r="E682" s="89">
        <f>SUMIFS(SETORES!$D:$D,SETORES!$A:$A,A682,SETORES!$F:$F,J682)</f>
        <v/>
      </c>
      <c r="F682" s="89" t="n">
        <v>2066.58</v>
      </c>
      <c r="G682" s="88">
        <f>SUMIFS(PARÂMETROS!$F$8:$F$907,PARÂMETROS!$A$8:$A$907,C682,PARÂMETROS!$G$8:$G$907,J682)</f>
        <v/>
      </c>
      <c r="H682" s="89">
        <f>IFERROR(F682*G682,0)</f>
        <v/>
      </c>
      <c r="I682" s="89">
        <f>F682+H682</f>
        <v/>
      </c>
      <c r="J682" s="110" t="inlineStr">
        <is>
          <t>Julho/2026</t>
        </is>
      </c>
    </row>
    <row r="683" ht="14.25" customHeight="1" s="64">
      <c r="A683" s="110" t="inlineStr">
        <is>
          <t>COE</t>
        </is>
      </c>
      <c r="B683" s="110">
        <f>INDEX(SETORES!$B:$B,MATCH(A683,SETORES!$A:$A,0))</f>
        <v/>
      </c>
      <c r="C683" s="110" t="inlineStr">
        <is>
          <t>DTEL (uso próprio)</t>
        </is>
      </c>
      <c r="D683" s="88">
        <f>IF(B683="Clientes",SUMIFS(PARÂMETROS!$D$8:$D$907,PARÂMETROS!$A$8:$A$907,C683,PARÂMETROS!$G$8:$G$907,J683),SUMIFS(PARÂMETROS!$E$8:$E$907,PARÂMETROS!$A$8:$A$907,C683,PARÂMETROS!$G$8:$G$907,J683))</f>
        <v/>
      </c>
      <c r="E683" s="89">
        <f>SUMIFS(SETORES!$D:$D,SETORES!$A:$A,A683,SETORES!$F:$F,J683)</f>
        <v/>
      </c>
      <c r="F683" s="89">
        <f>IFERROR(D683*E683,0)</f>
        <v/>
      </c>
      <c r="G683" s="88">
        <f>SUMIFS(PARÂMETROS!$F$8:$F$907,PARÂMETROS!$A$8:$A$907,C683,PARÂMETROS!$G$8:$G$907,J683)</f>
        <v/>
      </c>
      <c r="H683" s="89">
        <f>IFERROR(F683*G683,0)</f>
        <v/>
      </c>
      <c r="I683" s="89">
        <f>F683+H683</f>
        <v/>
      </c>
      <c r="J683" s="110" t="inlineStr">
        <is>
          <t>Julho/2026</t>
        </is>
      </c>
    </row>
    <row r="684" ht="14.25" customHeight="1" s="64">
      <c r="A684" s="110" t="inlineStr">
        <is>
          <t>Cozinha</t>
        </is>
      </c>
      <c r="B684" s="110">
        <f>INDEX(SETORES!$B:$B,MATCH(A684,SETORES!$A:$A,0))</f>
        <v/>
      </c>
      <c r="C684" s="110" t="inlineStr">
        <is>
          <t>Empresa Licenciada DX2</t>
        </is>
      </c>
      <c r="D684" s="88">
        <f>IF(B684="Clientes",SUMIFS(PARÂMETROS!$D$8:$D$907,PARÂMETROS!$A$8:$A$907,C684,PARÂMETROS!$G$8:$G$907,J684),SUMIFS(PARÂMETROS!$E$8:$E$907,PARÂMETROS!$A$8:$A$907,C684,PARÂMETROS!$G$8:$G$907,J684))</f>
        <v/>
      </c>
      <c r="E684" s="89">
        <f>SUMIFS(SETORES!$D:$D,SETORES!$A:$A,A684,SETORES!$F:$F,J684)</f>
        <v/>
      </c>
      <c r="F684" s="89">
        <f>IFERROR(D684*E684,0)</f>
        <v/>
      </c>
      <c r="G684" s="88">
        <f>SUMIFS(PARÂMETROS!$F$8:$F$907,PARÂMETROS!$A$8:$A$907,C684,PARÂMETROS!$G$8:$G$907,J684)</f>
        <v/>
      </c>
      <c r="H684" s="89">
        <f>IFERROR(F684*G684,0)</f>
        <v/>
      </c>
      <c r="I684" s="89">
        <f>F684+H684</f>
        <v/>
      </c>
      <c r="J684" s="110" t="inlineStr">
        <is>
          <t>Maio/2026</t>
        </is>
      </c>
    </row>
    <row r="685" ht="14.25" customHeight="1" s="64">
      <c r="A685" s="110" t="inlineStr">
        <is>
          <t>Cozinha</t>
        </is>
      </c>
      <c r="B685" s="110">
        <f>INDEX(SETORES!$B:$B,MATCH(A685,SETORES!$A:$A,0))</f>
        <v/>
      </c>
      <c r="C685" s="110" t="inlineStr">
        <is>
          <t>Empresa Licenciada H&amp;A</t>
        </is>
      </c>
      <c r="D685" s="88">
        <f>IF(B685="Clientes",SUMIFS(PARÂMETROS!$D$8:$D$907,PARÂMETROS!$A$8:$A$907,C685,PARÂMETROS!$G$8:$G$907,J685),SUMIFS(PARÂMETROS!$E$8:$E$907,PARÂMETROS!$A$8:$A$907,C685,PARÂMETROS!$G$8:$G$907,J685))</f>
        <v/>
      </c>
      <c r="E685" s="89">
        <f>SUMIFS(SETORES!$D:$D,SETORES!$A:$A,A685,SETORES!$F:$F,J685)</f>
        <v/>
      </c>
      <c r="F685" s="89">
        <f>IFERROR(D685*E685,0)</f>
        <v/>
      </c>
      <c r="G685" s="88">
        <f>SUMIFS(PARÂMETROS!$F$8:$F$907,PARÂMETROS!$A$8:$A$907,C685,PARÂMETROS!$G$8:$G$907,J685)</f>
        <v/>
      </c>
      <c r="H685" s="89">
        <f>IFERROR(F685*G685,0)</f>
        <v/>
      </c>
      <c r="I685" s="89">
        <f>F685+H685</f>
        <v/>
      </c>
      <c r="J685" s="110" t="inlineStr">
        <is>
          <t>Maio/2026</t>
        </is>
      </c>
    </row>
    <row r="686" ht="14.25" customHeight="1" s="64">
      <c r="A686" s="110" t="inlineStr">
        <is>
          <t>Cozinha</t>
        </is>
      </c>
      <c r="B686" s="110">
        <f>INDEX(SETORES!$B:$B,MATCH(A686,SETORES!$A:$A,0))</f>
        <v/>
      </c>
      <c r="C686" s="110" t="inlineStr">
        <is>
          <t>Empresa Licenciada SOLON ARAUJO</t>
        </is>
      </c>
      <c r="D686" s="88">
        <f>IF(B686="Clientes",SUMIFS(PARÂMETROS!$D$8:$D$907,PARÂMETROS!$A$8:$A$907,C686,PARÂMETROS!$G$8:$G$907,J686),SUMIFS(PARÂMETROS!$E$8:$E$907,PARÂMETROS!$A$8:$A$907,C686,PARÂMETROS!$G$8:$G$907,J686))</f>
        <v/>
      </c>
      <c r="E686" s="89">
        <f>SUMIFS(SETORES!$D:$D,SETORES!$A:$A,A686,SETORES!$F:$F,J686)</f>
        <v/>
      </c>
      <c r="F686" s="89">
        <f>IFERROR(D686*E686,0)</f>
        <v/>
      </c>
      <c r="G686" s="88">
        <f>SUMIFS(PARÂMETROS!$F$8:$F$907,PARÂMETROS!$A$8:$A$907,C686,PARÂMETROS!$G$8:$G$907,J686)</f>
        <v/>
      </c>
      <c r="H686" s="89">
        <f>IFERROR(F686*G686,0)</f>
        <v/>
      </c>
      <c r="I686" s="89">
        <f>F686+H686</f>
        <v/>
      </c>
      <c r="J686" s="110" t="inlineStr">
        <is>
          <t>Maio/2026</t>
        </is>
      </c>
    </row>
    <row r="687" ht="14.25" customHeight="1" s="64">
      <c r="A687" s="110" t="inlineStr">
        <is>
          <t>Cozinha</t>
        </is>
      </c>
      <c r="B687" s="110">
        <f>INDEX(SETORES!$B:$B,MATCH(A687,SETORES!$A:$A,0))</f>
        <v/>
      </c>
      <c r="C687" s="110" t="inlineStr">
        <is>
          <t>Empresa Licenciada SOARES E LINS</t>
        </is>
      </c>
      <c r="D687" s="88">
        <f>IF(B687="Clientes",SUMIFS(PARÂMETROS!$D$8:$D$907,PARÂMETROS!$A$8:$A$907,C687,PARÂMETROS!$G$8:$G$907,J687),SUMIFS(PARÂMETROS!$E$8:$E$907,PARÂMETROS!$A$8:$A$907,C687,PARÂMETROS!$G$8:$G$907,J687))</f>
        <v/>
      </c>
      <c r="E687" s="89">
        <f>SUMIFS(SETORES!$D:$D,SETORES!$A:$A,A687,SETORES!$F:$F,J687)</f>
        <v/>
      </c>
      <c r="F687" s="89">
        <f>IFERROR(D687*E687,0)</f>
        <v/>
      </c>
      <c r="G687" s="88">
        <f>SUMIFS(PARÂMETROS!$F$8:$F$907,PARÂMETROS!$A$8:$A$907,C687,PARÂMETROS!$G$8:$G$907,J687)</f>
        <v/>
      </c>
      <c r="H687" s="89">
        <f>IFERROR(F687*G687,0)</f>
        <v/>
      </c>
      <c r="I687" s="89">
        <f>F687+H687</f>
        <v/>
      </c>
      <c r="J687" s="110" t="inlineStr">
        <is>
          <t>Maio/2026</t>
        </is>
      </c>
    </row>
    <row r="688" ht="14.25" customHeight="1" s="64">
      <c r="A688" s="110" t="inlineStr">
        <is>
          <t>Cozinha</t>
        </is>
      </c>
      <c r="B688" s="110">
        <f>INDEX(SETORES!$B:$B,MATCH(A688,SETORES!$A:$A,0))</f>
        <v/>
      </c>
      <c r="C688" s="110" t="inlineStr">
        <is>
          <t>Empresa Licenciada SOARES E SILVA</t>
        </is>
      </c>
      <c r="D688" s="88">
        <f>IF(B688="Clientes",SUMIFS(PARÂMETROS!$D$8:$D$907,PARÂMETROS!$A$8:$A$907,C688,PARÂMETROS!$G$8:$G$907,J688),SUMIFS(PARÂMETROS!$E$8:$E$907,PARÂMETROS!$A$8:$A$907,C688,PARÂMETROS!$G$8:$G$907,J688))</f>
        <v/>
      </c>
      <c r="E688" s="89">
        <f>SUMIFS(SETORES!$D:$D,SETORES!$A:$A,A688,SETORES!$F:$F,J688)</f>
        <v/>
      </c>
      <c r="F688" s="89">
        <f>IFERROR(D688*E688,0)</f>
        <v/>
      </c>
      <c r="G688" s="88">
        <f>SUMIFS(PARÂMETROS!$F$8:$F$907,PARÂMETROS!$A$8:$A$907,C688,PARÂMETROS!$G$8:$G$907,J688)</f>
        <v/>
      </c>
      <c r="H688" s="89">
        <f>IFERROR(F688*G688,0)</f>
        <v/>
      </c>
      <c r="I688" s="89">
        <f>F688+H688</f>
        <v/>
      </c>
      <c r="J688" s="110" t="inlineStr">
        <is>
          <t>Maio/2026</t>
        </is>
      </c>
    </row>
    <row r="689" ht="14.25" customHeight="1" s="64">
      <c r="A689" s="110" t="inlineStr">
        <is>
          <t>Cozinha</t>
        </is>
      </c>
      <c r="B689" s="110">
        <f>INDEX(SETORES!$B:$B,MATCH(A689,SETORES!$A:$A,0))</f>
        <v/>
      </c>
      <c r="C689" s="110" t="inlineStr">
        <is>
          <t>Empresa Licenciada SOUZA E SILVA</t>
        </is>
      </c>
      <c r="D689" s="88">
        <f>IF(B689="Clientes",SUMIFS(PARÂMETROS!$D$8:$D$907,PARÂMETROS!$A$8:$A$907,C689,PARÂMETROS!$G$8:$G$907,J689),SUMIFS(PARÂMETROS!$E$8:$E$907,PARÂMETROS!$A$8:$A$907,C689,PARÂMETROS!$G$8:$G$907,J689))</f>
        <v/>
      </c>
      <c r="E689" s="89">
        <f>SUMIFS(SETORES!$D:$D,SETORES!$A:$A,A689,SETORES!$F:$F,J689)</f>
        <v/>
      </c>
      <c r="F689" s="89">
        <f>IFERROR(D689*E689,0)</f>
        <v/>
      </c>
      <c r="G689" s="88">
        <f>SUMIFS(PARÂMETROS!$F$8:$F$907,PARÂMETROS!$A$8:$A$907,C689,PARÂMETROS!$G$8:$G$907,J689)</f>
        <v/>
      </c>
      <c r="H689" s="89">
        <f>IFERROR(F689*G689,0)</f>
        <v/>
      </c>
      <c r="I689" s="89">
        <f>F689+H689</f>
        <v/>
      </c>
      <c r="J689" s="110" t="inlineStr">
        <is>
          <t>Maio/2026</t>
        </is>
      </c>
    </row>
    <row r="690" ht="14.25" customHeight="1" s="64">
      <c r="A690" s="110" t="inlineStr">
        <is>
          <t>Cozinha</t>
        </is>
      </c>
      <c r="B690" s="110">
        <f>INDEX(SETORES!$B:$B,MATCH(A690,SETORES!$A:$A,0))</f>
        <v/>
      </c>
      <c r="C690" s="110" t="inlineStr">
        <is>
          <t>Empresa Licenciada VOICENET</t>
        </is>
      </c>
      <c r="D690" s="88">
        <f>IF(B690="Clientes",SUMIFS(PARÂMETROS!$D$8:$D$907,PARÂMETROS!$A$8:$A$907,C690,PARÂMETROS!$G$8:$G$907,J690),SUMIFS(PARÂMETROS!$E$8:$E$907,PARÂMETROS!$A$8:$A$907,C690,PARÂMETROS!$G$8:$G$907,J690))</f>
        <v/>
      </c>
      <c r="E690" s="89">
        <f>SUMIFS(SETORES!$D:$D,SETORES!$A:$A,A690,SETORES!$F:$F,J690)</f>
        <v/>
      </c>
      <c r="F690" s="89">
        <f>IFERROR(D690*E690,0)</f>
        <v/>
      </c>
      <c r="G690" s="88">
        <f>SUMIFS(PARÂMETROS!$F$8:$F$907,PARÂMETROS!$A$8:$A$907,C690,PARÂMETROS!$G$8:$G$907,J690)</f>
        <v/>
      </c>
      <c r="H690" s="89">
        <f>IFERROR(F690*G690,0)</f>
        <v/>
      </c>
      <c r="I690" s="89">
        <f>F690+H690</f>
        <v/>
      </c>
      <c r="J690" s="110" t="inlineStr">
        <is>
          <t>Maio/2026</t>
        </is>
      </c>
    </row>
    <row r="691" ht="14.25" customHeight="1" s="64">
      <c r="A691" s="110" t="inlineStr">
        <is>
          <t>Cozinha</t>
        </is>
      </c>
      <c r="B691" s="110">
        <f>INDEX(SETORES!$B:$B,MATCH(A691,SETORES!$A:$A,0))</f>
        <v/>
      </c>
      <c r="C691" s="110" t="inlineStr">
        <is>
          <t>DTEL (uso próprio)</t>
        </is>
      </c>
      <c r="D691" s="88">
        <f>IF(B691="Clientes",SUMIFS(PARÂMETROS!$D$8:$D$907,PARÂMETROS!$A$8:$A$907,C691,PARÂMETROS!$G$8:$G$907,J691),SUMIFS(PARÂMETROS!$E$8:$E$907,PARÂMETROS!$A$8:$A$907,C691,PARÂMETROS!$G$8:$G$907,J691))</f>
        <v/>
      </c>
      <c r="E691" s="89">
        <f>SUMIFS(SETORES!$D:$D,SETORES!$A:$A,A691,SETORES!$F:$F,J691)</f>
        <v/>
      </c>
      <c r="F691" s="89">
        <f>IFERROR(D691*E691,0)</f>
        <v/>
      </c>
      <c r="G691" s="88">
        <f>SUMIFS(PARÂMETROS!$F$8:$F$907,PARÂMETROS!$A$8:$A$907,C691,PARÂMETROS!$G$8:$G$907,J691)</f>
        <v/>
      </c>
      <c r="H691" s="89">
        <f>IFERROR(F691*G691,0)</f>
        <v/>
      </c>
      <c r="I691" s="89">
        <f>F691+H691</f>
        <v/>
      </c>
      <c r="J691" s="110" t="inlineStr">
        <is>
          <t>Maio/2026</t>
        </is>
      </c>
    </row>
    <row r="692" ht="14.25" customHeight="1" s="64">
      <c r="A692" s="110" t="inlineStr">
        <is>
          <t>Cozinha</t>
        </is>
      </c>
      <c r="B692" s="110">
        <f>INDEX(SETORES!$B:$B,MATCH(A692,SETORES!$A:$A,0))</f>
        <v/>
      </c>
      <c r="C692" s="110" t="inlineStr">
        <is>
          <t>Empresa Licenciada DX2</t>
        </is>
      </c>
      <c r="D692" s="88">
        <f>IF(B692="Clientes",SUMIFS(PARÂMETROS!$D$8:$D$907,PARÂMETROS!$A$8:$A$907,C692,PARÂMETROS!$G$8:$G$907,J692),SUMIFS(PARÂMETROS!$E$8:$E$907,PARÂMETROS!$A$8:$A$907,C692,PARÂMETROS!$G$8:$G$907,J692))</f>
        <v/>
      </c>
      <c r="E692" s="89">
        <f>SUMIFS(SETORES!$D:$D,SETORES!$A:$A,A692,SETORES!$F:$F,J692)</f>
        <v/>
      </c>
      <c r="F692" s="89">
        <f>IFERROR(D692*E692,0)</f>
        <v/>
      </c>
      <c r="G692" s="88">
        <f>SUMIFS(PARÂMETROS!$F$8:$F$907,PARÂMETROS!$A$8:$A$907,C692,PARÂMETROS!$G$8:$G$907,J692)</f>
        <v/>
      </c>
      <c r="H692" s="89">
        <f>IFERROR(F692*G692,0)</f>
        <v/>
      </c>
      <c r="I692" s="89">
        <f>F692+H692</f>
        <v/>
      </c>
      <c r="J692" s="110" t="inlineStr">
        <is>
          <t>Junho/2026</t>
        </is>
      </c>
    </row>
    <row r="693" ht="14.25" customHeight="1" s="64">
      <c r="A693" s="110" t="inlineStr">
        <is>
          <t>Cozinha</t>
        </is>
      </c>
      <c r="B693" s="110">
        <f>INDEX(SETORES!$B:$B,MATCH(A693,SETORES!$A:$A,0))</f>
        <v/>
      </c>
      <c r="C693" s="110" t="inlineStr">
        <is>
          <t>Empresa Licenciada H&amp;A</t>
        </is>
      </c>
      <c r="D693" s="88">
        <f>IF(B693="Clientes",SUMIFS(PARÂMETROS!$D$8:$D$907,PARÂMETROS!$A$8:$A$907,C693,PARÂMETROS!$G$8:$G$907,J693),SUMIFS(PARÂMETROS!$E$8:$E$907,PARÂMETROS!$A$8:$A$907,C693,PARÂMETROS!$G$8:$G$907,J693))</f>
        <v/>
      </c>
      <c r="E693" s="89">
        <f>SUMIFS(SETORES!$D:$D,SETORES!$A:$A,A693,SETORES!$F:$F,J693)</f>
        <v/>
      </c>
      <c r="F693" s="89">
        <f>IFERROR(D693*E693,0)</f>
        <v/>
      </c>
      <c r="G693" s="88">
        <f>SUMIFS(PARÂMETROS!$F$8:$F$907,PARÂMETROS!$A$8:$A$907,C693,PARÂMETROS!$G$8:$G$907,J693)</f>
        <v/>
      </c>
      <c r="H693" s="89">
        <f>IFERROR(F693*G693,0)</f>
        <v/>
      </c>
      <c r="I693" s="89">
        <f>F693+H693</f>
        <v/>
      </c>
      <c r="J693" s="110" t="inlineStr">
        <is>
          <t>Junho/2026</t>
        </is>
      </c>
    </row>
    <row r="694" ht="14.25" customHeight="1" s="64">
      <c r="A694" s="110" t="inlineStr">
        <is>
          <t>Cozinha</t>
        </is>
      </c>
      <c r="B694" s="110">
        <f>INDEX(SETORES!$B:$B,MATCH(A694,SETORES!$A:$A,0))</f>
        <v/>
      </c>
      <c r="C694" s="110" t="inlineStr">
        <is>
          <t>Empresa Licenciada SOLON ARAUJO</t>
        </is>
      </c>
      <c r="D694" s="88">
        <f>IF(B694="Clientes",SUMIFS(PARÂMETROS!$D$8:$D$907,PARÂMETROS!$A$8:$A$907,C694,PARÂMETROS!$G$8:$G$907,J694),SUMIFS(PARÂMETROS!$E$8:$E$907,PARÂMETROS!$A$8:$A$907,C694,PARÂMETROS!$G$8:$G$907,J694))</f>
        <v/>
      </c>
      <c r="E694" s="89">
        <f>SUMIFS(SETORES!$D:$D,SETORES!$A:$A,A694,SETORES!$F:$F,J694)</f>
        <v/>
      </c>
      <c r="F694" s="89">
        <f>IFERROR(D694*E694,0)</f>
        <v/>
      </c>
      <c r="G694" s="88">
        <f>SUMIFS(PARÂMETROS!$F$8:$F$907,PARÂMETROS!$A$8:$A$907,C694,PARÂMETROS!$G$8:$G$907,J694)</f>
        <v/>
      </c>
      <c r="H694" s="89">
        <f>IFERROR(F694*G694,0)</f>
        <v/>
      </c>
      <c r="I694" s="89">
        <f>F694+H694</f>
        <v/>
      </c>
      <c r="J694" s="110" t="inlineStr">
        <is>
          <t>Junho/2026</t>
        </is>
      </c>
    </row>
    <row r="695" ht="14.25" customHeight="1" s="64">
      <c r="A695" s="110" t="inlineStr">
        <is>
          <t>Cozinha</t>
        </is>
      </c>
      <c r="B695" s="110">
        <f>INDEX(SETORES!$B:$B,MATCH(A695,SETORES!$A:$A,0))</f>
        <v/>
      </c>
      <c r="C695" s="110" t="inlineStr">
        <is>
          <t>Empresa Licenciada SOARES E LINS</t>
        </is>
      </c>
      <c r="D695" s="88">
        <f>IF(B695="Clientes",SUMIFS(PARÂMETROS!$D$8:$D$907,PARÂMETROS!$A$8:$A$907,C695,PARÂMETROS!$G$8:$G$907,J695),SUMIFS(PARÂMETROS!$E$8:$E$907,PARÂMETROS!$A$8:$A$907,C695,PARÂMETROS!$G$8:$G$907,J695))</f>
        <v/>
      </c>
      <c r="E695" s="89">
        <f>SUMIFS(SETORES!$D:$D,SETORES!$A:$A,A695,SETORES!$F:$F,J695)</f>
        <v/>
      </c>
      <c r="F695" s="89">
        <f>IFERROR(D695*E695,0)</f>
        <v/>
      </c>
      <c r="G695" s="88">
        <f>SUMIFS(PARÂMETROS!$F$8:$F$907,PARÂMETROS!$A$8:$A$907,C695,PARÂMETROS!$G$8:$G$907,J695)</f>
        <v/>
      </c>
      <c r="H695" s="89">
        <f>IFERROR(F695*G695,0)</f>
        <v/>
      </c>
      <c r="I695" s="89">
        <f>F695+H695</f>
        <v/>
      </c>
      <c r="J695" s="110" t="inlineStr">
        <is>
          <t>Junho/2026</t>
        </is>
      </c>
    </row>
    <row r="696" ht="14.25" customHeight="1" s="64">
      <c r="A696" s="110" t="inlineStr">
        <is>
          <t>Cozinha</t>
        </is>
      </c>
      <c r="B696" s="110">
        <f>INDEX(SETORES!$B:$B,MATCH(A696,SETORES!$A:$A,0))</f>
        <v/>
      </c>
      <c r="C696" s="110" t="inlineStr">
        <is>
          <t>Empresa Licenciada SOARES E SILVA</t>
        </is>
      </c>
      <c r="D696" s="88">
        <f>IF(B696="Clientes",SUMIFS(PARÂMETROS!$D$8:$D$907,PARÂMETROS!$A$8:$A$907,C696,PARÂMETROS!$G$8:$G$907,J696),SUMIFS(PARÂMETROS!$E$8:$E$907,PARÂMETROS!$A$8:$A$907,C696,PARÂMETROS!$G$8:$G$907,J696))</f>
        <v/>
      </c>
      <c r="E696" s="89">
        <f>SUMIFS(SETORES!$D:$D,SETORES!$A:$A,A696,SETORES!$F:$F,J696)</f>
        <v/>
      </c>
      <c r="F696" s="89">
        <f>IFERROR(D696*E696,0)</f>
        <v/>
      </c>
      <c r="G696" s="88">
        <f>SUMIFS(PARÂMETROS!$F$8:$F$907,PARÂMETROS!$A$8:$A$907,C696,PARÂMETROS!$G$8:$G$907,J696)</f>
        <v/>
      </c>
      <c r="H696" s="89">
        <f>IFERROR(F696*G696,0)</f>
        <v/>
      </c>
      <c r="I696" s="89">
        <f>F696+H696</f>
        <v/>
      </c>
      <c r="J696" s="110" t="inlineStr">
        <is>
          <t>Junho/2026</t>
        </is>
      </c>
    </row>
    <row r="697" ht="14.25" customHeight="1" s="64">
      <c r="A697" s="110" t="inlineStr">
        <is>
          <t>Cozinha</t>
        </is>
      </c>
      <c r="B697" s="110">
        <f>INDEX(SETORES!$B:$B,MATCH(A697,SETORES!$A:$A,0))</f>
        <v/>
      </c>
      <c r="C697" s="110" t="inlineStr">
        <is>
          <t>Empresa Licenciada SOUZA E SILVA</t>
        </is>
      </c>
      <c r="D697" s="88">
        <f>IF(B697="Clientes",SUMIFS(PARÂMETROS!$D$8:$D$907,PARÂMETROS!$A$8:$A$907,C697,PARÂMETROS!$G$8:$G$907,J697),SUMIFS(PARÂMETROS!$E$8:$E$907,PARÂMETROS!$A$8:$A$907,C697,PARÂMETROS!$G$8:$G$907,J697))</f>
        <v/>
      </c>
      <c r="E697" s="89">
        <f>SUMIFS(SETORES!$D:$D,SETORES!$A:$A,A697,SETORES!$F:$F,J697)</f>
        <v/>
      </c>
      <c r="F697" s="89">
        <f>IFERROR(D697*E697,0)</f>
        <v/>
      </c>
      <c r="G697" s="88">
        <f>SUMIFS(PARÂMETROS!$F$8:$F$907,PARÂMETROS!$A$8:$A$907,C697,PARÂMETROS!$G$8:$G$907,J697)</f>
        <v/>
      </c>
      <c r="H697" s="89">
        <f>IFERROR(F697*G697,0)</f>
        <v/>
      </c>
      <c r="I697" s="89">
        <f>F697+H697</f>
        <v/>
      </c>
      <c r="J697" s="110" t="inlineStr">
        <is>
          <t>Junho/2026</t>
        </is>
      </c>
    </row>
    <row r="698" ht="14.25" customHeight="1" s="64">
      <c r="A698" s="110" t="inlineStr">
        <is>
          <t>Cozinha</t>
        </is>
      </c>
      <c r="B698" s="110">
        <f>INDEX(SETORES!$B:$B,MATCH(A698,SETORES!$A:$A,0))</f>
        <v/>
      </c>
      <c r="C698" s="110" t="inlineStr">
        <is>
          <t>Empresa Licenciada VOICENET</t>
        </is>
      </c>
      <c r="D698" s="88">
        <f>IF(B698="Clientes",SUMIFS(PARÂMETROS!$D$8:$D$907,PARÂMETROS!$A$8:$A$907,C698,PARÂMETROS!$G$8:$G$907,J698),SUMIFS(PARÂMETROS!$E$8:$E$907,PARÂMETROS!$A$8:$A$907,C698,PARÂMETROS!$G$8:$G$907,J698))</f>
        <v/>
      </c>
      <c r="E698" s="89">
        <f>SUMIFS(SETORES!$D:$D,SETORES!$A:$A,A698,SETORES!$F:$F,J698)</f>
        <v/>
      </c>
      <c r="F698" s="89">
        <f>IFERROR(D698*E698,0)</f>
        <v/>
      </c>
      <c r="G698" s="88">
        <f>SUMIFS(PARÂMETROS!$F$8:$F$907,PARÂMETROS!$A$8:$A$907,C698,PARÂMETROS!$G$8:$G$907,J698)</f>
        <v/>
      </c>
      <c r="H698" s="89">
        <f>IFERROR(F698*G698,0)</f>
        <v/>
      </c>
      <c r="I698" s="89">
        <f>F698+H698</f>
        <v/>
      </c>
      <c r="J698" s="110" t="inlineStr">
        <is>
          <t>Junho/2026</t>
        </is>
      </c>
    </row>
    <row r="699" ht="14.25" customHeight="1" s="64">
      <c r="A699" s="110" t="inlineStr">
        <is>
          <t>Cozinha</t>
        </is>
      </c>
      <c r="B699" s="110">
        <f>INDEX(SETORES!$B:$B,MATCH(A699,SETORES!$A:$A,0))</f>
        <v/>
      </c>
      <c r="C699" s="110" t="inlineStr">
        <is>
          <t>DTEL (uso próprio)</t>
        </is>
      </c>
      <c r="D699" s="88">
        <f>IF(B699="Clientes",SUMIFS(PARÂMETROS!$D$8:$D$907,PARÂMETROS!$A$8:$A$907,C699,PARÂMETROS!$G$8:$G$907,J699),SUMIFS(PARÂMETROS!$E$8:$E$907,PARÂMETROS!$A$8:$A$907,C699,PARÂMETROS!$G$8:$G$907,J699))</f>
        <v/>
      </c>
      <c r="E699" s="89">
        <f>SUMIFS(SETORES!$D:$D,SETORES!$A:$A,A699,SETORES!$F:$F,J699)</f>
        <v/>
      </c>
      <c r="F699" s="89">
        <f>IFERROR(D699*E699,0)</f>
        <v/>
      </c>
      <c r="G699" s="88">
        <f>SUMIFS(PARÂMETROS!$F$8:$F$907,PARÂMETROS!$A$8:$A$907,C699,PARÂMETROS!$G$8:$G$907,J699)</f>
        <v/>
      </c>
      <c r="H699" s="89">
        <f>IFERROR(F699*G699,0)</f>
        <v/>
      </c>
      <c r="I699" s="89">
        <f>F699+H699</f>
        <v/>
      </c>
      <c r="J699" s="110" t="inlineStr">
        <is>
          <t>Junho/2026</t>
        </is>
      </c>
    </row>
    <row r="700" ht="14.25" customHeight="1" s="64">
      <c r="A700" s="110" t="inlineStr">
        <is>
          <t>Cozinha</t>
        </is>
      </c>
      <c r="B700" s="110">
        <f>INDEX(SETORES!$B:$B,MATCH(A700,SETORES!$A:$A,0))</f>
        <v/>
      </c>
      <c r="C700" s="110" t="inlineStr">
        <is>
          <t>Empresa Licenciada DX2</t>
        </is>
      </c>
      <c r="D700" s="88">
        <f>IF(B700="Clientes",SUMIFS(PARÂMETROS!$D$8:$D$907,PARÂMETROS!$A$8:$A$907,C700,PARÂMETROS!$G$8:$G$907,J700),SUMIFS(PARÂMETROS!$E$8:$E$907,PARÂMETROS!$A$8:$A$907,C700,PARÂMETROS!$G$8:$G$907,J700))</f>
        <v/>
      </c>
      <c r="E700" s="89">
        <f>SUMIFS(SETORES!$D:$D,SETORES!$A:$A,A700,SETORES!$F:$F,J700)</f>
        <v/>
      </c>
      <c r="F700" s="89">
        <f>IFERROR(D700*E700,0)</f>
        <v/>
      </c>
      <c r="G700" s="88">
        <f>SUMIFS(PARÂMETROS!$F$8:$F$907,PARÂMETROS!$A$8:$A$907,C700,PARÂMETROS!$G$8:$G$907,J700)</f>
        <v/>
      </c>
      <c r="H700" s="89">
        <f>IFERROR(F700*G700,0)</f>
        <v/>
      </c>
      <c r="I700" s="89">
        <f>F700+H700</f>
        <v/>
      </c>
      <c r="J700" s="110" t="inlineStr">
        <is>
          <t>Julho/2026</t>
        </is>
      </c>
    </row>
    <row r="701" ht="14.25" customHeight="1" s="64">
      <c r="A701" s="110" t="inlineStr">
        <is>
          <t>Cozinha</t>
        </is>
      </c>
      <c r="B701" s="110">
        <f>INDEX(SETORES!$B:$B,MATCH(A701,SETORES!$A:$A,0))</f>
        <v/>
      </c>
      <c r="C701" s="110" t="inlineStr">
        <is>
          <t>Empresa Licenciada H&amp;A</t>
        </is>
      </c>
      <c r="D701" s="88">
        <f>IF(B701="Clientes",SUMIFS(PARÂMETROS!$D$8:$D$907,PARÂMETROS!$A$8:$A$907,C701,PARÂMETROS!$G$8:$G$907,J701),SUMIFS(PARÂMETROS!$E$8:$E$907,PARÂMETROS!$A$8:$A$907,C701,PARÂMETROS!$G$8:$G$907,J701))</f>
        <v/>
      </c>
      <c r="E701" s="89">
        <f>SUMIFS(SETORES!$D:$D,SETORES!$A:$A,A701,SETORES!$F:$F,J701)</f>
        <v/>
      </c>
      <c r="F701" s="89">
        <f>IFERROR(D701*E701,0)</f>
        <v/>
      </c>
      <c r="G701" s="88">
        <f>SUMIFS(PARÂMETROS!$F$8:$F$907,PARÂMETROS!$A$8:$A$907,C701,PARÂMETROS!$G$8:$G$907,J701)</f>
        <v/>
      </c>
      <c r="H701" s="89">
        <f>IFERROR(F701*G701,0)</f>
        <v/>
      </c>
      <c r="I701" s="89">
        <f>F701+H701</f>
        <v/>
      </c>
      <c r="J701" s="110" t="inlineStr">
        <is>
          <t>Julho/2026</t>
        </is>
      </c>
    </row>
    <row r="702" ht="14.25" customHeight="1" s="64">
      <c r="A702" s="110" t="inlineStr">
        <is>
          <t>Cozinha</t>
        </is>
      </c>
      <c r="B702" s="110">
        <f>INDEX(SETORES!$B:$B,MATCH(A702,SETORES!$A:$A,0))</f>
        <v/>
      </c>
      <c r="C702" s="110" t="inlineStr">
        <is>
          <t>Empresa Licenciada SOLON ARAUJO</t>
        </is>
      </c>
      <c r="D702" s="88">
        <f>IF(B702="Clientes",SUMIFS(PARÂMETROS!$D$8:$D$907,PARÂMETROS!$A$8:$A$907,C702,PARÂMETROS!$G$8:$G$907,J702),SUMIFS(PARÂMETROS!$E$8:$E$907,PARÂMETROS!$A$8:$A$907,C702,PARÂMETROS!$G$8:$G$907,J702))</f>
        <v/>
      </c>
      <c r="E702" s="89">
        <f>SUMIFS(SETORES!$D:$D,SETORES!$A:$A,A702,SETORES!$F:$F,J702)</f>
        <v/>
      </c>
      <c r="F702" s="89">
        <f>IFERROR(D702*E702,0)</f>
        <v/>
      </c>
      <c r="G702" s="88">
        <f>SUMIFS(PARÂMETROS!$F$8:$F$907,PARÂMETROS!$A$8:$A$907,C702,PARÂMETROS!$G$8:$G$907,J702)</f>
        <v/>
      </c>
      <c r="H702" s="89">
        <f>IFERROR(F702*G702,0)</f>
        <v/>
      </c>
      <c r="I702" s="89">
        <f>F702+H702</f>
        <v/>
      </c>
      <c r="J702" s="110" t="inlineStr">
        <is>
          <t>Julho/2026</t>
        </is>
      </c>
    </row>
    <row r="703" ht="14.25" customHeight="1" s="64">
      <c r="A703" s="110" t="inlineStr">
        <is>
          <t>Cozinha</t>
        </is>
      </c>
      <c r="B703" s="110">
        <f>INDEX(SETORES!$B:$B,MATCH(A703,SETORES!$A:$A,0))</f>
        <v/>
      </c>
      <c r="C703" s="110" t="inlineStr">
        <is>
          <t>Empresa Licenciada SOARES E LINS</t>
        </is>
      </c>
      <c r="D703" s="88">
        <f>IF(B703="Clientes",SUMIFS(PARÂMETROS!$D$8:$D$907,PARÂMETROS!$A$8:$A$907,C703,PARÂMETROS!$G$8:$G$907,J703),SUMIFS(PARÂMETROS!$E$8:$E$907,PARÂMETROS!$A$8:$A$907,C703,PARÂMETROS!$G$8:$G$907,J703))</f>
        <v/>
      </c>
      <c r="E703" s="89">
        <f>SUMIFS(SETORES!$D:$D,SETORES!$A:$A,A703,SETORES!$F:$F,J703)</f>
        <v/>
      </c>
      <c r="F703" s="89">
        <f>IFERROR(D703*E703,0)</f>
        <v/>
      </c>
      <c r="G703" s="88">
        <f>SUMIFS(PARÂMETROS!$F$8:$F$907,PARÂMETROS!$A$8:$A$907,C703,PARÂMETROS!$G$8:$G$907,J703)</f>
        <v/>
      </c>
      <c r="H703" s="89">
        <f>IFERROR(F703*G703,0)</f>
        <v/>
      </c>
      <c r="I703" s="89">
        <f>F703+H703</f>
        <v/>
      </c>
      <c r="J703" s="110" t="inlineStr">
        <is>
          <t>Julho/2026</t>
        </is>
      </c>
    </row>
    <row r="704" ht="14.25" customHeight="1" s="64">
      <c r="A704" s="110" t="inlineStr">
        <is>
          <t>Cozinha</t>
        </is>
      </c>
      <c r="B704" s="110">
        <f>INDEX(SETORES!$B:$B,MATCH(A704,SETORES!$A:$A,0))</f>
        <v/>
      </c>
      <c r="C704" s="110" t="inlineStr">
        <is>
          <t>Empresa Licenciada SOARES E SILVA</t>
        </is>
      </c>
      <c r="D704" s="88">
        <f>IF(B704="Clientes",SUMIFS(PARÂMETROS!$D$8:$D$907,PARÂMETROS!$A$8:$A$907,C704,PARÂMETROS!$G$8:$G$907,J704),SUMIFS(PARÂMETROS!$E$8:$E$907,PARÂMETROS!$A$8:$A$907,C704,PARÂMETROS!$G$8:$G$907,J704))</f>
        <v/>
      </c>
      <c r="E704" s="89">
        <f>SUMIFS(SETORES!$D:$D,SETORES!$A:$A,A704,SETORES!$F:$F,J704)</f>
        <v/>
      </c>
      <c r="F704" s="89">
        <f>IFERROR(D704*E704,0)</f>
        <v/>
      </c>
      <c r="G704" s="88">
        <f>SUMIFS(PARÂMETROS!$F$8:$F$907,PARÂMETROS!$A$8:$A$907,C704,PARÂMETROS!$G$8:$G$907,J704)</f>
        <v/>
      </c>
      <c r="H704" s="89">
        <f>IFERROR(F704*G704,0)</f>
        <v/>
      </c>
      <c r="I704" s="89">
        <f>F704+H704</f>
        <v/>
      </c>
      <c r="J704" s="110" t="inlineStr">
        <is>
          <t>Julho/2026</t>
        </is>
      </c>
    </row>
    <row r="705" ht="14.25" customHeight="1" s="64">
      <c r="A705" s="110" t="inlineStr">
        <is>
          <t>Cozinha</t>
        </is>
      </c>
      <c r="B705" s="110">
        <f>INDEX(SETORES!$B:$B,MATCH(A705,SETORES!$A:$A,0))</f>
        <v/>
      </c>
      <c r="C705" s="110" t="inlineStr">
        <is>
          <t>Empresa Licenciada SOUZA E SILVA</t>
        </is>
      </c>
      <c r="D705" s="88">
        <f>IF(B705="Clientes",SUMIFS(PARÂMETROS!$D$8:$D$907,PARÂMETROS!$A$8:$A$907,C705,PARÂMETROS!$G$8:$G$907,J705),SUMIFS(PARÂMETROS!$E$8:$E$907,PARÂMETROS!$A$8:$A$907,C705,PARÂMETROS!$G$8:$G$907,J705))</f>
        <v/>
      </c>
      <c r="E705" s="89">
        <f>SUMIFS(SETORES!$D:$D,SETORES!$A:$A,A705,SETORES!$F:$F,J705)</f>
        <v/>
      </c>
      <c r="F705" s="89">
        <f>IFERROR(D705*E705,0)</f>
        <v/>
      </c>
      <c r="G705" s="88">
        <f>SUMIFS(PARÂMETROS!$F$8:$F$907,PARÂMETROS!$A$8:$A$907,C705,PARÂMETROS!$G$8:$G$907,J705)</f>
        <v/>
      </c>
      <c r="H705" s="89">
        <f>IFERROR(F705*G705,0)</f>
        <v/>
      </c>
      <c r="I705" s="89">
        <f>F705+H705</f>
        <v/>
      </c>
      <c r="J705" s="110" t="inlineStr">
        <is>
          <t>Julho/2026</t>
        </is>
      </c>
    </row>
    <row r="706" ht="14.25" customHeight="1" s="64">
      <c r="A706" s="110" t="inlineStr">
        <is>
          <t>Cozinha</t>
        </is>
      </c>
      <c r="B706" s="110">
        <f>INDEX(SETORES!$B:$B,MATCH(A706,SETORES!$A:$A,0))</f>
        <v/>
      </c>
      <c r="C706" s="110" t="inlineStr">
        <is>
          <t>Empresa Licenciada VOICENET</t>
        </is>
      </c>
      <c r="D706" s="88">
        <f>IF(B706="Clientes",SUMIFS(PARÂMETROS!$D$8:$D$907,PARÂMETROS!$A$8:$A$907,C706,PARÂMETROS!$G$8:$G$907,J706),SUMIFS(PARÂMETROS!$E$8:$E$907,PARÂMETROS!$A$8:$A$907,C706,PARÂMETROS!$G$8:$G$907,J706))</f>
        <v/>
      </c>
      <c r="E706" s="89">
        <f>SUMIFS(SETORES!$D:$D,SETORES!$A:$A,A706,SETORES!$F:$F,J706)</f>
        <v/>
      </c>
      <c r="F706" s="89">
        <f>IFERROR(D706*E706,0)</f>
        <v/>
      </c>
      <c r="G706" s="88">
        <f>SUMIFS(PARÂMETROS!$F$8:$F$907,PARÂMETROS!$A$8:$A$907,C706,PARÂMETROS!$G$8:$G$907,J706)</f>
        <v/>
      </c>
      <c r="H706" s="89">
        <f>IFERROR(F706*G706,0)</f>
        <v/>
      </c>
      <c r="I706" s="89">
        <f>F706+H706</f>
        <v/>
      </c>
      <c r="J706" s="110" t="inlineStr">
        <is>
          <t>Julho/2026</t>
        </is>
      </c>
    </row>
    <row r="707" ht="14.25" customHeight="1" s="64">
      <c r="A707" s="110" t="inlineStr">
        <is>
          <t>Cozinha</t>
        </is>
      </c>
      <c r="B707" s="110">
        <f>INDEX(SETORES!$B:$B,MATCH(A707,SETORES!$A:$A,0))</f>
        <v/>
      </c>
      <c r="C707" s="110" t="inlineStr">
        <is>
          <t>DTEL (uso próprio)</t>
        </is>
      </c>
      <c r="D707" s="88">
        <f>IF(B707="Clientes",SUMIFS(PARÂMETROS!$D$8:$D$907,PARÂMETROS!$A$8:$A$907,C707,PARÂMETROS!$G$8:$G$907,J707),SUMIFS(PARÂMETROS!$E$8:$E$907,PARÂMETROS!$A$8:$A$907,C707,PARÂMETROS!$G$8:$G$907,J707))</f>
        <v/>
      </c>
      <c r="E707" s="89">
        <f>SUMIFS(SETORES!$D:$D,SETORES!$A:$A,A707,SETORES!$F:$F,J707)</f>
        <v/>
      </c>
      <c r="F707" s="89">
        <f>IFERROR(D707*E707,0)</f>
        <v/>
      </c>
      <c r="G707" s="88">
        <f>SUMIFS(PARÂMETROS!$F$8:$F$907,PARÂMETROS!$A$8:$A$907,C707,PARÂMETROS!$G$8:$G$907,J707)</f>
        <v/>
      </c>
      <c r="H707" s="89">
        <f>IFERROR(F707*G707,0)</f>
        <v/>
      </c>
      <c r="I707" s="89">
        <f>F707+H707</f>
        <v/>
      </c>
      <c r="J707" s="110" t="inlineStr">
        <is>
          <t>Julho/2026</t>
        </is>
      </c>
    </row>
    <row r="708" ht="14.25" customHeight="1" s="64">
      <c r="A708" s="110" t="inlineStr">
        <is>
          <t>Diretoria Adm</t>
        </is>
      </c>
      <c r="B708" s="110">
        <f>INDEX(SETORES!$B:$B,MATCH(A708,SETORES!$A:$A,0))</f>
        <v/>
      </c>
      <c r="C708" s="110" t="inlineStr">
        <is>
          <t>Empresa Licenciada DX2</t>
        </is>
      </c>
      <c r="D708" s="88">
        <f>IF(B708="Clientes",SUMIFS(PARÂMETROS!$D$8:$D$907,PARÂMETROS!$A$8:$A$907,C708,PARÂMETROS!$G$8:$G$907,J708),SUMIFS(PARÂMETROS!$E$8:$E$907,PARÂMETROS!$A$8:$A$907,C708,PARÂMETROS!$G$8:$G$907,J708))</f>
        <v/>
      </c>
      <c r="E708" s="89">
        <f>SUMIFS(SETORES!$D:$D,SETORES!$A:$A,A708,SETORES!$F:$F,J708)</f>
        <v/>
      </c>
      <c r="F708" s="89">
        <f>IFERROR(D708*E708,0)</f>
        <v/>
      </c>
      <c r="G708" s="88">
        <f>SUMIFS(PARÂMETROS!$F$8:$F$907,PARÂMETROS!$A$8:$A$907,C708,PARÂMETROS!$G$8:$G$907,J708)</f>
        <v/>
      </c>
      <c r="H708" s="89">
        <f>IFERROR(F708*G708,0)</f>
        <v/>
      </c>
      <c r="I708" s="89">
        <f>F708+H708</f>
        <v/>
      </c>
      <c r="J708" s="110" t="inlineStr">
        <is>
          <t>Maio/2026</t>
        </is>
      </c>
    </row>
    <row r="709" ht="14.25" customHeight="1" s="64">
      <c r="A709" s="110" t="inlineStr">
        <is>
          <t>Diretoria Adm</t>
        </is>
      </c>
      <c r="B709" s="110">
        <f>INDEX(SETORES!$B:$B,MATCH(A709,SETORES!$A:$A,0))</f>
        <v/>
      </c>
      <c r="C709" s="110" t="inlineStr">
        <is>
          <t>Empresa Licenciada H&amp;A</t>
        </is>
      </c>
      <c r="D709" s="88">
        <f>IF(B709="Clientes",SUMIFS(PARÂMETROS!$D$8:$D$907,PARÂMETROS!$A$8:$A$907,C709,PARÂMETROS!$G$8:$G$907,J709),SUMIFS(PARÂMETROS!$E$8:$E$907,PARÂMETROS!$A$8:$A$907,C709,PARÂMETROS!$G$8:$G$907,J709))</f>
        <v/>
      </c>
      <c r="E709" s="89">
        <f>SUMIFS(SETORES!$D:$D,SETORES!$A:$A,A709,SETORES!$F:$F,J709)</f>
        <v/>
      </c>
      <c r="F709" s="89">
        <f>IFERROR(D709*E709,0)</f>
        <v/>
      </c>
      <c r="G709" s="88">
        <f>SUMIFS(PARÂMETROS!$F$8:$F$907,PARÂMETROS!$A$8:$A$907,C709,PARÂMETROS!$G$8:$G$907,J709)</f>
        <v/>
      </c>
      <c r="H709" s="89">
        <f>IFERROR(F709*G709,0)</f>
        <v/>
      </c>
      <c r="I709" s="89">
        <f>F709+H709</f>
        <v/>
      </c>
      <c r="J709" s="110" t="inlineStr">
        <is>
          <t>Maio/2026</t>
        </is>
      </c>
    </row>
    <row r="710" ht="14.25" customHeight="1" s="64">
      <c r="A710" s="110" t="inlineStr">
        <is>
          <t>Diretoria Adm</t>
        </is>
      </c>
      <c r="B710" s="110">
        <f>INDEX(SETORES!$B:$B,MATCH(A710,SETORES!$A:$A,0))</f>
        <v/>
      </c>
      <c r="C710" s="110" t="inlineStr">
        <is>
          <t>Empresa Licenciada SOLON ARAUJO</t>
        </is>
      </c>
      <c r="D710" s="88">
        <f>IF(B710="Clientes",SUMIFS(PARÂMETROS!$D$8:$D$907,PARÂMETROS!$A$8:$A$907,C710,PARÂMETROS!$G$8:$G$907,J710),SUMIFS(PARÂMETROS!$E$8:$E$907,PARÂMETROS!$A$8:$A$907,C710,PARÂMETROS!$G$8:$G$907,J710))</f>
        <v/>
      </c>
      <c r="E710" s="89">
        <f>SUMIFS(SETORES!$D:$D,SETORES!$A:$A,A710,SETORES!$F:$F,J710)</f>
        <v/>
      </c>
      <c r="F710" s="89">
        <f>IFERROR(D710*E710,0)</f>
        <v/>
      </c>
      <c r="G710" s="88">
        <f>SUMIFS(PARÂMETROS!$F$8:$F$907,PARÂMETROS!$A$8:$A$907,C710,PARÂMETROS!$G$8:$G$907,J710)</f>
        <v/>
      </c>
      <c r="H710" s="89">
        <f>IFERROR(F710*G710,0)</f>
        <v/>
      </c>
      <c r="I710" s="89">
        <f>F710+H710</f>
        <v/>
      </c>
      <c r="J710" s="110" t="inlineStr">
        <is>
          <t>Maio/2026</t>
        </is>
      </c>
    </row>
    <row r="711" ht="14.25" customHeight="1" s="64">
      <c r="A711" s="110" t="inlineStr">
        <is>
          <t>Diretoria Adm</t>
        </is>
      </c>
      <c r="B711" s="110">
        <f>INDEX(SETORES!$B:$B,MATCH(A711,SETORES!$A:$A,0))</f>
        <v/>
      </c>
      <c r="C711" s="110" t="inlineStr">
        <is>
          <t>Empresa Licenciada SOARES E LINS</t>
        </is>
      </c>
      <c r="D711" s="88">
        <f>IF(B711="Clientes",SUMIFS(PARÂMETROS!$D$8:$D$907,PARÂMETROS!$A$8:$A$907,C711,PARÂMETROS!$G$8:$G$907,J711),SUMIFS(PARÂMETROS!$E$8:$E$907,PARÂMETROS!$A$8:$A$907,C711,PARÂMETROS!$G$8:$G$907,J711))</f>
        <v/>
      </c>
      <c r="E711" s="89">
        <f>SUMIFS(SETORES!$D:$D,SETORES!$A:$A,A711,SETORES!$F:$F,J711)</f>
        <v/>
      </c>
      <c r="F711" s="89">
        <f>IFERROR(D711*E711,0)</f>
        <v/>
      </c>
      <c r="G711" s="88">
        <f>SUMIFS(PARÂMETROS!$F$8:$F$907,PARÂMETROS!$A$8:$A$907,C711,PARÂMETROS!$G$8:$G$907,J711)</f>
        <v/>
      </c>
      <c r="H711" s="89">
        <f>IFERROR(F711*G711,0)</f>
        <v/>
      </c>
      <c r="I711" s="89">
        <f>F711+H711</f>
        <v/>
      </c>
      <c r="J711" s="110" t="inlineStr">
        <is>
          <t>Maio/2026</t>
        </is>
      </c>
    </row>
    <row r="712" ht="14.25" customHeight="1" s="64">
      <c r="A712" s="110" t="inlineStr">
        <is>
          <t>Diretoria Adm</t>
        </is>
      </c>
      <c r="B712" s="110">
        <f>INDEX(SETORES!$B:$B,MATCH(A712,SETORES!$A:$A,0))</f>
        <v/>
      </c>
      <c r="C712" s="110" t="inlineStr">
        <is>
          <t>Empresa Licenciada SOARES E SILVA</t>
        </is>
      </c>
      <c r="D712" s="88">
        <f>IF(B712="Clientes",SUMIFS(PARÂMETROS!$D$8:$D$907,PARÂMETROS!$A$8:$A$907,C712,PARÂMETROS!$G$8:$G$907,J712),SUMIFS(PARÂMETROS!$E$8:$E$907,PARÂMETROS!$A$8:$A$907,C712,PARÂMETROS!$G$8:$G$907,J712))</f>
        <v/>
      </c>
      <c r="E712" s="89">
        <f>SUMIFS(SETORES!$D:$D,SETORES!$A:$A,A712,SETORES!$F:$F,J712)</f>
        <v/>
      </c>
      <c r="F712" s="89">
        <f>IFERROR(D712*E712,0)</f>
        <v/>
      </c>
      <c r="G712" s="88">
        <f>SUMIFS(PARÂMETROS!$F$8:$F$907,PARÂMETROS!$A$8:$A$907,C712,PARÂMETROS!$G$8:$G$907,J712)</f>
        <v/>
      </c>
      <c r="H712" s="89">
        <f>IFERROR(F712*G712,0)</f>
        <v/>
      </c>
      <c r="I712" s="89">
        <f>F712+H712</f>
        <v/>
      </c>
      <c r="J712" s="110" t="inlineStr">
        <is>
          <t>Maio/2026</t>
        </is>
      </c>
    </row>
    <row r="713" ht="14.25" customHeight="1" s="64">
      <c r="A713" s="110" t="inlineStr">
        <is>
          <t>Diretoria Adm</t>
        </is>
      </c>
      <c r="B713" s="110">
        <f>INDEX(SETORES!$B:$B,MATCH(A713,SETORES!$A:$A,0))</f>
        <v/>
      </c>
      <c r="C713" s="110" t="inlineStr">
        <is>
          <t>Empresa Licenciada SOUZA E SILVA</t>
        </is>
      </c>
      <c r="D713" s="88">
        <f>IF(B713="Clientes",SUMIFS(PARÂMETROS!$D$8:$D$907,PARÂMETROS!$A$8:$A$907,C713,PARÂMETROS!$G$8:$G$907,J713),SUMIFS(PARÂMETROS!$E$8:$E$907,PARÂMETROS!$A$8:$A$907,C713,PARÂMETROS!$G$8:$G$907,J713))</f>
        <v/>
      </c>
      <c r="E713" s="89">
        <f>SUMIFS(SETORES!$D:$D,SETORES!$A:$A,A713,SETORES!$F:$F,J713)</f>
        <v/>
      </c>
      <c r="F713" s="89">
        <f>IFERROR(D713*E713,0)</f>
        <v/>
      </c>
      <c r="G713" s="88">
        <f>SUMIFS(PARÂMETROS!$F$8:$F$907,PARÂMETROS!$A$8:$A$907,C713,PARÂMETROS!$G$8:$G$907,J713)</f>
        <v/>
      </c>
      <c r="H713" s="89">
        <f>IFERROR(F713*G713,0)</f>
        <v/>
      </c>
      <c r="I713" s="89">
        <f>F713+H713</f>
        <v/>
      </c>
      <c r="J713" s="110" t="inlineStr">
        <is>
          <t>Maio/2026</t>
        </is>
      </c>
    </row>
    <row r="714" ht="14.25" customHeight="1" s="64">
      <c r="A714" s="110" t="inlineStr">
        <is>
          <t>Diretoria Adm</t>
        </is>
      </c>
      <c r="B714" s="110">
        <f>INDEX(SETORES!$B:$B,MATCH(A714,SETORES!$A:$A,0))</f>
        <v/>
      </c>
      <c r="C714" s="110" t="inlineStr">
        <is>
          <t>Empresa Licenciada VOICENET</t>
        </is>
      </c>
      <c r="D714" s="88">
        <f>IF(B714="Clientes",SUMIFS(PARÂMETROS!$D$8:$D$907,PARÂMETROS!$A$8:$A$907,C714,PARÂMETROS!$G$8:$G$907,J714),SUMIFS(PARÂMETROS!$E$8:$E$907,PARÂMETROS!$A$8:$A$907,C714,PARÂMETROS!$G$8:$G$907,J714))</f>
        <v/>
      </c>
      <c r="E714" s="89">
        <f>SUMIFS(SETORES!$D:$D,SETORES!$A:$A,A714,SETORES!$F:$F,J714)</f>
        <v/>
      </c>
      <c r="F714" s="89">
        <f>IFERROR(D714*E714,0)</f>
        <v/>
      </c>
      <c r="G714" s="88">
        <f>SUMIFS(PARÂMETROS!$F$8:$F$907,PARÂMETROS!$A$8:$A$907,C714,PARÂMETROS!$G$8:$G$907,J714)</f>
        <v/>
      </c>
      <c r="H714" s="89">
        <f>IFERROR(F714*G714,0)</f>
        <v/>
      </c>
      <c r="I714" s="89">
        <f>F714+H714</f>
        <v/>
      </c>
      <c r="J714" s="110" t="inlineStr">
        <is>
          <t>Maio/2026</t>
        </is>
      </c>
    </row>
    <row r="715" ht="14.25" customHeight="1" s="64">
      <c r="A715" s="110" t="inlineStr">
        <is>
          <t>Diretoria Adm</t>
        </is>
      </c>
      <c r="B715" s="110">
        <f>INDEX(SETORES!$B:$B,MATCH(A715,SETORES!$A:$A,0))</f>
        <v/>
      </c>
      <c r="C715" s="110" t="inlineStr">
        <is>
          <t>DTEL (uso próprio)</t>
        </is>
      </c>
      <c r="D715" s="88">
        <f>IF(B715="Clientes",SUMIFS(PARÂMETROS!$D$8:$D$907,PARÂMETROS!$A$8:$A$907,C715,PARÂMETROS!$G$8:$G$907,J715),SUMIFS(PARÂMETROS!$E$8:$E$907,PARÂMETROS!$A$8:$A$907,C715,PARÂMETROS!$G$8:$G$907,J715))</f>
        <v/>
      </c>
      <c r="E715" s="89">
        <f>SUMIFS(SETORES!$D:$D,SETORES!$A:$A,A715,SETORES!$F:$F,J715)</f>
        <v/>
      </c>
      <c r="F715" s="89">
        <f>IFERROR(D715*E715,0)</f>
        <v/>
      </c>
      <c r="G715" s="88">
        <f>SUMIFS(PARÂMETROS!$F$8:$F$907,PARÂMETROS!$A$8:$A$907,C715,PARÂMETROS!$G$8:$G$907,J715)</f>
        <v/>
      </c>
      <c r="H715" s="89">
        <f>IFERROR(F715*G715,0)</f>
        <v/>
      </c>
      <c r="I715" s="89">
        <f>F715+H715</f>
        <v/>
      </c>
      <c r="J715" s="110" t="inlineStr">
        <is>
          <t>Maio/2026</t>
        </is>
      </c>
    </row>
    <row r="716" ht="14.25" customHeight="1" s="64">
      <c r="A716" s="110" t="inlineStr">
        <is>
          <t>Diretoria Adm</t>
        </is>
      </c>
      <c r="B716" s="110">
        <f>INDEX(SETORES!$B:$B,MATCH(A716,SETORES!$A:$A,0))</f>
        <v/>
      </c>
      <c r="C716" s="110" t="inlineStr">
        <is>
          <t>Empresa Licenciada DX2</t>
        </is>
      </c>
      <c r="D716" s="88">
        <f>IF(B716="Clientes",SUMIFS(PARÂMETROS!$D$8:$D$907,PARÂMETROS!$A$8:$A$907,C716,PARÂMETROS!$G$8:$G$907,J716),SUMIFS(PARÂMETROS!$E$8:$E$907,PARÂMETROS!$A$8:$A$907,C716,PARÂMETROS!$G$8:$G$907,J716))</f>
        <v/>
      </c>
      <c r="E716" s="89">
        <f>SUMIFS(SETORES!$D:$D,SETORES!$A:$A,A716,SETORES!$F:$F,J716)</f>
        <v/>
      </c>
      <c r="F716" s="89">
        <f>IFERROR(D716*E716,0)</f>
        <v/>
      </c>
      <c r="G716" s="88">
        <f>SUMIFS(PARÂMETROS!$F$8:$F$907,PARÂMETROS!$A$8:$A$907,C716,PARÂMETROS!$G$8:$G$907,J716)</f>
        <v/>
      </c>
      <c r="H716" s="89">
        <f>IFERROR(F716*G716,0)</f>
        <v/>
      </c>
      <c r="I716" s="89">
        <f>F716+H716</f>
        <v/>
      </c>
      <c r="J716" s="110" t="inlineStr">
        <is>
          <t>Junho/2026</t>
        </is>
      </c>
    </row>
    <row r="717" ht="14.25" customHeight="1" s="64">
      <c r="A717" s="110" t="inlineStr">
        <is>
          <t>Diretoria Adm</t>
        </is>
      </c>
      <c r="B717" s="110">
        <f>INDEX(SETORES!$B:$B,MATCH(A717,SETORES!$A:$A,0))</f>
        <v/>
      </c>
      <c r="C717" s="110" t="inlineStr">
        <is>
          <t>Empresa Licenciada H&amp;A</t>
        </is>
      </c>
      <c r="D717" s="88">
        <f>IF(B717="Clientes",SUMIFS(PARÂMETROS!$D$8:$D$907,PARÂMETROS!$A$8:$A$907,C717,PARÂMETROS!$G$8:$G$907,J717),SUMIFS(PARÂMETROS!$E$8:$E$907,PARÂMETROS!$A$8:$A$907,C717,PARÂMETROS!$G$8:$G$907,J717))</f>
        <v/>
      </c>
      <c r="E717" s="89">
        <f>SUMIFS(SETORES!$D:$D,SETORES!$A:$A,A717,SETORES!$F:$F,J717)</f>
        <v/>
      </c>
      <c r="F717" s="89">
        <f>IFERROR(D717*E717,0)</f>
        <v/>
      </c>
      <c r="G717" s="88">
        <f>SUMIFS(PARÂMETROS!$F$8:$F$907,PARÂMETROS!$A$8:$A$907,C717,PARÂMETROS!$G$8:$G$907,J717)</f>
        <v/>
      </c>
      <c r="H717" s="89">
        <f>IFERROR(F717*G717,0)</f>
        <v/>
      </c>
      <c r="I717" s="89">
        <f>F717+H717</f>
        <v/>
      </c>
      <c r="J717" s="110" t="inlineStr">
        <is>
          <t>Junho/2026</t>
        </is>
      </c>
    </row>
    <row r="718" ht="14.25" customHeight="1" s="64">
      <c r="A718" s="110" t="inlineStr">
        <is>
          <t>Diretoria Adm</t>
        </is>
      </c>
      <c r="B718" s="110">
        <f>INDEX(SETORES!$B:$B,MATCH(A718,SETORES!$A:$A,0))</f>
        <v/>
      </c>
      <c r="C718" s="110" t="inlineStr">
        <is>
          <t>Empresa Licenciada SOLON ARAUJO</t>
        </is>
      </c>
      <c r="D718" s="88">
        <f>IF(B718="Clientes",SUMIFS(PARÂMETROS!$D$8:$D$907,PARÂMETROS!$A$8:$A$907,C718,PARÂMETROS!$G$8:$G$907,J718),SUMIFS(PARÂMETROS!$E$8:$E$907,PARÂMETROS!$A$8:$A$907,C718,PARÂMETROS!$G$8:$G$907,J718))</f>
        <v/>
      </c>
      <c r="E718" s="89">
        <f>SUMIFS(SETORES!$D:$D,SETORES!$A:$A,A718,SETORES!$F:$F,J718)</f>
        <v/>
      </c>
      <c r="F718" s="89">
        <f>IFERROR(D718*E718,0)</f>
        <v/>
      </c>
      <c r="G718" s="88">
        <f>SUMIFS(PARÂMETROS!$F$8:$F$907,PARÂMETROS!$A$8:$A$907,C718,PARÂMETROS!$G$8:$G$907,J718)</f>
        <v/>
      </c>
      <c r="H718" s="89">
        <f>IFERROR(F718*G718,0)</f>
        <v/>
      </c>
      <c r="I718" s="89">
        <f>F718+H718</f>
        <v/>
      </c>
      <c r="J718" s="110" t="inlineStr">
        <is>
          <t>Junho/2026</t>
        </is>
      </c>
    </row>
    <row r="719" ht="14.25" customHeight="1" s="64">
      <c r="A719" s="110" t="inlineStr">
        <is>
          <t>Diretoria Adm</t>
        </is>
      </c>
      <c r="B719" s="110">
        <f>INDEX(SETORES!$B:$B,MATCH(A719,SETORES!$A:$A,0))</f>
        <v/>
      </c>
      <c r="C719" s="110" t="inlineStr">
        <is>
          <t>Empresa Licenciada SOARES E LINS</t>
        </is>
      </c>
      <c r="D719" s="88">
        <f>IF(B719="Clientes",SUMIFS(PARÂMETROS!$D$8:$D$907,PARÂMETROS!$A$8:$A$907,C719,PARÂMETROS!$G$8:$G$907,J719),SUMIFS(PARÂMETROS!$E$8:$E$907,PARÂMETROS!$A$8:$A$907,C719,PARÂMETROS!$G$8:$G$907,J719))</f>
        <v/>
      </c>
      <c r="E719" s="89">
        <f>SUMIFS(SETORES!$D:$D,SETORES!$A:$A,A719,SETORES!$F:$F,J719)</f>
        <v/>
      </c>
      <c r="F719" s="89">
        <f>IFERROR(D719*E719,0)</f>
        <v/>
      </c>
      <c r="G719" s="88">
        <f>SUMIFS(PARÂMETROS!$F$8:$F$907,PARÂMETROS!$A$8:$A$907,C719,PARÂMETROS!$G$8:$G$907,J719)</f>
        <v/>
      </c>
      <c r="H719" s="89">
        <f>IFERROR(F719*G719,0)</f>
        <v/>
      </c>
      <c r="I719" s="89">
        <f>F719+H719</f>
        <v/>
      </c>
      <c r="J719" s="110" t="inlineStr">
        <is>
          <t>Junho/2026</t>
        </is>
      </c>
    </row>
    <row r="720" ht="14.25" customHeight="1" s="64">
      <c r="A720" s="110" t="inlineStr">
        <is>
          <t>Diretoria Adm</t>
        </is>
      </c>
      <c r="B720" s="110">
        <f>INDEX(SETORES!$B:$B,MATCH(A720,SETORES!$A:$A,0))</f>
        <v/>
      </c>
      <c r="C720" s="110" t="inlineStr">
        <is>
          <t>Empresa Licenciada SOARES E SILVA</t>
        </is>
      </c>
      <c r="D720" s="88">
        <f>IF(B720="Clientes",SUMIFS(PARÂMETROS!$D$8:$D$907,PARÂMETROS!$A$8:$A$907,C720,PARÂMETROS!$G$8:$G$907,J720),SUMIFS(PARÂMETROS!$E$8:$E$907,PARÂMETROS!$A$8:$A$907,C720,PARÂMETROS!$G$8:$G$907,J720))</f>
        <v/>
      </c>
      <c r="E720" s="89">
        <f>SUMIFS(SETORES!$D:$D,SETORES!$A:$A,A720,SETORES!$F:$F,J720)</f>
        <v/>
      </c>
      <c r="F720" s="89">
        <f>IFERROR(D720*E720,0)</f>
        <v/>
      </c>
      <c r="G720" s="88">
        <f>SUMIFS(PARÂMETROS!$F$8:$F$907,PARÂMETROS!$A$8:$A$907,C720,PARÂMETROS!$G$8:$G$907,J720)</f>
        <v/>
      </c>
      <c r="H720" s="89">
        <f>IFERROR(F720*G720,0)</f>
        <v/>
      </c>
      <c r="I720" s="89">
        <f>F720+H720</f>
        <v/>
      </c>
      <c r="J720" s="110" t="inlineStr">
        <is>
          <t>Junho/2026</t>
        </is>
      </c>
    </row>
    <row r="721" ht="14.25" customHeight="1" s="64">
      <c r="A721" s="110" t="inlineStr">
        <is>
          <t>Diretoria Adm</t>
        </is>
      </c>
      <c r="B721" s="110">
        <f>INDEX(SETORES!$B:$B,MATCH(A721,SETORES!$A:$A,0))</f>
        <v/>
      </c>
      <c r="C721" s="110" t="inlineStr">
        <is>
          <t>Empresa Licenciada SOUZA E SILVA</t>
        </is>
      </c>
      <c r="D721" s="88">
        <f>IF(B721="Clientes",SUMIFS(PARÂMETROS!$D$8:$D$907,PARÂMETROS!$A$8:$A$907,C721,PARÂMETROS!$G$8:$G$907,J721),SUMIFS(PARÂMETROS!$E$8:$E$907,PARÂMETROS!$A$8:$A$907,C721,PARÂMETROS!$G$8:$G$907,J721))</f>
        <v/>
      </c>
      <c r="E721" s="89">
        <f>SUMIFS(SETORES!$D:$D,SETORES!$A:$A,A721,SETORES!$F:$F,J721)</f>
        <v/>
      </c>
      <c r="F721" s="89">
        <f>IFERROR(D721*E721,0)</f>
        <v/>
      </c>
      <c r="G721" s="88">
        <f>SUMIFS(PARÂMETROS!$F$8:$F$907,PARÂMETROS!$A$8:$A$907,C721,PARÂMETROS!$G$8:$G$907,J721)</f>
        <v/>
      </c>
      <c r="H721" s="89">
        <f>IFERROR(F721*G721,0)</f>
        <v/>
      </c>
      <c r="I721" s="89">
        <f>F721+H721</f>
        <v/>
      </c>
      <c r="J721" s="110" t="inlineStr">
        <is>
          <t>Junho/2026</t>
        </is>
      </c>
    </row>
    <row r="722" ht="14.25" customHeight="1" s="64">
      <c r="A722" s="110" t="inlineStr">
        <is>
          <t>Diretoria Adm</t>
        </is>
      </c>
      <c r="B722" s="110">
        <f>INDEX(SETORES!$B:$B,MATCH(A722,SETORES!$A:$A,0))</f>
        <v/>
      </c>
      <c r="C722" s="110" t="inlineStr">
        <is>
          <t>Empresa Licenciada VOICENET</t>
        </is>
      </c>
      <c r="D722" s="88">
        <f>IF(B722="Clientes",SUMIFS(PARÂMETROS!$D$8:$D$907,PARÂMETROS!$A$8:$A$907,C722,PARÂMETROS!$G$8:$G$907,J722),SUMIFS(PARÂMETROS!$E$8:$E$907,PARÂMETROS!$A$8:$A$907,C722,PARÂMETROS!$G$8:$G$907,J722))</f>
        <v/>
      </c>
      <c r="E722" s="89">
        <f>SUMIFS(SETORES!$D:$D,SETORES!$A:$A,A722,SETORES!$F:$F,J722)</f>
        <v/>
      </c>
      <c r="F722" s="89">
        <f>IFERROR(D722*E722,0)</f>
        <v/>
      </c>
      <c r="G722" s="88">
        <f>SUMIFS(PARÂMETROS!$F$8:$F$907,PARÂMETROS!$A$8:$A$907,C722,PARÂMETROS!$G$8:$G$907,J722)</f>
        <v/>
      </c>
      <c r="H722" s="89">
        <f>IFERROR(F722*G722,0)</f>
        <v/>
      </c>
      <c r="I722" s="89">
        <f>F722+H722</f>
        <v/>
      </c>
      <c r="J722" s="110" t="inlineStr">
        <is>
          <t>Junho/2026</t>
        </is>
      </c>
    </row>
    <row r="723" ht="14.25" customHeight="1" s="64">
      <c r="A723" s="110" t="inlineStr">
        <is>
          <t>Diretoria Adm</t>
        </is>
      </c>
      <c r="B723" s="110">
        <f>INDEX(SETORES!$B:$B,MATCH(A723,SETORES!$A:$A,0))</f>
        <v/>
      </c>
      <c r="C723" s="110" t="inlineStr">
        <is>
          <t>DTEL (uso próprio)</t>
        </is>
      </c>
      <c r="D723" s="88">
        <f>IF(B723="Clientes",SUMIFS(PARÂMETROS!$D$8:$D$907,PARÂMETROS!$A$8:$A$907,C723,PARÂMETROS!$G$8:$G$907,J723),SUMIFS(PARÂMETROS!$E$8:$E$907,PARÂMETROS!$A$8:$A$907,C723,PARÂMETROS!$G$8:$G$907,J723))</f>
        <v/>
      </c>
      <c r="E723" s="89">
        <f>SUMIFS(SETORES!$D:$D,SETORES!$A:$A,A723,SETORES!$F:$F,J723)</f>
        <v/>
      </c>
      <c r="F723" s="89">
        <f>IFERROR(D723*E723,0)</f>
        <v/>
      </c>
      <c r="G723" s="88">
        <f>SUMIFS(PARÂMETROS!$F$8:$F$907,PARÂMETROS!$A$8:$A$907,C723,PARÂMETROS!$G$8:$G$907,J723)</f>
        <v/>
      </c>
      <c r="H723" s="89">
        <f>IFERROR(F723*G723,0)</f>
        <v/>
      </c>
      <c r="I723" s="89">
        <f>F723+H723</f>
        <v/>
      </c>
      <c r="J723" s="110" t="inlineStr">
        <is>
          <t>Junho/2026</t>
        </is>
      </c>
    </row>
    <row r="724" ht="14.25" customHeight="1" s="64">
      <c r="A724" s="110" t="inlineStr">
        <is>
          <t>Diretoria Adm</t>
        </is>
      </c>
      <c r="B724" s="110">
        <f>INDEX(SETORES!$B:$B,MATCH(A724,SETORES!$A:$A,0))</f>
        <v/>
      </c>
      <c r="C724" s="110" t="inlineStr">
        <is>
          <t>Empresa Licenciada DX2</t>
        </is>
      </c>
      <c r="D724" s="88">
        <f>IF(B724="Clientes",SUMIFS(PARÂMETROS!$D$8:$D$907,PARÂMETROS!$A$8:$A$907,C724,PARÂMETROS!$G$8:$G$907,J724),SUMIFS(PARÂMETROS!$E$8:$E$907,PARÂMETROS!$A$8:$A$907,C724,PARÂMETROS!$G$8:$G$907,J724))</f>
        <v/>
      </c>
      <c r="E724" s="89">
        <f>SUMIFS(SETORES!$D:$D,SETORES!$A:$A,A724,SETORES!$F:$F,J724)</f>
        <v/>
      </c>
      <c r="F724" s="89">
        <f>IFERROR(D724*E724,0)</f>
        <v/>
      </c>
      <c r="G724" s="88">
        <f>SUMIFS(PARÂMETROS!$F$8:$F$907,PARÂMETROS!$A$8:$A$907,C724,PARÂMETROS!$G$8:$G$907,J724)</f>
        <v/>
      </c>
      <c r="H724" s="89">
        <f>IFERROR(F724*G724,0)</f>
        <v/>
      </c>
      <c r="I724" s="89">
        <f>F724+H724</f>
        <v/>
      </c>
      <c r="J724" s="110" t="inlineStr">
        <is>
          <t>Julho/2026</t>
        </is>
      </c>
    </row>
    <row r="725" ht="14.25" customHeight="1" s="64">
      <c r="A725" s="110" t="inlineStr">
        <is>
          <t>Diretoria Adm</t>
        </is>
      </c>
      <c r="B725" s="110">
        <f>INDEX(SETORES!$B:$B,MATCH(A725,SETORES!$A:$A,0))</f>
        <v/>
      </c>
      <c r="C725" s="110" t="inlineStr">
        <is>
          <t>Empresa Licenciada H&amp;A</t>
        </is>
      </c>
      <c r="D725" s="88">
        <f>IF(B725="Clientes",SUMIFS(PARÂMETROS!$D$8:$D$907,PARÂMETROS!$A$8:$A$907,C725,PARÂMETROS!$G$8:$G$907,J725),SUMIFS(PARÂMETROS!$E$8:$E$907,PARÂMETROS!$A$8:$A$907,C725,PARÂMETROS!$G$8:$G$907,J725))</f>
        <v/>
      </c>
      <c r="E725" s="89">
        <f>SUMIFS(SETORES!$D:$D,SETORES!$A:$A,A725,SETORES!$F:$F,J725)</f>
        <v/>
      </c>
      <c r="F725" s="89">
        <f>IFERROR(D725*E725,0)</f>
        <v/>
      </c>
      <c r="G725" s="88">
        <f>SUMIFS(PARÂMETROS!$F$8:$F$907,PARÂMETROS!$A$8:$A$907,C725,PARÂMETROS!$G$8:$G$907,J725)</f>
        <v/>
      </c>
      <c r="H725" s="89">
        <f>IFERROR(F725*G725,0)</f>
        <v/>
      </c>
      <c r="I725" s="89">
        <f>F725+H725</f>
        <v/>
      </c>
      <c r="J725" s="110" t="inlineStr">
        <is>
          <t>Julho/2026</t>
        </is>
      </c>
    </row>
    <row r="726" ht="14.25" customHeight="1" s="64">
      <c r="A726" s="110" t="inlineStr">
        <is>
          <t>Diretoria Adm</t>
        </is>
      </c>
      <c r="B726" s="110">
        <f>INDEX(SETORES!$B:$B,MATCH(A726,SETORES!$A:$A,0))</f>
        <v/>
      </c>
      <c r="C726" s="110" t="inlineStr">
        <is>
          <t>Empresa Licenciada SOLON ARAUJO</t>
        </is>
      </c>
      <c r="D726" s="88">
        <f>IF(B726="Clientes",SUMIFS(PARÂMETROS!$D$8:$D$907,PARÂMETROS!$A$8:$A$907,C726,PARÂMETROS!$G$8:$G$907,J726),SUMIFS(PARÂMETROS!$E$8:$E$907,PARÂMETROS!$A$8:$A$907,C726,PARÂMETROS!$G$8:$G$907,J726))</f>
        <v/>
      </c>
      <c r="E726" s="89">
        <f>SUMIFS(SETORES!$D:$D,SETORES!$A:$A,A726,SETORES!$F:$F,J726)</f>
        <v/>
      </c>
      <c r="F726" s="89">
        <f>IFERROR(D726*E726,0)</f>
        <v/>
      </c>
      <c r="G726" s="88">
        <f>SUMIFS(PARÂMETROS!$F$8:$F$907,PARÂMETROS!$A$8:$A$907,C726,PARÂMETROS!$G$8:$G$907,J726)</f>
        <v/>
      </c>
      <c r="H726" s="89">
        <f>IFERROR(F726*G726,0)</f>
        <v/>
      </c>
      <c r="I726" s="89">
        <f>F726+H726</f>
        <v/>
      </c>
      <c r="J726" s="110" t="inlineStr">
        <is>
          <t>Julho/2026</t>
        </is>
      </c>
    </row>
    <row r="727" ht="14.25" customHeight="1" s="64">
      <c r="A727" s="110" t="inlineStr">
        <is>
          <t>Diretoria Adm</t>
        </is>
      </c>
      <c r="B727" s="110">
        <f>INDEX(SETORES!$B:$B,MATCH(A727,SETORES!$A:$A,0))</f>
        <v/>
      </c>
      <c r="C727" s="110" t="inlineStr">
        <is>
          <t>Empresa Licenciada SOARES E LINS</t>
        </is>
      </c>
      <c r="D727" s="88">
        <f>IF(B727="Clientes",SUMIFS(PARÂMETROS!$D$8:$D$907,PARÂMETROS!$A$8:$A$907,C727,PARÂMETROS!$G$8:$G$907,J727),SUMIFS(PARÂMETROS!$E$8:$E$907,PARÂMETROS!$A$8:$A$907,C727,PARÂMETROS!$G$8:$G$907,J727))</f>
        <v/>
      </c>
      <c r="E727" s="89">
        <f>SUMIFS(SETORES!$D:$D,SETORES!$A:$A,A727,SETORES!$F:$F,J727)</f>
        <v/>
      </c>
      <c r="F727" s="89">
        <f>IFERROR(D727*E727,0)</f>
        <v/>
      </c>
      <c r="G727" s="88">
        <f>SUMIFS(PARÂMETROS!$F$8:$F$907,PARÂMETROS!$A$8:$A$907,C727,PARÂMETROS!$G$8:$G$907,J727)</f>
        <v/>
      </c>
      <c r="H727" s="89">
        <f>IFERROR(F727*G727,0)</f>
        <v/>
      </c>
      <c r="I727" s="89">
        <f>F727+H727</f>
        <v/>
      </c>
      <c r="J727" s="110" t="inlineStr">
        <is>
          <t>Julho/2026</t>
        </is>
      </c>
    </row>
    <row r="728" ht="14.25" customHeight="1" s="64">
      <c r="A728" s="110" t="inlineStr">
        <is>
          <t>Diretoria Adm</t>
        </is>
      </c>
      <c r="B728" s="110">
        <f>INDEX(SETORES!$B:$B,MATCH(A728,SETORES!$A:$A,0))</f>
        <v/>
      </c>
      <c r="C728" s="110" t="inlineStr">
        <is>
          <t>Empresa Licenciada SOARES E SILVA</t>
        </is>
      </c>
      <c r="D728" s="88">
        <f>IF(B728="Clientes",SUMIFS(PARÂMETROS!$D$8:$D$907,PARÂMETROS!$A$8:$A$907,C728,PARÂMETROS!$G$8:$G$907,J728),SUMIFS(PARÂMETROS!$E$8:$E$907,PARÂMETROS!$A$8:$A$907,C728,PARÂMETROS!$G$8:$G$907,J728))</f>
        <v/>
      </c>
      <c r="E728" s="89">
        <f>SUMIFS(SETORES!$D:$D,SETORES!$A:$A,A728,SETORES!$F:$F,J728)</f>
        <v/>
      </c>
      <c r="F728" s="89">
        <f>IFERROR(D728*E728,0)</f>
        <v/>
      </c>
      <c r="G728" s="88">
        <f>SUMIFS(PARÂMETROS!$F$8:$F$907,PARÂMETROS!$A$8:$A$907,C728,PARÂMETROS!$G$8:$G$907,J728)</f>
        <v/>
      </c>
      <c r="H728" s="89">
        <f>IFERROR(F728*G728,0)</f>
        <v/>
      </c>
      <c r="I728" s="89">
        <f>F728+H728</f>
        <v/>
      </c>
      <c r="J728" s="110" t="inlineStr">
        <is>
          <t>Julho/2026</t>
        </is>
      </c>
    </row>
    <row r="729" ht="14.25" customHeight="1" s="64">
      <c r="A729" s="110" t="inlineStr">
        <is>
          <t>Diretoria Adm</t>
        </is>
      </c>
      <c r="B729" s="110">
        <f>INDEX(SETORES!$B:$B,MATCH(A729,SETORES!$A:$A,0))</f>
        <v/>
      </c>
      <c r="C729" s="110" t="inlineStr">
        <is>
          <t>Empresa Licenciada SOUZA E SILVA</t>
        </is>
      </c>
      <c r="D729" s="88">
        <f>IF(B729="Clientes",SUMIFS(PARÂMETROS!$D$8:$D$907,PARÂMETROS!$A$8:$A$907,C729,PARÂMETROS!$G$8:$G$907,J729),SUMIFS(PARÂMETROS!$E$8:$E$907,PARÂMETROS!$A$8:$A$907,C729,PARÂMETROS!$G$8:$G$907,J729))</f>
        <v/>
      </c>
      <c r="E729" s="89">
        <f>SUMIFS(SETORES!$D:$D,SETORES!$A:$A,A729,SETORES!$F:$F,J729)</f>
        <v/>
      </c>
      <c r="F729" s="89">
        <f>IFERROR(D729*E729,0)</f>
        <v/>
      </c>
      <c r="G729" s="88">
        <f>SUMIFS(PARÂMETROS!$F$8:$F$907,PARÂMETROS!$A$8:$A$907,C729,PARÂMETROS!$G$8:$G$907,J729)</f>
        <v/>
      </c>
      <c r="H729" s="89">
        <f>IFERROR(F729*G729,0)</f>
        <v/>
      </c>
      <c r="I729" s="89">
        <f>F729+H729</f>
        <v/>
      </c>
      <c r="J729" s="110" t="inlineStr">
        <is>
          <t>Julho/2026</t>
        </is>
      </c>
    </row>
    <row r="730" ht="14.25" customHeight="1" s="64">
      <c r="A730" s="110" t="inlineStr">
        <is>
          <t>Diretoria Adm</t>
        </is>
      </c>
      <c r="B730" s="110">
        <f>INDEX(SETORES!$B:$B,MATCH(A730,SETORES!$A:$A,0))</f>
        <v/>
      </c>
      <c r="C730" s="110" t="inlineStr">
        <is>
          <t>Empresa Licenciada VOICENET</t>
        </is>
      </c>
      <c r="D730" s="88">
        <f>IF(B730="Clientes",SUMIFS(PARÂMETROS!$D$8:$D$907,PARÂMETROS!$A$8:$A$907,C730,PARÂMETROS!$G$8:$G$907,J730),SUMIFS(PARÂMETROS!$E$8:$E$907,PARÂMETROS!$A$8:$A$907,C730,PARÂMETROS!$G$8:$G$907,J730))</f>
        <v/>
      </c>
      <c r="E730" s="89">
        <f>SUMIFS(SETORES!$D:$D,SETORES!$A:$A,A730,SETORES!$F:$F,J730)</f>
        <v/>
      </c>
      <c r="F730" s="89">
        <f>IFERROR(D730*E730,0)</f>
        <v/>
      </c>
      <c r="G730" s="88">
        <f>SUMIFS(PARÂMETROS!$F$8:$F$907,PARÂMETROS!$A$8:$A$907,C730,PARÂMETROS!$G$8:$G$907,J730)</f>
        <v/>
      </c>
      <c r="H730" s="89">
        <f>IFERROR(F730*G730,0)</f>
        <v/>
      </c>
      <c r="I730" s="89">
        <f>F730+H730</f>
        <v/>
      </c>
      <c r="J730" s="110" t="inlineStr">
        <is>
          <t>Julho/2026</t>
        </is>
      </c>
    </row>
    <row r="731" ht="14.25" customHeight="1" s="64">
      <c r="A731" s="110" t="inlineStr">
        <is>
          <t>Diretoria Adm</t>
        </is>
      </c>
      <c r="B731" s="110">
        <f>INDEX(SETORES!$B:$B,MATCH(A731,SETORES!$A:$A,0))</f>
        <v/>
      </c>
      <c r="C731" s="110" t="inlineStr">
        <is>
          <t>DTEL (uso próprio)</t>
        </is>
      </c>
      <c r="D731" s="88">
        <f>IF(B731="Clientes",SUMIFS(PARÂMETROS!$D$8:$D$907,PARÂMETROS!$A$8:$A$907,C731,PARÂMETROS!$G$8:$G$907,J731),SUMIFS(PARÂMETROS!$E$8:$E$907,PARÂMETROS!$A$8:$A$907,C731,PARÂMETROS!$G$8:$G$907,J731))</f>
        <v/>
      </c>
      <c r="E731" s="89">
        <f>SUMIFS(SETORES!$D:$D,SETORES!$A:$A,A731,SETORES!$F:$F,J731)</f>
        <v/>
      </c>
      <c r="F731" s="89">
        <f>IFERROR(D731*E731,0)</f>
        <v/>
      </c>
      <c r="G731" s="88">
        <f>SUMIFS(PARÂMETROS!$F$8:$F$907,PARÂMETROS!$A$8:$A$907,C731,PARÂMETROS!$G$8:$G$907,J731)</f>
        <v/>
      </c>
      <c r="H731" s="89">
        <f>IFERROR(F731*G731,0)</f>
        <v/>
      </c>
      <c r="I731" s="89">
        <f>F731+H731</f>
        <v/>
      </c>
      <c r="J731" s="110" t="inlineStr">
        <is>
          <t>Julho/2026</t>
        </is>
      </c>
    </row>
    <row r="732" ht="14.25" customHeight="1" s="64">
      <c r="A732" s="110" t="inlineStr">
        <is>
          <t>Fique Móvel</t>
        </is>
      </c>
      <c r="B732" s="110">
        <f>INDEX(SETORES!$B:$B,MATCH(A732,SETORES!$A:$A,0))</f>
        <v/>
      </c>
      <c r="C732" s="110" t="inlineStr">
        <is>
          <t>Empresa Licenciada DX2</t>
        </is>
      </c>
      <c r="D732" s="88">
        <f>IF(B732="Clientes",SUMIFS(PARÂMETROS!$D$8:$D$907,PARÂMETROS!$A$8:$A$907,C732,PARÂMETROS!$G$8:$G$907,J732),SUMIFS(PARÂMETROS!$E$8:$E$907,PARÂMETROS!$A$8:$A$907,C732,PARÂMETROS!$G$8:$G$907,J732))</f>
        <v/>
      </c>
      <c r="E732" s="89">
        <f>SUMIFS(SETORES!$D:$D,SETORES!$A:$A,A732,SETORES!$F:$F,J732)</f>
        <v/>
      </c>
      <c r="F732" s="89">
        <f>IFERROR(D732*E732,0)</f>
        <v/>
      </c>
      <c r="G732" s="88">
        <f>SUMIFS(PARÂMETROS!$F$8:$F$907,PARÂMETROS!$A$8:$A$907,C732,PARÂMETROS!$G$8:$G$907,J732)</f>
        <v/>
      </c>
      <c r="H732" s="89">
        <f>IFERROR(F732*G732,0)</f>
        <v/>
      </c>
      <c r="I732" s="89">
        <f>F732+H732</f>
        <v/>
      </c>
      <c r="J732" s="110" t="inlineStr">
        <is>
          <t>Maio/2026</t>
        </is>
      </c>
    </row>
    <row r="733" ht="14.25" customHeight="1" s="64">
      <c r="A733" s="110" t="inlineStr">
        <is>
          <t>Fique Móvel</t>
        </is>
      </c>
      <c r="B733" s="110">
        <f>INDEX(SETORES!$B:$B,MATCH(A733,SETORES!$A:$A,0))</f>
        <v/>
      </c>
      <c r="C733" s="110" t="inlineStr">
        <is>
          <t>Empresa Licenciada H&amp;A</t>
        </is>
      </c>
      <c r="D733" s="88">
        <f>IF(B733="Clientes",SUMIFS(PARÂMETROS!$D$8:$D$907,PARÂMETROS!$A$8:$A$907,C733,PARÂMETROS!$G$8:$G$907,J733),SUMIFS(PARÂMETROS!$E$8:$E$907,PARÂMETROS!$A$8:$A$907,C733,PARÂMETROS!$G$8:$G$907,J733))</f>
        <v/>
      </c>
      <c r="E733" s="89">
        <f>SUMIFS(SETORES!$D:$D,SETORES!$A:$A,A733,SETORES!$F:$F,J733)</f>
        <v/>
      </c>
      <c r="F733" s="89">
        <f>IFERROR(D733*E733,0)</f>
        <v/>
      </c>
      <c r="G733" s="88">
        <f>SUMIFS(PARÂMETROS!$F$8:$F$907,PARÂMETROS!$A$8:$A$907,C733,PARÂMETROS!$G$8:$G$907,J733)</f>
        <v/>
      </c>
      <c r="H733" s="89">
        <f>IFERROR(F733*G733,0)</f>
        <v/>
      </c>
      <c r="I733" s="89">
        <f>F733+H733</f>
        <v/>
      </c>
      <c r="J733" s="110" t="inlineStr">
        <is>
          <t>Maio/2026</t>
        </is>
      </c>
    </row>
    <row r="734" ht="14.25" customHeight="1" s="64">
      <c r="A734" s="110" t="inlineStr">
        <is>
          <t>Fique Móvel</t>
        </is>
      </c>
      <c r="B734" s="110">
        <f>INDEX(SETORES!$B:$B,MATCH(A734,SETORES!$A:$A,0))</f>
        <v/>
      </c>
      <c r="C734" s="110" t="inlineStr">
        <is>
          <t>Empresa Licenciada SOLON ARAUJO</t>
        </is>
      </c>
      <c r="D734" s="88">
        <f>IF(B734="Clientes",SUMIFS(PARÂMETROS!$D$8:$D$907,PARÂMETROS!$A$8:$A$907,C734,PARÂMETROS!$G$8:$G$907,J734),SUMIFS(PARÂMETROS!$E$8:$E$907,PARÂMETROS!$A$8:$A$907,C734,PARÂMETROS!$G$8:$G$907,J734))</f>
        <v/>
      </c>
      <c r="E734" s="89">
        <f>SUMIFS(SETORES!$D:$D,SETORES!$A:$A,A734,SETORES!$F:$F,J734)</f>
        <v/>
      </c>
      <c r="F734" s="89">
        <f>IFERROR(D734*E734,0)</f>
        <v/>
      </c>
      <c r="G734" s="88">
        <f>SUMIFS(PARÂMETROS!$F$8:$F$907,PARÂMETROS!$A$8:$A$907,C734,PARÂMETROS!$G$8:$G$907,J734)</f>
        <v/>
      </c>
      <c r="H734" s="89">
        <f>IFERROR(F734*G734,0)</f>
        <v/>
      </c>
      <c r="I734" s="89">
        <f>F734+H734</f>
        <v/>
      </c>
      <c r="J734" s="110" t="inlineStr">
        <is>
          <t>Maio/2026</t>
        </is>
      </c>
    </row>
    <row r="735" ht="14.25" customHeight="1" s="64">
      <c r="A735" s="110" t="inlineStr">
        <is>
          <t>Fique Móvel</t>
        </is>
      </c>
      <c r="B735" s="110">
        <f>INDEX(SETORES!$B:$B,MATCH(A735,SETORES!$A:$A,0))</f>
        <v/>
      </c>
      <c r="C735" s="110" t="inlineStr">
        <is>
          <t>Empresa Licenciada SOARES E LINS</t>
        </is>
      </c>
      <c r="D735" s="88">
        <f>IF(B735="Clientes",SUMIFS(PARÂMETROS!$D$8:$D$907,PARÂMETROS!$A$8:$A$907,C735,PARÂMETROS!$G$8:$G$907,J735),SUMIFS(PARÂMETROS!$E$8:$E$907,PARÂMETROS!$A$8:$A$907,C735,PARÂMETROS!$G$8:$G$907,J735))</f>
        <v/>
      </c>
      <c r="E735" s="89">
        <f>SUMIFS(SETORES!$D:$D,SETORES!$A:$A,A735,SETORES!$F:$F,J735)</f>
        <v/>
      </c>
      <c r="F735" s="89">
        <f>IFERROR(D735*E735,0)</f>
        <v/>
      </c>
      <c r="G735" s="88">
        <f>SUMIFS(PARÂMETROS!$F$8:$F$907,PARÂMETROS!$A$8:$A$907,C735,PARÂMETROS!$G$8:$G$907,J735)</f>
        <v/>
      </c>
      <c r="H735" s="89">
        <f>IFERROR(F735*G735,0)</f>
        <v/>
      </c>
      <c r="I735" s="89">
        <f>F735+H735</f>
        <v/>
      </c>
      <c r="J735" s="110" t="inlineStr">
        <is>
          <t>Maio/2026</t>
        </is>
      </c>
    </row>
    <row r="736" ht="14.25" customHeight="1" s="64">
      <c r="A736" s="110" t="inlineStr">
        <is>
          <t>Fique Móvel</t>
        </is>
      </c>
      <c r="B736" s="110">
        <f>INDEX(SETORES!$B:$B,MATCH(A736,SETORES!$A:$A,0))</f>
        <v/>
      </c>
      <c r="C736" s="110" t="inlineStr">
        <is>
          <t>Empresa Licenciada SOARES E SILVA</t>
        </is>
      </c>
      <c r="D736" s="88">
        <f>IF(B736="Clientes",SUMIFS(PARÂMETROS!$D$8:$D$907,PARÂMETROS!$A$8:$A$907,C736,PARÂMETROS!$G$8:$G$907,J736),SUMIFS(PARÂMETROS!$E$8:$E$907,PARÂMETROS!$A$8:$A$907,C736,PARÂMETROS!$G$8:$G$907,J736))</f>
        <v/>
      </c>
      <c r="E736" s="89">
        <f>SUMIFS(SETORES!$D:$D,SETORES!$A:$A,A736,SETORES!$F:$F,J736)</f>
        <v/>
      </c>
      <c r="F736" s="89">
        <f>IFERROR(D736*E736,0)</f>
        <v/>
      </c>
      <c r="G736" s="88">
        <f>SUMIFS(PARÂMETROS!$F$8:$F$907,PARÂMETROS!$A$8:$A$907,C736,PARÂMETROS!$G$8:$G$907,J736)</f>
        <v/>
      </c>
      <c r="H736" s="89">
        <f>IFERROR(F736*G736,0)</f>
        <v/>
      </c>
      <c r="I736" s="89">
        <f>F736+H736</f>
        <v/>
      </c>
      <c r="J736" s="110" t="inlineStr">
        <is>
          <t>Maio/2026</t>
        </is>
      </c>
    </row>
    <row r="737" ht="14.25" customHeight="1" s="64">
      <c r="A737" s="110" t="inlineStr">
        <is>
          <t>Fique Móvel</t>
        </is>
      </c>
      <c r="B737" s="110">
        <f>INDEX(SETORES!$B:$B,MATCH(A737,SETORES!$A:$A,0))</f>
        <v/>
      </c>
      <c r="C737" s="110" t="inlineStr">
        <is>
          <t>Empresa Licenciada SOUZA E SILVA</t>
        </is>
      </c>
      <c r="D737" s="88">
        <f>IF(B737="Clientes",SUMIFS(PARÂMETROS!$D$8:$D$907,PARÂMETROS!$A$8:$A$907,C737,PARÂMETROS!$G$8:$G$907,J737),SUMIFS(PARÂMETROS!$E$8:$E$907,PARÂMETROS!$A$8:$A$907,C737,PARÂMETROS!$G$8:$G$907,J737))</f>
        <v/>
      </c>
      <c r="E737" s="89">
        <f>SUMIFS(SETORES!$D:$D,SETORES!$A:$A,A737,SETORES!$F:$F,J737)</f>
        <v/>
      </c>
      <c r="F737" s="89">
        <f>IFERROR(D737*E737,0)</f>
        <v/>
      </c>
      <c r="G737" s="88">
        <f>SUMIFS(PARÂMETROS!$F$8:$F$907,PARÂMETROS!$A$8:$A$907,C737,PARÂMETROS!$G$8:$G$907,J737)</f>
        <v/>
      </c>
      <c r="H737" s="89">
        <f>IFERROR(F737*G737,0)</f>
        <v/>
      </c>
      <c r="I737" s="89">
        <f>F737+H737</f>
        <v/>
      </c>
      <c r="J737" s="110" t="inlineStr">
        <is>
          <t>Maio/2026</t>
        </is>
      </c>
    </row>
    <row r="738" ht="14.25" customHeight="1" s="64">
      <c r="A738" s="110" t="inlineStr">
        <is>
          <t>Fique Móvel</t>
        </is>
      </c>
      <c r="B738" s="110">
        <f>INDEX(SETORES!$B:$B,MATCH(A738,SETORES!$A:$A,0))</f>
        <v/>
      </c>
      <c r="C738" s="110" t="inlineStr">
        <is>
          <t>Empresa Licenciada VOICENET</t>
        </is>
      </c>
      <c r="D738" s="88">
        <f>IF(B738="Clientes",SUMIFS(PARÂMETROS!$D$8:$D$907,PARÂMETROS!$A$8:$A$907,C738,PARÂMETROS!$G$8:$G$907,J738),SUMIFS(PARÂMETROS!$E$8:$E$907,PARÂMETROS!$A$8:$A$907,C738,PARÂMETROS!$G$8:$G$907,J738))</f>
        <v/>
      </c>
      <c r="E738" s="89">
        <f>SUMIFS(SETORES!$D:$D,SETORES!$A:$A,A738,SETORES!$F:$F,J738)</f>
        <v/>
      </c>
      <c r="F738" s="89">
        <f>IFERROR(D738*E738,0)</f>
        <v/>
      </c>
      <c r="G738" s="88">
        <f>SUMIFS(PARÂMETROS!$F$8:$F$907,PARÂMETROS!$A$8:$A$907,C738,PARÂMETROS!$G$8:$G$907,J738)</f>
        <v/>
      </c>
      <c r="H738" s="89">
        <f>IFERROR(F738*G738,0)</f>
        <v/>
      </c>
      <c r="I738" s="89">
        <f>F738+H738</f>
        <v/>
      </c>
      <c r="J738" s="110" t="inlineStr">
        <is>
          <t>Maio/2026</t>
        </is>
      </c>
    </row>
    <row r="739" ht="14.25" customHeight="1" s="64">
      <c r="A739" s="110" t="inlineStr">
        <is>
          <t>Fique Móvel</t>
        </is>
      </c>
      <c r="B739" s="110">
        <f>INDEX(SETORES!$B:$B,MATCH(A739,SETORES!$A:$A,0))</f>
        <v/>
      </c>
      <c r="C739" s="110" t="inlineStr">
        <is>
          <t>DTEL (uso próprio)</t>
        </is>
      </c>
      <c r="D739" s="88">
        <f>IF(B739="Clientes",SUMIFS(PARÂMETROS!$D$8:$D$907,PARÂMETROS!$A$8:$A$907,C739,PARÂMETROS!$G$8:$G$907,J739),SUMIFS(PARÂMETROS!$E$8:$E$907,PARÂMETROS!$A$8:$A$907,C739,PARÂMETROS!$G$8:$G$907,J739))</f>
        <v/>
      </c>
      <c r="E739" s="89">
        <f>SUMIFS(SETORES!$D:$D,SETORES!$A:$A,A739,SETORES!$F:$F,J739)</f>
        <v/>
      </c>
      <c r="F739" s="89">
        <f>IFERROR(D739*E739,0)</f>
        <v/>
      </c>
      <c r="G739" s="88">
        <f>SUMIFS(PARÂMETROS!$F$8:$F$907,PARÂMETROS!$A$8:$A$907,C739,PARÂMETROS!$G$8:$G$907,J739)</f>
        <v/>
      </c>
      <c r="H739" s="89">
        <f>IFERROR(F739*G739,0)</f>
        <v/>
      </c>
      <c r="I739" s="89">
        <f>F739+H739</f>
        <v/>
      </c>
      <c r="J739" s="110" t="inlineStr">
        <is>
          <t>Maio/2026</t>
        </is>
      </c>
    </row>
    <row r="740" ht="14.25" customHeight="1" s="64">
      <c r="A740" s="110" t="inlineStr">
        <is>
          <t>Fique Móvel</t>
        </is>
      </c>
      <c r="B740" s="110">
        <f>INDEX(SETORES!$B:$B,MATCH(A740,SETORES!$A:$A,0))</f>
        <v/>
      </c>
      <c r="C740" s="110" t="inlineStr">
        <is>
          <t>Empresa Licenciada DX2</t>
        </is>
      </c>
      <c r="D740" s="88">
        <f>IF(B740="Clientes",SUMIFS(PARÂMETROS!$D$8:$D$907,PARÂMETROS!$A$8:$A$907,C740,PARÂMETROS!$G$8:$G$907,J740),SUMIFS(PARÂMETROS!$E$8:$E$907,PARÂMETROS!$A$8:$A$907,C740,PARÂMETROS!$G$8:$G$907,J740))</f>
        <v/>
      </c>
      <c r="E740" s="89">
        <f>SUMIFS(SETORES!$D:$D,SETORES!$A:$A,A740,SETORES!$F:$F,J740)</f>
        <v/>
      </c>
      <c r="F740" s="89">
        <f>IFERROR(D740*E740,0)</f>
        <v/>
      </c>
      <c r="G740" s="88">
        <f>SUMIFS(PARÂMETROS!$F$8:$F$907,PARÂMETROS!$A$8:$A$907,C740,PARÂMETROS!$G$8:$G$907,J740)</f>
        <v/>
      </c>
      <c r="H740" s="89">
        <f>IFERROR(F740*G740,0)</f>
        <v/>
      </c>
      <c r="I740" s="89">
        <f>F740+H740</f>
        <v/>
      </c>
      <c r="J740" s="110" t="inlineStr">
        <is>
          <t>Junho/2026</t>
        </is>
      </c>
    </row>
    <row r="741" ht="14.25" customHeight="1" s="64">
      <c r="A741" s="110" t="inlineStr">
        <is>
          <t>Fique Móvel</t>
        </is>
      </c>
      <c r="B741" s="110">
        <f>INDEX(SETORES!$B:$B,MATCH(A741,SETORES!$A:$A,0))</f>
        <v/>
      </c>
      <c r="C741" s="110" t="inlineStr">
        <is>
          <t>Empresa Licenciada H&amp;A</t>
        </is>
      </c>
      <c r="D741" s="88">
        <f>IF(B741="Clientes",SUMIFS(PARÂMETROS!$D$8:$D$907,PARÂMETROS!$A$8:$A$907,C741,PARÂMETROS!$G$8:$G$907,J741),SUMIFS(PARÂMETROS!$E$8:$E$907,PARÂMETROS!$A$8:$A$907,C741,PARÂMETROS!$G$8:$G$907,J741))</f>
        <v/>
      </c>
      <c r="E741" s="89">
        <f>SUMIFS(SETORES!$D:$D,SETORES!$A:$A,A741,SETORES!$F:$F,J741)</f>
        <v/>
      </c>
      <c r="F741" s="89">
        <f>IFERROR(D741*E741,0)</f>
        <v/>
      </c>
      <c r="G741" s="88">
        <f>SUMIFS(PARÂMETROS!$F$8:$F$907,PARÂMETROS!$A$8:$A$907,C741,PARÂMETROS!$G$8:$G$907,J741)</f>
        <v/>
      </c>
      <c r="H741" s="89">
        <f>IFERROR(F741*G741,0)</f>
        <v/>
      </c>
      <c r="I741" s="89">
        <f>F741+H741</f>
        <v/>
      </c>
      <c r="J741" s="110" t="inlineStr">
        <is>
          <t>Junho/2026</t>
        </is>
      </c>
    </row>
    <row r="742" ht="14.25" customHeight="1" s="64">
      <c r="A742" s="110" t="inlineStr">
        <is>
          <t>Fique Móvel</t>
        </is>
      </c>
      <c r="B742" s="110">
        <f>INDEX(SETORES!$B:$B,MATCH(A742,SETORES!$A:$A,0))</f>
        <v/>
      </c>
      <c r="C742" s="110" t="inlineStr">
        <is>
          <t>Empresa Licenciada SOLON ARAUJO</t>
        </is>
      </c>
      <c r="D742" s="88">
        <f>IF(B742="Clientes",SUMIFS(PARÂMETROS!$D$8:$D$907,PARÂMETROS!$A$8:$A$907,C742,PARÂMETROS!$G$8:$G$907,J742),SUMIFS(PARÂMETROS!$E$8:$E$907,PARÂMETROS!$A$8:$A$907,C742,PARÂMETROS!$G$8:$G$907,J742))</f>
        <v/>
      </c>
      <c r="E742" s="89">
        <f>SUMIFS(SETORES!$D:$D,SETORES!$A:$A,A742,SETORES!$F:$F,J742)</f>
        <v/>
      </c>
      <c r="F742" s="89">
        <f>IFERROR(D742*E742,0)</f>
        <v/>
      </c>
      <c r="G742" s="88">
        <f>SUMIFS(PARÂMETROS!$F$8:$F$907,PARÂMETROS!$A$8:$A$907,C742,PARÂMETROS!$G$8:$G$907,J742)</f>
        <v/>
      </c>
      <c r="H742" s="89">
        <f>IFERROR(F742*G742,0)</f>
        <v/>
      </c>
      <c r="I742" s="89">
        <f>F742+H742</f>
        <v/>
      </c>
      <c r="J742" s="110" t="inlineStr">
        <is>
          <t>Junho/2026</t>
        </is>
      </c>
    </row>
    <row r="743" ht="14.25" customHeight="1" s="64">
      <c r="A743" s="110" t="inlineStr">
        <is>
          <t>Fique Móvel</t>
        </is>
      </c>
      <c r="B743" s="110">
        <f>INDEX(SETORES!$B:$B,MATCH(A743,SETORES!$A:$A,0))</f>
        <v/>
      </c>
      <c r="C743" s="110" t="inlineStr">
        <is>
          <t>Empresa Licenciada SOARES E LINS</t>
        </is>
      </c>
      <c r="D743" s="88">
        <f>IF(B743="Clientes",SUMIFS(PARÂMETROS!$D$8:$D$907,PARÂMETROS!$A$8:$A$907,C743,PARÂMETROS!$G$8:$G$907,J743),SUMIFS(PARÂMETROS!$E$8:$E$907,PARÂMETROS!$A$8:$A$907,C743,PARÂMETROS!$G$8:$G$907,J743))</f>
        <v/>
      </c>
      <c r="E743" s="89">
        <f>SUMIFS(SETORES!$D:$D,SETORES!$A:$A,A743,SETORES!$F:$F,J743)</f>
        <v/>
      </c>
      <c r="F743" s="89">
        <f>IFERROR(D743*E743,0)</f>
        <v/>
      </c>
      <c r="G743" s="88">
        <f>SUMIFS(PARÂMETROS!$F$8:$F$907,PARÂMETROS!$A$8:$A$907,C743,PARÂMETROS!$G$8:$G$907,J743)</f>
        <v/>
      </c>
      <c r="H743" s="89">
        <f>IFERROR(F743*G743,0)</f>
        <v/>
      </c>
      <c r="I743" s="89">
        <f>F743+H743</f>
        <v/>
      </c>
      <c r="J743" s="110" t="inlineStr">
        <is>
          <t>Junho/2026</t>
        </is>
      </c>
    </row>
    <row r="744" ht="14.25" customHeight="1" s="64">
      <c r="A744" s="110" t="inlineStr">
        <is>
          <t>Fique Móvel</t>
        </is>
      </c>
      <c r="B744" s="110">
        <f>INDEX(SETORES!$B:$B,MATCH(A744,SETORES!$A:$A,0))</f>
        <v/>
      </c>
      <c r="C744" s="110" t="inlineStr">
        <is>
          <t>Empresa Licenciada SOARES E SILVA</t>
        </is>
      </c>
      <c r="D744" s="88">
        <f>IF(B744="Clientes",SUMIFS(PARÂMETROS!$D$8:$D$907,PARÂMETROS!$A$8:$A$907,C744,PARÂMETROS!$G$8:$G$907,J744),SUMIFS(PARÂMETROS!$E$8:$E$907,PARÂMETROS!$A$8:$A$907,C744,PARÂMETROS!$G$8:$G$907,J744))</f>
        <v/>
      </c>
      <c r="E744" s="89">
        <f>SUMIFS(SETORES!$D:$D,SETORES!$A:$A,A744,SETORES!$F:$F,J744)</f>
        <v/>
      </c>
      <c r="F744" s="89">
        <f>IFERROR(D744*E744,0)</f>
        <v/>
      </c>
      <c r="G744" s="88">
        <f>SUMIFS(PARÂMETROS!$F$8:$F$907,PARÂMETROS!$A$8:$A$907,C744,PARÂMETROS!$G$8:$G$907,J744)</f>
        <v/>
      </c>
      <c r="H744" s="89">
        <f>IFERROR(F744*G744,0)</f>
        <v/>
      </c>
      <c r="I744" s="89">
        <f>F744+H744</f>
        <v/>
      </c>
      <c r="J744" s="110" t="inlineStr">
        <is>
          <t>Junho/2026</t>
        </is>
      </c>
    </row>
    <row r="745" ht="14.25" customHeight="1" s="64">
      <c r="A745" s="110" t="inlineStr">
        <is>
          <t>Fique Móvel</t>
        </is>
      </c>
      <c r="B745" s="110">
        <f>INDEX(SETORES!$B:$B,MATCH(A745,SETORES!$A:$A,0))</f>
        <v/>
      </c>
      <c r="C745" s="110" t="inlineStr">
        <is>
          <t>Empresa Licenciada SOUZA E SILVA</t>
        </is>
      </c>
      <c r="D745" s="88">
        <f>IF(B745="Clientes",SUMIFS(PARÂMETROS!$D$8:$D$907,PARÂMETROS!$A$8:$A$907,C745,PARÂMETROS!$G$8:$G$907,J745),SUMIFS(PARÂMETROS!$E$8:$E$907,PARÂMETROS!$A$8:$A$907,C745,PARÂMETROS!$G$8:$G$907,J745))</f>
        <v/>
      </c>
      <c r="E745" s="89">
        <f>SUMIFS(SETORES!$D:$D,SETORES!$A:$A,A745,SETORES!$F:$F,J745)</f>
        <v/>
      </c>
      <c r="F745" s="89">
        <f>IFERROR(D745*E745,0)</f>
        <v/>
      </c>
      <c r="G745" s="88">
        <f>SUMIFS(PARÂMETROS!$F$8:$F$907,PARÂMETROS!$A$8:$A$907,C745,PARÂMETROS!$G$8:$G$907,J745)</f>
        <v/>
      </c>
      <c r="H745" s="89">
        <f>IFERROR(F745*G745,0)</f>
        <v/>
      </c>
      <c r="I745" s="89">
        <f>F745+H745</f>
        <v/>
      </c>
      <c r="J745" s="110" t="inlineStr">
        <is>
          <t>Junho/2026</t>
        </is>
      </c>
    </row>
    <row r="746" ht="14.25" customHeight="1" s="64">
      <c r="A746" s="110" t="inlineStr">
        <is>
          <t>Fique Móvel</t>
        </is>
      </c>
      <c r="B746" s="110">
        <f>INDEX(SETORES!$B:$B,MATCH(A746,SETORES!$A:$A,0))</f>
        <v/>
      </c>
      <c r="C746" s="110" t="inlineStr">
        <is>
          <t>Empresa Licenciada VOICENET</t>
        </is>
      </c>
      <c r="D746" s="88">
        <f>IF(B746="Clientes",SUMIFS(PARÂMETROS!$D$8:$D$907,PARÂMETROS!$A$8:$A$907,C746,PARÂMETROS!$G$8:$G$907,J746),SUMIFS(PARÂMETROS!$E$8:$E$907,PARÂMETROS!$A$8:$A$907,C746,PARÂMETROS!$G$8:$G$907,J746))</f>
        <v/>
      </c>
      <c r="E746" s="89">
        <f>SUMIFS(SETORES!$D:$D,SETORES!$A:$A,A746,SETORES!$F:$F,J746)</f>
        <v/>
      </c>
      <c r="F746" s="89">
        <f>IFERROR(D746*E746,0)</f>
        <v/>
      </c>
      <c r="G746" s="88">
        <f>SUMIFS(PARÂMETROS!$F$8:$F$907,PARÂMETROS!$A$8:$A$907,C746,PARÂMETROS!$G$8:$G$907,J746)</f>
        <v/>
      </c>
      <c r="H746" s="89">
        <f>IFERROR(F746*G746,0)</f>
        <v/>
      </c>
      <c r="I746" s="89">
        <f>F746+H746</f>
        <v/>
      </c>
      <c r="J746" s="110" t="inlineStr">
        <is>
          <t>Junho/2026</t>
        </is>
      </c>
    </row>
    <row r="747" ht="14.25" customHeight="1" s="64">
      <c r="A747" s="110" t="inlineStr">
        <is>
          <t>Fique Móvel</t>
        </is>
      </c>
      <c r="B747" s="110">
        <f>INDEX(SETORES!$B:$B,MATCH(A747,SETORES!$A:$A,0))</f>
        <v/>
      </c>
      <c r="C747" s="110" t="inlineStr">
        <is>
          <t>DTEL (uso próprio)</t>
        </is>
      </c>
      <c r="D747" s="88">
        <f>IF(B747="Clientes",SUMIFS(PARÂMETROS!$D$8:$D$907,PARÂMETROS!$A$8:$A$907,C747,PARÂMETROS!$G$8:$G$907,J747),SUMIFS(PARÂMETROS!$E$8:$E$907,PARÂMETROS!$A$8:$A$907,C747,PARÂMETROS!$G$8:$G$907,J747))</f>
        <v/>
      </c>
      <c r="E747" s="89">
        <f>SUMIFS(SETORES!$D:$D,SETORES!$A:$A,A747,SETORES!$F:$F,J747)</f>
        <v/>
      </c>
      <c r="F747" s="89">
        <f>IFERROR(D747*E747,0)</f>
        <v/>
      </c>
      <c r="G747" s="88">
        <f>SUMIFS(PARÂMETROS!$F$8:$F$907,PARÂMETROS!$A$8:$A$907,C747,PARÂMETROS!$G$8:$G$907,J747)</f>
        <v/>
      </c>
      <c r="H747" s="89">
        <f>IFERROR(F747*G747,0)</f>
        <v/>
      </c>
      <c r="I747" s="89">
        <f>F747+H747</f>
        <v/>
      </c>
      <c r="J747" s="110" t="inlineStr">
        <is>
          <t>Junho/2026</t>
        </is>
      </c>
    </row>
    <row r="748" ht="14.25" customHeight="1" s="64">
      <c r="A748" s="110" t="inlineStr">
        <is>
          <t>Fique Móvel</t>
        </is>
      </c>
      <c r="B748" s="110">
        <f>INDEX(SETORES!$B:$B,MATCH(A748,SETORES!$A:$A,0))</f>
        <v/>
      </c>
      <c r="C748" s="110" t="inlineStr">
        <is>
          <t>Empresa Licenciada DX2</t>
        </is>
      </c>
      <c r="D748" s="88">
        <f>IF(B748="Clientes",SUMIFS(PARÂMETROS!$D$8:$D$907,PARÂMETROS!$A$8:$A$907,C748,PARÂMETROS!$G$8:$G$907,J748),SUMIFS(PARÂMETROS!$E$8:$E$907,PARÂMETROS!$A$8:$A$907,C748,PARÂMETROS!$G$8:$G$907,J748))</f>
        <v/>
      </c>
      <c r="E748" s="89">
        <f>SUMIFS(SETORES!$D:$D,SETORES!$A:$A,A748,SETORES!$F:$F,J748)</f>
        <v/>
      </c>
      <c r="F748" s="89">
        <f>IFERROR(D748*E748,0)</f>
        <v/>
      </c>
      <c r="G748" s="88">
        <f>SUMIFS(PARÂMETROS!$F$8:$F$907,PARÂMETROS!$A$8:$A$907,C748,PARÂMETROS!$G$8:$G$907,J748)</f>
        <v/>
      </c>
      <c r="H748" s="89">
        <f>IFERROR(F748*G748,0)</f>
        <v/>
      </c>
      <c r="I748" s="89">
        <f>F748+H748</f>
        <v/>
      </c>
      <c r="J748" s="110" t="inlineStr">
        <is>
          <t>Julho/2026</t>
        </is>
      </c>
    </row>
    <row r="749" ht="14.25" customHeight="1" s="64">
      <c r="A749" s="110" t="inlineStr">
        <is>
          <t>Fique Móvel</t>
        </is>
      </c>
      <c r="B749" s="110">
        <f>INDEX(SETORES!$B:$B,MATCH(A749,SETORES!$A:$A,0))</f>
        <v/>
      </c>
      <c r="C749" s="110" t="inlineStr">
        <is>
          <t>Empresa Licenciada H&amp;A</t>
        </is>
      </c>
      <c r="D749" s="88">
        <f>IF(B749="Clientes",SUMIFS(PARÂMETROS!$D$8:$D$907,PARÂMETROS!$A$8:$A$907,C749,PARÂMETROS!$G$8:$G$907,J749),SUMIFS(PARÂMETROS!$E$8:$E$907,PARÂMETROS!$A$8:$A$907,C749,PARÂMETROS!$G$8:$G$907,J749))</f>
        <v/>
      </c>
      <c r="E749" s="89">
        <f>SUMIFS(SETORES!$D:$D,SETORES!$A:$A,A749,SETORES!$F:$F,J749)</f>
        <v/>
      </c>
      <c r="F749" s="89">
        <f>IFERROR(D749*E749,0)</f>
        <v/>
      </c>
      <c r="G749" s="88">
        <f>SUMIFS(PARÂMETROS!$F$8:$F$907,PARÂMETROS!$A$8:$A$907,C749,PARÂMETROS!$G$8:$G$907,J749)</f>
        <v/>
      </c>
      <c r="H749" s="89">
        <f>IFERROR(F749*G749,0)</f>
        <v/>
      </c>
      <c r="I749" s="89">
        <f>F749+H749</f>
        <v/>
      </c>
      <c r="J749" s="110" t="inlineStr">
        <is>
          <t>Julho/2026</t>
        </is>
      </c>
    </row>
    <row r="750" ht="14.25" customHeight="1" s="64">
      <c r="A750" s="110" t="inlineStr">
        <is>
          <t>Fique Móvel</t>
        </is>
      </c>
      <c r="B750" s="110">
        <f>INDEX(SETORES!$B:$B,MATCH(A750,SETORES!$A:$A,0))</f>
        <v/>
      </c>
      <c r="C750" s="110" t="inlineStr">
        <is>
          <t>Empresa Licenciada SOLON ARAUJO</t>
        </is>
      </c>
      <c r="D750" s="88">
        <f>IF(B750="Clientes",SUMIFS(PARÂMETROS!$D$8:$D$907,PARÂMETROS!$A$8:$A$907,C750,PARÂMETROS!$G$8:$G$907,J750),SUMIFS(PARÂMETROS!$E$8:$E$907,PARÂMETROS!$A$8:$A$907,C750,PARÂMETROS!$G$8:$G$907,J750))</f>
        <v/>
      </c>
      <c r="E750" s="89">
        <f>SUMIFS(SETORES!$D:$D,SETORES!$A:$A,A750,SETORES!$F:$F,J750)</f>
        <v/>
      </c>
      <c r="F750" s="89">
        <f>IFERROR(D750*E750,0)</f>
        <v/>
      </c>
      <c r="G750" s="88">
        <f>SUMIFS(PARÂMETROS!$F$8:$F$907,PARÂMETROS!$A$8:$A$907,C750,PARÂMETROS!$G$8:$G$907,J750)</f>
        <v/>
      </c>
      <c r="H750" s="89">
        <f>IFERROR(F750*G750,0)</f>
        <v/>
      </c>
      <c r="I750" s="89">
        <f>F750+H750</f>
        <v/>
      </c>
      <c r="J750" s="110" t="inlineStr">
        <is>
          <t>Julho/2026</t>
        </is>
      </c>
    </row>
    <row r="751" ht="14.25" customHeight="1" s="64">
      <c r="A751" s="110" t="inlineStr">
        <is>
          <t>Fique Móvel</t>
        </is>
      </c>
      <c r="B751" s="110">
        <f>INDEX(SETORES!$B:$B,MATCH(A751,SETORES!$A:$A,0))</f>
        <v/>
      </c>
      <c r="C751" s="110" t="inlineStr">
        <is>
          <t>Empresa Licenciada SOARES E LINS</t>
        </is>
      </c>
      <c r="D751" s="88">
        <f>IF(B751="Clientes",SUMIFS(PARÂMETROS!$D$8:$D$907,PARÂMETROS!$A$8:$A$907,C751,PARÂMETROS!$G$8:$G$907,J751),SUMIFS(PARÂMETROS!$E$8:$E$907,PARÂMETROS!$A$8:$A$907,C751,PARÂMETROS!$G$8:$G$907,J751))</f>
        <v/>
      </c>
      <c r="E751" s="89">
        <f>SUMIFS(SETORES!$D:$D,SETORES!$A:$A,A751,SETORES!$F:$F,J751)</f>
        <v/>
      </c>
      <c r="F751" s="89">
        <f>IFERROR(D751*E751,0)</f>
        <v/>
      </c>
      <c r="G751" s="88">
        <f>SUMIFS(PARÂMETROS!$F$8:$F$907,PARÂMETROS!$A$8:$A$907,C751,PARÂMETROS!$G$8:$G$907,J751)</f>
        <v/>
      </c>
      <c r="H751" s="89">
        <f>IFERROR(F751*G751,0)</f>
        <v/>
      </c>
      <c r="I751" s="89">
        <f>F751+H751</f>
        <v/>
      </c>
      <c r="J751" s="110" t="inlineStr">
        <is>
          <t>Julho/2026</t>
        </is>
      </c>
    </row>
    <row r="752" ht="14.25" customHeight="1" s="64">
      <c r="A752" s="110" t="inlineStr">
        <is>
          <t>Fique Móvel</t>
        </is>
      </c>
      <c r="B752" s="110">
        <f>INDEX(SETORES!$B:$B,MATCH(A752,SETORES!$A:$A,0))</f>
        <v/>
      </c>
      <c r="C752" s="110" t="inlineStr">
        <is>
          <t>Empresa Licenciada SOARES E SILVA</t>
        </is>
      </c>
      <c r="D752" s="88">
        <f>IF(B752="Clientes",SUMIFS(PARÂMETROS!$D$8:$D$907,PARÂMETROS!$A$8:$A$907,C752,PARÂMETROS!$G$8:$G$907,J752),SUMIFS(PARÂMETROS!$E$8:$E$907,PARÂMETROS!$A$8:$A$907,C752,PARÂMETROS!$G$8:$G$907,J752))</f>
        <v/>
      </c>
      <c r="E752" s="89">
        <f>SUMIFS(SETORES!$D:$D,SETORES!$A:$A,A752,SETORES!$F:$F,J752)</f>
        <v/>
      </c>
      <c r="F752" s="89">
        <f>IFERROR(D752*E752,0)</f>
        <v/>
      </c>
      <c r="G752" s="88">
        <f>SUMIFS(PARÂMETROS!$F$8:$F$907,PARÂMETROS!$A$8:$A$907,C752,PARÂMETROS!$G$8:$G$907,J752)</f>
        <v/>
      </c>
      <c r="H752" s="89">
        <f>IFERROR(F752*G752,0)</f>
        <v/>
      </c>
      <c r="I752" s="89">
        <f>F752+H752</f>
        <v/>
      </c>
      <c r="J752" s="110" t="inlineStr">
        <is>
          <t>Julho/2026</t>
        </is>
      </c>
    </row>
    <row r="753" ht="14.25" customHeight="1" s="64">
      <c r="A753" s="110" t="inlineStr">
        <is>
          <t>Fique Móvel</t>
        </is>
      </c>
      <c r="B753" s="110">
        <f>INDEX(SETORES!$B:$B,MATCH(A753,SETORES!$A:$A,0))</f>
        <v/>
      </c>
      <c r="C753" s="110" t="inlineStr">
        <is>
          <t>Empresa Licenciada SOUZA E SILVA</t>
        </is>
      </c>
      <c r="D753" s="88">
        <f>IF(B753="Clientes",SUMIFS(PARÂMETROS!$D$8:$D$907,PARÂMETROS!$A$8:$A$907,C753,PARÂMETROS!$G$8:$G$907,J753),SUMIFS(PARÂMETROS!$E$8:$E$907,PARÂMETROS!$A$8:$A$907,C753,PARÂMETROS!$G$8:$G$907,J753))</f>
        <v/>
      </c>
      <c r="E753" s="89">
        <f>SUMIFS(SETORES!$D:$D,SETORES!$A:$A,A753,SETORES!$F:$F,J753)</f>
        <v/>
      </c>
      <c r="F753" s="89">
        <f>IFERROR(D753*E753,0)</f>
        <v/>
      </c>
      <c r="G753" s="88">
        <f>SUMIFS(PARÂMETROS!$F$8:$F$907,PARÂMETROS!$A$8:$A$907,C753,PARÂMETROS!$G$8:$G$907,J753)</f>
        <v/>
      </c>
      <c r="H753" s="89">
        <f>IFERROR(F753*G753,0)</f>
        <v/>
      </c>
      <c r="I753" s="89">
        <f>F753+H753</f>
        <v/>
      </c>
      <c r="J753" s="110" t="inlineStr">
        <is>
          <t>Julho/2026</t>
        </is>
      </c>
    </row>
    <row r="754" ht="14.25" customHeight="1" s="64">
      <c r="A754" s="110" t="inlineStr">
        <is>
          <t>Fique Móvel</t>
        </is>
      </c>
      <c r="B754" s="110">
        <f>INDEX(SETORES!$B:$B,MATCH(A754,SETORES!$A:$A,0))</f>
        <v/>
      </c>
      <c r="C754" s="110" t="inlineStr">
        <is>
          <t>Empresa Licenciada VOICENET</t>
        </is>
      </c>
      <c r="D754" s="88">
        <f>IF(B754="Clientes",SUMIFS(PARÂMETROS!$D$8:$D$907,PARÂMETROS!$A$8:$A$907,C754,PARÂMETROS!$G$8:$G$907,J754),SUMIFS(PARÂMETROS!$E$8:$E$907,PARÂMETROS!$A$8:$A$907,C754,PARÂMETROS!$G$8:$G$907,J754))</f>
        <v/>
      </c>
      <c r="E754" s="89">
        <f>SUMIFS(SETORES!$D:$D,SETORES!$A:$A,A754,SETORES!$F:$F,J754)</f>
        <v/>
      </c>
      <c r="F754" s="89">
        <f>IFERROR(D754*E754,0)</f>
        <v/>
      </c>
      <c r="G754" s="88">
        <f>SUMIFS(PARÂMETROS!$F$8:$F$907,PARÂMETROS!$A$8:$A$907,C754,PARÂMETROS!$G$8:$G$907,J754)</f>
        <v/>
      </c>
      <c r="H754" s="89">
        <f>IFERROR(F754*G754,0)</f>
        <v/>
      </c>
      <c r="I754" s="89">
        <f>F754+H754</f>
        <v/>
      </c>
      <c r="J754" s="110" t="inlineStr">
        <is>
          <t>Julho/2026</t>
        </is>
      </c>
    </row>
    <row r="755" ht="14.25" customHeight="1" s="64">
      <c r="A755" s="110" t="inlineStr">
        <is>
          <t>Fique Móvel</t>
        </is>
      </c>
      <c r="B755" s="110">
        <f>INDEX(SETORES!$B:$B,MATCH(A755,SETORES!$A:$A,0))</f>
        <v/>
      </c>
      <c r="C755" s="110" t="inlineStr">
        <is>
          <t>DTEL (uso próprio)</t>
        </is>
      </c>
      <c r="D755" s="88">
        <f>IF(B755="Clientes",SUMIFS(PARÂMETROS!$D$8:$D$907,PARÂMETROS!$A$8:$A$907,C755,PARÂMETROS!$G$8:$G$907,J755),SUMIFS(PARÂMETROS!$E$8:$E$907,PARÂMETROS!$A$8:$A$907,C755,PARÂMETROS!$G$8:$G$907,J755))</f>
        <v/>
      </c>
      <c r="E755" s="89">
        <f>SUMIFS(SETORES!$D:$D,SETORES!$A:$A,A755,SETORES!$F:$F,J755)</f>
        <v/>
      </c>
      <c r="F755" s="89">
        <f>IFERROR(D755*E755,0)</f>
        <v/>
      </c>
      <c r="G755" s="88">
        <f>SUMIFS(PARÂMETROS!$F$8:$F$907,PARÂMETROS!$A$8:$A$907,C755,PARÂMETROS!$G$8:$G$907,J755)</f>
        <v/>
      </c>
      <c r="H755" s="89">
        <f>IFERROR(F755*G755,0)</f>
        <v/>
      </c>
      <c r="I755" s="89">
        <f>F755+H755</f>
        <v/>
      </c>
      <c r="J755" s="110" t="inlineStr">
        <is>
          <t>Julho/2026</t>
        </is>
      </c>
    </row>
    <row r="756" ht="14.25" customHeight="1" s="64">
      <c r="A756" s="110" t="inlineStr">
        <is>
          <t>Fusão</t>
        </is>
      </c>
      <c r="B756" s="110">
        <f>INDEX(SETORES!$B:$B,MATCH(A756,SETORES!$A:$A,0))</f>
        <v/>
      </c>
      <c r="C756" s="110" t="inlineStr">
        <is>
          <t>Empresa Licenciada DX2</t>
        </is>
      </c>
      <c r="D756" s="88">
        <f>IF(B756="Clientes",SUMIFS(PARÂMETROS!$D$8:$D$907,PARÂMETROS!$A$8:$A$907,C756,PARÂMETROS!$G$8:$G$907,J756),SUMIFS(PARÂMETROS!$E$8:$E$907,PARÂMETROS!$A$8:$A$907,C756,PARÂMETROS!$G$8:$G$907,J756))</f>
        <v/>
      </c>
      <c r="E756" s="89">
        <f>SUMIFS(SETORES!$D:$D,SETORES!$A:$A,A756,SETORES!$F:$F,J756)</f>
        <v/>
      </c>
      <c r="F756" s="89">
        <f>IFERROR(D756*E756,0)</f>
        <v/>
      </c>
      <c r="G756" s="88">
        <f>SUMIFS(PARÂMETROS!$F$8:$F$907,PARÂMETROS!$A$8:$A$907,C756,PARÂMETROS!$G$8:$G$907,J756)</f>
        <v/>
      </c>
      <c r="H756" s="89">
        <f>IFERROR(F756*G756,0)</f>
        <v/>
      </c>
      <c r="I756" s="89">
        <f>F756+H756</f>
        <v/>
      </c>
      <c r="J756" s="110" t="inlineStr">
        <is>
          <t>Maio/2026</t>
        </is>
      </c>
    </row>
    <row r="757" ht="14.25" customHeight="1" s="64">
      <c r="A757" s="110" t="inlineStr">
        <is>
          <t>Fusão</t>
        </is>
      </c>
      <c r="B757" s="110">
        <f>INDEX(SETORES!$B:$B,MATCH(A757,SETORES!$A:$A,0))</f>
        <v/>
      </c>
      <c r="C757" s="110" t="inlineStr">
        <is>
          <t>Empresa Licenciada H&amp;A</t>
        </is>
      </c>
      <c r="D757" s="88">
        <f>IF(B757="Clientes",SUMIFS(PARÂMETROS!$D$8:$D$907,PARÂMETROS!$A$8:$A$907,C757,PARÂMETROS!$G$8:$G$907,J757),SUMIFS(PARÂMETROS!$E$8:$E$907,PARÂMETROS!$A$8:$A$907,C757,PARÂMETROS!$G$8:$G$907,J757))</f>
        <v/>
      </c>
      <c r="E757" s="89">
        <f>SUMIFS(SETORES!$D:$D,SETORES!$A:$A,A757,SETORES!$F:$F,J757)</f>
        <v/>
      </c>
      <c r="F757" s="89">
        <f>IFERROR(D757*E757,0)</f>
        <v/>
      </c>
      <c r="G757" s="88">
        <f>SUMIFS(PARÂMETROS!$F$8:$F$907,PARÂMETROS!$A$8:$A$907,C757,PARÂMETROS!$G$8:$G$907,J757)</f>
        <v/>
      </c>
      <c r="H757" s="89">
        <f>IFERROR(F757*G757,0)</f>
        <v/>
      </c>
      <c r="I757" s="89">
        <f>F757+H757</f>
        <v/>
      </c>
      <c r="J757" s="110" t="inlineStr">
        <is>
          <t>Maio/2026</t>
        </is>
      </c>
    </row>
    <row r="758" ht="14.25" customHeight="1" s="64">
      <c r="A758" s="110" t="inlineStr">
        <is>
          <t>Fusão</t>
        </is>
      </c>
      <c r="B758" s="110">
        <f>INDEX(SETORES!$B:$B,MATCH(A758,SETORES!$A:$A,0))</f>
        <v/>
      </c>
      <c r="C758" s="110" t="inlineStr">
        <is>
          <t>Empresa Licenciada SOLON ARAUJO</t>
        </is>
      </c>
      <c r="D758" s="88">
        <f>IF(B758="Clientes",SUMIFS(PARÂMETROS!$D$8:$D$907,PARÂMETROS!$A$8:$A$907,C758,PARÂMETROS!$G$8:$G$907,J758),SUMIFS(PARÂMETROS!$E$8:$E$907,PARÂMETROS!$A$8:$A$907,C758,PARÂMETROS!$G$8:$G$907,J758))</f>
        <v/>
      </c>
      <c r="E758" s="89">
        <f>SUMIFS(SETORES!$D:$D,SETORES!$A:$A,A758,SETORES!$F:$F,J758)</f>
        <v/>
      </c>
      <c r="F758" s="89">
        <f>IFERROR(D758*E758,0)</f>
        <v/>
      </c>
      <c r="G758" s="88">
        <f>SUMIFS(PARÂMETROS!$F$8:$F$907,PARÂMETROS!$A$8:$A$907,C758,PARÂMETROS!$G$8:$G$907,J758)</f>
        <v/>
      </c>
      <c r="H758" s="89">
        <f>IFERROR(F758*G758,0)</f>
        <v/>
      </c>
      <c r="I758" s="89">
        <f>F758+H758</f>
        <v/>
      </c>
      <c r="J758" s="110" t="inlineStr">
        <is>
          <t>Maio/2026</t>
        </is>
      </c>
    </row>
    <row r="759" ht="14.25" customHeight="1" s="64">
      <c r="A759" s="110" t="inlineStr">
        <is>
          <t>Fusão</t>
        </is>
      </c>
      <c r="B759" s="110">
        <f>INDEX(SETORES!$B:$B,MATCH(A759,SETORES!$A:$A,0))</f>
        <v/>
      </c>
      <c r="C759" s="110" t="inlineStr">
        <is>
          <t>Empresa Licenciada SOARES E LINS</t>
        </is>
      </c>
      <c r="D759" s="88">
        <f>IF(B759="Clientes",SUMIFS(PARÂMETROS!$D$8:$D$907,PARÂMETROS!$A$8:$A$907,C759,PARÂMETROS!$G$8:$G$907,J759),SUMIFS(PARÂMETROS!$E$8:$E$907,PARÂMETROS!$A$8:$A$907,C759,PARÂMETROS!$G$8:$G$907,J759))</f>
        <v/>
      </c>
      <c r="E759" s="89">
        <f>SUMIFS(SETORES!$D:$D,SETORES!$A:$A,A759,SETORES!$F:$F,J759)</f>
        <v/>
      </c>
      <c r="F759" s="89">
        <f>IFERROR(D759*E759,0)</f>
        <v/>
      </c>
      <c r="G759" s="88">
        <f>SUMIFS(PARÂMETROS!$F$8:$F$907,PARÂMETROS!$A$8:$A$907,C759,PARÂMETROS!$G$8:$G$907,J759)</f>
        <v/>
      </c>
      <c r="H759" s="89">
        <f>IFERROR(F759*G759,0)</f>
        <v/>
      </c>
      <c r="I759" s="89">
        <f>F759+H759</f>
        <v/>
      </c>
      <c r="J759" s="110" t="inlineStr">
        <is>
          <t>Maio/2026</t>
        </is>
      </c>
    </row>
    <row r="760" ht="14.25" customHeight="1" s="64">
      <c r="A760" s="110" t="inlineStr">
        <is>
          <t>Fusão</t>
        </is>
      </c>
      <c r="B760" s="110">
        <f>INDEX(SETORES!$B:$B,MATCH(A760,SETORES!$A:$A,0))</f>
        <v/>
      </c>
      <c r="C760" s="110" t="inlineStr">
        <is>
          <t>Empresa Licenciada SOARES E SILVA</t>
        </is>
      </c>
      <c r="D760" s="88">
        <f>IF(B760="Clientes",SUMIFS(PARÂMETROS!$D$8:$D$907,PARÂMETROS!$A$8:$A$907,C760,PARÂMETROS!$G$8:$G$907,J760),SUMIFS(PARÂMETROS!$E$8:$E$907,PARÂMETROS!$A$8:$A$907,C760,PARÂMETROS!$G$8:$G$907,J760))</f>
        <v/>
      </c>
      <c r="E760" s="89">
        <f>SUMIFS(SETORES!$D:$D,SETORES!$A:$A,A760,SETORES!$F:$F,J760)</f>
        <v/>
      </c>
      <c r="F760" s="89">
        <f>IFERROR(D760*E760,0)</f>
        <v/>
      </c>
      <c r="G760" s="88">
        <f>SUMIFS(PARÂMETROS!$F$8:$F$907,PARÂMETROS!$A$8:$A$907,C760,PARÂMETROS!$G$8:$G$907,J760)</f>
        <v/>
      </c>
      <c r="H760" s="89">
        <f>IFERROR(F760*G760,0)</f>
        <v/>
      </c>
      <c r="I760" s="89">
        <f>F760+H760</f>
        <v/>
      </c>
      <c r="J760" s="110" t="inlineStr">
        <is>
          <t>Maio/2026</t>
        </is>
      </c>
    </row>
    <row r="761" ht="14.25" customHeight="1" s="64">
      <c r="A761" s="110" t="inlineStr">
        <is>
          <t>Fusão</t>
        </is>
      </c>
      <c r="B761" s="110">
        <f>INDEX(SETORES!$B:$B,MATCH(A761,SETORES!$A:$A,0))</f>
        <v/>
      </c>
      <c r="C761" s="110" t="inlineStr">
        <is>
          <t>Empresa Licenciada SOUZA E SILVA</t>
        </is>
      </c>
      <c r="D761" s="88">
        <f>IF(B761="Clientes",SUMIFS(PARÂMETROS!$D$8:$D$907,PARÂMETROS!$A$8:$A$907,C761,PARÂMETROS!$G$8:$G$907,J761),SUMIFS(PARÂMETROS!$E$8:$E$907,PARÂMETROS!$A$8:$A$907,C761,PARÂMETROS!$G$8:$G$907,J761))</f>
        <v/>
      </c>
      <c r="E761" s="89">
        <f>SUMIFS(SETORES!$D:$D,SETORES!$A:$A,A761,SETORES!$F:$F,J761)</f>
        <v/>
      </c>
      <c r="F761" s="89">
        <f>IFERROR(D761*E761,0)</f>
        <v/>
      </c>
      <c r="G761" s="88">
        <f>SUMIFS(PARÂMETROS!$F$8:$F$907,PARÂMETROS!$A$8:$A$907,C761,PARÂMETROS!$G$8:$G$907,J761)</f>
        <v/>
      </c>
      <c r="H761" s="89">
        <f>IFERROR(F761*G761,0)</f>
        <v/>
      </c>
      <c r="I761" s="89">
        <f>F761+H761</f>
        <v/>
      </c>
      <c r="J761" s="110" t="inlineStr">
        <is>
          <t>Maio/2026</t>
        </is>
      </c>
    </row>
    <row r="762" ht="14.25" customHeight="1" s="64">
      <c r="A762" s="110" t="inlineStr">
        <is>
          <t>Fusão</t>
        </is>
      </c>
      <c r="B762" s="110">
        <f>INDEX(SETORES!$B:$B,MATCH(A762,SETORES!$A:$A,0))</f>
        <v/>
      </c>
      <c r="C762" s="110" t="inlineStr">
        <is>
          <t>Empresa Licenciada VOICENET</t>
        </is>
      </c>
      <c r="D762" s="88">
        <f>IF(B762="Clientes",SUMIFS(PARÂMETROS!$D$8:$D$907,PARÂMETROS!$A$8:$A$907,C762,PARÂMETROS!$G$8:$G$907,J762),SUMIFS(PARÂMETROS!$E$8:$E$907,PARÂMETROS!$A$8:$A$907,C762,PARÂMETROS!$G$8:$G$907,J762))</f>
        <v/>
      </c>
      <c r="E762" s="89">
        <f>SUMIFS(SETORES!$D:$D,SETORES!$A:$A,A762,SETORES!$F:$F,J762)</f>
        <v/>
      </c>
      <c r="F762" s="89">
        <f>IFERROR(D762*E762,0)</f>
        <v/>
      </c>
      <c r="G762" s="88">
        <f>SUMIFS(PARÂMETROS!$F$8:$F$907,PARÂMETROS!$A$8:$A$907,C762,PARÂMETROS!$G$8:$G$907,J762)</f>
        <v/>
      </c>
      <c r="H762" s="89">
        <f>IFERROR(F762*G762,0)</f>
        <v/>
      </c>
      <c r="I762" s="89">
        <f>F762+H762</f>
        <v/>
      </c>
      <c r="J762" s="110" t="inlineStr">
        <is>
          <t>Maio/2026</t>
        </is>
      </c>
    </row>
    <row r="763" ht="14.25" customHeight="1" s="64">
      <c r="A763" s="110" t="inlineStr">
        <is>
          <t>Fusão</t>
        </is>
      </c>
      <c r="B763" s="110">
        <f>INDEX(SETORES!$B:$B,MATCH(A763,SETORES!$A:$A,0))</f>
        <v/>
      </c>
      <c r="C763" s="110" t="inlineStr">
        <is>
          <t>DTEL (uso próprio)</t>
        </is>
      </c>
      <c r="D763" s="88">
        <f>IF(B763="Clientes",SUMIFS(PARÂMETROS!$D$8:$D$907,PARÂMETROS!$A$8:$A$907,C763,PARÂMETROS!$G$8:$G$907,J763),SUMIFS(PARÂMETROS!$E$8:$E$907,PARÂMETROS!$A$8:$A$907,C763,PARÂMETROS!$G$8:$G$907,J763))</f>
        <v/>
      </c>
      <c r="E763" s="89">
        <f>SUMIFS(SETORES!$D:$D,SETORES!$A:$A,A763,SETORES!$F:$F,J763)</f>
        <v/>
      </c>
      <c r="F763" s="89">
        <f>IFERROR(D763*E763,0)</f>
        <v/>
      </c>
      <c r="G763" s="88">
        <f>SUMIFS(PARÂMETROS!$F$8:$F$907,PARÂMETROS!$A$8:$A$907,C763,PARÂMETROS!$G$8:$G$907,J763)</f>
        <v/>
      </c>
      <c r="H763" s="89">
        <f>IFERROR(F763*G763,0)</f>
        <v/>
      </c>
      <c r="I763" s="89">
        <f>F763+H763</f>
        <v/>
      </c>
      <c r="J763" s="110" t="inlineStr">
        <is>
          <t>Maio/2026</t>
        </is>
      </c>
    </row>
    <row r="764" ht="14.25" customHeight="1" s="64">
      <c r="A764" s="110" t="inlineStr">
        <is>
          <t>Fusão</t>
        </is>
      </c>
      <c r="B764" s="110">
        <f>INDEX(SETORES!$B:$B,MATCH(A764,SETORES!$A:$A,0))</f>
        <v/>
      </c>
      <c r="C764" s="110" t="inlineStr">
        <is>
          <t>Empresa Licenciada DX2</t>
        </is>
      </c>
      <c r="D764" s="88">
        <f>IF(B764="Clientes",SUMIFS(PARÂMETROS!$D$8:$D$907,PARÂMETROS!$A$8:$A$907,C764,PARÂMETROS!$G$8:$G$907,J764),SUMIFS(PARÂMETROS!$E$8:$E$907,PARÂMETROS!$A$8:$A$907,C764,PARÂMETROS!$G$8:$G$907,J764))</f>
        <v/>
      </c>
      <c r="E764" s="89">
        <f>SUMIFS(SETORES!$D:$D,SETORES!$A:$A,A764,SETORES!$F:$F,J764)</f>
        <v/>
      </c>
      <c r="F764" s="89">
        <f>IFERROR(D764*E764,0)</f>
        <v/>
      </c>
      <c r="G764" s="88">
        <f>SUMIFS(PARÂMETROS!$F$8:$F$907,PARÂMETROS!$A$8:$A$907,C764,PARÂMETROS!$G$8:$G$907,J764)</f>
        <v/>
      </c>
      <c r="H764" s="89">
        <f>IFERROR(F764*G764,0)</f>
        <v/>
      </c>
      <c r="I764" s="89">
        <f>F764+H764</f>
        <v/>
      </c>
      <c r="J764" s="110" t="inlineStr">
        <is>
          <t>Junho/2026</t>
        </is>
      </c>
    </row>
    <row r="765" ht="14.25" customHeight="1" s="64">
      <c r="A765" s="110" t="inlineStr">
        <is>
          <t>Fusão</t>
        </is>
      </c>
      <c r="B765" s="110">
        <f>INDEX(SETORES!$B:$B,MATCH(A765,SETORES!$A:$A,0))</f>
        <v/>
      </c>
      <c r="C765" s="110" t="inlineStr">
        <is>
          <t>Empresa Licenciada H&amp;A</t>
        </is>
      </c>
      <c r="D765" s="88">
        <f>IF(B765="Clientes",SUMIFS(PARÂMETROS!$D$8:$D$907,PARÂMETROS!$A$8:$A$907,C765,PARÂMETROS!$G$8:$G$907,J765),SUMIFS(PARÂMETROS!$E$8:$E$907,PARÂMETROS!$A$8:$A$907,C765,PARÂMETROS!$G$8:$G$907,J765))</f>
        <v/>
      </c>
      <c r="E765" s="89">
        <f>SUMIFS(SETORES!$D:$D,SETORES!$A:$A,A765,SETORES!$F:$F,J765)</f>
        <v/>
      </c>
      <c r="F765" s="89">
        <f>IFERROR(D765*E765,0)</f>
        <v/>
      </c>
      <c r="G765" s="88">
        <f>SUMIFS(PARÂMETROS!$F$8:$F$907,PARÂMETROS!$A$8:$A$907,C765,PARÂMETROS!$G$8:$G$907,J765)</f>
        <v/>
      </c>
      <c r="H765" s="89">
        <f>IFERROR(F765*G765,0)</f>
        <v/>
      </c>
      <c r="I765" s="89">
        <f>F765+H765</f>
        <v/>
      </c>
      <c r="J765" s="110" t="inlineStr">
        <is>
          <t>Junho/2026</t>
        </is>
      </c>
    </row>
    <row r="766" ht="14.25" customHeight="1" s="64">
      <c r="A766" s="110" t="inlineStr">
        <is>
          <t>Fusão</t>
        </is>
      </c>
      <c r="B766" s="110">
        <f>INDEX(SETORES!$B:$B,MATCH(A766,SETORES!$A:$A,0))</f>
        <v/>
      </c>
      <c r="C766" s="110" t="inlineStr">
        <is>
          <t>Empresa Licenciada SOLON ARAUJO</t>
        </is>
      </c>
      <c r="D766" s="88">
        <f>IF(B766="Clientes",SUMIFS(PARÂMETROS!$D$8:$D$907,PARÂMETROS!$A$8:$A$907,C766,PARÂMETROS!$G$8:$G$907,J766),SUMIFS(PARÂMETROS!$E$8:$E$907,PARÂMETROS!$A$8:$A$907,C766,PARÂMETROS!$G$8:$G$907,J766))</f>
        <v/>
      </c>
      <c r="E766" s="89">
        <f>SUMIFS(SETORES!$D:$D,SETORES!$A:$A,A766,SETORES!$F:$F,J766)</f>
        <v/>
      </c>
      <c r="F766" s="89">
        <f>IFERROR(D766*E766,0)</f>
        <v/>
      </c>
      <c r="G766" s="88">
        <f>SUMIFS(PARÂMETROS!$F$8:$F$907,PARÂMETROS!$A$8:$A$907,C766,PARÂMETROS!$G$8:$G$907,J766)</f>
        <v/>
      </c>
      <c r="H766" s="89">
        <f>IFERROR(F766*G766,0)</f>
        <v/>
      </c>
      <c r="I766" s="89">
        <f>F766+H766</f>
        <v/>
      </c>
      <c r="J766" s="110" t="inlineStr">
        <is>
          <t>Junho/2026</t>
        </is>
      </c>
    </row>
    <row r="767" ht="14.25" customHeight="1" s="64">
      <c r="A767" s="110" t="inlineStr">
        <is>
          <t>Fusão</t>
        </is>
      </c>
      <c r="B767" s="110">
        <f>INDEX(SETORES!$B:$B,MATCH(A767,SETORES!$A:$A,0))</f>
        <v/>
      </c>
      <c r="C767" s="110" t="inlineStr">
        <is>
          <t>Empresa Licenciada SOARES E LINS</t>
        </is>
      </c>
      <c r="D767" s="88">
        <f>IF(B767="Clientes",SUMIFS(PARÂMETROS!$D$8:$D$907,PARÂMETROS!$A$8:$A$907,C767,PARÂMETROS!$G$8:$G$907,J767),SUMIFS(PARÂMETROS!$E$8:$E$907,PARÂMETROS!$A$8:$A$907,C767,PARÂMETROS!$G$8:$G$907,J767))</f>
        <v/>
      </c>
      <c r="E767" s="89">
        <f>SUMIFS(SETORES!$D:$D,SETORES!$A:$A,A767,SETORES!$F:$F,J767)</f>
        <v/>
      </c>
      <c r="F767" s="89">
        <f>IFERROR(D767*E767,0)</f>
        <v/>
      </c>
      <c r="G767" s="88">
        <f>SUMIFS(PARÂMETROS!$F$8:$F$907,PARÂMETROS!$A$8:$A$907,C767,PARÂMETROS!$G$8:$G$907,J767)</f>
        <v/>
      </c>
      <c r="H767" s="89">
        <f>IFERROR(F767*G767,0)</f>
        <v/>
      </c>
      <c r="I767" s="89">
        <f>F767+H767</f>
        <v/>
      </c>
      <c r="J767" s="110" t="inlineStr">
        <is>
          <t>Junho/2026</t>
        </is>
      </c>
    </row>
    <row r="768" ht="14.25" customHeight="1" s="64">
      <c r="A768" s="110" t="inlineStr">
        <is>
          <t>Fusão</t>
        </is>
      </c>
      <c r="B768" s="110">
        <f>INDEX(SETORES!$B:$B,MATCH(A768,SETORES!$A:$A,0))</f>
        <v/>
      </c>
      <c r="C768" s="110" t="inlineStr">
        <is>
          <t>Empresa Licenciada SOARES E SILVA</t>
        </is>
      </c>
      <c r="D768" s="88">
        <f>IF(B768="Clientes",SUMIFS(PARÂMETROS!$D$8:$D$907,PARÂMETROS!$A$8:$A$907,C768,PARÂMETROS!$G$8:$G$907,J768),SUMIFS(PARÂMETROS!$E$8:$E$907,PARÂMETROS!$A$8:$A$907,C768,PARÂMETROS!$G$8:$G$907,J768))</f>
        <v/>
      </c>
      <c r="E768" s="89">
        <f>SUMIFS(SETORES!$D:$D,SETORES!$A:$A,A768,SETORES!$F:$F,J768)</f>
        <v/>
      </c>
      <c r="F768" s="89">
        <f>IFERROR(D768*E768,0)</f>
        <v/>
      </c>
      <c r="G768" s="88">
        <f>SUMIFS(PARÂMETROS!$F$8:$F$907,PARÂMETROS!$A$8:$A$907,C768,PARÂMETROS!$G$8:$G$907,J768)</f>
        <v/>
      </c>
      <c r="H768" s="89">
        <f>IFERROR(F768*G768,0)</f>
        <v/>
      </c>
      <c r="I768" s="89">
        <f>F768+H768</f>
        <v/>
      </c>
      <c r="J768" s="110" t="inlineStr">
        <is>
          <t>Junho/2026</t>
        </is>
      </c>
    </row>
    <row r="769" ht="14.25" customHeight="1" s="64">
      <c r="A769" s="110" t="inlineStr">
        <is>
          <t>Fusão</t>
        </is>
      </c>
      <c r="B769" s="110">
        <f>INDEX(SETORES!$B:$B,MATCH(A769,SETORES!$A:$A,0))</f>
        <v/>
      </c>
      <c r="C769" s="110" t="inlineStr">
        <is>
          <t>Empresa Licenciada SOUZA E SILVA</t>
        </is>
      </c>
      <c r="D769" s="88">
        <f>IF(B769="Clientes",SUMIFS(PARÂMETROS!$D$8:$D$907,PARÂMETROS!$A$8:$A$907,C769,PARÂMETROS!$G$8:$G$907,J769),SUMIFS(PARÂMETROS!$E$8:$E$907,PARÂMETROS!$A$8:$A$907,C769,PARÂMETROS!$G$8:$G$907,J769))</f>
        <v/>
      </c>
      <c r="E769" s="89">
        <f>SUMIFS(SETORES!$D:$D,SETORES!$A:$A,A769,SETORES!$F:$F,J769)</f>
        <v/>
      </c>
      <c r="F769" s="89">
        <f>IFERROR(D769*E769,0)</f>
        <v/>
      </c>
      <c r="G769" s="88">
        <f>SUMIFS(PARÂMETROS!$F$8:$F$907,PARÂMETROS!$A$8:$A$907,C769,PARÂMETROS!$G$8:$G$907,J769)</f>
        <v/>
      </c>
      <c r="H769" s="89">
        <f>IFERROR(F769*G769,0)</f>
        <v/>
      </c>
      <c r="I769" s="89">
        <f>F769+H769</f>
        <v/>
      </c>
      <c r="J769" s="110" t="inlineStr">
        <is>
          <t>Junho/2026</t>
        </is>
      </c>
    </row>
    <row r="770" ht="14.25" customHeight="1" s="64">
      <c r="A770" s="110" t="inlineStr">
        <is>
          <t>Fusão</t>
        </is>
      </c>
      <c r="B770" s="110">
        <f>INDEX(SETORES!$B:$B,MATCH(A770,SETORES!$A:$A,0))</f>
        <v/>
      </c>
      <c r="C770" s="110" t="inlineStr">
        <is>
          <t>Empresa Licenciada VOICENET</t>
        </is>
      </c>
      <c r="D770" s="88">
        <f>IF(B770="Clientes",SUMIFS(PARÂMETROS!$D$8:$D$907,PARÂMETROS!$A$8:$A$907,C770,PARÂMETROS!$G$8:$G$907,J770),SUMIFS(PARÂMETROS!$E$8:$E$907,PARÂMETROS!$A$8:$A$907,C770,PARÂMETROS!$G$8:$G$907,J770))</f>
        <v/>
      </c>
      <c r="E770" s="89">
        <f>SUMIFS(SETORES!$D:$D,SETORES!$A:$A,A770,SETORES!$F:$F,J770)</f>
        <v/>
      </c>
      <c r="F770" s="89">
        <f>IFERROR(D770*E770,0)</f>
        <v/>
      </c>
      <c r="G770" s="88">
        <f>SUMIFS(PARÂMETROS!$F$8:$F$907,PARÂMETROS!$A$8:$A$907,C770,PARÂMETROS!$G$8:$G$907,J770)</f>
        <v/>
      </c>
      <c r="H770" s="89">
        <f>IFERROR(F770*G770,0)</f>
        <v/>
      </c>
      <c r="I770" s="89">
        <f>F770+H770</f>
        <v/>
      </c>
      <c r="J770" s="110" t="inlineStr">
        <is>
          <t>Junho/2026</t>
        </is>
      </c>
    </row>
    <row r="771" ht="14.25" customHeight="1" s="64">
      <c r="A771" s="110" t="inlineStr">
        <is>
          <t>Fusão</t>
        </is>
      </c>
      <c r="B771" s="110">
        <f>INDEX(SETORES!$B:$B,MATCH(A771,SETORES!$A:$A,0))</f>
        <v/>
      </c>
      <c r="C771" s="110" t="inlineStr">
        <is>
          <t>DTEL (uso próprio)</t>
        </is>
      </c>
      <c r="D771" s="88">
        <f>IF(B771="Clientes",SUMIFS(PARÂMETROS!$D$8:$D$907,PARÂMETROS!$A$8:$A$907,C771,PARÂMETROS!$G$8:$G$907,J771),SUMIFS(PARÂMETROS!$E$8:$E$907,PARÂMETROS!$A$8:$A$907,C771,PARÂMETROS!$G$8:$G$907,J771))</f>
        <v/>
      </c>
      <c r="E771" s="89">
        <f>SUMIFS(SETORES!$D:$D,SETORES!$A:$A,A771,SETORES!$F:$F,J771)</f>
        <v/>
      </c>
      <c r="F771" s="89">
        <f>IFERROR(D771*E771,0)</f>
        <v/>
      </c>
      <c r="G771" s="88">
        <f>SUMIFS(PARÂMETROS!$F$8:$F$907,PARÂMETROS!$A$8:$A$907,C771,PARÂMETROS!$G$8:$G$907,J771)</f>
        <v/>
      </c>
      <c r="H771" s="89">
        <f>IFERROR(F771*G771,0)</f>
        <v/>
      </c>
      <c r="I771" s="89">
        <f>F771+H771</f>
        <v/>
      </c>
      <c r="J771" s="110" t="inlineStr">
        <is>
          <t>Junho/2026</t>
        </is>
      </c>
    </row>
    <row r="772" ht="14.25" customHeight="1" s="64">
      <c r="A772" s="110" t="inlineStr">
        <is>
          <t>Fusão</t>
        </is>
      </c>
      <c r="B772" s="110">
        <f>INDEX(SETORES!$B:$B,MATCH(A772,SETORES!$A:$A,0))</f>
        <v/>
      </c>
      <c r="C772" s="110" t="inlineStr">
        <is>
          <t>Empresa Licenciada DX2</t>
        </is>
      </c>
      <c r="D772" s="88">
        <f>IF(B772="Clientes",SUMIFS(PARÂMETROS!$D$8:$D$907,PARÂMETROS!$A$8:$A$907,C772,PARÂMETROS!$G$8:$G$907,J772),SUMIFS(PARÂMETROS!$E$8:$E$907,PARÂMETROS!$A$8:$A$907,C772,PARÂMETROS!$G$8:$G$907,J772))</f>
        <v/>
      </c>
      <c r="E772" s="89">
        <f>SUMIFS(SETORES!$D:$D,SETORES!$A:$A,A772,SETORES!$F:$F,J772)</f>
        <v/>
      </c>
      <c r="F772" s="89">
        <f>IFERROR(D772*E772,0)</f>
        <v/>
      </c>
      <c r="G772" s="88">
        <f>SUMIFS(PARÂMETROS!$F$8:$F$907,PARÂMETROS!$A$8:$A$907,C772,PARÂMETROS!$G$8:$G$907,J772)</f>
        <v/>
      </c>
      <c r="H772" s="89">
        <f>IFERROR(F772*G772,0)</f>
        <v/>
      </c>
      <c r="I772" s="89">
        <f>F772+H772</f>
        <v/>
      </c>
      <c r="J772" s="110" t="inlineStr">
        <is>
          <t>Julho/2026</t>
        </is>
      </c>
    </row>
    <row r="773" ht="14.25" customHeight="1" s="64">
      <c r="A773" s="110" t="inlineStr">
        <is>
          <t>Fusão</t>
        </is>
      </c>
      <c r="B773" s="110">
        <f>INDEX(SETORES!$B:$B,MATCH(A773,SETORES!$A:$A,0))</f>
        <v/>
      </c>
      <c r="C773" s="110" t="inlineStr">
        <is>
          <t>Empresa Licenciada H&amp;A</t>
        </is>
      </c>
      <c r="D773" s="88">
        <f>IF(B773="Clientes",SUMIFS(PARÂMETROS!$D$8:$D$907,PARÂMETROS!$A$8:$A$907,C773,PARÂMETROS!$G$8:$G$907,J773),SUMIFS(PARÂMETROS!$E$8:$E$907,PARÂMETROS!$A$8:$A$907,C773,PARÂMETROS!$G$8:$G$907,J773))</f>
        <v/>
      </c>
      <c r="E773" s="89">
        <f>SUMIFS(SETORES!$D:$D,SETORES!$A:$A,A773,SETORES!$F:$F,J773)</f>
        <v/>
      </c>
      <c r="F773" s="89">
        <f>IFERROR(D773*E773,0)</f>
        <v/>
      </c>
      <c r="G773" s="88">
        <f>SUMIFS(PARÂMETROS!$F$8:$F$907,PARÂMETROS!$A$8:$A$907,C773,PARÂMETROS!$G$8:$G$907,J773)</f>
        <v/>
      </c>
      <c r="H773" s="89">
        <f>IFERROR(F773*G773,0)</f>
        <v/>
      </c>
      <c r="I773" s="89">
        <f>F773+H773</f>
        <v/>
      </c>
      <c r="J773" s="110" t="inlineStr">
        <is>
          <t>Julho/2026</t>
        </is>
      </c>
    </row>
    <row r="774" ht="14.25" customHeight="1" s="64">
      <c r="A774" s="110" t="inlineStr">
        <is>
          <t>Fusão</t>
        </is>
      </c>
      <c r="B774" s="110">
        <f>INDEX(SETORES!$B:$B,MATCH(A774,SETORES!$A:$A,0))</f>
        <v/>
      </c>
      <c r="C774" s="110" t="inlineStr">
        <is>
          <t>Empresa Licenciada SOLON ARAUJO</t>
        </is>
      </c>
      <c r="D774" s="88">
        <f>IF(B774="Clientes",SUMIFS(PARÂMETROS!$D$8:$D$907,PARÂMETROS!$A$8:$A$907,C774,PARÂMETROS!$G$8:$G$907,J774),SUMIFS(PARÂMETROS!$E$8:$E$907,PARÂMETROS!$A$8:$A$907,C774,PARÂMETROS!$G$8:$G$907,J774))</f>
        <v/>
      </c>
      <c r="E774" s="89">
        <f>SUMIFS(SETORES!$D:$D,SETORES!$A:$A,A774,SETORES!$F:$F,J774)</f>
        <v/>
      </c>
      <c r="F774" s="89">
        <f>IFERROR(D774*E774,0)</f>
        <v/>
      </c>
      <c r="G774" s="88">
        <f>SUMIFS(PARÂMETROS!$F$8:$F$907,PARÂMETROS!$A$8:$A$907,C774,PARÂMETROS!$G$8:$G$907,J774)</f>
        <v/>
      </c>
      <c r="H774" s="89">
        <f>IFERROR(F774*G774,0)</f>
        <v/>
      </c>
      <c r="I774" s="89">
        <f>F774+H774</f>
        <v/>
      </c>
      <c r="J774" s="110" t="inlineStr">
        <is>
          <t>Julho/2026</t>
        </is>
      </c>
    </row>
    <row r="775" ht="14.25" customHeight="1" s="64">
      <c r="A775" s="110" t="inlineStr">
        <is>
          <t>Fusão</t>
        </is>
      </c>
      <c r="B775" s="110">
        <f>INDEX(SETORES!$B:$B,MATCH(A775,SETORES!$A:$A,0))</f>
        <v/>
      </c>
      <c r="C775" s="110" t="inlineStr">
        <is>
          <t>Empresa Licenciada SOARES E LINS</t>
        </is>
      </c>
      <c r="D775" s="88">
        <f>IF(B775="Clientes",SUMIFS(PARÂMETROS!$D$8:$D$907,PARÂMETROS!$A$8:$A$907,C775,PARÂMETROS!$G$8:$G$907,J775),SUMIFS(PARÂMETROS!$E$8:$E$907,PARÂMETROS!$A$8:$A$907,C775,PARÂMETROS!$G$8:$G$907,J775))</f>
        <v/>
      </c>
      <c r="E775" s="89">
        <f>SUMIFS(SETORES!$D:$D,SETORES!$A:$A,A775,SETORES!$F:$F,J775)</f>
        <v/>
      </c>
      <c r="F775" s="89">
        <f>IFERROR(D775*E775,0)</f>
        <v/>
      </c>
      <c r="G775" s="88">
        <f>SUMIFS(PARÂMETROS!$F$8:$F$907,PARÂMETROS!$A$8:$A$907,C775,PARÂMETROS!$G$8:$G$907,J775)</f>
        <v/>
      </c>
      <c r="H775" s="89">
        <f>IFERROR(F775*G775,0)</f>
        <v/>
      </c>
      <c r="I775" s="89">
        <f>F775+H775</f>
        <v/>
      </c>
      <c r="J775" s="110" t="inlineStr">
        <is>
          <t>Julho/2026</t>
        </is>
      </c>
    </row>
    <row r="776" ht="14.25" customHeight="1" s="64">
      <c r="A776" s="110" t="inlineStr">
        <is>
          <t>Fusão</t>
        </is>
      </c>
      <c r="B776" s="110">
        <f>INDEX(SETORES!$B:$B,MATCH(A776,SETORES!$A:$A,0))</f>
        <v/>
      </c>
      <c r="C776" s="110" t="inlineStr">
        <is>
          <t>Empresa Licenciada SOARES E SILVA</t>
        </is>
      </c>
      <c r="D776" s="88">
        <f>IF(B776="Clientes",SUMIFS(PARÂMETROS!$D$8:$D$907,PARÂMETROS!$A$8:$A$907,C776,PARÂMETROS!$G$8:$G$907,J776),SUMIFS(PARÂMETROS!$E$8:$E$907,PARÂMETROS!$A$8:$A$907,C776,PARÂMETROS!$G$8:$G$907,J776))</f>
        <v/>
      </c>
      <c r="E776" s="89">
        <f>SUMIFS(SETORES!$D:$D,SETORES!$A:$A,A776,SETORES!$F:$F,J776)</f>
        <v/>
      </c>
      <c r="F776" s="89">
        <f>IFERROR(D776*E776,0)</f>
        <v/>
      </c>
      <c r="G776" s="88">
        <f>SUMIFS(PARÂMETROS!$F$8:$F$907,PARÂMETROS!$A$8:$A$907,C776,PARÂMETROS!$G$8:$G$907,J776)</f>
        <v/>
      </c>
      <c r="H776" s="89">
        <f>IFERROR(F776*G776,0)</f>
        <v/>
      </c>
      <c r="I776" s="89">
        <f>F776+H776</f>
        <v/>
      </c>
      <c r="J776" s="110" t="inlineStr">
        <is>
          <t>Julho/2026</t>
        </is>
      </c>
    </row>
    <row r="777" ht="14.25" customHeight="1" s="64">
      <c r="A777" s="110" t="inlineStr">
        <is>
          <t>Fusão</t>
        </is>
      </c>
      <c r="B777" s="110">
        <f>INDEX(SETORES!$B:$B,MATCH(A777,SETORES!$A:$A,0))</f>
        <v/>
      </c>
      <c r="C777" s="110" t="inlineStr">
        <is>
          <t>Empresa Licenciada SOUZA E SILVA</t>
        </is>
      </c>
      <c r="D777" s="88">
        <f>IF(B777="Clientes",SUMIFS(PARÂMETROS!$D$8:$D$907,PARÂMETROS!$A$8:$A$907,C777,PARÂMETROS!$G$8:$G$907,J777),SUMIFS(PARÂMETROS!$E$8:$E$907,PARÂMETROS!$A$8:$A$907,C777,PARÂMETROS!$G$8:$G$907,J777))</f>
        <v/>
      </c>
      <c r="E777" s="89">
        <f>SUMIFS(SETORES!$D:$D,SETORES!$A:$A,A777,SETORES!$F:$F,J777)</f>
        <v/>
      </c>
      <c r="F777" s="89">
        <f>IFERROR(D777*E777,0)</f>
        <v/>
      </c>
      <c r="G777" s="88">
        <f>SUMIFS(PARÂMETROS!$F$8:$F$907,PARÂMETROS!$A$8:$A$907,C777,PARÂMETROS!$G$8:$G$907,J777)</f>
        <v/>
      </c>
      <c r="H777" s="89">
        <f>IFERROR(F777*G777,0)</f>
        <v/>
      </c>
      <c r="I777" s="89">
        <f>F777+H777</f>
        <v/>
      </c>
      <c r="J777" s="110" t="inlineStr">
        <is>
          <t>Julho/2026</t>
        </is>
      </c>
    </row>
    <row r="778" ht="14.25" customHeight="1" s="64">
      <c r="A778" s="110" t="inlineStr">
        <is>
          <t>Fusão</t>
        </is>
      </c>
      <c r="B778" s="110">
        <f>INDEX(SETORES!$B:$B,MATCH(A778,SETORES!$A:$A,0))</f>
        <v/>
      </c>
      <c r="C778" s="110" t="inlineStr">
        <is>
          <t>Empresa Licenciada VOICENET</t>
        </is>
      </c>
      <c r="D778" s="88">
        <f>IF(B778="Clientes",SUMIFS(PARÂMETROS!$D$8:$D$907,PARÂMETROS!$A$8:$A$907,C778,PARÂMETROS!$G$8:$G$907,J778),SUMIFS(PARÂMETROS!$E$8:$E$907,PARÂMETROS!$A$8:$A$907,C778,PARÂMETROS!$G$8:$G$907,J778))</f>
        <v/>
      </c>
      <c r="E778" s="89">
        <f>SUMIFS(SETORES!$D:$D,SETORES!$A:$A,A778,SETORES!$F:$F,J778)</f>
        <v/>
      </c>
      <c r="F778" s="89">
        <f>IFERROR(D778*E778,0)</f>
        <v/>
      </c>
      <c r="G778" s="88">
        <f>SUMIFS(PARÂMETROS!$F$8:$F$907,PARÂMETROS!$A$8:$A$907,C778,PARÂMETROS!$G$8:$G$907,J778)</f>
        <v/>
      </c>
      <c r="H778" s="89">
        <f>IFERROR(F778*G778,0)</f>
        <v/>
      </c>
      <c r="I778" s="89">
        <f>F778+H778</f>
        <v/>
      </c>
      <c r="J778" s="110" t="inlineStr">
        <is>
          <t>Julho/2026</t>
        </is>
      </c>
    </row>
    <row r="779" ht="14.25" customHeight="1" s="64">
      <c r="A779" s="110" t="inlineStr">
        <is>
          <t>Fusão</t>
        </is>
      </c>
      <c r="B779" s="110">
        <f>INDEX(SETORES!$B:$B,MATCH(A779,SETORES!$A:$A,0))</f>
        <v/>
      </c>
      <c r="C779" s="110" t="inlineStr">
        <is>
          <t>DTEL (uso próprio)</t>
        </is>
      </c>
      <c r="D779" s="88">
        <f>IF(B779="Clientes",SUMIFS(PARÂMETROS!$D$8:$D$907,PARÂMETROS!$A$8:$A$907,C779,PARÂMETROS!$G$8:$G$907,J779),SUMIFS(PARÂMETROS!$E$8:$E$907,PARÂMETROS!$A$8:$A$907,C779,PARÂMETROS!$G$8:$G$907,J779))</f>
        <v/>
      </c>
      <c r="E779" s="89">
        <f>SUMIFS(SETORES!$D:$D,SETORES!$A:$A,A779,SETORES!$F:$F,J779)</f>
        <v/>
      </c>
      <c r="F779" s="89">
        <f>IFERROR(D779*E779,0)</f>
        <v/>
      </c>
      <c r="G779" s="88">
        <f>SUMIFS(PARÂMETROS!$F$8:$F$907,PARÂMETROS!$A$8:$A$907,C779,PARÂMETROS!$G$8:$G$907,J779)</f>
        <v/>
      </c>
      <c r="H779" s="89">
        <f>IFERROR(F779*G779,0)</f>
        <v/>
      </c>
      <c r="I779" s="89">
        <f>F779+H779</f>
        <v/>
      </c>
      <c r="J779" s="110" t="inlineStr">
        <is>
          <t>Julho/2026</t>
        </is>
      </c>
    </row>
    <row r="780" ht="14.25" customHeight="1" s="64">
      <c r="A780" s="110" t="inlineStr">
        <is>
          <t>Jurídico</t>
        </is>
      </c>
      <c r="B780" s="110">
        <f>INDEX(SETORES!$B:$B,MATCH(A780,SETORES!$A:$A,0))</f>
        <v/>
      </c>
      <c r="C780" s="110" t="inlineStr">
        <is>
          <t>Empresa Licenciada DX2</t>
        </is>
      </c>
      <c r="D780" s="88">
        <f>IF(B780="Clientes",SUMIFS(PARÂMETROS!$D$8:$D$907,PARÂMETROS!$A$8:$A$907,C780,PARÂMETROS!$G$8:$G$907,J780),SUMIFS(PARÂMETROS!$E$8:$E$907,PARÂMETROS!$A$8:$A$907,C780,PARÂMETROS!$G$8:$G$907,J780))</f>
        <v/>
      </c>
      <c r="E780" s="89">
        <f>SUMIFS(SETORES!$D:$D,SETORES!$A:$A,A780,SETORES!$F:$F,J780)</f>
        <v/>
      </c>
      <c r="F780" s="89">
        <f>IFERROR(D780*E780,0)</f>
        <v/>
      </c>
      <c r="G780" s="88">
        <f>SUMIFS(PARÂMETROS!$F$8:$F$907,PARÂMETROS!$A$8:$A$907,C780,PARÂMETROS!$G$8:$G$907,J780)</f>
        <v/>
      </c>
      <c r="H780" s="89">
        <f>IFERROR(F780*G780,0)</f>
        <v/>
      </c>
      <c r="I780" s="89">
        <f>F780+H780</f>
        <v/>
      </c>
      <c r="J780" s="110" t="inlineStr">
        <is>
          <t>Maio/2026</t>
        </is>
      </c>
    </row>
    <row r="781" ht="14.25" customHeight="1" s="64">
      <c r="A781" s="110" t="inlineStr">
        <is>
          <t>Jurídico</t>
        </is>
      </c>
      <c r="B781" s="110">
        <f>INDEX(SETORES!$B:$B,MATCH(A781,SETORES!$A:$A,0))</f>
        <v/>
      </c>
      <c r="C781" s="110" t="inlineStr">
        <is>
          <t>Empresa Licenciada H&amp;A</t>
        </is>
      </c>
      <c r="D781" s="88">
        <f>IF(B781="Clientes",SUMIFS(PARÂMETROS!$D$8:$D$907,PARÂMETROS!$A$8:$A$907,C781,PARÂMETROS!$G$8:$G$907,J781),SUMIFS(PARÂMETROS!$E$8:$E$907,PARÂMETROS!$A$8:$A$907,C781,PARÂMETROS!$G$8:$G$907,J781))</f>
        <v/>
      </c>
      <c r="E781" s="89">
        <f>SUMIFS(SETORES!$D:$D,SETORES!$A:$A,A781,SETORES!$F:$F,J781)</f>
        <v/>
      </c>
      <c r="F781" s="89">
        <f>IFERROR(D781*E781,0)</f>
        <v/>
      </c>
      <c r="G781" s="88">
        <f>SUMIFS(PARÂMETROS!$F$8:$F$907,PARÂMETROS!$A$8:$A$907,C781,PARÂMETROS!$G$8:$G$907,J781)</f>
        <v/>
      </c>
      <c r="H781" s="89">
        <f>IFERROR(F781*G781,0)</f>
        <v/>
      </c>
      <c r="I781" s="89">
        <f>F781+H781</f>
        <v/>
      </c>
      <c r="J781" s="110" t="inlineStr">
        <is>
          <t>Maio/2026</t>
        </is>
      </c>
    </row>
    <row r="782" ht="14.25" customHeight="1" s="64">
      <c r="A782" s="110" t="inlineStr">
        <is>
          <t>Jurídico</t>
        </is>
      </c>
      <c r="B782" s="110">
        <f>INDEX(SETORES!$B:$B,MATCH(A782,SETORES!$A:$A,0))</f>
        <v/>
      </c>
      <c r="C782" s="110" t="inlineStr">
        <is>
          <t>Empresa Licenciada SOLON ARAUJO</t>
        </is>
      </c>
      <c r="D782" s="88">
        <f>IF(B782="Clientes",SUMIFS(PARÂMETROS!$D$8:$D$907,PARÂMETROS!$A$8:$A$907,C782,PARÂMETROS!$G$8:$G$907,J782),SUMIFS(PARÂMETROS!$E$8:$E$907,PARÂMETROS!$A$8:$A$907,C782,PARÂMETROS!$G$8:$G$907,J782))</f>
        <v/>
      </c>
      <c r="E782" s="89">
        <f>SUMIFS(SETORES!$D:$D,SETORES!$A:$A,A782,SETORES!$F:$F,J782)</f>
        <v/>
      </c>
      <c r="F782" s="89">
        <f>IFERROR(D782*E782,0)</f>
        <v/>
      </c>
      <c r="G782" s="88">
        <f>SUMIFS(PARÂMETROS!$F$8:$F$907,PARÂMETROS!$A$8:$A$907,C782,PARÂMETROS!$G$8:$G$907,J782)</f>
        <v/>
      </c>
      <c r="H782" s="89">
        <f>IFERROR(F782*G782,0)</f>
        <v/>
      </c>
      <c r="I782" s="89">
        <f>F782+H782</f>
        <v/>
      </c>
      <c r="J782" s="110" t="inlineStr">
        <is>
          <t>Maio/2026</t>
        </is>
      </c>
    </row>
    <row r="783" ht="14.25" customHeight="1" s="64">
      <c r="A783" s="110" t="inlineStr">
        <is>
          <t>Jurídico</t>
        </is>
      </c>
      <c r="B783" s="110">
        <f>INDEX(SETORES!$B:$B,MATCH(A783,SETORES!$A:$A,0))</f>
        <v/>
      </c>
      <c r="C783" s="110" t="inlineStr">
        <is>
          <t>Empresa Licenciada SOARES E LINS</t>
        </is>
      </c>
      <c r="D783" s="88">
        <f>IF(B783="Clientes",SUMIFS(PARÂMETROS!$D$8:$D$907,PARÂMETROS!$A$8:$A$907,C783,PARÂMETROS!$G$8:$G$907,J783),SUMIFS(PARÂMETROS!$E$8:$E$907,PARÂMETROS!$A$8:$A$907,C783,PARÂMETROS!$G$8:$G$907,J783))</f>
        <v/>
      </c>
      <c r="E783" s="89">
        <f>SUMIFS(SETORES!$D:$D,SETORES!$A:$A,A783,SETORES!$F:$F,J783)</f>
        <v/>
      </c>
      <c r="F783" s="89">
        <f>IFERROR(D783*E783,0)</f>
        <v/>
      </c>
      <c r="G783" s="88">
        <f>SUMIFS(PARÂMETROS!$F$8:$F$907,PARÂMETROS!$A$8:$A$907,C783,PARÂMETROS!$G$8:$G$907,J783)</f>
        <v/>
      </c>
      <c r="H783" s="89">
        <f>IFERROR(F783*G783,0)</f>
        <v/>
      </c>
      <c r="I783" s="89">
        <f>F783+H783</f>
        <v/>
      </c>
      <c r="J783" s="110" t="inlineStr">
        <is>
          <t>Maio/2026</t>
        </is>
      </c>
    </row>
    <row r="784" ht="14.25" customHeight="1" s="64">
      <c r="A784" s="110" t="inlineStr">
        <is>
          <t>Jurídico</t>
        </is>
      </c>
      <c r="B784" s="110">
        <f>INDEX(SETORES!$B:$B,MATCH(A784,SETORES!$A:$A,0))</f>
        <v/>
      </c>
      <c r="C784" s="110" t="inlineStr">
        <is>
          <t>Empresa Licenciada SOARES E SILVA</t>
        </is>
      </c>
      <c r="D784" s="88">
        <f>IF(B784="Clientes",SUMIFS(PARÂMETROS!$D$8:$D$907,PARÂMETROS!$A$8:$A$907,C784,PARÂMETROS!$G$8:$G$907,J784),SUMIFS(PARÂMETROS!$E$8:$E$907,PARÂMETROS!$A$8:$A$907,C784,PARÂMETROS!$G$8:$G$907,J784))</f>
        <v/>
      </c>
      <c r="E784" s="89">
        <f>SUMIFS(SETORES!$D:$D,SETORES!$A:$A,A784,SETORES!$F:$F,J784)</f>
        <v/>
      </c>
      <c r="F784" s="89">
        <f>IFERROR(D784*E784,0)</f>
        <v/>
      </c>
      <c r="G784" s="88">
        <f>SUMIFS(PARÂMETROS!$F$8:$F$907,PARÂMETROS!$A$8:$A$907,C784,PARÂMETROS!$G$8:$G$907,J784)</f>
        <v/>
      </c>
      <c r="H784" s="89">
        <f>IFERROR(F784*G784,0)</f>
        <v/>
      </c>
      <c r="I784" s="89">
        <f>F784+H784</f>
        <v/>
      </c>
      <c r="J784" s="110" t="inlineStr">
        <is>
          <t>Maio/2026</t>
        </is>
      </c>
    </row>
    <row r="785" ht="14.25" customHeight="1" s="64">
      <c r="A785" s="110" t="inlineStr">
        <is>
          <t>Jurídico</t>
        </is>
      </c>
      <c r="B785" s="110">
        <f>INDEX(SETORES!$B:$B,MATCH(A785,SETORES!$A:$A,0))</f>
        <v/>
      </c>
      <c r="C785" s="110" t="inlineStr">
        <is>
          <t>Empresa Licenciada SOUZA E SILVA</t>
        </is>
      </c>
      <c r="D785" s="88">
        <f>IF(B785="Clientes",SUMIFS(PARÂMETROS!$D$8:$D$907,PARÂMETROS!$A$8:$A$907,C785,PARÂMETROS!$G$8:$G$907,J785),SUMIFS(PARÂMETROS!$E$8:$E$907,PARÂMETROS!$A$8:$A$907,C785,PARÂMETROS!$G$8:$G$907,J785))</f>
        <v/>
      </c>
      <c r="E785" s="89">
        <f>SUMIFS(SETORES!$D:$D,SETORES!$A:$A,A785,SETORES!$F:$F,J785)</f>
        <v/>
      </c>
      <c r="F785" s="89">
        <f>IFERROR(D785*E785,0)</f>
        <v/>
      </c>
      <c r="G785" s="88">
        <f>SUMIFS(PARÂMETROS!$F$8:$F$907,PARÂMETROS!$A$8:$A$907,C785,PARÂMETROS!$G$8:$G$907,J785)</f>
        <v/>
      </c>
      <c r="H785" s="89">
        <f>IFERROR(F785*G785,0)</f>
        <v/>
      </c>
      <c r="I785" s="89">
        <f>F785+H785</f>
        <v/>
      </c>
      <c r="J785" s="110" t="inlineStr">
        <is>
          <t>Maio/2026</t>
        </is>
      </c>
    </row>
    <row r="786" ht="14.25" customHeight="1" s="64">
      <c r="A786" s="110" t="inlineStr">
        <is>
          <t>Jurídico</t>
        </is>
      </c>
      <c r="B786" s="110">
        <f>INDEX(SETORES!$B:$B,MATCH(A786,SETORES!$A:$A,0))</f>
        <v/>
      </c>
      <c r="C786" s="110" t="inlineStr">
        <is>
          <t>Empresa Licenciada VOICENET</t>
        </is>
      </c>
      <c r="D786" s="88">
        <f>IF(B786="Clientes",SUMIFS(PARÂMETROS!$D$8:$D$907,PARÂMETROS!$A$8:$A$907,C786,PARÂMETROS!$G$8:$G$907,J786),SUMIFS(PARÂMETROS!$E$8:$E$907,PARÂMETROS!$A$8:$A$907,C786,PARÂMETROS!$G$8:$G$907,J786))</f>
        <v/>
      </c>
      <c r="E786" s="89">
        <f>SUMIFS(SETORES!$D:$D,SETORES!$A:$A,A786,SETORES!$F:$F,J786)</f>
        <v/>
      </c>
      <c r="F786" s="89">
        <f>IFERROR(D786*E786,0)</f>
        <v/>
      </c>
      <c r="G786" s="88">
        <f>SUMIFS(PARÂMETROS!$F$8:$F$907,PARÂMETROS!$A$8:$A$907,C786,PARÂMETROS!$G$8:$G$907,J786)</f>
        <v/>
      </c>
      <c r="H786" s="89">
        <f>IFERROR(F786*G786,0)</f>
        <v/>
      </c>
      <c r="I786" s="89">
        <f>F786+H786</f>
        <v/>
      </c>
      <c r="J786" s="110" t="inlineStr">
        <is>
          <t>Maio/2026</t>
        </is>
      </c>
    </row>
    <row r="787" ht="14.25" customHeight="1" s="64">
      <c r="A787" s="110" t="inlineStr">
        <is>
          <t>Jurídico</t>
        </is>
      </c>
      <c r="B787" s="110">
        <f>INDEX(SETORES!$B:$B,MATCH(A787,SETORES!$A:$A,0))</f>
        <v/>
      </c>
      <c r="C787" s="110" t="inlineStr">
        <is>
          <t>DTEL (uso próprio)</t>
        </is>
      </c>
      <c r="D787" s="88">
        <f>IF(B787="Clientes",SUMIFS(PARÂMETROS!$D$8:$D$907,PARÂMETROS!$A$8:$A$907,C787,PARÂMETROS!$G$8:$G$907,J787),SUMIFS(PARÂMETROS!$E$8:$E$907,PARÂMETROS!$A$8:$A$907,C787,PARÂMETROS!$G$8:$G$907,J787))</f>
        <v/>
      </c>
      <c r="E787" s="89">
        <f>SUMIFS(SETORES!$D:$D,SETORES!$A:$A,A787,SETORES!$F:$F,J787)</f>
        <v/>
      </c>
      <c r="F787" s="89">
        <f>IFERROR(D787*E787,0)</f>
        <v/>
      </c>
      <c r="G787" s="88">
        <f>SUMIFS(PARÂMETROS!$F$8:$F$907,PARÂMETROS!$A$8:$A$907,C787,PARÂMETROS!$G$8:$G$907,J787)</f>
        <v/>
      </c>
      <c r="H787" s="89">
        <f>IFERROR(F787*G787,0)</f>
        <v/>
      </c>
      <c r="I787" s="89">
        <f>F787+H787</f>
        <v/>
      </c>
      <c r="J787" s="110" t="inlineStr">
        <is>
          <t>Maio/2026</t>
        </is>
      </c>
    </row>
    <row r="788" ht="14.25" customHeight="1" s="64">
      <c r="A788" s="110" t="inlineStr">
        <is>
          <t>Jurídico</t>
        </is>
      </c>
      <c r="B788" s="110">
        <f>INDEX(SETORES!$B:$B,MATCH(A788,SETORES!$A:$A,0))</f>
        <v/>
      </c>
      <c r="C788" s="110" t="inlineStr">
        <is>
          <t>Empresa Licenciada DX2</t>
        </is>
      </c>
      <c r="D788" s="88">
        <f>IF(B788="Clientes",SUMIFS(PARÂMETROS!$D$8:$D$907,PARÂMETROS!$A$8:$A$907,C788,PARÂMETROS!$G$8:$G$907,J788),SUMIFS(PARÂMETROS!$E$8:$E$907,PARÂMETROS!$A$8:$A$907,C788,PARÂMETROS!$G$8:$G$907,J788))</f>
        <v/>
      </c>
      <c r="E788" s="89">
        <f>SUMIFS(SETORES!$D:$D,SETORES!$A:$A,A788,SETORES!$F:$F,J788)</f>
        <v/>
      </c>
      <c r="F788" s="89">
        <f>IFERROR(D788*E788,0)</f>
        <v/>
      </c>
      <c r="G788" s="88">
        <f>SUMIFS(PARÂMETROS!$F$8:$F$907,PARÂMETROS!$A$8:$A$907,C788,PARÂMETROS!$G$8:$G$907,J788)</f>
        <v/>
      </c>
      <c r="H788" s="89">
        <f>IFERROR(F788*G788,0)</f>
        <v/>
      </c>
      <c r="I788" s="89">
        <f>F788+H788</f>
        <v/>
      </c>
      <c r="J788" s="110" t="inlineStr">
        <is>
          <t>Junho/2026</t>
        </is>
      </c>
    </row>
    <row r="789" ht="14.25" customHeight="1" s="64">
      <c r="A789" s="110" t="inlineStr">
        <is>
          <t>Jurídico</t>
        </is>
      </c>
      <c r="B789" s="110">
        <f>INDEX(SETORES!$B:$B,MATCH(A789,SETORES!$A:$A,0))</f>
        <v/>
      </c>
      <c r="C789" s="110" t="inlineStr">
        <is>
          <t>Empresa Licenciada H&amp;A</t>
        </is>
      </c>
      <c r="D789" s="88">
        <f>IF(B789="Clientes",SUMIFS(PARÂMETROS!$D$8:$D$907,PARÂMETROS!$A$8:$A$907,C789,PARÂMETROS!$G$8:$G$907,J789),SUMIFS(PARÂMETROS!$E$8:$E$907,PARÂMETROS!$A$8:$A$907,C789,PARÂMETROS!$G$8:$G$907,J789))</f>
        <v/>
      </c>
      <c r="E789" s="89">
        <f>SUMIFS(SETORES!$D:$D,SETORES!$A:$A,A789,SETORES!$F:$F,J789)</f>
        <v/>
      </c>
      <c r="F789" s="89">
        <f>IFERROR(D789*E789,0)</f>
        <v/>
      </c>
      <c r="G789" s="88">
        <f>SUMIFS(PARÂMETROS!$F$8:$F$907,PARÂMETROS!$A$8:$A$907,C789,PARÂMETROS!$G$8:$G$907,J789)</f>
        <v/>
      </c>
      <c r="H789" s="89">
        <f>IFERROR(F789*G789,0)</f>
        <v/>
      </c>
      <c r="I789" s="89">
        <f>F789+H789</f>
        <v/>
      </c>
      <c r="J789" s="110" t="inlineStr">
        <is>
          <t>Junho/2026</t>
        </is>
      </c>
    </row>
    <row r="790" ht="14.25" customHeight="1" s="64">
      <c r="A790" s="110" t="inlineStr">
        <is>
          <t>Jurídico</t>
        </is>
      </c>
      <c r="B790" s="110">
        <f>INDEX(SETORES!$B:$B,MATCH(A790,SETORES!$A:$A,0))</f>
        <v/>
      </c>
      <c r="C790" s="110" t="inlineStr">
        <is>
          <t>Empresa Licenciada SOLON ARAUJO</t>
        </is>
      </c>
      <c r="D790" s="88">
        <f>IF(B790="Clientes",SUMIFS(PARÂMETROS!$D$8:$D$907,PARÂMETROS!$A$8:$A$907,C790,PARÂMETROS!$G$8:$G$907,J790),SUMIFS(PARÂMETROS!$E$8:$E$907,PARÂMETROS!$A$8:$A$907,C790,PARÂMETROS!$G$8:$G$907,J790))</f>
        <v/>
      </c>
      <c r="E790" s="89">
        <f>SUMIFS(SETORES!$D:$D,SETORES!$A:$A,A790,SETORES!$F:$F,J790)</f>
        <v/>
      </c>
      <c r="F790" s="89">
        <f>IFERROR(D790*E790,0)</f>
        <v/>
      </c>
      <c r="G790" s="88">
        <f>SUMIFS(PARÂMETROS!$F$8:$F$907,PARÂMETROS!$A$8:$A$907,C790,PARÂMETROS!$G$8:$G$907,J790)</f>
        <v/>
      </c>
      <c r="H790" s="89">
        <f>IFERROR(F790*G790,0)</f>
        <v/>
      </c>
      <c r="I790" s="89">
        <f>F790+H790</f>
        <v/>
      </c>
      <c r="J790" s="110" t="inlineStr">
        <is>
          <t>Junho/2026</t>
        </is>
      </c>
    </row>
    <row r="791" ht="14.25" customHeight="1" s="64">
      <c r="A791" s="110" t="inlineStr">
        <is>
          <t>Jurídico</t>
        </is>
      </c>
      <c r="B791" s="110">
        <f>INDEX(SETORES!$B:$B,MATCH(A791,SETORES!$A:$A,0))</f>
        <v/>
      </c>
      <c r="C791" s="110" t="inlineStr">
        <is>
          <t>Empresa Licenciada SOARES E LINS</t>
        </is>
      </c>
      <c r="D791" s="88">
        <f>IF(B791="Clientes",SUMIFS(PARÂMETROS!$D$8:$D$907,PARÂMETROS!$A$8:$A$907,C791,PARÂMETROS!$G$8:$G$907,J791),SUMIFS(PARÂMETROS!$E$8:$E$907,PARÂMETROS!$A$8:$A$907,C791,PARÂMETROS!$G$8:$G$907,J791))</f>
        <v/>
      </c>
      <c r="E791" s="89">
        <f>SUMIFS(SETORES!$D:$D,SETORES!$A:$A,A791,SETORES!$F:$F,J791)</f>
        <v/>
      </c>
      <c r="F791" s="89">
        <f>IFERROR(D791*E791,0)</f>
        <v/>
      </c>
      <c r="G791" s="88">
        <f>SUMIFS(PARÂMETROS!$F$8:$F$907,PARÂMETROS!$A$8:$A$907,C791,PARÂMETROS!$G$8:$G$907,J791)</f>
        <v/>
      </c>
      <c r="H791" s="89">
        <f>IFERROR(F791*G791,0)</f>
        <v/>
      </c>
      <c r="I791" s="89">
        <f>F791+H791</f>
        <v/>
      </c>
      <c r="J791" s="110" t="inlineStr">
        <is>
          <t>Junho/2026</t>
        </is>
      </c>
    </row>
    <row r="792" ht="14.25" customHeight="1" s="64">
      <c r="A792" s="110" t="inlineStr">
        <is>
          <t>Jurídico</t>
        </is>
      </c>
      <c r="B792" s="110">
        <f>INDEX(SETORES!$B:$B,MATCH(A792,SETORES!$A:$A,0))</f>
        <v/>
      </c>
      <c r="C792" s="110" t="inlineStr">
        <is>
          <t>Empresa Licenciada SOARES E SILVA</t>
        </is>
      </c>
      <c r="D792" s="88">
        <f>IF(B792="Clientes",SUMIFS(PARÂMETROS!$D$8:$D$907,PARÂMETROS!$A$8:$A$907,C792,PARÂMETROS!$G$8:$G$907,J792),SUMIFS(PARÂMETROS!$E$8:$E$907,PARÂMETROS!$A$8:$A$907,C792,PARÂMETROS!$G$8:$G$907,J792))</f>
        <v/>
      </c>
      <c r="E792" s="89">
        <f>SUMIFS(SETORES!$D:$D,SETORES!$A:$A,A792,SETORES!$F:$F,J792)</f>
        <v/>
      </c>
      <c r="F792" s="89">
        <f>IFERROR(D792*E792,0)</f>
        <v/>
      </c>
      <c r="G792" s="88">
        <f>SUMIFS(PARÂMETROS!$F$8:$F$907,PARÂMETROS!$A$8:$A$907,C792,PARÂMETROS!$G$8:$G$907,J792)</f>
        <v/>
      </c>
      <c r="H792" s="89">
        <f>IFERROR(F792*G792,0)</f>
        <v/>
      </c>
      <c r="I792" s="89">
        <f>F792+H792</f>
        <v/>
      </c>
      <c r="J792" s="110" t="inlineStr">
        <is>
          <t>Junho/2026</t>
        </is>
      </c>
    </row>
    <row r="793" ht="14.25" customHeight="1" s="64">
      <c r="A793" s="110" t="inlineStr">
        <is>
          <t>Jurídico</t>
        </is>
      </c>
      <c r="B793" s="110">
        <f>INDEX(SETORES!$B:$B,MATCH(A793,SETORES!$A:$A,0))</f>
        <v/>
      </c>
      <c r="C793" s="110" t="inlineStr">
        <is>
          <t>Empresa Licenciada SOUZA E SILVA</t>
        </is>
      </c>
      <c r="D793" s="88">
        <f>IF(B793="Clientes",SUMIFS(PARÂMETROS!$D$8:$D$907,PARÂMETROS!$A$8:$A$907,C793,PARÂMETROS!$G$8:$G$907,J793),SUMIFS(PARÂMETROS!$E$8:$E$907,PARÂMETROS!$A$8:$A$907,C793,PARÂMETROS!$G$8:$G$907,J793))</f>
        <v/>
      </c>
      <c r="E793" s="89">
        <f>SUMIFS(SETORES!$D:$D,SETORES!$A:$A,A793,SETORES!$F:$F,J793)</f>
        <v/>
      </c>
      <c r="F793" s="89">
        <f>IFERROR(D793*E793,0)</f>
        <v/>
      </c>
      <c r="G793" s="88">
        <f>SUMIFS(PARÂMETROS!$F$8:$F$907,PARÂMETROS!$A$8:$A$907,C793,PARÂMETROS!$G$8:$G$907,J793)</f>
        <v/>
      </c>
      <c r="H793" s="89">
        <f>IFERROR(F793*G793,0)</f>
        <v/>
      </c>
      <c r="I793" s="89">
        <f>F793+H793</f>
        <v/>
      </c>
      <c r="J793" s="110" t="inlineStr">
        <is>
          <t>Junho/2026</t>
        </is>
      </c>
    </row>
    <row r="794" ht="14.25" customHeight="1" s="64">
      <c r="A794" s="110" t="inlineStr">
        <is>
          <t>Jurídico</t>
        </is>
      </c>
      <c r="B794" s="110">
        <f>INDEX(SETORES!$B:$B,MATCH(A794,SETORES!$A:$A,0))</f>
        <v/>
      </c>
      <c r="C794" s="110" t="inlineStr">
        <is>
          <t>Empresa Licenciada VOICENET</t>
        </is>
      </c>
      <c r="D794" s="88">
        <f>IF(B794="Clientes",SUMIFS(PARÂMETROS!$D$8:$D$907,PARÂMETROS!$A$8:$A$907,C794,PARÂMETROS!$G$8:$G$907,J794),SUMIFS(PARÂMETROS!$E$8:$E$907,PARÂMETROS!$A$8:$A$907,C794,PARÂMETROS!$G$8:$G$907,J794))</f>
        <v/>
      </c>
      <c r="E794" s="89">
        <f>SUMIFS(SETORES!$D:$D,SETORES!$A:$A,A794,SETORES!$F:$F,J794)</f>
        <v/>
      </c>
      <c r="F794" s="89">
        <f>IFERROR(D794*E794,0)</f>
        <v/>
      </c>
      <c r="G794" s="88">
        <f>SUMIFS(PARÂMETROS!$F$8:$F$907,PARÂMETROS!$A$8:$A$907,C794,PARÂMETROS!$G$8:$G$907,J794)</f>
        <v/>
      </c>
      <c r="H794" s="89">
        <f>IFERROR(F794*G794,0)</f>
        <v/>
      </c>
      <c r="I794" s="89">
        <f>F794+H794</f>
        <v/>
      </c>
      <c r="J794" s="110" t="inlineStr">
        <is>
          <t>Junho/2026</t>
        </is>
      </c>
    </row>
    <row r="795" ht="14.25" customHeight="1" s="64">
      <c r="A795" s="110" t="inlineStr">
        <is>
          <t>Jurídico</t>
        </is>
      </c>
      <c r="B795" s="110">
        <f>INDEX(SETORES!$B:$B,MATCH(A795,SETORES!$A:$A,0))</f>
        <v/>
      </c>
      <c r="C795" s="110" t="inlineStr">
        <is>
          <t>DTEL (uso próprio)</t>
        </is>
      </c>
      <c r="D795" s="88">
        <f>IF(B795="Clientes",SUMIFS(PARÂMETROS!$D$8:$D$907,PARÂMETROS!$A$8:$A$907,C795,PARÂMETROS!$G$8:$G$907,J795),SUMIFS(PARÂMETROS!$E$8:$E$907,PARÂMETROS!$A$8:$A$907,C795,PARÂMETROS!$G$8:$G$907,J795))</f>
        <v/>
      </c>
      <c r="E795" s="89">
        <f>SUMIFS(SETORES!$D:$D,SETORES!$A:$A,A795,SETORES!$F:$F,J795)</f>
        <v/>
      </c>
      <c r="F795" s="89">
        <f>IFERROR(D795*E795,0)</f>
        <v/>
      </c>
      <c r="G795" s="88">
        <f>SUMIFS(PARÂMETROS!$F$8:$F$907,PARÂMETROS!$A$8:$A$907,C795,PARÂMETROS!$G$8:$G$907,J795)</f>
        <v/>
      </c>
      <c r="H795" s="89">
        <f>IFERROR(F795*G795,0)</f>
        <v/>
      </c>
      <c r="I795" s="89">
        <f>F795+H795</f>
        <v/>
      </c>
      <c r="J795" s="110" t="inlineStr">
        <is>
          <t>Junho/2026</t>
        </is>
      </c>
    </row>
    <row r="796" ht="14.25" customHeight="1" s="64">
      <c r="A796" s="110" t="inlineStr">
        <is>
          <t>Jurídico</t>
        </is>
      </c>
      <c r="B796" s="110">
        <f>INDEX(SETORES!$B:$B,MATCH(A796,SETORES!$A:$A,0))</f>
        <v/>
      </c>
      <c r="C796" s="110" t="inlineStr">
        <is>
          <t>Empresa Licenciada DX2</t>
        </is>
      </c>
      <c r="D796" s="88">
        <f>IF(B796="Clientes",SUMIFS(PARÂMETROS!$D$8:$D$907,PARÂMETROS!$A$8:$A$907,C796,PARÂMETROS!$G$8:$G$907,J796),SUMIFS(PARÂMETROS!$E$8:$E$907,PARÂMETROS!$A$8:$A$907,C796,PARÂMETROS!$G$8:$G$907,J796))</f>
        <v/>
      </c>
      <c r="E796" s="89">
        <f>SUMIFS(SETORES!$D:$D,SETORES!$A:$A,A796,SETORES!$F:$F,J796)</f>
        <v/>
      </c>
      <c r="F796" s="89">
        <f>IFERROR(D796*E796,0)</f>
        <v/>
      </c>
      <c r="G796" s="88">
        <f>SUMIFS(PARÂMETROS!$F$8:$F$907,PARÂMETROS!$A$8:$A$907,C796,PARÂMETROS!$G$8:$G$907,J796)</f>
        <v/>
      </c>
      <c r="H796" s="89">
        <f>IFERROR(F796*G796,0)</f>
        <v/>
      </c>
      <c r="I796" s="89">
        <f>F796+H796</f>
        <v/>
      </c>
      <c r="J796" s="110" t="inlineStr">
        <is>
          <t>Julho/2026</t>
        </is>
      </c>
    </row>
    <row r="797" ht="14.25" customHeight="1" s="64">
      <c r="A797" s="110" t="inlineStr">
        <is>
          <t>Jurídico</t>
        </is>
      </c>
      <c r="B797" s="110">
        <f>INDEX(SETORES!$B:$B,MATCH(A797,SETORES!$A:$A,0))</f>
        <v/>
      </c>
      <c r="C797" s="110" t="inlineStr">
        <is>
          <t>Empresa Licenciada H&amp;A</t>
        </is>
      </c>
      <c r="D797" s="88">
        <f>IF(B797="Clientes",SUMIFS(PARÂMETROS!$D$8:$D$907,PARÂMETROS!$A$8:$A$907,C797,PARÂMETROS!$G$8:$G$907,J797),SUMIFS(PARÂMETROS!$E$8:$E$907,PARÂMETROS!$A$8:$A$907,C797,PARÂMETROS!$G$8:$G$907,J797))</f>
        <v/>
      </c>
      <c r="E797" s="89">
        <f>SUMIFS(SETORES!$D:$D,SETORES!$A:$A,A797,SETORES!$F:$F,J797)</f>
        <v/>
      </c>
      <c r="F797" s="89">
        <f>IFERROR(D797*E797,0)</f>
        <v/>
      </c>
      <c r="G797" s="88">
        <f>SUMIFS(PARÂMETROS!$F$8:$F$907,PARÂMETROS!$A$8:$A$907,C797,PARÂMETROS!$G$8:$G$907,J797)</f>
        <v/>
      </c>
      <c r="H797" s="89">
        <f>IFERROR(F797*G797,0)</f>
        <v/>
      </c>
      <c r="I797" s="89">
        <f>F797+H797</f>
        <v/>
      </c>
      <c r="J797" s="110" t="inlineStr">
        <is>
          <t>Julho/2026</t>
        </is>
      </c>
    </row>
    <row r="798" ht="14.25" customHeight="1" s="64">
      <c r="A798" s="110" t="inlineStr">
        <is>
          <t>Jurídico</t>
        </is>
      </c>
      <c r="B798" s="110">
        <f>INDEX(SETORES!$B:$B,MATCH(A798,SETORES!$A:$A,0))</f>
        <v/>
      </c>
      <c r="C798" s="110" t="inlineStr">
        <is>
          <t>Empresa Licenciada SOLON ARAUJO</t>
        </is>
      </c>
      <c r="D798" s="88">
        <f>IF(B798="Clientes",SUMIFS(PARÂMETROS!$D$8:$D$907,PARÂMETROS!$A$8:$A$907,C798,PARÂMETROS!$G$8:$G$907,J798),SUMIFS(PARÂMETROS!$E$8:$E$907,PARÂMETROS!$A$8:$A$907,C798,PARÂMETROS!$G$8:$G$907,J798))</f>
        <v/>
      </c>
      <c r="E798" s="89">
        <f>SUMIFS(SETORES!$D:$D,SETORES!$A:$A,A798,SETORES!$F:$F,J798)</f>
        <v/>
      </c>
      <c r="F798" s="89">
        <f>IFERROR(D798*E798,0)</f>
        <v/>
      </c>
      <c r="G798" s="88">
        <f>SUMIFS(PARÂMETROS!$F$8:$F$907,PARÂMETROS!$A$8:$A$907,C798,PARÂMETROS!$G$8:$G$907,J798)</f>
        <v/>
      </c>
      <c r="H798" s="89">
        <f>IFERROR(F798*G798,0)</f>
        <v/>
      </c>
      <c r="I798" s="89">
        <f>F798+H798</f>
        <v/>
      </c>
      <c r="J798" s="110" t="inlineStr">
        <is>
          <t>Julho/2026</t>
        </is>
      </c>
    </row>
    <row r="799" ht="14.25" customHeight="1" s="64">
      <c r="A799" s="110" t="inlineStr">
        <is>
          <t>Jurídico</t>
        </is>
      </c>
      <c r="B799" s="110">
        <f>INDEX(SETORES!$B:$B,MATCH(A799,SETORES!$A:$A,0))</f>
        <v/>
      </c>
      <c r="C799" s="110" t="inlineStr">
        <is>
          <t>Empresa Licenciada SOARES E LINS</t>
        </is>
      </c>
      <c r="D799" s="88">
        <f>IF(B799="Clientes",SUMIFS(PARÂMETROS!$D$8:$D$907,PARÂMETROS!$A$8:$A$907,C799,PARÂMETROS!$G$8:$G$907,J799),SUMIFS(PARÂMETROS!$E$8:$E$907,PARÂMETROS!$A$8:$A$907,C799,PARÂMETROS!$G$8:$G$907,J799))</f>
        <v/>
      </c>
      <c r="E799" s="89">
        <f>SUMIFS(SETORES!$D:$D,SETORES!$A:$A,A799,SETORES!$F:$F,J799)</f>
        <v/>
      </c>
      <c r="F799" s="89">
        <f>IFERROR(D799*E799,0)</f>
        <v/>
      </c>
      <c r="G799" s="88">
        <f>SUMIFS(PARÂMETROS!$F$8:$F$907,PARÂMETROS!$A$8:$A$907,C799,PARÂMETROS!$G$8:$G$907,J799)</f>
        <v/>
      </c>
      <c r="H799" s="89">
        <f>IFERROR(F799*G799,0)</f>
        <v/>
      </c>
      <c r="I799" s="89">
        <f>F799+H799</f>
        <v/>
      </c>
      <c r="J799" s="110" t="inlineStr">
        <is>
          <t>Julho/2026</t>
        </is>
      </c>
    </row>
    <row r="800" ht="14.25" customHeight="1" s="64">
      <c r="A800" s="110" t="inlineStr">
        <is>
          <t>Jurídico</t>
        </is>
      </c>
      <c r="B800" s="110">
        <f>INDEX(SETORES!$B:$B,MATCH(A800,SETORES!$A:$A,0))</f>
        <v/>
      </c>
      <c r="C800" s="110" t="inlineStr">
        <is>
          <t>Empresa Licenciada SOARES E SILVA</t>
        </is>
      </c>
      <c r="D800" s="88">
        <f>IF(B800="Clientes",SUMIFS(PARÂMETROS!$D$8:$D$907,PARÂMETROS!$A$8:$A$907,C800,PARÂMETROS!$G$8:$G$907,J800),SUMIFS(PARÂMETROS!$E$8:$E$907,PARÂMETROS!$A$8:$A$907,C800,PARÂMETROS!$G$8:$G$907,J800))</f>
        <v/>
      </c>
      <c r="E800" s="89">
        <f>SUMIFS(SETORES!$D:$D,SETORES!$A:$A,A800,SETORES!$F:$F,J800)</f>
        <v/>
      </c>
      <c r="F800" s="89">
        <f>IFERROR(D800*E800,0)</f>
        <v/>
      </c>
      <c r="G800" s="88">
        <f>SUMIFS(PARÂMETROS!$F$8:$F$907,PARÂMETROS!$A$8:$A$907,C800,PARÂMETROS!$G$8:$G$907,J800)</f>
        <v/>
      </c>
      <c r="H800" s="89">
        <f>IFERROR(F800*G800,0)</f>
        <v/>
      </c>
      <c r="I800" s="89">
        <f>F800+H800</f>
        <v/>
      </c>
      <c r="J800" s="110" t="inlineStr">
        <is>
          <t>Julho/2026</t>
        </is>
      </c>
    </row>
    <row r="801" ht="14.25" customHeight="1" s="64">
      <c r="A801" s="110" t="inlineStr">
        <is>
          <t>Jurídico</t>
        </is>
      </c>
      <c r="B801" s="110">
        <f>INDEX(SETORES!$B:$B,MATCH(A801,SETORES!$A:$A,0))</f>
        <v/>
      </c>
      <c r="C801" s="110" t="inlineStr">
        <is>
          <t>Empresa Licenciada SOUZA E SILVA</t>
        </is>
      </c>
      <c r="D801" s="88">
        <f>IF(B801="Clientes",SUMIFS(PARÂMETROS!$D$8:$D$907,PARÂMETROS!$A$8:$A$907,C801,PARÂMETROS!$G$8:$G$907,J801),SUMIFS(PARÂMETROS!$E$8:$E$907,PARÂMETROS!$A$8:$A$907,C801,PARÂMETROS!$G$8:$G$907,J801))</f>
        <v/>
      </c>
      <c r="E801" s="89">
        <f>SUMIFS(SETORES!$D:$D,SETORES!$A:$A,A801,SETORES!$F:$F,J801)</f>
        <v/>
      </c>
      <c r="F801" s="89">
        <f>IFERROR(D801*E801,0)</f>
        <v/>
      </c>
      <c r="G801" s="88">
        <f>SUMIFS(PARÂMETROS!$F$8:$F$907,PARÂMETROS!$A$8:$A$907,C801,PARÂMETROS!$G$8:$G$907,J801)</f>
        <v/>
      </c>
      <c r="H801" s="89">
        <f>IFERROR(F801*G801,0)</f>
        <v/>
      </c>
      <c r="I801" s="89">
        <f>F801+H801</f>
        <v/>
      </c>
      <c r="J801" s="110" t="inlineStr">
        <is>
          <t>Julho/2026</t>
        </is>
      </c>
    </row>
    <row r="802" ht="14.25" customHeight="1" s="64">
      <c r="A802" s="110" t="inlineStr">
        <is>
          <t>Jurídico</t>
        </is>
      </c>
      <c r="B802" s="110">
        <f>INDEX(SETORES!$B:$B,MATCH(A802,SETORES!$A:$A,0))</f>
        <v/>
      </c>
      <c r="C802" s="110" t="inlineStr">
        <is>
          <t>Empresa Licenciada VOICENET</t>
        </is>
      </c>
      <c r="D802" s="88">
        <f>IF(B802="Clientes",SUMIFS(PARÂMETROS!$D$8:$D$907,PARÂMETROS!$A$8:$A$907,C802,PARÂMETROS!$G$8:$G$907,J802),SUMIFS(PARÂMETROS!$E$8:$E$907,PARÂMETROS!$A$8:$A$907,C802,PARÂMETROS!$G$8:$G$907,J802))</f>
        <v/>
      </c>
      <c r="E802" s="89">
        <f>SUMIFS(SETORES!$D:$D,SETORES!$A:$A,A802,SETORES!$F:$F,J802)</f>
        <v/>
      </c>
      <c r="F802" s="89">
        <f>IFERROR(D802*E802,0)</f>
        <v/>
      </c>
      <c r="G802" s="88">
        <f>SUMIFS(PARÂMETROS!$F$8:$F$907,PARÂMETROS!$A$8:$A$907,C802,PARÂMETROS!$G$8:$G$907,J802)</f>
        <v/>
      </c>
      <c r="H802" s="89">
        <f>IFERROR(F802*G802,0)</f>
        <v/>
      </c>
      <c r="I802" s="89">
        <f>F802+H802</f>
        <v/>
      </c>
      <c r="J802" s="110" t="inlineStr">
        <is>
          <t>Julho/2026</t>
        </is>
      </c>
    </row>
    <row r="803" ht="14.25" customHeight="1" s="64">
      <c r="A803" s="110" t="inlineStr">
        <is>
          <t>Jurídico</t>
        </is>
      </c>
      <c r="B803" s="110">
        <f>INDEX(SETORES!$B:$B,MATCH(A803,SETORES!$A:$A,0))</f>
        <v/>
      </c>
      <c r="C803" s="110" t="inlineStr">
        <is>
          <t>DTEL (uso próprio)</t>
        </is>
      </c>
      <c r="D803" s="88">
        <f>IF(B803="Clientes",SUMIFS(PARÂMETROS!$D$8:$D$907,PARÂMETROS!$A$8:$A$907,C803,PARÂMETROS!$G$8:$G$907,J803),SUMIFS(PARÂMETROS!$E$8:$E$907,PARÂMETROS!$A$8:$A$907,C803,PARÂMETROS!$G$8:$G$907,J803))</f>
        <v/>
      </c>
      <c r="E803" s="89">
        <f>SUMIFS(SETORES!$D:$D,SETORES!$A:$A,A803,SETORES!$F:$F,J803)</f>
        <v/>
      </c>
      <c r="F803" s="89">
        <f>IFERROR(D803*E803,0)</f>
        <v/>
      </c>
      <c r="G803" s="88">
        <f>SUMIFS(PARÂMETROS!$F$8:$F$907,PARÂMETROS!$A$8:$A$907,C803,PARÂMETROS!$G$8:$G$907,J803)</f>
        <v/>
      </c>
      <c r="H803" s="89">
        <f>IFERROR(F803*G803,0)</f>
        <v/>
      </c>
      <c r="I803" s="89">
        <f>F803+H803</f>
        <v/>
      </c>
      <c r="J803" s="110" t="inlineStr">
        <is>
          <t>Julho/2026</t>
        </is>
      </c>
    </row>
    <row r="804" ht="14.25" customHeight="1" s="64">
      <c r="A804" s="110" t="inlineStr">
        <is>
          <t>Lançamento</t>
        </is>
      </c>
      <c r="B804" s="110">
        <f>INDEX(SETORES!$B:$B,MATCH(A804,SETORES!$A:$A,0))</f>
        <v/>
      </c>
      <c r="C804" s="110" t="inlineStr">
        <is>
          <t>Empresa Licenciada DX2</t>
        </is>
      </c>
      <c r="D804" s="88">
        <f>IF(B804="Clientes",SUMIFS(PARÂMETROS!$D$8:$D$907,PARÂMETROS!$A$8:$A$907,C804,PARÂMETROS!$G$8:$G$907,J804),SUMIFS(PARÂMETROS!$E$8:$E$907,PARÂMETROS!$A$8:$A$907,C804,PARÂMETROS!$G$8:$G$907,J804))</f>
        <v/>
      </c>
      <c r="E804" s="89">
        <f>SUMIFS(SETORES!$D:$D,SETORES!$A:$A,A804,SETORES!$F:$F,J804)</f>
        <v/>
      </c>
      <c r="F804" s="89">
        <f>IFERROR(D804*E804,0)</f>
        <v/>
      </c>
      <c r="G804" s="88">
        <f>SUMIFS(PARÂMETROS!$F$8:$F$907,PARÂMETROS!$A$8:$A$907,C804,PARÂMETROS!$G$8:$G$907,J804)</f>
        <v/>
      </c>
      <c r="H804" s="89">
        <f>IFERROR(F804*G804,0)</f>
        <v/>
      </c>
      <c r="I804" s="89">
        <f>F804+H804</f>
        <v/>
      </c>
      <c r="J804" s="110" t="inlineStr">
        <is>
          <t>Maio/2026</t>
        </is>
      </c>
    </row>
    <row r="805" ht="14.25" customHeight="1" s="64">
      <c r="A805" s="110" t="inlineStr">
        <is>
          <t>Lançamento</t>
        </is>
      </c>
      <c r="B805" s="110">
        <f>INDEX(SETORES!$B:$B,MATCH(A805,SETORES!$A:$A,0))</f>
        <v/>
      </c>
      <c r="C805" s="110" t="inlineStr">
        <is>
          <t>Empresa Licenciada H&amp;A</t>
        </is>
      </c>
      <c r="D805" s="88">
        <f>IF(B805="Clientes",SUMIFS(PARÂMETROS!$D$8:$D$907,PARÂMETROS!$A$8:$A$907,C805,PARÂMETROS!$G$8:$G$907,J805),SUMIFS(PARÂMETROS!$E$8:$E$907,PARÂMETROS!$A$8:$A$907,C805,PARÂMETROS!$G$8:$G$907,J805))</f>
        <v/>
      </c>
      <c r="E805" s="89">
        <f>SUMIFS(SETORES!$D:$D,SETORES!$A:$A,A805,SETORES!$F:$F,J805)</f>
        <v/>
      </c>
      <c r="F805" s="89">
        <f>IFERROR(D805*E805,0)</f>
        <v/>
      </c>
      <c r="G805" s="88">
        <f>SUMIFS(PARÂMETROS!$F$8:$F$907,PARÂMETROS!$A$8:$A$907,C805,PARÂMETROS!$G$8:$G$907,J805)</f>
        <v/>
      </c>
      <c r="H805" s="89">
        <f>IFERROR(F805*G805,0)</f>
        <v/>
      </c>
      <c r="I805" s="89">
        <f>F805+H805</f>
        <v/>
      </c>
      <c r="J805" s="110" t="inlineStr">
        <is>
          <t>Maio/2026</t>
        </is>
      </c>
    </row>
    <row r="806" ht="14.25" customHeight="1" s="64">
      <c r="A806" s="110" t="inlineStr">
        <is>
          <t>Lançamento</t>
        </is>
      </c>
      <c r="B806" s="110">
        <f>INDEX(SETORES!$B:$B,MATCH(A806,SETORES!$A:$A,0))</f>
        <v/>
      </c>
      <c r="C806" s="110" t="inlineStr">
        <is>
          <t>Empresa Licenciada SOLON ARAUJO</t>
        </is>
      </c>
      <c r="D806" s="88">
        <f>IF(B806="Clientes",SUMIFS(PARÂMETROS!$D$8:$D$907,PARÂMETROS!$A$8:$A$907,C806,PARÂMETROS!$G$8:$G$907,J806),SUMIFS(PARÂMETROS!$E$8:$E$907,PARÂMETROS!$A$8:$A$907,C806,PARÂMETROS!$G$8:$G$907,J806))</f>
        <v/>
      </c>
      <c r="E806" s="89">
        <f>SUMIFS(SETORES!$D:$D,SETORES!$A:$A,A806,SETORES!$F:$F,J806)</f>
        <v/>
      </c>
      <c r="F806" s="89">
        <f>IFERROR(D806*E806,0)</f>
        <v/>
      </c>
      <c r="G806" s="88">
        <f>SUMIFS(PARÂMETROS!$F$8:$F$907,PARÂMETROS!$A$8:$A$907,C806,PARÂMETROS!$G$8:$G$907,J806)</f>
        <v/>
      </c>
      <c r="H806" s="89">
        <f>IFERROR(F806*G806,0)</f>
        <v/>
      </c>
      <c r="I806" s="89">
        <f>F806+H806</f>
        <v/>
      </c>
      <c r="J806" s="110" t="inlineStr">
        <is>
          <t>Maio/2026</t>
        </is>
      </c>
    </row>
    <row r="807" ht="14.25" customHeight="1" s="64">
      <c r="A807" s="110" t="inlineStr">
        <is>
          <t>Lançamento</t>
        </is>
      </c>
      <c r="B807" s="110">
        <f>INDEX(SETORES!$B:$B,MATCH(A807,SETORES!$A:$A,0))</f>
        <v/>
      </c>
      <c r="C807" s="110" t="inlineStr">
        <is>
          <t>Empresa Licenciada SOARES E LINS</t>
        </is>
      </c>
      <c r="D807" s="88">
        <f>IF(B807="Clientes",SUMIFS(PARÂMETROS!$D$8:$D$907,PARÂMETROS!$A$8:$A$907,C807,PARÂMETROS!$G$8:$G$907,J807),SUMIFS(PARÂMETROS!$E$8:$E$907,PARÂMETROS!$A$8:$A$907,C807,PARÂMETROS!$G$8:$G$907,J807))</f>
        <v/>
      </c>
      <c r="E807" s="89">
        <f>SUMIFS(SETORES!$D:$D,SETORES!$A:$A,A807,SETORES!$F:$F,J807)</f>
        <v/>
      </c>
      <c r="F807" s="89">
        <f>IFERROR(D807*E807,0)</f>
        <v/>
      </c>
      <c r="G807" s="88">
        <f>SUMIFS(PARÂMETROS!$F$8:$F$907,PARÂMETROS!$A$8:$A$907,C807,PARÂMETROS!$G$8:$G$907,J807)</f>
        <v/>
      </c>
      <c r="H807" s="89">
        <f>IFERROR(F807*G807,0)</f>
        <v/>
      </c>
      <c r="I807" s="89">
        <f>F807+H807</f>
        <v/>
      </c>
      <c r="J807" s="110" t="inlineStr">
        <is>
          <t>Maio/2026</t>
        </is>
      </c>
    </row>
    <row r="808" ht="14.25" customHeight="1" s="64">
      <c r="A808" s="110" t="inlineStr">
        <is>
          <t>Lançamento</t>
        </is>
      </c>
      <c r="B808" s="110">
        <f>INDEX(SETORES!$B:$B,MATCH(A808,SETORES!$A:$A,0))</f>
        <v/>
      </c>
      <c r="C808" s="110" t="inlineStr">
        <is>
          <t>Empresa Licenciada SOARES E SILVA</t>
        </is>
      </c>
      <c r="D808" s="88">
        <f>IF(B808="Clientes",SUMIFS(PARÂMETROS!$D$8:$D$907,PARÂMETROS!$A$8:$A$907,C808,PARÂMETROS!$G$8:$G$907,J808),SUMIFS(PARÂMETROS!$E$8:$E$907,PARÂMETROS!$A$8:$A$907,C808,PARÂMETROS!$G$8:$G$907,J808))</f>
        <v/>
      </c>
      <c r="E808" s="89">
        <f>SUMIFS(SETORES!$D:$D,SETORES!$A:$A,A808,SETORES!$F:$F,J808)</f>
        <v/>
      </c>
      <c r="F808" s="89">
        <f>IFERROR(D808*E808,0)</f>
        <v/>
      </c>
      <c r="G808" s="88">
        <f>SUMIFS(PARÂMETROS!$F$8:$F$907,PARÂMETROS!$A$8:$A$907,C808,PARÂMETROS!$G$8:$G$907,J808)</f>
        <v/>
      </c>
      <c r="H808" s="89">
        <f>IFERROR(F808*G808,0)</f>
        <v/>
      </c>
      <c r="I808" s="89">
        <f>F808+H808</f>
        <v/>
      </c>
      <c r="J808" s="110" t="inlineStr">
        <is>
          <t>Maio/2026</t>
        </is>
      </c>
    </row>
    <row r="809" ht="14.25" customHeight="1" s="64">
      <c r="A809" s="110" t="inlineStr">
        <is>
          <t>Lançamento</t>
        </is>
      </c>
      <c r="B809" s="110">
        <f>INDEX(SETORES!$B:$B,MATCH(A809,SETORES!$A:$A,0))</f>
        <v/>
      </c>
      <c r="C809" s="110" t="inlineStr">
        <is>
          <t>Empresa Licenciada SOUZA E SILVA</t>
        </is>
      </c>
      <c r="D809" s="88">
        <f>IF(B809="Clientes",SUMIFS(PARÂMETROS!$D$8:$D$907,PARÂMETROS!$A$8:$A$907,C809,PARÂMETROS!$G$8:$G$907,J809),SUMIFS(PARÂMETROS!$E$8:$E$907,PARÂMETROS!$A$8:$A$907,C809,PARÂMETROS!$G$8:$G$907,J809))</f>
        <v/>
      </c>
      <c r="E809" s="89">
        <f>SUMIFS(SETORES!$D:$D,SETORES!$A:$A,A809,SETORES!$F:$F,J809)</f>
        <v/>
      </c>
      <c r="F809" s="89">
        <f>IFERROR(D809*E809,0)</f>
        <v/>
      </c>
      <c r="G809" s="88">
        <f>SUMIFS(PARÂMETROS!$F$8:$F$907,PARÂMETROS!$A$8:$A$907,C809,PARÂMETROS!$G$8:$G$907,J809)</f>
        <v/>
      </c>
      <c r="H809" s="89">
        <f>IFERROR(F809*G809,0)</f>
        <v/>
      </c>
      <c r="I809" s="89">
        <f>F809+H809</f>
        <v/>
      </c>
      <c r="J809" s="110" t="inlineStr">
        <is>
          <t>Maio/2026</t>
        </is>
      </c>
    </row>
    <row r="810" ht="14.25" customHeight="1" s="64">
      <c r="A810" s="110" t="inlineStr">
        <is>
          <t>Lançamento</t>
        </is>
      </c>
      <c r="B810" s="110">
        <f>INDEX(SETORES!$B:$B,MATCH(A810,SETORES!$A:$A,0))</f>
        <v/>
      </c>
      <c r="C810" s="110" t="inlineStr">
        <is>
          <t>Empresa Licenciada VOICENET</t>
        </is>
      </c>
      <c r="D810" s="88">
        <f>IF(B810="Clientes",SUMIFS(PARÂMETROS!$D$8:$D$907,PARÂMETROS!$A$8:$A$907,C810,PARÂMETROS!$G$8:$G$907,J810),SUMIFS(PARÂMETROS!$E$8:$E$907,PARÂMETROS!$A$8:$A$907,C810,PARÂMETROS!$G$8:$G$907,J810))</f>
        <v/>
      </c>
      <c r="E810" s="89">
        <f>SUMIFS(SETORES!$D:$D,SETORES!$A:$A,A810,SETORES!$F:$F,J810)</f>
        <v/>
      </c>
      <c r="F810" s="89">
        <f>IFERROR(D810*E810,0)</f>
        <v/>
      </c>
      <c r="G810" s="88">
        <f>SUMIFS(PARÂMETROS!$F$8:$F$907,PARÂMETROS!$A$8:$A$907,C810,PARÂMETROS!$G$8:$G$907,J810)</f>
        <v/>
      </c>
      <c r="H810" s="89">
        <f>IFERROR(F810*G810,0)</f>
        <v/>
      </c>
      <c r="I810" s="89">
        <f>F810+H810</f>
        <v/>
      </c>
      <c r="J810" s="110" t="inlineStr">
        <is>
          <t>Maio/2026</t>
        </is>
      </c>
    </row>
    <row r="811" ht="14.25" customHeight="1" s="64">
      <c r="A811" s="110" t="inlineStr">
        <is>
          <t>Lançamento</t>
        </is>
      </c>
      <c r="B811" s="110">
        <f>INDEX(SETORES!$B:$B,MATCH(A811,SETORES!$A:$A,0))</f>
        <v/>
      </c>
      <c r="C811" s="110" t="inlineStr">
        <is>
          <t>DTEL (uso próprio)</t>
        </is>
      </c>
      <c r="D811" s="88">
        <f>IF(B811="Clientes",SUMIFS(PARÂMETROS!$D$8:$D$907,PARÂMETROS!$A$8:$A$907,C811,PARÂMETROS!$G$8:$G$907,J811),SUMIFS(PARÂMETROS!$E$8:$E$907,PARÂMETROS!$A$8:$A$907,C811,PARÂMETROS!$G$8:$G$907,J811))</f>
        <v/>
      </c>
      <c r="E811" s="89">
        <f>SUMIFS(SETORES!$D:$D,SETORES!$A:$A,A811,SETORES!$F:$F,J811)</f>
        <v/>
      </c>
      <c r="F811" s="89">
        <f>IFERROR(D811*E811,0)</f>
        <v/>
      </c>
      <c r="G811" s="88">
        <f>SUMIFS(PARÂMETROS!$F$8:$F$907,PARÂMETROS!$A$8:$A$907,C811,PARÂMETROS!$G$8:$G$907,J811)</f>
        <v/>
      </c>
      <c r="H811" s="89">
        <f>IFERROR(F811*G811,0)</f>
        <v/>
      </c>
      <c r="I811" s="89">
        <f>F811+H811</f>
        <v/>
      </c>
      <c r="J811" s="110" t="inlineStr">
        <is>
          <t>Maio/2026</t>
        </is>
      </c>
    </row>
    <row r="812" ht="14.25" customHeight="1" s="64">
      <c r="A812" s="110" t="inlineStr">
        <is>
          <t>Lançamento</t>
        </is>
      </c>
      <c r="B812" s="110">
        <f>INDEX(SETORES!$B:$B,MATCH(A812,SETORES!$A:$A,0))</f>
        <v/>
      </c>
      <c r="C812" s="110" t="inlineStr">
        <is>
          <t>Empresa Licenciada DX2</t>
        </is>
      </c>
      <c r="D812" s="88">
        <f>IF(B812="Clientes",SUMIFS(PARÂMETROS!$D$8:$D$907,PARÂMETROS!$A$8:$A$907,C812,PARÂMETROS!$G$8:$G$907,J812),SUMIFS(PARÂMETROS!$E$8:$E$907,PARÂMETROS!$A$8:$A$907,C812,PARÂMETROS!$G$8:$G$907,J812))</f>
        <v/>
      </c>
      <c r="E812" s="89">
        <f>SUMIFS(SETORES!$D:$D,SETORES!$A:$A,A812,SETORES!$F:$F,J812)</f>
        <v/>
      </c>
      <c r="F812" s="89">
        <f>IFERROR(D812*E812,0)</f>
        <v/>
      </c>
      <c r="G812" s="88">
        <f>SUMIFS(PARÂMETROS!$F$8:$F$907,PARÂMETROS!$A$8:$A$907,C812,PARÂMETROS!$G$8:$G$907,J812)</f>
        <v/>
      </c>
      <c r="H812" s="89">
        <f>IFERROR(F812*G812,0)</f>
        <v/>
      </c>
      <c r="I812" s="89">
        <f>F812+H812</f>
        <v/>
      </c>
      <c r="J812" s="110" t="inlineStr">
        <is>
          <t>Junho/2026</t>
        </is>
      </c>
    </row>
    <row r="813" ht="14.25" customHeight="1" s="64">
      <c r="A813" s="110" t="inlineStr">
        <is>
          <t>Lançamento</t>
        </is>
      </c>
      <c r="B813" s="110">
        <f>INDEX(SETORES!$B:$B,MATCH(A813,SETORES!$A:$A,0))</f>
        <v/>
      </c>
      <c r="C813" s="110" t="inlineStr">
        <is>
          <t>Empresa Licenciada H&amp;A</t>
        </is>
      </c>
      <c r="D813" s="88">
        <f>IF(B813="Clientes",SUMIFS(PARÂMETROS!$D$8:$D$907,PARÂMETROS!$A$8:$A$907,C813,PARÂMETROS!$G$8:$G$907,J813),SUMIFS(PARÂMETROS!$E$8:$E$907,PARÂMETROS!$A$8:$A$907,C813,PARÂMETROS!$G$8:$G$907,J813))</f>
        <v/>
      </c>
      <c r="E813" s="89">
        <f>SUMIFS(SETORES!$D:$D,SETORES!$A:$A,A813,SETORES!$F:$F,J813)</f>
        <v/>
      </c>
      <c r="F813" s="89">
        <f>IFERROR(D813*E813,0)</f>
        <v/>
      </c>
      <c r="G813" s="88">
        <f>SUMIFS(PARÂMETROS!$F$8:$F$907,PARÂMETROS!$A$8:$A$907,C813,PARÂMETROS!$G$8:$G$907,J813)</f>
        <v/>
      </c>
      <c r="H813" s="89">
        <f>IFERROR(F813*G813,0)</f>
        <v/>
      </c>
      <c r="I813" s="89">
        <f>F813+H813</f>
        <v/>
      </c>
      <c r="J813" s="110" t="inlineStr">
        <is>
          <t>Junho/2026</t>
        </is>
      </c>
    </row>
    <row r="814" ht="14.25" customHeight="1" s="64">
      <c r="A814" s="110" t="inlineStr">
        <is>
          <t>Lançamento</t>
        </is>
      </c>
      <c r="B814" s="110">
        <f>INDEX(SETORES!$B:$B,MATCH(A814,SETORES!$A:$A,0))</f>
        <v/>
      </c>
      <c r="C814" s="110" t="inlineStr">
        <is>
          <t>Empresa Licenciada SOLON ARAUJO</t>
        </is>
      </c>
      <c r="D814" s="88">
        <f>IF(B814="Clientes",SUMIFS(PARÂMETROS!$D$8:$D$907,PARÂMETROS!$A$8:$A$907,C814,PARÂMETROS!$G$8:$G$907,J814),SUMIFS(PARÂMETROS!$E$8:$E$907,PARÂMETROS!$A$8:$A$907,C814,PARÂMETROS!$G$8:$G$907,J814))</f>
        <v/>
      </c>
      <c r="E814" s="89">
        <f>SUMIFS(SETORES!$D:$D,SETORES!$A:$A,A814,SETORES!$F:$F,J814)</f>
        <v/>
      </c>
      <c r="F814" s="89">
        <f>IFERROR(D814*E814,0)</f>
        <v/>
      </c>
      <c r="G814" s="88">
        <f>SUMIFS(PARÂMETROS!$F$8:$F$907,PARÂMETROS!$A$8:$A$907,C814,PARÂMETROS!$G$8:$G$907,J814)</f>
        <v/>
      </c>
      <c r="H814" s="89">
        <f>IFERROR(F814*G814,0)</f>
        <v/>
      </c>
      <c r="I814" s="89">
        <f>F814+H814</f>
        <v/>
      </c>
      <c r="J814" s="110" t="inlineStr">
        <is>
          <t>Junho/2026</t>
        </is>
      </c>
    </row>
    <row r="815" ht="14.25" customHeight="1" s="64">
      <c r="A815" s="110" t="inlineStr">
        <is>
          <t>Lançamento</t>
        </is>
      </c>
      <c r="B815" s="110">
        <f>INDEX(SETORES!$B:$B,MATCH(A815,SETORES!$A:$A,0))</f>
        <v/>
      </c>
      <c r="C815" s="110" t="inlineStr">
        <is>
          <t>Empresa Licenciada SOARES E LINS</t>
        </is>
      </c>
      <c r="D815" s="88">
        <f>IF(B815="Clientes",SUMIFS(PARÂMETROS!$D$8:$D$907,PARÂMETROS!$A$8:$A$907,C815,PARÂMETROS!$G$8:$G$907,J815),SUMIFS(PARÂMETROS!$E$8:$E$907,PARÂMETROS!$A$8:$A$907,C815,PARÂMETROS!$G$8:$G$907,J815))</f>
        <v/>
      </c>
      <c r="E815" s="89">
        <f>SUMIFS(SETORES!$D:$D,SETORES!$A:$A,A815,SETORES!$F:$F,J815)</f>
        <v/>
      </c>
      <c r="F815" s="89">
        <f>IFERROR(D815*E815,0)</f>
        <v/>
      </c>
      <c r="G815" s="88">
        <f>SUMIFS(PARÂMETROS!$F$8:$F$907,PARÂMETROS!$A$8:$A$907,C815,PARÂMETROS!$G$8:$G$907,J815)</f>
        <v/>
      </c>
      <c r="H815" s="89">
        <f>IFERROR(F815*G815,0)</f>
        <v/>
      </c>
      <c r="I815" s="89">
        <f>F815+H815</f>
        <v/>
      </c>
      <c r="J815" s="110" t="inlineStr">
        <is>
          <t>Junho/2026</t>
        </is>
      </c>
    </row>
    <row r="816" ht="14.25" customHeight="1" s="64">
      <c r="A816" s="110" t="inlineStr">
        <is>
          <t>Lançamento</t>
        </is>
      </c>
      <c r="B816" s="110">
        <f>INDEX(SETORES!$B:$B,MATCH(A816,SETORES!$A:$A,0))</f>
        <v/>
      </c>
      <c r="C816" s="110" t="inlineStr">
        <is>
          <t>Empresa Licenciada SOARES E SILVA</t>
        </is>
      </c>
      <c r="D816" s="88">
        <f>IF(B816="Clientes",SUMIFS(PARÂMETROS!$D$8:$D$907,PARÂMETROS!$A$8:$A$907,C816,PARÂMETROS!$G$8:$G$907,J816),SUMIFS(PARÂMETROS!$E$8:$E$907,PARÂMETROS!$A$8:$A$907,C816,PARÂMETROS!$G$8:$G$907,J816))</f>
        <v/>
      </c>
      <c r="E816" s="89">
        <f>SUMIFS(SETORES!$D:$D,SETORES!$A:$A,A816,SETORES!$F:$F,J816)</f>
        <v/>
      </c>
      <c r="F816" s="89">
        <f>IFERROR(D816*E816,0)</f>
        <v/>
      </c>
      <c r="G816" s="88">
        <f>SUMIFS(PARÂMETROS!$F$8:$F$907,PARÂMETROS!$A$8:$A$907,C816,PARÂMETROS!$G$8:$G$907,J816)</f>
        <v/>
      </c>
      <c r="H816" s="89">
        <f>IFERROR(F816*G816,0)</f>
        <v/>
      </c>
      <c r="I816" s="89">
        <f>F816+H816</f>
        <v/>
      </c>
      <c r="J816" s="110" t="inlineStr">
        <is>
          <t>Junho/2026</t>
        </is>
      </c>
    </row>
    <row r="817" ht="14.25" customHeight="1" s="64">
      <c r="A817" s="110" t="inlineStr">
        <is>
          <t>Lançamento</t>
        </is>
      </c>
      <c r="B817" s="110">
        <f>INDEX(SETORES!$B:$B,MATCH(A817,SETORES!$A:$A,0))</f>
        <v/>
      </c>
      <c r="C817" s="110" t="inlineStr">
        <is>
          <t>Empresa Licenciada SOUZA E SILVA</t>
        </is>
      </c>
      <c r="D817" s="88">
        <f>IF(B817="Clientes",SUMIFS(PARÂMETROS!$D$8:$D$907,PARÂMETROS!$A$8:$A$907,C817,PARÂMETROS!$G$8:$G$907,J817),SUMIFS(PARÂMETROS!$E$8:$E$907,PARÂMETROS!$A$8:$A$907,C817,PARÂMETROS!$G$8:$G$907,J817))</f>
        <v/>
      </c>
      <c r="E817" s="89">
        <f>SUMIFS(SETORES!$D:$D,SETORES!$A:$A,A817,SETORES!$F:$F,J817)</f>
        <v/>
      </c>
      <c r="F817" s="89">
        <f>IFERROR(D817*E817,0)</f>
        <v/>
      </c>
      <c r="G817" s="88">
        <f>SUMIFS(PARÂMETROS!$F$8:$F$907,PARÂMETROS!$A$8:$A$907,C817,PARÂMETROS!$G$8:$G$907,J817)</f>
        <v/>
      </c>
      <c r="H817" s="89">
        <f>IFERROR(F817*G817,0)</f>
        <v/>
      </c>
      <c r="I817" s="89">
        <f>F817+H817</f>
        <v/>
      </c>
      <c r="J817" s="110" t="inlineStr">
        <is>
          <t>Junho/2026</t>
        </is>
      </c>
    </row>
    <row r="818" ht="14.25" customHeight="1" s="64">
      <c r="A818" s="110" t="inlineStr">
        <is>
          <t>Lançamento</t>
        </is>
      </c>
      <c r="B818" s="110">
        <f>INDEX(SETORES!$B:$B,MATCH(A818,SETORES!$A:$A,0))</f>
        <v/>
      </c>
      <c r="C818" s="110" t="inlineStr">
        <is>
          <t>Empresa Licenciada VOICENET</t>
        </is>
      </c>
      <c r="D818" s="88">
        <f>IF(B818="Clientes",SUMIFS(PARÂMETROS!$D$8:$D$907,PARÂMETROS!$A$8:$A$907,C818,PARÂMETROS!$G$8:$G$907,J818),SUMIFS(PARÂMETROS!$E$8:$E$907,PARÂMETROS!$A$8:$A$907,C818,PARÂMETROS!$G$8:$G$907,J818))</f>
        <v/>
      </c>
      <c r="E818" s="89">
        <f>SUMIFS(SETORES!$D:$D,SETORES!$A:$A,A818,SETORES!$F:$F,J818)</f>
        <v/>
      </c>
      <c r="F818" s="89">
        <f>IFERROR(D818*E818,0)</f>
        <v/>
      </c>
      <c r="G818" s="88">
        <f>SUMIFS(PARÂMETROS!$F$8:$F$907,PARÂMETROS!$A$8:$A$907,C818,PARÂMETROS!$G$8:$G$907,J818)</f>
        <v/>
      </c>
      <c r="H818" s="89">
        <f>IFERROR(F818*G818,0)</f>
        <v/>
      </c>
      <c r="I818" s="89">
        <f>F818+H818</f>
        <v/>
      </c>
      <c r="J818" s="110" t="inlineStr">
        <is>
          <t>Junho/2026</t>
        </is>
      </c>
    </row>
    <row r="819" ht="14.25" customHeight="1" s="64">
      <c r="A819" s="110" t="inlineStr">
        <is>
          <t>Lançamento</t>
        </is>
      </c>
      <c r="B819" s="110">
        <f>INDEX(SETORES!$B:$B,MATCH(A819,SETORES!$A:$A,0))</f>
        <v/>
      </c>
      <c r="C819" s="110" t="inlineStr">
        <is>
          <t>DTEL (uso próprio)</t>
        </is>
      </c>
      <c r="D819" s="88">
        <f>IF(B819="Clientes",SUMIFS(PARÂMETROS!$D$8:$D$907,PARÂMETROS!$A$8:$A$907,C819,PARÂMETROS!$G$8:$G$907,J819),SUMIFS(PARÂMETROS!$E$8:$E$907,PARÂMETROS!$A$8:$A$907,C819,PARÂMETROS!$G$8:$G$907,J819))</f>
        <v/>
      </c>
      <c r="E819" s="89">
        <f>SUMIFS(SETORES!$D:$D,SETORES!$A:$A,A819,SETORES!$F:$F,J819)</f>
        <v/>
      </c>
      <c r="F819" s="89">
        <f>IFERROR(D819*E819,0)</f>
        <v/>
      </c>
      <c r="G819" s="88">
        <f>SUMIFS(PARÂMETROS!$F$8:$F$907,PARÂMETROS!$A$8:$A$907,C819,PARÂMETROS!$G$8:$G$907,J819)</f>
        <v/>
      </c>
      <c r="H819" s="89">
        <f>IFERROR(F819*G819,0)</f>
        <v/>
      </c>
      <c r="I819" s="89">
        <f>F819+H819</f>
        <v/>
      </c>
      <c r="J819" s="110" t="inlineStr">
        <is>
          <t>Junho/2026</t>
        </is>
      </c>
    </row>
    <row r="820" ht="14.25" customHeight="1" s="64">
      <c r="A820" s="110" t="inlineStr">
        <is>
          <t>Lançamento</t>
        </is>
      </c>
      <c r="B820" s="110">
        <f>INDEX(SETORES!$B:$B,MATCH(A820,SETORES!$A:$A,0))</f>
        <v/>
      </c>
      <c r="C820" s="110" t="inlineStr">
        <is>
          <t>Empresa Licenciada DX2</t>
        </is>
      </c>
      <c r="D820" s="88">
        <f>IF(B820="Clientes",SUMIFS(PARÂMETROS!$D$8:$D$907,PARÂMETROS!$A$8:$A$907,C820,PARÂMETROS!$G$8:$G$907,J820),SUMIFS(PARÂMETROS!$E$8:$E$907,PARÂMETROS!$A$8:$A$907,C820,PARÂMETROS!$G$8:$G$907,J820))</f>
        <v/>
      </c>
      <c r="E820" s="89">
        <f>SUMIFS(SETORES!$D:$D,SETORES!$A:$A,A820,SETORES!$F:$F,J820)</f>
        <v/>
      </c>
      <c r="F820" s="89">
        <f>IFERROR(D820*E820,0)</f>
        <v/>
      </c>
      <c r="G820" s="88">
        <f>SUMIFS(PARÂMETROS!$F$8:$F$907,PARÂMETROS!$A$8:$A$907,C820,PARÂMETROS!$G$8:$G$907,J820)</f>
        <v/>
      </c>
      <c r="H820" s="89">
        <f>IFERROR(F820*G820,0)</f>
        <v/>
      </c>
      <c r="I820" s="89">
        <f>F820+H820</f>
        <v/>
      </c>
      <c r="J820" s="110" t="inlineStr">
        <is>
          <t>Julho/2026</t>
        </is>
      </c>
    </row>
    <row r="821" ht="14.25" customHeight="1" s="64">
      <c r="A821" s="110" t="inlineStr">
        <is>
          <t>Lançamento</t>
        </is>
      </c>
      <c r="B821" s="110">
        <f>INDEX(SETORES!$B:$B,MATCH(A821,SETORES!$A:$A,0))</f>
        <v/>
      </c>
      <c r="C821" s="110" t="inlineStr">
        <is>
          <t>Empresa Licenciada H&amp;A</t>
        </is>
      </c>
      <c r="D821" s="88">
        <f>IF(B821="Clientes",SUMIFS(PARÂMETROS!$D$8:$D$907,PARÂMETROS!$A$8:$A$907,C821,PARÂMETROS!$G$8:$G$907,J821),SUMIFS(PARÂMETROS!$E$8:$E$907,PARÂMETROS!$A$8:$A$907,C821,PARÂMETROS!$G$8:$G$907,J821))</f>
        <v/>
      </c>
      <c r="E821" s="89">
        <f>SUMIFS(SETORES!$D:$D,SETORES!$A:$A,A821,SETORES!$F:$F,J821)</f>
        <v/>
      </c>
      <c r="F821" s="89">
        <f>IFERROR(D821*E821,0)</f>
        <v/>
      </c>
      <c r="G821" s="88">
        <f>SUMIFS(PARÂMETROS!$F$8:$F$907,PARÂMETROS!$A$8:$A$907,C821,PARÂMETROS!$G$8:$G$907,J821)</f>
        <v/>
      </c>
      <c r="H821" s="89">
        <f>IFERROR(F821*G821,0)</f>
        <v/>
      </c>
      <c r="I821" s="89">
        <f>F821+H821</f>
        <v/>
      </c>
      <c r="J821" s="110" t="inlineStr">
        <is>
          <t>Julho/2026</t>
        </is>
      </c>
    </row>
    <row r="822" ht="14.25" customHeight="1" s="64">
      <c r="A822" s="110" t="inlineStr">
        <is>
          <t>Lançamento</t>
        </is>
      </c>
      <c r="B822" s="110">
        <f>INDEX(SETORES!$B:$B,MATCH(A822,SETORES!$A:$A,0))</f>
        <v/>
      </c>
      <c r="C822" s="110" t="inlineStr">
        <is>
          <t>Empresa Licenciada SOLON ARAUJO</t>
        </is>
      </c>
      <c r="D822" s="88">
        <f>IF(B822="Clientes",SUMIFS(PARÂMETROS!$D$8:$D$907,PARÂMETROS!$A$8:$A$907,C822,PARÂMETROS!$G$8:$G$907,J822),SUMIFS(PARÂMETROS!$E$8:$E$907,PARÂMETROS!$A$8:$A$907,C822,PARÂMETROS!$G$8:$G$907,J822))</f>
        <v/>
      </c>
      <c r="E822" s="89">
        <f>SUMIFS(SETORES!$D:$D,SETORES!$A:$A,A822,SETORES!$F:$F,J822)</f>
        <v/>
      </c>
      <c r="F822" s="89">
        <f>IFERROR(D822*E822,0)</f>
        <v/>
      </c>
      <c r="G822" s="88">
        <f>SUMIFS(PARÂMETROS!$F$8:$F$907,PARÂMETROS!$A$8:$A$907,C822,PARÂMETROS!$G$8:$G$907,J822)</f>
        <v/>
      </c>
      <c r="H822" s="89">
        <f>IFERROR(F822*G822,0)</f>
        <v/>
      </c>
      <c r="I822" s="89">
        <f>F822+H822</f>
        <v/>
      </c>
      <c r="J822" s="110" t="inlineStr">
        <is>
          <t>Julho/2026</t>
        </is>
      </c>
    </row>
    <row r="823" ht="14.25" customHeight="1" s="64">
      <c r="A823" s="110" t="inlineStr">
        <is>
          <t>Lançamento</t>
        </is>
      </c>
      <c r="B823" s="110">
        <f>INDEX(SETORES!$B:$B,MATCH(A823,SETORES!$A:$A,0))</f>
        <v/>
      </c>
      <c r="C823" s="110" t="inlineStr">
        <is>
          <t>Empresa Licenciada SOARES E LINS</t>
        </is>
      </c>
      <c r="D823" s="88">
        <f>IF(B823="Clientes",SUMIFS(PARÂMETROS!$D$8:$D$907,PARÂMETROS!$A$8:$A$907,C823,PARÂMETROS!$G$8:$G$907,J823),SUMIFS(PARÂMETROS!$E$8:$E$907,PARÂMETROS!$A$8:$A$907,C823,PARÂMETROS!$G$8:$G$907,J823))</f>
        <v/>
      </c>
      <c r="E823" s="89">
        <f>SUMIFS(SETORES!$D:$D,SETORES!$A:$A,A823,SETORES!$F:$F,J823)</f>
        <v/>
      </c>
      <c r="F823" s="89">
        <f>IFERROR(D823*E823,0)</f>
        <v/>
      </c>
      <c r="G823" s="88">
        <f>SUMIFS(PARÂMETROS!$F$8:$F$907,PARÂMETROS!$A$8:$A$907,C823,PARÂMETROS!$G$8:$G$907,J823)</f>
        <v/>
      </c>
      <c r="H823" s="89">
        <f>IFERROR(F823*G823,0)</f>
        <v/>
      </c>
      <c r="I823" s="89">
        <f>F823+H823</f>
        <v/>
      </c>
      <c r="J823" s="110" t="inlineStr">
        <is>
          <t>Julho/2026</t>
        </is>
      </c>
    </row>
    <row r="824" ht="14.25" customHeight="1" s="64">
      <c r="A824" s="110" t="inlineStr">
        <is>
          <t>Lançamento</t>
        </is>
      </c>
      <c r="B824" s="110">
        <f>INDEX(SETORES!$B:$B,MATCH(A824,SETORES!$A:$A,0))</f>
        <v/>
      </c>
      <c r="C824" s="110" t="inlineStr">
        <is>
          <t>Empresa Licenciada SOARES E SILVA</t>
        </is>
      </c>
      <c r="D824" s="88">
        <f>IF(B824="Clientes",SUMIFS(PARÂMETROS!$D$8:$D$907,PARÂMETROS!$A$8:$A$907,C824,PARÂMETROS!$G$8:$G$907,J824),SUMIFS(PARÂMETROS!$E$8:$E$907,PARÂMETROS!$A$8:$A$907,C824,PARÂMETROS!$G$8:$G$907,J824))</f>
        <v/>
      </c>
      <c r="E824" s="89">
        <f>SUMIFS(SETORES!$D:$D,SETORES!$A:$A,A824,SETORES!$F:$F,J824)</f>
        <v/>
      </c>
      <c r="F824" s="89">
        <f>IFERROR(D824*E824,0)</f>
        <v/>
      </c>
      <c r="G824" s="88">
        <f>SUMIFS(PARÂMETROS!$F$8:$F$907,PARÂMETROS!$A$8:$A$907,C824,PARÂMETROS!$G$8:$G$907,J824)</f>
        <v/>
      </c>
      <c r="H824" s="89">
        <f>IFERROR(F824*G824,0)</f>
        <v/>
      </c>
      <c r="I824" s="89">
        <f>F824+H824</f>
        <v/>
      </c>
      <c r="J824" s="110" t="inlineStr">
        <is>
          <t>Julho/2026</t>
        </is>
      </c>
    </row>
    <row r="825" ht="14.25" customHeight="1" s="64">
      <c r="A825" s="110" t="inlineStr">
        <is>
          <t>Lançamento</t>
        </is>
      </c>
      <c r="B825" s="110">
        <f>INDEX(SETORES!$B:$B,MATCH(A825,SETORES!$A:$A,0))</f>
        <v/>
      </c>
      <c r="C825" s="110" t="inlineStr">
        <is>
          <t>Empresa Licenciada SOUZA E SILVA</t>
        </is>
      </c>
      <c r="D825" s="88">
        <f>IF(B825="Clientes",SUMIFS(PARÂMETROS!$D$8:$D$907,PARÂMETROS!$A$8:$A$907,C825,PARÂMETROS!$G$8:$G$907,J825),SUMIFS(PARÂMETROS!$E$8:$E$907,PARÂMETROS!$A$8:$A$907,C825,PARÂMETROS!$G$8:$G$907,J825))</f>
        <v/>
      </c>
      <c r="E825" s="89">
        <f>SUMIFS(SETORES!$D:$D,SETORES!$A:$A,A825,SETORES!$F:$F,J825)</f>
        <v/>
      </c>
      <c r="F825" s="89">
        <f>IFERROR(D825*E825,0)</f>
        <v/>
      </c>
      <c r="G825" s="88">
        <f>SUMIFS(PARÂMETROS!$F$8:$F$907,PARÂMETROS!$A$8:$A$907,C825,PARÂMETROS!$G$8:$G$907,J825)</f>
        <v/>
      </c>
      <c r="H825" s="89">
        <f>IFERROR(F825*G825,0)</f>
        <v/>
      </c>
      <c r="I825" s="89">
        <f>F825+H825</f>
        <v/>
      </c>
      <c r="J825" s="110" t="inlineStr">
        <is>
          <t>Julho/2026</t>
        </is>
      </c>
    </row>
    <row r="826" ht="14.25" customHeight="1" s="64">
      <c r="A826" s="110" t="inlineStr">
        <is>
          <t>Lançamento</t>
        </is>
      </c>
      <c r="B826" s="110">
        <f>INDEX(SETORES!$B:$B,MATCH(A826,SETORES!$A:$A,0))</f>
        <v/>
      </c>
      <c r="C826" s="110" t="inlineStr">
        <is>
          <t>Empresa Licenciada VOICENET</t>
        </is>
      </c>
      <c r="D826" s="88">
        <f>IF(B826="Clientes",SUMIFS(PARÂMETROS!$D$8:$D$907,PARÂMETROS!$A$8:$A$907,C826,PARÂMETROS!$G$8:$G$907,J826),SUMIFS(PARÂMETROS!$E$8:$E$907,PARÂMETROS!$A$8:$A$907,C826,PARÂMETROS!$G$8:$G$907,J826))</f>
        <v/>
      </c>
      <c r="E826" s="89">
        <f>SUMIFS(SETORES!$D:$D,SETORES!$A:$A,A826,SETORES!$F:$F,J826)</f>
        <v/>
      </c>
      <c r="F826" s="89">
        <f>IFERROR(D826*E826,0)</f>
        <v/>
      </c>
      <c r="G826" s="88">
        <f>SUMIFS(PARÂMETROS!$F$8:$F$907,PARÂMETROS!$A$8:$A$907,C826,PARÂMETROS!$G$8:$G$907,J826)</f>
        <v/>
      </c>
      <c r="H826" s="89">
        <f>IFERROR(F826*G826,0)</f>
        <v/>
      </c>
      <c r="I826" s="89">
        <f>F826+H826</f>
        <v/>
      </c>
      <c r="J826" s="110" t="inlineStr">
        <is>
          <t>Julho/2026</t>
        </is>
      </c>
    </row>
    <row r="827" ht="14.25" customHeight="1" s="64">
      <c r="A827" s="110" t="inlineStr">
        <is>
          <t>Lançamento</t>
        </is>
      </c>
      <c r="B827" s="110">
        <f>INDEX(SETORES!$B:$B,MATCH(A827,SETORES!$A:$A,0))</f>
        <v/>
      </c>
      <c r="C827" s="110" t="inlineStr">
        <is>
          <t>DTEL (uso próprio)</t>
        </is>
      </c>
      <c r="D827" s="88">
        <f>IF(B827="Clientes",SUMIFS(PARÂMETROS!$D$8:$D$907,PARÂMETROS!$A$8:$A$907,C827,PARÂMETROS!$G$8:$G$907,J827),SUMIFS(PARÂMETROS!$E$8:$E$907,PARÂMETROS!$A$8:$A$907,C827,PARÂMETROS!$G$8:$G$907,J827))</f>
        <v/>
      </c>
      <c r="E827" s="89">
        <f>SUMIFS(SETORES!$D:$D,SETORES!$A:$A,A827,SETORES!$F:$F,J827)</f>
        <v/>
      </c>
      <c r="F827" s="89">
        <f>IFERROR(D827*E827,0)</f>
        <v/>
      </c>
      <c r="G827" s="88">
        <f>SUMIFS(PARÂMETROS!$F$8:$F$907,PARÂMETROS!$A$8:$A$907,C827,PARÂMETROS!$G$8:$G$907,J827)</f>
        <v/>
      </c>
      <c r="H827" s="89">
        <f>IFERROR(F827*G827,0)</f>
        <v/>
      </c>
      <c r="I827" s="89">
        <f>F827+H827</f>
        <v/>
      </c>
      <c r="J827" s="110" t="inlineStr">
        <is>
          <t>Julho/2026</t>
        </is>
      </c>
    </row>
    <row r="828" ht="14.25" customHeight="1" s="64">
      <c r="A828" s="110" t="inlineStr">
        <is>
          <t>Marketing</t>
        </is>
      </c>
      <c r="B828" s="110">
        <f>INDEX(SETORES!$B:$B,MATCH(A828,SETORES!$A:$A,0))</f>
        <v/>
      </c>
      <c r="C828" s="110" t="inlineStr">
        <is>
          <t>Empresa Licenciada DX2</t>
        </is>
      </c>
      <c r="D828" s="88">
        <f>IF(B828="Clientes",SUMIFS(PARÂMETROS!$D$8:$D$907,PARÂMETROS!$A$8:$A$907,C828,PARÂMETROS!$G$8:$G$907,J828),SUMIFS(PARÂMETROS!$E$8:$E$907,PARÂMETROS!$A$8:$A$907,C828,PARÂMETROS!$G$8:$G$907,J828))</f>
        <v/>
      </c>
      <c r="E828" s="89">
        <f>SUMIFS(SETORES!$D:$D,SETORES!$A:$A,A828,SETORES!$F:$F,J828)</f>
        <v/>
      </c>
      <c r="F828" s="89">
        <f>IFERROR(D828*E828,0)</f>
        <v/>
      </c>
      <c r="G828" s="88">
        <f>SUMIFS(PARÂMETROS!$F$8:$F$907,PARÂMETROS!$A$8:$A$907,C828,PARÂMETROS!$G$8:$G$907,J828)</f>
        <v/>
      </c>
      <c r="H828" s="89">
        <f>IFERROR(F828*G828,0)</f>
        <v/>
      </c>
      <c r="I828" s="89">
        <f>F828+H828</f>
        <v/>
      </c>
      <c r="J828" s="110" t="inlineStr">
        <is>
          <t>Maio/2026</t>
        </is>
      </c>
    </row>
    <row r="829" ht="14.25" customHeight="1" s="64">
      <c r="A829" s="110" t="inlineStr">
        <is>
          <t>Marketing</t>
        </is>
      </c>
      <c r="B829" s="110">
        <f>INDEX(SETORES!$B:$B,MATCH(A829,SETORES!$A:$A,0))</f>
        <v/>
      </c>
      <c r="C829" s="110" t="inlineStr">
        <is>
          <t>Empresa Licenciada H&amp;A</t>
        </is>
      </c>
      <c r="D829" s="88">
        <f>IF(B829="Clientes",SUMIFS(PARÂMETROS!$D$8:$D$907,PARÂMETROS!$A$8:$A$907,C829,PARÂMETROS!$G$8:$G$907,J829),SUMIFS(PARÂMETROS!$E$8:$E$907,PARÂMETROS!$A$8:$A$907,C829,PARÂMETROS!$G$8:$G$907,J829))</f>
        <v/>
      </c>
      <c r="E829" s="89">
        <f>SUMIFS(SETORES!$D:$D,SETORES!$A:$A,A829,SETORES!$F:$F,J829)</f>
        <v/>
      </c>
      <c r="F829" s="89">
        <f>IFERROR(D829*E829,0)</f>
        <v/>
      </c>
      <c r="G829" s="88">
        <f>SUMIFS(PARÂMETROS!$F$8:$F$907,PARÂMETROS!$A$8:$A$907,C829,PARÂMETROS!$G$8:$G$907,J829)</f>
        <v/>
      </c>
      <c r="H829" s="89">
        <f>IFERROR(F829*G829,0)</f>
        <v/>
      </c>
      <c r="I829" s="89">
        <f>F829+H829</f>
        <v/>
      </c>
      <c r="J829" s="110" t="inlineStr">
        <is>
          <t>Maio/2026</t>
        </is>
      </c>
    </row>
    <row r="830" ht="14.25" customHeight="1" s="64">
      <c r="A830" s="110" t="inlineStr">
        <is>
          <t>Marketing</t>
        </is>
      </c>
      <c r="B830" s="110">
        <f>INDEX(SETORES!$B:$B,MATCH(A830,SETORES!$A:$A,0))</f>
        <v/>
      </c>
      <c r="C830" s="110" t="inlineStr">
        <is>
          <t>Empresa Licenciada SOLON ARAUJO</t>
        </is>
      </c>
      <c r="D830" s="88">
        <f>IF(B830="Clientes",SUMIFS(PARÂMETROS!$D$8:$D$907,PARÂMETROS!$A$8:$A$907,C830,PARÂMETROS!$G$8:$G$907,J830),SUMIFS(PARÂMETROS!$E$8:$E$907,PARÂMETROS!$A$8:$A$907,C830,PARÂMETROS!$G$8:$G$907,J830))</f>
        <v/>
      </c>
      <c r="E830" s="89">
        <f>SUMIFS(SETORES!$D:$D,SETORES!$A:$A,A830,SETORES!$F:$F,J830)</f>
        <v/>
      </c>
      <c r="F830" s="89">
        <f>IFERROR(D830*E830,0)</f>
        <v/>
      </c>
      <c r="G830" s="88">
        <f>SUMIFS(PARÂMETROS!$F$8:$F$907,PARÂMETROS!$A$8:$A$907,C830,PARÂMETROS!$G$8:$G$907,J830)</f>
        <v/>
      </c>
      <c r="H830" s="89">
        <f>IFERROR(F830*G830,0)</f>
        <v/>
      </c>
      <c r="I830" s="89">
        <f>F830+H830</f>
        <v/>
      </c>
      <c r="J830" s="110" t="inlineStr">
        <is>
          <t>Maio/2026</t>
        </is>
      </c>
    </row>
    <row r="831" ht="14.25" customHeight="1" s="64">
      <c r="A831" s="110" t="inlineStr">
        <is>
          <t>Marketing</t>
        </is>
      </c>
      <c r="B831" s="110">
        <f>INDEX(SETORES!$B:$B,MATCH(A831,SETORES!$A:$A,0))</f>
        <v/>
      </c>
      <c r="C831" s="110" t="inlineStr">
        <is>
          <t>Empresa Licenciada SOARES E LINS</t>
        </is>
      </c>
      <c r="D831" s="88">
        <f>IF(B831="Clientes",SUMIFS(PARÂMETROS!$D$8:$D$907,PARÂMETROS!$A$8:$A$907,C831,PARÂMETROS!$G$8:$G$907,J831),SUMIFS(PARÂMETROS!$E$8:$E$907,PARÂMETROS!$A$8:$A$907,C831,PARÂMETROS!$G$8:$G$907,J831))</f>
        <v/>
      </c>
      <c r="E831" s="89">
        <f>SUMIFS(SETORES!$D:$D,SETORES!$A:$A,A831,SETORES!$F:$F,J831)</f>
        <v/>
      </c>
      <c r="F831" s="89">
        <f>IFERROR(D831*E831,0)</f>
        <v/>
      </c>
      <c r="G831" s="88">
        <f>SUMIFS(PARÂMETROS!$F$8:$F$907,PARÂMETROS!$A$8:$A$907,C831,PARÂMETROS!$G$8:$G$907,J831)</f>
        <v/>
      </c>
      <c r="H831" s="89">
        <f>IFERROR(F831*G831,0)</f>
        <v/>
      </c>
      <c r="I831" s="89">
        <f>F831+H831</f>
        <v/>
      </c>
      <c r="J831" s="110" t="inlineStr">
        <is>
          <t>Maio/2026</t>
        </is>
      </c>
    </row>
    <row r="832" ht="14.25" customHeight="1" s="64">
      <c r="A832" s="110" t="inlineStr">
        <is>
          <t>Marketing</t>
        </is>
      </c>
      <c r="B832" s="110">
        <f>INDEX(SETORES!$B:$B,MATCH(A832,SETORES!$A:$A,0))</f>
        <v/>
      </c>
      <c r="C832" s="110" t="inlineStr">
        <is>
          <t>Empresa Licenciada SOARES E SILVA</t>
        </is>
      </c>
      <c r="D832" s="88">
        <f>IF(B832="Clientes",SUMIFS(PARÂMETROS!$D$8:$D$907,PARÂMETROS!$A$8:$A$907,C832,PARÂMETROS!$G$8:$G$907,J832),SUMIFS(PARÂMETROS!$E$8:$E$907,PARÂMETROS!$A$8:$A$907,C832,PARÂMETROS!$G$8:$G$907,J832))</f>
        <v/>
      </c>
      <c r="E832" s="89">
        <f>SUMIFS(SETORES!$D:$D,SETORES!$A:$A,A832,SETORES!$F:$F,J832)</f>
        <v/>
      </c>
      <c r="F832" s="89">
        <f>IFERROR(D832*E832,0)</f>
        <v/>
      </c>
      <c r="G832" s="88">
        <f>SUMIFS(PARÂMETROS!$F$8:$F$907,PARÂMETROS!$A$8:$A$907,C832,PARÂMETROS!$G$8:$G$907,J832)</f>
        <v/>
      </c>
      <c r="H832" s="89">
        <f>IFERROR(F832*G832,0)</f>
        <v/>
      </c>
      <c r="I832" s="89">
        <f>F832+H832</f>
        <v/>
      </c>
      <c r="J832" s="110" t="inlineStr">
        <is>
          <t>Maio/2026</t>
        </is>
      </c>
    </row>
    <row r="833" ht="14.25" customHeight="1" s="64">
      <c r="A833" s="110" t="inlineStr">
        <is>
          <t>Marketing</t>
        </is>
      </c>
      <c r="B833" s="110">
        <f>INDEX(SETORES!$B:$B,MATCH(A833,SETORES!$A:$A,0))</f>
        <v/>
      </c>
      <c r="C833" s="110" t="inlineStr">
        <is>
          <t>Empresa Licenciada SOUZA E SILVA</t>
        </is>
      </c>
      <c r="D833" s="88">
        <f>IF(B833="Clientes",SUMIFS(PARÂMETROS!$D$8:$D$907,PARÂMETROS!$A$8:$A$907,C833,PARÂMETROS!$G$8:$G$907,J833),SUMIFS(PARÂMETROS!$E$8:$E$907,PARÂMETROS!$A$8:$A$907,C833,PARÂMETROS!$G$8:$G$907,J833))</f>
        <v/>
      </c>
      <c r="E833" s="89">
        <f>SUMIFS(SETORES!$D:$D,SETORES!$A:$A,A833,SETORES!$F:$F,J833)</f>
        <v/>
      </c>
      <c r="F833" s="89">
        <f>IFERROR(D833*E833,0)</f>
        <v/>
      </c>
      <c r="G833" s="88">
        <f>SUMIFS(PARÂMETROS!$F$8:$F$907,PARÂMETROS!$A$8:$A$907,C833,PARÂMETROS!$G$8:$G$907,J833)</f>
        <v/>
      </c>
      <c r="H833" s="89">
        <f>IFERROR(F833*G833,0)</f>
        <v/>
      </c>
      <c r="I833" s="89">
        <f>F833+H833</f>
        <v/>
      </c>
      <c r="J833" s="110" t="inlineStr">
        <is>
          <t>Maio/2026</t>
        </is>
      </c>
    </row>
    <row r="834" ht="14.25" customHeight="1" s="64">
      <c r="A834" s="110" t="inlineStr">
        <is>
          <t>Marketing</t>
        </is>
      </c>
      <c r="B834" s="110">
        <f>INDEX(SETORES!$B:$B,MATCH(A834,SETORES!$A:$A,0))</f>
        <v/>
      </c>
      <c r="C834" s="110" t="inlineStr">
        <is>
          <t>Empresa Licenciada VOICENET</t>
        </is>
      </c>
      <c r="D834" s="88">
        <f>IF(B834="Clientes",SUMIFS(PARÂMETROS!$D$8:$D$907,PARÂMETROS!$A$8:$A$907,C834,PARÂMETROS!$G$8:$G$907,J834),SUMIFS(PARÂMETROS!$E$8:$E$907,PARÂMETROS!$A$8:$A$907,C834,PARÂMETROS!$G$8:$G$907,J834))</f>
        <v/>
      </c>
      <c r="E834" s="89">
        <f>SUMIFS(SETORES!$D:$D,SETORES!$A:$A,A834,SETORES!$F:$F,J834)</f>
        <v/>
      </c>
      <c r="F834" s="89">
        <f>IFERROR(D834*E834,0)</f>
        <v/>
      </c>
      <c r="G834" s="88">
        <f>SUMIFS(PARÂMETROS!$F$8:$F$907,PARÂMETROS!$A$8:$A$907,C834,PARÂMETROS!$G$8:$G$907,J834)</f>
        <v/>
      </c>
      <c r="H834" s="89">
        <f>IFERROR(F834*G834,0)</f>
        <v/>
      </c>
      <c r="I834" s="89">
        <f>F834+H834</f>
        <v/>
      </c>
      <c r="J834" s="110" t="inlineStr">
        <is>
          <t>Maio/2026</t>
        </is>
      </c>
    </row>
    <row r="835" ht="14.25" customHeight="1" s="64">
      <c r="A835" s="110" t="inlineStr">
        <is>
          <t>Marketing</t>
        </is>
      </c>
      <c r="B835" s="110">
        <f>INDEX(SETORES!$B:$B,MATCH(A835,SETORES!$A:$A,0))</f>
        <v/>
      </c>
      <c r="C835" s="110" t="inlineStr">
        <is>
          <t>DTEL (uso próprio)</t>
        </is>
      </c>
      <c r="D835" s="88">
        <f>IF(B835="Clientes",SUMIFS(PARÂMETROS!$D$8:$D$907,PARÂMETROS!$A$8:$A$907,C835,PARÂMETROS!$G$8:$G$907,J835),SUMIFS(PARÂMETROS!$E$8:$E$907,PARÂMETROS!$A$8:$A$907,C835,PARÂMETROS!$G$8:$G$907,J835))</f>
        <v/>
      </c>
      <c r="E835" s="89">
        <f>SUMIFS(SETORES!$D:$D,SETORES!$A:$A,A835,SETORES!$F:$F,J835)</f>
        <v/>
      </c>
      <c r="F835" s="89">
        <f>IFERROR(D835*E835,0)</f>
        <v/>
      </c>
      <c r="G835" s="88">
        <f>SUMIFS(PARÂMETROS!$F$8:$F$907,PARÂMETROS!$A$8:$A$907,C835,PARÂMETROS!$G$8:$G$907,J835)</f>
        <v/>
      </c>
      <c r="H835" s="89">
        <f>IFERROR(F835*G835,0)</f>
        <v/>
      </c>
      <c r="I835" s="89">
        <f>F835+H835</f>
        <v/>
      </c>
      <c r="J835" s="110" t="inlineStr">
        <is>
          <t>Maio/2026</t>
        </is>
      </c>
    </row>
    <row r="836" ht="14.25" customHeight="1" s="64">
      <c r="A836" s="110" t="inlineStr">
        <is>
          <t>Marketing</t>
        </is>
      </c>
      <c r="B836" s="110">
        <f>INDEX(SETORES!$B:$B,MATCH(A836,SETORES!$A:$A,0))</f>
        <v/>
      </c>
      <c r="C836" s="110" t="inlineStr">
        <is>
          <t>Empresa Licenciada DX2</t>
        </is>
      </c>
      <c r="D836" s="88">
        <f>IF(B836="Clientes",SUMIFS(PARÂMETROS!$D$8:$D$907,PARÂMETROS!$A$8:$A$907,C836,PARÂMETROS!$G$8:$G$907,J836),SUMIFS(PARÂMETROS!$E$8:$E$907,PARÂMETROS!$A$8:$A$907,C836,PARÂMETROS!$G$8:$G$907,J836))</f>
        <v/>
      </c>
      <c r="E836" s="89">
        <f>SUMIFS(SETORES!$D:$D,SETORES!$A:$A,A836,SETORES!$F:$F,J836)</f>
        <v/>
      </c>
      <c r="F836" s="89">
        <f>IFERROR(D836*E836,0)</f>
        <v/>
      </c>
      <c r="G836" s="88">
        <f>SUMIFS(PARÂMETROS!$F$8:$F$907,PARÂMETROS!$A$8:$A$907,C836,PARÂMETROS!$G$8:$G$907,J836)</f>
        <v/>
      </c>
      <c r="H836" s="89">
        <f>IFERROR(F836*G836,0)</f>
        <v/>
      </c>
      <c r="I836" s="89">
        <f>F836+H836</f>
        <v/>
      </c>
      <c r="J836" s="110" t="inlineStr">
        <is>
          <t>Junho/2026</t>
        </is>
      </c>
    </row>
    <row r="837" ht="14.25" customHeight="1" s="64">
      <c r="A837" s="110" t="inlineStr">
        <is>
          <t>Marketing</t>
        </is>
      </c>
      <c r="B837" s="110">
        <f>INDEX(SETORES!$B:$B,MATCH(A837,SETORES!$A:$A,0))</f>
        <v/>
      </c>
      <c r="C837" s="110" t="inlineStr">
        <is>
          <t>Empresa Licenciada H&amp;A</t>
        </is>
      </c>
      <c r="D837" s="88">
        <f>IF(B837="Clientes",SUMIFS(PARÂMETROS!$D$8:$D$907,PARÂMETROS!$A$8:$A$907,C837,PARÂMETROS!$G$8:$G$907,J837),SUMIFS(PARÂMETROS!$E$8:$E$907,PARÂMETROS!$A$8:$A$907,C837,PARÂMETROS!$G$8:$G$907,J837))</f>
        <v/>
      </c>
      <c r="E837" s="89">
        <f>SUMIFS(SETORES!$D:$D,SETORES!$A:$A,A837,SETORES!$F:$F,J837)</f>
        <v/>
      </c>
      <c r="F837" s="89">
        <f>IFERROR(D837*E837,0)</f>
        <v/>
      </c>
      <c r="G837" s="88">
        <f>SUMIFS(PARÂMETROS!$F$8:$F$907,PARÂMETROS!$A$8:$A$907,C837,PARÂMETROS!$G$8:$G$907,J837)</f>
        <v/>
      </c>
      <c r="H837" s="89">
        <f>IFERROR(F837*G837,0)</f>
        <v/>
      </c>
      <c r="I837" s="89">
        <f>F837+H837</f>
        <v/>
      </c>
      <c r="J837" s="110" t="inlineStr">
        <is>
          <t>Junho/2026</t>
        </is>
      </c>
    </row>
    <row r="838" ht="14.25" customHeight="1" s="64">
      <c r="A838" s="110" t="inlineStr">
        <is>
          <t>Marketing</t>
        </is>
      </c>
      <c r="B838" s="110">
        <f>INDEX(SETORES!$B:$B,MATCH(A838,SETORES!$A:$A,0))</f>
        <v/>
      </c>
      <c r="C838" s="110" t="inlineStr">
        <is>
          <t>Empresa Licenciada SOLON ARAUJO</t>
        </is>
      </c>
      <c r="D838" s="88">
        <f>IF(B838="Clientes",SUMIFS(PARÂMETROS!$D$8:$D$907,PARÂMETROS!$A$8:$A$907,C838,PARÂMETROS!$G$8:$G$907,J838),SUMIFS(PARÂMETROS!$E$8:$E$907,PARÂMETROS!$A$8:$A$907,C838,PARÂMETROS!$G$8:$G$907,J838))</f>
        <v/>
      </c>
      <c r="E838" s="89">
        <f>SUMIFS(SETORES!$D:$D,SETORES!$A:$A,A838,SETORES!$F:$F,J838)</f>
        <v/>
      </c>
      <c r="F838" s="89">
        <f>IFERROR(D838*E838,0)</f>
        <v/>
      </c>
      <c r="G838" s="88">
        <f>SUMIFS(PARÂMETROS!$F$8:$F$907,PARÂMETROS!$A$8:$A$907,C838,PARÂMETROS!$G$8:$G$907,J838)</f>
        <v/>
      </c>
      <c r="H838" s="89">
        <f>IFERROR(F838*G838,0)</f>
        <v/>
      </c>
      <c r="I838" s="89">
        <f>F838+H838</f>
        <v/>
      </c>
      <c r="J838" s="110" t="inlineStr">
        <is>
          <t>Junho/2026</t>
        </is>
      </c>
    </row>
    <row r="839" ht="14.25" customHeight="1" s="64">
      <c r="A839" s="110" t="inlineStr">
        <is>
          <t>Marketing</t>
        </is>
      </c>
      <c r="B839" s="110">
        <f>INDEX(SETORES!$B:$B,MATCH(A839,SETORES!$A:$A,0))</f>
        <v/>
      </c>
      <c r="C839" s="110" t="inlineStr">
        <is>
          <t>Empresa Licenciada SOARES E LINS</t>
        </is>
      </c>
      <c r="D839" s="88">
        <f>IF(B839="Clientes",SUMIFS(PARÂMETROS!$D$8:$D$907,PARÂMETROS!$A$8:$A$907,C839,PARÂMETROS!$G$8:$G$907,J839),SUMIFS(PARÂMETROS!$E$8:$E$907,PARÂMETROS!$A$8:$A$907,C839,PARÂMETROS!$G$8:$G$907,J839))</f>
        <v/>
      </c>
      <c r="E839" s="89">
        <f>SUMIFS(SETORES!$D:$D,SETORES!$A:$A,A839,SETORES!$F:$F,J839)</f>
        <v/>
      </c>
      <c r="F839" s="89">
        <f>IFERROR(D839*E839,0)</f>
        <v/>
      </c>
      <c r="G839" s="88">
        <f>SUMIFS(PARÂMETROS!$F$8:$F$907,PARÂMETROS!$A$8:$A$907,C839,PARÂMETROS!$G$8:$G$907,J839)</f>
        <v/>
      </c>
      <c r="H839" s="89">
        <f>IFERROR(F839*G839,0)</f>
        <v/>
      </c>
      <c r="I839" s="89">
        <f>F839+H839</f>
        <v/>
      </c>
      <c r="J839" s="110" t="inlineStr">
        <is>
          <t>Junho/2026</t>
        </is>
      </c>
    </row>
    <row r="840" ht="14.25" customHeight="1" s="64">
      <c r="A840" s="110" t="inlineStr">
        <is>
          <t>Marketing</t>
        </is>
      </c>
      <c r="B840" s="110">
        <f>INDEX(SETORES!$B:$B,MATCH(A840,SETORES!$A:$A,0))</f>
        <v/>
      </c>
      <c r="C840" s="110" t="inlineStr">
        <is>
          <t>Empresa Licenciada SOARES E SILVA</t>
        </is>
      </c>
      <c r="D840" s="88">
        <f>IF(B840="Clientes",SUMIFS(PARÂMETROS!$D$8:$D$907,PARÂMETROS!$A$8:$A$907,C840,PARÂMETROS!$G$8:$G$907,J840),SUMIFS(PARÂMETROS!$E$8:$E$907,PARÂMETROS!$A$8:$A$907,C840,PARÂMETROS!$G$8:$G$907,J840))</f>
        <v/>
      </c>
      <c r="E840" s="89">
        <f>SUMIFS(SETORES!$D:$D,SETORES!$A:$A,A840,SETORES!$F:$F,J840)</f>
        <v/>
      </c>
      <c r="F840" s="89">
        <f>IFERROR(D840*E840,0)</f>
        <v/>
      </c>
      <c r="G840" s="88">
        <f>SUMIFS(PARÂMETROS!$F$8:$F$907,PARÂMETROS!$A$8:$A$907,C840,PARÂMETROS!$G$8:$G$907,J840)</f>
        <v/>
      </c>
      <c r="H840" s="89">
        <f>IFERROR(F840*G840,0)</f>
        <v/>
      </c>
      <c r="I840" s="89">
        <f>F840+H840</f>
        <v/>
      </c>
      <c r="J840" s="110" t="inlineStr">
        <is>
          <t>Junho/2026</t>
        </is>
      </c>
    </row>
    <row r="841" ht="14.25" customHeight="1" s="64">
      <c r="A841" s="110" t="inlineStr">
        <is>
          <t>Marketing</t>
        </is>
      </c>
      <c r="B841" s="110">
        <f>INDEX(SETORES!$B:$B,MATCH(A841,SETORES!$A:$A,0))</f>
        <v/>
      </c>
      <c r="C841" s="110" t="inlineStr">
        <is>
          <t>Empresa Licenciada SOUZA E SILVA</t>
        </is>
      </c>
      <c r="D841" s="88">
        <f>IF(B841="Clientes",SUMIFS(PARÂMETROS!$D$8:$D$907,PARÂMETROS!$A$8:$A$907,C841,PARÂMETROS!$G$8:$G$907,J841),SUMIFS(PARÂMETROS!$E$8:$E$907,PARÂMETROS!$A$8:$A$907,C841,PARÂMETROS!$G$8:$G$907,J841))</f>
        <v/>
      </c>
      <c r="E841" s="89">
        <f>SUMIFS(SETORES!$D:$D,SETORES!$A:$A,A841,SETORES!$F:$F,J841)</f>
        <v/>
      </c>
      <c r="F841" s="89">
        <f>IFERROR(D841*E841,0)</f>
        <v/>
      </c>
      <c r="G841" s="88">
        <f>SUMIFS(PARÂMETROS!$F$8:$F$907,PARÂMETROS!$A$8:$A$907,C841,PARÂMETROS!$G$8:$G$907,J841)</f>
        <v/>
      </c>
      <c r="H841" s="89">
        <f>IFERROR(F841*G841,0)</f>
        <v/>
      </c>
      <c r="I841" s="89">
        <f>F841+H841</f>
        <v/>
      </c>
      <c r="J841" s="110" t="inlineStr">
        <is>
          <t>Junho/2026</t>
        </is>
      </c>
    </row>
    <row r="842" ht="14.25" customHeight="1" s="64">
      <c r="A842" s="110" t="inlineStr">
        <is>
          <t>Marketing</t>
        </is>
      </c>
      <c r="B842" s="110">
        <f>INDEX(SETORES!$B:$B,MATCH(A842,SETORES!$A:$A,0))</f>
        <v/>
      </c>
      <c r="C842" s="110" t="inlineStr">
        <is>
          <t>Empresa Licenciada VOICENET</t>
        </is>
      </c>
      <c r="D842" s="88">
        <f>IF(B842="Clientes",SUMIFS(PARÂMETROS!$D$8:$D$907,PARÂMETROS!$A$8:$A$907,C842,PARÂMETROS!$G$8:$G$907,J842),SUMIFS(PARÂMETROS!$E$8:$E$907,PARÂMETROS!$A$8:$A$907,C842,PARÂMETROS!$G$8:$G$907,J842))</f>
        <v/>
      </c>
      <c r="E842" s="89">
        <f>SUMIFS(SETORES!$D:$D,SETORES!$A:$A,A842,SETORES!$F:$F,J842)</f>
        <v/>
      </c>
      <c r="F842" s="89">
        <f>IFERROR(D842*E842,0)</f>
        <v/>
      </c>
      <c r="G842" s="88">
        <f>SUMIFS(PARÂMETROS!$F$8:$F$907,PARÂMETROS!$A$8:$A$907,C842,PARÂMETROS!$G$8:$G$907,J842)</f>
        <v/>
      </c>
      <c r="H842" s="89">
        <f>IFERROR(F842*G842,0)</f>
        <v/>
      </c>
      <c r="I842" s="89">
        <f>F842+H842</f>
        <v/>
      </c>
      <c r="J842" s="110" t="inlineStr">
        <is>
          <t>Junho/2026</t>
        </is>
      </c>
    </row>
    <row r="843" ht="14.25" customHeight="1" s="64">
      <c r="A843" s="110" t="inlineStr">
        <is>
          <t>Marketing</t>
        </is>
      </c>
      <c r="B843" s="110">
        <f>INDEX(SETORES!$B:$B,MATCH(A843,SETORES!$A:$A,0))</f>
        <v/>
      </c>
      <c r="C843" s="110" t="inlineStr">
        <is>
          <t>DTEL (uso próprio)</t>
        </is>
      </c>
      <c r="D843" s="88">
        <f>IF(B843="Clientes",SUMIFS(PARÂMETROS!$D$8:$D$907,PARÂMETROS!$A$8:$A$907,C843,PARÂMETROS!$G$8:$G$907,J843),SUMIFS(PARÂMETROS!$E$8:$E$907,PARÂMETROS!$A$8:$A$907,C843,PARÂMETROS!$G$8:$G$907,J843))</f>
        <v/>
      </c>
      <c r="E843" s="89">
        <f>SUMIFS(SETORES!$D:$D,SETORES!$A:$A,A843,SETORES!$F:$F,J843)</f>
        <v/>
      </c>
      <c r="F843" s="89">
        <f>IFERROR(D843*E843,0)</f>
        <v/>
      </c>
      <c r="G843" s="88">
        <f>SUMIFS(PARÂMETROS!$F$8:$F$907,PARÂMETROS!$A$8:$A$907,C843,PARÂMETROS!$G$8:$G$907,J843)</f>
        <v/>
      </c>
      <c r="H843" s="89">
        <f>IFERROR(F843*G843,0)</f>
        <v/>
      </c>
      <c r="I843" s="89">
        <f>F843+H843</f>
        <v/>
      </c>
      <c r="J843" s="110" t="inlineStr">
        <is>
          <t>Junho/2026</t>
        </is>
      </c>
    </row>
    <row r="844" ht="14.25" customHeight="1" s="64">
      <c r="A844" s="110" t="inlineStr">
        <is>
          <t>Marketing</t>
        </is>
      </c>
      <c r="B844" s="110">
        <f>INDEX(SETORES!$B:$B,MATCH(A844,SETORES!$A:$A,0))</f>
        <v/>
      </c>
      <c r="C844" s="110" t="inlineStr">
        <is>
          <t>Empresa Licenciada DX2</t>
        </is>
      </c>
      <c r="D844" s="88">
        <f>IF(B844="Clientes",SUMIFS(PARÂMETROS!$D$8:$D$907,PARÂMETROS!$A$8:$A$907,C844,PARÂMETROS!$G$8:$G$907,J844),SUMIFS(PARÂMETROS!$E$8:$E$907,PARÂMETROS!$A$8:$A$907,C844,PARÂMETROS!$G$8:$G$907,J844))</f>
        <v/>
      </c>
      <c r="E844" s="89">
        <f>SUMIFS(SETORES!$D:$D,SETORES!$A:$A,A844,SETORES!$F:$F,J844)</f>
        <v/>
      </c>
      <c r="F844" s="89">
        <f>IFERROR(D844*E844,0)</f>
        <v/>
      </c>
      <c r="G844" s="88">
        <f>SUMIFS(PARÂMETROS!$F$8:$F$907,PARÂMETROS!$A$8:$A$907,C844,PARÂMETROS!$G$8:$G$907,J844)</f>
        <v/>
      </c>
      <c r="H844" s="89">
        <f>IFERROR(F844*G844,0)</f>
        <v/>
      </c>
      <c r="I844" s="89">
        <f>F844+H844</f>
        <v/>
      </c>
      <c r="J844" s="110" t="inlineStr">
        <is>
          <t>Julho/2026</t>
        </is>
      </c>
    </row>
    <row r="845" ht="14.25" customHeight="1" s="64">
      <c r="A845" s="110" t="inlineStr">
        <is>
          <t>Marketing</t>
        </is>
      </c>
      <c r="B845" s="110">
        <f>INDEX(SETORES!$B:$B,MATCH(A845,SETORES!$A:$A,0))</f>
        <v/>
      </c>
      <c r="C845" s="110" t="inlineStr">
        <is>
          <t>Empresa Licenciada H&amp;A</t>
        </is>
      </c>
      <c r="D845" s="88">
        <f>IF(B845="Clientes",SUMIFS(PARÂMETROS!$D$8:$D$907,PARÂMETROS!$A$8:$A$907,C845,PARÂMETROS!$G$8:$G$907,J845),SUMIFS(PARÂMETROS!$E$8:$E$907,PARÂMETROS!$A$8:$A$907,C845,PARÂMETROS!$G$8:$G$907,J845))</f>
        <v/>
      </c>
      <c r="E845" s="89">
        <f>SUMIFS(SETORES!$D:$D,SETORES!$A:$A,A845,SETORES!$F:$F,J845)</f>
        <v/>
      </c>
      <c r="F845" s="89">
        <f>IFERROR(D845*E845,0)</f>
        <v/>
      </c>
      <c r="G845" s="88">
        <f>SUMIFS(PARÂMETROS!$F$8:$F$907,PARÂMETROS!$A$8:$A$907,C845,PARÂMETROS!$G$8:$G$907,J845)</f>
        <v/>
      </c>
      <c r="H845" s="89">
        <f>IFERROR(F845*G845,0)</f>
        <v/>
      </c>
      <c r="I845" s="89">
        <f>F845+H845</f>
        <v/>
      </c>
      <c r="J845" s="110" t="inlineStr">
        <is>
          <t>Julho/2026</t>
        </is>
      </c>
    </row>
    <row r="846" ht="14.25" customHeight="1" s="64">
      <c r="A846" s="110" t="inlineStr">
        <is>
          <t>Marketing</t>
        </is>
      </c>
      <c r="B846" s="110">
        <f>INDEX(SETORES!$B:$B,MATCH(A846,SETORES!$A:$A,0))</f>
        <v/>
      </c>
      <c r="C846" s="110" t="inlineStr">
        <is>
          <t>Empresa Licenciada SOLON ARAUJO</t>
        </is>
      </c>
      <c r="D846" s="88">
        <f>IF(B846="Clientes",SUMIFS(PARÂMETROS!$D$8:$D$907,PARÂMETROS!$A$8:$A$907,C846,PARÂMETROS!$G$8:$G$907,J846),SUMIFS(PARÂMETROS!$E$8:$E$907,PARÂMETROS!$A$8:$A$907,C846,PARÂMETROS!$G$8:$G$907,J846))</f>
        <v/>
      </c>
      <c r="E846" s="89">
        <f>SUMIFS(SETORES!$D:$D,SETORES!$A:$A,A846,SETORES!$F:$F,J846)</f>
        <v/>
      </c>
      <c r="F846" s="89">
        <f>IFERROR(D846*E846,0)</f>
        <v/>
      </c>
      <c r="G846" s="88">
        <f>SUMIFS(PARÂMETROS!$F$8:$F$907,PARÂMETROS!$A$8:$A$907,C846,PARÂMETROS!$G$8:$G$907,J846)</f>
        <v/>
      </c>
      <c r="H846" s="89">
        <f>IFERROR(F846*G846,0)</f>
        <v/>
      </c>
      <c r="I846" s="89">
        <f>F846+H846</f>
        <v/>
      </c>
      <c r="J846" s="110" t="inlineStr">
        <is>
          <t>Julho/2026</t>
        </is>
      </c>
    </row>
    <row r="847" ht="14.25" customHeight="1" s="64">
      <c r="A847" s="110" t="inlineStr">
        <is>
          <t>Marketing</t>
        </is>
      </c>
      <c r="B847" s="110">
        <f>INDEX(SETORES!$B:$B,MATCH(A847,SETORES!$A:$A,0))</f>
        <v/>
      </c>
      <c r="C847" s="110" t="inlineStr">
        <is>
          <t>Empresa Licenciada SOARES E LINS</t>
        </is>
      </c>
      <c r="D847" s="88">
        <f>IF(B847="Clientes",SUMIFS(PARÂMETROS!$D$8:$D$907,PARÂMETROS!$A$8:$A$907,C847,PARÂMETROS!$G$8:$G$907,J847),SUMIFS(PARÂMETROS!$E$8:$E$907,PARÂMETROS!$A$8:$A$907,C847,PARÂMETROS!$G$8:$G$907,J847))</f>
        <v/>
      </c>
      <c r="E847" s="89">
        <f>SUMIFS(SETORES!$D:$D,SETORES!$A:$A,A847,SETORES!$F:$F,J847)</f>
        <v/>
      </c>
      <c r="F847" s="89">
        <f>IFERROR(D847*E847,0)</f>
        <v/>
      </c>
      <c r="G847" s="88">
        <f>SUMIFS(PARÂMETROS!$F$8:$F$907,PARÂMETROS!$A$8:$A$907,C847,PARÂMETROS!$G$8:$G$907,J847)</f>
        <v/>
      </c>
      <c r="H847" s="89">
        <f>IFERROR(F847*G847,0)</f>
        <v/>
      </c>
      <c r="I847" s="89">
        <f>F847+H847</f>
        <v/>
      </c>
      <c r="J847" s="110" t="inlineStr">
        <is>
          <t>Julho/2026</t>
        </is>
      </c>
    </row>
    <row r="848" ht="14.25" customHeight="1" s="64">
      <c r="A848" s="110" t="inlineStr">
        <is>
          <t>Marketing</t>
        </is>
      </c>
      <c r="B848" s="110">
        <f>INDEX(SETORES!$B:$B,MATCH(A848,SETORES!$A:$A,0))</f>
        <v/>
      </c>
      <c r="C848" s="110" t="inlineStr">
        <is>
          <t>Empresa Licenciada SOARES E SILVA</t>
        </is>
      </c>
      <c r="D848" s="88">
        <f>IF(B848="Clientes",SUMIFS(PARÂMETROS!$D$8:$D$907,PARÂMETROS!$A$8:$A$907,C848,PARÂMETROS!$G$8:$G$907,J848),SUMIFS(PARÂMETROS!$E$8:$E$907,PARÂMETROS!$A$8:$A$907,C848,PARÂMETROS!$G$8:$G$907,J848))</f>
        <v/>
      </c>
      <c r="E848" s="89">
        <f>SUMIFS(SETORES!$D:$D,SETORES!$A:$A,A848,SETORES!$F:$F,J848)</f>
        <v/>
      </c>
      <c r="F848" s="89">
        <f>IFERROR(D848*E848,0)</f>
        <v/>
      </c>
      <c r="G848" s="88">
        <f>SUMIFS(PARÂMETROS!$F$8:$F$907,PARÂMETROS!$A$8:$A$907,C848,PARÂMETROS!$G$8:$G$907,J848)</f>
        <v/>
      </c>
      <c r="H848" s="89">
        <f>IFERROR(F848*G848,0)</f>
        <v/>
      </c>
      <c r="I848" s="89">
        <f>F848+H848</f>
        <v/>
      </c>
      <c r="J848" s="110" t="inlineStr">
        <is>
          <t>Julho/2026</t>
        </is>
      </c>
    </row>
    <row r="849" ht="14.25" customHeight="1" s="64">
      <c r="A849" s="110" t="inlineStr">
        <is>
          <t>Marketing</t>
        </is>
      </c>
      <c r="B849" s="110">
        <f>INDEX(SETORES!$B:$B,MATCH(A849,SETORES!$A:$A,0))</f>
        <v/>
      </c>
      <c r="C849" s="110" t="inlineStr">
        <is>
          <t>Empresa Licenciada SOUZA E SILVA</t>
        </is>
      </c>
      <c r="D849" s="88">
        <f>IF(B849="Clientes",SUMIFS(PARÂMETROS!$D$8:$D$907,PARÂMETROS!$A$8:$A$907,C849,PARÂMETROS!$G$8:$G$907,J849),SUMIFS(PARÂMETROS!$E$8:$E$907,PARÂMETROS!$A$8:$A$907,C849,PARÂMETROS!$G$8:$G$907,J849))</f>
        <v/>
      </c>
      <c r="E849" s="89">
        <f>SUMIFS(SETORES!$D:$D,SETORES!$A:$A,A849,SETORES!$F:$F,J849)</f>
        <v/>
      </c>
      <c r="F849" s="89">
        <f>IFERROR(D849*E849,0)</f>
        <v/>
      </c>
      <c r="G849" s="88">
        <f>SUMIFS(PARÂMETROS!$F$8:$F$907,PARÂMETROS!$A$8:$A$907,C849,PARÂMETROS!$G$8:$G$907,J849)</f>
        <v/>
      </c>
      <c r="H849" s="89">
        <f>IFERROR(F849*G849,0)</f>
        <v/>
      </c>
      <c r="I849" s="89">
        <f>F849+H849</f>
        <v/>
      </c>
      <c r="J849" s="110" t="inlineStr">
        <is>
          <t>Julho/2026</t>
        </is>
      </c>
    </row>
    <row r="850" ht="14.25" customHeight="1" s="64">
      <c r="A850" s="110" t="inlineStr">
        <is>
          <t>Marketing</t>
        </is>
      </c>
      <c r="B850" s="110">
        <f>INDEX(SETORES!$B:$B,MATCH(A850,SETORES!$A:$A,0))</f>
        <v/>
      </c>
      <c r="C850" s="110" t="inlineStr">
        <is>
          <t>Empresa Licenciada VOICENET</t>
        </is>
      </c>
      <c r="D850" s="88">
        <f>IF(B850="Clientes",SUMIFS(PARÂMETROS!$D$8:$D$907,PARÂMETROS!$A$8:$A$907,C850,PARÂMETROS!$G$8:$G$907,J850),SUMIFS(PARÂMETROS!$E$8:$E$907,PARÂMETROS!$A$8:$A$907,C850,PARÂMETROS!$G$8:$G$907,J850))</f>
        <v/>
      </c>
      <c r="E850" s="89">
        <f>SUMIFS(SETORES!$D:$D,SETORES!$A:$A,A850,SETORES!$F:$F,J850)</f>
        <v/>
      </c>
      <c r="F850" s="89">
        <f>IFERROR(D850*E850,0)</f>
        <v/>
      </c>
      <c r="G850" s="88">
        <f>SUMIFS(PARÂMETROS!$F$8:$F$907,PARÂMETROS!$A$8:$A$907,C850,PARÂMETROS!$G$8:$G$907,J850)</f>
        <v/>
      </c>
      <c r="H850" s="89">
        <f>IFERROR(F850*G850,0)</f>
        <v/>
      </c>
      <c r="I850" s="89">
        <f>F850+H850</f>
        <v/>
      </c>
      <c r="J850" s="110" t="inlineStr">
        <is>
          <t>Julho/2026</t>
        </is>
      </c>
    </row>
    <row r="851" ht="14.25" customHeight="1" s="64">
      <c r="A851" s="110" t="inlineStr">
        <is>
          <t>Marketing</t>
        </is>
      </c>
      <c r="B851" s="110">
        <f>INDEX(SETORES!$B:$B,MATCH(A851,SETORES!$A:$A,0))</f>
        <v/>
      </c>
      <c r="C851" s="110" t="inlineStr">
        <is>
          <t>DTEL (uso próprio)</t>
        </is>
      </c>
      <c r="D851" s="88">
        <f>IF(B851="Clientes",SUMIFS(PARÂMETROS!$D$8:$D$907,PARÂMETROS!$A$8:$A$907,C851,PARÂMETROS!$G$8:$G$907,J851),SUMIFS(PARÂMETROS!$E$8:$E$907,PARÂMETROS!$A$8:$A$907,C851,PARÂMETROS!$G$8:$G$907,J851))</f>
        <v/>
      </c>
      <c r="E851" s="89">
        <f>SUMIFS(SETORES!$D:$D,SETORES!$A:$A,A851,SETORES!$F:$F,J851)</f>
        <v/>
      </c>
      <c r="F851" s="89">
        <f>IFERROR(D851*E851,0)</f>
        <v/>
      </c>
      <c r="G851" s="88">
        <f>SUMIFS(PARÂMETROS!$F$8:$F$907,PARÂMETROS!$A$8:$A$907,C851,PARÂMETROS!$G$8:$G$907,J851)</f>
        <v/>
      </c>
      <c r="H851" s="89">
        <f>IFERROR(F851*G851,0)</f>
        <v/>
      </c>
      <c r="I851" s="89">
        <f>F851+H851</f>
        <v/>
      </c>
      <c r="J851" s="110" t="inlineStr">
        <is>
          <t>Julho/2026</t>
        </is>
      </c>
    </row>
    <row r="852" ht="14.25" customHeight="1" s="64">
      <c r="A852" s="110" t="inlineStr">
        <is>
          <t>Qualidade</t>
        </is>
      </c>
      <c r="B852" s="110">
        <f>INDEX(SETORES!$B:$B,MATCH(A852,SETORES!$A:$A,0))</f>
        <v/>
      </c>
      <c r="C852" s="110" t="inlineStr">
        <is>
          <t>Empresa Licenciada DX2</t>
        </is>
      </c>
      <c r="D852" s="88">
        <f>IF(B852="Clientes",SUMIFS(PARÂMETROS!$D$8:$D$907,PARÂMETROS!$A$8:$A$907,C852,PARÂMETROS!$G$8:$G$907,J852),SUMIFS(PARÂMETROS!$E$8:$E$907,PARÂMETROS!$A$8:$A$907,C852,PARÂMETROS!$G$8:$G$907,J852))</f>
        <v/>
      </c>
      <c r="E852" s="89">
        <f>SUMIFS(SETORES!$D:$D,SETORES!$A:$A,A852,SETORES!$F:$F,J852)</f>
        <v/>
      </c>
      <c r="F852" s="89">
        <f>IFERROR(D852*E852,0)</f>
        <v/>
      </c>
      <c r="G852" s="88">
        <f>SUMIFS(PARÂMETROS!$F$8:$F$907,PARÂMETROS!$A$8:$A$907,C852,PARÂMETROS!$G$8:$G$907,J852)</f>
        <v/>
      </c>
      <c r="H852" s="89">
        <f>IFERROR(F852*G852,0)</f>
        <v/>
      </c>
      <c r="I852" s="89">
        <f>F852+H852</f>
        <v/>
      </c>
      <c r="J852" s="110" t="inlineStr">
        <is>
          <t>Maio/2026</t>
        </is>
      </c>
    </row>
    <row r="853" ht="14.25" customHeight="1" s="64">
      <c r="A853" s="110" t="inlineStr">
        <is>
          <t>Qualidade</t>
        </is>
      </c>
      <c r="B853" s="110">
        <f>INDEX(SETORES!$B:$B,MATCH(A853,SETORES!$A:$A,0))</f>
        <v/>
      </c>
      <c r="C853" s="110" t="inlineStr">
        <is>
          <t>Empresa Licenciada H&amp;A</t>
        </is>
      </c>
      <c r="D853" s="88">
        <f>IF(B853="Clientes",SUMIFS(PARÂMETROS!$D$8:$D$907,PARÂMETROS!$A$8:$A$907,C853,PARÂMETROS!$G$8:$G$907,J853),SUMIFS(PARÂMETROS!$E$8:$E$907,PARÂMETROS!$A$8:$A$907,C853,PARÂMETROS!$G$8:$G$907,J853))</f>
        <v/>
      </c>
      <c r="E853" s="89">
        <f>SUMIFS(SETORES!$D:$D,SETORES!$A:$A,A853,SETORES!$F:$F,J853)</f>
        <v/>
      </c>
      <c r="F853" s="89">
        <f>IFERROR(D853*E853,0)</f>
        <v/>
      </c>
      <c r="G853" s="88">
        <f>SUMIFS(PARÂMETROS!$F$8:$F$907,PARÂMETROS!$A$8:$A$907,C853,PARÂMETROS!$G$8:$G$907,J853)</f>
        <v/>
      </c>
      <c r="H853" s="89">
        <f>IFERROR(F853*G853,0)</f>
        <v/>
      </c>
      <c r="I853" s="89">
        <f>F853+H853</f>
        <v/>
      </c>
      <c r="J853" s="110" t="inlineStr">
        <is>
          <t>Maio/2026</t>
        </is>
      </c>
    </row>
    <row r="854" ht="14.25" customHeight="1" s="64">
      <c r="A854" s="110" t="inlineStr">
        <is>
          <t>Qualidade</t>
        </is>
      </c>
      <c r="B854" s="110">
        <f>INDEX(SETORES!$B:$B,MATCH(A854,SETORES!$A:$A,0))</f>
        <v/>
      </c>
      <c r="C854" s="110" t="inlineStr">
        <is>
          <t>Empresa Licenciada SOLON ARAUJO</t>
        </is>
      </c>
      <c r="D854" s="88">
        <f>IF(B854="Clientes",SUMIFS(PARÂMETROS!$D$8:$D$907,PARÂMETROS!$A$8:$A$907,C854,PARÂMETROS!$G$8:$G$907,J854),SUMIFS(PARÂMETROS!$E$8:$E$907,PARÂMETROS!$A$8:$A$907,C854,PARÂMETROS!$G$8:$G$907,J854))</f>
        <v/>
      </c>
      <c r="E854" s="89">
        <f>SUMIFS(SETORES!$D:$D,SETORES!$A:$A,A854,SETORES!$F:$F,J854)</f>
        <v/>
      </c>
      <c r="F854" s="89">
        <f>IFERROR(D854*E854,0)</f>
        <v/>
      </c>
      <c r="G854" s="88">
        <f>SUMIFS(PARÂMETROS!$F$8:$F$907,PARÂMETROS!$A$8:$A$907,C854,PARÂMETROS!$G$8:$G$907,J854)</f>
        <v/>
      </c>
      <c r="H854" s="89">
        <f>IFERROR(F854*G854,0)</f>
        <v/>
      </c>
      <c r="I854" s="89">
        <f>F854+H854</f>
        <v/>
      </c>
      <c r="J854" s="110" t="inlineStr">
        <is>
          <t>Maio/2026</t>
        </is>
      </c>
    </row>
    <row r="855" ht="14.25" customHeight="1" s="64">
      <c r="A855" s="110" t="inlineStr">
        <is>
          <t>Qualidade</t>
        </is>
      </c>
      <c r="B855" s="110">
        <f>INDEX(SETORES!$B:$B,MATCH(A855,SETORES!$A:$A,0))</f>
        <v/>
      </c>
      <c r="C855" s="110" t="inlineStr">
        <is>
          <t>Empresa Licenciada SOARES E LINS</t>
        </is>
      </c>
      <c r="D855" s="88">
        <f>IF(B855="Clientes",SUMIFS(PARÂMETROS!$D$8:$D$907,PARÂMETROS!$A$8:$A$907,C855,PARÂMETROS!$G$8:$G$907,J855),SUMIFS(PARÂMETROS!$E$8:$E$907,PARÂMETROS!$A$8:$A$907,C855,PARÂMETROS!$G$8:$G$907,J855))</f>
        <v/>
      </c>
      <c r="E855" s="89">
        <f>SUMIFS(SETORES!$D:$D,SETORES!$A:$A,A855,SETORES!$F:$F,J855)</f>
        <v/>
      </c>
      <c r="F855" s="89">
        <f>IFERROR(D855*E855,0)</f>
        <v/>
      </c>
      <c r="G855" s="88">
        <f>SUMIFS(PARÂMETROS!$F$8:$F$907,PARÂMETROS!$A$8:$A$907,C855,PARÂMETROS!$G$8:$G$907,J855)</f>
        <v/>
      </c>
      <c r="H855" s="89">
        <f>IFERROR(F855*G855,0)</f>
        <v/>
      </c>
      <c r="I855" s="89">
        <f>F855+H855</f>
        <v/>
      </c>
      <c r="J855" s="110" t="inlineStr">
        <is>
          <t>Maio/2026</t>
        </is>
      </c>
    </row>
    <row r="856" ht="14.25" customHeight="1" s="64">
      <c r="A856" s="110" t="inlineStr">
        <is>
          <t>Qualidade</t>
        </is>
      </c>
      <c r="B856" s="110">
        <f>INDEX(SETORES!$B:$B,MATCH(A856,SETORES!$A:$A,0))</f>
        <v/>
      </c>
      <c r="C856" s="110" t="inlineStr">
        <is>
          <t>Empresa Licenciada SOARES E SILVA</t>
        </is>
      </c>
      <c r="D856" s="88">
        <f>IF(B856="Clientes",SUMIFS(PARÂMETROS!$D$8:$D$907,PARÂMETROS!$A$8:$A$907,C856,PARÂMETROS!$G$8:$G$907,J856),SUMIFS(PARÂMETROS!$E$8:$E$907,PARÂMETROS!$A$8:$A$907,C856,PARÂMETROS!$G$8:$G$907,J856))</f>
        <v/>
      </c>
      <c r="E856" s="89">
        <f>SUMIFS(SETORES!$D:$D,SETORES!$A:$A,A856,SETORES!$F:$F,J856)</f>
        <v/>
      </c>
      <c r="F856" s="89">
        <f>IFERROR(D856*E856,0)</f>
        <v/>
      </c>
      <c r="G856" s="88">
        <f>SUMIFS(PARÂMETROS!$F$8:$F$907,PARÂMETROS!$A$8:$A$907,C856,PARÂMETROS!$G$8:$G$907,J856)</f>
        <v/>
      </c>
      <c r="H856" s="89">
        <f>IFERROR(F856*G856,0)</f>
        <v/>
      </c>
      <c r="I856" s="89">
        <f>F856+H856</f>
        <v/>
      </c>
      <c r="J856" s="110" t="inlineStr">
        <is>
          <t>Maio/2026</t>
        </is>
      </c>
    </row>
    <row r="857" ht="14.25" customHeight="1" s="64">
      <c r="A857" s="110" t="inlineStr">
        <is>
          <t>Qualidade</t>
        </is>
      </c>
      <c r="B857" s="110">
        <f>INDEX(SETORES!$B:$B,MATCH(A857,SETORES!$A:$A,0))</f>
        <v/>
      </c>
      <c r="C857" s="110" t="inlineStr">
        <is>
          <t>Empresa Licenciada SOUZA E SILVA</t>
        </is>
      </c>
      <c r="D857" s="88">
        <f>IF(B857="Clientes",SUMIFS(PARÂMETROS!$D$8:$D$907,PARÂMETROS!$A$8:$A$907,C857,PARÂMETROS!$G$8:$G$907,J857),SUMIFS(PARÂMETROS!$E$8:$E$907,PARÂMETROS!$A$8:$A$907,C857,PARÂMETROS!$G$8:$G$907,J857))</f>
        <v/>
      </c>
      <c r="E857" s="89">
        <f>SUMIFS(SETORES!$D:$D,SETORES!$A:$A,A857,SETORES!$F:$F,J857)</f>
        <v/>
      </c>
      <c r="F857" s="89">
        <f>IFERROR(D857*E857,0)</f>
        <v/>
      </c>
      <c r="G857" s="88">
        <f>SUMIFS(PARÂMETROS!$F$8:$F$907,PARÂMETROS!$A$8:$A$907,C857,PARÂMETROS!$G$8:$G$907,J857)</f>
        <v/>
      </c>
      <c r="H857" s="89">
        <f>IFERROR(F857*G857,0)</f>
        <v/>
      </c>
      <c r="I857" s="89">
        <f>F857+H857</f>
        <v/>
      </c>
      <c r="J857" s="110" t="inlineStr">
        <is>
          <t>Maio/2026</t>
        </is>
      </c>
    </row>
    <row r="858" ht="14.25" customHeight="1" s="64">
      <c r="A858" s="110" t="inlineStr">
        <is>
          <t>Qualidade</t>
        </is>
      </c>
      <c r="B858" s="110">
        <f>INDEX(SETORES!$B:$B,MATCH(A858,SETORES!$A:$A,0))</f>
        <v/>
      </c>
      <c r="C858" s="110" t="inlineStr">
        <is>
          <t>Empresa Licenciada VOICENET</t>
        </is>
      </c>
      <c r="D858" s="88">
        <f>IF(B858="Clientes",SUMIFS(PARÂMETROS!$D$8:$D$907,PARÂMETROS!$A$8:$A$907,C858,PARÂMETROS!$G$8:$G$907,J858),SUMIFS(PARÂMETROS!$E$8:$E$907,PARÂMETROS!$A$8:$A$907,C858,PARÂMETROS!$G$8:$G$907,J858))</f>
        <v/>
      </c>
      <c r="E858" s="89">
        <f>SUMIFS(SETORES!$D:$D,SETORES!$A:$A,A858,SETORES!$F:$F,J858)</f>
        <v/>
      </c>
      <c r="F858" s="89">
        <f>IFERROR(D858*E858,0)</f>
        <v/>
      </c>
      <c r="G858" s="88">
        <f>SUMIFS(PARÂMETROS!$F$8:$F$907,PARÂMETROS!$A$8:$A$907,C858,PARÂMETROS!$G$8:$G$907,J858)</f>
        <v/>
      </c>
      <c r="H858" s="89">
        <f>IFERROR(F858*G858,0)</f>
        <v/>
      </c>
      <c r="I858" s="89">
        <f>F858+H858</f>
        <v/>
      </c>
      <c r="J858" s="110" t="inlineStr">
        <is>
          <t>Maio/2026</t>
        </is>
      </c>
    </row>
    <row r="859" ht="14.25" customHeight="1" s="64">
      <c r="A859" s="110" t="inlineStr">
        <is>
          <t>Qualidade</t>
        </is>
      </c>
      <c r="B859" s="110">
        <f>INDEX(SETORES!$B:$B,MATCH(A859,SETORES!$A:$A,0))</f>
        <v/>
      </c>
      <c r="C859" s="110" t="inlineStr">
        <is>
          <t>DTEL (uso próprio)</t>
        </is>
      </c>
      <c r="D859" s="88">
        <f>IF(B859="Clientes",SUMIFS(PARÂMETROS!$D$8:$D$907,PARÂMETROS!$A$8:$A$907,C859,PARÂMETROS!$G$8:$G$907,J859),SUMIFS(PARÂMETROS!$E$8:$E$907,PARÂMETROS!$A$8:$A$907,C859,PARÂMETROS!$G$8:$G$907,J859))</f>
        <v/>
      </c>
      <c r="E859" s="89">
        <f>SUMIFS(SETORES!$D:$D,SETORES!$A:$A,A859,SETORES!$F:$F,J859)</f>
        <v/>
      </c>
      <c r="F859" s="89">
        <f>IFERROR(D859*E859,0)</f>
        <v/>
      </c>
      <c r="G859" s="88">
        <f>SUMIFS(PARÂMETROS!$F$8:$F$907,PARÂMETROS!$A$8:$A$907,C859,PARÂMETROS!$G$8:$G$907,J859)</f>
        <v/>
      </c>
      <c r="H859" s="89">
        <f>IFERROR(F859*G859,0)</f>
        <v/>
      </c>
      <c r="I859" s="89">
        <f>F859+H859</f>
        <v/>
      </c>
      <c r="J859" s="110" t="inlineStr">
        <is>
          <t>Maio/2026</t>
        </is>
      </c>
    </row>
    <row r="860" ht="14.25" customHeight="1" s="64">
      <c r="A860" s="110" t="inlineStr">
        <is>
          <t>Qualidade</t>
        </is>
      </c>
      <c r="B860" s="110">
        <f>INDEX(SETORES!$B:$B,MATCH(A860,SETORES!$A:$A,0))</f>
        <v/>
      </c>
      <c r="C860" s="110" t="inlineStr">
        <is>
          <t>Empresa Licenciada DX2</t>
        </is>
      </c>
      <c r="D860" s="88">
        <f>IF(B860="Clientes",SUMIFS(PARÂMETROS!$D$8:$D$907,PARÂMETROS!$A$8:$A$907,C860,PARÂMETROS!$G$8:$G$907,J860),SUMIFS(PARÂMETROS!$E$8:$E$907,PARÂMETROS!$A$8:$A$907,C860,PARÂMETROS!$G$8:$G$907,J860))</f>
        <v/>
      </c>
      <c r="E860" s="89">
        <f>SUMIFS(SETORES!$D:$D,SETORES!$A:$A,A860,SETORES!$F:$F,J860)</f>
        <v/>
      </c>
      <c r="F860" s="89">
        <f>IFERROR(D860*E860,0)</f>
        <v/>
      </c>
      <c r="G860" s="88">
        <f>SUMIFS(PARÂMETROS!$F$8:$F$907,PARÂMETROS!$A$8:$A$907,C860,PARÂMETROS!$G$8:$G$907,J860)</f>
        <v/>
      </c>
      <c r="H860" s="89">
        <f>IFERROR(F860*G860,0)</f>
        <v/>
      </c>
      <c r="I860" s="89">
        <f>F860+H860</f>
        <v/>
      </c>
      <c r="J860" s="110" t="inlineStr">
        <is>
          <t>Junho/2026</t>
        </is>
      </c>
    </row>
    <row r="861" ht="14.25" customHeight="1" s="64">
      <c r="A861" s="110" t="inlineStr">
        <is>
          <t>Qualidade</t>
        </is>
      </c>
      <c r="B861" s="110">
        <f>INDEX(SETORES!$B:$B,MATCH(A861,SETORES!$A:$A,0))</f>
        <v/>
      </c>
      <c r="C861" s="110" t="inlineStr">
        <is>
          <t>Empresa Licenciada H&amp;A</t>
        </is>
      </c>
      <c r="D861" s="88">
        <f>IF(B861="Clientes",SUMIFS(PARÂMETROS!$D$8:$D$907,PARÂMETROS!$A$8:$A$907,C861,PARÂMETROS!$G$8:$G$907,J861),SUMIFS(PARÂMETROS!$E$8:$E$907,PARÂMETROS!$A$8:$A$907,C861,PARÂMETROS!$G$8:$G$907,J861))</f>
        <v/>
      </c>
      <c r="E861" s="89">
        <f>SUMIFS(SETORES!$D:$D,SETORES!$A:$A,A861,SETORES!$F:$F,J861)</f>
        <v/>
      </c>
      <c r="F861" s="89">
        <f>IFERROR(D861*E861,0)</f>
        <v/>
      </c>
      <c r="G861" s="88">
        <f>SUMIFS(PARÂMETROS!$F$8:$F$907,PARÂMETROS!$A$8:$A$907,C861,PARÂMETROS!$G$8:$G$907,J861)</f>
        <v/>
      </c>
      <c r="H861" s="89">
        <f>IFERROR(F861*G861,0)</f>
        <v/>
      </c>
      <c r="I861" s="89">
        <f>F861+H861</f>
        <v/>
      </c>
      <c r="J861" s="110" t="inlineStr">
        <is>
          <t>Junho/2026</t>
        </is>
      </c>
    </row>
    <row r="862" ht="14.25" customHeight="1" s="64">
      <c r="A862" s="110" t="inlineStr">
        <is>
          <t>Qualidade</t>
        </is>
      </c>
      <c r="B862" s="110">
        <f>INDEX(SETORES!$B:$B,MATCH(A862,SETORES!$A:$A,0))</f>
        <v/>
      </c>
      <c r="C862" s="110" t="inlineStr">
        <is>
          <t>Empresa Licenciada SOLON ARAUJO</t>
        </is>
      </c>
      <c r="D862" s="88">
        <f>IF(B862="Clientes",SUMIFS(PARÂMETROS!$D$8:$D$907,PARÂMETROS!$A$8:$A$907,C862,PARÂMETROS!$G$8:$G$907,J862),SUMIFS(PARÂMETROS!$E$8:$E$907,PARÂMETROS!$A$8:$A$907,C862,PARÂMETROS!$G$8:$G$907,J862))</f>
        <v/>
      </c>
      <c r="E862" s="89">
        <f>SUMIFS(SETORES!$D:$D,SETORES!$A:$A,A862,SETORES!$F:$F,J862)</f>
        <v/>
      </c>
      <c r="F862" s="89">
        <f>IFERROR(D862*E862,0)</f>
        <v/>
      </c>
      <c r="G862" s="88">
        <f>SUMIFS(PARÂMETROS!$F$8:$F$907,PARÂMETROS!$A$8:$A$907,C862,PARÂMETROS!$G$8:$G$907,J862)</f>
        <v/>
      </c>
      <c r="H862" s="89">
        <f>IFERROR(F862*G862,0)</f>
        <v/>
      </c>
      <c r="I862" s="89">
        <f>F862+H862</f>
        <v/>
      </c>
      <c r="J862" s="110" t="inlineStr">
        <is>
          <t>Junho/2026</t>
        </is>
      </c>
    </row>
    <row r="863" ht="14.25" customHeight="1" s="64">
      <c r="A863" s="110" t="inlineStr">
        <is>
          <t>Qualidade</t>
        </is>
      </c>
      <c r="B863" s="110">
        <f>INDEX(SETORES!$B:$B,MATCH(A863,SETORES!$A:$A,0))</f>
        <v/>
      </c>
      <c r="C863" s="110" t="inlineStr">
        <is>
          <t>Empresa Licenciada SOARES E LINS</t>
        </is>
      </c>
      <c r="D863" s="88">
        <f>IF(B863="Clientes",SUMIFS(PARÂMETROS!$D$8:$D$907,PARÂMETROS!$A$8:$A$907,C863,PARÂMETROS!$G$8:$G$907,J863),SUMIFS(PARÂMETROS!$E$8:$E$907,PARÂMETROS!$A$8:$A$907,C863,PARÂMETROS!$G$8:$G$907,J863))</f>
        <v/>
      </c>
      <c r="E863" s="89">
        <f>SUMIFS(SETORES!$D:$D,SETORES!$A:$A,A863,SETORES!$F:$F,J863)</f>
        <v/>
      </c>
      <c r="F863" s="89">
        <f>IFERROR(D863*E863,0)</f>
        <v/>
      </c>
      <c r="G863" s="88">
        <f>SUMIFS(PARÂMETROS!$F$8:$F$907,PARÂMETROS!$A$8:$A$907,C863,PARÂMETROS!$G$8:$G$907,J863)</f>
        <v/>
      </c>
      <c r="H863" s="89">
        <f>IFERROR(F863*G863,0)</f>
        <v/>
      </c>
      <c r="I863" s="89">
        <f>F863+H863</f>
        <v/>
      </c>
      <c r="J863" s="110" t="inlineStr">
        <is>
          <t>Junho/2026</t>
        </is>
      </c>
    </row>
    <row r="864" ht="14.25" customHeight="1" s="64">
      <c r="A864" s="110" t="inlineStr">
        <is>
          <t>Qualidade</t>
        </is>
      </c>
      <c r="B864" s="110">
        <f>INDEX(SETORES!$B:$B,MATCH(A864,SETORES!$A:$A,0))</f>
        <v/>
      </c>
      <c r="C864" s="110" t="inlineStr">
        <is>
          <t>Empresa Licenciada SOARES E SILVA</t>
        </is>
      </c>
      <c r="D864" s="88">
        <f>IF(B864="Clientes",SUMIFS(PARÂMETROS!$D$8:$D$907,PARÂMETROS!$A$8:$A$907,C864,PARÂMETROS!$G$8:$G$907,J864),SUMIFS(PARÂMETROS!$E$8:$E$907,PARÂMETROS!$A$8:$A$907,C864,PARÂMETROS!$G$8:$G$907,J864))</f>
        <v/>
      </c>
      <c r="E864" s="89">
        <f>SUMIFS(SETORES!$D:$D,SETORES!$A:$A,A864,SETORES!$F:$F,J864)</f>
        <v/>
      </c>
      <c r="F864" s="89">
        <f>IFERROR(D864*E864,0)</f>
        <v/>
      </c>
      <c r="G864" s="88">
        <f>SUMIFS(PARÂMETROS!$F$8:$F$907,PARÂMETROS!$A$8:$A$907,C864,PARÂMETROS!$G$8:$G$907,J864)</f>
        <v/>
      </c>
      <c r="H864" s="89">
        <f>IFERROR(F864*G864,0)</f>
        <v/>
      </c>
      <c r="I864" s="89">
        <f>F864+H864</f>
        <v/>
      </c>
      <c r="J864" s="110" t="inlineStr">
        <is>
          <t>Junho/2026</t>
        </is>
      </c>
    </row>
    <row r="865" ht="14.25" customHeight="1" s="64">
      <c r="A865" s="110" t="inlineStr">
        <is>
          <t>Qualidade</t>
        </is>
      </c>
      <c r="B865" s="110">
        <f>INDEX(SETORES!$B:$B,MATCH(A865,SETORES!$A:$A,0))</f>
        <v/>
      </c>
      <c r="C865" s="110" t="inlineStr">
        <is>
          <t>Empresa Licenciada SOUZA E SILVA</t>
        </is>
      </c>
      <c r="D865" s="88">
        <f>IF(B865="Clientes",SUMIFS(PARÂMETROS!$D$8:$D$907,PARÂMETROS!$A$8:$A$907,C865,PARÂMETROS!$G$8:$G$907,J865),SUMIFS(PARÂMETROS!$E$8:$E$907,PARÂMETROS!$A$8:$A$907,C865,PARÂMETROS!$G$8:$G$907,J865))</f>
        <v/>
      </c>
      <c r="E865" s="89">
        <f>SUMIFS(SETORES!$D:$D,SETORES!$A:$A,A865,SETORES!$F:$F,J865)</f>
        <v/>
      </c>
      <c r="F865" s="89">
        <f>IFERROR(D865*E865,0)</f>
        <v/>
      </c>
      <c r="G865" s="88">
        <f>SUMIFS(PARÂMETROS!$F$8:$F$907,PARÂMETROS!$A$8:$A$907,C865,PARÂMETROS!$G$8:$G$907,J865)</f>
        <v/>
      </c>
      <c r="H865" s="89">
        <f>IFERROR(F865*G865,0)</f>
        <v/>
      </c>
      <c r="I865" s="89">
        <f>F865+H865</f>
        <v/>
      </c>
      <c r="J865" s="110" t="inlineStr">
        <is>
          <t>Junho/2026</t>
        </is>
      </c>
    </row>
    <row r="866" ht="14.25" customHeight="1" s="64">
      <c r="A866" s="110" t="inlineStr">
        <is>
          <t>Qualidade</t>
        </is>
      </c>
      <c r="B866" s="110">
        <f>INDEX(SETORES!$B:$B,MATCH(A866,SETORES!$A:$A,0))</f>
        <v/>
      </c>
      <c r="C866" s="110" t="inlineStr">
        <is>
          <t>Empresa Licenciada VOICENET</t>
        </is>
      </c>
      <c r="D866" s="88">
        <f>IF(B866="Clientes",SUMIFS(PARÂMETROS!$D$8:$D$907,PARÂMETROS!$A$8:$A$907,C866,PARÂMETROS!$G$8:$G$907,J866),SUMIFS(PARÂMETROS!$E$8:$E$907,PARÂMETROS!$A$8:$A$907,C866,PARÂMETROS!$G$8:$G$907,J866))</f>
        <v/>
      </c>
      <c r="E866" s="89">
        <f>SUMIFS(SETORES!$D:$D,SETORES!$A:$A,A866,SETORES!$F:$F,J866)</f>
        <v/>
      </c>
      <c r="F866" s="89">
        <f>IFERROR(D866*E866,0)</f>
        <v/>
      </c>
      <c r="G866" s="88">
        <f>SUMIFS(PARÂMETROS!$F$8:$F$907,PARÂMETROS!$A$8:$A$907,C866,PARÂMETROS!$G$8:$G$907,J866)</f>
        <v/>
      </c>
      <c r="H866" s="89">
        <f>IFERROR(F866*G866,0)</f>
        <v/>
      </c>
      <c r="I866" s="89">
        <f>F866+H866</f>
        <v/>
      </c>
      <c r="J866" s="110" t="inlineStr">
        <is>
          <t>Junho/2026</t>
        </is>
      </c>
    </row>
    <row r="867" ht="14.25" customHeight="1" s="64">
      <c r="A867" s="110" t="inlineStr">
        <is>
          <t>Qualidade</t>
        </is>
      </c>
      <c r="B867" s="110">
        <f>INDEX(SETORES!$B:$B,MATCH(A867,SETORES!$A:$A,0))</f>
        <v/>
      </c>
      <c r="C867" s="110" t="inlineStr">
        <is>
          <t>DTEL (uso próprio)</t>
        </is>
      </c>
      <c r="D867" s="88">
        <f>IF(B867="Clientes",SUMIFS(PARÂMETROS!$D$8:$D$907,PARÂMETROS!$A$8:$A$907,C867,PARÂMETROS!$G$8:$G$907,J867),SUMIFS(PARÂMETROS!$E$8:$E$907,PARÂMETROS!$A$8:$A$907,C867,PARÂMETROS!$G$8:$G$907,J867))</f>
        <v/>
      </c>
      <c r="E867" s="89">
        <f>SUMIFS(SETORES!$D:$D,SETORES!$A:$A,A867,SETORES!$F:$F,J867)</f>
        <v/>
      </c>
      <c r="F867" s="89">
        <f>IFERROR(D867*E867,0)</f>
        <v/>
      </c>
      <c r="G867" s="88">
        <f>SUMIFS(PARÂMETROS!$F$8:$F$907,PARÂMETROS!$A$8:$A$907,C867,PARÂMETROS!$G$8:$G$907,J867)</f>
        <v/>
      </c>
      <c r="H867" s="89">
        <f>IFERROR(F867*G867,0)</f>
        <v/>
      </c>
      <c r="I867" s="89">
        <f>F867+H867</f>
        <v/>
      </c>
      <c r="J867" s="110" t="inlineStr">
        <is>
          <t>Junho/2026</t>
        </is>
      </c>
    </row>
    <row r="868" ht="14.25" customHeight="1" s="64">
      <c r="A868" s="110" t="inlineStr">
        <is>
          <t>Qualidade</t>
        </is>
      </c>
      <c r="B868" s="110">
        <f>INDEX(SETORES!$B:$B,MATCH(A868,SETORES!$A:$A,0))</f>
        <v/>
      </c>
      <c r="C868" s="110" t="inlineStr">
        <is>
          <t>Empresa Licenciada DX2</t>
        </is>
      </c>
      <c r="D868" s="88">
        <f>IF(B868="Clientes",SUMIFS(PARÂMETROS!$D$8:$D$907,PARÂMETROS!$A$8:$A$907,C868,PARÂMETROS!$G$8:$G$907,J868),SUMIFS(PARÂMETROS!$E$8:$E$907,PARÂMETROS!$A$8:$A$907,C868,PARÂMETROS!$G$8:$G$907,J868))</f>
        <v/>
      </c>
      <c r="E868" s="89">
        <f>SUMIFS(SETORES!$D:$D,SETORES!$A:$A,A868,SETORES!$F:$F,J868)</f>
        <v/>
      </c>
      <c r="F868" s="89">
        <f>IFERROR(D868*E868,0)</f>
        <v/>
      </c>
      <c r="G868" s="88">
        <f>SUMIFS(PARÂMETROS!$F$8:$F$907,PARÂMETROS!$A$8:$A$907,C868,PARÂMETROS!$G$8:$G$907,J868)</f>
        <v/>
      </c>
      <c r="H868" s="89">
        <f>IFERROR(F868*G868,0)</f>
        <v/>
      </c>
      <c r="I868" s="89">
        <f>F868+H868</f>
        <v/>
      </c>
      <c r="J868" s="110" t="inlineStr">
        <is>
          <t>Julho/2026</t>
        </is>
      </c>
    </row>
    <row r="869" ht="14.25" customHeight="1" s="64">
      <c r="A869" s="110" t="inlineStr">
        <is>
          <t>Qualidade</t>
        </is>
      </c>
      <c r="B869" s="110">
        <f>INDEX(SETORES!$B:$B,MATCH(A869,SETORES!$A:$A,0))</f>
        <v/>
      </c>
      <c r="C869" s="110" t="inlineStr">
        <is>
          <t>Empresa Licenciada H&amp;A</t>
        </is>
      </c>
      <c r="D869" s="88">
        <f>IF(B869="Clientes",SUMIFS(PARÂMETROS!$D$8:$D$907,PARÂMETROS!$A$8:$A$907,C869,PARÂMETROS!$G$8:$G$907,J869),SUMIFS(PARÂMETROS!$E$8:$E$907,PARÂMETROS!$A$8:$A$907,C869,PARÂMETROS!$G$8:$G$907,J869))</f>
        <v/>
      </c>
      <c r="E869" s="89">
        <f>SUMIFS(SETORES!$D:$D,SETORES!$A:$A,A869,SETORES!$F:$F,J869)</f>
        <v/>
      </c>
      <c r="F869" s="89">
        <f>IFERROR(D869*E869,0)</f>
        <v/>
      </c>
      <c r="G869" s="88">
        <f>SUMIFS(PARÂMETROS!$F$8:$F$907,PARÂMETROS!$A$8:$A$907,C869,PARÂMETROS!$G$8:$G$907,J869)</f>
        <v/>
      </c>
      <c r="H869" s="89">
        <f>IFERROR(F869*G869,0)</f>
        <v/>
      </c>
      <c r="I869" s="89">
        <f>F869+H869</f>
        <v/>
      </c>
      <c r="J869" s="110" t="inlineStr">
        <is>
          <t>Julho/2026</t>
        </is>
      </c>
    </row>
    <row r="870" ht="14.25" customHeight="1" s="64">
      <c r="A870" s="110" t="inlineStr">
        <is>
          <t>Qualidade</t>
        </is>
      </c>
      <c r="B870" s="110">
        <f>INDEX(SETORES!$B:$B,MATCH(A870,SETORES!$A:$A,0))</f>
        <v/>
      </c>
      <c r="C870" s="110" t="inlineStr">
        <is>
          <t>Empresa Licenciada SOLON ARAUJO</t>
        </is>
      </c>
      <c r="D870" s="88">
        <f>IF(B870="Clientes",SUMIFS(PARÂMETROS!$D$8:$D$907,PARÂMETROS!$A$8:$A$907,C870,PARÂMETROS!$G$8:$G$907,J870),SUMIFS(PARÂMETROS!$E$8:$E$907,PARÂMETROS!$A$8:$A$907,C870,PARÂMETROS!$G$8:$G$907,J870))</f>
        <v/>
      </c>
      <c r="E870" s="89">
        <f>SUMIFS(SETORES!$D:$D,SETORES!$A:$A,A870,SETORES!$F:$F,J870)</f>
        <v/>
      </c>
      <c r="F870" s="89">
        <f>IFERROR(D870*E870,0)</f>
        <v/>
      </c>
      <c r="G870" s="88">
        <f>SUMIFS(PARÂMETROS!$F$8:$F$907,PARÂMETROS!$A$8:$A$907,C870,PARÂMETROS!$G$8:$G$907,J870)</f>
        <v/>
      </c>
      <c r="H870" s="89">
        <f>IFERROR(F870*G870,0)</f>
        <v/>
      </c>
      <c r="I870" s="89">
        <f>F870+H870</f>
        <v/>
      </c>
      <c r="J870" s="110" t="inlineStr">
        <is>
          <t>Julho/2026</t>
        </is>
      </c>
    </row>
    <row r="871" ht="14.25" customHeight="1" s="64">
      <c r="A871" s="110" t="inlineStr">
        <is>
          <t>Qualidade</t>
        </is>
      </c>
      <c r="B871" s="110">
        <f>INDEX(SETORES!$B:$B,MATCH(A871,SETORES!$A:$A,0))</f>
        <v/>
      </c>
      <c r="C871" s="110" t="inlineStr">
        <is>
          <t>Empresa Licenciada SOARES E LINS</t>
        </is>
      </c>
      <c r="D871" s="88">
        <f>IF(B871="Clientes",SUMIFS(PARÂMETROS!$D$8:$D$907,PARÂMETROS!$A$8:$A$907,C871,PARÂMETROS!$G$8:$G$907,J871),SUMIFS(PARÂMETROS!$E$8:$E$907,PARÂMETROS!$A$8:$A$907,C871,PARÂMETROS!$G$8:$G$907,J871))</f>
        <v/>
      </c>
      <c r="E871" s="89">
        <f>SUMIFS(SETORES!$D:$D,SETORES!$A:$A,A871,SETORES!$F:$F,J871)</f>
        <v/>
      </c>
      <c r="F871" s="89">
        <f>IFERROR(D871*E871,0)</f>
        <v/>
      </c>
      <c r="G871" s="88">
        <f>SUMIFS(PARÂMETROS!$F$8:$F$907,PARÂMETROS!$A$8:$A$907,C871,PARÂMETROS!$G$8:$G$907,J871)</f>
        <v/>
      </c>
      <c r="H871" s="89">
        <f>IFERROR(F871*G871,0)</f>
        <v/>
      </c>
      <c r="I871" s="89">
        <f>F871+H871</f>
        <v/>
      </c>
      <c r="J871" s="110" t="inlineStr">
        <is>
          <t>Julho/2026</t>
        </is>
      </c>
    </row>
    <row r="872" ht="14.25" customHeight="1" s="64">
      <c r="A872" s="110" t="inlineStr">
        <is>
          <t>Qualidade</t>
        </is>
      </c>
      <c r="B872" s="110">
        <f>INDEX(SETORES!$B:$B,MATCH(A872,SETORES!$A:$A,0))</f>
        <v/>
      </c>
      <c r="C872" s="110" t="inlineStr">
        <is>
          <t>Empresa Licenciada SOARES E SILVA</t>
        </is>
      </c>
      <c r="D872" s="88">
        <f>IF(B872="Clientes",SUMIFS(PARÂMETROS!$D$8:$D$907,PARÂMETROS!$A$8:$A$907,C872,PARÂMETROS!$G$8:$G$907,J872),SUMIFS(PARÂMETROS!$E$8:$E$907,PARÂMETROS!$A$8:$A$907,C872,PARÂMETROS!$G$8:$G$907,J872))</f>
        <v/>
      </c>
      <c r="E872" s="89">
        <f>SUMIFS(SETORES!$D:$D,SETORES!$A:$A,A872,SETORES!$F:$F,J872)</f>
        <v/>
      </c>
      <c r="F872" s="89">
        <f>IFERROR(D872*E872,0)</f>
        <v/>
      </c>
      <c r="G872" s="88">
        <f>SUMIFS(PARÂMETROS!$F$8:$F$907,PARÂMETROS!$A$8:$A$907,C872,PARÂMETROS!$G$8:$G$907,J872)</f>
        <v/>
      </c>
      <c r="H872" s="89">
        <f>IFERROR(F872*G872,0)</f>
        <v/>
      </c>
      <c r="I872" s="89">
        <f>F872+H872</f>
        <v/>
      </c>
      <c r="J872" s="110" t="inlineStr">
        <is>
          <t>Julho/2026</t>
        </is>
      </c>
    </row>
    <row r="873" ht="14.25" customHeight="1" s="64">
      <c r="A873" s="110" t="inlineStr">
        <is>
          <t>Qualidade</t>
        </is>
      </c>
      <c r="B873" s="110">
        <f>INDEX(SETORES!$B:$B,MATCH(A873,SETORES!$A:$A,0))</f>
        <v/>
      </c>
      <c r="C873" s="110" t="inlineStr">
        <is>
          <t>Empresa Licenciada SOUZA E SILVA</t>
        </is>
      </c>
      <c r="D873" s="88">
        <f>IF(B873="Clientes",SUMIFS(PARÂMETROS!$D$8:$D$907,PARÂMETROS!$A$8:$A$907,C873,PARÂMETROS!$G$8:$G$907,J873),SUMIFS(PARÂMETROS!$E$8:$E$907,PARÂMETROS!$A$8:$A$907,C873,PARÂMETROS!$G$8:$G$907,J873))</f>
        <v/>
      </c>
      <c r="E873" s="89">
        <f>SUMIFS(SETORES!$D:$D,SETORES!$A:$A,A873,SETORES!$F:$F,J873)</f>
        <v/>
      </c>
      <c r="F873" s="89">
        <f>IFERROR(D873*E873,0)</f>
        <v/>
      </c>
      <c r="G873" s="88">
        <f>SUMIFS(PARÂMETROS!$F$8:$F$907,PARÂMETROS!$A$8:$A$907,C873,PARÂMETROS!$G$8:$G$907,J873)</f>
        <v/>
      </c>
      <c r="H873" s="89">
        <f>IFERROR(F873*G873,0)</f>
        <v/>
      </c>
      <c r="I873" s="89">
        <f>F873+H873</f>
        <v/>
      </c>
      <c r="J873" s="110" t="inlineStr">
        <is>
          <t>Julho/2026</t>
        </is>
      </c>
    </row>
    <row r="874" ht="14.25" customHeight="1" s="64">
      <c r="A874" s="110" t="inlineStr">
        <is>
          <t>Qualidade</t>
        </is>
      </c>
      <c r="B874" s="110">
        <f>INDEX(SETORES!$B:$B,MATCH(A874,SETORES!$A:$A,0))</f>
        <v/>
      </c>
      <c r="C874" s="110" t="inlineStr">
        <is>
          <t>Empresa Licenciada VOICENET</t>
        </is>
      </c>
      <c r="D874" s="88">
        <f>IF(B874="Clientes",SUMIFS(PARÂMETROS!$D$8:$D$907,PARÂMETROS!$A$8:$A$907,C874,PARÂMETROS!$G$8:$G$907,J874),SUMIFS(PARÂMETROS!$E$8:$E$907,PARÂMETROS!$A$8:$A$907,C874,PARÂMETROS!$G$8:$G$907,J874))</f>
        <v/>
      </c>
      <c r="E874" s="89">
        <f>SUMIFS(SETORES!$D:$D,SETORES!$A:$A,A874,SETORES!$F:$F,J874)</f>
        <v/>
      </c>
      <c r="F874" s="89">
        <f>IFERROR(D874*E874,0)</f>
        <v/>
      </c>
      <c r="G874" s="88">
        <f>SUMIFS(PARÂMETROS!$F$8:$F$907,PARÂMETROS!$A$8:$A$907,C874,PARÂMETROS!$G$8:$G$907,J874)</f>
        <v/>
      </c>
      <c r="H874" s="89">
        <f>IFERROR(F874*G874,0)</f>
        <v/>
      </c>
      <c r="I874" s="89">
        <f>F874+H874</f>
        <v/>
      </c>
      <c r="J874" s="110" t="inlineStr">
        <is>
          <t>Julho/2026</t>
        </is>
      </c>
    </row>
    <row r="875" ht="14.25" customHeight="1" s="64">
      <c r="A875" s="110" t="inlineStr">
        <is>
          <t>Qualidade</t>
        </is>
      </c>
      <c r="B875" s="110">
        <f>INDEX(SETORES!$B:$B,MATCH(A875,SETORES!$A:$A,0))</f>
        <v/>
      </c>
      <c r="C875" s="110" t="inlineStr">
        <is>
          <t>DTEL (uso próprio)</t>
        </is>
      </c>
      <c r="D875" s="88">
        <f>IF(B875="Clientes",SUMIFS(PARÂMETROS!$D$8:$D$907,PARÂMETROS!$A$8:$A$907,C875,PARÂMETROS!$G$8:$G$907,J875),SUMIFS(PARÂMETROS!$E$8:$E$907,PARÂMETROS!$A$8:$A$907,C875,PARÂMETROS!$G$8:$G$907,J875))</f>
        <v/>
      </c>
      <c r="E875" s="89">
        <f>SUMIFS(SETORES!$D:$D,SETORES!$A:$A,A875,SETORES!$F:$F,J875)</f>
        <v/>
      </c>
      <c r="F875" s="89">
        <f>IFERROR(D875*E875,0)</f>
        <v/>
      </c>
      <c r="G875" s="88">
        <f>SUMIFS(PARÂMETROS!$F$8:$F$907,PARÂMETROS!$A$8:$A$907,C875,PARÂMETROS!$G$8:$G$907,J875)</f>
        <v/>
      </c>
      <c r="H875" s="89">
        <f>IFERROR(F875*G875,0)</f>
        <v/>
      </c>
      <c r="I875" s="89">
        <f>F875+H875</f>
        <v/>
      </c>
      <c r="J875" s="110" t="inlineStr">
        <is>
          <t>Julho/2026</t>
        </is>
      </c>
    </row>
    <row r="876" ht="14.25" customHeight="1" s="64">
      <c r="A876" s="110" t="inlineStr">
        <is>
          <t>TIC</t>
        </is>
      </c>
      <c r="B876" s="110">
        <f>INDEX(SETORES!$B:$B,MATCH(A876,SETORES!$A:$A,0))</f>
        <v/>
      </c>
      <c r="C876" s="110" t="inlineStr">
        <is>
          <t>Empresa Licenciada DX2</t>
        </is>
      </c>
      <c r="D876" s="88">
        <f>IF(B876="Clientes",SUMIFS(PARÂMETROS!$D$8:$D$907,PARÂMETROS!$A$8:$A$907,C876,PARÂMETROS!$G$8:$G$907,J876),SUMIFS(PARÂMETROS!$E$8:$E$907,PARÂMETROS!$A$8:$A$907,C876,PARÂMETROS!$G$8:$G$907,J876))</f>
        <v/>
      </c>
      <c r="E876" s="89">
        <f>SUMIFS(SETORES!$D:$D,SETORES!$A:$A,A876,SETORES!$F:$F,J876)</f>
        <v/>
      </c>
      <c r="F876" s="89">
        <f>IFERROR(D876*E876,0)</f>
        <v/>
      </c>
      <c r="G876" s="88">
        <f>SUMIFS(PARÂMETROS!$F$8:$F$907,PARÂMETROS!$A$8:$A$907,C876,PARÂMETROS!$G$8:$G$907,J876)</f>
        <v/>
      </c>
      <c r="H876" s="89">
        <f>IFERROR(F876*G876,0)</f>
        <v/>
      </c>
      <c r="I876" s="89">
        <f>F876+H876</f>
        <v/>
      </c>
      <c r="J876" s="110" t="inlineStr">
        <is>
          <t>Maio/2026</t>
        </is>
      </c>
    </row>
    <row r="877" ht="14.25" customHeight="1" s="64">
      <c r="A877" s="110" t="inlineStr">
        <is>
          <t>TIC</t>
        </is>
      </c>
      <c r="B877" s="110">
        <f>INDEX(SETORES!$B:$B,MATCH(A877,SETORES!$A:$A,0))</f>
        <v/>
      </c>
      <c r="C877" s="110" t="inlineStr">
        <is>
          <t>Empresa Licenciada H&amp;A</t>
        </is>
      </c>
      <c r="D877" s="88">
        <f>IF(B877="Clientes",SUMIFS(PARÂMETROS!$D$8:$D$907,PARÂMETROS!$A$8:$A$907,C877,PARÂMETROS!$G$8:$G$907,J877),SUMIFS(PARÂMETROS!$E$8:$E$907,PARÂMETROS!$A$8:$A$907,C877,PARÂMETROS!$G$8:$G$907,J877))</f>
        <v/>
      </c>
      <c r="E877" s="89">
        <f>SUMIFS(SETORES!$D:$D,SETORES!$A:$A,A877,SETORES!$F:$F,J877)</f>
        <v/>
      </c>
      <c r="F877" s="89">
        <f>IFERROR(D877*E877,0)</f>
        <v/>
      </c>
      <c r="G877" s="88">
        <f>SUMIFS(PARÂMETROS!$F$8:$F$907,PARÂMETROS!$A$8:$A$907,C877,PARÂMETROS!$G$8:$G$907,J877)</f>
        <v/>
      </c>
      <c r="H877" s="89">
        <f>IFERROR(F877*G877,0)</f>
        <v/>
      </c>
      <c r="I877" s="89">
        <f>F877+H877</f>
        <v/>
      </c>
      <c r="J877" s="110" t="inlineStr">
        <is>
          <t>Maio/2026</t>
        </is>
      </c>
    </row>
    <row r="878" ht="14.25" customHeight="1" s="64">
      <c r="A878" s="110" t="inlineStr">
        <is>
          <t>TIC</t>
        </is>
      </c>
      <c r="B878" s="110">
        <f>INDEX(SETORES!$B:$B,MATCH(A878,SETORES!$A:$A,0))</f>
        <v/>
      </c>
      <c r="C878" s="110" t="inlineStr">
        <is>
          <t>Empresa Licenciada SOLON ARAUJO</t>
        </is>
      </c>
      <c r="D878" s="88">
        <f>IF(B878="Clientes",SUMIFS(PARÂMETROS!$D$8:$D$907,PARÂMETROS!$A$8:$A$907,C878,PARÂMETROS!$G$8:$G$907,J878),SUMIFS(PARÂMETROS!$E$8:$E$907,PARÂMETROS!$A$8:$A$907,C878,PARÂMETROS!$G$8:$G$907,J878))</f>
        <v/>
      </c>
      <c r="E878" s="89">
        <f>SUMIFS(SETORES!$D:$D,SETORES!$A:$A,A878,SETORES!$F:$F,J878)</f>
        <v/>
      </c>
      <c r="F878" s="89">
        <f>IFERROR(D878*E878,0)</f>
        <v/>
      </c>
      <c r="G878" s="88">
        <f>SUMIFS(PARÂMETROS!$F$8:$F$907,PARÂMETROS!$A$8:$A$907,C878,PARÂMETROS!$G$8:$G$907,J878)</f>
        <v/>
      </c>
      <c r="H878" s="89">
        <f>IFERROR(F878*G878,0)</f>
        <v/>
      </c>
      <c r="I878" s="89">
        <f>F878+H878</f>
        <v/>
      </c>
      <c r="J878" s="110" t="inlineStr">
        <is>
          <t>Maio/2026</t>
        </is>
      </c>
    </row>
    <row r="879" ht="14.25" customHeight="1" s="64">
      <c r="A879" s="110" t="inlineStr">
        <is>
          <t>TIC</t>
        </is>
      </c>
      <c r="B879" s="110">
        <f>INDEX(SETORES!$B:$B,MATCH(A879,SETORES!$A:$A,0))</f>
        <v/>
      </c>
      <c r="C879" s="110" t="inlineStr">
        <is>
          <t>Empresa Licenciada SOARES E LINS</t>
        </is>
      </c>
      <c r="D879" s="88">
        <f>IF(B879="Clientes",SUMIFS(PARÂMETROS!$D$8:$D$907,PARÂMETROS!$A$8:$A$907,C879,PARÂMETROS!$G$8:$G$907,J879),SUMIFS(PARÂMETROS!$E$8:$E$907,PARÂMETROS!$A$8:$A$907,C879,PARÂMETROS!$G$8:$G$907,J879))</f>
        <v/>
      </c>
      <c r="E879" s="89">
        <f>SUMIFS(SETORES!$D:$D,SETORES!$A:$A,A879,SETORES!$F:$F,J879)</f>
        <v/>
      </c>
      <c r="F879" s="89">
        <f>IFERROR(D879*E879,0)</f>
        <v/>
      </c>
      <c r="G879" s="88">
        <f>SUMIFS(PARÂMETROS!$F$8:$F$907,PARÂMETROS!$A$8:$A$907,C879,PARÂMETROS!$G$8:$G$907,J879)</f>
        <v/>
      </c>
      <c r="H879" s="89">
        <f>IFERROR(F879*G879,0)</f>
        <v/>
      </c>
      <c r="I879" s="89">
        <f>F879+H879</f>
        <v/>
      </c>
      <c r="J879" s="110" t="inlineStr">
        <is>
          <t>Maio/2026</t>
        </is>
      </c>
    </row>
    <row r="880" ht="14.25" customHeight="1" s="64">
      <c r="A880" s="110" t="inlineStr">
        <is>
          <t>TIC</t>
        </is>
      </c>
      <c r="B880" s="110">
        <f>INDEX(SETORES!$B:$B,MATCH(A880,SETORES!$A:$A,0))</f>
        <v/>
      </c>
      <c r="C880" s="110" t="inlineStr">
        <is>
          <t>Empresa Licenciada SOARES E SILVA</t>
        </is>
      </c>
      <c r="D880" s="88">
        <f>IF(B880="Clientes",SUMIFS(PARÂMETROS!$D$8:$D$907,PARÂMETROS!$A$8:$A$907,C880,PARÂMETROS!$G$8:$G$907,J880),SUMIFS(PARÂMETROS!$E$8:$E$907,PARÂMETROS!$A$8:$A$907,C880,PARÂMETROS!$G$8:$G$907,J880))</f>
        <v/>
      </c>
      <c r="E880" s="89">
        <f>SUMIFS(SETORES!$D:$D,SETORES!$A:$A,A880,SETORES!$F:$F,J880)</f>
        <v/>
      </c>
      <c r="F880" s="89">
        <f>IFERROR(D880*E880,0)</f>
        <v/>
      </c>
      <c r="G880" s="88">
        <f>SUMIFS(PARÂMETROS!$F$8:$F$907,PARÂMETROS!$A$8:$A$907,C880,PARÂMETROS!$G$8:$G$907,J880)</f>
        <v/>
      </c>
      <c r="H880" s="89">
        <f>IFERROR(F880*G880,0)</f>
        <v/>
      </c>
      <c r="I880" s="89">
        <f>F880+H880</f>
        <v/>
      </c>
      <c r="J880" s="110" t="inlineStr">
        <is>
          <t>Maio/2026</t>
        </is>
      </c>
    </row>
    <row r="881" ht="14.25" customHeight="1" s="64">
      <c r="A881" s="110" t="inlineStr">
        <is>
          <t>TIC</t>
        </is>
      </c>
      <c r="B881" s="110">
        <f>INDEX(SETORES!$B:$B,MATCH(A881,SETORES!$A:$A,0))</f>
        <v/>
      </c>
      <c r="C881" s="110" t="inlineStr">
        <is>
          <t>Empresa Licenciada SOUZA E SILVA</t>
        </is>
      </c>
      <c r="D881" s="88">
        <f>IF(B881="Clientes",SUMIFS(PARÂMETROS!$D$8:$D$907,PARÂMETROS!$A$8:$A$907,C881,PARÂMETROS!$G$8:$G$907,J881),SUMIFS(PARÂMETROS!$E$8:$E$907,PARÂMETROS!$A$8:$A$907,C881,PARÂMETROS!$G$8:$G$907,J881))</f>
        <v/>
      </c>
      <c r="E881" s="89">
        <f>SUMIFS(SETORES!$D:$D,SETORES!$A:$A,A881,SETORES!$F:$F,J881)</f>
        <v/>
      </c>
      <c r="F881" s="89">
        <f>IFERROR(D881*E881,0)</f>
        <v/>
      </c>
      <c r="G881" s="88">
        <f>SUMIFS(PARÂMETROS!$F$8:$F$907,PARÂMETROS!$A$8:$A$907,C881,PARÂMETROS!$G$8:$G$907,J881)</f>
        <v/>
      </c>
      <c r="H881" s="89">
        <f>IFERROR(F881*G881,0)</f>
        <v/>
      </c>
      <c r="I881" s="89">
        <f>F881+H881</f>
        <v/>
      </c>
      <c r="J881" s="110" t="inlineStr">
        <is>
          <t>Maio/2026</t>
        </is>
      </c>
    </row>
    <row r="882" ht="14.25" customHeight="1" s="64">
      <c r="A882" s="110" t="inlineStr">
        <is>
          <t>TIC</t>
        </is>
      </c>
      <c r="B882" s="110">
        <f>INDEX(SETORES!$B:$B,MATCH(A882,SETORES!$A:$A,0))</f>
        <v/>
      </c>
      <c r="C882" s="110" t="inlineStr">
        <is>
          <t>Empresa Licenciada VOICENET</t>
        </is>
      </c>
      <c r="D882" s="88">
        <f>IF(B882="Clientes",SUMIFS(PARÂMETROS!$D$8:$D$907,PARÂMETROS!$A$8:$A$907,C882,PARÂMETROS!$G$8:$G$907,J882),SUMIFS(PARÂMETROS!$E$8:$E$907,PARÂMETROS!$A$8:$A$907,C882,PARÂMETROS!$G$8:$G$907,J882))</f>
        <v/>
      </c>
      <c r="E882" s="89">
        <f>SUMIFS(SETORES!$D:$D,SETORES!$A:$A,A882,SETORES!$F:$F,J882)</f>
        <v/>
      </c>
      <c r="F882" s="89">
        <f>IFERROR(D882*E882,0)</f>
        <v/>
      </c>
      <c r="G882" s="88">
        <f>SUMIFS(PARÂMETROS!$F$8:$F$907,PARÂMETROS!$A$8:$A$907,C882,PARÂMETROS!$G$8:$G$907,J882)</f>
        <v/>
      </c>
      <c r="H882" s="89">
        <f>IFERROR(F882*G882,0)</f>
        <v/>
      </c>
      <c r="I882" s="89">
        <f>F882+H882</f>
        <v/>
      </c>
      <c r="J882" s="110" t="inlineStr">
        <is>
          <t>Maio/2026</t>
        </is>
      </c>
    </row>
    <row r="883" ht="14.25" customHeight="1" s="64">
      <c r="A883" s="110" t="inlineStr">
        <is>
          <t>TIC</t>
        </is>
      </c>
      <c r="B883" s="110">
        <f>INDEX(SETORES!$B:$B,MATCH(A883,SETORES!$A:$A,0))</f>
        <v/>
      </c>
      <c r="C883" s="110" t="inlineStr">
        <is>
          <t>DTEL (uso próprio)</t>
        </is>
      </c>
      <c r="D883" s="88">
        <f>IF(B883="Clientes",SUMIFS(PARÂMETROS!$D$8:$D$907,PARÂMETROS!$A$8:$A$907,C883,PARÂMETROS!$G$8:$G$907,J883),SUMIFS(PARÂMETROS!$E$8:$E$907,PARÂMETROS!$A$8:$A$907,C883,PARÂMETROS!$G$8:$G$907,J883))</f>
        <v/>
      </c>
      <c r="E883" s="89">
        <f>SUMIFS(SETORES!$D:$D,SETORES!$A:$A,A883,SETORES!$F:$F,J883)</f>
        <v/>
      </c>
      <c r="F883" s="89">
        <f>IFERROR(D883*E883,0)</f>
        <v/>
      </c>
      <c r="G883" s="88">
        <f>SUMIFS(PARÂMETROS!$F$8:$F$907,PARÂMETROS!$A$8:$A$907,C883,PARÂMETROS!$G$8:$G$907,J883)</f>
        <v/>
      </c>
      <c r="H883" s="89">
        <f>IFERROR(F883*G883,0)</f>
        <v/>
      </c>
      <c r="I883" s="89">
        <f>F883+H883</f>
        <v/>
      </c>
      <c r="J883" s="110" t="inlineStr">
        <is>
          <t>Maio/2026</t>
        </is>
      </c>
    </row>
    <row r="884" ht="14.25" customHeight="1" s="64">
      <c r="A884" s="110" t="inlineStr">
        <is>
          <t>TIC</t>
        </is>
      </c>
      <c r="B884" s="110">
        <f>INDEX(SETORES!$B:$B,MATCH(A884,SETORES!$A:$A,0))</f>
        <v/>
      </c>
      <c r="C884" s="110" t="inlineStr">
        <is>
          <t>Empresa Licenciada DX2</t>
        </is>
      </c>
      <c r="D884" s="88">
        <f>IF(B884="Clientes",SUMIFS(PARÂMETROS!$D$8:$D$907,PARÂMETROS!$A$8:$A$907,C884,PARÂMETROS!$G$8:$G$907,J884),SUMIFS(PARÂMETROS!$E$8:$E$907,PARÂMETROS!$A$8:$A$907,C884,PARÂMETROS!$G$8:$G$907,J884))</f>
        <v/>
      </c>
      <c r="E884" s="89">
        <f>SUMIFS(SETORES!$D:$D,SETORES!$A:$A,A884,SETORES!$F:$F,J884)</f>
        <v/>
      </c>
      <c r="F884" s="89">
        <f>IFERROR(D884*E884,0)</f>
        <v/>
      </c>
      <c r="G884" s="88">
        <f>SUMIFS(PARÂMETROS!$F$8:$F$907,PARÂMETROS!$A$8:$A$907,C884,PARÂMETROS!$G$8:$G$907,J884)</f>
        <v/>
      </c>
      <c r="H884" s="89">
        <f>IFERROR(F884*G884,0)</f>
        <v/>
      </c>
      <c r="I884" s="89">
        <f>F884+H884</f>
        <v/>
      </c>
      <c r="J884" s="110" t="inlineStr">
        <is>
          <t>Junho/2026</t>
        </is>
      </c>
    </row>
    <row r="885" ht="14.25" customHeight="1" s="64">
      <c r="A885" s="110" t="inlineStr">
        <is>
          <t>TIC</t>
        </is>
      </c>
      <c r="B885" s="110">
        <f>INDEX(SETORES!$B:$B,MATCH(A885,SETORES!$A:$A,0))</f>
        <v/>
      </c>
      <c r="C885" s="110" t="inlineStr">
        <is>
          <t>Empresa Licenciada H&amp;A</t>
        </is>
      </c>
      <c r="D885" s="88">
        <f>IF(B885="Clientes",SUMIFS(PARÂMETROS!$D$8:$D$907,PARÂMETROS!$A$8:$A$907,C885,PARÂMETROS!$G$8:$G$907,J885),SUMIFS(PARÂMETROS!$E$8:$E$907,PARÂMETROS!$A$8:$A$907,C885,PARÂMETROS!$G$8:$G$907,J885))</f>
        <v/>
      </c>
      <c r="E885" s="89">
        <f>SUMIFS(SETORES!$D:$D,SETORES!$A:$A,A885,SETORES!$F:$F,J885)</f>
        <v/>
      </c>
      <c r="F885" s="89">
        <f>IFERROR(D885*E885,0)</f>
        <v/>
      </c>
      <c r="G885" s="88">
        <f>SUMIFS(PARÂMETROS!$F$8:$F$907,PARÂMETROS!$A$8:$A$907,C885,PARÂMETROS!$G$8:$G$907,J885)</f>
        <v/>
      </c>
      <c r="H885" s="89">
        <f>IFERROR(F885*G885,0)</f>
        <v/>
      </c>
      <c r="I885" s="89">
        <f>F885+H885</f>
        <v/>
      </c>
      <c r="J885" s="110" t="inlineStr">
        <is>
          <t>Junho/2026</t>
        </is>
      </c>
    </row>
    <row r="886" ht="14.25" customHeight="1" s="64">
      <c r="A886" s="110" t="inlineStr">
        <is>
          <t>TIC</t>
        </is>
      </c>
      <c r="B886" s="110">
        <f>INDEX(SETORES!$B:$B,MATCH(A886,SETORES!$A:$A,0))</f>
        <v/>
      </c>
      <c r="C886" s="110" t="inlineStr">
        <is>
          <t>Empresa Licenciada SOLON ARAUJO</t>
        </is>
      </c>
      <c r="D886" s="88">
        <f>IF(B886="Clientes",SUMIFS(PARÂMETROS!$D$8:$D$907,PARÂMETROS!$A$8:$A$907,C886,PARÂMETROS!$G$8:$G$907,J886),SUMIFS(PARÂMETROS!$E$8:$E$907,PARÂMETROS!$A$8:$A$907,C886,PARÂMETROS!$G$8:$G$907,J886))</f>
        <v/>
      </c>
      <c r="E886" s="89">
        <f>SUMIFS(SETORES!$D:$D,SETORES!$A:$A,A886,SETORES!$F:$F,J886)</f>
        <v/>
      </c>
      <c r="F886" s="89">
        <f>IFERROR(D886*E886,0)</f>
        <v/>
      </c>
      <c r="G886" s="88">
        <f>SUMIFS(PARÂMETROS!$F$8:$F$907,PARÂMETROS!$A$8:$A$907,C886,PARÂMETROS!$G$8:$G$907,J886)</f>
        <v/>
      </c>
      <c r="H886" s="89">
        <f>IFERROR(F886*G886,0)</f>
        <v/>
      </c>
      <c r="I886" s="89">
        <f>F886+H886</f>
        <v/>
      </c>
      <c r="J886" s="110" t="inlineStr">
        <is>
          <t>Junho/2026</t>
        </is>
      </c>
    </row>
    <row r="887" ht="14.25" customHeight="1" s="64">
      <c r="A887" s="110" t="inlineStr">
        <is>
          <t>TIC</t>
        </is>
      </c>
      <c r="B887" s="110">
        <f>INDEX(SETORES!$B:$B,MATCH(A887,SETORES!$A:$A,0))</f>
        <v/>
      </c>
      <c r="C887" s="110" t="inlineStr">
        <is>
          <t>Empresa Licenciada SOARES E LINS</t>
        </is>
      </c>
      <c r="D887" s="88">
        <f>IF(B887="Clientes",SUMIFS(PARÂMETROS!$D$8:$D$907,PARÂMETROS!$A$8:$A$907,C887,PARÂMETROS!$G$8:$G$907,J887),SUMIFS(PARÂMETROS!$E$8:$E$907,PARÂMETROS!$A$8:$A$907,C887,PARÂMETROS!$G$8:$G$907,J887))</f>
        <v/>
      </c>
      <c r="E887" s="89">
        <f>SUMIFS(SETORES!$D:$D,SETORES!$A:$A,A887,SETORES!$F:$F,J887)</f>
        <v/>
      </c>
      <c r="F887" s="89">
        <f>IFERROR(D887*E887,0)</f>
        <v/>
      </c>
      <c r="G887" s="88">
        <f>SUMIFS(PARÂMETROS!$F$8:$F$907,PARÂMETROS!$A$8:$A$907,C887,PARÂMETROS!$G$8:$G$907,J887)</f>
        <v/>
      </c>
      <c r="H887" s="89">
        <f>IFERROR(F887*G887,0)</f>
        <v/>
      </c>
      <c r="I887" s="89">
        <f>F887+H887</f>
        <v/>
      </c>
      <c r="J887" s="110" t="inlineStr">
        <is>
          <t>Junho/2026</t>
        </is>
      </c>
    </row>
    <row r="888" ht="14.25" customHeight="1" s="64">
      <c r="A888" s="110" t="inlineStr">
        <is>
          <t>TIC</t>
        </is>
      </c>
      <c r="B888" s="110">
        <f>INDEX(SETORES!$B:$B,MATCH(A888,SETORES!$A:$A,0))</f>
        <v/>
      </c>
      <c r="C888" s="110" t="inlineStr">
        <is>
          <t>Empresa Licenciada SOARES E SILVA</t>
        </is>
      </c>
      <c r="D888" s="88">
        <f>IF(B888="Clientes",SUMIFS(PARÂMETROS!$D$8:$D$907,PARÂMETROS!$A$8:$A$907,C888,PARÂMETROS!$G$8:$G$907,J888),SUMIFS(PARÂMETROS!$E$8:$E$907,PARÂMETROS!$A$8:$A$907,C888,PARÂMETROS!$G$8:$G$907,J888))</f>
        <v/>
      </c>
      <c r="E888" s="89">
        <f>SUMIFS(SETORES!$D:$D,SETORES!$A:$A,A888,SETORES!$F:$F,J888)</f>
        <v/>
      </c>
      <c r="F888" s="89">
        <f>IFERROR(D888*E888,0)</f>
        <v/>
      </c>
      <c r="G888" s="88">
        <f>SUMIFS(PARÂMETROS!$F$8:$F$907,PARÂMETROS!$A$8:$A$907,C888,PARÂMETROS!$G$8:$G$907,J888)</f>
        <v/>
      </c>
      <c r="H888" s="89">
        <f>IFERROR(F888*G888,0)</f>
        <v/>
      </c>
      <c r="I888" s="89">
        <f>F888+H888</f>
        <v/>
      </c>
      <c r="J888" s="110" t="inlineStr">
        <is>
          <t>Junho/2026</t>
        </is>
      </c>
    </row>
    <row r="889" ht="14.25" customHeight="1" s="64">
      <c r="A889" s="110" t="inlineStr">
        <is>
          <t>TIC</t>
        </is>
      </c>
      <c r="B889" s="110">
        <f>INDEX(SETORES!$B:$B,MATCH(A889,SETORES!$A:$A,0))</f>
        <v/>
      </c>
      <c r="C889" s="110" t="inlineStr">
        <is>
          <t>Empresa Licenciada SOUZA E SILVA</t>
        </is>
      </c>
      <c r="D889" s="88">
        <f>IF(B889="Clientes",SUMIFS(PARÂMETROS!$D$8:$D$907,PARÂMETROS!$A$8:$A$907,C889,PARÂMETROS!$G$8:$G$907,J889),SUMIFS(PARÂMETROS!$E$8:$E$907,PARÂMETROS!$A$8:$A$907,C889,PARÂMETROS!$G$8:$G$907,J889))</f>
        <v/>
      </c>
      <c r="E889" s="89">
        <f>SUMIFS(SETORES!$D:$D,SETORES!$A:$A,A889,SETORES!$F:$F,J889)</f>
        <v/>
      </c>
      <c r="F889" s="89">
        <f>IFERROR(D889*E889,0)</f>
        <v/>
      </c>
      <c r="G889" s="88">
        <f>SUMIFS(PARÂMETROS!$F$8:$F$907,PARÂMETROS!$A$8:$A$907,C889,PARÂMETROS!$G$8:$G$907,J889)</f>
        <v/>
      </c>
      <c r="H889" s="89">
        <f>IFERROR(F889*G889,0)</f>
        <v/>
      </c>
      <c r="I889" s="89">
        <f>F889+H889</f>
        <v/>
      </c>
      <c r="J889" s="110" t="inlineStr">
        <is>
          <t>Junho/2026</t>
        </is>
      </c>
    </row>
    <row r="890" ht="14.25" customHeight="1" s="64">
      <c r="A890" s="110" t="inlineStr">
        <is>
          <t>TIC</t>
        </is>
      </c>
      <c r="B890" s="110">
        <f>INDEX(SETORES!$B:$B,MATCH(A890,SETORES!$A:$A,0))</f>
        <v/>
      </c>
      <c r="C890" s="110" t="inlineStr">
        <is>
          <t>Empresa Licenciada VOICENET</t>
        </is>
      </c>
      <c r="D890" s="88">
        <f>IF(B890="Clientes",SUMIFS(PARÂMETROS!$D$8:$D$907,PARÂMETROS!$A$8:$A$907,C890,PARÂMETROS!$G$8:$G$907,J890),SUMIFS(PARÂMETROS!$E$8:$E$907,PARÂMETROS!$A$8:$A$907,C890,PARÂMETROS!$G$8:$G$907,J890))</f>
        <v/>
      </c>
      <c r="E890" s="89">
        <f>SUMIFS(SETORES!$D:$D,SETORES!$A:$A,A890,SETORES!$F:$F,J890)</f>
        <v/>
      </c>
      <c r="F890" s="89">
        <f>IFERROR(D890*E890,0)</f>
        <v/>
      </c>
      <c r="G890" s="88">
        <f>SUMIFS(PARÂMETROS!$F$8:$F$907,PARÂMETROS!$A$8:$A$907,C890,PARÂMETROS!$G$8:$G$907,J890)</f>
        <v/>
      </c>
      <c r="H890" s="89">
        <f>IFERROR(F890*G890,0)</f>
        <v/>
      </c>
      <c r="I890" s="89">
        <f>F890+H890</f>
        <v/>
      </c>
      <c r="J890" s="110" t="inlineStr">
        <is>
          <t>Junho/2026</t>
        </is>
      </c>
    </row>
    <row r="891" ht="14.25" customHeight="1" s="64">
      <c r="A891" s="110" t="inlineStr">
        <is>
          <t>TIC</t>
        </is>
      </c>
      <c r="B891" s="110">
        <f>INDEX(SETORES!$B:$B,MATCH(A891,SETORES!$A:$A,0))</f>
        <v/>
      </c>
      <c r="C891" s="110" t="inlineStr">
        <is>
          <t>DTEL (uso próprio)</t>
        </is>
      </c>
      <c r="D891" s="88">
        <f>IF(B891="Clientes",SUMIFS(PARÂMETROS!$D$8:$D$907,PARÂMETROS!$A$8:$A$907,C891,PARÂMETROS!$G$8:$G$907,J891),SUMIFS(PARÂMETROS!$E$8:$E$907,PARÂMETROS!$A$8:$A$907,C891,PARÂMETROS!$G$8:$G$907,J891))</f>
        <v/>
      </c>
      <c r="E891" s="89">
        <f>SUMIFS(SETORES!$D:$D,SETORES!$A:$A,A891,SETORES!$F:$F,J891)</f>
        <v/>
      </c>
      <c r="F891" s="89">
        <f>IFERROR(D891*E891,0)</f>
        <v/>
      </c>
      <c r="G891" s="88">
        <f>SUMIFS(PARÂMETROS!$F$8:$F$907,PARÂMETROS!$A$8:$A$907,C891,PARÂMETROS!$G$8:$G$907,J891)</f>
        <v/>
      </c>
      <c r="H891" s="89">
        <f>IFERROR(F891*G891,0)</f>
        <v/>
      </c>
      <c r="I891" s="89">
        <f>F891+H891</f>
        <v/>
      </c>
      <c r="J891" s="110" t="inlineStr">
        <is>
          <t>Junho/2026</t>
        </is>
      </c>
    </row>
    <row r="892" ht="14.25" customHeight="1" s="64">
      <c r="A892" s="110" t="inlineStr">
        <is>
          <t>TIC</t>
        </is>
      </c>
      <c r="B892" s="110">
        <f>INDEX(SETORES!$B:$B,MATCH(A892,SETORES!$A:$A,0))</f>
        <v/>
      </c>
      <c r="C892" s="110" t="inlineStr">
        <is>
          <t>Empresa Licenciada DX2</t>
        </is>
      </c>
      <c r="D892" s="88">
        <f>IF(B892="Clientes",SUMIFS(PARÂMETROS!$D$8:$D$907,PARÂMETROS!$A$8:$A$907,C892,PARÂMETROS!$G$8:$G$907,J892),SUMIFS(PARÂMETROS!$E$8:$E$907,PARÂMETROS!$A$8:$A$907,C892,PARÂMETROS!$G$8:$G$907,J892))</f>
        <v/>
      </c>
      <c r="E892" s="89">
        <f>SUMIFS(SETORES!$D:$D,SETORES!$A:$A,A892,SETORES!$F:$F,J892)</f>
        <v/>
      </c>
      <c r="F892" s="89">
        <f>IFERROR(D892*E892,0)</f>
        <v/>
      </c>
      <c r="G892" s="88">
        <f>SUMIFS(PARÂMETROS!$F$8:$F$907,PARÂMETROS!$A$8:$A$907,C892,PARÂMETROS!$G$8:$G$907,J892)</f>
        <v/>
      </c>
      <c r="H892" s="89">
        <f>IFERROR(F892*G892,0)</f>
        <v/>
      </c>
      <c r="I892" s="89">
        <f>F892+H892</f>
        <v/>
      </c>
      <c r="J892" s="110" t="inlineStr">
        <is>
          <t>Julho/2026</t>
        </is>
      </c>
    </row>
    <row r="893" ht="14.25" customHeight="1" s="64">
      <c r="A893" s="110" t="inlineStr">
        <is>
          <t>TIC</t>
        </is>
      </c>
      <c r="B893" s="110">
        <f>INDEX(SETORES!$B:$B,MATCH(A893,SETORES!$A:$A,0))</f>
        <v/>
      </c>
      <c r="C893" s="110" t="inlineStr">
        <is>
          <t>Empresa Licenciada H&amp;A</t>
        </is>
      </c>
      <c r="D893" s="88">
        <f>IF(B893="Clientes",SUMIFS(PARÂMETROS!$D$8:$D$907,PARÂMETROS!$A$8:$A$907,C893,PARÂMETROS!$G$8:$G$907,J893),SUMIFS(PARÂMETROS!$E$8:$E$907,PARÂMETROS!$A$8:$A$907,C893,PARÂMETROS!$G$8:$G$907,J893))</f>
        <v/>
      </c>
      <c r="E893" s="89">
        <f>SUMIFS(SETORES!$D:$D,SETORES!$A:$A,A893,SETORES!$F:$F,J893)</f>
        <v/>
      </c>
      <c r="F893" s="89">
        <f>IFERROR(D893*E893,0)</f>
        <v/>
      </c>
      <c r="G893" s="88">
        <f>SUMIFS(PARÂMETROS!$F$8:$F$907,PARÂMETROS!$A$8:$A$907,C893,PARÂMETROS!$G$8:$G$907,J893)</f>
        <v/>
      </c>
      <c r="H893" s="89">
        <f>IFERROR(F893*G893,0)</f>
        <v/>
      </c>
      <c r="I893" s="89">
        <f>F893+H893</f>
        <v/>
      </c>
      <c r="J893" s="110" t="inlineStr">
        <is>
          <t>Julho/2026</t>
        </is>
      </c>
    </row>
    <row r="894" ht="14.25" customHeight="1" s="64">
      <c r="A894" s="110" t="inlineStr">
        <is>
          <t>TIC</t>
        </is>
      </c>
      <c r="B894" s="110">
        <f>INDEX(SETORES!$B:$B,MATCH(A894,SETORES!$A:$A,0))</f>
        <v/>
      </c>
      <c r="C894" s="110" t="inlineStr">
        <is>
          <t>Empresa Licenciada SOLON ARAUJO</t>
        </is>
      </c>
      <c r="D894" s="88">
        <f>IF(B894="Clientes",SUMIFS(PARÂMETROS!$D$8:$D$907,PARÂMETROS!$A$8:$A$907,C894,PARÂMETROS!$G$8:$G$907,J894),SUMIFS(PARÂMETROS!$E$8:$E$907,PARÂMETROS!$A$8:$A$907,C894,PARÂMETROS!$G$8:$G$907,J894))</f>
        <v/>
      </c>
      <c r="E894" s="89">
        <f>SUMIFS(SETORES!$D:$D,SETORES!$A:$A,A894,SETORES!$F:$F,J894)</f>
        <v/>
      </c>
      <c r="F894" s="89">
        <f>IFERROR(D894*E894,0)</f>
        <v/>
      </c>
      <c r="G894" s="88">
        <f>SUMIFS(PARÂMETROS!$F$8:$F$907,PARÂMETROS!$A$8:$A$907,C894,PARÂMETROS!$G$8:$G$907,J894)</f>
        <v/>
      </c>
      <c r="H894" s="89">
        <f>IFERROR(F894*G894,0)</f>
        <v/>
      </c>
      <c r="I894" s="89">
        <f>F894+H894</f>
        <v/>
      </c>
      <c r="J894" s="110" t="inlineStr">
        <is>
          <t>Julho/2026</t>
        </is>
      </c>
    </row>
    <row r="895" ht="14.25" customHeight="1" s="64">
      <c r="A895" s="110" t="inlineStr">
        <is>
          <t>TIC</t>
        </is>
      </c>
      <c r="B895" s="110">
        <f>INDEX(SETORES!$B:$B,MATCH(A895,SETORES!$A:$A,0))</f>
        <v/>
      </c>
      <c r="C895" s="110" t="inlineStr">
        <is>
          <t>Empresa Licenciada SOARES E LINS</t>
        </is>
      </c>
      <c r="D895" s="88">
        <f>IF(B895="Clientes",SUMIFS(PARÂMETROS!$D$8:$D$907,PARÂMETROS!$A$8:$A$907,C895,PARÂMETROS!$G$8:$G$907,J895),SUMIFS(PARÂMETROS!$E$8:$E$907,PARÂMETROS!$A$8:$A$907,C895,PARÂMETROS!$G$8:$G$907,J895))</f>
        <v/>
      </c>
      <c r="E895" s="89">
        <f>SUMIFS(SETORES!$D:$D,SETORES!$A:$A,A895,SETORES!$F:$F,J895)</f>
        <v/>
      </c>
      <c r="F895" s="89">
        <f>IFERROR(D895*E895,0)</f>
        <v/>
      </c>
      <c r="G895" s="88">
        <f>SUMIFS(PARÂMETROS!$F$8:$F$907,PARÂMETROS!$A$8:$A$907,C895,PARÂMETROS!$G$8:$G$907,J895)</f>
        <v/>
      </c>
      <c r="H895" s="89">
        <f>IFERROR(F895*G895,0)</f>
        <v/>
      </c>
      <c r="I895" s="89">
        <f>F895+H895</f>
        <v/>
      </c>
      <c r="J895" s="110" t="inlineStr">
        <is>
          <t>Julho/2026</t>
        </is>
      </c>
    </row>
    <row r="896" ht="14.25" customHeight="1" s="64">
      <c r="A896" s="110" t="inlineStr">
        <is>
          <t>TIC</t>
        </is>
      </c>
      <c r="B896" s="110">
        <f>INDEX(SETORES!$B:$B,MATCH(A896,SETORES!$A:$A,0))</f>
        <v/>
      </c>
      <c r="C896" s="110" t="inlineStr">
        <is>
          <t>Empresa Licenciada SOARES E SILVA</t>
        </is>
      </c>
      <c r="D896" s="88">
        <f>IF(B896="Clientes",SUMIFS(PARÂMETROS!$D$8:$D$907,PARÂMETROS!$A$8:$A$907,C896,PARÂMETROS!$G$8:$G$907,J896),SUMIFS(PARÂMETROS!$E$8:$E$907,PARÂMETROS!$A$8:$A$907,C896,PARÂMETROS!$G$8:$G$907,J896))</f>
        <v/>
      </c>
      <c r="E896" s="89">
        <f>SUMIFS(SETORES!$D:$D,SETORES!$A:$A,A896,SETORES!$F:$F,J896)</f>
        <v/>
      </c>
      <c r="F896" s="89">
        <f>IFERROR(D896*E896,0)</f>
        <v/>
      </c>
      <c r="G896" s="88">
        <f>SUMIFS(PARÂMETROS!$F$8:$F$907,PARÂMETROS!$A$8:$A$907,C896,PARÂMETROS!$G$8:$G$907,J896)</f>
        <v/>
      </c>
      <c r="H896" s="89">
        <f>IFERROR(F896*G896,0)</f>
        <v/>
      </c>
      <c r="I896" s="89">
        <f>F896+H896</f>
        <v/>
      </c>
      <c r="J896" s="110" t="inlineStr">
        <is>
          <t>Julho/2026</t>
        </is>
      </c>
    </row>
    <row r="897" ht="14.25" customHeight="1" s="64">
      <c r="A897" s="110" t="inlineStr">
        <is>
          <t>TIC</t>
        </is>
      </c>
      <c r="B897" s="110">
        <f>INDEX(SETORES!$B:$B,MATCH(A897,SETORES!$A:$A,0))</f>
        <v/>
      </c>
      <c r="C897" s="110" t="inlineStr">
        <is>
          <t>Empresa Licenciada SOUZA E SILVA</t>
        </is>
      </c>
      <c r="D897" s="88">
        <f>IF(B897="Clientes",SUMIFS(PARÂMETROS!$D$8:$D$907,PARÂMETROS!$A$8:$A$907,C897,PARÂMETROS!$G$8:$G$907,J897),SUMIFS(PARÂMETROS!$E$8:$E$907,PARÂMETROS!$A$8:$A$907,C897,PARÂMETROS!$G$8:$G$907,J897))</f>
        <v/>
      </c>
      <c r="E897" s="89">
        <f>SUMIFS(SETORES!$D:$D,SETORES!$A:$A,A897,SETORES!$F:$F,J897)</f>
        <v/>
      </c>
      <c r="F897" s="89">
        <f>IFERROR(D897*E897,0)</f>
        <v/>
      </c>
      <c r="G897" s="88">
        <f>SUMIFS(PARÂMETROS!$F$8:$F$907,PARÂMETROS!$A$8:$A$907,C897,PARÂMETROS!$G$8:$G$907,J897)</f>
        <v/>
      </c>
      <c r="H897" s="89">
        <f>IFERROR(F897*G897,0)</f>
        <v/>
      </c>
      <c r="I897" s="89">
        <f>F897+H897</f>
        <v/>
      </c>
      <c r="J897" s="110" t="inlineStr">
        <is>
          <t>Julho/2026</t>
        </is>
      </c>
    </row>
    <row r="898" ht="14.25" customHeight="1" s="64">
      <c r="A898" s="110" t="inlineStr">
        <is>
          <t>TIC</t>
        </is>
      </c>
      <c r="B898" s="110">
        <f>INDEX(SETORES!$B:$B,MATCH(A898,SETORES!$A:$A,0))</f>
        <v/>
      </c>
      <c r="C898" s="110" t="inlineStr">
        <is>
          <t>Empresa Licenciada VOICENET</t>
        </is>
      </c>
      <c r="D898" s="88">
        <f>IF(B898="Clientes",SUMIFS(PARÂMETROS!$D$8:$D$907,PARÂMETROS!$A$8:$A$907,C898,PARÂMETROS!$G$8:$G$907,J898),SUMIFS(PARÂMETROS!$E$8:$E$907,PARÂMETROS!$A$8:$A$907,C898,PARÂMETROS!$G$8:$G$907,J898))</f>
        <v/>
      </c>
      <c r="E898" s="89">
        <f>SUMIFS(SETORES!$D:$D,SETORES!$A:$A,A898,SETORES!$F:$F,J898)</f>
        <v/>
      </c>
      <c r="F898" s="89">
        <f>IFERROR(D898*E898,0)</f>
        <v/>
      </c>
      <c r="G898" s="88">
        <f>SUMIFS(PARÂMETROS!$F$8:$F$907,PARÂMETROS!$A$8:$A$907,C898,PARÂMETROS!$G$8:$G$907,J898)</f>
        <v/>
      </c>
      <c r="H898" s="89">
        <f>IFERROR(F898*G898,0)</f>
        <v/>
      </c>
      <c r="I898" s="89">
        <f>F898+H898</f>
        <v/>
      </c>
      <c r="J898" s="110" t="inlineStr">
        <is>
          <t>Julho/2026</t>
        </is>
      </c>
    </row>
    <row r="899" ht="14.25" customHeight="1" s="64">
      <c r="A899" s="110" t="inlineStr">
        <is>
          <t>TIC</t>
        </is>
      </c>
      <c r="B899" s="110">
        <f>INDEX(SETORES!$B:$B,MATCH(A899,SETORES!$A:$A,0))</f>
        <v/>
      </c>
      <c r="C899" s="110" t="inlineStr">
        <is>
          <t>DTEL (uso próprio)</t>
        </is>
      </c>
      <c r="D899" s="88">
        <f>IF(B899="Clientes",SUMIFS(PARÂMETROS!$D$8:$D$907,PARÂMETROS!$A$8:$A$907,C899,PARÂMETROS!$G$8:$G$907,J899),SUMIFS(PARÂMETROS!$E$8:$E$907,PARÂMETROS!$A$8:$A$907,C899,PARÂMETROS!$G$8:$G$907,J899))</f>
        <v/>
      </c>
      <c r="E899" s="89">
        <f>SUMIFS(SETORES!$D:$D,SETORES!$A:$A,A899,SETORES!$F:$F,J899)</f>
        <v/>
      </c>
      <c r="F899" s="89">
        <f>IFERROR(D899*E899,0)</f>
        <v/>
      </c>
      <c r="G899" s="88">
        <f>SUMIFS(PARÂMETROS!$F$8:$F$907,PARÂMETROS!$A$8:$A$907,C899,PARÂMETROS!$G$8:$G$907,J899)</f>
        <v/>
      </c>
      <c r="H899" s="89">
        <f>IFERROR(F899*G899,0)</f>
        <v/>
      </c>
      <c r="I899" s="89">
        <f>F899+H899</f>
        <v/>
      </c>
      <c r="J899" s="110" t="inlineStr">
        <is>
          <t>Julho/2026</t>
        </is>
      </c>
    </row>
    <row r="900" ht="14.25" customHeight="1" s="64">
      <c r="A900" s="70" t="inlineStr">
        <is>
          <t>Empresa Licenciada DX2</t>
        </is>
      </c>
      <c r="B900" s="71" t="n">
        <v>6647</v>
      </c>
      <c r="C900" s="71" t="n">
        <v>30</v>
      </c>
      <c r="D900" s="72">
        <f>IFERROR(B900/SUMIFS($B$8:$B$907,$G$8:$G$907,G900),0)</f>
        <v/>
      </c>
      <c r="E900" s="72">
        <f>IFERROR(C900/SUMIFS($C$8:$C$907,$G$8:$G$907,G900),0)</f>
        <v/>
      </c>
      <c r="F900" s="73" t="n">
        <v>0</v>
      </c>
      <c r="G900" s="74" t="inlineStr">
        <is>
          <t>Agosto/2026</t>
        </is>
      </c>
    </row>
    <row r="901" ht="14.25" customHeight="1" s="64">
      <c r="A901" s="75" t="inlineStr">
        <is>
          <t>Empresa Licenciada H&amp;A</t>
        </is>
      </c>
      <c r="B901" s="76" t="n">
        <v>13510</v>
      </c>
      <c r="C901" s="76" t="n">
        <v>0</v>
      </c>
      <c r="D901" s="77">
        <f>IFERROR(B901/SUMIFS($B$8:$B$907,$G$8:$G$907,G901),0)</f>
        <v/>
      </c>
      <c r="E901" s="77">
        <f>IFERROR(C901/SUMIFS($C$8:$C$907,$G$8:$G$907,G901),0)</f>
        <v/>
      </c>
      <c r="F901" s="78" t="n">
        <v>0</v>
      </c>
      <c r="G901" s="106" t="inlineStr">
        <is>
          <t>Agosto/2026</t>
        </is>
      </c>
    </row>
    <row r="902" ht="14.25" customHeight="1" s="64">
      <c r="A902" s="70" t="inlineStr">
        <is>
          <t>Empresa Licenciada SOLON ARAUJO</t>
        </is>
      </c>
      <c r="B902" s="71" t="n">
        <v>14697</v>
      </c>
      <c r="C902" s="71" t="n">
        <v>45</v>
      </c>
      <c r="D902" s="72">
        <f>IFERROR(B902/SUMIFS($B$8:$B$907,$G$8:$G$907,G902),0)</f>
        <v/>
      </c>
      <c r="E902" s="72">
        <f>IFERROR(C902/SUMIFS($C$8:$C$907,$G$8:$G$907,G902),0)</f>
        <v/>
      </c>
      <c r="F902" s="73" t="n">
        <v>0</v>
      </c>
      <c r="G902" s="74" t="inlineStr">
        <is>
          <t>Agosto/2026</t>
        </is>
      </c>
    </row>
    <row r="903" ht="14.25" customHeight="1" s="64">
      <c r="A903" s="75" t="inlineStr">
        <is>
          <t>Empresa Licenciada SOARES E LINS</t>
        </is>
      </c>
      <c r="B903" s="76" t="n">
        <v>3735</v>
      </c>
      <c r="C903" s="76" t="n">
        <v>10</v>
      </c>
      <c r="D903" s="77">
        <f>IFERROR(B903/SUMIFS($B$8:$B$907,$G$8:$G$907,G903),0)</f>
        <v/>
      </c>
      <c r="E903" s="77">
        <f>IFERROR(C903/SUMIFS($C$8:$C$907,$G$8:$G$907,G903),0)</f>
        <v/>
      </c>
      <c r="F903" s="78" t="n">
        <v>0</v>
      </c>
      <c r="G903" s="106" t="inlineStr">
        <is>
          <t>Agosto/2026</t>
        </is>
      </c>
    </row>
    <row r="904" ht="14.25" customHeight="1" s="64">
      <c r="A904" s="70" t="inlineStr">
        <is>
          <t>Empresa Licenciada SOARES E SILVA</t>
        </is>
      </c>
      <c r="B904" s="71" t="n">
        <v>6601</v>
      </c>
      <c r="C904" s="71" t="n">
        <v>46</v>
      </c>
      <c r="D904" s="72">
        <f>IFERROR(B904/SUMIFS($B$8:$B$907,$G$8:$G$907,G904),0)</f>
        <v/>
      </c>
      <c r="E904" s="72">
        <f>IFERROR(C904/SUMIFS($C$8:$C$907,$G$8:$G$907,G904),0)</f>
        <v/>
      </c>
      <c r="F904" s="73" t="n">
        <v>0</v>
      </c>
      <c r="G904" s="74" t="inlineStr">
        <is>
          <t>Agosto/2026</t>
        </is>
      </c>
    </row>
    <row r="905" ht="14.25" customHeight="1" s="64">
      <c r="A905" s="75" t="inlineStr">
        <is>
          <t>Empresa Licenciada SOUZA E SILVA</t>
        </is>
      </c>
      <c r="B905" s="76" t="n">
        <v>4789</v>
      </c>
      <c r="C905" s="76" t="n">
        <v>17</v>
      </c>
      <c r="D905" s="77">
        <f>IFERROR(B905/SUMIFS($B$8:$B$907,$G$8:$G$907,G905),0)</f>
        <v/>
      </c>
      <c r="E905" s="77">
        <f>IFERROR(C905/SUMIFS($C$8:$C$907,$G$8:$G$907,G905),0)</f>
        <v/>
      </c>
      <c r="F905" s="78" t="n">
        <v>0</v>
      </c>
      <c r="G905" s="106" t="inlineStr">
        <is>
          <t>Agosto/2026</t>
        </is>
      </c>
    </row>
    <row r="906" ht="14.25" customHeight="1" s="64">
      <c r="A906" s="70" t="inlineStr">
        <is>
          <t>Empresa Licenciada VOICENET</t>
        </is>
      </c>
      <c r="B906" s="71" t="n">
        <v>4796</v>
      </c>
      <c r="C906" s="71" t="n">
        <v>23</v>
      </c>
      <c r="D906" s="72">
        <f>IFERROR(B906/SUMIFS($B$8:$B$907,$G$8:$G$907,G906),0)</f>
        <v/>
      </c>
      <c r="E906" s="72">
        <f>IFERROR(C906/SUMIFS($C$8:$C$907,$G$8:$G$907,G906),0)</f>
        <v/>
      </c>
      <c r="F906" s="73" t="n">
        <v>0</v>
      </c>
      <c r="G906" s="74" t="inlineStr">
        <is>
          <t>Agosto/2026</t>
        </is>
      </c>
    </row>
    <row r="907" ht="14.25" customHeight="1" s="64">
      <c r="A907" s="75" t="inlineStr">
        <is>
          <t>DTEL (uso próprio)</t>
        </is>
      </c>
      <c r="B907" s="76" t="n">
        <v>142395</v>
      </c>
      <c r="C907" s="76" t="n">
        <v>881</v>
      </c>
      <c r="D907" s="77">
        <f>IFERROR(B907/SUMIFS($B$8:$B$907,$G$8:$G$907,G907),0)</f>
        <v/>
      </c>
      <c r="E907" s="77">
        <f>IFERROR(C907/SUMIFS($C$8:$C$907,$G$8:$G$907,G907),0)</f>
        <v/>
      </c>
      <c r="F907" s="78" t="n">
        <v>0</v>
      </c>
      <c r="G907" s="106" t="inlineStr">
        <is>
          <t>Agosto/2026</t>
        </is>
      </c>
    </row>
    <row r="908" ht="14.25" customHeight="1" s="64">
      <c r="A908" s="80" t="inlineStr">
        <is>
          <t>TOTAL</t>
        </is>
      </c>
      <c r="B908" s="81">
        <f>SUM(B900:B907)</f>
        <v/>
      </c>
      <c r="C908" s="81">
        <f>SUM(C900:C907)</f>
        <v/>
      </c>
      <c r="D908" s="82" t="n"/>
      <c r="E908" s="82" t="n"/>
      <c r="F908" s="82" t="n"/>
      <c r="G908" s="82" t="n"/>
    </row>
    <row r="909" ht="14.25" customHeight="1" s="64">
      <c r="A909" s="74" t="inlineStr">
        <is>
          <t>NOC</t>
        </is>
      </c>
      <c r="B909" s="83">
        <f>INDEX(SETORES!$B:$B,MATCH(A909,SETORES!$A:$A,0))</f>
        <v/>
      </c>
      <c r="C909" s="74" t="inlineStr">
        <is>
          <t>Empresa Licenciada DX2</t>
        </is>
      </c>
      <c r="D909" s="72">
        <f>IF(B909="Clientes",SUMIFS(PARÂMETROS!$D$8:$D$907,PARÂMETROS!$A$8:$A$907,C909,PARÂMETROS!$G$8:$G$907,J909),SUMIFS(PARÂMETROS!$E$8:$E$907,PARÂMETROS!$A$8:$A$907,C909,PARÂMETROS!$G$8:$G$907,J909))</f>
        <v/>
      </c>
      <c r="E909" s="84">
        <f>SUMIFS(SETORES!$D:$D,SETORES!$A:$A,A909,SETORES!$F:$F,J909)</f>
        <v/>
      </c>
      <c r="F909" s="84">
        <f>IFERROR(D909*E909,0)</f>
        <v/>
      </c>
      <c r="G909" s="72">
        <f>SUMIFS(PARÂMETROS!$F$8:$F$907,PARÂMETROS!$A$8:$A$907,C909,PARÂMETROS!$G$8:$G$907,J909)</f>
        <v/>
      </c>
      <c r="H909" s="84">
        <f>IFERROR(F909*G909,0)</f>
        <v/>
      </c>
      <c r="I909" s="84">
        <f>F909+H909</f>
        <v/>
      </c>
      <c r="J909" s="74" t="inlineStr">
        <is>
          <t>Agosto/2026</t>
        </is>
      </c>
    </row>
    <row r="910" ht="14.25" customHeight="1" s="64">
      <c r="A910" s="106" t="inlineStr">
        <is>
          <t>NOC</t>
        </is>
      </c>
      <c r="B910" s="106">
        <f>INDEX(SETORES!$B:$B,MATCH(A910,SETORES!$A:$A,0))</f>
        <v/>
      </c>
      <c r="C910" s="106" t="inlineStr">
        <is>
          <t>Empresa Licenciada H&amp;A</t>
        </is>
      </c>
      <c r="D910" s="77">
        <f>IF(B910="Clientes",SUMIFS(PARÂMETROS!$D$8:$D$907,PARÂMETROS!$A$8:$A$907,C910,PARÂMETROS!$G$8:$G$907,J910),SUMIFS(PARÂMETROS!$E$8:$E$907,PARÂMETROS!$A$8:$A$907,C910,PARÂMETROS!$G$8:$G$907,J910))</f>
        <v/>
      </c>
      <c r="E910" s="109">
        <f>SUMIFS(SETORES!$D:$D,SETORES!$A:$A,A910,SETORES!$F:$F,J910)</f>
        <v/>
      </c>
      <c r="F910" s="109">
        <f>IFERROR(D910*E910,0)</f>
        <v/>
      </c>
      <c r="G910" s="77">
        <f>SUMIFS(PARÂMETROS!$F$8:$F$907,PARÂMETROS!$A$8:$A$907,C910,PARÂMETROS!$G$8:$G$907,J910)</f>
        <v/>
      </c>
      <c r="H910" s="109">
        <f>IFERROR(F910*G910,0)</f>
        <v/>
      </c>
      <c r="I910" s="109">
        <f>F910+H910</f>
        <v/>
      </c>
      <c r="J910" s="106" t="inlineStr">
        <is>
          <t>Agosto/2026</t>
        </is>
      </c>
    </row>
    <row r="911" ht="14.25" customHeight="1" s="64">
      <c r="A911" s="74" t="inlineStr">
        <is>
          <t>NOC</t>
        </is>
      </c>
      <c r="B911" s="83">
        <f>INDEX(SETORES!$B:$B,MATCH(A911,SETORES!$A:$A,0))</f>
        <v/>
      </c>
      <c r="C911" s="74" t="inlineStr">
        <is>
          <t>Empresa Licenciada SOLON ARAUJO</t>
        </is>
      </c>
      <c r="D911" s="72">
        <f>IF(B911="Clientes",SUMIFS(PARÂMETROS!$D$8:$D$907,PARÂMETROS!$A$8:$A$907,C911,PARÂMETROS!$G$8:$G$907,J911),SUMIFS(PARÂMETROS!$E$8:$E$907,PARÂMETROS!$A$8:$A$907,C911,PARÂMETROS!$G$8:$G$907,J911))</f>
        <v/>
      </c>
      <c r="E911" s="84">
        <f>SUMIFS(SETORES!$D:$D,SETORES!$A:$A,A911,SETORES!$F:$F,J911)</f>
        <v/>
      </c>
      <c r="F911" s="84">
        <f>IFERROR(D911*E911,0)</f>
        <v/>
      </c>
      <c r="G911" s="72">
        <f>SUMIFS(PARÂMETROS!$F$8:$F$907,PARÂMETROS!$A$8:$A$907,C911,PARÂMETROS!$G$8:$G$907,J911)</f>
        <v/>
      </c>
      <c r="H911" s="84">
        <f>IFERROR(F911*G911,0)</f>
        <v/>
      </c>
      <c r="I911" s="84">
        <f>F911+H911</f>
        <v/>
      </c>
      <c r="J911" s="74" t="inlineStr">
        <is>
          <t>Agosto/2026</t>
        </is>
      </c>
    </row>
    <row r="912" ht="14.25" customHeight="1" s="64">
      <c r="A912" s="106" t="inlineStr">
        <is>
          <t>NOC</t>
        </is>
      </c>
      <c r="B912" s="106">
        <f>INDEX(SETORES!$B:$B,MATCH(A912,SETORES!$A:$A,0))</f>
        <v/>
      </c>
      <c r="C912" s="106" t="inlineStr">
        <is>
          <t>Empresa Licenciada SOARES E LINS</t>
        </is>
      </c>
      <c r="D912" s="77">
        <f>IF(B912="Clientes",SUMIFS(PARÂMETROS!$D$8:$D$907,PARÂMETROS!$A$8:$A$907,C912,PARÂMETROS!$G$8:$G$907,J912),SUMIFS(PARÂMETROS!$E$8:$E$907,PARÂMETROS!$A$8:$A$907,C912,PARÂMETROS!$G$8:$G$907,J912))</f>
        <v/>
      </c>
      <c r="E912" s="109">
        <f>SUMIFS(SETORES!$D:$D,SETORES!$A:$A,A912,SETORES!$F:$F,J912)</f>
        <v/>
      </c>
      <c r="F912" s="109">
        <f>IFERROR(D912*E912,0)</f>
        <v/>
      </c>
      <c r="G912" s="77">
        <f>SUMIFS(PARÂMETROS!$F$8:$F$907,PARÂMETROS!$A$8:$A$907,C912,PARÂMETROS!$G$8:$G$907,J912)</f>
        <v/>
      </c>
      <c r="H912" s="109">
        <f>IFERROR(F912*G912,0)</f>
        <v/>
      </c>
      <c r="I912" s="109">
        <f>F912+H912</f>
        <v/>
      </c>
      <c r="J912" s="106" t="inlineStr">
        <is>
          <t>Agosto/2026</t>
        </is>
      </c>
    </row>
    <row r="913" ht="14.25" customHeight="1" s="64">
      <c r="A913" s="74" t="inlineStr">
        <is>
          <t>NOC</t>
        </is>
      </c>
      <c r="B913" s="83">
        <f>INDEX(SETORES!$B:$B,MATCH(A913,SETORES!$A:$A,0))</f>
        <v/>
      </c>
      <c r="C913" s="74" t="inlineStr">
        <is>
          <t>Empresa Licenciada SOARES E SILVA</t>
        </is>
      </c>
      <c r="D913" s="72">
        <f>IF(B913="Clientes",SUMIFS(PARÂMETROS!$D$8:$D$907,PARÂMETROS!$A$8:$A$907,C913,PARÂMETROS!$G$8:$G$907,J913),SUMIFS(PARÂMETROS!$E$8:$E$907,PARÂMETROS!$A$8:$A$907,C913,PARÂMETROS!$G$8:$G$907,J913))</f>
        <v/>
      </c>
      <c r="E913" s="84">
        <f>SUMIFS(SETORES!$D:$D,SETORES!$A:$A,A913,SETORES!$F:$F,J913)</f>
        <v/>
      </c>
      <c r="F913" s="84">
        <f>IFERROR(D913*E913,0)</f>
        <v/>
      </c>
      <c r="G913" s="72">
        <f>SUMIFS(PARÂMETROS!$F$8:$F$907,PARÂMETROS!$A$8:$A$907,C913,PARÂMETROS!$G$8:$G$907,J913)</f>
        <v/>
      </c>
      <c r="H913" s="84">
        <f>IFERROR(F913*G913,0)</f>
        <v/>
      </c>
      <c r="I913" s="84">
        <f>F913+H913</f>
        <v/>
      </c>
      <c r="J913" s="74" t="inlineStr">
        <is>
          <t>Agosto/2026</t>
        </is>
      </c>
    </row>
    <row r="914" ht="14.25" customHeight="1" s="64">
      <c r="A914" s="106" t="inlineStr">
        <is>
          <t>NOC</t>
        </is>
      </c>
      <c r="B914" s="106">
        <f>INDEX(SETORES!$B:$B,MATCH(A914,SETORES!$A:$A,0))</f>
        <v/>
      </c>
      <c r="C914" s="106" t="inlineStr">
        <is>
          <t>Empresa Licenciada SOUZA E SILVA</t>
        </is>
      </c>
      <c r="D914" s="77">
        <f>IF(B914="Clientes",SUMIFS(PARÂMETROS!$D$8:$D$907,PARÂMETROS!$A$8:$A$907,C914,PARÂMETROS!$G$8:$G$907,J914),SUMIFS(PARÂMETROS!$E$8:$E$907,PARÂMETROS!$A$8:$A$907,C914,PARÂMETROS!$G$8:$G$907,J914))</f>
        <v/>
      </c>
      <c r="E914" s="109">
        <f>SUMIFS(SETORES!$D:$D,SETORES!$A:$A,A914,SETORES!$F:$F,J914)</f>
        <v/>
      </c>
      <c r="F914" s="109">
        <f>IFERROR(D914*E914,0)</f>
        <v/>
      </c>
      <c r="G914" s="77">
        <f>SUMIFS(PARÂMETROS!$F$8:$F$907,PARÂMETROS!$A$8:$A$907,C914,PARÂMETROS!$G$8:$G$907,J914)</f>
        <v/>
      </c>
      <c r="H914" s="109">
        <f>IFERROR(F914*G914,0)</f>
        <v/>
      </c>
      <c r="I914" s="109">
        <f>F914+H914</f>
        <v/>
      </c>
      <c r="J914" s="106" t="inlineStr">
        <is>
          <t>Agosto/2026</t>
        </is>
      </c>
    </row>
    <row r="915" ht="14.25" customHeight="1" s="64">
      <c r="A915" s="74" t="inlineStr">
        <is>
          <t>NOC</t>
        </is>
      </c>
      <c r="B915" s="83">
        <f>INDEX(SETORES!$B:$B,MATCH(A915,SETORES!$A:$A,0))</f>
        <v/>
      </c>
      <c r="C915" s="74" t="inlineStr">
        <is>
          <t>Empresa Licenciada VOICENET</t>
        </is>
      </c>
      <c r="D915" s="72">
        <f>IF(B915="Clientes",SUMIFS(PARÂMETROS!$D$8:$D$907,PARÂMETROS!$A$8:$A$907,C915,PARÂMETROS!$G$8:$G$907,J915),SUMIFS(PARÂMETROS!$E$8:$E$907,PARÂMETROS!$A$8:$A$907,C915,PARÂMETROS!$G$8:$G$907,J915))</f>
        <v/>
      </c>
      <c r="E915" s="84">
        <f>SUMIFS(SETORES!$D:$D,SETORES!$A:$A,A915,SETORES!$F:$F,J915)</f>
        <v/>
      </c>
      <c r="F915" s="84">
        <f>IFERROR(D915*E915,0)</f>
        <v/>
      </c>
      <c r="G915" s="72">
        <f>SUMIFS(PARÂMETROS!$F$8:$F$907,PARÂMETROS!$A$8:$A$907,C915,PARÂMETROS!$G$8:$G$907,J915)</f>
        <v/>
      </c>
      <c r="H915" s="84">
        <f>IFERROR(F915*G915,0)</f>
        <v/>
      </c>
      <c r="I915" s="84">
        <f>F915+H915</f>
        <v/>
      </c>
      <c r="J915" s="74" t="inlineStr">
        <is>
          <t>Agosto/2026</t>
        </is>
      </c>
    </row>
    <row r="916" ht="14.25" customHeight="1" s="64">
      <c r="A916" s="106" t="inlineStr">
        <is>
          <t>NOC</t>
        </is>
      </c>
      <c r="B916" s="106">
        <f>INDEX(SETORES!$B:$B,MATCH(A916,SETORES!$A:$A,0))</f>
        <v/>
      </c>
      <c r="C916" s="106" t="inlineStr">
        <is>
          <t>DTEL (uso próprio)</t>
        </is>
      </c>
      <c r="D916" s="77">
        <f>IF(B916="Clientes",SUMIFS(PARÂMETROS!$D$8:$D$907,PARÂMETROS!$A$8:$A$907,C916,PARÂMETROS!$G$8:$G$907,J916),SUMIFS(PARÂMETROS!$E$8:$E$907,PARÂMETROS!$A$8:$A$907,C916,PARÂMETROS!$G$8:$G$907,J916))</f>
        <v/>
      </c>
      <c r="E916" s="109">
        <f>SUMIFS(SETORES!$D:$D,SETORES!$A:$A,A916,SETORES!$F:$F,J916)</f>
        <v/>
      </c>
      <c r="F916" s="109">
        <f>IFERROR(D916*E916,0)</f>
        <v/>
      </c>
      <c r="G916" s="77">
        <f>SUMIFS(PARÂMETROS!$F$8:$F$907,PARÂMETROS!$A$8:$A$907,C916,PARÂMETROS!$G$8:$G$907,J916)</f>
        <v/>
      </c>
      <c r="H916" s="109">
        <f>IFERROR(F916*G916,0)</f>
        <v/>
      </c>
      <c r="I916" s="109">
        <f>F916+H916</f>
        <v/>
      </c>
      <c r="J916" s="106" t="inlineStr">
        <is>
          <t>Agosto/2026</t>
        </is>
      </c>
    </row>
    <row r="917" ht="14.25" customHeight="1" s="64">
      <c r="A917" s="74" t="inlineStr">
        <is>
          <t>RH</t>
        </is>
      </c>
      <c r="B917" s="83">
        <f>INDEX(SETORES!$B:$B,MATCH(A917,SETORES!$A:$A,0))</f>
        <v/>
      </c>
      <c r="C917" s="74" t="inlineStr">
        <is>
          <t>Empresa Licenciada DX2</t>
        </is>
      </c>
      <c r="D917" s="72">
        <f>IF(B917="Clientes",SUMIFS(PARÂMETROS!$D$8:$D$907,PARÂMETROS!$A$8:$A$907,C917,PARÂMETROS!$G$8:$G$907,J917),SUMIFS(PARÂMETROS!$E$8:$E$907,PARÂMETROS!$A$8:$A$907,C917,PARÂMETROS!$G$8:$G$907,J917))</f>
        <v/>
      </c>
      <c r="E917" s="84">
        <f>SUMIFS(SETORES!$D:$D,SETORES!$A:$A,A917,SETORES!$F:$F,J917)</f>
        <v/>
      </c>
      <c r="F917" s="84">
        <f>IFERROR(D917*E917,0)</f>
        <v/>
      </c>
      <c r="G917" s="72">
        <f>SUMIFS(PARÂMETROS!$F$8:$F$907,PARÂMETROS!$A$8:$A$907,C917,PARÂMETROS!$G$8:$G$907,J917)</f>
        <v/>
      </c>
      <c r="H917" s="84">
        <f>IFERROR(F917*G917,0)</f>
        <v/>
      </c>
      <c r="I917" s="84">
        <f>F917+H917</f>
        <v/>
      </c>
      <c r="J917" s="74" t="inlineStr">
        <is>
          <t>Agosto/2026</t>
        </is>
      </c>
    </row>
    <row r="918" ht="14.25" customHeight="1" s="64">
      <c r="A918" s="106" t="inlineStr">
        <is>
          <t>RH</t>
        </is>
      </c>
      <c r="B918" s="106">
        <f>INDEX(SETORES!$B:$B,MATCH(A918,SETORES!$A:$A,0))</f>
        <v/>
      </c>
      <c r="C918" s="106" t="inlineStr">
        <is>
          <t>Empresa Licenciada H&amp;A</t>
        </is>
      </c>
      <c r="D918" s="77">
        <f>IF(B918="Clientes",SUMIFS(PARÂMETROS!$D$8:$D$907,PARÂMETROS!$A$8:$A$907,C918,PARÂMETROS!$G$8:$G$907,J918),SUMIFS(PARÂMETROS!$E$8:$E$907,PARÂMETROS!$A$8:$A$907,C918,PARÂMETROS!$G$8:$G$907,J918))</f>
        <v/>
      </c>
      <c r="E918" s="109">
        <f>SUMIFS(SETORES!$D:$D,SETORES!$A:$A,A918,SETORES!$F:$F,J918)</f>
        <v/>
      </c>
      <c r="F918" s="109">
        <f>IFERROR(D918*E918,0)</f>
        <v/>
      </c>
      <c r="G918" s="77">
        <f>SUMIFS(PARÂMETROS!$F$8:$F$907,PARÂMETROS!$A$8:$A$907,C918,PARÂMETROS!$G$8:$G$907,J918)</f>
        <v/>
      </c>
      <c r="H918" s="109">
        <f>IFERROR(F918*G918,0)</f>
        <v/>
      </c>
      <c r="I918" s="109">
        <f>F918+H918</f>
        <v/>
      </c>
      <c r="J918" s="106" t="inlineStr">
        <is>
          <t>Agosto/2026</t>
        </is>
      </c>
    </row>
    <row r="919" ht="14.25" customHeight="1" s="64">
      <c r="A919" s="74" t="inlineStr">
        <is>
          <t>RH</t>
        </is>
      </c>
      <c r="B919" s="83">
        <f>INDEX(SETORES!$B:$B,MATCH(A919,SETORES!$A:$A,0))</f>
        <v/>
      </c>
      <c r="C919" s="74" t="inlineStr">
        <is>
          <t>Empresa Licenciada SOLON ARAUJO</t>
        </is>
      </c>
      <c r="D919" s="72">
        <f>IF(B919="Clientes",SUMIFS(PARÂMETROS!$D$8:$D$907,PARÂMETROS!$A$8:$A$907,C919,PARÂMETROS!$G$8:$G$907,J919),SUMIFS(PARÂMETROS!$E$8:$E$907,PARÂMETROS!$A$8:$A$907,C919,PARÂMETROS!$G$8:$G$907,J919))</f>
        <v/>
      </c>
      <c r="E919" s="84">
        <f>SUMIFS(SETORES!$D:$D,SETORES!$A:$A,A919,SETORES!$F:$F,J919)</f>
        <v/>
      </c>
      <c r="F919" s="84">
        <f>IFERROR(D919*E919,0)</f>
        <v/>
      </c>
      <c r="G919" s="72">
        <f>SUMIFS(PARÂMETROS!$F$8:$F$907,PARÂMETROS!$A$8:$A$907,C919,PARÂMETROS!$G$8:$G$907,J919)</f>
        <v/>
      </c>
      <c r="H919" s="84">
        <f>IFERROR(F919*G919,0)</f>
        <v/>
      </c>
      <c r="I919" s="84">
        <f>F919+H919</f>
        <v/>
      </c>
      <c r="J919" s="74" t="inlineStr">
        <is>
          <t>Agosto/2026</t>
        </is>
      </c>
    </row>
    <row r="920" ht="14.25" customHeight="1" s="64">
      <c r="A920" s="106" t="inlineStr">
        <is>
          <t>RH</t>
        </is>
      </c>
      <c r="B920" s="106">
        <f>INDEX(SETORES!$B:$B,MATCH(A920,SETORES!$A:$A,0))</f>
        <v/>
      </c>
      <c r="C920" s="106" t="inlineStr">
        <is>
          <t>Empresa Licenciada SOARES E LINS</t>
        </is>
      </c>
      <c r="D920" s="77">
        <f>IF(B920="Clientes",SUMIFS(PARÂMETROS!$D$8:$D$907,PARÂMETROS!$A$8:$A$907,C920,PARÂMETROS!$G$8:$G$907,J920),SUMIFS(PARÂMETROS!$E$8:$E$907,PARÂMETROS!$A$8:$A$907,C920,PARÂMETROS!$G$8:$G$907,J920))</f>
        <v/>
      </c>
      <c r="E920" s="109">
        <f>SUMIFS(SETORES!$D:$D,SETORES!$A:$A,A920,SETORES!$F:$F,J920)</f>
        <v/>
      </c>
      <c r="F920" s="109">
        <f>IFERROR(D920*E920,0)</f>
        <v/>
      </c>
      <c r="G920" s="77">
        <f>SUMIFS(PARÂMETROS!$F$8:$F$907,PARÂMETROS!$A$8:$A$907,C920,PARÂMETROS!$G$8:$G$907,J920)</f>
        <v/>
      </c>
      <c r="H920" s="109">
        <f>IFERROR(F920*G920,0)</f>
        <v/>
      </c>
      <c r="I920" s="109">
        <f>F920+H920</f>
        <v/>
      </c>
      <c r="J920" s="106" t="inlineStr">
        <is>
          <t>Agosto/2026</t>
        </is>
      </c>
    </row>
    <row r="921" ht="14.25" customHeight="1" s="64">
      <c r="A921" s="74" t="inlineStr">
        <is>
          <t>RH</t>
        </is>
      </c>
      <c r="B921" s="83">
        <f>INDEX(SETORES!$B:$B,MATCH(A921,SETORES!$A:$A,0))</f>
        <v/>
      </c>
      <c r="C921" s="74" t="inlineStr">
        <is>
          <t>Empresa Licenciada SOARES E SILVA</t>
        </is>
      </c>
      <c r="D921" s="72">
        <f>IF(B921="Clientes",SUMIFS(PARÂMETROS!$D$8:$D$907,PARÂMETROS!$A$8:$A$907,C921,PARÂMETROS!$G$8:$G$907,J921),SUMIFS(PARÂMETROS!$E$8:$E$907,PARÂMETROS!$A$8:$A$907,C921,PARÂMETROS!$G$8:$G$907,J921))</f>
        <v/>
      </c>
      <c r="E921" s="84">
        <f>SUMIFS(SETORES!$D:$D,SETORES!$A:$A,A921,SETORES!$F:$F,J921)</f>
        <v/>
      </c>
      <c r="F921" s="84">
        <f>IFERROR(D921*E921,0)</f>
        <v/>
      </c>
      <c r="G921" s="72">
        <f>SUMIFS(PARÂMETROS!$F$8:$F$907,PARÂMETROS!$A$8:$A$907,C921,PARÂMETROS!$G$8:$G$907,J921)</f>
        <v/>
      </c>
      <c r="H921" s="84">
        <f>IFERROR(F921*G921,0)</f>
        <v/>
      </c>
      <c r="I921" s="84">
        <f>F921+H921</f>
        <v/>
      </c>
      <c r="J921" s="74" t="inlineStr">
        <is>
          <t>Agosto/2026</t>
        </is>
      </c>
    </row>
    <row r="922" ht="14.25" customHeight="1" s="64">
      <c r="A922" s="106" t="inlineStr">
        <is>
          <t>RH</t>
        </is>
      </c>
      <c r="B922" s="106">
        <f>INDEX(SETORES!$B:$B,MATCH(A922,SETORES!$A:$A,0))</f>
        <v/>
      </c>
      <c r="C922" s="106" t="inlineStr">
        <is>
          <t>Empresa Licenciada SOUZA E SILVA</t>
        </is>
      </c>
      <c r="D922" s="77">
        <f>IF(B922="Clientes",SUMIFS(PARÂMETROS!$D$8:$D$907,PARÂMETROS!$A$8:$A$907,C922,PARÂMETROS!$G$8:$G$907,J922),SUMIFS(PARÂMETROS!$E$8:$E$907,PARÂMETROS!$A$8:$A$907,C922,PARÂMETROS!$G$8:$G$907,J922))</f>
        <v/>
      </c>
      <c r="E922" s="109">
        <f>SUMIFS(SETORES!$D:$D,SETORES!$A:$A,A922,SETORES!$F:$F,J922)</f>
        <v/>
      </c>
      <c r="F922" s="109">
        <f>IFERROR(D922*E922,0)</f>
        <v/>
      </c>
      <c r="G922" s="77">
        <f>SUMIFS(PARÂMETROS!$F$8:$F$907,PARÂMETROS!$A$8:$A$907,C922,PARÂMETROS!$G$8:$G$907,J922)</f>
        <v/>
      </c>
      <c r="H922" s="109">
        <f>IFERROR(F922*G922,0)</f>
        <v/>
      </c>
      <c r="I922" s="109">
        <f>F922+H922</f>
        <v/>
      </c>
      <c r="J922" s="106" t="inlineStr">
        <is>
          <t>Agosto/2026</t>
        </is>
      </c>
    </row>
    <row r="923" ht="14.25" customHeight="1" s="64">
      <c r="A923" s="74" t="inlineStr">
        <is>
          <t>RH</t>
        </is>
      </c>
      <c r="B923" s="83">
        <f>INDEX(SETORES!$B:$B,MATCH(A923,SETORES!$A:$A,0))</f>
        <v/>
      </c>
      <c r="C923" s="74" t="inlineStr">
        <is>
          <t>Empresa Licenciada VOICENET</t>
        </is>
      </c>
      <c r="D923" s="72">
        <f>IF(B923="Clientes",SUMIFS(PARÂMETROS!$D$8:$D$907,PARÂMETROS!$A$8:$A$907,C923,PARÂMETROS!$G$8:$G$907,J923),SUMIFS(PARÂMETROS!$E$8:$E$907,PARÂMETROS!$A$8:$A$907,C923,PARÂMETROS!$G$8:$G$907,J923))</f>
        <v/>
      </c>
      <c r="E923" s="84">
        <f>SUMIFS(SETORES!$D:$D,SETORES!$A:$A,A923,SETORES!$F:$F,J923)</f>
        <v/>
      </c>
      <c r="F923" s="84">
        <f>IFERROR(D923*E923,0)</f>
        <v/>
      </c>
      <c r="G923" s="72">
        <f>SUMIFS(PARÂMETROS!$F$8:$F$907,PARÂMETROS!$A$8:$A$907,C923,PARÂMETROS!$G$8:$G$907,J923)</f>
        <v/>
      </c>
      <c r="H923" s="84">
        <f>IFERROR(F923*G923,0)</f>
        <v/>
      </c>
      <c r="I923" s="84">
        <f>F923+H923</f>
        <v/>
      </c>
      <c r="J923" s="74" t="inlineStr">
        <is>
          <t>Agosto/2026</t>
        </is>
      </c>
    </row>
    <row r="924" ht="14.25" customHeight="1" s="64">
      <c r="A924" s="106" t="inlineStr">
        <is>
          <t>RH</t>
        </is>
      </c>
      <c r="B924" s="106">
        <f>INDEX(SETORES!$B:$B,MATCH(A924,SETORES!$A:$A,0))</f>
        <v/>
      </c>
      <c r="C924" s="106" t="inlineStr">
        <is>
          <t>DTEL (uso próprio)</t>
        </is>
      </c>
      <c r="D924" s="77">
        <f>IF(B924="Clientes",SUMIFS(PARÂMETROS!$D$8:$D$907,PARÂMETROS!$A$8:$A$907,C924,PARÂMETROS!$G$8:$G$907,J924),SUMIFS(PARÂMETROS!$E$8:$E$907,PARÂMETROS!$A$8:$A$907,C924,PARÂMETROS!$G$8:$G$907,J924))</f>
        <v/>
      </c>
      <c r="E924" s="109">
        <f>SUMIFS(SETORES!$D:$D,SETORES!$A:$A,A924,SETORES!$F:$F,J924)</f>
        <v/>
      </c>
      <c r="F924" s="109">
        <f>IFERROR(D924*E924,0)</f>
        <v/>
      </c>
      <c r="G924" s="77">
        <f>SUMIFS(PARÂMETROS!$F$8:$F$907,PARÂMETROS!$A$8:$A$907,C924,PARÂMETROS!$G$8:$G$907,J924)</f>
        <v/>
      </c>
      <c r="H924" s="109">
        <f>IFERROR(F924*G924,0)</f>
        <v/>
      </c>
      <c r="I924" s="109">
        <f>F924+H924</f>
        <v/>
      </c>
      <c r="J924" s="106" t="inlineStr">
        <is>
          <t>Agosto/2026</t>
        </is>
      </c>
    </row>
    <row r="925" ht="14.25" customHeight="1" s="64">
      <c r="A925" s="74" t="inlineStr">
        <is>
          <t>DP</t>
        </is>
      </c>
      <c r="B925" s="83">
        <f>INDEX(SETORES!$B:$B,MATCH(A925,SETORES!$A:$A,0))</f>
        <v/>
      </c>
      <c r="C925" s="74" t="inlineStr">
        <is>
          <t>Empresa Licenciada DX2</t>
        </is>
      </c>
      <c r="D925" s="72">
        <f>IF(B925="Clientes",SUMIFS(PARÂMETROS!$D$8:$D$907,PARÂMETROS!$A$8:$A$907,C925,PARÂMETROS!$G$8:$G$907,J925),SUMIFS(PARÂMETROS!$E$8:$E$907,PARÂMETROS!$A$8:$A$907,C925,PARÂMETROS!$G$8:$G$907,J925))</f>
        <v/>
      </c>
      <c r="E925" s="84">
        <f>SUMIFS(SETORES!$D:$D,SETORES!$A:$A,A925,SETORES!$F:$F,J925)</f>
        <v/>
      </c>
      <c r="F925" s="84">
        <f>IFERROR(D925*E925,0)</f>
        <v/>
      </c>
      <c r="G925" s="72">
        <f>SUMIFS(PARÂMETROS!$F$8:$F$907,PARÂMETROS!$A$8:$A$907,C925,PARÂMETROS!$G$8:$G$907,J925)</f>
        <v/>
      </c>
      <c r="H925" s="84">
        <f>IFERROR(F925*G925,0)</f>
        <v/>
      </c>
      <c r="I925" s="84">
        <f>F925+H925</f>
        <v/>
      </c>
      <c r="J925" s="74" t="inlineStr">
        <is>
          <t>Agosto/2026</t>
        </is>
      </c>
    </row>
    <row r="926" ht="14.25" customHeight="1" s="64">
      <c r="A926" s="106" t="inlineStr">
        <is>
          <t>DP</t>
        </is>
      </c>
      <c r="B926" s="106">
        <f>INDEX(SETORES!$B:$B,MATCH(A926,SETORES!$A:$A,0))</f>
        <v/>
      </c>
      <c r="C926" s="106" t="inlineStr">
        <is>
          <t>Empresa Licenciada H&amp;A</t>
        </is>
      </c>
      <c r="D926" s="77">
        <f>IF(B926="Clientes",SUMIFS(PARÂMETROS!$D$8:$D$907,PARÂMETROS!$A$8:$A$907,C926,PARÂMETROS!$G$8:$G$907,J926),SUMIFS(PARÂMETROS!$E$8:$E$907,PARÂMETROS!$A$8:$A$907,C926,PARÂMETROS!$G$8:$G$907,J926))</f>
        <v/>
      </c>
      <c r="E926" s="109">
        <f>SUMIFS(SETORES!$D:$D,SETORES!$A:$A,A926,SETORES!$F:$F,J926)</f>
        <v/>
      </c>
      <c r="F926" s="109">
        <f>IFERROR(D926*E926,0)</f>
        <v/>
      </c>
      <c r="G926" s="77">
        <f>SUMIFS(PARÂMETROS!$F$8:$F$907,PARÂMETROS!$A$8:$A$907,C926,PARÂMETROS!$G$8:$G$907,J926)</f>
        <v/>
      </c>
      <c r="H926" s="109">
        <f>IFERROR(F926*G926,0)</f>
        <v/>
      </c>
      <c r="I926" s="109">
        <f>F926+H926</f>
        <v/>
      </c>
      <c r="J926" s="106" t="inlineStr">
        <is>
          <t>Agosto/2026</t>
        </is>
      </c>
    </row>
    <row r="927" ht="14.25" customHeight="1" s="64">
      <c r="A927" s="74" t="inlineStr">
        <is>
          <t>DP</t>
        </is>
      </c>
      <c r="B927" s="83">
        <f>INDEX(SETORES!$B:$B,MATCH(A927,SETORES!$A:$A,0))</f>
        <v/>
      </c>
      <c r="C927" s="74" t="inlineStr">
        <is>
          <t>Empresa Licenciada SOLON ARAUJO</t>
        </is>
      </c>
      <c r="D927" s="72">
        <f>IF(B927="Clientes",SUMIFS(PARÂMETROS!$D$8:$D$907,PARÂMETROS!$A$8:$A$907,C927,PARÂMETROS!$G$8:$G$907,J927),SUMIFS(PARÂMETROS!$E$8:$E$907,PARÂMETROS!$A$8:$A$907,C927,PARÂMETROS!$G$8:$G$907,J927))</f>
        <v/>
      </c>
      <c r="E927" s="84">
        <f>SUMIFS(SETORES!$D:$D,SETORES!$A:$A,A927,SETORES!$F:$F,J927)</f>
        <v/>
      </c>
      <c r="F927" s="84">
        <f>IFERROR(D927*E927,0)</f>
        <v/>
      </c>
      <c r="G927" s="72">
        <f>SUMIFS(PARÂMETROS!$F$8:$F$907,PARÂMETROS!$A$8:$A$907,C927,PARÂMETROS!$G$8:$G$907,J927)</f>
        <v/>
      </c>
      <c r="H927" s="84">
        <f>IFERROR(F927*G927,0)</f>
        <v/>
      </c>
      <c r="I927" s="84">
        <f>F927+H927</f>
        <v/>
      </c>
      <c r="J927" s="74" t="inlineStr">
        <is>
          <t>Agosto/2026</t>
        </is>
      </c>
    </row>
    <row r="928" ht="14.25" customHeight="1" s="64">
      <c r="A928" s="106" t="inlineStr">
        <is>
          <t>DP</t>
        </is>
      </c>
      <c r="B928" s="106">
        <f>INDEX(SETORES!$B:$B,MATCH(A928,SETORES!$A:$A,0))</f>
        <v/>
      </c>
      <c r="C928" s="106" t="inlineStr">
        <is>
          <t>Empresa Licenciada SOARES E LINS</t>
        </is>
      </c>
      <c r="D928" s="77">
        <f>IF(B928="Clientes",SUMIFS(PARÂMETROS!$D$8:$D$907,PARÂMETROS!$A$8:$A$907,C928,PARÂMETROS!$G$8:$G$907,J928),SUMIFS(PARÂMETROS!$E$8:$E$907,PARÂMETROS!$A$8:$A$907,C928,PARÂMETROS!$G$8:$G$907,J928))</f>
        <v/>
      </c>
      <c r="E928" s="109">
        <f>SUMIFS(SETORES!$D:$D,SETORES!$A:$A,A928,SETORES!$F:$F,J928)</f>
        <v/>
      </c>
      <c r="F928" s="109">
        <f>IFERROR(D928*E928,0)</f>
        <v/>
      </c>
      <c r="G928" s="77">
        <f>SUMIFS(PARÂMETROS!$F$8:$F$907,PARÂMETROS!$A$8:$A$907,C928,PARÂMETROS!$G$8:$G$907,J928)</f>
        <v/>
      </c>
      <c r="H928" s="109">
        <f>IFERROR(F928*G928,0)</f>
        <v/>
      </c>
      <c r="I928" s="109">
        <f>F928+H928</f>
        <v/>
      </c>
      <c r="J928" s="106" t="inlineStr">
        <is>
          <t>Agosto/2026</t>
        </is>
      </c>
    </row>
    <row r="929" ht="14.25" customHeight="1" s="64">
      <c r="A929" s="74" t="inlineStr">
        <is>
          <t>DP</t>
        </is>
      </c>
      <c r="B929" s="83">
        <f>INDEX(SETORES!$B:$B,MATCH(A929,SETORES!$A:$A,0))</f>
        <v/>
      </c>
      <c r="C929" s="74" t="inlineStr">
        <is>
          <t>Empresa Licenciada SOARES E SILVA</t>
        </is>
      </c>
      <c r="D929" s="72">
        <f>IF(B929="Clientes",SUMIFS(PARÂMETROS!$D$8:$D$907,PARÂMETROS!$A$8:$A$907,C929,PARÂMETROS!$G$8:$G$907,J929),SUMIFS(PARÂMETROS!$E$8:$E$907,PARÂMETROS!$A$8:$A$907,C929,PARÂMETROS!$G$8:$G$907,J929))</f>
        <v/>
      </c>
      <c r="E929" s="84">
        <f>SUMIFS(SETORES!$D:$D,SETORES!$A:$A,A929,SETORES!$F:$F,J929)</f>
        <v/>
      </c>
      <c r="F929" s="84">
        <f>IFERROR(D929*E929,0)</f>
        <v/>
      </c>
      <c r="G929" s="72">
        <f>SUMIFS(PARÂMETROS!$F$8:$F$907,PARÂMETROS!$A$8:$A$907,C929,PARÂMETROS!$G$8:$G$907,J929)</f>
        <v/>
      </c>
      <c r="H929" s="84">
        <f>IFERROR(F929*G929,0)</f>
        <v/>
      </c>
      <c r="I929" s="84">
        <f>F929+H929</f>
        <v/>
      </c>
      <c r="J929" s="74" t="inlineStr">
        <is>
          <t>Agosto/2026</t>
        </is>
      </c>
    </row>
    <row r="930" ht="14.25" customHeight="1" s="64">
      <c r="A930" s="106" t="inlineStr">
        <is>
          <t>DP</t>
        </is>
      </c>
      <c r="B930" s="106">
        <f>INDEX(SETORES!$B:$B,MATCH(A930,SETORES!$A:$A,0))</f>
        <v/>
      </c>
      <c r="C930" s="106" t="inlineStr">
        <is>
          <t>Empresa Licenciada SOUZA E SILVA</t>
        </is>
      </c>
      <c r="D930" s="77">
        <f>IF(B930="Clientes",SUMIFS(PARÂMETROS!$D$8:$D$907,PARÂMETROS!$A$8:$A$907,C930,PARÂMETROS!$G$8:$G$907,J930),SUMIFS(PARÂMETROS!$E$8:$E$907,PARÂMETROS!$A$8:$A$907,C930,PARÂMETROS!$G$8:$G$907,J930))</f>
        <v/>
      </c>
      <c r="E930" s="109">
        <f>SUMIFS(SETORES!$D:$D,SETORES!$A:$A,A930,SETORES!$F:$F,J930)</f>
        <v/>
      </c>
      <c r="F930" s="109">
        <f>IFERROR(D930*E930,0)</f>
        <v/>
      </c>
      <c r="G930" s="77">
        <f>SUMIFS(PARÂMETROS!$F$8:$F$907,PARÂMETROS!$A$8:$A$907,C930,PARÂMETROS!$G$8:$G$907,J930)</f>
        <v/>
      </c>
      <c r="H930" s="109">
        <f>IFERROR(F930*G930,0)</f>
        <v/>
      </c>
      <c r="I930" s="109">
        <f>F930+H930</f>
        <v/>
      </c>
      <c r="J930" s="106" t="inlineStr">
        <is>
          <t>Agosto/2026</t>
        </is>
      </c>
    </row>
    <row r="931" ht="14.25" customHeight="1" s="64">
      <c r="A931" s="74" t="inlineStr">
        <is>
          <t>DP</t>
        </is>
      </c>
      <c r="B931" s="83">
        <f>INDEX(SETORES!$B:$B,MATCH(A931,SETORES!$A:$A,0))</f>
        <v/>
      </c>
      <c r="C931" s="74" t="inlineStr">
        <is>
          <t>Empresa Licenciada VOICENET</t>
        </is>
      </c>
      <c r="D931" s="72">
        <f>IF(B931="Clientes",SUMIFS(PARÂMETROS!$D$8:$D$907,PARÂMETROS!$A$8:$A$907,C931,PARÂMETROS!$G$8:$G$907,J931),SUMIFS(PARÂMETROS!$E$8:$E$907,PARÂMETROS!$A$8:$A$907,C931,PARÂMETROS!$G$8:$G$907,J931))</f>
        <v/>
      </c>
      <c r="E931" s="84">
        <f>SUMIFS(SETORES!$D:$D,SETORES!$A:$A,A931,SETORES!$F:$F,J931)</f>
        <v/>
      </c>
      <c r="F931" s="84">
        <f>IFERROR(D931*E931,0)</f>
        <v/>
      </c>
      <c r="G931" s="72">
        <f>SUMIFS(PARÂMETROS!$F$8:$F$907,PARÂMETROS!$A$8:$A$907,C931,PARÂMETROS!$G$8:$G$907,J931)</f>
        <v/>
      </c>
      <c r="H931" s="84">
        <f>IFERROR(F931*G931,0)</f>
        <v/>
      </c>
      <c r="I931" s="84">
        <f>F931+H931</f>
        <v/>
      </c>
      <c r="J931" s="74" t="inlineStr">
        <is>
          <t>Agosto/2026</t>
        </is>
      </c>
    </row>
    <row r="932" ht="14.25" customHeight="1" s="64">
      <c r="A932" s="106" t="inlineStr">
        <is>
          <t>DP</t>
        </is>
      </c>
      <c r="B932" s="106">
        <f>INDEX(SETORES!$B:$B,MATCH(A932,SETORES!$A:$A,0))</f>
        <v/>
      </c>
      <c r="C932" s="106" t="inlineStr">
        <is>
          <t>DTEL (uso próprio)</t>
        </is>
      </c>
      <c r="D932" s="77">
        <f>IF(B932="Clientes",SUMIFS(PARÂMETROS!$D$8:$D$907,PARÂMETROS!$A$8:$A$907,C932,PARÂMETROS!$G$8:$G$907,J932),SUMIFS(PARÂMETROS!$E$8:$E$907,PARÂMETROS!$A$8:$A$907,C932,PARÂMETROS!$G$8:$G$907,J932))</f>
        <v/>
      </c>
      <c r="E932" s="109">
        <f>SUMIFS(SETORES!$D:$D,SETORES!$A:$A,A932,SETORES!$F:$F,J932)</f>
        <v/>
      </c>
      <c r="F932" s="109">
        <f>IFERROR(D932*E932,0)</f>
        <v/>
      </c>
      <c r="G932" s="77">
        <f>SUMIFS(PARÂMETROS!$F$8:$F$907,PARÂMETROS!$A$8:$A$907,C932,PARÂMETROS!$G$8:$G$907,J932)</f>
        <v/>
      </c>
      <c r="H932" s="109">
        <f>IFERROR(F932*G932,0)</f>
        <v/>
      </c>
      <c r="I932" s="109">
        <f>F932+H932</f>
        <v/>
      </c>
      <c r="J932" s="106" t="inlineStr">
        <is>
          <t>Agosto/2026</t>
        </is>
      </c>
    </row>
    <row r="933" ht="14.25" customHeight="1" s="64">
      <c r="A933" s="74" t="inlineStr">
        <is>
          <t>Gestão de Atendimento</t>
        </is>
      </c>
      <c r="B933" s="83">
        <f>INDEX(SETORES!$B:$B,MATCH(A933,SETORES!$A:$A,0))</f>
        <v/>
      </c>
      <c r="C933" s="74" t="inlineStr">
        <is>
          <t>Empresa Licenciada DX2</t>
        </is>
      </c>
      <c r="D933" s="72">
        <f>IF(B933="Clientes",SUMIFS(PARÂMETROS!$D$8:$D$907,PARÂMETROS!$A$8:$A$907,C933,PARÂMETROS!$G$8:$G$907,J933),SUMIFS(PARÂMETROS!$E$8:$E$907,PARÂMETROS!$A$8:$A$907,C933,PARÂMETROS!$G$8:$G$907,J933))</f>
        <v/>
      </c>
      <c r="E933" s="84">
        <f>SUMIFS(SETORES!$D:$D,SETORES!$A:$A,A933,SETORES!$F:$F,J933)</f>
        <v/>
      </c>
      <c r="F933" s="84">
        <f>IFERROR(D933*E933,0)</f>
        <v/>
      </c>
      <c r="G933" s="72">
        <f>SUMIFS(PARÂMETROS!$F$8:$F$907,PARÂMETROS!$A$8:$A$907,C933,PARÂMETROS!$G$8:$G$907,J933)</f>
        <v/>
      </c>
      <c r="H933" s="84">
        <f>IFERROR(F933*G933,0)</f>
        <v/>
      </c>
      <c r="I933" s="84">
        <f>F933+H933</f>
        <v/>
      </c>
      <c r="J933" s="74" t="inlineStr">
        <is>
          <t>Agosto/2026</t>
        </is>
      </c>
    </row>
    <row r="934" ht="14.25" customHeight="1" s="64">
      <c r="A934" s="106" t="inlineStr">
        <is>
          <t>Gestão de Atendimento</t>
        </is>
      </c>
      <c r="B934" s="106">
        <f>INDEX(SETORES!$B:$B,MATCH(A934,SETORES!$A:$A,0))</f>
        <v/>
      </c>
      <c r="C934" s="106" t="inlineStr">
        <is>
          <t>Empresa Licenciada H&amp;A</t>
        </is>
      </c>
      <c r="D934" s="77">
        <f>IF(B934="Clientes",SUMIFS(PARÂMETROS!$D$8:$D$907,PARÂMETROS!$A$8:$A$907,C934,PARÂMETROS!$G$8:$G$907,J934),SUMIFS(PARÂMETROS!$E$8:$E$907,PARÂMETROS!$A$8:$A$907,C934,PARÂMETROS!$G$8:$G$907,J934))</f>
        <v/>
      </c>
      <c r="E934" s="109">
        <f>SUMIFS(SETORES!$D:$D,SETORES!$A:$A,A934,SETORES!$F:$F,J934)</f>
        <v/>
      </c>
      <c r="F934" s="109">
        <f>IFERROR(D934*E934,0)</f>
        <v/>
      </c>
      <c r="G934" s="77">
        <f>SUMIFS(PARÂMETROS!$F$8:$F$907,PARÂMETROS!$A$8:$A$907,C934,PARÂMETROS!$G$8:$G$907,J934)</f>
        <v/>
      </c>
      <c r="H934" s="109">
        <f>IFERROR(F934*G934,0)</f>
        <v/>
      </c>
      <c r="I934" s="109">
        <f>F934+H934</f>
        <v/>
      </c>
      <c r="J934" s="106" t="inlineStr">
        <is>
          <t>Agosto/2026</t>
        </is>
      </c>
    </row>
    <row r="935" ht="14.25" customHeight="1" s="64">
      <c r="A935" s="74" t="inlineStr">
        <is>
          <t>Gestão de Atendimento</t>
        </is>
      </c>
      <c r="B935" s="83">
        <f>INDEX(SETORES!$B:$B,MATCH(A935,SETORES!$A:$A,0))</f>
        <v/>
      </c>
      <c r="C935" s="74" t="inlineStr">
        <is>
          <t>Empresa Licenciada SOLON ARAUJO</t>
        </is>
      </c>
      <c r="D935" s="72">
        <f>IF(B935="Clientes",SUMIFS(PARÂMETROS!$D$8:$D$907,PARÂMETROS!$A$8:$A$907,C935,PARÂMETROS!$G$8:$G$907,J935),SUMIFS(PARÂMETROS!$E$8:$E$907,PARÂMETROS!$A$8:$A$907,C935,PARÂMETROS!$G$8:$G$907,J935))</f>
        <v/>
      </c>
      <c r="E935" s="84">
        <f>SUMIFS(SETORES!$D:$D,SETORES!$A:$A,A935,SETORES!$F:$F,J935)</f>
        <v/>
      </c>
      <c r="F935" s="84">
        <f>IFERROR(D935*E935,0)</f>
        <v/>
      </c>
      <c r="G935" s="72">
        <f>SUMIFS(PARÂMETROS!$F$8:$F$907,PARÂMETROS!$A$8:$A$907,C935,PARÂMETROS!$G$8:$G$907,J935)</f>
        <v/>
      </c>
      <c r="H935" s="84">
        <f>IFERROR(F935*G935,0)</f>
        <v/>
      </c>
      <c r="I935" s="84">
        <f>F935+H935</f>
        <v/>
      </c>
      <c r="J935" s="74" t="inlineStr">
        <is>
          <t>Agosto/2026</t>
        </is>
      </c>
    </row>
    <row r="936" ht="14.25" customHeight="1" s="64">
      <c r="A936" s="106" t="inlineStr">
        <is>
          <t>Gestão de Atendimento</t>
        </is>
      </c>
      <c r="B936" s="106">
        <f>INDEX(SETORES!$B:$B,MATCH(A936,SETORES!$A:$A,0))</f>
        <v/>
      </c>
      <c r="C936" s="106" t="inlineStr">
        <is>
          <t>Empresa Licenciada SOARES E LINS</t>
        </is>
      </c>
      <c r="D936" s="77">
        <f>IF(B936="Clientes",SUMIFS(PARÂMETROS!$D$8:$D$907,PARÂMETROS!$A$8:$A$907,C936,PARÂMETROS!$G$8:$G$907,J936),SUMIFS(PARÂMETROS!$E$8:$E$907,PARÂMETROS!$A$8:$A$907,C936,PARÂMETROS!$G$8:$G$907,J936))</f>
        <v/>
      </c>
      <c r="E936" s="109">
        <f>SUMIFS(SETORES!$D:$D,SETORES!$A:$A,A936,SETORES!$F:$F,J936)</f>
        <v/>
      </c>
      <c r="F936" s="109">
        <f>IFERROR(D936*E936,0)</f>
        <v/>
      </c>
      <c r="G936" s="77">
        <f>SUMIFS(PARÂMETROS!$F$8:$F$907,PARÂMETROS!$A$8:$A$907,C936,PARÂMETROS!$G$8:$G$907,J936)</f>
        <v/>
      </c>
      <c r="H936" s="109">
        <f>IFERROR(F936*G936,0)</f>
        <v/>
      </c>
      <c r="I936" s="109">
        <f>F936+H936</f>
        <v/>
      </c>
      <c r="J936" s="106" t="inlineStr">
        <is>
          <t>Agosto/2026</t>
        </is>
      </c>
    </row>
    <row r="937" ht="14.25" customHeight="1" s="64">
      <c r="A937" s="74" t="inlineStr">
        <is>
          <t>Gestão de Atendimento</t>
        </is>
      </c>
      <c r="B937" s="83">
        <f>INDEX(SETORES!$B:$B,MATCH(A937,SETORES!$A:$A,0))</f>
        <v/>
      </c>
      <c r="C937" s="74" t="inlineStr">
        <is>
          <t>Empresa Licenciada SOARES E SILVA</t>
        </is>
      </c>
      <c r="D937" s="72">
        <f>IF(B937="Clientes",SUMIFS(PARÂMETROS!$D$8:$D$907,PARÂMETROS!$A$8:$A$907,C937,PARÂMETROS!$G$8:$G$907,J937),SUMIFS(PARÂMETROS!$E$8:$E$907,PARÂMETROS!$A$8:$A$907,C937,PARÂMETROS!$G$8:$G$907,J937))</f>
        <v/>
      </c>
      <c r="E937" s="84">
        <f>SUMIFS(SETORES!$D:$D,SETORES!$A:$A,A937,SETORES!$F:$F,J937)</f>
        <v/>
      </c>
      <c r="F937" s="84">
        <f>IFERROR(D937*E937,0)</f>
        <v/>
      </c>
      <c r="G937" s="72">
        <f>SUMIFS(PARÂMETROS!$F$8:$F$907,PARÂMETROS!$A$8:$A$907,C937,PARÂMETROS!$G$8:$G$907,J937)</f>
        <v/>
      </c>
      <c r="H937" s="84">
        <f>IFERROR(F937*G937,0)</f>
        <v/>
      </c>
      <c r="I937" s="84">
        <f>F937+H937</f>
        <v/>
      </c>
      <c r="J937" s="74" t="inlineStr">
        <is>
          <t>Agosto/2026</t>
        </is>
      </c>
    </row>
    <row r="938" ht="14.25" customHeight="1" s="64">
      <c r="A938" s="106" t="inlineStr">
        <is>
          <t>Gestão de Atendimento</t>
        </is>
      </c>
      <c r="B938" s="106">
        <f>INDEX(SETORES!$B:$B,MATCH(A938,SETORES!$A:$A,0))</f>
        <v/>
      </c>
      <c r="C938" s="106" t="inlineStr">
        <is>
          <t>Empresa Licenciada SOUZA E SILVA</t>
        </is>
      </c>
      <c r="D938" s="77">
        <f>IF(B938="Clientes",SUMIFS(PARÂMETROS!$D$8:$D$907,PARÂMETROS!$A$8:$A$907,C938,PARÂMETROS!$G$8:$G$907,J938),SUMIFS(PARÂMETROS!$E$8:$E$907,PARÂMETROS!$A$8:$A$907,C938,PARÂMETROS!$G$8:$G$907,J938))</f>
        <v/>
      </c>
      <c r="E938" s="109">
        <f>SUMIFS(SETORES!$D:$D,SETORES!$A:$A,A938,SETORES!$F:$F,J938)</f>
        <v/>
      </c>
      <c r="F938" s="109">
        <f>IFERROR(D938*E938,0)</f>
        <v/>
      </c>
      <c r="G938" s="77">
        <f>SUMIFS(PARÂMETROS!$F$8:$F$907,PARÂMETROS!$A$8:$A$907,C938,PARÂMETROS!$G$8:$G$907,J938)</f>
        <v/>
      </c>
      <c r="H938" s="109">
        <f>IFERROR(F938*G938,0)</f>
        <v/>
      </c>
      <c r="I938" s="109">
        <f>F938+H938</f>
        <v/>
      </c>
      <c r="J938" s="106" t="inlineStr">
        <is>
          <t>Agosto/2026</t>
        </is>
      </c>
    </row>
    <row r="939" ht="14.25" customHeight="1" s="64">
      <c r="A939" s="74" t="inlineStr">
        <is>
          <t>Gestão de Atendimento</t>
        </is>
      </c>
      <c r="B939" s="83">
        <f>INDEX(SETORES!$B:$B,MATCH(A939,SETORES!$A:$A,0))</f>
        <v/>
      </c>
      <c r="C939" s="74" t="inlineStr">
        <is>
          <t>Empresa Licenciada VOICENET</t>
        </is>
      </c>
      <c r="D939" s="72">
        <f>IF(B939="Clientes",SUMIFS(PARÂMETROS!$D$8:$D$907,PARÂMETROS!$A$8:$A$907,C939,PARÂMETROS!$G$8:$G$907,J939),SUMIFS(PARÂMETROS!$E$8:$E$907,PARÂMETROS!$A$8:$A$907,C939,PARÂMETROS!$G$8:$G$907,J939))</f>
        <v/>
      </c>
      <c r="E939" s="84">
        <f>SUMIFS(SETORES!$D:$D,SETORES!$A:$A,A939,SETORES!$F:$F,J939)</f>
        <v/>
      </c>
      <c r="F939" s="84">
        <f>IFERROR(D939*E939,0)</f>
        <v/>
      </c>
      <c r="G939" s="72">
        <f>SUMIFS(PARÂMETROS!$F$8:$F$907,PARÂMETROS!$A$8:$A$907,C939,PARÂMETROS!$G$8:$G$907,J939)</f>
        <v/>
      </c>
      <c r="H939" s="84">
        <f>IFERROR(F939*G939,0)</f>
        <v/>
      </c>
      <c r="I939" s="84">
        <f>F939+H939</f>
        <v/>
      </c>
      <c r="J939" s="74" t="inlineStr">
        <is>
          <t>Agosto/2026</t>
        </is>
      </c>
    </row>
    <row r="940" ht="14.25" customHeight="1" s="64">
      <c r="A940" s="106" t="inlineStr">
        <is>
          <t>Gestão de Atendimento</t>
        </is>
      </c>
      <c r="B940" s="106">
        <f>INDEX(SETORES!$B:$B,MATCH(A940,SETORES!$A:$A,0))</f>
        <v/>
      </c>
      <c r="C940" s="106" t="inlineStr">
        <is>
          <t>DTEL (uso próprio)</t>
        </is>
      </c>
      <c r="D940" s="77">
        <f>IF(B940="Clientes",SUMIFS(PARÂMETROS!$D$8:$D$907,PARÂMETROS!$A$8:$A$907,C940,PARÂMETROS!$G$8:$G$907,J940),SUMIFS(PARÂMETROS!$E$8:$E$907,PARÂMETROS!$A$8:$A$907,C940,PARÂMETROS!$G$8:$G$907,J940))</f>
        <v/>
      </c>
      <c r="E940" s="109">
        <f>SUMIFS(SETORES!$D:$D,SETORES!$A:$A,A940,SETORES!$F:$F,J940)</f>
        <v/>
      </c>
      <c r="F940" s="109">
        <f>IFERROR(D940*E940,0)</f>
        <v/>
      </c>
      <c r="G940" s="77">
        <f>SUMIFS(PARÂMETROS!$F$8:$F$907,PARÂMETROS!$A$8:$A$907,C940,PARÂMETROS!$G$8:$G$907,J940)</f>
        <v/>
      </c>
      <c r="H940" s="109">
        <f>IFERROR(F940*G940,0)</f>
        <v/>
      </c>
      <c r="I940" s="109">
        <f>F940+H940</f>
        <v/>
      </c>
      <c r="J940" s="106" t="inlineStr">
        <is>
          <t>Agosto/2026</t>
        </is>
      </c>
    </row>
    <row r="941" ht="14.25" customHeight="1" s="64">
      <c r="A941" s="74" t="inlineStr">
        <is>
          <t>CAC</t>
        </is>
      </c>
      <c r="B941" s="83">
        <f>INDEX(SETORES!$B:$B,MATCH(A941,SETORES!$A:$A,0))</f>
        <v/>
      </c>
      <c r="C941" s="74" t="inlineStr">
        <is>
          <t>Empresa Licenciada DX2</t>
        </is>
      </c>
      <c r="D941" s="72">
        <f>IF(B941="Clientes",SUMIFS(PARÂMETROS!$D$8:$D$907,PARÂMETROS!$A$8:$A$907,C941,PARÂMETROS!$G$8:$G$907,J941),SUMIFS(PARÂMETROS!$E$8:$E$907,PARÂMETROS!$A$8:$A$907,C941,PARÂMETROS!$G$8:$G$907,J941))</f>
        <v/>
      </c>
      <c r="E941" s="84">
        <f>SUMIFS(SETORES!$D:$D,SETORES!$A:$A,A941,SETORES!$F:$F,J941)</f>
        <v/>
      </c>
      <c r="F941" s="84">
        <f>IFERROR(D941*E941,0)</f>
        <v/>
      </c>
      <c r="G941" s="72">
        <f>SUMIFS(PARÂMETROS!$F$8:$F$907,PARÂMETROS!$A$8:$A$907,C941,PARÂMETROS!$G$8:$G$907,J941)</f>
        <v/>
      </c>
      <c r="H941" s="84">
        <f>IFERROR(F941*G941,0)</f>
        <v/>
      </c>
      <c r="I941" s="84">
        <f>F941+H941</f>
        <v/>
      </c>
      <c r="J941" s="74" t="inlineStr">
        <is>
          <t>Agosto/2026</t>
        </is>
      </c>
    </row>
    <row r="942" ht="14.25" customHeight="1" s="64">
      <c r="A942" s="106" t="inlineStr">
        <is>
          <t>CAC</t>
        </is>
      </c>
      <c r="B942" s="106">
        <f>INDEX(SETORES!$B:$B,MATCH(A942,SETORES!$A:$A,0))</f>
        <v/>
      </c>
      <c r="C942" s="106" t="inlineStr">
        <is>
          <t>Empresa Licenciada H&amp;A</t>
        </is>
      </c>
      <c r="D942" s="77">
        <f>IF(B942="Clientes",SUMIFS(PARÂMETROS!$D$8:$D$907,PARÂMETROS!$A$8:$A$907,C942,PARÂMETROS!$G$8:$G$907,J942),SUMIFS(PARÂMETROS!$E$8:$E$907,PARÂMETROS!$A$8:$A$907,C942,PARÂMETROS!$G$8:$G$907,J942))</f>
        <v/>
      </c>
      <c r="E942" s="109">
        <f>SUMIFS(SETORES!$D:$D,SETORES!$A:$A,A942,SETORES!$F:$F,J942)</f>
        <v/>
      </c>
      <c r="F942" s="109">
        <f>IFERROR(D942*E942,0)</f>
        <v/>
      </c>
      <c r="G942" s="77">
        <f>SUMIFS(PARÂMETROS!$F$8:$F$907,PARÂMETROS!$A$8:$A$907,C942,PARÂMETROS!$G$8:$G$907,J942)</f>
        <v/>
      </c>
      <c r="H942" s="109">
        <f>IFERROR(F942*G942,0)</f>
        <v/>
      </c>
      <c r="I942" s="109">
        <f>F942+H942</f>
        <v/>
      </c>
      <c r="J942" s="106" t="inlineStr">
        <is>
          <t>Agosto/2026</t>
        </is>
      </c>
    </row>
    <row r="943" ht="14.25" customHeight="1" s="64">
      <c r="A943" s="74" t="inlineStr">
        <is>
          <t>CAC</t>
        </is>
      </c>
      <c r="B943" s="83">
        <f>INDEX(SETORES!$B:$B,MATCH(A943,SETORES!$A:$A,0))</f>
        <v/>
      </c>
      <c r="C943" s="74" t="inlineStr">
        <is>
          <t>Empresa Licenciada SOLON ARAUJO</t>
        </is>
      </c>
      <c r="D943" s="72">
        <f>IF(B943="Clientes",SUMIFS(PARÂMETROS!$D$8:$D$907,PARÂMETROS!$A$8:$A$907,C943,PARÂMETROS!$G$8:$G$907,J943),SUMIFS(PARÂMETROS!$E$8:$E$907,PARÂMETROS!$A$8:$A$907,C943,PARÂMETROS!$G$8:$G$907,J943))</f>
        <v/>
      </c>
      <c r="E943" s="84">
        <f>SUMIFS(SETORES!$D:$D,SETORES!$A:$A,A943,SETORES!$F:$F,J943)</f>
        <v/>
      </c>
      <c r="F943" s="84">
        <f>IFERROR(D943*E943,0)</f>
        <v/>
      </c>
      <c r="G943" s="72">
        <f>SUMIFS(PARÂMETROS!$F$8:$F$907,PARÂMETROS!$A$8:$A$907,C943,PARÂMETROS!$G$8:$G$907,J943)</f>
        <v/>
      </c>
      <c r="H943" s="84">
        <f>IFERROR(F943*G943,0)</f>
        <v/>
      </c>
      <c r="I943" s="84">
        <f>F943+H943</f>
        <v/>
      </c>
      <c r="J943" s="74" t="inlineStr">
        <is>
          <t>Agosto/2026</t>
        </is>
      </c>
    </row>
    <row r="944" ht="14.25" customHeight="1" s="64">
      <c r="A944" s="106" t="inlineStr">
        <is>
          <t>CAC</t>
        </is>
      </c>
      <c r="B944" s="106">
        <f>INDEX(SETORES!$B:$B,MATCH(A944,SETORES!$A:$A,0))</f>
        <v/>
      </c>
      <c r="C944" s="106" t="inlineStr">
        <is>
          <t>Empresa Licenciada SOARES E LINS</t>
        </is>
      </c>
      <c r="D944" s="77">
        <f>IF(B944="Clientes",SUMIFS(PARÂMETROS!$D$8:$D$907,PARÂMETROS!$A$8:$A$907,C944,PARÂMETROS!$G$8:$G$907,J944),SUMIFS(PARÂMETROS!$E$8:$E$907,PARÂMETROS!$A$8:$A$907,C944,PARÂMETROS!$G$8:$G$907,J944))</f>
        <v/>
      </c>
      <c r="E944" s="109">
        <f>SUMIFS(SETORES!$D:$D,SETORES!$A:$A,A944,SETORES!$F:$F,J944)</f>
        <v/>
      </c>
      <c r="F944" s="109">
        <f>IFERROR(D944*E944,0)</f>
        <v/>
      </c>
      <c r="G944" s="77">
        <f>SUMIFS(PARÂMETROS!$F$8:$F$907,PARÂMETROS!$A$8:$A$907,C944,PARÂMETROS!$G$8:$G$907,J944)</f>
        <v/>
      </c>
      <c r="H944" s="109">
        <f>IFERROR(F944*G944,0)</f>
        <v/>
      </c>
      <c r="I944" s="109">
        <f>F944+H944</f>
        <v/>
      </c>
      <c r="J944" s="106" t="inlineStr">
        <is>
          <t>Agosto/2026</t>
        </is>
      </c>
    </row>
    <row r="945" ht="14.25" customHeight="1" s="64">
      <c r="A945" s="74" t="inlineStr">
        <is>
          <t>CAC</t>
        </is>
      </c>
      <c r="B945" s="83">
        <f>INDEX(SETORES!$B:$B,MATCH(A945,SETORES!$A:$A,0))</f>
        <v/>
      </c>
      <c r="C945" s="74" t="inlineStr">
        <is>
          <t>Empresa Licenciada SOARES E SILVA</t>
        </is>
      </c>
      <c r="D945" s="72">
        <f>IF(B945="Clientes",SUMIFS(PARÂMETROS!$D$8:$D$907,PARÂMETROS!$A$8:$A$907,C945,PARÂMETROS!$G$8:$G$907,J945),SUMIFS(PARÂMETROS!$E$8:$E$907,PARÂMETROS!$A$8:$A$907,C945,PARÂMETROS!$G$8:$G$907,J945))</f>
        <v/>
      </c>
      <c r="E945" s="84">
        <f>SUMIFS(SETORES!$D:$D,SETORES!$A:$A,A945,SETORES!$F:$F,J945)</f>
        <v/>
      </c>
      <c r="F945" s="84">
        <f>IFERROR(D945*E945,0)</f>
        <v/>
      </c>
      <c r="G945" s="72">
        <f>SUMIFS(PARÂMETROS!$F$8:$F$907,PARÂMETROS!$A$8:$A$907,C945,PARÂMETROS!$G$8:$G$907,J945)</f>
        <v/>
      </c>
      <c r="H945" s="84">
        <f>IFERROR(F945*G945,0)</f>
        <v/>
      </c>
      <c r="I945" s="84">
        <f>F945+H945</f>
        <v/>
      </c>
      <c r="J945" s="74" t="inlineStr">
        <is>
          <t>Agosto/2026</t>
        </is>
      </c>
    </row>
    <row r="946" ht="14.25" customHeight="1" s="64">
      <c r="A946" s="106" t="inlineStr">
        <is>
          <t>CAC</t>
        </is>
      </c>
      <c r="B946" s="106">
        <f>INDEX(SETORES!$B:$B,MATCH(A946,SETORES!$A:$A,0))</f>
        <v/>
      </c>
      <c r="C946" s="106" t="inlineStr">
        <is>
          <t>Empresa Licenciada SOUZA E SILVA</t>
        </is>
      </c>
      <c r="D946" s="77">
        <f>IF(B946="Clientes",SUMIFS(PARÂMETROS!$D$8:$D$907,PARÂMETROS!$A$8:$A$907,C946,PARÂMETROS!$G$8:$G$907,J946),SUMIFS(PARÂMETROS!$E$8:$E$907,PARÂMETROS!$A$8:$A$907,C946,PARÂMETROS!$G$8:$G$907,J946))</f>
        <v/>
      </c>
      <c r="E946" s="109">
        <f>SUMIFS(SETORES!$D:$D,SETORES!$A:$A,A946,SETORES!$F:$F,J946)</f>
        <v/>
      </c>
      <c r="F946" s="109">
        <f>IFERROR(D946*E946,0)</f>
        <v/>
      </c>
      <c r="G946" s="77">
        <f>SUMIFS(PARÂMETROS!$F$8:$F$907,PARÂMETROS!$A$8:$A$907,C946,PARÂMETROS!$G$8:$G$907,J946)</f>
        <v/>
      </c>
      <c r="H946" s="109">
        <f>IFERROR(F946*G946,0)</f>
        <v/>
      </c>
      <c r="I946" s="109">
        <f>F946+H946</f>
        <v/>
      </c>
      <c r="J946" s="106" t="inlineStr">
        <is>
          <t>Agosto/2026</t>
        </is>
      </c>
    </row>
    <row r="947" ht="14.25" customHeight="1" s="64">
      <c r="A947" s="74" t="inlineStr">
        <is>
          <t>CAC</t>
        </is>
      </c>
      <c r="B947" s="83">
        <f>INDEX(SETORES!$B:$B,MATCH(A947,SETORES!$A:$A,0))</f>
        <v/>
      </c>
      <c r="C947" s="74" t="inlineStr">
        <is>
          <t>Empresa Licenciada VOICENET</t>
        </is>
      </c>
      <c r="D947" s="72">
        <f>IF(B947="Clientes",SUMIFS(PARÂMETROS!$D$8:$D$907,PARÂMETROS!$A$8:$A$907,C947,PARÂMETROS!$G$8:$G$907,J947),SUMIFS(PARÂMETROS!$E$8:$E$907,PARÂMETROS!$A$8:$A$907,C947,PARÂMETROS!$G$8:$G$907,J947))</f>
        <v/>
      </c>
      <c r="E947" s="84">
        <f>SUMIFS(SETORES!$D:$D,SETORES!$A:$A,A947,SETORES!$F:$F,J947)</f>
        <v/>
      </c>
      <c r="F947" s="84">
        <f>IFERROR(D947*E947,0)</f>
        <v/>
      </c>
      <c r="G947" s="72">
        <f>SUMIFS(PARÂMETROS!$F$8:$F$907,PARÂMETROS!$A$8:$A$907,C947,PARÂMETROS!$G$8:$G$907,J947)</f>
        <v/>
      </c>
      <c r="H947" s="84">
        <f>IFERROR(F947*G947,0)</f>
        <v/>
      </c>
      <c r="I947" s="84">
        <f>F947+H947</f>
        <v/>
      </c>
      <c r="J947" s="74" t="inlineStr">
        <is>
          <t>Agosto/2026</t>
        </is>
      </c>
    </row>
    <row r="948" ht="14.25" customHeight="1" s="64">
      <c r="A948" s="106" t="inlineStr">
        <is>
          <t>CAC</t>
        </is>
      </c>
      <c r="B948" s="106">
        <f>INDEX(SETORES!$B:$B,MATCH(A948,SETORES!$A:$A,0))</f>
        <v/>
      </c>
      <c r="C948" s="106" t="inlineStr">
        <is>
          <t>DTEL (uso próprio)</t>
        </is>
      </c>
      <c r="D948" s="77">
        <f>IF(B948="Clientes",SUMIFS(PARÂMETROS!$D$8:$D$907,PARÂMETROS!$A$8:$A$907,C948,PARÂMETROS!$G$8:$G$907,J948),SUMIFS(PARÂMETROS!$E$8:$E$907,PARÂMETROS!$A$8:$A$907,C948,PARÂMETROS!$G$8:$G$907,J948))</f>
        <v/>
      </c>
      <c r="E948" s="109">
        <f>SUMIFS(SETORES!$D:$D,SETORES!$A:$A,A948,SETORES!$F:$F,J948)</f>
        <v/>
      </c>
      <c r="F948" s="109">
        <f>IFERROR(D948*E948,0)</f>
        <v/>
      </c>
      <c r="G948" s="77">
        <f>SUMIFS(PARÂMETROS!$F$8:$F$907,PARÂMETROS!$A$8:$A$907,C948,PARÂMETROS!$G$8:$G$907,J948)</f>
        <v/>
      </c>
      <c r="H948" s="109">
        <f>IFERROR(F948*G948,0)</f>
        <v/>
      </c>
      <c r="I948" s="109">
        <f>F948+H948</f>
        <v/>
      </c>
      <c r="J948" s="106" t="inlineStr">
        <is>
          <t>Agosto/2026</t>
        </is>
      </c>
    </row>
    <row r="949" ht="14.25" customHeight="1" s="64">
      <c r="A949" s="74" t="inlineStr">
        <is>
          <t>Financeiro</t>
        </is>
      </c>
      <c r="B949" s="83">
        <f>INDEX(SETORES!$B:$B,MATCH(A949,SETORES!$A:$A,0))</f>
        <v/>
      </c>
      <c r="C949" s="74" t="inlineStr">
        <is>
          <t>Empresa Licenciada DX2</t>
        </is>
      </c>
      <c r="D949" s="72">
        <f>IF(B949="Clientes",SUMIFS(PARÂMETROS!$D$8:$D$907,PARÂMETROS!$A$8:$A$907,C949,PARÂMETROS!$G$8:$G$907,J949),SUMIFS(PARÂMETROS!$E$8:$E$907,PARÂMETROS!$A$8:$A$907,C949,PARÂMETROS!$G$8:$G$907,J949))</f>
        <v/>
      </c>
      <c r="E949" s="84">
        <f>SUMIFS(SETORES!$D:$D,SETORES!$A:$A,A949,SETORES!$F:$F,J949)</f>
        <v/>
      </c>
      <c r="F949" s="84">
        <f>IFERROR(D949*E949,0)</f>
        <v/>
      </c>
      <c r="G949" s="72">
        <f>SUMIFS(PARÂMETROS!$F$8:$F$907,PARÂMETROS!$A$8:$A$907,C949,PARÂMETROS!$G$8:$G$907,J949)</f>
        <v/>
      </c>
      <c r="H949" s="84">
        <f>IFERROR(F949*G949,0)</f>
        <v/>
      </c>
      <c r="I949" s="84">
        <f>F949+H949</f>
        <v/>
      </c>
      <c r="J949" s="74" t="inlineStr">
        <is>
          <t>Agosto/2026</t>
        </is>
      </c>
    </row>
    <row r="950" ht="14.25" customHeight="1" s="64">
      <c r="A950" s="106" t="inlineStr">
        <is>
          <t>Financeiro</t>
        </is>
      </c>
      <c r="B950" s="106">
        <f>INDEX(SETORES!$B:$B,MATCH(A950,SETORES!$A:$A,0))</f>
        <v/>
      </c>
      <c r="C950" s="106" t="inlineStr">
        <is>
          <t>Empresa Licenciada H&amp;A</t>
        </is>
      </c>
      <c r="D950" s="77">
        <f>IF(B950="Clientes",SUMIFS(PARÂMETROS!$D$8:$D$907,PARÂMETROS!$A$8:$A$907,C950,PARÂMETROS!$G$8:$G$907,J950),SUMIFS(PARÂMETROS!$E$8:$E$907,PARÂMETROS!$A$8:$A$907,C950,PARÂMETROS!$G$8:$G$907,J950))</f>
        <v/>
      </c>
      <c r="E950" s="109">
        <f>SUMIFS(SETORES!$D:$D,SETORES!$A:$A,A950,SETORES!$F:$F,J950)</f>
        <v/>
      </c>
      <c r="F950" s="109">
        <f>IFERROR(D950*E950,0)</f>
        <v/>
      </c>
      <c r="G950" s="77">
        <f>SUMIFS(PARÂMETROS!$F$8:$F$907,PARÂMETROS!$A$8:$A$907,C950,PARÂMETROS!$G$8:$G$907,J950)</f>
        <v/>
      </c>
      <c r="H950" s="109">
        <f>IFERROR(F950*G950,0)</f>
        <v/>
      </c>
      <c r="I950" s="109">
        <f>F950+H950</f>
        <v/>
      </c>
      <c r="J950" s="106" t="inlineStr">
        <is>
          <t>Agosto/2026</t>
        </is>
      </c>
    </row>
    <row r="951" ht="14.25" customHeight="1" s="64">
      <c r="A951" s="74" t="inlineStr">
        <is>
          <t>Financeiro</t>
        </is>
      </c>
      <c r="B951" s="83">
        <f>INDEX(SETORES!$B:$B,MATCH(A951,SETORES!$A:$A,0))</f>
        <v/>
      </c>
      <c r="C951" s="74" t="inlineStr">
        <is>
          <t>Empresa Licenciada SOLON ARAUJO</t>
        </is>
      </c>
      <c r="D951" s="72">
        <f>IF(B951="Clientes",SUMIFS(PARÂMETROS!$D$8:$D$907,PARÂMETROS!$A$8:$A$907,C951,PARÂMETROS!$G$8:$G$907,J951),SUMIFS(PARÂMETROS!$E$8:$E$907,PARÂMETROS!$A$8:$A$907,C951,PARÂMETROS!$G$8:$G$907,J951))</f>
        <v/>
      </c>
      <c r="E951" s="84">
        <f>SUMIFS(SETORES!$D:$D,SETORES!$A:$A,A951,SETORES!$F:$F,J951)</f>
        <v/>
      </c>
      <c r="F951" s="84">
        <f>IFERROR(D951*E951,0)</f>
        <v/>
      </c>
      <c r="G951" s="72">
        <f>SUMIFS(PARÂMETROS!$F$8:$F$907,PARÂMETROS!$A$8:$A$907,C951,PARÂMETROS!$G$8:$G$907,J951)</f>
        <v/>
      </c>
      <c r="H951" s="84">
        <f>IFERROR(F951*G951,0)</f>
        <v/>
      </c>
      <c r="I951" s="84">
        <f>F951+H951</f>
        <v/>
      </c>
      <c r="J951" s="74" t="inlineStr">
        <is>
          <t>Agosto/2026</t>
        </is>
      </c>
    </row>
    <row r="952" ht="14.25" customHeight="1" s="64">
      <c r="A952" s="106" t="inlineStr">
        <is>
          <t>Financeiro</t>
        </is>
      </c>
      <c r="B952" s="106">
        <f>INDEX(SETORES!$B:$B,MATCH(A952,SETORES!$A:$A,0))</f>
        <v/>
      </c>
      <c r="C952" s="106" t="inlineStr">
        <is>
          <t>Empresa Licenciada SOARES E LINS</t>
        </is>
      </c>
      <c r="D952" s="77">
        <f>IF(B952="Clientes",SUMIFS(PARÂMETROS!$D$8:$D$907,PARÂMETROS!$A$8:$A$907,C952,PARÂMETROS!$G$8:$G$907,J952),SUMIFS(PARÂMETROS!$E$8:$E$907,PARÂMETROS!$A$8:$A$907,C952,PARÂMETROS!$G$8:$G$907,J952))</f>
        <v/>
      </c>
      <c r="E952" s="109">
        <f>SUMIFS(SETORES!$D:$D,SETORES!$A:$A,A952,SETORES!$F:$F,J952)</f>
        <v/>
      </c>
      <c r="F952" s="109">
        <f>IFERROR(D952*E952,0)</f>
        <v/>
      </c>
      <c r="G952" s="77">
        <f>SUMIFS(PARÂMETROS!$F$8:$F$907,PARÂMETROS!$A$8:$A$907,C952,PARÂMETROS!$G$8:$G$907,J952)</f>
        <v/>
      </c>
      <c r="H952" s="109">
        <f>IFERROR(F952*G952,0)</f>
        <v/>
      </c>
      <c r="I952" s="109">
        <f>F952+H952</f>
        <v/>
      </c>
      <c r="J952" s="106" t="inlineStr">
        <is>
          <t>Agosto/2026</t>
        </is>
      </c>
    </row>
    <row r="953" ht="14.25" customHeight="1" s="64">
      <c r="A953" s="74" t="inlineStr">
        <is>
          <t>Financeiro</t>
        </is>
      </c>
      <c r="B953" s="83">
        <f>INDEX(SETORES!$B:$B,MATCH(A953,SETORES!$A:$A,0))</f>
        <v/>
      </c>
      <c r="C953" s="74" t="inlineStr">
        <is>
          <t>Empresa Licenciada SOARES E SILVA</t>
        </is>
      </c>
      <c r="D953" s="72">
        <f>IF(B953="Clientes",SUMIFS(PARÂMETROS!$D$8:$D$907,PARÂMETROS!$A$8:$A$907,C953,PARÂMETROS!$G$8:$G$907,J953),SUMIFS(PARÂMETROS!$E$8:$E$907,PARÂMETROS!$A$8:$A$907,C953,PARÂMETROS!$G$8:$G$907,J953))</f>
        <v/>
      </c>
      <c r="E953" s="84">
        <f>SUMIFS(SETORES!$D:$D,SETORES!$A:$A,A953,SETORES!$F:$F,J953)</f>
        <v/>
      </c>
      <c r="F953" s="84">
        <f>IFERROR(D953*E953,0)</f>
        <v/>
      </c>
      <c r="G953" s="72">
        <f>SUMIFS(PARÂMETROS!$F$8:$F$907,PARÂMETROS!$A$8:$A$907,C953,PARÂMETROS!$G$8:$G$907,J953)</f>
        <v/>
      </c>
      <c r="H953" s="84">
        <f>IFERROR(F953*G953,0)</f>
        <v/>
      </c>
      <c r="I953" s="84">
        <f>F953+H953</f>
        <v/>
      </c>
      <c r="J953" s="74" t="inlineStr">
        <is>
          <t>Agosto/2026</t>
        </is>
      </c>
    </row>
    <row r="954" ht="14.25" customHeight="1" s="64">
      <c r="A954" s="106" t="inlineStr">
        <is>
          <t>Financeiro</t>
        </is>
      </c>
      <c r="B954" s="106">
        <f>INDEX(SETORES!$B:$B,MATCH(A954,SETORES!$A:$A,0))</f>
        <v/>
      </c>
      <c r="C954" s="106" t="inlineStr">
        <is>
          <t>Empresa Licenciada SOUZA E SILVA</t>
        </is>
      </c>
      <c r="D954" s="77">
        <f>IF(B954="Clientes",SUMIFS(PARÂMETROS!$D$8:$D$907,PARÂMETROS!$A$8:$A$907,C954,PARÂMETROS!$G$8:$G$907,J954),SUMIFS(PARÂMETROS!$E$8:$E$907,PARÂMETROS!$A$8:$A$907,C954,PARÂMETROS!$G$8:$G$907,J954))</f>
        <v/>
      </c>
      <c r="E954" s="109">
        <f>SUMIFS(SETORES!$D:$D,SETORES!$A:$A,A954,SETORES!$F:$F,J954)</f>
        <v/>
      </c>
      <c r="F954" s="109">
        <f>IFERROR(D954*E954,0)</f>
        <v/>
      </c>
      <c r="G954" s="77">
        <f>SUMIFS(PARÂMETROS!$F$8:$F$907,PARÂMETROS!$A$8:$A$907,C954,PARÂMETROS!$G$8:$G$907,J954)</f>
        <v/>
      </c>
      <c r="H954" s="109">
        <f>IFERROR(F954*G954,0)</f>
        <v/>
      </c>
      <c r="I954" s="109">
        <f>F954+H954</f>
        <v/>
      </c>
      <c r="J954" s="106" t="inlineStr">
        <is>
          <t>Agosto/2026</t>
        </is>
      </c>
    </row>
    <row r="955" ht="14.25" customHeight="1" s="64">
      <c r="A955" s="74" t="inlineStr">
        <is>
          <t>Financeiro</t>
        </is>
      </c>
      <c r="B955" s="83">
        <f>INDEX(SETORES!$B:$B,MATCH(A955,SETORES!$A:$A,0))</f>
        <v/>
      </c>
      <c r="C955" s="74" t="inlineStr">
        <is>
          <t>Empresa Licenciada VOICENET</t>
        </is>
      </c>
      <c r="D955" s="72">
        <f>IF(B955="Clientes",SUMIFS(PARÂMETROS!$D$8:$D$907,PARÂMETROS!$A$8:$A$907,C955,PARÂMETROS!$G$8:$G$907,J955),SUMIFS(PARÂMETROS!$E$8:$E$907,PARÂMETROS!$A$8:$A$907,C955,PARÂMETROS!$G$8:$G$907,J955))</f>
        <v/>
      </c>
      <c r="E955" s="84">
        <f>SUMIFS(SETORES!$D:$D,SETORES!$A:$A,A955,SETORES!$F:$F,J955)</f>
        <v/>
      </c>
      <c r="F955" s="84">
        <f>IFERROR(D955*E955,0)</f>
        <v/>
      </c>
      <c r="G955" s="72">
        <f>SUMIFS(PARÂMETROS!$F$8:$F$907,PARÂMETROS!$A$8:$A$907,C955,PARÂMETROS!$G$8:$G$907,J955)</f>
        <v/>
      </c>
      <c r="H955" s="84">
        <f>IFERROR(F955*G955,0)</f>
        <v/>
      </c>
      <c r="I955" s="84">
        <f>F955+H955</f>
        <v/>
      </c>
      <c r="J955" s="74" t="inlineStr">
        <is>
          <t>Agosto/2026</t>
        </is>
      </c>
    </row>
    <row r="956" ht="14.25" customHeight="1" s="64">
      <c r="A956" s="106" t="inlineStr">
        <is>
          <t>Financeiro</t>
        </is>
      </c>
      <c r="B956" s="106">
        <f>INDEX(SETORES!$B:$B,MATCH(A956,SETORES!$A:$A,0))</f>
        <v/>
      </c>
      <c r="C956" s="106" t="inlineStr">
        <is>
          <t>DTEL (uso próprio)</t>
        </is>
      </c>
      <c r="D956" s="77">
        <f>IF(B956="Clientes",SUMIFS(PARÂMETROS!$D$8:$D$907,PARÂMETROS!$A$8:$A$907,C956,PARÂMETROS!$G$8:$G$907,J956),SUMIFS(PARÂMETROS!$E$8:$E$907,PARÂMETROS!$A$8:$A$907,C956,PARÂMETROS!$G$8:$G$907,J956))</f>
        <v/>
      </c>
      <c r="E956" s="109">
        <f>SUMIFS(SETORES!$D:$D,SETORES!$A:$A,A956,SETORES!$F:$F,J956)</f>
        <v/>
      </c>
      <c r="F956" s="109">
        <f>IFERROR(D956*E956,0)</f>
        <v/>
      </c>
      <c r="G956" s="77">
        <f>SUMIFS(PARÂMETROS!$F$8:$F$907,PARÂMETROS!$A$8:$A$907,C956,PARÂMETROS!$G$8:$G$907,J956)</f>
        <v/>
      </c>
      <c r="H956" s="109">
        <f>IFERROR(F956*G956,0)</f>
        <v/>
      </c>
      <c r="I956" s="109">
        <f>F956+H956</f>
        <v/>
      </c>
      <c r="J956" s="106" t="inlineStr">
        <is>
          <t>Agosto/2026</t>
        </is>
      </c>
    </row>
    <row r="957" ht="14.25" customHeight="1" s="64">
      <c r="A957" s="74" t="inlineStr">
        <is>
          <t>NRC</t>
        </is>
      </c>
      <c r="B957" s="83">
        <f>INDEX(SETORES!$B:$B,MATCH(A957,SETORES!$A:$A,0))</f>
        <v/>
      </c>
      <c r="C957" s="74" t="inlineStr">
        <is>
          <t>Empresa Licenciada DX2</t>
        </is>
      </c>
      <c r="D957" s="72">
        <f>IF(B957="Clientes",SUMIFS(PARÂMETROS!$D$8:$D$907,PARÂMETROS!$A$8:$A$907,C957,PARÂMETROS!$G$8:$G$907,J957),SUMIFS(PARÂMETROS!$E$8:$E$907,PARÂMETROS!$A$8:$A$907,C957,PARÂMETROS!$G$8:$G$907,J957))</f>
        <v/>
      </c>
      <c r="E957" s="84">
        <f>SUMIFS(SETORES!$D:$D,SETORES!$A:$A,A957,SETORES!$F:$F,J957)</f>
        <v/>
      </c>
      <c r="F957" s="84">
        <f>IFERROR(D957*E957,0)</f>
        <v/>
      </c>
      <c r="G957" s="72">
        <f>SUMIFS(PARÂMETROS!$F$8:$F$907,PARÂMETROS!$A$8:$A$907,C957,PARÂMETROS!$G$8:$G$907,J957)</f>
        <v/>
      </c>
      <c r="H957" s="84">
        <f>IFERROR(F957*G957,0)</f>
        <v/>
      </c>
      <c r="I957" s="84">
        <f>F957+H957</f>
        <v/>
      </c>
      <c r="J957" s="74" t="inlineStr">
        <is>
          <t>Agosto/2026</t>
        </is>
      </c>
    </row>
    <row r="958" ht="14.25" customHeight="1" s="64">
      <c r="A958" s="106" t="inlineStr">
        <is>
          <t>NRC</t>
        </is>
      </c>
      <c r="B958" s="106">
        <f>INDEX(SETORES!$B:$B,MATCH(A958,SETORES!$A:$A,0))</f>
        <v/>
      </c>
      <c r="C958" s="106" t="inlineStr">
        <is>
          <t>Empresa Licenciada H&amp;A</t>
        </is>
      </c>
      <c r="D958" s="77">
        <f>IF(B958="Clientes",SUMIFS(PARÂMETROS!$D$8:$D$907,PARÂMETROS!$A$8:$A$907,C958,PARÂMETROS!$G$8:$G$907,J958),SUMIFS(PARÂMETROS!$E$8:$E$907,PARÂMETROS!$A$8:$A$907,C958,PARÂMETROS!$G$8:$G$907,J958))</f>
        <v/>
      </c>
      <c r="E958" s="109">
        <f>SUMIFS(SETORES!$D:$D,SETORES!$A:$A,A958,SETORES!$F:$F,J958)</f>
        <v/>
      </c>
      <c r="F958" s="109">
        <f>IFERROR(D958*E958,0)</f>
        <v/>
      </c>
      <c r="G958" s="77">
        <f>SUMIFS(PARÂMETROS!$F$8:$F$907,PARÂMETROS!$A$8:$A$907,C958,PARÂMETROS!$G$8:$G$907,J958)</f>
        <v/>
      </c>
      <c r="H958" s="109">
        <f>IFERROR(F958*G958,0)</f>
        <v/>
      </c>
      <c r="I958" s="109">
        <f>F958+H958</f>
        <v/>
      </c>
      <c r="J958" s="106" t="inlineStr">
        <is>
          <t>Agosto/2026</t>
        </is>
      </c>
    </row>
    <row r="959" ht="14.25" customHeight="1" s="64">
      <c r="A959" s="74" t="inlineStr">
        <is>
          <t>NRC</t>
        </is>
      </c>
      <c r="B959" s="83">
        <f>INDEX(SETORES!$B:$B,MATCH(A959,SETORES!$A:$A,0))</f>
        <v/>
      </c>
      <c r="C959" s="74" t="inlineStr">
        <is>
          <t>Empresa Licenciada SOLON ARAUJO</t>
        </is>
      </c>
      <c r="D959" s="72">
        <f>IF(B959="Clientes",SUMIFS(PARÂMETROS!$D$8:$D$907,PARÂMETROS!$A$8:$A$907,C959,PARÂMETROS!$G$8:$G$907,J959),SUMIFS(PARÂMETROS!$E$8:$E$907,PARÂMETROS!$A$8:$A$907,C959,PARÂMETROS!$G$8:$G$907,J959))</f>
        <v/>
      </c>
      <c r="E959" s="84">
        <f>SUMIFS(SETORES!$D:$D,SETORES!$A:$A,A959,SETORES!$F:$F,J959)</f>
        <v/>
      </c>
      <c r="F959" s="84">
        <f>IFERROR(D959*E959,0)</f>
        <v/>
      </c>
      <c r="G959" s="72">
        <f>SUMIFS(PARÂMETROS!$F$8:$F$907,PARÂMETROS!$A$8:$A$907,C959,PARÂMETROS!$G$8:$G$907,J959)</f>
        <v/>
      </c>
      <c r="H959" s="84">
        <f>IFERROR(F959*G959,0)</f>
        <v/>
      </c>
      <c r="I959" s="84">
        <f>F959+H959</f>
        <v/>
      </c>
      <c r="J959" s="74" t="inlineStr">
        <is>
          <t>Agosto/2026</t>
        </is>
      </c>
    </row>
    <row r="960" ht="14.25" customHeight="1" s="64">
      <c r="A960" s="106" t="inlineStr">
        <is>
          <t>NRC</t>
        </is>
      </c>
      <c r="B960" s="106">
        <f>INDEX(SETORES!$B:$B,MATCH(A960,SETORES!$A:$A,0))</f>
        <v/>
      </c>
      <c r="C960" s="106" t="inlineStr">
        <is>
          <t>Empresa Licenciada SOARES E LINS</t>
        </is>
      </c>
      <c r="D960" s="77">
        <f>IF(B960="Clientes",SUMIFS(PARÂMETROS!$D$8:$D$907,PARÂMETROS!$A$8:$A$907,C960,PARÂMETROS!$G$8:$G$907,J960),SUMIFS(PARÂMETROS!$E$8:$E$907,PARÂMETROS!$A$8:$A$907,C960,PARÂMETROS!$G$8:$G$907,J960))</f>
        <v/>
      </c>
      <c r="E960" s="109">
        <f>SUMIFS(SETORES!$D:$D,SETORES!$A:$A,A960,SETORES!$F:$F,J960)</f>
        <v/>
      </c>
      <c r="F960" s="109">
        <f>IFERROR(D960*E960,0)</f>
        <v/>
      </c>
      <c r="G960" s="77">
        <f>SUMIFS(PARÂMETROS!$F$8:$F$907,PARÂMETROS!$A$8:$A$907,C960,PARÂMETROS!$G$8:$G$907,J960)</f>
        <v/>
      </c>
      <c r="H960" s="109">
        <f>IFERROR(F960*G960,0)</f>
        <v/>
      </c>
      <c r="I960" s="109">
        <f>F960+H960</f>
        <v/>
      </c>
      <c r="J960" s="106" t="inlineStr">
        <is>
          <t>Agosto/2026</t>
        </is>
      </c>
    </row>
    <row r="961" ht="14.25" customHeight="1" s="64">
      <c r="A961" s="74" t="inlineStr">
        <is>
          <t>NRC</t>
        </is>
      </c>
      <c r="B961" s="83">
        <f>INDEX(SETORES!$B:$B,MATCH(A961,SETORES!$A:$A,0))</f>
        <v/>
      </c>
      <c r="C961" s="74" t="inlineStr">
        <is>
          <t>Empresa Licenciada SOARES E SILVA</t>
        </is>
      </c>
      <c r="D961" s="72">
        <f>IF(B961="Clientes",SUMIFS(PARÂMETROS!$D$8:$D$907,PARÂMETROS!$A$8:$A$907,C961,PARÂMETROS!$G$8:$G$907,J961),SUMIFS(PARÂMETROS!$E$8:$E$907,PARÂMETROS!$A$8:$A$907,C961,PARÂMETROS!$G$8:$G$907,J961))</f>
        <v/>
      </c>
      <c r="E961" s="84">
        <f>SUMIFS(SETORES!$D:$D,SETORES!$A:$A,A961,SETORES!$F:$F,J961)</f>
        <v/>
      </c>
      <c r="F961" s="84">
        <f>IFERROR(D961*E961,0)</f>
        <v/>
      </c>
      <c r="G961" s="72">
        <f>SUMIFS(PARÂMETROS!$F$8:$F$907,PARÂMETROS!$A$8:$A$907,C961,PARÂMETROS!$G$8:$G$907,J961)</f>
        <v/>
      </c>
      <c r="H961" s="84">
        <f>IFERROR(F961*G961,0)</f>
        <v/>
      </c>
      <c r="I961" s="84">
        <f>F961+H961</f>
        <v/>
      </c>
      <c r="J961" s="74" t="inlineStr">
        <is>
          <t>Agosto/2026</t>
        </is>
      </c>
    </row>
    <row r="962" ht="14.25" customHeight="1" s="64">
      <c r="A962" s="106" t="inlineStr">
        <is>
          <t>NRC</t>
        </is>
      </c>
      <c r="B962" s="106">
        <f>INDEX(SETORES!$B:$B,MATCH(A962,SETORES!$A:$A,0))</f>
        <v/>
      </c>
      <c r="C962" s="106" t="inlineStr">
        <is>
          <t>Empresa Licenciada SOUZA E SILVA</t>
        </is>
      </c>
      <c r="D962" s="77">
        <f>IF(B962="Clientes",SUMIFS(PARÂMETROS!$D$8:$D$907,PARÂMETROS!$A$8:$A$907,C962,PARÂMETROS!$G$8:$G$907,J962),SUMIFS(PARÂMETROS!$E$8:$E$907,PARÂMETROS!$A$8:$A$907,C962,PARÂMETROS!$G$8:$G$907,J962))</f>
        <v/>
      </c>
      <c r="E962" s="109">
        <f>SUMIFS(SETORES!$D:$D,SETORES!$A:$A,A962,SETORES!$F:$F,J962)</f>
        <v/>
      </c>
      <c r="F962" s="109">
        <f>IFERROR(D962*E962,0)</f>
        <v/>
      </c>
      <c r="G962" s="77">
        <f>SUMIFS(PARÂMETROS!$F$8:$F$907,PARÂMETROS!$A$8:$A$907,C962,PARÂMETROS!$G$8:$G$907,J962)</f>
        <v/>
      </c>
      <c r="H962" s="109">
        <f>IFERROR(F962*G962,0)</f>
        <v/>
      </c>
      <c r="I962" s="109">
        <f>F962+H962</f>
        <v/>
      </c>
      <c r="J962" s="106" t="inlineStr">
        <is>
          <t>Agosto/2026</t>
        </is>
      </c>
    </row>
    <row r="963" ht="14.25" customHeight="1" s="64">
      <c r="A963" s="74" t="inlineStr">
        <is>
          <t>NRC</t>
        </is>
      </c>
      <c r="B963" s="83">
        <f>INDEX(SETORES!$B:$B,MATCH(A963,SETORES!$A:$A,0))</f>
        <v/>
      </c>
      <c r="C963" s="74" t="inlineStr">
        <is>
          <t>Empresa Licenciada VOICENET</t>
        </is>
      </c>
      <c r="D963" s="72">
        <f>IF(B963="Clientes",SUMIFS(PARÂMETROS!$D$8:$D$907,PARÂMETROS!$A$8:$A$907,C963,PARÂMETROS!$G$8:$G$907,J963),SUMIFS(PARÂMETROS!$E$8:$E$907,PARÂMETROS!$A$8:$A$907,C963,PARÂMETROS!$G$8:$G$907,J963))</f>
        <v/>
      </c>
      <c r="E963" s="84">
        <f>SUMIFS(SETORES!$D:$D,SETORES!$A:$A,A963,SETORES!$F:$F,J963)</f>
        <v/>
      </c>
      <c r="F963" s="84">
        <f>IFERROR(D963*E963,0)</f>
        <v/>
      </c>
      <c r="G963" s="72">
        <f>SUMIFS(PARÂMETROS!$F$8:$F$907,PARÂMETROS!$A$8:$A$907,C963,PARÂMETROS!$G$8:$G$907,J963)</f>
        <v/>
      </c>
      <c r="H963" s="84">
        <f>IFERROR(F963*G963,0)</f>
        <v/>
      </c>
      <c r="I963" s="84">
        <f>F963+H963</f>
        <v/>
      </c>
      <c r="J963" s="74" t="inlineStr">
        <is>
          <t>Agosto/2026</t>
        </is>
      </c>
    </row>
    <row r="964" ht="14.25" customHeight="1" s="64">
      <c r="A964" s="106" t="inlineStr">
        <is>
          <t>NRC</t>
        </is>
      </c>
      <c r="B964" s="106">
        <f>INDEX(SETORES!$B:$B,MATCH(A964,SETORES!$A:$A,0))</f>
        <v/>
      </c>
      <c r="C964" s="106" t="inlineStr">
        <is>
          <t>DTEL (uso próprio)</t>
        </is>
      </c>
      <c r="D964" s="77">
        <f>IF(B964="Clientes",SUMIFS(PARÂMETROS!$D$8:$D$907,PARÂMETROS!$A$8:$A$907,C964,PARÂMETROS!$G$8:$G$907,J964),SUMIFS(PARÂMETROS!$E$8:$E$907,PARÂMETROS!$A$8:$A$907,C964,PARÂMETROS!$G$8:$G$907,J964))</f>
        <v/>
      </c>
      <c r="E964" s="109">
        <f>SUMIFS(SETORES!$D:$D,SETORES!$A:$A,A964,SETORES!$F:$F,J964)</f>
        <v/>
      </c>
      <c r="F964" s="109">
        <f>IFERROR(D964*E964,0)</f>
        <v/>
      </c>
      <c r="G964" s="77">
        <f>SUMIFS(PARÂMETROS!$F$8:$F$907,PARÂMETROS!$A$8:$A$907,C964,PARÂMETROS!$G$8:$G$907,J964)</f>
        <v/>
      </c>
      <c r="H964" s="109">
        <f>IFERROR(F964*G964,0)</f>
        <v/>
      </c>
      <c r="I964" s="109">
        <f>F964+H964</f>
        <v/>
      </c>
      <c r="J964" s="106" t="inlineStr">
        <is>
          <t>Agosto/2026</t>
        </is>
      </c>
    </row>
    <row r="965" ht="14.25" customHeight="1" s="64">
      <c r="A965" s="74" t="inlineStr">
        <is>
          <t>Cobrança</t>
        </is>
      </c>
      <c r="B965" s="83">
        <f>INDEX(SETORES!$B:$B,MATCH(A965,SETORES!$A:$A,0))</f>
        <v/>
      </c>
      <c r="C965" s="74" t="inlineStr">
        <is>
          <t>Empresa Licenciada DX2</t>
        </is>
      </c>
      <c r="D965" s="72">
        <f>IF(B965="Clientes",SUMIFS(PARÂMETROS!$D$8:$D$907,PARÂMETROS!$A$8:$A$907,C965,PARÂMETROS!$G$8:$G$907,J965),SUMIFS(PARÂMETROS!$E$8:$E$907,PARÂMETROS!$A$8:$A$907,C965,PARÂMETROS!$G$8:$G$907,J965))</f>
        <v/>
      </c>
      <c r="E965" s="84">
        <f>SUMIFS(SETORES!$D:$D,SETORES!$A:$A,A965,SETORES!$F:$F,J965)</f>
        <v/>
      </c>
      <c r="F965" s="84">
        <f>IFERROR(D965*E965,0)</f>
        <v/>
      </c>
      <c r="G965" s="72">
        <f>SUMIFS(PARÂMETROS!$F$8:$F$907,PARÂMETROS!$A$8:$A$907,C965,PARÂMETROS!$G$8:$G$907,J965)</f>
        <v/>
      </c>
      <c r="H965" s="84">
        <f>IFERROR(F965*G965,0)</f>
        <v/>
      </c>
      <c r="I965" s="84">
        <f>F965+H965</f>
        <v/>
      </c>
      <c r="J965" s="74" t="inlineStr">
        <is>
          <t>Agosto/2026</t>
        </is>
      </c>
    </row>
    <row r="966" ht="14.25" customHeight="1" s="64">
      <c r="A966" s="106" t="inlineStr">
        <is>
          <t>Cobrança</t>
        </is>
      </c>
      <c r="B966" s="106">
        <f>INDEX(SETORES!$B:$B,MATCH(A966,SETORES!$A:$A,0))</f>
        <v/>
      </c>
      <c r="C966" s="106" t="inlineStr">
        <is>
          <t>Empresa Licenciada H&amp;A</t>
        </is>
      </c>
      <c r="D966" s="77">
        <f>IF(B966="Clientes",SUMIFS(PARÂMETROS!$D$8:$D$907,PARÂMETROS!$A$8:$A$907,C966,PARÂMETROS!$G$8:$G$907,J966),SUMIFS(PARÂMETROS!$E$8:$E$907,PARÂMETROS!$A$8:$A$907,C966,PARÂMETROS!$G$8:$G$907,J966))</f>
        <v/>
      </c>
      <c r="E966" s="109">
        <f>SUMIFS(SETORES!$D:$D,SETORES!$A:$A,A966,SETORES!$F:$F,J966)</f>
        <v/>
      </c>
      <c r="F966" s="109">
        <f>IFERROR(D966*E966,0)</f>
        <v/>
      </c>
      <c r="G966" s="77">
        <f>SUMIFS(PARÂMETROS!$F$8:$F$907,PARÂMETROS!$A$8:$A$907,C966,PARÂMETROS!$G$8:$G$907,J966)</f>
        <v/>
      </c>
      <c r="H966" s="109">
        <f>IFERROR(F966*G966,0)</f>
        <v/>
      </c>
      <c r="I966" s="109">
        <f>F966+H966</f>
        <v/>
      </c>
      <c r="J966" s="106" t="inlineStr">
        <is>
          <t>Agosto/2026</t>
        </is>
      </c>
    </row>
    <row r="967" ht="14.25" customHeight="1" s="64">
      <c r="A967" s="74" t="inlineStr">
        <is>
          <t>Cobrança</t>
        </is>
      </c>
      <c r="B967" s="83">
        <f>INDEX(SETORES!$B:$B,MATCH(A967,SETORES!$A:$A,0))</f>
        <v/>
      </c>
      <c r="C967" s="74" t="inlineStr">
        <is>
          <t>Empresa Licenciada SOLON ARAUJO</t>
        </is>
      </c>
      <c r="D967" s="72">
        <f>IF(B967="Clientes",SUMIFS(PARÂMETROS!$D$8:$D$907,PARÂMETROS!$A$8:$A$907,C967,PARÂMETROS!$G$8:$G$907,J967),SUMIFS(PARÂMETROS!$E$8:$E$907,PARÂMETROS!$A$8:$A$907,C967,PARÂMETROS!$G$8:$G$907,J967))</f>
        <v/>
      </c>
      <c r="E967" s="84">
        <f>SUMIFS(SETORES!$D:$D,SETORES!$A:$A,A967,SETORES!$F:$F,J967)</f>
        <v/>
      </c>
      <c r="F967" s="84">
        <f>IFERROR(D967*E967,0)</f>
        <v/>
      </c>
      <c r="G967" s="72">
        <f>SUMIFS(PARÂMETROS!$F$8:$F$907,PARÂMETROS!$A$8:$A$907,C967,PARÂMETROS!$G$8:$G$907,J967)</f>
        <v/>
      </c>
      <c r="H967" s="84">
        <f>IFERROR(F967*G967,0)</f>
        <v/>
      </c>
      <c r="I967" s="84">
        <f>F967+H967</f>
        <v/>
      </c>
      <c r="J967" s="74" t="inlineStr">
        <is>
          <t>Agosto/2026</t>
        </is>
      </c>
    </row>
    <row r="968" ht="14.25" customHeight="1" s="64">
      <c r="A968" s="106" t="inlineStr">
        <is>
          <t>Cobrança</t>
        </is>
      </c>
      <c r="B968" s="106">
        <f>INDEX(SETORES!$B:$B,MATCH(A968,SETORES!$A:$A,0))</f>
        <v/>
      </c>
      <c r="C968" s="106" t="inlineStr">
        <is>
          <t>Empresa Licenciada SOARES E LINS</t>
        </is>
      </c>
      <c r="D968" s="77">
        <f>IF(B968="Clientes",SUMIFS(PARÂMETROS!$D$8:$D$907,PARÂMETROS!$A$8:$A$907,C968,PARÂMETROS!$G$8:$G$907,J968),SUMIFS(PARÂMETROS!$E$8:$E$907,PARÂMETROS!$A$8:$A$907,C968,PARÂMETROS!$G$8:$G$907,J968))</f>
        <v/>
      </c>
      <c r="E968" s="109">
        <f>SUMIFS(SETORES!$D:$D,SETORES!$A:$A,A968,SETORES!$F:$F,J968)</f>
        <v/>
      </c>
      <c r="F968" s="109">
        <f>IFERROR(D968*E968,0)</f>
        <v/>
      </c>
      <c r="G968" s="77">
        <f>SUMIFS(PARÂMETROS!$F$8:$F$907,PARÂMETROS!$A$8:$A$907,C968,PARÂMETROS!$G$8:$G$907,J968)</f>
        <v/>
      </c>
      <c r="H968" s="109">
        <f>IFERROR(F968*G968,0)</f>
        <v/>
      </c>
      <c r="I968" s="109">
        <f>F968+H968</f>
        <v/>
      </c>
      <c r="J968" s="106" t="inlineStr">
        <is>
          <t>Agosto/2026</t>
        </is>
      </c>
    </row>
    <row r="969" ht="14.25" customHeight="1" s="64">
      <c r="A969" s="74" t="inlineStr">
        <is>
          <t>Cobrança</t>
        </is>
      </c>
      <c r="B969" s="83">
        <f>INDEX(SETORES!$B:$B,MATCH(A969,SETORES!$A:$A,0))</f>
        <v/>
      </c>
      <c r="C969" s="74" t="inlineStr">
        <is>
          <t>Empresa Licenciada SOARES E SILVA</t>
        </is>
      </c>
      <c r="D969" s="72">
        <f>IF(B969="Clientes",SUMIFS(PARÂMETROS!$D$8:$D$907,PARÂMETROS!$A$8:$A$907,C969,PARÂMETROS!$G$8:$G$907,J969),SUMIFS(PARÂMETROS!$E$8:$E$907,PARÂMETROS!$A$8:$A$907,C969,PARÂMETROS!$G$8:$G$907,J969))</f>
        <v/>
      </c>
      <c r="E969" s="84">
        <f>SUMIFS(SETORES!$D:$D,SETORES!$A:$A,A969,SETORES!$F:$F,J969)</f>
        <v/>
      </c>
      <c r="F969" s="84">
        <f>IFERROR(D969*E969,0)</f>
        <v/>
      </c>
      <c r="G969" s="72">
        <f>SUMIFS(PARÂMETROS!$F$8:$F$907,PARÂMETROS!$A$8:$A$907,C969,PARÂMETROS!$G$8:$G$907,J969)</f>
        <v/>
      </c>
      <c r="H969" s="84">
        <f>IFERROR(F969*G969,0)</f>
        <v/>
      </c>
      <c r="I969" s="84">
        <f>F969+H969</f>
        <v/>
      </c>
      <c r="J969" s="74" t="inlineStr">
        <is>
          <t>Agosto/2026</t>
        </is>
      </c>
    </row>
    <row r="970" ht="14.25" customHeight="1" s="64">
      <c r="A970" s="106" t="inlineStr">
        <is>
          <t>Cobrança</t>
        </is>
      </c>
      <c r="B970" s="106">
        <f>INDEX(SETORES!$B:$B,MATCH(A970,SETORES!$A:$A,0))</f>
        <v/>
      </c>
      <c r="C970" s="106" t="inlineStr">
        <is>
          <t>Empresa Licenciada SOUZA E SILVA</t>
        </is>
      </c>
      <c r="D970" s="77">
        <f>IF(B970="Clientes",SUMIFS(PARÂMETROS!$D$8:$D$907,PARÂMETROS!$A$8:$A$907,C970,PARÂMETROS!$G$8:$G$907,J970),SUMIFS(PARÂMETROS!$E$8:$E$907,PARÂMETROS!$A$8:$A$907,C970,PARÂMETROS!$G$8:$G$907,J970))</f>
        <v/>
      </c>
      <c r="E970" s="109">
        <f>SUMIFS(SETORES!$D:$D,SETORES!$A:$A,A970,SETORES!$F:$F,J970)</f>
        <v/>
      </c>
      <c r="F970" s="109">
        <f>IFERROR(D970*E970,0)</f>
        <v/>
      </c>
      <c r="G970" s="77">
        <f>SUMIFS(PARÂMETROS!$F$8:$F$907,PARÂMETROS!$A$8:$A$907,C970,PARÂMETROS!$G$8:$G$907,J970)</f>
        <v/>
      </c>
      <c r="H970" s="109">
        <f>IFERROR(F970*G970,0)</f>
        <v/>
      </c>
      <c r="I970" s="109">
        <f>F970+H970</f>
        <v/>
      </c>
      <c r="J970" s="106" t="inlineStr">
        <is>
          <t>Agosto/2026</t>
        </is>
      </c>
    </row>
    <row r="971" ht="14.25" customHeight="1" s="64">
      <c r="A971" s="74" t="inlineStr">
        <is>
          <t>Cobrança</t>
        </is>
      </c>
      <c r="B971" s="83">
        <f>INDEX(SETORES!$B:$B,MATCH(A971,SETORES!$A:$A,0))</f>
        <v/>
      </c>
      <c r="C971" s="74" t="inlineStr">
        <is>
          <t>Empresa Licenciada VOICENET</t>
        </is>
      </c>
      <c r="D971" s="72">
        <f>IF(B971="Clientes",SUMIFS(PARÂMETROS!$D$8:$D$907,PARÂMETROS!$A$8:$A$907,C971,PARÂMETROS!$G$8:$G$907,J971),SUMIFS(PARÂMETROS!$E$8:$E$907,PARÂMETROS!$A$8:$A$907,C971,PARÂMETROS!$G$8:$G$907,J971))</f>
        <v/>
      </c>
      <c r="E971" s="84">
        <f>SUMIFS(SETORES!$D:$D,SETORES!$A:$A,A971,SETORES!$F:$F,J971)</f>
        <v/>
      </c>
      <c r="F971" s="84">
        <f>IFERROR(D971*E971,0)</f>
        <v/>
      </c>
      <c r="G971" s="72">
        <f>SUMIFS(PARÂMETROS!$F$8:$F$907,PARÂMETROS!$A$8:$A$907,C971,PARÂMETROS!$G$8:$G$907,J971)</f>
        <v/>
      </c>
      <c r="H971" s="84">
        <f>IFERROR(F971*G971,0)</f>
        <v/>
      </c>
      <c r="I971" s="84">
        <f>F971+H971</f>
        <v/>
      </c>
      <c r="J971" s="74" t="inlineStr">
        <is>
          <t>Agosto/2026</t>
        </is>
      </c>
    </row>
    <row r="972" ht="14.25" customHeight="1" s="64">
      <c r="A972" s="106" t="inlineStr">
        <is>
          <t>Cobrança</t>
        </is>
      </c>
      <c r="B972" s="106">
        <f>INDEX(SETORES!$B:$B,MATCH(A972,SETORES!$A:$A,0))</f>
        <v/>
      </c>
      <c r="C972" s="106" t="inlineStr">
        <is>
          <t>DTEL (uso próprio)</t>
        </is>
      </c>
      <c r="D972" s="77">
        <f>IF(B972="Clientes",SUMIFS(PARÂMETROS!$D$8:$D$907,PARÂMETROS!$A$8:$A$907,C972,PARÂMETROS!$G$8:$G$907,J972),SUMIFS(PARÂMETROS!$E$8:$E$907,PARÂMETROS!$A$8:$A$907,C972,PARÂMETROS!$G$8:$G$907,J972))</f>
        <v/>
      </c>
      <c r="E972" s="109">
        <f>SUMIFS(SETORES!$D:$D,SETORES!$A:$A,A972,SETORES!$F:$F,J972)</f>
        <v/>
      </c>
      <c r="F972" s="109">
        <f>IFERROR(D972*E972,0)</f>
        <v/>
      </c>
      <c r="G972" s="77">
        <f>SUMIFS(PARÂMETROS!$F$8:$F$907,PARÂMETROS!$A$8:$A$907,C972,PARÂMETROS!$G$8:$G$907,J972)</f>
        <v/>
      </c>
      <c r="H972" s="109">
        <f>IFERROR(F972*G972,0)</f>
        <v/>
      </c>
      <c r="I972" s="109">
        <f>F972+H972</f>
        <v/>
      </c>
      <c r="J972" s="106" t="inlineStr">
        <is>
          <t>Agosto/2026</t>
        </is>
      </c>
    </row>
    <row r="973" ht="14.25" customHeight="1" s="64">
      <c r="A973" s="74" t="inlineStr">
        <is>
          <t>Retenção</t>
        </is>
      </c>
      <c r="B973" s="83">
        <f>INDEX(SETORES!$B:$B,MATCH(A973,SETORES!$A:$A,0))</f>
        <v/>
      </c>
      <c r="C973" s="74" t="inlineStr">
        <is>
          <t>Empresa Licenciada DX2</t>
        </is>
      </c>
      <c r="D973" s="72">
        <f>IF(B973="Clientes",SUMIFS(PARÂMETROS!$D$8:$D$907,PARÂMETROS!$A$8:$A$907,C973,PARÂMETROS!$G$8:$G$907,J973),SUMIFS(PARÂMETROS!$E$8:$E$907,PARÂMETROS!$A$8:$A$907,C973,PARÂMETROS!$G$8:$G$907,J973))</f>
        <v/>
      </c>
      <c r="E973" s="84">
        <f>SUMIFS(SETORES!$D:$D,SETORES!$A:$A,A973,SETORES!$F:$F,J973)</f>
        <v/>
      </c>
      <c r="F973" s="84">
        <f>IFERROR(D973*E973,0)</f>
        <v/>
      </c>
      <c r="G973" s="72">
        <f>SUMIFS(PARÂMETROS!$F$8:$F$907,PARÂMETROS!$A$8:$A$907,C973,PARÂMETROS!$G$8:$G$907,J973)</f>
        <v/>
      </c>
      <c r="H973" s="84">
        <f>IFERROR(F973*G973,0)</f>
        <v/>
      </c>
      <c r="I973" s="84">
        <f>F973+H973</f>
        <v/>
      </c>
      <c r="J973" s="74" t="inlineStr">
        <is>
          <t>Agosto/2026</t>
        </is>
      </c>
    </row>
    <row r="974" ht="14.25" customHeight="1" s="64">
      <c r="A974" s="106" t="inlineStr">
        <is>
          <t>Retenção</t>
        </is>
      </c>
      <c r="B974" s="106">
        <f>INDEX(SETORES!$B:$B,MATCH(A974,SETORES!$A:$A,0))</f>
        <v/>
      </c>
      <c r="C974" s="106" t="inlineStr">
        <is>
          <t>Empresa Licenciada H&amp;A</t>
        </is>
      </c>
      <c r="D974" s="77">
        <f>IF(B974="Clientes",SUMIFS(PARÂMETROS!$D$8:$D$907,PARÂMETROS!$A$8:$A$907,C974,PARÂMETROS!$G$8:$G$907,J974),SUMIFS(PARÂMETROS!$E$8:$E$907,PARÂMETROS!$A$8:$A$907,C974,PARÂMETROS!$G$8:$G$907,J974))</f>
        <v/>
      </c>
      <c r="E974" s="109">
        <f>SUMIFS(SETORES!$D:$D,SETORES!$A:$A,A974,SETORES!$F:$F,J974)</f>
        <v/>
      </c>
      <c r="F974" s="109">
        <f>IFERROR(D974*E974,0)</f>
        <v/>
      </c>
      <c r="G974" s="77">
        <f>SUMIFS(PARÂMETROS!$F$8:$F$907,PARÂMETROS!$A$8:$A$907,C974,PARÂMETROS!$G$8:$G$907,J974)</f>
        <v/>
      </c>
      <c r="H974" s="109">
        <f>IFERROR(F974*G974,0)</f>
        <v/>
      </c>
      <c r="I974" s="109">
        <f>F974+H974</f>
        <v/>
      </c>
      <c r="J974" s="106" t="inlineStr">
        <is>
          <t>Agosto/2026</t>
        </is>
      </c>
    </row>
    <row r="975" ht="14.25" customHeight="1" s="64">
      <c r="A975" s="74" t="inlineStr">
        <is>
          <t>Retenção</t>
        </is>
      </c>
      <c r="B975" s="83">
        <f>INDEX(SETORES!$B:$B,MATCH(A975,SETORES!$A:$A,0))</f>
        <v/>
      </c>
      <c r="C975" s="74" t="inlineStr">
        <is>
          <t>Empresa Licenciada SOLON ARAUJO</t>
        </is>
      </c>
      <c r="D975" s="72">
        <f>IF(B975="Clientes",SUMIFS(PARÂMETROS!$D$8:$D$907,PARÂMETROS!$A$8:$A$907,C975,PARÂMETROS!$G$8:$G$907,J975),SUMIFS(PARÂMETROS!$E$8:$E$907,PARÂMETROS!$A$8:$A$907,C975,PARÂMETROS!$G$8:$G$907,J975))</f>
        <v/>
      </c>
      <c r="E975" s="84">
        <f>SUMIFS(SETORES!$D:$D,SETORES!$A:$A,A975,SETORES!$F:$F,J975)</f>
        <v/>
      </c>
      <c r="F975" s="84">
        <f>IFERROR(D975*E975,0)</f>
        <v/>
      </c>
      <c r="G975" s="72">
        <f>SUMIFS(PARÂMETROS!$F$8:$F$907,PARÂMETROS!$A$8:$A$907,C975,PARÂMETROS!$G$8:$G$907,J975)</f>
        <v/>
      </c>
      <c r="H975" s="84">
        <f>IFERROR(F975*G975,0)</f>
        <v/>
      </c>
      <c r="I975" s="84">
        <f>F975+H975</f>
        <v/>
      </c>
      <c r="J975" s="74" t="inlineStr">
        <is>
          <t>Agosto/2026</t>
        </is>
      </c>
    </row>
    <row r="976" ht="14.25" customHeight="1" s="64">
      <c r="A976" s="106" t="inlineStr">
        <is>
          <t>Retenção</t>
        </is>
      </c>
      <c r="B976" s="106">
        <f>INDEX(SETORES!$B:$B,MATCH(A976,SETORES!$A:$A,0))</f>
        <v/>
      </c>
      <c r="C976" s="106" t="inlineStr">
        <is>
          <t>Empresa Licenciada SOARES E LINS</t>
        </is>
      </c>
      <c r="D976" s="77">
        <f>IF(B976="Clientes",SUMIFS(PARÂMETROS!$D$8:$D$907,PARÂMETROS!$A$8:$A$907,C976,PARÂMETROS!$G$8:$G$907,J976),SUMIFS(PARÂMETROS!$E$8:$E$907,PARÂMETROS!$A$8:$A$907,C976,PARÂMETROS!$G$8:$G$907,J976))</f>
        <v/>
      </c>
      <c r="E976" s="109">
        <f>SUMIFS(SETORES!$D:$D,SETORES!$A:$A,A976,SETORES!$F:$F,J976)</f>
        <v/>
      </c>
      <c r="F976" s="109">
        <f>IFERROR(D976*E976,0)</f>
        <v/>
      </c>
      <c r="G976" s="77">
        <f>SUMIFS(PARÂMETROS!$F$8:$F$907,PARÂMETROS!$A$8:$A$907,C976,PARÂMETROS!$G$8:$G$907,J976)</f>
        <v/>
      </c>
      <c r="H976" s="109">
        <f>IFERROR(F976*G976,0)</f>
        <v/>
      </c>
      <c r="I976" s="109">
        <f>F976+H976</f>
        <v/>
      </c>
      <c r="J976" s="106" t="inlineStr">
        <is>
          <t>Agosto/2026</t>
        </is>
      </c>
    </row>
    <row r="977" ht="14.25" customHeight="1" s="64">
      <c r="A977" s="74" t="inlineStr">
        <is>
          <t>Retenção</t>
        </is>
      </c>
      <c r="B977" s="83">
        <f>INDEX(SETORES!$B:$B,MATCH(A977,SETORES!$A:$A,0))</f>
        <v/>
      </c>
      <c r="C977" s="74" t="inlineStr">
        <is>
          <t>Empresa Licenciada SOARES E SILVA</t>
        </is>
      </c>
      <c r="D977" s="72">
        <f>IF(B977="Clientes",SUMIFS(PARÂMETROS!$D$8:$D$907,PARÂMETROS!$A$8:$A$907,C977,PARÂMETROS!$G$8:$G$907,J977),SUMIFS(PARÂMETROS!$E$8:$E$907,PARÂMETROS!$A$8:$A$907,C977,PARÂMETROS!$G$8:$G$907,J977))</f>
        <v/>
      </c>
      <c r="E977" s="84">
        <f>SUMIFS(SETORES!$D:$D,SETORES!$A:$A,A977,SETORES!$F:$F,J977)</f>
        <v/>
      </c>
      <c r="F977" s="84">
        <f>IFERROR(D977*E977,0)</f>
        <v/>
      </c>
      <c r="G977" s="72">
        <f>SUMIFS(PARÂMETROS!$F$8:$F$907,PARÂMETROS!$A$8:$A$907,C977,PARÂMETROS!$G$8:$G$907,J977)</f>
        <v/>
      </c>
      <c r="H977" s="84">
        <f>IFERROR(F977*G977,0)</f>
        <v/>
      </c>
      <c r="I977" s="84">
        <f>F977+H977</f>
        <v/>
      </c>
      <c r="J977" s="74" t="inlineStr">
        <is>
          <t>Agosto/2026</t>
        </is>
      </c>
    </row>
    <row r="978" ht="14.25" customHeight="1" s="64">
      <c r="A978" s="106" t="inlineStr">
        <is>
          <t>Retenção</t>
        </is>
      </c>
      <c r="B978" s="106">
        <f>INDEX(SETORES!$B:$B,MATCH(A978,SETORES!$A:$A,0))</f>
        <v/>
      </c>
      <c r="C978" s="106" t="inlineStr">
        <is>
          <t>Empresa Licenciada SOUZA E SILVA</t>
        </is>
      </c>
      <c r="D978" s="77">
        <f>IF(B978="Clientes",SUMIFS(PARÂMETROS!$D$8:$D$907,PARÂMETROS!$A$8:$A$907,C978,PARÂMETROS!$G$8:$G$907,J978),SUMIFS(PARÂMETROS!$E$8:$E$907,PARÂMETROS!$A$8:$A$907,C978,PARÂMETROS!$G$8:$G$907,J978))</f>
        <v/>
      </c>
      <c r="E978" s="109">
        <f>SUMIFS(SETORES!$D:$D,SETORES!$A:$A,A978,SETORES!$F:$F,J978)</f>
        <v/>
      </c>
      <c r="F978" s="109">
        <f>IFERROR(D978*E978,0)</f>
        <v/>
      </c>
      <c r="G978" s="77">
        <f>SUMIFS(PARÂMETROS!$F$8:$F$907,PARÂMETROS!$A$8:$A$907,C978,PARÂMETROS!$G$8:$G$907,J978)</f>
        <v/>
      </c>
      <c r="H978" s="109">
        <f>IFERROR(F978*G978,0)</f>
        <v/>
      </c>
      <c r="I978" s="109">
        <f>F978+H978</f>
        <v/>
      </c>
      <c r="J978" s="106" t="inlineStr">
        <is>
          <t>Agosto/2026</t>
        </is>
      </c>
    </row>
    <row r="979" ht="14.25" customHeight="1" s="64">
      <c r="A979" s="74" t="inlineStr">
        <is>
          <t>Retenção</t>
        </is>
      </c>
      <c r="B979" s="83">
        <f>INDEX(SETORES!$B:$B,MATCH(A979,SETORES!$A:$A,0))</f>
        <v/>
      </c>
      <c r="C979" s="74" t="inlineStr">
        <is>
          <t>Empresa Licenciada VOICENET</t>
        </is>
      </c>
      <c r="D979" s="72">
        <f>IF(B979="Clientes",SUMIFS(PARÂMETROS!$D$8:$D$907,PARÂMETROS!$A$8:$A$907,C979,PARÂMETROS!$G$8:$G$907,J979),SUMIFS(PARÂMETROS!$E$8:$E$907,PARÂMETROS!$A$8:$A$907,C979,PARÂMETROS!$G$8:$G$907,J979))</f>
        <v/>
      </c>
      <c r="E979" s="84">
        <f>SUMIFS(SETORES!$D:$D,SETORES!$A:$A,A979,SETORES!$F:$F,J979)</f>
        <v/>
      </c>
      <c r="F979" s="84">
        <f>IFERROR(D979*E979,0)</f>
        <v/>
      </c>
      <c r="G979" s="72">
        <f>SUMIFS(PARÂMETROS!$F$8:$F$907,PARÂMETROS!$A$8:$A$907,C979,PARÂMETROS!$G$8:$G$907,J979)</f>
        <v/>
      </c>
      <c r="H979" s="84">
        <f>IFERROR(F979*G979,0)</f>
        <v/>
      </c>
      <c r="I979" s="84">
        <f>F979+H979</f>
        <v/>
      </c>
      <c r="J979" s="74" t="inlineStr">
        <is>
          <t>Agosto/2026</t>
        </is>
      </c>
    </row>
    <row r="980" ht="14.25" customHeight="1" s="64">
      <c r="A980" s="106" t="inlineStr">
        <is>
          <t>Retenção</t>
        </is>
      </c>
      <c r="B980" s="106">
        <f>INDEX(SETORES!$B:$B,MATCH(A980,SETORES!$A:$A,0))</f>
        <v/>
      </c>
      <c r="C980" s="106" t="inlineStr">
        <is>
          <t>DTEL (uso próprio)</t>
        </is>
      </c>
      <c r="D980" s="77">
        <f>IF(B980="Clientes",SUMIFS(PARÂMETROS!$D$8:$D$907,PARÂMETROS!$A$8:$A$907,C980,PARÂMETROS!$G$8:$G$907,J980),SUMIFS(PARÂMETROS!$E$8:$E$907,PARÂMETROS!$A$8:$A$907,C980,PARÂMETROS!$G$8:$G$907,J980))</f>
        <v/>
      </c>
      <c r="E980" s="109">
        <f>SUMIFS(SETORES!$D:$D,SETORES!$A:$A,A980,SETORES!$F:$F,J980)</f>
        <v/>
      </c>
      <c r="F980" s="109">
        <f>IFERROR(D980*E980,0)</f>
        <v/>
      </c>
      <c r="G980" s="77">
        <f>SUMIFS(PARÂMETROS!$F$8:$F$907,PARÂMETROS!$A$8:$A$907,C980,PARÂMETROS!$G$8:$G$907,J980)</f>
        <v/>
      </c>
      <c r="H980" s="109">
        <f>IFERROR(F980*G980,0)</f>
        <v/>
      </c>
      <c r="I980" s="109">
        <f>F980+H980</f>
        <v/>
      </c>
      <c r="J980" s="106" t="inlineStr">
        <is>
          <t>Agosto/2026</t>
        </is>
      </c>
    </row>
    <row r="981" ht="14.25" customHeight="1" s="64">
      <c r="A981" s="74" t="inlineStr">
        <is>
          <t>Contabilidade</t>
        </is>
      </c>
      <c r="B981" s="83">
        <f>INDEX(SETORES!$B:$B,MATCH(A981,SETORES!$A:$A,0))</f>
        <v/>
      </c>
      <c r="C981" s="74" t="inlineStr">
        <is>
          <t>Empresa Licenciada DX2</t>
        </is>
      </c>
      <c r="D981" s="72">
        <f>IF(B981="Clientes",SUMIFS(PARÂMETROS!$D$8:$D$907,PARÂMETROS!$A$8:$A$907,C981,PARÂMETROS!$G$8:$G$907,J981),SUMIFS(PARÂMETROS!$E$8:$E$907,PARÂMETROS!$A$8:$A$907,C981,PARÂMETROS!$G$8:$G$907,J981))</f>
        <v/>
      </c>
      <c r="E981" s="84">
        <f>SUMIFS(SETORES!$D:$D,SETORES!$A:$A,A981,SETORES!$F:$F,J981)</f>
        <v/>
      </c>
      <c r="F981" s="84">
        <f>IFERROR(D981*E981,0)</f>
        <v/>
      </c>
      <c r="G981" s="72">
        <f>SUMIFS(PARÂMETROS!$F$8:$F$907,PARÂMETROS!$A$8:$A$907,C981,PARÂMETROS!$G$8:$G$907,J981)</f>
        <v/>
      </c>
      <c r="H981" s="84">
        <f>IFERROR(F981*G981,0)</f>
        <v/>
      </c>
      <c r="I981" s="84">
        <f>F981+H981</f>
        <v/>
      </c>
      <c r="J981" s="74" t="inlineStr">
        <is>
          <t>Agosto/2026</t>
        </is>
      </c>
    </row>
    <row r="982" ht="14.25" customHeight="1" s="64">
      <c r="A982" s="106" t="inlineStr">
        <is>
          <t>Contabilidade</t>
        </is>
      </c>
      <c r="B982" s="106">
        <f>INDEX(SETORES!$B:$B,MATCH(A982,SETORES!$A:$A,0))</f>
        <v/>
      </c>
      <c r="C982" s="106" t="inlineStr">
        <is>
          <t>Empresa Licenciada H&amp;A</t>
        </is>
      </c>
      <c r="D982" s="77">
        <f>IF(B982="Clientes",SUMIFS(PARÂMETROS!$D$8:$D$907,PARÂMETROS!$A$8:$A$907,C982,PARÂMETROS!$G$8:$G$907,J982),SUMIFS(PARÂMETROS!$E$8:$E$907,PARÂMETROS!$A$8:$A$907,C982,PARÂMETROS!$G$8:$G$907,J982))</f>
        <v/>
      </c>
      <c r="E982" s="109">
        <f>SUMIFS(SETORES!$D:$D,SETORES!$A:$A,A982,SETORES!$F:$F,J982)</f>
        <v/>
      </c>
      <c r="F982" s="109">
        <f>IFERROR(D982*E982,0)</f>
        <v/>
      </c>
      <c r="G982" s="77">
        <f>SUMIFS(PARÂMETROS!$F$8:$F$907,PARÂMETROS!$A$8:$A$907,C982,PARÂMETROS!$G$8:$G$907,J982)</f>
        <v/>
      </c>
      <c r="H982" s="109">
        <f>IFERROR(F982*G982,0)</f>
        <v/>
      </c>
      <c r="I982" s="109">
        <f>F982+H982</f>
        <v/>
      </c>
      <c r="J982" s="106" t="inlineStr">
        <is>
          <t>Agosto/2026</t>
        </is>
      </c>
    </row>
    <row r="983" ht="14.25" customHeight="1" s="64">
      <c r="A983" s="74" t="inlineStr">
        <is>
          <t>Contabilidade</t>
        </is>
      </c>
      <c r="B983" s="83">
        <f>INDEX(SETORES!$B:$B,MATCH(A983,SETORES!$A:$A,0))</f>
        <v/>
      </c>
      <c r="C983" s="74" t="inlineStr">
        <is>
          <t>Empresa Licenciada SOLON ARAUJO</t>
        </is>
      </c>
      <c r="D983" s="72">
        <f>IF(B983="Clientes",SUMIFS(PARÂMETROS!$D$8:$D$907,PARÂMETROS!$A$8:$A$907,C983,PARÂMETROS!$G$8:$G$907,J983),SUMIFS(PARÂMETROS!$E$8:$E$907,PARÂMETROS!$A$8:$A$907,C983,PARÂMETROS!$G$8:$G$907,J983))</f>
        <v/>
      </c>
      <c r="E983" s="84">
        <f>SUMIFS(SETORES!$D:$D,SETORES!$A:$A,A983,SETORES!$F:$F,J983)</f>
        <v/>
      </c>
      <c r="F983" s="84">
        <f>IFERROR(D983*E983,0)</f>
        <v/>
      </c>
      <c r="G983" s="72">
        <f>SUMIFS(PARÂMETROS!$F$8:$F$907,PARÂMETROS!$A$8:$A$907,C983,PARÂMETROS!$G$8:$G$907,J983)</f>
        <v/>
      </c>
      <c r="H983" s="84">
        <f>IFERROR(F983*G983,0)</f>
        <v/>
      </c>
      <c r="I983" s="84">
        <f>F983+H983</f>
        <v/>
      </c>
      <c r="J983" s="74" t="inlineStr">
        <is>
          <t>Agosto/2026</t>
        </is>
      </c>
    </row>
    <row r="984" ht="14.25" customHeight="1" s="64">
      <c r="A984" s="106" t="inlineStr">
        <is>
          <t>Contabilidade</t>
        </is>
      </c>
      <c r="B984" s="106">
        <f>INDEX(SETORES!$B:$B,MATCH(A984,SETORES!$A:$A,0))</f>
        <v/>
      </c>
      <c r="C984" s="106" t="inlineStr">
        <is>
          <t>Empresa Licenciada SOARES E LINS</t>
        </is>
      </c>
      <c r="D984" s="77">
        <f>IF(B984="Clientes",SUMIFS(PARÂMETROS!$D$8:$D$907,PARÂMETROS!$A$8:$A$907,C984,PARÂMETROS!$G$8:$G$907,J984),SUMIFS(PARÂMETROS!$E$8:$E$907,PARÂMETROS!$A$8:$A$907,C984,PARÂMETROS!$G$8:$G$907,J984))</f>
        <v/>
      </c>
      <c r="E984" s="109">
        <f>SUMIFS(SETORES!$D:$D,SETORES!$A:$A,A984,SETORES!$F:$F,J984)</f>
        <v/>
      </c>
      <c r="F984" s="109">
        <f>IFERROR(D984*E984,0)</f>
        <v/>
      </c>
      <c r="G984" s="77">
        <f>SUMIFS(PARÂMETROS!$F$8:$F$907,PARÂMETROS!$A$8:$A$907,C984,PARÂMETROS!$G$8:$G$907,J984)</f>
        <v/>
      </c>
      <c r="H984" s="109">
        <f>IFERROR(F984*G984,0)</f>
        <v/>
      </c>
      <c r="I984" s="109">
        <f>F984+H984</f>
        <v/>
      </c>
      <c r="J984" s="106" t="inlineStr">
        <is>
          <t>Agosto/2026</t>
        </is>
      </c>
    </row>
    <row r="985" ht="14.25" customHeight="1" s="64">
      <c r="A985" s="74" t="inlineStr">
        <is>
          <t>Contabilidade</t>
        </is>
      </c>
      <c r="B985" s="83">
        <f>INDEX(SETORES!$B:$B,MATCH(A985,SETORES!$A:$A,0))</f>
        <v/>
      </c>
      <c r="C985" s="74" t="inlineStr">
        <is>
          <t>Empresa Licenciada SOARES E SILVA</t>
        </is>
      </c>
      <c r="D985" s="72">
        <f>IF(B985="Clientes",SUMIFS(PARÂMETROS!$D$8:$D$907,PARÂMETROS!$A$8:$A$907,C985,PARÂMETROS!$G$8:$G$907,J985),SUMIFS(PARÂMETROS!$E$8:$E$907,PARÂMETROS!$A$8:$A$907,C985,PARÂMETROS!$G$8:$G$907,J985))</f>
        <v/>
      </c>
      <c r="E985" s="84">
        <f>SUMIFS(SETORES!$D:$D,SETORES!$A:$A,A985,SETORES!$F:$F,J985)</f>
        <v/>
      </c>
      <c r="F985" s="84">
        <f>IFERROR(D985*E985,0)</f>
        <v/>
      </c>
      <c r="G985" s="72">
        <f>SUMIFS(PARÂMETROS!$F$8:$F$907,PARÂMETROS!$A$8:$A$907,C985,PARÂMETROS!$G$8:$G$907,J985)</f>
        <v/>
      </c>
      <c r="H985" s="84">
        <f>IFERROR(F985*G985,0)</f>
        <v/>
      </c>
      <c r="I985" s="84">
        <f>F985+H985</f>
        <v/>
      </c>
      <c r="J985" s="74" t="inlineStr">
        <is>
          <t>Agosto/2026</t>
        </is>
      </c>
    </row>
    <row r="986" ht="14.25" customHeight="1" s="64">
      <c r="A986" s="106" t="inlineStr">
        <is>
          <t>Contabilidade</t>
        </is>
      </c>
      <c r="B986" s="106">
        <f>INDEX(SETORES!$B:$B,MATCH(A986,SETORES!$A:$A,0))</f>
        <v/>
      </c>
      <c r="C986" s="106" t="inlineStr">
        <is>
          <t>Empresa Licenciada SOUZA E SILVA</t>
        </is>
      </c>
      <c r="D986" s="77">
        <f>IF(B986="Clientes",SUMIFS(PARÂMETROS!$D$8:$D$907,PARÂMETROS!$A$8:$A$907,C986,PARÂMETROS!$G$8:$G$907,J986),SUMIFS(PARÂMETROS!$E$8:$E$907,PARÂMETROS!$A$8:$A$907,C986,PARÂMETROS!$G$8:$G$907,J986))</f>
        <v/>
      </c>
      <c r="E986" s="109">
        <f>SUMIFS(SETORES!$D:$D,SETORES!$A:$A,A986,SETORES!$F:$F,J986)</f>
        <v/>
      </c>
      <c r="F986" s="109">
        <f>IFERROR(D986*E986,0)</f>
        <v/>
      </c>
      <c r="G986" s="77">
        <f>SUMIFS(PARÂMETROS!$F$8:$F$907,PARÂMETROS!$A$8:$A$907,C986,PARÂMETROS!$G$8:$G$907,J986)</f>
        <v/>
      </c>
      <c r="H986" s="109">
        <f>IFERROR(F986*G986,0)</f>
        <v/>
      </c>
      <c r="I986" s="109">
        <f>F986+H986</f>
        <v/>
      </c>
      <c r="J986" s="106" t="inlineStr">
        <is>
          <t>Agosto/2026</t>
        </is>
      </c>
    </row>
    <row r="987" ht="14.25" customHeight="1" s="64">
      <c r="A987" s="74" t="inlineStr">
        <is>
          <t>Contabilidade</t>
        </is>
      </c>
      <c r="B987" s="83">
        <f>INDEX(SETORES!$B:$B,MATCH(A987,SETORES!$A:$A,0))</f>
        <v/>
      </c>
      <c r="C987" s="74" t="inlineStr">
        <is>
          <t>Empresa Licenciada VOICENET</t>
        </is>
      </c>
      <c r="D987" s="72">
        <f>IF(B987="Clientes",SUMIFS(PARÂMETROS!$D$8:$D$907,PARÂMETROS!$A$8:$A$907,C987,PARÂMETROS!$G$8:$G$907,J987),SUMIFS(PARÂMETROS!$E$8:$E$907,PARÂMETROS!$A$8:$A$907,C987,PARÂMETROS!$G$8:$G$907,J987))</f>
        <v/>
      </c>
      <c r="E987" s="84">
        <f>SUMIFS(SETORES!$D:$D,SETORES!$A:$A,A987,SETORES!$F:$F,J987)</f>
        <v/>
      </c>
      <c r="F987" s="84">
        <f>IFERROR(D987*E987,0)</f>
        <v/>
      </c>
      <c r="G987" s="72">
        <f>SUMIFS(PARÂMETROS!$F$8:$F$907,PARÂMETROS!$A$8:$A$907,C987,PARÂMETROS!$G$8:$G$907,J987)</f>
        <v/>
      </c>
      <c r="H987" s="84">
        <f>IFERROR(F987*G987,0)</f>
        <v/>
      </c>
      <c r="I987" s="84">
        <f>F987+H987</f>
        <v/>
      </c>
      <c r="J987" s="74" t="inlineStr">
        <is>
          <t>Agosto/2026</t>
        </is>
      </c>
    </row>
    <row r="988" ht="14.25" customHeight="1" s="64">
      <c r="A988" s="106" t="inlineStr">
        <is>
          <t>Contabilidade</t>
        </is>
      </c>
      <c r="B988" s="106">
        <f>INDEX(SETORES!$B:$B,MATCH(A988,SETORES!$A:$A,0))</f>
        <v/>
      </c>
      <c r="C988" s="106" t="inlineStr">
        <is>
          <t>DTEL (uso próprio)</t>
        </is>
      </c>
      <c r="D988" s="77">
        <f>IF(B988="Clientes",SUMIFS(PARÂMETROS!$D$8:$D$907,PARÂMETROS!$A$8:$A$907,C988,PARÂMETROS!$G$8:$G$907,J988),SUMIFS(PARÂMETROS!$E$8:$E$907,PARÂMETROS!$A$8:$A$907,C988,PARÂMETROS!$G$8:$G$907,J988))</f>
        <v/>
      </c>
      <c r="E988" s="109">
        <f>SUMIFS(SETORES!$D:$D,SETORES!$A:$A,A988,SETORES!$F:$F,J988)</f>
        <v/>
      </c>
      <c r="F988" s="109">
        <f>IFERROR(D988*E988,0)</f>
        <v/>
      </c>
      <c r="G988" s="77">
        <f>SUMIFS(PARÂMETROS!$F$8:$F$907,PARÂMETROS!$A$8:$A$907,C988,PARÂMETROS!$G$8:$G$907,J988)</f>
        <v/>
      </c>
      <c r="H988" s="109">
        <f>IFERROR(F988*G988,0)</f>
        <v/>
      </c>
      <c r="I988" s="109">
        <f>F988+H988</f>
        <v/>
      </c>
      <c r="J988" s="106" t="inlineStr">
        <is>
          <t>Agosto/2026</t>
        </is>
      </c>
    </row>
    <row r="989" ht="14.25" customHeight="1" s="64">
      <c r="A989" s="74" t="inlineStr">
        <is>
          <t>Controladoria</t>
        </is>
      </c>
      <c r="B989" s="83">
        <f>INDEX(SETORES!$B:$B,MATCH(A989,SETORES!$A:$A,0))</f>
        <v/>
      </c>
      <c r="C989" s="74" t="inlineStr">
        <is>
          <t>Empresa Licenciada DX2</t>
        </is>
      </c>
      <c r="D989" s="72">
        <f>IF(B989="Clientes",SUMIFS(PARÂMETROS!$D$8:$D$907,PARÂMETROS!$A$8:$A$907,C989,PARÂMETROS!$G$8:$G$907,J989),SUMIFS(PARÂMETROS!$E$8:$E$907,PARÂMETROS!$A$8:$A$907,C989,PARÂMETROS!$G$8:$G$907,J989))</f>
        <v/>
      </c>
      <c r="E989" s="84">
        <f>SUMIFS(SETORES!$D:$D,SETORES!$A:$A,A989,SETORES!$F:$F,J989)</f>
        <v/>
      </c>
      <c r="F989" s="84">
        <f>IFERROR(D989*E989,0)</f>
        <v/>
      </c>
      <c r="G989" s="72">
        <f>SUMIFS(PARÂMETROS!$F$8:$F$907,PARÂMETROS!$A$8:$A$907,C989,PARÂMETROS!$G$8:$G$907,J989)</f>
        <v/>
      </c>
      <c r="H989" s="84">
        <f>IFERROR(F989*G989,0)</f>
        <v/>
      </c>
      <c r="I989" s="84">
        <f>F989+H989</f>
        <v/>
      </c>
      <c r="J989" s="74" t="inlineStr">
        <is>
          <t>Agosto/2026</t>
        </is>
      </c>
    </row>
    <row r="990" ht="14.25" customHeight="1" s="64">
      <c r="A990" s="106" t="inlineStr">
        <is>
          <t>Controladoria</t>
        </is>
      </c>
      <c r="B990" s="106">
        <f>INDEX(SETORES!$B:$B,MATCH(A990,SETORES!$A:$A,0))</f>
        <v/>
      </c>
      <c r="C990" s="106" t="inlineStr">
        <is>
          <t>Empresa Licenciada H&amp;A</t>
        </is>
      </c>
      <c r="D990" s="77">
        <f>IF(B990="Clientes",SUMIFS(PARÂMETROS!$D$8:$D$907,PARÂMETROS!$A$8:$A$907,C990,PARÂMETROS!$G$8:$G$907,J990),SUMIFS(PARÂMETROS!$E$8:$E$907,PARÂMETROS!$A$8:$A$907,C990,PARÂMETROS!$G$8:$G$907,J990))</f>
        <v/>
      </c>
      <c r="E990" s="109">
        <f>SUMIFS(SETORES!$D:$D,SETORES!$A:$A,A990,SETORES!$F:$F,J990)</f>
        <v/>
      </c>
      <c r="F990" s="109">
        <f>IFERROR(D990*E990,0)</f>
        <v/>
      </c>
      <c r="G990" s="77">
        <f>SUMIFS(PARÂMETROS!$F$8:$F$907,PARÂMETROS!$A$8:$A$907,C990,PARÂMETROS!$G$8:$G$907,J990)</f>
        <v/>
      </c>
      <c r="H990" s="109">
        <f>IFERROR(F990*G990,0)</f>
        <v/>
      </c>
      <c r="I990" s="109">
        <f>F990+H990</f>
        <v/>
      </c>
      <c r="J990" s="106" t="inlineStr">
        <is>
          <t>Agosto/2026</t>
        </is>
      </c>
    </row>
    <row r="991" ht="14.25" customHeight="1" s="64">
      <c r="A991" s="74" t="inlineStr">
        <is>
          <t>Controladoria</t>
        </is>
      </c>
      <c r="B991" s="83">
        <f>INDEX(SETORES!$B:$B,MATCH(A991,SETORES!$A:$A,0))</f>
        <v/>
      </c>
      <c r="C991" s="74" t="inlineStr">
        <is>
          <t>Empresa Licenciada SOLON ARAUJO</t>
        </is>
      </c>
      <c r="D991" s="72">
        <f>IF(B991="Clientes",SUMIFS(PARÂMETROS!$D$8:$D$907,PARÂMETROS!$A$8:$A$907,C991,PARÂMETROS!$G$8:$G$907,J991),SUMIFS(PARÂMETROS!$E$8:$E$907,PARÂMETROS!$A$8:$A$907,C991,PARÂMETROS!$G$8:$G$907,J991))</f>
        <v/>
      </c>
      <c r="E991" s="84">
        <f>SUMIFS(SETORES!$D:$D,SETORES!$A:$A,A991,SETORES!$F:$F,J991)</f>
        <v/>
      </c>
      <c r="F991" s="84">
        <f>IFERROR(D991*E991,0)</f>
        <v/>
      </c>
      <c r="G991" s="72">
        <f>SUMIFS(PARÂMETROS!$F$8:$F$907,PARÂMETROS!$A$8:$A$907,C991,PARÂMETROS!$G$8:$G$907,J991)</f>
        <v/>
      </c>
      <c r="H991" s="84">
        <f>IFERROR(F991*G991,0)</f>
        <v/>
      </c>
      <c r="I991" s="84">
        <f>F991+H991</f>
        <v/>
      </c>
      <c r="J991" s="74" t="inlineStr">
        <is>
          <t>Agosto/2026</t>
        </is>
      </c>
    </row>
    <row r="992" ht="14.25" customHeight="1" s="64">
      <c r="A992" s="106" t="inlineStr">
        <is>
          <t>Controladoria</t>
        </is>
      </c>
      <c r="B992" s="106">
        <f>INDEX(SETORES!$B:$B,MATCH(A992,SETORES!$A:$A,0))</f>
        <v/>
      </c>
      <c r="C992" s="106" t="inlineStr">
        <is>
          <t>Empresa Licenciada SOARES E LINS</t>
        </is>
      </c>
      <c r="D992" s="77">
        <f>IF(B992="Clientes",SUMIFS(PARÂMETROS!$D$8:$D$907,PARÂMETROS!$A$8:$A$907,C992,PARÂMETROS!$G$8:$G$907,J992),SUMIFS(PARÂMETROS!$E$8:$E$907,PARÂMETROS!$A$8:$A$907,C992,PARÂMETROS!$G$8:$G$907,J992))</f>
        <v/>
      </c>
      <c r="E992" s="109">
        <f>SUMIFS(SETORES!$D:$D,SETORES!$A:$A,A992,SETORES!$F:$F,J992)</f>
        <v/>
      </c>
      <c r="F992" s="109">
        <f>IFERROR(D992*E992,0)</f>
        <v/>
      </c>
      <c r="G992" s="77">
        <f>SUMIFS(PARÂMETROS!$F$8:$F$907,PARÂMETROS!$A$8:$A$907,C992,PARÂMETROS!$G$8:$G$907,J992)</f>
        <v/>
      </c>
      <c r="H992" s="109">
        <f>IFERROR(F992*G992,0)</f>
        <v/>
      </c>
      <c r="I992" s="109">
        <f>F992+H992</f>
        <v/>
      </c>
      <c r="J992" s="106" t="inlineStr">
        <is>
          <t>Agosto/2026</t>
        </is>
      </c>
    </row>
    <row r="993" ht="14.25" customHeight="1" s="64">
      <c r="A993" s="74" t="inlineStr">
        <is>
          <t>Controladoria</t>
        </is>
      </c>
      <c r="B993" s="83">
        <f>INDEX(SETORES!$B:$B,MATCH(A993,SETORES!$A:$A,0))</f>
        <v/>
      </c>
      <c r="C993" s="74" t="inlineStr">
        <is>
          <t>Empresa Licenciada SOARES E SILVA</t>
        </is>
      </c>
      <c r="D993" s="72">
        <f>IF(B993="Clientes",SUMIFS(PARÂMETROS!$D$8:$D$907,PARÂMETROS!$A$8:$A$907,C993,PARÂMETROS!$G$8:$G$907,J993),SUMIFS(PARÂMETROS!$E$8:$E$907,PARÂMETROS!$A$8:$A$907,C993,PARÂMETROS!$G$8:$G$907,J993))</f>
        <v/>
      </c>
      <c r="E993" s="84">
        <f>SUMIFS(SETORES!$D:$D,SETORES!$A:$A,A993,SETORES!$F:$F,J993)</f>
        <v/>
      </c>
      <c r="F993" s="84">
        <f>IFERROR(D993*E993,0)</f>
        <v/>
      </c>
      <c r="G993" s="72">
        <f>SUMIFS(PARÂMETROS!$F$8:$F$907,PARÂMETROS!$A$8:$A$907,C993,PARÂMETROS!$G$8:$G$907,J993)</f>
        <v/>
      </c>
      <c r="H993" s="84">
        <f>IFERROR(F993*G993,0)</f>
        <v/>
      </c>
      <c r="I993" s="84">
        <f>F993+H993</f>
        <v/>
      </c>
      <c r="J993" s="74" t="inlineStr">
        <is>
          <t>Agosto/2026</t>
        </is>
      </c>
    </row>
    <row r="994" ht="14.25" customHeight="1" s="64">
      <c r="A994" s="106" t="inlineStr">
        <is>
          <t>Controladoria</t>
        </is>
      </c>
      <c r="B994" s="106">
        <f>INDEX(SETORES!$B:$B,MATCH(A994,SETORES!$A:$A,0))</f>
        <v/>
      </c>
      <c r="C994" s="106" t="inlineStr">
        <is>
          <t>Empresa Licenciada SOUZA E SILVA</t>
        </is>
      </c>
      <c r="D994" s="77">
        <f>IF(B994="Clientes",SUMIFS(PARÂMETROS!$D$8:$D$907,PARÂMETROS!$A$8:$A$907,C994,PARÂMETROS!$G$8:$G$907,J994),SUMIFS(PARÂMETROS!$E$8:$E$907,PARÂMETROS!$A$8:$A$907,C994,PARÂMETROS!$G$8:$G$907,J994))</f>
        <v/>
      </c>
      <c r="E994" s="109">
        <f>SUMIFS(SETORES!$D:$D,SETORES!$A:$A,A994,SETORES!$F:$F,J994)</f>
        <v/>
      </c>
      <c r="F994" s="109">
        <f>IFERROR(D994*E994,0)</f>
        <v/>
      </c>
      <c r="G994" s="77">
        <f>SUMIFS(PARÂMETROS!$F$8:$F$907,PARÂMETROS!$A$8:$A$907,C994,PARÂMETROS!$G$8:$G$907,J994)</f>
        <v/>
      </c>
      <c r="H994" s="109">
        <f>IFERROR(F994*G994,0)</f>
        <v/>
      </c>
      <c r="I994" s="109">
        <f>F994+H994</f>
        <v/>
      </c>
      <c r="J994" s="106" t="inlineStr">
        <is>
          <t>Agosto/2026</t>
        </is>
      </c>
    </row>
    <row r="995" ht="14.25" customHeight="1" s="64">
      <c r="A995" s="74" t="inlineStr">
        <is>
          <t>Controladoria</t>
        </is>
      </c>
      <c r="B995" s="83">
        <f>INDEX(SETORES!$B:$B,MATCH(A995,SETORES!$A:$A,0))</f>
        <v/>
      </c>
      <c r="C995" s="74" t="inlineStr">
        <is>
          <t>Empresa Licenciada VOICENET</t>
        </is>
      </c>
      <c r="D995" s="72">
        <f>IF(B995="Clientes",SUMIFS(PARÂMETROS!$D$8:$D$907,PARÂMETROS!$A$8:$A$907,C995,PARÂMETROS!$G$8:$G$907,J995),SUMIFS(PARÂMETROS!$E$8:$E$907,PARÂMETROS!$A$8:$A$907,C995,PARÂMETROS!$G$8:$G$907,J995))</f>
        <v/>
      </c>
      <c r="E995" s="84">
        <f>SUMIFS(SETORES!$D:$D,SETORES!$A:$A,A995,SETORES!$F:$F,J995)</f>
        <v/>
      </c>
      <c r="F995" s="84">
        <f>IFERROR(D995*E995,0)</f>
        <v/>
      </c>
      <c r="G995" s="72">
        <f>SUMIFS(PARÂMETROS!$F$8:$F$907,PARÂMETROS!$A$8:$A$907,C995,PARÂMETROS!$G$8:$G$907,J995)</f>
        <v/>
      </c>
      <c r="H995" s="84">
        <f>IFERROR(F995*G995,0)</f>
        <v/>
      </c>
      <c r="I995" s="84">
        <f>F995+H995</f>
        <v/>
      </c>
      <c r="J995" s="74" t="inlineStr">
        <is>
          <t>Agosto/2026</t>
        </is>
      </c>
    </row>
    <row r="996" ht="14.25" customHeight="1" s="64">
      <c r="A996" s="106" t="inlineStr">
        <is>
          <t>Controladoria</t>
        </is>
      </c>
      <c r="B996" s="106">
        <f>INDEX(SETORES!$B:$B,MATCH(A996,SETORES!$A:$A,0))</f>
        <v/>
      </c>
      <c r="C996" s="106" t="inlineStr">
        <is>
          <t>DTEL (uso próprio)</t>
        </is>
      </c>
      <c r="D996" s="77">
        <f>IF(B996="Clientes",SUMIFS(PARÂMETROS!$D$8:$D$907,PARÂMETROS!$A$8:$A$907,C996,PARÂMETROS!$G$8:$G$907,J996),SUMIFS(PARÂMETROS!$E$8:$E$907,PARÂMETROS!$A$8:$A$907,C996,PARÂMETROS!$G$8:$G$907,J996))</f>
        <v/>
      </c>
      <c r="E996" s="109">
        <f>SUMIFS(SETORES!$D:$D,SETORES!$A:$A,A996,SETORES!$F:$F,J996)</f>
        <v/>
      </c>
      <c r="F996" s="109">
        <f>IFERROR(D996*E996,0)</f>
        <v/>
      </c>
      <c r="G996" s="77">
        <f>SUMIFS(PARÂMETROS!$F$8:$F$907,PARÂMETROS!$A$8:$A$907,C996,PARÂMETROS!$G$8:$G$907,J996)</f>
        <v/>
      </c>
      <c r="H996" s="109">
        <f>IFERROR(F996*G996,0)</f>
        <v/>
      </c>
      <c r="I996" s="109">
        <f>F996+H996</f>
        <v/>
      </c>
      <c r="J996" s="106" t="inlineStr">
        <is>
          <t>Agosto/2026</t>
        </is>
      </c>
    </row>
    <row r="997" ht="14.25" customHeight="1" s="64">
      <c r="A997" s="74" t="inlineStr">
        <is>
          <t>Diretoria Operacional</t>
        </is>
      </c>
      <c r="B997" s="83">
        <f>INDEX(SETORES!$B:$B,MATCH(A997,SETORES!$A:$A,0))</f>
        <v/>
      </c>
      <c r="C997" s="74" t="inlineStr">
        <is>
          <t>Empresa Licenciada DX2</t>
        </is>
      </c>
      <c r="D997" s="72">
        <f>IF(B997="Clientes",SUMIFS(PARÂMETROS!$D$8:$D$907,PARÂMETROS!$A$8:$A$907,C997,PARÂMETROS!$G$8:$G$907,J997),SUMIFS(PARÂMETROS!$E$8:$E$907,PARÂMETROS!$A$8:$A$907,C997,PARÂMETROS!$G$8:$G$907,J997))</f>
        <v/>
      </c>
      <c r="E997" s="84">
        <f>SUMIFS(SETORES!$D:$D,SETORES!$A:$A,A997,SETORES!$F:$F,J997)</f>
        <v/>
      </c>
      <c r="F997" s="84">
        <f>IFERROR(D997*E997,0)</f>
        <v/>
      </c>
      <c r="G997" s="72">
        <f>SUMIFS(PARÂMETROS!$F$8:$F$907,PARÂMETROS!$A$8:$A$907,C997,PARÂMETROS!$G$8:$G$907,J997)</f>
        <v/>
      </c>
      <c r="H997" s="84">
        <f>IFERROR(F997*G997,0)</f>
        <v/>
      </c>
      <c r="I997" s="84">
        <f>F997+H997</f>
        <v/>
      </c>
      <c r="J997" s="74" t="inlineStr">
        <is>
          <t>Agosto/2026</t>
        </is>
      </c>
    </row>
    <row r="998" ht="14.25" customHeight="1" s="64">
      <c r="A998" s="106" t="inlineStr">
        <is>
          <t>Diretoria Operacional</t>
        </is>
      </c>
      <c r="B998" s="106">
        <f>INDEX(SETORES!$B:$B,MATCH(A998,SETORES!$A:$A,0))</f>
        <v/>
      </c>
      <c r="C998" s="106" t="inlineStr">
        <is>
          <t>Empresa Licenciada H&amp;A</t>
        </is>
      </c>
      <c r="D998" s="77">
        <f>IF(B998="Clientes",SUMIFS(PARÂMETROS!$D$8:$D$907,PARÂMETROS!$A$8:$A$907,C998,PARÂMETROS!$G$8:$G$907,J998),SUMIFS(PARÂMETROS!$E$8:$E$907,PARÂMETROS!$A$8:$A$907,C998,PARÂMETROS!$G$8:$G$907,J998))</f>
        <v/>
      </c>
      <c r="E998" s="109">
        <f>SUMIFS(SETORES!$D:$D,SETORES!$A:$A,A998,SETORES!$F:$F,J998)</f>
        <v/>
      </c>
      <c r="F998" s="109">
        <f>IFERROR(D998*E998,0)</f>
        <v/>
      </c>
      <c r="G998" s="77">
        <f>SUMIFS(PARÂMETROS!$F$8:$F$907,PARÂMETROS!$A$8:$A$907,C998,PARÂMETROS!$G$8:$G$907,J998)</f>
        <v/>
      </c>
      <c r="H998" s="109">
        <f>IFERROR(F998*G998,0)</f>
        <v/>
      </c>
      <c r="I998" s="109">
        <f>F998+H998</f>
        <v/>
      </c>
      <c r="J998" s="106" t="inlineStr">
        <is>
          <t>Agosto/2026</t>
        </is>
      </c>
    </row>
    <row r="999" ht="14.25" customHeight="1" s="64">
      <c r="A999" s="74" t="inlineStr">
        <is>
          <t>Diretoria Operacional</t>
        </is>
      </c>
      <c r="B999" s="83">
        <f>INDEX(SETORES!$B:$B,MATCH(A999,SETORES!$A:$A,0))</f>
        <v/>
      </c>
      <c r="C999" s="74" t="inlineStr">
        <is>
          <t>Empresa Licenciada SOLON ARAUJO</t>
        </is>
      </c>
      <c r="D999" s="72">
        <f>IF(B999="Clientes",SUMIFS(PARÂMETROS!$D$8:$D$907,PARÂMETROS!$A$8:$A$907,C999,PARÂMETROS!$G$8:$G$907,J999),SUMIFS(PARÂMETROS!$E$8:$E$907,PARÂMETROS!$A$8:$A$907,C999,PARÂMETROS!$G$8:$G$907,J999))</f>
        <v/>
      </c>
      <c r="E999" s="84">
        <f>SUMIFS(SETORES!$D:$D,SETORES!$A:$A,A999,SETORES!$F:$F,J999)</f>
        <v/>
      </c>
      <c r="F999" s="84">
        <f>IFERROR(D999*E999,0)</f>
        <v/>
      </c>
      <c r="G999" s="72">
        <f>SUMIFS(PARÂMETROS!$F$8:$F$907,PARÂMETROS!$A$8:$A$907,C999,PARÂMETROS!$G$8:$G$907,J999)</f>
        <v/>
      </c>
      <c r="H999" s="84">
        <f>IFERROR(F999*G999,0)</f>
        <v/>
      </c>
      <c r="I999" s="84">
        <f>F999+H999</f>
        <v/>
      </c>
      <c r="J999" s="74" t="inlineStr">
        <is>
          <t>Agosto/2026</t>
        </is>
      </c>
    </row>
    <row r="1000" ht="14.25" customHeight="1" s="64">
      <c r="A1000" s="106" t="inlineStr">
        <is>
          <t>Diretoria Operacional</t>
        </is>
      </c>
      <c r="B1000" s="106">
        <f>INDEX(SETORES!$B:$B,MATCH(A1000,SETORES!$A:$A,0))</f>
        <v/>
      </c>
      <c r="C1000" s="106" t="inlineStr">
        <is>
          <t>Empresa Licenciada SOARES E LINS</t>
        </is>
      </c>
      <c r="D1000" s="77">
        <f>IF(B1000="Clientes",SUMIFS(PARÂMETROS!$D$8:$D$907,PARÂMETROS!$A$8:$A$907,C1000,PARÂMETROS!$G$8:$G$907,J1000),SUMIFS(PARÂMETROS!$E$8:$E$907,PARÂMETROS!$A$8:$A$907,C1000,PARÂMETROS!$G$8:$G$907,J1000))</f>
        <v/>
      </c>
      <c r="E1000" s="109">
        <f>SUMIFS(SETORES!$D:$D,SETORES!$A:$A,A1000,SETORES!$F:$F,J1000)</f>
        <v/>
      </c>
      <c r="F1000" s="109">
        <f>IFERROR(D1000*E1000,0)</f>
        <v/>
      </c>
      <c r="G1000" s="77">
        <f>SUMIFS(PARÂMETROS!$F$8:$F$907,PARÂMETROS!$A$8:$A$907,C1000,PARÂMETROS!$G$8:$G$907,J1000)</f>
        <v/>
      </c>
      <c r="H1000" s="109">
        <f>IFERROR(F1000*G1000,0)</f>
        <v/>
      </c>
      <c r="I1000" s="109">
        <f>F1000+H1000</f>
        <v/>
      </c>
      <c r="J1000" s="106" t="inlineStr">
        <is>
          <t>Agosto/2026</t>
        </is>
      </c>
    </row>
    <row r="1001" ht="14.25" customHeight="1" s="64">
      <c r="A1001" s="74" t="inlineStr">
        <is>
          <t>Diretoria Operacional</t>
        </is>
      </c>
      <c r="B1001" s="83">
        <f>INDEX(SETORES!$B:$B,MATCH(A1001,SETORES!$A:$A,0))</f>
        <v/>
      </c>
      <c r="C1001" s="74" t="inlineStr">
        <is>
          <t>Empresa Licenciada SOARES E SILVA</t>
        </is>
      </c>
      <c r="D1001" s="72">
        <f>IF(B1001="Clientes",SUMIFS(PARÂMETROS!$D$8:$D$907,PARÂMETROS!$A$8:$A$907,C1001,PARÂMETROS!$G$8:$G$907,J1001),SUMIFS(PARÂMETROS!$E$8:$E$907,PARÂMETROS!$A$8:$A$907,C1001,PARÂMETROS!$G$8:$G$907,J1001))</f>
        <v/>
      </c>
      <c r="E1001" s="84">
        <f>SUMIFS(SETORES!$D:$D,SETORES!$A:$A,A1001,SETORES!$F:$F,J1001)</f>
        <v/>
      </c>
      <c r="F1001" s="84">
        <f>IFERROR(D1001*E1001,0)</f>
        <v/>
      </c>
      <c r="G1001" s="72">
        <f>SUMIFS(PARÂMETROS!$F$8:$F$907,PARÂMETROS!$A$8:$A$907,C1001,PARÂMETROS!$G$8:$G$907,J1001)</f>
        <v/>
      </c>
      <c r="H1001" s="84">
        <f>IFERROR(F1001*G1001,0)</f>
        <v/>
      </c>
      <c r="I1001" s="84">
        <f>F1001+H1001</f>
        <v/>
      </c>
      <c r="J1001" s="74" t="inlineStr">
        <is>
          <t>Agosto/2026</t>
        </is>
      </c>
    </row>
    <row r="1002" ht="14.25" customHeight="1" s="64">
      <c r="A1002" s="106" t="inlineStr">
        <is>
          <t>Diretoria Operacional</t>
        </is>
      </c>
      <c r="B1002" s="106">
        <f>INDEX(SETORES!$B:$B,MATCH(A1002,SETORES!$A:$A,0))</f>
        <v/>
      </c>
      <c r="C1002" s="106" t="inlineStr">
        <is>
          <t>Empresa Licenciada SOUZA E SILVA</t>
        </is>
      </c>
      <c r="D1002" s="77">
        <f>IF(B1002="Clientes",SUMIFS(PARÂMETROS!$D$8:$D$907,PARÂMETROS!$A$8:$A$907,C1002,PARÂMETROS!$G$8:$G$907,J1002),SUMIFS(PARÂMETROS!$E$8:$E$907,PARÂMETROS!$A$8:$A$907,C1002,PARÂMETROS!$G$8:$G$907,J1002))</f>
        <v/>
      </c>
      <c r="E1002" s="109">
        <f>SUMIFS(SETORES!$D:$D,SETORES!$A:$A,A1002,SETORES!$F:$F,J1002)</f>
        <v/>
      </c>
      <c r="F1002" s="109">
        <f>IFERROR(D1002*E1002,0)</f>
        <v/>
      </c>
      <c r="G1002" s="77">
        <f>SUMIFS(PARÂMETROS!$F$8:$F$907,PARÂMETROS!$A$8:$A$907,C1002,PARÂMETROS!$G$8:$G$907,J1002)</f>
        <v/>
      </c>
      <c r="H1002" s="109">
        <f>IFERROR(F1002*G1002,0)</f>
        <v/>
      </c>
      <c r="I1002" s="109">
        <f>F1002+H1002</f>
        <v/>
      </c>
      <c r="J1002" s="106" t="inlineStr">
        <is>
          <t>Agosto/2026</t>
        </is>
      </c>
    </row>
    <row r="1003" ht="14.25" customHeight="1" s="64">
      <c r="A1003" s="74" t="inlineStr">
        <is>
          <t>Diretoria Operacional</t>
        </is>
      </c>
      <c r="B1003" s="83">
        <f>INDEX(SETORES!$B:$B,MATCH(A1003,SETORES!$A:$A,0))</f>
        <v/>
      </c>
      <c r="C1003" s="74" t="inlineStr">
        <is>
          <t>Empresa Licenciada VOICENET</t>
        </is>
      </c>
      <c r="D1003" s="72">
        <f>IF(B1003="Clientes",SUMIFS(PARÂMETROS!$D$8:$D$907,PARÂMETROS!$A$8:$A$907,C1003,PARÂMETROS!$G$8:$G$907,J1003),SUMIFS(PARÂMETROS!$E$8:$E$907,PARÂMETROS!$A$8:$A$907,C1003,PARÂMETROS!$G$8:$G$907,J1003))</f>
        <v/>
      </c>
      <c r="E1003" s="84">
        <f>SUMIFS(SETORES!$D:$D,SETORES!$A:$A,A1003,SETORES!$F:$F,J1003)</f>
        <v/>
      </c>
      <c r="F1003" s="84">
        <f>IFERROR(D1003*E1003,0)</f>
        <v/>
      </c>
      <c r="G1003" s="72">
        <f>SUMIFS(PARÂMETROS!$F$8:$F$907,PARÂMETROS!$A$8:$A$907,C1003,PARÂMETROS!$G$8:$G$907,J1003)</f>
        <v/>
      </c>
      <c r="H1003" s="84">
        <f>IFERROR(F1003*G1003,0)</f>
        <v/>
      </c>
      <c r="I1003" s="84">
        <f>F1003+H1003</f>
        <v/>
      </c>
      <c r="J1003" s="74" t="inlineStr">
        <is>
          <t>Agosto/2026</t>
        </is>
      </c>
    </row>
    <row r="1004" ht="14.25" customHeight="1" s="64">
      <c r="A1004" s="106" t="inlineStr">
        <is>
          <t>Diretoria Operacional</t>
        </is>
      </c>
      <c r="B1004" s="106">
        <f>INDEX(SETORES!$B:$B,MATCH(A1004,SETORES!$A:$A,0))</f>
        <v/>
      </c>
      <c r="C1004" s="106" t="inlineStr">
        <is>
          <t>DTEL (uso próprio)</t>
        </is>
      </c>
      <c r="D1004" s="77">
        <f>IF(B1004="Clientes",SUMIFS(PARÂMETROS!$D$8:$D$907,PARÂMETROS!$A$8:$A$907,C1004,PARÂMETROS!$G$8:$G$907,J1004),SUMIFS(PARÂMETROS!$E$8:$E$907,PARÂMETROS!$A$8:$A$907,C1004,PARÂMETROS!$G$8:$G$907,J1004))</f>
        <v/>
      </c>
      <c r="E1004" s="109">
        <f>SUMIFS(SETORES!$D:$D,SETORES!$A:$A,A1004,SETORES!$F:$F,J1004)</f>
        <v/>
      </c>
      <c r="F1004" s="109">
        <f>IFERROR(D1004*E1004,0)</f>
        <v/>
      </c>
      <c r="G1004" s="77">
        <f>SUMIFS(PARÂMETROS!$F$8:$F$907,PARÂMETROS!$A$8:$A$907,C1004,PARÂMETROS!$G$8:$G$907,J1004)</f>
        <v/>
      </c>
      <c r="H1004" s="109">
        <f>IFERROR(F1004*G1004,0)</f>
        <v/>
      </c>
      <c r="I1004" s="109">
        <f>F1004+H1004</f>
        <v/>
      </c>
      <c r="J1004" s="106" t="inlineStr">
        <is>
          <t>Agosto/2026</t>
        </is>
      </c>
    </row>
    <row r="1005" ht="14.25" customHeight="1" s="64">
      <c r="A1005" s="74" t="inlineStr">
        <is>
          <t>Compras</t>
        </is>
      </c>
      <c r="B1005" s="83">
        <f>INDEX(SETORES!$B:$B,MATCH(A1005,SETORES!$A:$A,0))</f>
        <v/>
      </c>
      <c r="C1005" s="74" t="inlineStr">
        <is>
          <t>Empresa Licenciada DX2</t>
        </is>
      </c>
      <c r="D1005" s="72">
        <f>IF(B1005="Clientes",SUMIFS(PARÂMETROS!$D$8:$D$907,PARÂMETROS!$A$8:$A$907,C1005,PARÂMETROS!$G$8:$G$907,J1005),SUMIFS(PARÂMETROS!$E$8:$E$907,PARÂMETROS!$A$8:$A$907,C1005,PARÂMETROS!$G$8:$G$907,J1005))</f>
        <v/>
      </c>
      <c r="E1005" s="84">
        <f>SUMIFS(SETORES!$D:$D,SETORES!$A:$A,A1005,SETORES!$F:$F,J1005)</f>
        <v/>
      </c>
      <c r="F1005" s="84">
        <f>IFERROR(D1005*E1005,0)</f>
        <v/>
      </c>
      <c r="G1005" s="72">
        <f>SUMIFS(PARÂMETROS!$F$8:$F$907,PARÂMETROS!$A$8:$A$907,C1005,PARÂMETROS!$G$8:$G$907,J1005)</f>
        <v/>
      </c>
      <c r="H1005" s="84">
        <f>IFERROR(F1005*G1005,0)</f>
        <v/>
      </c>
      <c r="I1005" s="84">
        <f>F1005+H1005</f>
        <v/>
      </c>
      <c r="J1005" s="74" t="inlineStr">
        <is>
          <t>Agosto/2026</t>
        </is>
      </c>
    </row>
    <row r="1006" ht="14.25" customHeight="1" s="64">
      <c r="A1006" s="106" t="inlineStr">
        <is>
          <t>Compras</t>
        </is>
      </c>
      <c r="B1006" s="106">
        <f>INDEX(SETORES!$B:$B,MATCH(A1006,SETORES!$A:$A,0))</f>
        <v/>
      </c>
      <c r="C1006" s="106" t="inlineStr">
        <is>
          <t>Empresa Licenciada H&amp;A</t>
        </is>
      </c>
      <c r="D1006" s="77">
        <f>IF(B1006="Clientes",SUMIFS(PARÂMETROS!$D$8:$D$907,PARÂMETROS!$A$8:$A$907,C1006,PARÂMETROS!$G$8:$G$907,J1006),SUMIFS(PARÂMETROS!$E$8:$E$907,PARÂMETROS!$A$8:$A$907,C1006,PARÂMETROS!$G$8:$G$907,J1006))</f>
        <v/>
      </c>
      <c r="E1006" s="109">
        <f>SUMIFS(SETORES!$D:$D,SETORES!$A:$A,A1006,SETORES!$F:$F,J1006)</f>
        <v/>
      </c>
      <c r="F1006" s="109">
        <f>IFERROR(D1006*E1006,0)</f>
        <v/>
      </c>
      <c r="G1006" s="77">
        <f>SUMIFS(PARÂMETROS!$F$8:$F$907,PARÂMETROS!$A$8:$A$907,C1006,PARÂMETROS!$G$8:$G$907,J1006)</f>
        <v/>
      </c>
      <c r="H1006" s="109">
        <f>IFERROR(F1006*G1006,0)</f>
        <v/>
      </c>
      <c r="I1006" s="109">
        <f>F1006+H1006</f>
        <v/>
      </c>
      <c r="J1006" s="106" t="inlineStr">
        <is>
          <t>Agosto/2026</t>
        </is>
      </c>
    </row>
    <row r="1007" ht="14.25" customHeight="1" s="64">
      <c r="A1007" s="74" t="inlineStr">
        <is>
          <t>Compras</t>
        </is>
      </c>
      <c r="B1007" s="83">
        <f>INDEX(SETORES!$B:$B,MATCH(A1007,SETORES!$A:$A,0))</f>
        <v/>
      </c>
      <c r="C1007" s="74" t="inlineStr">
        <is>
          <t>Empresa Licenciada SOLON ARAUJO</t>
        </is>
      </c>
      <c r="D1007" s="72">
        <f>IF(B1007="Clientes",SUMIFS(PARÂMETROS!$D$8:$D$907,PARÂMETROS!$A$8:$A$907,C1007,PARÂMETROS!$G$8:$G$907,J1007),SUMIFS(PARÂMETROS!$E$8:$E$907,PARÂMETROS!$A$8:$A$907,C1007,PARÂMETROS!$G$8:$G$907,J1007))</f>
        <v/>
      </c>
      <c r="E1007" s="84">
        <f>SUMIFS(SETORES!$D:$D,SETORES!$A:$A,A1007,SETORES!$F:$F,J1007)</f>
        <v/>
      </c>
      <c r="F1007" s="84">
        <f>IFERROR(D1007*E1007,0)</f>
        <v/>
      </c>
      <c r="G1007" s="72">
        <f>SUMIFS(PARÂMETROS!$F$8:$F$907,PARÂMETROS!$A$8:$A$907,C1007,PARÂMETROS!$G$8:$G$907,J1007)</f>
        <v/>
      </c>
      <c r="H1007" s="84">
        <f>IFERROR(F1007*G1007,0)</f>
        <v/>
      </c>
      <c r="I1007" s="84">
        <f>F1007+H1007</f>
        <v/>
      </c>
      <c r="J1007" s="74" t="inlineStr">
        <is>
          <t>Agosto/2026</t>
        </is>
      </c>
    </row>
    <row r="1008" ht="14.25" customHeight="1" s="64">
      <c r="A1008" s="106" t="inlineStr">
        <is>
          <t>Compras</t>
        </is>
      </c>
      <c r="B1008" s="106">
        <f>INDEX(SETORES!$B:$B,MATCH(A1008,SETORES!$A:$A,0))</f>
        <v/>
      </c>
      <c r="C1008" s="106" t="inlineStr">
        <is>
          <t>Empresa Licenciada SOARES E LINS</t>
        </is>
      </c>
      <c r="D1008" s="77">
        <f>IF(B1008="Clientes",SUMIFS(PARÂMETROS!$D$8:$D$907,PARÂMETROS!$A$8:$A$907,C1008,PARÂMETROS!$G$8:$G$907,J1008),SUMIFS(PARÂMETROS!$E$8:$E$907,PARÂMETROS!$A$8:$A$907,C1008,PARÂMETROS!$G$8:$G$907,J1008))</f>
        <v/>
      </c>
      <c r="E1008" s="109">
        <f>SUMIFS(SETORES!$D:$D,SETORES!$A:$A,A1008,SETORES!$F:$F,J1008)</f>
        <v/>
      </c>
      <c r="F1008" s="109">
        <f>IFERROR(D1008*E1008,0)</f>
        <v/>
      </c>
      <c r="G1008" s="77">
        <f>SUMIFS(PARÂMETROS!$F$8:$F$907,PARÂMETROS!$A$8:$A$907,C1008,PARÂMETROS!$G$8:$G$907,J1008)</f>
        <v/>
      </c>
      <c r="H1008" s="109">
        <f>IFERROR(F1008*G1008,0)</f>
        <v/>
      </c>
      <c r="I1008" s="109">
        <f>F1008+H1008</f>
        <v/>
      </c>
      <c r="J1008" s="106" t="inlineStr">
        <is>
          <t>Agosto/2026</t>
        </is>
      </c>
    </row>
    <row r="1009" ht="14.25" customHeight="1" s="64">
      <c r="A1009" s="74" t="inlineStr">
        <is>
          <t>Compras</t>
        </is>
      </c>
      <c r="B1009" s="83">
        <f>INDEX(SETORES!$B:$B,MATCH(A1009,SETORES!$A:$A,0))</f>
        <v/>
      </c>
      <c r="C1009" s="74" t="inlineStr">
        <is>
          <t>Empresa Licenciada SOARES E SILVA</t>
        </is>
      </c>
      <c r="D1009" s="72">
        <f>IF(B1009="Clientes",SUMIFS(PARÂMETROS!$D$8:$D$907,PARÂMETROS!$A$8:$A$907,C1009,PARÂMETROS!$G$8:$G$907,J1009),SUMIFS(PARÂMETROS!$E$8:$E$907,PARÂMETROS!$A$8:$A$907,C1009,PARÂMETROS!$G$8:$G$907,J1009))</f>
        <v/>
      </c>
      <c r="E1009" s="84">
        <f>SUMIFS(SETORES!$D:$D,SETORES!$A:$A,A1009,SETORES!$F:$F,J1009)</f>
        <v/>
      </c>
      <c r="F1009" s="84">
        <f>IFERROR(D1009*E1009,0)</f>
        <v/>
      </c>
      <c r="G1009" s="72">
        <f>SUMIFS(PARÂMETROS!$F$8:$F$907,PARÂMETROS!$A$8:$A$907,C1009,PARÂMETROS!$G$8:$G$907,J1009)</f>
        <v/>
      </c>
      <c r="H1009" s="84">
        <f>IFERROR(F1009*G1009,0)</f>
        <v/>
      </c>
      <c r="I1009" s="84">
        <f>F1009+H1009</f>
        <v/>
      </c>
      <c r="J1009" s="74" t="inlineStr">
        <is>
          <t>Agosto/2026</t>
        </is>
      </c>
    </row>
    <row r="1010" ht="14.25" customHeight="1" s="64">
      <c r="A1010" s="106" t="inlineStr">
        <is>
          <t>Compras</t>
        </is>
      </c>
      <c r="B1010" s="106">
        <f>INDEX(SETORES!$B:$B,MATCH(A1010,SETORES!$A:$A,0))</f>
        <v/>
      </c>
      <c r="C1010" s="106" t="inlineStr">
        <is>
          <t>Empresa Licenciada SOUZA E SILVA</t>
        </is>
      </c>
      <c r="D1010" s="77">
        <f>IF(B1010="Clientes",SUMIFS(PARÂMETROS!$D$8:$D$907,PARÂMETROS!$A$8:$A$907,C1010,PARÂMETROS!$G$8:$G$907,J1010),SUMIFS(PARÂMETROS!$E$8:$E$907,PARÂMETROS!$A$8:$A$907,C1010,PARÂMETROS!$G$8:$G$907,J1010))</f>
        <v/>
      </c>
      <c r="E1010" s="109">
        <f>SUMIFS(SETORES!$D:$D,SETORES!$A:$A,A1010,SETORES!$F:$F,J1010)</f>
        <v/>
      </c>
      <c r="F1010" s="109">
        <f>IFERROR(D1010*E1010,0)</f>
        <v/>
      </c>
      <c r="G1010" s="77">
        <f>SUMIFS(PARÂMETROS!$F$8:$F$907,PARÂMETROS!$A$8:$A$907,C1010,PARÂMETROS!$G$8:$G$907,J1010)</f>
        <v/>
      </c>
      <c r="H1010" s="109">
        <f>IFERROR(F1010*G1010,0)</f>
        <v/>
      </c>
      <c r="I1010" s="109">
        <f>F1010+H1010</f>
        <v/>
      </c>
      <c r="J1010" s="106" t="inlineStr">
        <is>
          <t>Agosto/2026</t>
        </is>
      </c>
    </row>
    <row r="1011" ht="14.25" customHeight="1" s="64">
      <c r="A1011" s="74" t="inlineStr">
        <is>
          <t>Compras</t>
        </is>
      </c>
      <c r="B1011" s="83">
        <f>INDEX(SETORES!$B:$B,MATCH(A1011,SETORES!$A:$A,0))</f>
        <v/>
      </c>
      <c r="C1011" s="74" t="inlineStr">
        <is>
          <t>Empresa Licenciada VOICENET</t>
        </is>
      </c>
      <c r="D1011" s="72">
        <f>IF(B1011="Clientes",SUMIFS(PARÂMETROS!$D$8:$D$907,PARÂMETROS!$A$8:$A$907,C1011,PARÂMETROS!$G$8:$G$907,J1011),SUMIFS(PARÂMETROS!$E$8:$E$907,PARÂMETROS!$A$8:$A$907,C1011,PARÂMETROS!$G$8:$G$907,J1011))</f>
        <v/>
      </c>
      <c r="E1011" s="84">
        <f>SUMIFS(SETORES!$D:$D,SETORES!$A:$A,A1011,SETORES!$F:$F,J1011)</f>
        <v/>
      </c>
      <c r="F1011" s="84">
        <f>IFERROR(D1011*E1011,0)</f>
        <v/>
      </c>
      <c r="G1011" s="72">
        <f>SUMIFS(PARÂMETROS!$F$8:$F$907,PARÂMETROS!$A$8:$A$907,C1011,PARÂMETROS!$G$8:$G$907,J1011)</f>
        <v/>
      </c>
      <c r="H1011" s="84">
        <f>IFERROR(F1011*G1011,0)</f>
        <v/>
      </c>
      <c r="I1011" s="84">
        <f>F1011+H1011</f>
        <v/>
      </c>
      <c r="J1011" s="74" t="inlineStr">
        <is>
          <t>Agosto/2026</t>
        </is>
      </c>
    </row>
    <row r="1012" ht="14.25" customHeight="1" s="64">
      <c r="A1012" s="106" t="inlineStr">
        <is>
          <t>Compras</t>
        </is>
      </c>
      <c r="B1012" s="106">
        <f>INDEX(SETORES!$B:$B,MATCH(A1012,SETORES!$A:$A,0))</f>
        <v/>
      </c>
      <c r="C1012" s="106" t="inlineStr">
        <is>
          <t>DTEL (uso próprio)</t>
        </is>
      </c>
      <c r="D1012" s="77">
        <f>IF(B1012="Clientes",SUMIFS(PARÂMETROS!$D$8:$D$907,PARÂMETROS!$A$8:$A$907,C1012,PARÂMETROS!$G$8:$G$907,J1012),SUMIFS(PARÂMETROS!$E$8:$E$907,PARÂMETROS!$A$8:$A$907,C1012,PARÂMETROS!$G$8:$G$907,J1012))</f>
        <v/>
      </c>
      <c r="E1012" s="109">
        <f>SUMIFS(SETORES!$D:$D,SETORES!$A:$A,A1012,SETORES!$F:$F,J1012)</f>
        <v/>
      </c>
      <c r="F1012" s="109">
        <f>IFERROR(D1012*E1012,0)</f>
        <v/>
      </c>
      <c r="G1012" s="77">
        <f>SUMIFS(PARÂMETROS!$F$8:$F$907,PARÂMETROS!$A$8:$A$907,C1012,PARÂMETROS!$G$8:$G$907,J1012)</f>
        <v/>
      </c>
      <c r="H1012" s="109">
        <f>IFERROR(F1012*G1012,0)</f>
        <v/>
      </c>
      <c r="I1012" s="109">
        <f>F1012+H1012</f>
        <v/>
      </c>
      <c r="J1012" s="106" t="inlineStr">
        <is>
          <t>Agosto/2026</t>
        </is>
      </c>
    </row>
    <row r="1013" ht="14.25" customHeight="1" s="64">
      <c r="A1013" s="74" t="inlineStr">
        <is>
          <t>Segurança do Trabalho</t>
        </is>
      </c>
      <c r="B1013" s="83">
        <f>INDEX(SETORES!$B:$B,MATCH(A1013,SETORES!$A:$A,0))</f>
        <v/>
      </c>
      <c r="C1013" s="74" t="inlineStr">
        <is>
          <t>Empresa Licenciada DX2</t>
        </is>
      </c>
      <c r="D1013" s="72">
        <f>IF(B1013="Clientes",SUMIFS(PARÂMETROS!$D$8:$D$907,PARÂMETROS!$A$8:$A$907,C1013,PARÂMETROS!$G$8:$G$907,J1013),SUMIFS(PARÂMETROS!$E$8:$E$907,PARÂMETROS!$A$8:$A$907,C1013,PARÂMETROS!$G$8:$G$907,J1013))</f>
        <v/>
      </c>
      <c r="E1013" s="84">
        <f>SUMIFS(SETORES!$D:$D,SETORES!$A:$A,A1013,SETORES!$F:$F,J1013)</f>
        <v/>
      </c>
      <c r="F1013" s="84">
        <f>IFERROR(D1013*E1013,0)</f>
        <v/>
      </c>
      <c r="G1013" s="72">
        <f>SUMIFS(PARÂMETROS!$F$8:$F$907,PARÂMETROS!$A$8:$A$907,C1013,PARÂMETROS!$G$8:$G$907,J1013)</f>
        <v/>
      </c>
      <c r="H1013" s="84">
        <f>IFERROR(F1013*G1013,0)</f>
        <v/>
      </c>
      <c r="I1013" s="84">
        <f>F1013+H1013</f>
        <v/>
      </c>
      <c r="J1013" s="74" t="inlineStr">
        <is>
          <t>Agosto/2026</t>
        </is>
      </c>
    </row>
    <row r="1014" ht="14.25" customHeight="1" s="64">
      <c r="A1014" s="106" t="inlineStr">
        <is>
          <t>Segurança do Trabalho</t>
        </is>
      </c>
      <c r="B1014" s="106">
        <f>INDEX(SETORES!$B:$B,MATCH(A1014,SETORES!$A:$A,0))</f>
        <v/>
      </c>
      <c r="C1014" s="106" t="inlineStr">
        <is>
          <t>Empresa Licenciada H&amp;A</t>
        </is>
      </c>
      <c r="D1014" s="77">
        <f>IF(B1014="Clientes",SUMIFS(PARÂMETROS!$D$8:$D$907,PARÂMETROS!$A$8:$A$907,C1014,PARÂMETROS!$G$8:$G$907,J1014),SUMIFS(PARÂMETROS!$E$8:$E$907,PARÂMETROS!$A$8:$A$907,C1014,PARÂMETROS!$G$8:$G$907,J1014))</f>
        <v/>
      </c>
      <c r="E1014" s="109">
        <f>SUMIFS(SETORES!$D:$D,SETORES!$A:$A,A1014,SETORES!$F:$F,J1014)</f>
        <v/>
      </c>
      <c r="F1014" s="109">
        <f>IFERROR(D1014*E1014,0)</f>
        <v/>
      </c>
      <c r="G1014" s="77">
        <f>SUMIFS(PARÂMETROS!$F$8:$F$907,PARÂMETROS!$A$8:$A$907,C1014,PARÂMETROS!$G$8:$G$907,J1014)</f>
        <v/>
      </c>
      <c r="H1014" s="109">
        <f>IFERROR(F1014*G1014,0)</f>
        <v/>
      </c>
      <c r="I1014" s="109">
        <f>F1014+H1014</f>
        <v/>
      </c>
      <c r="J1014" s="106" t="inlineStr">
        <is>
          <t>Agosto/2026</t>
        </is>
      </c>
    </row>
    <row r="1015" ht="14.25" customHeight="1" s="64">
      <c r="A1015" s="74" t="inlineStr">
        <is>
          <t>Segurança do Trabalho</t>
        </is>
      </c>
      <c r="B1015" s="83">
        <f>INDEX(SETORES!$B:$B,MATCH(A1015,SETORES!$A:$A,0))</f>
        <v/>
      </c>
      <c r="C1015" s="74" t="inlineStr">
        <is>
          <t>Empresa Licenciada SOLON ARAUJO</t>
        </is>
      </c>
      <c r="D1015" s="72">
        <f>IF(B1015="Clientes",SUMIFS(PARÂMETROS!$D$8:$D$907,PARÂMETROS!$A$8:$A$907,C1015,PARÂMETROS!$G$8:$G$907,J1015),SUMIFS(PARÂMETROS!$E$8:$E$907,PARÂMETROS!$A$8:$A$907,C1015,PARÂMETROS!$G$8:$G$907,J1015))</f>
        <v/>
      </c>
      <c r="E1015" s="84">
        <f>SUMIFS(SETORES!$D:$D,SETORES!$A:$A,A1015,SETORES!$F:$F,J1015)</f>
        <v/>
      </c>
      <c r="F1015" s="84">
        <f>IFERROR(D1015*E1015,0)</f>
        <v/>
      </c>
      <c r="G1015" s="72">
        <f>SUMIFS(PARÂMETROS!$F$8:$F$907,PARÂMETROS!$A$8:$A$907,C1015,PARÂMETROS!$G$8:$G$907,J1015)</f>
        <v/>
      </c>
      <c r="H1015" s="84">
        <f>IFERROR(F1015*G1015,0)</f>
        <v/>
      </c>
      <c r="I1015" s="84">
        <f>F1015+H1015</f>
        <v/>
      </c>
      <c r="J1015" s="74" t="inlineStr">
        <is>
          <t>Agosto/2026</t>
        </is>
      </c>
    </row>
    <row r="1016" ht="14.25" customHeight="1" s="64">
      <c r="A1016" s="106" t="inlineStr">
        <is>
          <t>Segurança do Trabalho</t>
        </is>
      </c>
      <c r="B1016" s="106">
        <f>INDEX(SETORES!$B:$B,MATCH(A1016,SETORES!$A:$A,0))</f>
        <v/>
      </c>
      <c r="C1016" s="106" t="inlineStr">
        <is>
          <t>Empresa Licenciada SOARES E LINS</t>
        </is>
      </c>
      <c r="D1016" s="77">
        <f>IF(B1016="Clientes",SUMIFS(PARÂMETROS!$D$8:$D$907,PARÂMETROS!$A$8:$A$907,C1016,PARÂMETROS!$G$8:$G$907,J1016),SUMIFS(PARÂMETROS!$E$8:$E$907,PARÂMETROS!$A$8:$A$907,C1016,PARÂMETROS!$G$8:$G$907,J1016))</f>
        <v/>
      </c>
      <c r="E1016" s="109">
        <f>SUMIFS(SETORES!$D:$D,SETORES!$A:$A,A1016,SETORES!$F:$F,J1016)</f>
        <v/>
      </c>
      <c r="F1016" s="109">
        <f>IFERROR(D1016*E1016,0)</f>
        <v/>
      </c>
      <c r="G1016" s="77">
        <f>SUMIFS(PARÂMETROS!$F$8:$F$907,PARÂMETROS!$A$8:$A$907,C1016,PARÂMETROS!$G$8:$G$907,J1016)</f>
        <v/>
      </c>
      <c r="H1016" s="109">
        <f>IFERROR(F1016*G1016,0)</f>
        <v/>
      </c>
      <c r="I1016" s="109">
        <f>F1016+H1016</f>
        <v/>
      </c>
      <c r="J1016" s="106" t="inlineStr">
        <is>
          <t>Agosto/2026</t>
        </is>
      </c>
    </row>
    <row r="1017" ht="14.25" customHeight="1" s="64">
      <c r="A1017" s="74" t="inlineStr">
        <is>
          <t>Segurança do Trabalho</t>
        </is>
      </c>
      <c r="B1017" s="83">
        <f>INDEX(SETORES!$B:$B,MATCH(A1017,SETORES!$A:$A,0))</f>
        <v/>
      </c>
      <c r="C1017" s="74" t="inlineStr">
        <is>
          <t>Empresa Licenciada SOARES E SILVA</t>
        </is>
      </c>
      <c r="D1017" s="72">
        <f>IF(B1017="Clientes",SUMIFS(PARÂMETROS!$D$8:$D$907,PARÂMETROS!$A$8:$A$907,C1017,PARÂMETROS!$G$8:$G$907,J1017),SUMIFS(PARÂMETROS!$E$8:$E$907,PARÂMETROS!$A$8:$A$907,C1017,PARÂMETROS!$G$8:$G$907,J1017))</f>
        <v/>
      </c>
      <c r="E1017" s="84">
        <f>SUMIFS(SETORES!$D:$D,SETORES!$A:$A,A1017,SETORES!$F:$F,J1017)</f>
        <v/>
      </c>
      <c r="F1017" s="84">
        <f>IFERROR(D1017*E1017,0)</f>
        <v/>
      </c>
      <c r="G1017" s="72">
        <f>SUMIFS(PARÂMETROS!$F$8:$F$907,PARÂMETROS!$A$8:$A$907,C1017,PARÂMETROS!$G$8:$G$907,J1017)</f>
        <v/>
      </c>
      <c r="H1017" s="84">
        <f>IFERROR(F1017*G1017,0)</f>
        <v/>
      </c>
      <c r="I1017" s="84">
        <f>F1017+H1017</f>
        <v/>
      </c>
      <c r="J1017" s="74" t="inlineStr">
        <is>
          <t>Agosto/2026</t>
        </is>
      </c>
    </row>
    <row r="1018" ht="14.25" customHeight="1" s="64">
      <c r="A1018" s="106" t="inlineStr">
        <is>
          <t>Segurança do Trabalho</t>
        </is>
      </c>
      <c r="B1018" s="106">
        <f>INDEX(SETORES!$B:$B,MATCH(A1018,SETORES!$A:$A,0))</f>
        <v/>
      </c>
      <c r="C1018" s="106" t="inlineStr">
        <is>
          <t>Empresa Licenciada SOUZA E SILVA</t>
        </is>
      </c>
      <c r="D1018" s="77">
        <f>IF(B1018="Clientes",SUMIFS(PARÂMETROS!$D$8:$D$907,PARÂMETROS!$A$8:$A$907,C1018,PARÂMETROS!$G$8:$G$907,J1018),SUMIFS(PARÂMETROS!$E$8:$E$907,PARÂMETROS!$A$8:$A$907,C1018,PARÂMETROS!$G$8:$G$907,J1018))</f>
        <v/>
      </c>
      <c r="E1018" s="109">
        <f>SUMIFS(SETORES!$D:$D,SETORES!$A:$A,A1018,SETORES!$F:$F,J1018)</f>
        <v/>
      </c>
      <c r="F1018" s="109">
        <f>IFERROR(D1018*E1018,0)</f>
        <v/>
      </c>
      <c r="G1018" s="77">
        <f>SUMIFS(PARÂMETROS!$F$8:$F$907,PARÂMETROS!$A$8:$A$907,C1018,PARÂMETROS!$G$8:$G$907,J1018)</f>
        <v/>
      </c>
      <c r="H1018" s="109">
        <f>IFERROR(F1018*G1018,0)</f>
        <v/>
      </c>
      <c r="I1018" s="109">
        <f>F1018+H1018</f>
        <v/>
      </c>
      <c r="J1018" s="106" t="inlineStr">
        <is>
          <t>Agosto/2026</t>
        </is>
      </c>
    </row>
    <row r="1019" ht="14.25" customHeight="1" s="64">
      <c r="A1019" s="74" t="inlineStr">
        <is>
          <t>Segurança do Trabalho</t>
        </is>
      </c>
      <c r="B1019" s="83">
        <f>INDEX(SETORES!$B:$B,MATCH(A1019,SETORES!$A:$A,0))</f>
        <v/>
      </c>
      <c r="C1019" s="74" t="inlineStr">
        <is>
          <t>Empresa Licenciada VOICENET</t>
        </is>
      </c>
      <c r="D1019" s="72">
        <f>IF(B1019="Clientes",SUMIFS(PARÂMETROS!$D$8:$D$907,PARÂMETROS!$A$8:$A$907,C1019,PARÂMETROS!$G$8:$G$907,J1019),SUMIFS(PARÂMETROS!$E$8:$E$907,PARÂMETROS!$A$8:$A$907,C1019,PARÂMETROS!$G$8:$G$907,J1019))</f>
        <v/>
      </c>
      <c r="E1019" s="84">
        <f>SUMIFS(SETORES!$D:$D,SETORES!$A:$A,A1019,SETORES!$F:$F,J1019)</f>
        <v/>
      </c>
      <c r="F1019" s="84">
        <f>IFERROR(D1019*E1019,0)</f>
        <v/>
      </c>
      <c r="G1019" s="72">
        <f>SUMIFS(PARÂMETROS!$F$8:$F$907,PARÂMETROS!$A$8:$A$907,C1019,PARÂMETROS!$G$8:$G$907,J1019)</f>
        <v/>
      </c>
      <c r="H1019" s="84">
        <f>IFERROR(F1019*G1019,0)</f>
        <v/>
      </c>
      <c r="I1019" s="84">
        <f>F1019+H1019</f>
        <v/>
      </c>
      <c r="J1019" s="74" t="inlineStr">
        <is>
          <t>Agosto/2026</t>
        </is>
      </c>
    </row>
    <row r="1020" ht="14.25" customHeight="1" s="64">
      <c r="A1020" s="106" t="inlineStr">
        <is>
          <t>Segurança do Trabalho</t>
        </is>
      </c>
      <c r="B1020" s="106">
        <f>INDEX(SETORES!$B:$B,MATCH(A1020,SETORES!$A:$A,0))</f>
        <v/>
      </c>
      <c r="C1020" s="106" t="inlineStr">
        <is>
          <t>DTEL (uso próprio)</t>
        </is>
      </c>
      <c r="D1020" s="77">
        <f>IF(B1020="Clientes",SUMIFS(PARÂMETROS!$D$8:$D$907,PARÂMETROS!$A$8:$A$907,C1020,PARÂMETROS!$G$8:$G$907,J1020),SUMIFS(PARÂMETROS!$E$8:$E$907,PARÂMETROS!$A$8:$A$907,C1020,PARÂMETROS!$G$8:$G$907,J1020))</f>
        <v/>
      </c>
      <c r="E1020" s="109">
        <f>SUMIFS(SETORES!$D:$D,SETORES!$A:$A,A1020,SETORES!$F:$F,J1020)</f>
        <v/>
      </c>
      <c r="F1020" s="109">
        <f>IFERROR(D1020*E1020,0)</f>
        <v/>
      </c>
      <c r="G1020" s="77">
        <f>SUMIFS(PARÂMETROS!$F$8:$F$907,PARÂMETROS!$A$8:$A$907,C1020,PARÂMETROS!$G$8:$G$907,J1020)</f>
        <v/>
      </c>
      <c r="H1020" s="109">
        <f>IFERROR(F1020*G1020,0)</f>
        <v/>
      </c>
      <c r="I1020" s="109">
        <f>F1020+H1020</f>
        <v/>
      </c>
      <c r="J1020" s="106" t="inlineStr">
        <is>
          <t>Agosto/2026</t>
        </is>
      </c>
    </row>
    <row r="1021" ht="14.25" customHeight="1" s="64">
      <c r="A1021" s="74" t="inlineStr">
        <is>
          <t>Engenharia</t>
        </is>
      </c>
      <c r="B1021" s="83">
        <f>INDEX(SETORES!$B:$B,MATCH(A1021,SETORES!$A:$A,0))</f>
        <v/>
      </c>
      <c r="C1021" s="74" t="inlineStr">
        <is>
          <t>Empresa Licenciada DX2</t>
        </is>
      </c>
      <c r="D1021" s="72">
        <f>IF(B1021="Clientes",SUMIFS(PARÂMETROS!$D$8:$D$907,PARÂMETROS!$A$8:$A$907,C1021,PARÂMETROS!$G$8:$G$907,J1021),SUMIFS(PARÂMETROS!$E$8:$E$907,PARÂMETROS!$A$8:$A$907,C1021,PARÂMETROS!$G$8:$G$907,J1021))</f>
        <v/>
      </c>
      <c r="E1021" s="84">
        <f>SUMIFS(SETORES!$D:$D,SETORES!$A:$A,A1021,SETORES!$F:$F,J1021)</f>
        <v/>
      </c>
      <c r="F1021" s="84">
        <f>IFERROR(D1021*E1021,0)</f>
        <v/>
      </c>
      <c r="G1021" s="72">
        <f>SUMIFS(PARÂMETROS!$F$8:$F$907,PARÂMETROS!$A$8:$A$907,C1021,PARÂMETROS!$G$8:$G$907,J1021)</f>
        <v/>
      </c>
      <c r="H1021" s="84">
        <f>IFERROR(F1021*G1021,0)</f>
        <v/>
      </c>
      <c r="I1021" s="84">
        <f>F1021+H1021</f>
        <v/>
      </c>
      <c r="J1021" s="74" t="inlineStr">
        <is>
          <t>Agosto/2026</t>
        </is>
      </c>
    </row>
    <row r="1022" ht="14.25" customHeight="1" s="64">
      <c r="A1022" s="106" t="inlineStr">
        <is>
          <t>Engenharia</t>
        </is>
      </c>
      <c r="B1022" s="106">
        <f>INDEX(SETORES!$B:$B,MATCH(A1022,SETORES!$A:$A,0))</f>
        <v/>
      </c>
      <c r="C1022" s="106" t="inlineStr">
        <is>
          <t>Empresa Licenciada H&amp;A</t>
        </is>
      </c>
      <c r="D1022" s="77">
        <f>IF(B1022="Clientes",SUMIFS(PARÂMETROS!$D$8:$D$907,PARÂMETROS!$A$8:$A$907,C1022,PARÂMETROS!$G$8:$G$907,J1022),SUMIFS(PARÂMETROS!$E$8:$E$907,PARÂMETROS!$A$8:$A$907,C1022,PARÂMETROS!$G$8:$G$907,J1022))</f>
        <v/>
      </c>
      <c r="E1022" s="109">
        <f>SUMIFS(SETORES!$D:$D,SETORES!$A:$A,A1022,SETORES!$F:$F,J1022)</f>
        <v/>
      </c>
      <c r="F1022" s="109">
        <f>IFERROR(D1022*E1022,0)</f>
        <v/>
      </c>
      <c r="G1022" s="77">
        <f>SUMIFS(PARÂMETROS!$F$8:$F$907,PARÂMETROS!$A$8:$A$907,C1022,PARÂMETROS!$G$8:$G$907,J1022)</f>
        <v/>
      </c>
      <c r="H1022" s="109">
        <f>IFERROR(F1022*G1022,0)</f>
        <v/>
      </c>
      <c r="I1022" s="109">
        <f>F1022+H1022</f>
        <v/>
      </c>
      <c r="J1022" s="106" t="inlineStr">
        <is>
          <t>Agosto/2026</t>
        </is>
      </c>
    </row>
    <row r="1023" ht="14.25" customHeight="1" s="64">
      <c r="A1023" s="74" t="inlineStr">
        <is>
          <t>Engenharia</t>
        </is>
      </c>
      <c r="B1023" s="83">
        <f>INDEX(SETORES!$B:$B,MATCH(A1023,SETORES!$A:$A,0))</f>
        <v/>
      </c>
      <c r="C1023" s="74" t="inlineStr">
        <is>
          <t>Empresa Licenciada SOLON ARAUJO</t>
        </is>
      </c>
      <c r="D1023" s="72">
        <f>IF(B1023="Clientes",SUMIFS(PARÂMETROS!$D$8:$D$907,PARÂMETROS!$A$8:$A$907,C1023,PARÂMETROS!$G$8:$G$907,J1023),SUMIFS(PARÂMETROS!$E$8:$E$907,PARÂMETROS!$A$8:$A$907,C1023,PARÂMETROS!$G$8:$G$907,J1023))</f>
        <v/>
      </c>
      <c r="E1023" s="84">
        <f>SUMIFS(SETORES!$D:$D,SETORES!$A:$A,A1023,SETORES!$F:$F,J1023)</f>
        <v/>
      </c>
      <c r="F1023" s="84">
        <f>IFERROR(D1023*E1023,0)</f>
        <v/>
      </c>
      <c r="G1023" s="72">
        <f>SUMIFS(PARÂMETROS!$F$8:$F$907,PARÂMETROS!$A$8:$A$907,C1023,PARÂMETROS!$G$8:$G$907,J1023)</f>
        <v/>
      </c>
      <c r="H1023" s="84">
        <f>IFERROR(F1023*G1023,0)</f>
        <v/>
      </c>
      <c r="I1023" s="84">
        <f>F1023+H1023</f>
        <v/>
      </c>
      <c r="J1023" s="74" t="inlineStr">
        <is>
          <t>Agosto/2026</t>
        </is>
      </c>
    </row>
    <row r="1024" ht="14.25" customHeight="1" s="64">
      <c r="A1024" s="106" t="inlineStr">
        <is>
          <t>Engenharia</t>
        </is>
      </c>
      <c r="B1024" s="106">
        <f>INDEX(SETORES!$B:$B,MATCH(A1024,SETORES!$A:$A,0))</f>
        <v/>
      </c>
      <c r="C1024" s="106" t="inlineStr">
        <is>
          <t>Empresa Licenciada SOARES E LINS</t>
        </is>
      </c>
      <c r="D1024" s="77">
        <f>IF(B1024="Clientes",SUMIFS(PARÂMETROS!$D$8:$D$907,PARÂMETROS!$A$8:$A$907,C1024,PARÂMETROS!$G$8:$G$907,J1024),SUMIFS(PARÂMETROS!$E$8:$E$907,PARÂMETROS!$A$8:$A$907,C1024,PARÂMETROS!$G$8:$G$907,J1024))</f>
        <v/>
      </c>
      <c r="E1024" s="109">
        <f>SUMIFS(SETORES!$D:$D,SETORES!$A:$A,A1024,SETORES!$F:$F,J1024)</f>
        <v/>
      </c>
      <c r="F1024" s="109">
        <f>IFERROR(D1024*E1024,0)</f>
        <v/>
      </c>
      <c r="G1024" s="77">
        <f>SUMIFS(PARÂMETROS!$F$8:$F$907,PARÂMETROS!$A$8:$A$907,C1024,PARÂMETROS!$G$8:$G$907,J1024)</f>
        <v/>
      </c>
      <c r="H1024" s="109">
        <f>IFERROR(F1024*G1024,0)</f>
        <v/>
      </c>
      <c r="I1024" s="109">
        <f>F1024+H1024</f>
        <v/>
      </c>
      <c r="J1024" s="106" t="inlineStr">
        <is>
          <t>Agosto/2026</t>
        </is>
      </c>
    </row>
    <row r="1025" ht="14.25" customHeight="1" s="64">
      <c r="A1025" s="74" t="inlineStr">
        <is>
          <t>Engenharia</t>
        </is>
      </c>
      <c r="B1025" s="83">
        <f>INDEX(SETORES!$B:$B,MATCH(A1025,SETORES!$A:$A,0))</f>
        <v/>
      </c>
      <c r="C1025" s="74" t="inlineStr">
        <is>
          <t>Empresa Licenciada SOARES E SILVA</t>
        </is>
      </c>
      <c r="D1025" s="72">
        <f>IF(B1025="Clientes",SUMIFS(PARÂMETROS!$D$8:$D$907,PARÂMETROS!$A$8:$A$907,C1025,PARÂMETROS!$G$8:$G$907,J1025),SUMIFS(PARÂMETROS!$E$8:$E$907,PARÂMETROS!$A$8:$A$907,C1025,PARÂMETROS!$G$8:$G$907,J1025))</f>
        <v/>
      </c>
      <c r="E1025" s="84">
        <f>SUMIFS(SETORES!$D:$D,SETORES!$A:$A,A1025,SETORES!$F:$F,J1025)</f>
        <v/>
      </c>
      <c r="F1025" s="84">
        <f>IFERROR(D1025*E1025,0)</f>
        <v/>
      </c>
      <c r="G1025" s="72">
        <f>SUMIFS(PARÂMETROS!$F$8:$F$907,PARÂMETROS!$A$8:$A$907,C1025,PARÂMETROS!$G$8:$G$907,J1025)</f>
        <v/>
      </c>
      <c r="H1025" s="84">
        <f>IFERROR(F1025*G1025,0)</f>
        <v/>
      </c>
      <c r="I1025" s="84">
        <f>F1025+H1025</f>
        <v/>
      </c>
      <c r="J1025" s="74" t="inlineStr">
        <is>
          <t>Agosto/2026</t>
        </is>
      </c>
    </row>
    <row r="1026" ht="14.25" customHeight="1" s="64">
      <c r="A1026" s="106" t="inlineStr">
        <is>
          <t>Engenharia</t>
        </is>
      </c>
      <c r="B1026" s="106">
        <f>INDEX(SETORES!$B:$B,MATCH(A1026,SETORES!$A:$A,0))</f>
        <v/>
      </c>
      <c r="C1026" s="106" t="inlineStr">
        <is>
          <t>Empresa Licenciada SOUZA E SILVA</t>
        </is>
      </c>
      <c r="D1026" s="77">
        <f>IF(B1026="Clientes",SUMIFS(PARÂMETROS!$D$8:$D$907,PARÂMETROS!$A$8:$A$907,C1026,PARÂMETROS!$G$8:$G$907,J1026),SUMIFS(PARÂMETROS!$E$8:$E$907,PARÂMETROS!$A$8:$A$907,C1026,PARÂMETROS!$G$8:$G$907,J1026))</f>
        <v/>
      </c>
      <c r="E1026" s="109">
        <f>SUMIFS(SETORES!$D:$D,SETORES!$A:$A,A1026,SETORES!$F:$F,J1026)</f>
        <v/>
      </c>
      <c r="F1026" s="109">
        <f>IFERROR(D1026*E1026,0)</f>
        <v/>
      </c>
      <c r="G1026" s="77">
        <f>SUMIFS(PARÂMETROS!$F$8:$F$907,PARÂMETROS!$A$8:$A$907,C1026,PARÂMETROS!$G$8:$G$907,J1026)</f>
        <v/>
      </c>
      <c r="H1026" s="109">
        <f>IFERROR(F1026*G1026,0)</f>
        <v/>
      </c>
      <c r="I1026" s="109">
        <f>F1026+H1026</f>
        <v/>
      </c>
      <c r="J1026" s="106" t="inlineStr">
        <is>
          <t>Agosto/2026</t>
        </is>
      </c>
    </row>
    <row r="1027" ht="14.25" customHeight="1" s="64">
      <c r="A1027" s="74" t="inlineStr">
        <is>
          <t>Engenharia</t>
        </is>
      </c>
      <c r="B1027" s="83">
        <f>INDEX(SETORES!$B:$B,MATCH(A1027,SETORES!$A:$A,0))</f>
        <v/>
      </c>
      <c r="C1027" s="74" t="inlineStr">
        <is>
          <t>Empresa Licenciada VOICENET</t>
        </is>
      </c>
      <c r="D1027" s="72">
        <f>IF(B1027="Clientes",SUMIFS(PARÂMETROS!$D$8:$D$907,PARÂMETROS!$A$8:$A$907,C1027,PARÂMETROS!$G$8:$G$907,J1027),SUMIFS(PARÂMETROS!$E$8:$E$907,PARÂMETROS!$A$8:$A$907,C1027,PARÂMETROS!$G$8:$G$907,J1027))</f>
        <v/>
      </c>
      <c r="E1027" s="84">
        <f>SUMIFS(SETORES!$D:$D,SETORES!$A:$A,A1027,SETORES!$F:$F,J1027)</f>
        <v/>
      </c>
      <c r="F1027" s="84">
        <f>IFERROR(D1027*E1027,0)</f>
        <v/>
      </c>
      <c r="G1027" s="72">
        <f>SUMIFS(PARÂMETROS!$F$8:$F$907,PARÂMETROS!$A$8:$A$907,C1027,PARÂMETROS!$G$8:$G$907,J1027)</f>
        <v/>
      </c>
      <c r="H1027" s="84">
        <f>IFERROR(F1027*G1027,0)</f>
        <v/>
      </c>
      <c r="I1027" s="84">
        <f>F1027+H1027</f>
        <v/>
      </c>
      <c r="J1027" s="74" t="inlineStr">
        <is>
          <t>Agosto/2026</t>
        </is>
      </c>
    </row>
    <row r="1028" ht="14.25" customHeight="1" s="64">
      <c r="A1028" s="106" t="inlineStr">
        <is>
          <t>Engenharia</t>
        </is>
      </c>
      <c r="B1028" s="106">
        <f>INDEX(SETORES!$B:$B,MATCH(A1028,SETORES!$A:$A,0))</f>
        <v/>
      </c>
      <c r="C1028" s="106" t="inlineStr">
        <is>
          <t>DTEL (uso próprio)</t>
        </is>
      </c>
      <c r="D1028" s="77">
        <f>IF(B1028="Clientes",SUMIFS(PARÂMETROS!$D$8:$D$907,PARÂMETROS!$A$8:$A$907,C1028,PARÂMETROS!$G$8:$G$907,J1028),SUMIFS(PARÂMETROS!$E$8:$E$907,PARÂMETROS!$A$8:$A$907,C1028,PARÂMETROS!$G$8:$G$907,J1028))</f>
        <v/>
      </c>
      <c r="E1028" s="109">
        <f>SUMIFS(SETORES!$D:$D,SETORES!$A:$A,A1028,SETORES!$F:$F,J1028)</f>
        <v/>
      </c>
      <c r="F1028" s="109">
        <f>IFERROR(D1028*E1028,0)</f>
        <v/>
      </c>
      <c r="G1028" s="77">
        <f>SUMIFS(PARÂMETROS!$F$8:$F$907,PARÂMETROS!$A$8:$A$907,C1028,PARÂMETROS!$G$8:$G$907,J1028)</f>
        <v/>
      </c>
      <c r="H1028" s="109">
        <f>IFERROR(F1028*G1028,0)</f>
        <v/>
      </c>
      <c r="I1028" s="109">
        <f>F1028+H1028</f>
        <v/>
      </c>
      <c r="J1028" s="106" t="inlineStr">
        <is>
          <t>Agosto/2026</t>
        </is>
      </c>
    </row>
    <row r="1029" ht="14.25" customHeight="1" s="64">
      <c r="A1029" s="74" t="inlineStr">
        <is>
          <t>Obras</t>
        </is>
      </c>
      <c r="B1029" s="83">
        <f>INDEX(SETORES!$B:$B,MATCH(A1029,SETORES!$A:$A,0))</f>
        <v/>
      </c>
      <c r="C1029" s="74" t="inlineStr">
        <is>
          <t>Empresa Licenciada DX2</t>
        </is>
      </c>
      <c r="D1029" s="72">
        <f>IF(B1029="Clientes",SUMIFS(PARÂMETROS!$D$8:$D$907,PARÂMETROS!$A$8:$A$907,C1029,PARÂMETROS!$G$8:$G$907,J1029),SUMIFS(PARÂMETROS!$E$8:$E$907,PARÂMETROS!$A$8:$A$907,C1029,PARÂMETROS!$G$8:$G$907,J1029))</f>
        <v/>
      </c>
      <c r="E1029" s="84">
        <f>SUMIFS(SETORES!$D:$D,SETORES!$A:$A,A1029,SETORES!$F:$F,J1029)</f>
        <v/>
      </c>
      <c r="F1029" s="84">
        <f>IFERROR(D1029*E1029,0)</f>
        <v/>
      </c>
      <c r="G1029" s="72">
        <f>SUMIFS(PARÂMETROS!$F$8:$F$907,PARÂMETROS!$A$8:$A$907,C1029,PARÂMETROS!$G$8:$G$907,J1029)</f>
        <v/>
      </c>
      <c r="H1029" s="84">
        <f>IFERROR(F1029*G1029,0)</f>
        <v/>
      </c>
      <c r="I1029" s="84">
        <f>F1029+H1029</f>
        <v/>
      </c>
      <c r="J1029" s="74" t="inlineStr">
        <is>
          <t>Agosto/2026</t>
        </is>
      </c>
    </row>
    <row r="1030" ht="14.25" customHeight="1" s="64">
      <c r="A1030" s="106" t="inlineStr">
        <is>
          <t>Obras</t>
        </is>
      </c>
      <c r="B1030" s="106">
        <f>INDEX(SETORES!$B:$B,MATCH(A1030,SETORES!$A:$A,0))</f>
        <v/>
      </c>
      <c r="C1030" s="106" t="inlineStr">
        <is>
          <t>Empresa Licenciada H&amp;A</t>
        </is>
      </c>
      <c r="D1030" s="77">
        <f>IF(B1030="Clientes",SUMIFS(PARÂMETROS!$D$8:$D$907,PARÂMETROS!$A$8:$A$907,C1030,PARÂMETROS!$G$8:$G$907,J1030),SUMIFS(PARÂMETROS!$E$8:$E$907,PARÂMETROS!$A$8:$A$907,C1030,PARÂMETROS!$G$8:$G$907,J1030))</f>
        <v/>
      </c>
      <c r="E1030" s="109">
        <f>SUMIFS(SETORES!$D:$D,SETORES!$A:$A,A1030,SETORES!$F:$F,J1030)</f>
        <v/>
      </c>
      <c r="F1030" s="109">
        <f>IFERROR(D1030*E1030,0)</f>
        <v/>
      </c>
      <c r="G1030" s="77">
        <f>SUMIFS(PARÂMETROS!$F$8:$F$907,PARÂMETROS!$A$8:$A$907,C1030,PARÂMETROS!$G$8:$G$907,J1030)</f>
        <v/>
      </c>
      <c r="H1030" s="109">
        <f>IFERROR(F1030*G1030,0)</f>
        <v/>
      </c>
      <c r="I1030" s="109">
        <f>F1030+H1030</f>
        <v/>
      </c>
      <c r="J1030" s="106" t="inlineStr">
        <is>
          <t>Agosto/2026</t>
        </is>
      </c>
    </row>
    <row r="1031" ht="14.25" customHeight="1" s="64">
      <c r="A1031" s="74" t="inlineStr">
        <is>
          <t>Obras</t>
        </is>
      </c>
      <c r="B1031" s="83">
        <f>INDEX(SETORES!$B:$B,MATCH(A1031,SETORES!$A:$A,0))</f>
        <v/>
      </c>
      <c r="C1031" s="74" t="inlineStr">
        <is>
          <t>Empresa Licenciada SOLON ARAUJO</t>
        </is>
      </c>
      <c r="D1031" s="72">
        <f>IF(B1031="Clientes",SUMIFS(PARÂMETROS!$D$8:$D$907,PARÂMETROS!$A$8:$A$907,C1031,PARÂMETROS!$G$8:$G$907,J1031),SUMIFS(PARÂMETROS!$E$8:$E$907,PARÂMETROS!$A$8:$A$907,C1031,PARÂMETROS!$G$8:$G$907,J1031))</f>
        <v/>
      </c>
      <c r="E1031" s="84">
        <f>SUMIFS(SETORES!$D:$D,SETORES!$A:$A,A1031,SETORES!$F:$F,J1031)</f>
        <v/>
      </c>
      <c r="F1031" s="84">
        <f>IFERROR(D1031*E1031,0)</f>
        <v/>
      </c>
      <c r="G1031" s="72">
        <f>SUMIFS(PARÂMETROS!$F$8:$F$907,PARÂMETROS!$A$8:$A$907,C1031,PARÂMETROS!$G$8:$G$907,J1031)</f>
        <v/>
      </c>
      <c r="H1031" s="84">
        <f>IFERROR(F1031*G1031,0)</f>
        <v/>
      </c>
      <c r="I1031" s="84">
        <f>F1031+H1031</f>
        <v/>
      </c>
      <c r="J1031" s="74" t="inlineStr">
        <is>
          <t>Agosto/2026</t>
        </is>
      </c>
    </row>
    <row r="1032" ht="14.25" customHeight="1" s="64">
      <c r="A1032" s="106" t="inlineStr">
        <is>
          <t>Obras</t>
        </is>
      </c>
      <c r="B1032" s="106">
        <f>INDEX(SETORES!$B:$B,MATCH(A1032,SETORES!$A:$A,0))</f>
        <v/>
      </c>
      <c r="C1032" s="106" t="inlineStr">
        <is>
          <t>Empresa Licenciada SOARES E LINS</t>
        </is>
      </c>
      <c r="D1032" s="77">
        <f>IF(B1032="Clientes",SUMIFS(PARÂMETROS!$D$8:$D$907,PARÂMETROS!$A$8:$A$907,C1032,PARÂMETROS!$G$8:$G$907,J1032),SUMIFS(PARÂMETROS!$E$8:$E$907,PARÂMETROS!$A$8:$A$907,C1032,PARÂMETROS!$G$8:$G$907,J1032))</f>
        <v/>
      </c>
      <c r="E1032" s="109">
        <f>SUMIFS(SETORES!$D:$D,SETORES!$A:$A,A1032,SETORES!$F:$F,J1032)</f>
        <v/>
      </c>
      <c r="F1032" s="109">
        <f>IFERROR(D1032*E1032,0)</f>
        <v/>
      </c>
      <c r="G1032" s="77">
        <f>SUMIFS(PARÂMETROS!$F$8:$F$907,PARÂMETROS!$A$8:$A$907,C1032,PARÂMETROS!$G$8:$G$907,J1032)</f>
        <v/>
      </c>
      <c r="H1032" s="109">
        <f>IFERROR(F1032*G1032,0)</f>
        <v/>
      </c>
      <c r="I1032" s="109">
        <f>F1032+H1032</f>
        <v/>
      </c>
      <c r="J1032" s="106" t="inlineStr">
        <is>
          <t>Agosto/2026</t>
        </is>
      </c>
    </row>
    <row r="1033" ht="14.25" customHeight="1" s="64">
      <c r="A1033" s="74" t="inlineStr">
        <is>
          <t>Obras</t>
        </is>
      </c>
      <c r="B1033" s="83">
        <f>INDEX(SETORES!$B:$B,MATCH(A1033,SETORES!$A:$A,0))</f>
        <v/>
      </c>
      <c r="C1033" s="74" t="inlineStr">
        <is>
          <t>Empresa Licenciada SOARES E SILVA</t>
        </is>
      </c>
      <c r="D1033" s="72">
        <f>IF(B1033="Clientes",SUMIFS(PARÂMETROS!$D$8:$D$907,PARÂMETROS!$A$8:$A$907,C1033,PARÂMETROS!$G$8:$G$907,J1033),SUMIFS(PARÂMETROS!$E$8:$E$907,PARÂMETROS!$A$8:$A$907,C1033,PARÂMETROS!$G$8:$G$907,J1033))</f>
        <v/>
      </c>
      <c r="E1033" s="84">
        <f>SUMIFS(SETORES!$D:$D,SETORES!$A:$A,A1033,SETORES!$F:$F,J1033)</f>
        <v/>
      </c>
      <c r="F1033" s="84">
        <f>IFERROR(D1033*E1033,0)</f>
        <v/>
      </c>
      <c r="G1033" s="72">
        <f>SUMIFS(PARÂMETROS!$F$8:$F$907,PARÂMETROS!$A$8:$A$907,C1033,PARÂMETROS!$G$8:$G$907,J1033)</f>
        <v/>
      </c>
      <c r="H1033" s="84">
        <f>IFERROR(F1033*G1033,0)</f>
        <v/>
      </c>
      <c r="I1033" s="84">
        <f>F1033+H1033</f>
        <v/>
      </c>
      <c r="J1033" s="74" t="inlineStr">
        <is>
          <t>Agosto/2026</t>
        </is>
      </c>
    </row>
    <row r="1034" ht="14.25" customHeight="1" s="64">
      <c r="A1034" s="106" t="inlineStr">
        <is>
          <t>Obras</t>
        </is>
      </c>
      <c r="B1034" s="106">
        <f>INDEX(SETORES!$B:$B,MATCH(A1034,SETORES!$A:$A,0))</f>
        <v/>
      </c>
      <c r="C1034" s="106" t="inlineStr">
        <is>
          <t>Empresa Licenciada SOUZA E SILVA</t>
        </is>
      </c>
      <c r="D1034" s="77">
        <f>IF(B1034="Clientes",SUMIFS(PARÂMETROS!$D$8:$D$907,PARÂMETROS!$A$8:$A$907,C1034,PARÂMETROS!$G$8:$G$907,J1034),SUMIFS(PARÂMETROS!$E$8:$E$907,PARÂMETROS!$A$8:$A$907,C1034,PARÂMETROS!$G$8:$G$907,J1034))</f>
        <v/>
      </c>
      <c r="E1034" s="109">
        <f>SUMIFS(SETORES!$D:$D,SETORES!$A:$A,A1034,SETORES!$F:$F,J1034)</f>
        <v/>
      </c>
      <c r="F1034" s="109">
        <f>IFERROR(D1034*E1034,0)</f>
        <v/>
      </c>
      <c r="G1034" s="77">
        <f>SUMIFS(PARÂMETROS!$F$8:$F$907,PARÂMETROS!$A$8:$A$907,C1034,PARÂMETROS!$G$8:$G$907,J1034)</f>
        <v/>
      </c>
      <c r="H1034" s="109">
        <f>IFERROR(F1034*G1034,0)</f>
        <v/>
      </c>
      <c r="I1034" s="109">
        <f>F1034+H1034</f>
        <v/>
      </c>
      <c r="J1034" s="106" t="inlineStr">
        <is>
          <t>Agosto/2026</t>
        </is>
      </c>
    </row>
    <row r="1035" ht="14.25" customHeight="1" s="64">
      <c r="A1035" s="74" t="inlineStr">
        <is>
          <t>Obras</t>
        </is>
      </c>
      <c r="B1035" s="83">
        <f>INDEX(SETORES!$B:$B,MATCH(A1035,SETORES!$A:$A,0))</f>
        <v/>
      </c>
      <c r="C1035" s="74" t="inlineStr">
        <is>
          <t>Empresa Licenciada VOICENET</t>
        </is>
      </c>
      <c r="D1035" s="72">
        <f>IF(B1035="Clientes",SUMIFS(PARÂMETROS!$D$8:$D$907,PARÂMETROS!$A$8:$A$907,C1035,PARÂMETROS!$G$8:$G$907,J1035),SUMIFS(PARÂMETROS!$E$8:$E$907,PARÂMETROS!$A$8:$A$907,C1035,PARÂMETROS!$G$8:$G$907,J1035))</f>
        <v/>
      </c>
      <c r="E1035" s="84">
        <f>SUMIFS(SETORES!$D:$D,SETORES!$A:$A,A1035,SETORES!$F:$F,J1035)</f>
        <v/>
      </c>
      <c r="F1035" s="84">
        <f>IFERROR(D1035*E1035,0)</f>
        <v/>
      </c>
      <c r="G1035" s="72">
        <f>SUMIFS(PARÂMETROS!$F$8:$F$907,PARÂMETROS!$A$8:$A$907,C1035,PARÂMETROS!$G$8:$G$907,J1035)</f>
        <v/>
      </c>
      <c r="H1035" s="84">
        <f>IFERROR(F1035*G1035,0)</f>
        <v/>
      </c>
      <c r="I1035" s="84">
        <f>F1035+H1035</f>
        <v/>
      </c>
      <c r="J1035" s="74" t="inlineStr">
        <is>
          <t>Agosto/2026</t>
        </is>
      </c>
    </row>
    <row r="1036" ht="14.25" customHeight="1" s="64">
      <c r="A1036" s="106" t="inlineStr">
        <is>
          <t>Obras</t>
        </is>
      </c>
      <c r="B1036" s="106">
        <f>INDEX(SETORES!$B:$B,MATCH(A1036,SETORES!$A:$A,0))</f>
        <v/>
      </c>
      <c r="C1036" s="106" t="inlineStr">
        <is>
          <t>DTEL (uso próprio)</t>
        </is>
      </c>
      <c r="D1036" s="77">
        <f>IF(B1036="Clientes",SUMIFS(PARÂMETROS!$D$8:$D$907,PARÂMETROS!$A$8:$A$907,C1036,PARÂMETROS!$G$8:$G$907,J1036),SUMIFS(PARÂMETROS!$E$8:$E$907,PARÂMETROS!$A$8:$A$907,C1036,PARÂMETROS!$G$8:$G$907,J1036))</f>
        <v/>
      </c>
      <c r="E1036" s="109">
        <f>SUMIFS(SETORES!$D:$D,SETORES!$A:$A,A1036,SETORES!$F:$F,J1036)</f>
        <v/>
      </c>
      <c r="F1036" s="109">
        <f>IFERROR(D1036*E1036,0)</f>
        <v/>
      </c>
      <c r="G1036" s="77">
        <f>SUMIFS(PARÂMETROS!$F$8:$F$907,PARÂMETROS!$A$8:$A$907,C1036,PARÂMETROS!$G$8:$G$907,J1036)</f>
        <v/>
      </c>
      <c r="H1036" s="109">
        <f>IFERROR(F1036*G1036,0)</f>
        <v/>
      </c>
      <c r="I1036" s="109">
        <f>F1036+H1036</f>
        <v/>
      </c>
      <c r="J1036" s="106" t="inlineStr">
        <is>
          <t>Agosto/2026</t>
        </is>
      </c>
    </row>
    <row r="1037" ht="14.25" customHeight="1" s="64">
      <c r="A1037" s="74" t="inlineStr">
        <is>
          <t>Manutenção Predial</t>
        </is>
      </c>
      <c r="B1037" s="83">
        <f>INDEX(SETORES!$B:$B,MATCH(A1037,SETORES!$A:$A,0))</f>
        <v/>
      </c>
      <c r="C1037" s="74" t="inlineStr">
        <is>
          <t>Empresa Licenciada DX2</t>
        </is>
      </c>
      <c r="D1037" s="72">
        <f>IF(B1037="Clientes",SUMIFS(PARÂMETROS!$D$8:$D$907,PARÂMETROS!$A$8:$A$907,C1037,PARÂMETROS!$G$8:$G$907,J1037),SUMIFS(PARÂMETROS!$E$8:$E$907,PARÂMETROS!$A$8:$A$907,C1037,PARÂMETROS!$G$8:$G$907,J1037))</f>
        <v/>
      </c>
      <c r="E1037" s="84">
        <f>SUMIFS(SETORES!$D:$D,SETORES!$A:$A,A1037,SETORES!$F:$F,J1037)</f>
        <v/>
      </c>
      <c r="F1037" s="84">
        <f>IFERROR(D1037*E1037,0)</f>
        <v/>
      </c>
      <c r="G1037" s="72">
        <f>SUMIFS(PARÂMETROS!$F$8:$F$907,PARÂMETROS!$A$8:$A$907,C1037,PARÂMETROS!$G$8:$G$907,J1037)</f>
        <v/>
      </c>
      <c r="H1037" s="84">
        <f>IFERROR(F1037*G1037,0)</f>
        <v/>
      </c>
      <c r="I1037" s="84">
        <f>F1037+H1037</f>
        <v/>
      </c>
      <c r="J1037" s="74" t="inlineStr">
        <is>
          <t>Agosto/2026</t>
        </is>
      </c>
    </row>
    <row r="1038" ht="14.25" customHeight="1" s="64">
      <c r="A1038" s="106" t="inlineStr">
        <is>
          <t>Manutenção Predial</t>
        </is>
      </c>
      <c r="B1038" s="106">
        <f>INDEX(SETORES!$B:$B,MATCH(A1038,SETORES!$A:$A,0))</f>
        <v/>
      </c>
      <c r="C1038" s="106" t="inlineStr">
        <is>
          <t>Empresa Licenciada H&amp;A</t>
        </is>
      </c>
      <c r="D1038" s="77">
        <f>IF(B1038="Clientes",SUMIFS(PARÂMETROS!$D$8:$D$907,PARÂMETROS!$A$8:$A$907,C1038,PARÂMETROS!$G$8:$G$907,J1038),SUMIFS(PARÂMETROS!$E$8:$E$907,PARÂMETROS!$A$8:$A$907,C1038,PARÂMETROS!$G$8:$G$907,J1038))</f>
        <v/>
      </c>
      <c r="E1038" s="109">
        <f>SUMIFS(SETORES!$D:$D,SETORES!$A:$A,A1038,SETORES!$F:$F,J1038)</f>
        <v/>
      </c>
      <c r="F1038" s="109">
        <f>IFERROR(D1038*E1038,0)</f>
        <v/>
      </c>
      <c r="G1038" s="77">
        <f>SUMIFS(PARÂMETROS!$F$8:$F$907,PARÂMETROS!$A$8:$A$907,C1038,PARÂMETROS!$G$8:$G$907,J1038)</f>
        <v/>
      </c>
      <c r="H1038" s="109">
        <f>IFERROR(F1038*G1038,0)</f>
        <v/>
      </c>
      <c r="I1038" s="109">
        <f>F1038+H1038</f>
        <v/>
      </c>
      <c r="J1038" s="106" t="inlineStr">
        <is>
          <t>Agosto/2026</t>
        </is>
      </c>
    </row>
    <row r="1039" ht="14.25" customHeight="1" s="64">
      <c r="A1039" s="74" t="inlineStr">
        <is>
          <t>Manutenção Predial</t>
        </is>
      </c>
      <c r="B1039" s="83">
        <f>INDEX(SETORES!$B:$B,MATCH(A1039,SETORES!$A:$A,0))</f>
        <v/>
      </c>
      <c r="C1039" s="74" t="inlineStr">
        <is>
          <t>Empresa Licenciada SOLON ARAUJO</t>
        </is>
      </c>
      <c r="D1039" s="72">
        <f>IF(B1039="Clientes",SUMIFS(PARÂMETROS!$D$8:$D$907,PARÂMETROS!$A$8:$A$907,C1039,PARÂMETROS!$G$8:$G$907,J1039),SUMIFS(PARÂMETROS!$E$8:$E$907,PARÂMETROS!$A$8:$A$907,C1039,PARÂMETROS!$G$8:$G$907,J1039))</f>
        <v/>
      </c>
      <c r="E1039" s="84">
        <f>SUMIFS(SETORES!$D:$D,SETORES!$A:$A,A1039,SETORES!$F:$F,J1039)</f>
        <v/>
      </c>
      <c r="F1039" s="84">
        <f>IFERROR(D1039*E1039,0)</f>
        <v/>
      </c>
      <c r="G1039" s="72">
        <f>SUMIFS(PARÂMETROS!$F$8:$F$907,PARÂMETROS!$A$8:$A$907,C1039,PARÂMETROS!$G$8:$G$907,J1039)</f>
        <v/>
      </c>
      <c r="H1039" s="84">
        <f>IFERROR(F1039*G1039,0)</f>
        <v/>
      </c>
      <c r="I1039" s="84">
        <f>F1039+H1039</f>
        <v/>
      </c>
      <c r="J1039" s="74" t="inlineStr">
        <is>
          <t>Agosto/2026</t>
        </is>
      </c>
    </row>
    <row r="1040" ht="14.25" customHeight="1" s="64">
      <c r="A1040" s="106" t="inlineStr">
        <is>
          <t>Manutenção Predial</t>
        </is>
      </c>
      <c r="B1040" s="106">
        <f>INDEX(SETORES!$B:$B,MATCH(A1040,SETORES!$A:$A,0))</f>
        <v/>
      </c>
      <c r="C1040" s="106" t="inlineStr">
        <is>
          <t>Empresa Licenciada SOARES E LINS</t>
        </is>
      </c>
      <c r="D1040" s="77">
        <f>IF(B1040="Clientes",SUMIFS(PARÂMETROS!$D$8:$D$907,PARÂMETROS!$A$8:$A$907,C1040,PARÂMETROS!$G$8:$G$907,J1040),SUMIFS(PARÂMETROS!$E$8:$E$907,PARÂMETROS!$A$8:$A$907,C1040,PARÂMETROS!$G$8:$G$907,J1040))</f>
        <v/>
      </c>
      <c r="E1040" s="109">
        <f>SUMIFS(SETORES!$D:$D,SETORES!$A:$A,A1040,SETORES!$F:$F,J1040)</f>
        <v/>
      </c>
      <c r="F1040" s="109">
        <f>IFERROR(D1040*E1040,0)</f>
        <v/>
      </c>
      <c r="G1040" s="77">
        <f>SUMIFS(PARÂMETROS!$F$8:$F$907,PARÂMETROS!$A$8:$A$907,C1040,PARÂMETROS!$G$8:$G$907,J1040)</f>
        <v/>
      </c>
      <c r="H1040" s="109">
        <f>IFERROR(F1040*G1040,0)</f>
        <v/>
      </c>
      <c r="I1040" s="109">
        <f>F1040+H1040</f>
        <v/>
      </c>
      <c r="J1040" s="106" t="inlineStr">
        <is>
          <t>Agosto/2026</t>
        </is>
      </c>
    </row>
    <row r="1041" ht="14.25" customHeight="1" s="64">
      <c r="A1041" s="74" t="inlineStr">
        <is>
          <t>Manutenção Predial</t>
        </is>
      </c>
      <c r="B1041" s="83">
        <f>INDEX(SETORES!$B:$B,MATCH(A1041,SETORES!$A:$A,0))</f>
        <v/>
      </c>
      <c r="C1041" s="74" t="inlineStr">
        <is>
          <t>Empresa Licenciada SOARES E SILVA</t>
        </is>
      </c>
      <c r="D1041" s="72">
        <f>IF(B1041="Clientes",SUMIFS(PARÂMETROS!$D$8:$D$907,PARÂMETROS!$A$8:$A$907,C1041,PARÂMETROS!$G$8:$G$907,J1041),SUMIFS(PARÂMETROS!$E$8:$E$907,PARÂMETROS!$A$8:$A$907,C1041,PARÂMETROS!$G$8:$G$907,J1041))</f>
        <v/>
      </c>
      <c r="E1041" s="84">
        <f>SUMIFS(SETORES!$D:$D,SETORES!$A:$A,A1041,SETORES!$F:$F,J1041)</f>
        <v/>
      </c>
      <c r="F1041" s="84">
        <f>IFERROR(D1041*E1041,0)</f>
        <v/>
      </c>
      <c r="G1041" s="72">
        <f>SUMIFS(PARÂMETROS!$F$8:$F$907,PARÂMETROS!$A$8:$A$907,C1041,PARÂMETROS!$G$8:$G$907,J1041)</f>
        <v/>
      </c>
      <c r="H1041" s="84">
        <f>IFERROR(F1041*G1041,0)</f>
        <v/>
      </c>
      <c r="I1041" s="84">
        <f>F1041+H1041</f>
        <v/>
      </c>
      <c r="J1041" s="74" t="inlineStr">
        <is>
          <t>Agosto/2026</t>
        </is>
      </c>
    </row>
    <row r="1042" ht="14.25" customHeight="1" s="64">
      <c r="A1042" s="106" t="inlineStr">
        <is>
          <t>Manutenção Predial</t>
        </is>
      </c>
      <c r="B1042" s="106">
        <f>INDEX(SETORES!$B:$B,MATCH(A1042,SETORES!$A:$A,0))</f>
        <v/>
      </c>
      <c r="C1042" s="106" t="inlineStr">
        <is>
          <t>Empresa Licenciada SOUZA E SILVA</t>
        </is>
      </c>
      <c r="D1042" s="77">
        <f>IF(B1042="Clientes",SUMIFS(PARÂMETROS!$D$8:$D$907,PARÂMETROS!$A$8:$A$907,C1042,PARÂMETROS!$G$8:$G$907,J1042),SUMIFS(PARÂMETROS!$E$8:$E$907,PARÂMETROS!$A$8:$A$907,C1042,PARÂMETROS!$G$8:$G$907,J1042))</f>
        <v/>
      </c>
      <c r="E1042" s="109">
        <f>SUMIFS(SETORES!$D:$D,SETORES!$A:$A,A1042,SETORES!$F:$F,J1042)</f>
        <v/>
      </c>
      <c r="F1042" s="109">
        <f>IFERROR(D1042*E1042,0)</f>
        <v/>
      </c>
      <c r="G1042" s="77">
        <f>SUMIFS(PARÂMETROS!$F$8:$F$907,PARÂMETROS!$A$8:$A$907,C1042,PARÂMETROS!$G$8:$G$907,J1042)</f>
        <v/>
      </c>
      <c r="H1042" s="109">
        <f>IFERROR(F1042*G1042,0)</f>
        <v/>
      </c>
      <c r="I1042" s="109">
        <f>F1042+H1042</f>
        <v/>
      </c>
      <c r="J1042" s="106" t="inlineStr">
        <is>
          <t>Agosto/2026</t>
        </is>
      </c>
    </row>
    <row r="1043" ht="14.25" customHeight="1" s="64">
      <c r="A1043" s="74" t="inlineStr">
        <is>
          <t>Manutenção Predial</t>
        </is>
      </c>
      <c r="B1043" s="83">
        <f>INDEX(SETORES!$B:$B,MATCH(A1043,SETORES!$A:$A,0))</f>
        <v/>
      </c>
      <c r="C1043" s="74" t="inlineStr">
        <is>
          <t>Empresa Licenciada VOICENET</t>
        </is>
      </c>
      <c r="D1043" s="72">
        <f>IF(B1043="Clientes",SUMIFS(PARÂMETROS!$D$8:$D$907,PARÂMETROS!$A$8:$A$907,C1043,PARÂMETROS!$G$8:$G$907,J1043),SUMIFS(PARÂMETROS!$E$8:$E$907,PARÂMETROS!$A$8:$A$907,C1043,PARÂMETROS!$G$8:$G$907,J1043))</f>
        <v/>
      </c>
      <c r="E1043" s="84">
        <f>SUMIFS(SETORES!$D:$D,SETORES!$A:$A,A1043,SETORES!$F:$F,J1043)</f>
        <v/>
      </c>
      <c r="F1043" s="84">
        <f>IFERROR(D1043*E1043,0)</f>
        <v/>
      </c>
      <c r="G1043" s="72">
        <f>SUMIFS(PARÂMETROS!$F$8:$F$907,PARÂMETROS!$A$8:$A$907,C1043,PARÂMETROS!$G$8:$G$907,J1043)</f>
        <v/>
      </c>
      <c r="H1043" s="84">
        <f>IFERROR(F1043*G1043,0)</f>
        <v/>
      </c>
      <c r="I1043" s="84">
        <f>F1043+H1043</f>
        <v/>
      </c>
      <c r="J1043" s="74" t="inlineStr">
        <is>
          <t>Agosto/2026</t>
        </is>
      </c>
    </row>
    <row r="1044" ht="14.25" customHeight="1" s="64">
      <c r="A1044" s="106" t="inlineStr">
        <is>
          <t>Manutenção Predial</t>
        </is>
      </c>
      <c r="B1044" s="106">
        <f>INDEX(SETORES!$B:$B,MATCH(A1044,SETORES!$A:$A,0))</f>
        <v/>
      </c>
      <c r="C1044" s="106" t="inlineStr">
        <is>
          <t>DTEL (uso próprio)</t>
        </is>
      </c>
      <c r="D1044" s="77">
        <f>IF(B1044="Clientes",SUMIFS(PARÂMETROS!$D$8:$D$907,PARÂMETROS!$A$8:$A$907,C1044,PARÂMETROS!$G$8:$G$907,J1044),SUMIFS(PARÂMETROS!$E$8:$E$907,PARÂMETROS!$A$8:$A$907,C1044,PARÂMETROS!$G$8:$G$907,J1044))</f>
        <v/>
      </c>
      <c r="E1044" s="109">
        <f>SUMIFS(SETORES!$D:$D,SETORES!$A:$A,A1044,SETORES!$F:$F,J1044)</f>
        <v/>
      </c>
      <c r="F1044" s="109">
        <f>IFERROR(D1044*E1044,0)</f>
        <v/>
      </c>
      <c r="G1044" s="77">
        <f>SUMIFS(PARÂMETROS!$F$8:$F$907,PARÂMETROS!$A$8:$A$907,C1044,PARÂMETROS!$G$8:$G$907,J1044)</f>
        <v/>
      </c>
      <c r="H1044" s="109">
        <f>IFERROR(F1044*G1044,0)</f>
        <v/>
      </c>
      <c r="I1044" s="109">
        <f>F1044+H1044</f>
        <v/>
      </c>
      <c r="J1044" s="106" t="inlineStr">
        <is>
          <t>Agosto/2026</t>
        </is>
      </c>
    </row>
    <row r="1045" ht="14.25" customHeight="1" s="64">
      <c r="A1045" s="74" t="inlineStr">
        <is>
          <t>Logística</t>
        </is>
      </c>
      <c r="B1045" s="83">
        <f>INDEX(SETORES!$B:$B,MATCH(A1045,SETORES!$A:$A,0))</f>
        <v/>
      </c>
      <c r="C1045" s="74" t="inlineStr">
        <is>
          <t>Empresa Licenciada DX2</t>
        </is>
      </c>
      <c r="D1045" s="72">
        <f>IF(B1045="Clientes",SUMIFS(PARÂMETROS!$D$8:$D$907,PARÂMETROS!$A$8:$A$907,C1045,PARÂMETROS!$G$8:$G$907,J1045),SUMIFS(PARÂMETROS!$E$8:$E$907,PARÂMETROS!$A$8:$A$907,C1045,PARÂMETROS!$G$8:$G$907,J1045))</f>
        <v/>
      </c>
      <c r="E1045" s="84">
        <f>SUMIFS(SETORES!$D:$D,SETORES!$A:$A,A1045,SETORES!$F:$F,J1045)</f>
        <v/>
      </c>
      <c r="F1045" s="84">
        <f>IFERROR(D1045*E1045,0)</f>
        <v/>
      </c>
      <c r="G1045" s="72">
        <f>SUMIFS(PARÂMETROS!$F$8:$F$907,PARÂMETROS!$A$8:$A$907,C1045,PARÂMETROS!$G$8:$G$907,J1045)</f>
        <v/>
      </c>
      <c r="H1045" s="84">
        <f>IFERROR(F1045*G1045,0)</f>
        <v/>
      </c>
      <c r="I1045" s="84">
        <f>F1045+H1045</f>
        <v/>
      </c>
      <c r="J1045" s="74" t="inlineStr">
        <is>
          <t>Agosto/2026</t>
        </is>
      </c>
    </row>
    <row r="1046" ht="14.25" customHeight="1" s="64">
      <c r="A1046" s="106" t="inlineStr">
        <is>
          <t>Logística</t>
        </is>
      </c>
      <c r="B1046" s="106">
        <f>INDEX(SETORES!$B:$B,MATCH(A1046,SETORES!$A:$A,0))</f>
        <v/>
      </c>
      <c r="C1046" s="106" t="inlineStr">
        <is>
          <t>Empresa Licenciada H&amp;A</t>
        </is>
      </c>
      <c r="D1046" s="77">
        <f>IF(B1046="Clientes",SUMIFS(PARÂMETROS!$D$8:$D$907,PARÂMETROS!$A$8:$A$907,C1046,PARÂMETROS!$G$8:$G$907,J1046),SUMIFS(PARÂMETROS!$E$8:$E$907,PARÂMETROS!$A$8:$A$907,C1046,PARÂMETROS!$G$8:$G$907,J1046))</f>
        <v/>
      </c>
      <c r="E1046" s="109">
        <f>SUMIFS(SETORES!$D:$D,SETORES!$A:$A,A1046,SETORES!$F:$F,J1046)</f>
        <v/>
      </c>
      <c r="F1046" s="109">
        <f>IFERROR(D1046*E1046,0)</f>
        <v/>
      </c>
      <c r="G1046" s="77">
        <f>SUMIFS(PARÂMETROS!$F$8:$F$907,PARÂMETROS!$A$8:$A$907,C1046,PARÂMETROS!$G$8:$G$907,J1046)</f>
        <v/>
      </c>
      <c r="H1046" s="109">
        <f>IFERROR(F1046*G1046,0)</f>
        <v/>
      </c>
      <c r="I1046" s="109">
        <f>F1046+H1046</f>
        <v/>
      </c>
      <c r="J1046" s="106" t="inlineStr">
        <is>
          <t>Agosto/2026</t>
        </is>
      </c>
    </row>
    <row r="1047" ht="14.25" customHeight="1" s="64">
      <c r="A1047" s="74" t="inlineStr">
        <is>
          <t>Logística</t>
        </is>
      </c>
      <c r="B1047" s="83">
        <f>INDEX(SETORES!$B:$B,MATCH(A1047,SETORES!$A:$A,0))</f>
        <v/>
      </c>
      <c r="C1047" s="74" t="inlineStr">
        <is>
          <t>Empresa Licenciada SOLON ARAUJO</t>
        </is>
      </c>
      <c r="D1047" s="72">
        <f>IF(B1047="Clientes",SUMIFS(PARÂMETROS!$D$8:$D$907,PARÂMETROS!$A$8:$A$907,C1047,PARÂMETROS!$G$8:$G$907,J1047),SUMIFS(PARÂMETROS!$E$8:$E$907,PARÂMETROS!$A$8:$A$907,C1047,PARÂMETROS!$G$8:$G$907,J1047))</f>
        <v/>
      </c>
      <c r="E1047" s="84">
        <f>SUMIFS(SETORES!$D:$D,SETORES!$A:$A,A1047,SETORES!$F:$F,J1047)</f>
        <v/>
      </c>
      <c r="F1047" s="84">
        <f>IFERROR(D1047*E1047,0)</f>
        <v/>
      </c>
      <c r="G1047" s="72">
        <f>SUMIFS(PARÂMETROS!$F$8:$F$907,PARÂMETROS!$A$8:$A$907,C1047,PARÂMETROS!$G$8:$G$907,J1047)</f>
        <v/>
      </c>
      <c r="H1047" s="84">
        <f>IFERROR(F1047*G1047,0)</f>
        <v/>
      </c>
      <c r="I1047" s="84">
        <f>F1047+H1047</f>
        <v/>
      </c>
      <c r="J1047" s="74" t="inlineStr">
        <is>
          <t>Agosto/2026</t>
        </is>
      </c>
    </row>
    <row r="1048" ht="14.25" customHeight="1" s="64">
      <c r="A1048" s="106" t="inlineStr">
        <is>
          <t>Logística</t>
        </is>
      </c>
      <c r="B1048" s="106">
        <f>INDEX(SETORES!$B:$B,MATCH(A1048,SETORES!$A:$A,0))</f>
        <v/>
      </c>
      <c r="C1048" s="106" t="inlineStr">
        <is>
          <t>Empresa Licenciada SOARES E LINS</t>
        </is>
      </c>
      <c r="D1048" s="77">
        <f>IF(B1048="Clientes",SUMIFS(PARÂMETROS!$D$8:$D$907,PARÂMETROS!$A$8:$A$907,C1048,PARÂMETROS!$G$8:$G$907,J1048),SUMIFS(PARÂMETROS!$E$8:$E$907,PARÂMETROS!$A$8:$A$907,C1048,PARÂMETROS!$G$8:$G$907,J1048))</f>
        <v/>
      </c>
      <c r="E1048" s="109">
        <f>SUMIFS(SETORES!$D:$D,SETORES!$A:$A,A1048,SETORES!$F:$F,J1048)</f>
        <v/>
      </c>
      <c r="F1048" s="109">
        <f>IFERROR(D1048*E1048,0)</f>
        <v/>
      </c>
      <c r="G1048" s="77">
        <f>SUMIFS(PARÂMETROS!$F$8:$F$907,PARÂMETROS!$A$8:$A$907,C1048,PARÂMETROS!$G$8:$G$907,J1048)</f>
        <v/>
      </c>
      <c r="H1048" s="109">
        <f>IFERROR(F1048*G1048,0)</f>
        <v/>
      </c>
      <c r="I1048" s="109">
        <f>F1048+H1048</f>
        <v/>
      </c>
      <c r="J1048" s="106" t="inlineStr">
        <is>
          <t>Agosto/2026</t>
        </is>
      </c>
    </row>
    <row r="1049" ht="14.25" customHeight="1" s="64">
      <c r="A1049" s="74" t="inlineStr">
        <is>
          <t>Logística</t>
        </is>
      </c>
      <c r="B1049" s="83">
        <f>INDEX(SETORES!$B:$B,MATCH(A1049,SETORES!$A:$A,0))</f>
        <v/>
      </c>
      <c r="C1049" s="74" t="inlineStr">
        <is>
          <t>Empresa Licenciada SOARES E SILVA</t>
        </is>
      </c>
      <c r="D1049" s="72">
        <f>IF(B1049="Clientes",SUMIFS(PARÂMETROS!$D$8:$D$907,PARÂMETROS!$A$8:$A$907,C1049,PARÂMETROS!$G$8:$G$907,J1049),SUMIFS(PARÂMETROS!$E$8:$E$907,PARÂMETROS!$A$8:$A$907,C1049,PARÂMETROS!$G$8:$G$907,J1049))</f>
        <v/>
      </c>
      <c r="E1049" s="84">
        <f>SUMIFS(SETORES!$D:$D,SETORES!$A:$A,A1049,SETORES!$F:$F,J1049)</f>
        <v/>
      </c>
      <c r="F1049" s="84">
        <f>IFERROR(D1049*E1049,0)</f>
        <v/>
      </c>
      <c r="G1049" s="72">
        <f>SUMIFS(PARÂMETROS!$F$8:$F$907,PARÂMETROS!$A$8:$A$907,C1049,PARÂMETROS!$G$8:$G$907,J1049)</f>
        <v/>
      </c>
      <c r="H1049" s="84">
        <f>IFERROR(F1049*G1049,0)</f>
        <v/>
      </c>
      <c r="I1049" s="84">
        <f>F1049+H1049</f>
        <v/>
      </c>
      <c r="J1049" s="74" t="inlineStr">
        <is>
          <t>Agosto/2026</t>
        </is>
      </c>
    </row>
    <row r="1050" ht="14.25" customHeight="1" s="64">
      <c r="A1050" s="106" t="inlineStr">
        <is>
          <t>Logística</t>
        </is>
      </c>
      <c r="B1050" s="106">
        <f>INDEX(SETORES!$B:$B,MATCH(A1050,SETORES!$A:$A,0))</f>
        <v/>
      </c>
      <c r="C1050" s="106" t="inlineStr">
        <is>
          <t>Empresa Licenciada SOUZA E SILVA</t>
        </is>
      </c>
      <c r="D1050" s="77">
        <f>IF(B1050="Clientes",SUMIFS(PARÂMETROS!$D$8:$D$907,PARÂMETROS!$A$8:$A$907,C1050,PARÂMETROS!$G$8:$G$907,J1050),SUMIFS(PARÂMETROS!$E$8:$E$907,PARÂMETROS!$A$8:$A$907,C1050,PARÂMETROS!$G$8:$G$907,J1050))</f>
        <v/>
      </c>
      <c r="E1050" s="109">
        <f>SUMIFS(SETORES!$D:$D,SETORES!$A:$A,A1050,SETORES!$F:$F,J1050)</f>
        <v/>
      </c>
      <c r="F1050" s="109">
        <f>IFERROR(D1050*E1050,0)</f>
        <v/>
      </c>
      <c r="G1050" s="77">
        <f>SUMIFS(PARÂMETROS!$F$8:$F$907,PARÂMETROS!$A$8:$A$907,C1050,PARÂMETROS!$G$8:$G$907,J1050)</f>
        <v/>
      </c>
      <c r="H1050" s="109">
        <f>IFERROR(F1050*G1050,0)</f>
        <v/>
      </c>
      <c r="I1050" s="109">
        <f>F1050+H1050</f>
        <v/>
      </c>
      <c r="J1050" s="106" t="inlineStr">
        <is>
          <t>Agosto/2026</t>
        </is>
      </c>
    </row>
    <row r="1051" ht="14.25" customHeight="1" s="64">
      <c r="A1051" s="74" t="inlineStr">
        <is>
          <t>Logística</t>
        </is>
      </c>
      <c r="B1051" s="83">
        <f>INDEX(SETORES!$B:$B,MATCH(A1051,SETORES!$A:$A,0))</f>
        <v/>
      </c>
      <c r="C1051" s="74" t="inlineStr">
        <is>
          <t>Empresa Licenciada VOICENET</t>
        </is>
      </c>
      <c r="D1051" s="72">
        <f>IF(B1051="Clientes",SUMIFS(PARÂMETROS!$D$8:$D$907,PARÂMETROS!$A$8:$A$907,C1051,PARÂMETROS!$G$8:$G$907,J1051),SUMIFS(PARÂMETROS!$E$8:$E$907,PARÂMETROS!$A$8:$A$907,C1051,PARÂMETROS!$G$8:$G$907,J1051))</f>
        <v/>
      </c>
      <c r="E1051" s="84">
        <f>SUMIFS(SETORES!$D:$D,SETORES!$A:$A,A1051,SETORES!$F:$F,J1051)</f>
        <v/>
      </c>
      <c r="F1051" s="84">
        <f>IFERROR(D1051*E1051,0)</f>
        <v/>
      </c>
      <c r="G1051" s="72">
        <f>SUMIFS(PARÂMETROS!$F$8:$F$907,PARÂMETROS!$A$8:$A$907,C1051,PARÂMETROS!$G$8:$G$907,J1051)</f>
        <v/>
      </c>
      <c r="H1051" s="84">
        <f>IFERROR(F1051*G1051,0)</f>
        <v/>
      </c>
      <c r="I1051" s="84">
        <f>F1051+H1051</f>
        <v/>
      </c>
      <c r="J1051" s="74" t="inlineStr">
        <is>
          <t>Agosto/2026</t>
        </is>
      </c>
    </row>
    <row r="1052" ht="14.25" customHeight="1" s="64">
      <c r="A1052" s="106" t="inlineStr">
        <is>
          <t>Logística</t>
        </is>
      </c>
      <c r="B1052" s="106">
        <f>INDEX(SETORES!$B:$B,MATCH(A1052,SETORES!$A:$A,0))</f>
        <v/>
      </c>
      <c r="C1052" s="106" t="inlineStr">
        <is>
          <t>DTEL (uso próprio)</t>
        </is>
      </c>
      <c r="D1052" s="77">
        <f>IF(B1052="Clientes",SUMIFS(PARÂMETROS!$D$8:$D$907,PARÂMETROS!$A$8:$A$907,C1052,PARÂMETROS!$G$8:$G$907,J1052),SUMIFS(PARÂMETROS!$E$8:$E$907,PARÂMETROS!$A$8:$A$907,C1052,PARÂMETROS!$G$8:$G$907,J1052))</f>
        <v/>
      </c>
      <c r="E1052" s="109">
        <f>SUMIFS(SETORES!$D:$D,SETORES!$A:$A,A1052,SETORES!$F:$F,J1052)</f>
        <v/>
      </c>
      <c r="F1052" s="109">
        <f>IFERROR(D1052*E1052,0)</f>
        <v/>
      </c>
      <c r="G1052" s="77">
        <f>SUMIFS(PARÂMETROS!$F$8:$F$907,PARÂMETROS!$A$8:$A$907,C1052,PARÂMETROS!$G$8:$G$907,J1052)</f>
        <v/>
      </c>
      <c r="H1052" s="109">
        <f>IFERROR(F1052*G1052,0)</f>
        <v/>
      </c>
      <c r="I1052" s="109">
        <f>F1052+H1052</f>
        <v/>
      </c>
      <c r="J1052" s="106" t="inlineStr">
        <is>
          <t>Agosto/2026</t>
        </is>
      </c>
    </row>
    <row r="1053" ht="14.25" customHeight="1" s="64">
      <c r="A1053" s="74" t="inlineStr">
        <is>
          <t>Oficina</t>
        </is>
      </c>
      <c r="B1053" s="83">
        <f>INDEX(SETORES!$B:$B,MATCH(A1053,SETORES!$A:$A,0))</f>
        <v/>
      </c>
      <c r="C1053" s="74" t="inlineStr">
        <is>
          <t>Empresa Licenciada DX2</t>
        </is>
      </c>
      <c r="D1053" s="72">
        <f>IF(B1053="Clientes",SUMIFS(PARÂMETROS!$D$8:$D$907,PARÂMETROS!$A$8:$A$907,C1053,PARÂMETROS!$G$8:$G$907,J1053),SUMIFS(PARÂMETROS!$E$8:$E$907,PARÂMETROS!$A$8:$A$907,C1053,PARÂMETROS!$G$8:$G$907,J1053))</f>
        <v/>
      </c>
      <c r="E1053" s="84">
        <f>SUMIFS(SETORES!$D:$D,SETORES!$A:$A,A1053,SETORES!$F:$F,J1053)</f>
        <v/>
      </c>
      <c r="F1053" s="84">
        <f>IFERROR(D1053*E1053,0)</f>
        <v/>
      </c>
      <c r="G1053" s="72">
        <f>SUMIFS(PARÂMETROS!$F$8:$F$907,PARÂMETROS!$A$8:$A$907,C1053,PARÂMETROS!$G$8:$G$907,J1053)</f>
        <v/>
      </c>
      <c r="H1053" s="84">
        <f>IFERROR(F1053*G1053,0)</f>
        <v/>
      </c>
      <c r="I1053" s="84">
        <f>F1053+H1053</f>
        <v/>
      </c>
      <c r="J1053" s="74" t="inlineStr">
        <is>
          <t>Agosto/2026</t>
        </is>
      </c>
    </row>
    <row r="1054" ht="14.25" customHeight="1" s="64">
      <c r="A1054" s="106" t="inlineStr">
        <is>
          <t>Oficina</t>
        </is>
      </c>
      <c r="B1054" s="106">
        <f>INDEX(SETORES!$B:$B,MATCH(A1054,SETORES!$A:$A,0))</f>
        <v/>
      </c>
      <c r="C1054" s="106" t="inlineStr">
        <is>
          <t>Empresa Licenciada H&amp;A</t>
        </is>
      </c>
      <c r="D1054" s="77">
        <f>IF(B1054="Clientes",SUMIFS(PARÂMETROS!$D$8:$D$907,PARÂMETROS!$A$8:$A$907,C1054,PARÂMETROS!$G$8:$G$907,J1054),SUMIFS(PARÂMETROS!$E$8:$E$907,PARÂMETROS!$A$8:$A$907,C1054,PARÂMETROS!$G$8:$G$907,J1054))</f>
        <v/>
      </c>
      <c r="E1054" s="109">
        <f>SUMIFS(SETORES!$D:$D,SETORES!$A:$A,A1054,SETORES!$F:$F,J1054)</f>
        <v/>
      </c>
      <c r="F1054" s="109">
        <f>IFERROR(D1054*E1054,0)</f>
        <v/>
      </c>
      <c r="G1054" s="77">
        <f>SUMIFS(PARÂMETROS!$F$8:$F$907,PARÂMETROS!$A$8:$A$907,C1054,PARÂMETROS!$G$8:$G$907,J1054)</f>
        <v/>
      </c>
      <c r="H1054" s="109">
        <f>IFERROR(F1054*G1054,0)</f>
        <v/>
      </c>
      <c r="I1054" s="109">
        <f>F1054+H1054</f>
        <v/>
      </c>
      <c r="J1054" s="106" t="inlineStr">
        <is>
          <t>Agosto/2026</t>
        </is>
      </c>
    </row>
    <row r="1055" ht="14.25" customHeight="1" s="64">
      <c r="A1055" s="74" t="inlineStr">
        <is>
          <t>Oficina</t>
        </is>
      </c>
      <c r="B1055" s="83">
        <f>INDEX(SETORES!$B:$B,MATCH(A1055,SETORES!$A:$A,0))</f>
        <v/>
      </c>
      <c r="C1055" s="74" t="inlineStr">
        <is>
          <t>Empresa Licenciada SOLON ARAUJO</t>
        </is>
      </c>
      <c r="D1055" s="72">
        <f>IF(B1055="Clientes",SUMIFS(PARÂMETROS!$D$8:$D$907,PARÂMETROS!$A$8:$A$907,C1055,PARÂMETROS!$G$8:$G$907,J1055),SUMIFS(PARÂMETROS!$E$8:$E$907,PARÂMETROS!$A$8:$A$907,C1055,PARÂMETROS!$G$8:$G$907,J1055))</f>
        <v/>
      </c>
      <c r="E1055" s="84">
        <f>SUMIFS(SETORES!$D:$D,SETORES!$A:$A,A1055,SETORES!$F:$F,J1055)</f>
        <v/>
      </c>
      <c r="F1055" s="84">
        <f>IFERROR(D1055*E1055,0)</f>
        <v/>
      </c>
      <c r="G1055" s="72">
        <f>SUMIFS(PARÂMETROS!$F$8:$F$907,PARÂMETROS!$A$8:$A$907,C1055,PARÂMETROS!$G$8:$G$907,J1055)</f>
        <v/>
      </c>
      <c r="H1055" s="84">
        <f>IFERROR(F1055*G1055,0)</f>
        <v/>
      </c>
      <c r="I1055" s="84">
        <f>F1055+H1055</f>
        <v/>
      </c>
      <c r="J1055" s="74" t="inlineStr">
        <is>
          <t>Agosto/2026</t>
        </is>
      </c>
    </row>
    <row r="1056" ht="14.25" customHeight="1" s="64">
      <c r="A1056" s="106" t="inlineStr">
        <is>
          <t>Oficina</t>
        </is>
      </c>
      <c r="B1056" s="106">
        <f>INDEX(SETORES!$B:$B,MATCH(A1056,SETORES!$A:$A,0))</f>
        <v/>
      </c>
      <c r="C1056" s="106" t="inlineStr">
        <is>
          <t>Empresa Licenciada SOARES E LINS</t>
        </is>
      </c>
      <c r="D1056" s="77">
        <f>IF(B1056="Clientes",SUMIFS(PARÂMETROS!$D$8:$D$907,PARÂMETROS!$A$8:$A$907,C1056,PARÂMETROS!$G$8:$G$907,J1056),SUMIFS(PARÂMETROS!$E$8:$E$907,PARÂMETROS!$A$8:$A$907,C1056,PARÂMETROS!$G$8:$G$907,J1056))</f>
        <v/>
      </c>
      <c r="E1056" s="109">
        <f>SUMIFS(SETORES!$D:$D,SETORES!$A:$A,A1056,SETORES!$F:$F,J1056)</f>
        <v/>
      </c>
      <c r="F1056" s="109">
        <f>IFERROR(D1056*E1056,0)</f>
        <v/>
      </c>
      <c r="G1056" s="77">
        <f>SUMIFS(PARÂMETROS!$F$8:$F$907,PARÂMETROS!$A$8:$A$907,C1056,PARÂMETROS!$G$8:$G$907,J1056)</f>
        <v/>
      </c>
      <c r="H1056" s="109">
        <f>IFERROR(F1056*G1056,0)</f>
        <v/>
      </c>
      <c r="I1056" s="109">
        <f>F1056+H1056</f>
        <v/>
      </c>
      <c r="J1056" s="106" t="inlineStr">
        <is>
          <t>Agosto/2026</t>
        </is>
      </c>
    </row>
    <row r="1057" ht="14.25" customHeight="1" s="64">
      <c r="A1057" s="74" t="inlineStr">
        <is>
          <t>Oficina</t>
        </is>
      </c>
      <c r="B1057" s="83">
        <f>INDEX(SETORES!$B:$B,MATCH(A1057,SETORES!$A:$A,0))</f>
        <v/>
      </c>
      <c r="C1057" s="74" t="inlineStr">
        <is>
          <t>Empresa Licenciada SOARES E SILVA</t>
        </is>
      </c>
      <c r="D1057" s="72">
        <f>IF(B1057="Clientes",SUMIFS(PARÂMETROS!$D$8:$D$907,PARÂMETROS!$A$8:$A$907,C1057,PARÂMETROS!$G$8:$G$907,J1057),SUMIFS(PARÂMETROS!$E$8:$E$907,PARÂMETROS!$A$8:$A$907,C1057,PARÂMETROS!$G$8:$G$907,J1057))</f>
        <v/>
      </c>
      <c r="E1057" s="84">
        <f>SUMIFS(SETORES!$D:$D,SETORES!$A:$A,A1057,SETORES!$F:$F,J1057)</f>
        <v/>
      </c>
      <c r="F1057" s="84">
        <f>IFERROR(D1057*E1057,0)</f>
        <v/>
      </c>
      <c r="G1057" s="72">
        <f>SUMIFS(PARÂMETROS!$F$8:$F$907,PARÂMETROS!$A$8:$A$907,C1057,PARÂMETROS!$G$8:$G$907,J1057)</f>
        <v/>
      </c>
      <c r="H1057" s="84">
        <f>IFERROR(F1057*G1057,0)</f>
        <v/>
      </c>
      <c r="I1057" s="84">
        <f>F1057+H1057</f>
        <v/>
      </c>
      <c r="J1057" s="74" t="inlineStr">
        <is>
          <t>Agosto/2026</t>
        </is>
      </c>
    </row>
    <row r="1058" ht="14.25" customHeight="1" s="64">
      <c r="A1058" s="106" t="inlineStr">
        <is>
          <t>Oficina</t>
        </is>
      </c>
      <c r="B1058" s="106">
        <f>INDEX(SETORES!$B:$B,MATCH(A1058,SETORES!$A:$A,0))</f>
        <v/>
      </c>
      <c r="C1058" s="106" t="inlineStr">
        <is>
          <t>Empresa Licenciada SOUZA E SILVA</t>
        </is>
      </c>
      <c r="D1058" s="77">
        <f>IF(B1058="Clientes",SUMIFS(PARÂMETROS!$D$8:$D$907,PARÂMETROS!$A$8:$A$907,C1058,PARÂMETROS!$G$8:$G$907,J1058),SUMIFS(PARÂMETROS!$E$8:$E$907,PARÂMETROS!$A$8:$A$907,C1058,PARÂMETROS!$G$8:$G$907,J1058))</f>
        <v/>
      </c>
      <c r="E1058" s="109">
        <f>SUMIFS(SETORES!$D:$D,SETORES!$A:$A,A1058,SETORES!$F:$F,J1058)</f>
        <v/>
      </c>
      <c r="F1058" s="109">
        <f>IFERROR(D1058*E1058,0)</f>
        <v/>
      </c>
      <c r="G1058" s="77">
        <f>SUMIFS(PARÂMETROS!$F$8:$F$907,PARÂMETROS!$A$8:$A$907,C1058,PARÂMETROS!$G$8:$G$907,J1058)</f>
        <v/>
      </c>
      <c r="H1058" s="109">
        <f>IFERROR(F1058*G1058,0)</f>
        <v/>
      </c>
      <c r="I1058" s="109">
        <f>F1058+H1058</f>
        <v/>
      </c>
      <c r="J1058" s="106" t="inlineStr">
        <is>
          <t>Agosto/2026</t>
        </is>
      </c>
    </row>
    <row r="1059" ht="14.25" customHeight="1" s="64">
      <c r="A1059" s="74" t="inlineStr">
        <is>
          <t>Oficina</t>
        </is>
      </c>
      <c r="B1059" s="83">
        <f>INDEX(SETORES!$B:$B,MATCH(A1059,SETORES!$A:$A,0))</f>
        <v/>
      </c>
      <c r="C1059" s="74" t="inlineStr">
        <is>
          <t>Empresa Licenciada VOICENET</t>
        </is>
      </c>
      <c r="D1059" s="72">
        <f>IF(B1059="Clientes",SUMIFS(PARÂMETROS!$D$8:$D$907,PARÂMETROS!$A$8:$A$907,C1059,PARÂMETROS!$G$8:$G$907,J1059),SUMIFS(PARÂMETROS!$E$8:$E$907,PARÂMETROS!$A$8:$A$907,C1059,PARÂMETROS!$G$8:$G$907,J1059))</f>
        <v/>
      </c>
      <c r="E1059" s="84">
        <f>SUMIFS(SETORES!$D:$D,SETORES!$A:$A,A1059,SETORES!$F:$F,J1059)</f>
        <v/>
      </c>
      <c r="F1059" s="84">
        <f>IFERROR(D1059*E1059,0)</f>
        <v/>
      </c>
      <c r="G1059" s="72">
        <f>SUMIFS(PARÂMETROS!$F$8:$F$907,PARÂMETROS!$A$8:$A$907,C1059,PARÂMETROS!$G$8:$G$907,J1059)</f>
        <v/>
      </c>
      <c r="H1059" s="84">
        <f>IFERROR(F1059*G1059,0)</f>
        <v/>
      </c>
      <c r="I1059" s="84">
        <f>F1059+H1059</f>
        <v/>
      </c>
      <c r="J1059" s="74" t="inlineStr">
        <is>
          <t>Agosto/2026</t>
        </is>
      </c>
    </row>
    <row r="1060" ht="14.25" customHeight="1" s="64">
      <c r="A1060" s="106" t="inlineStr">
        <is>
          <t>Oficina</t>
        </is>
      </c>
      <c r="B1060" s="106">
        <f>INDEX(SETORES!$B:$B,MATCH(A1060,SETORES!$A:$A,0))</f>
        <v/>
      </c>
      <c r="C1060" s="106" t="inlineStr">
        <is>
          <t>DTEL (uso próprio)</t>
        </is>
      </c>
      <c r="D1060" s="77">
        <f>IF(B1060="Clientes",SUMIFS(PARÂMETROS!$D$8:$D$907,PARÂMETROS!$A$8:$A$907,C1060,PARÂMETROS!$G$8:$G$907,J1060),SUMIFS(PARÂMETROS!$E$8:$E$907,PARÂMETROS!$A$8:$A$907,C1060,PARÂMETROS!$G$8:$G$907,J1060))</f>
        <v/>
      </c>
      <c r="E1060" s="109">
        <f>SUMIFS(SETORES!$D:$D,SETORES!$A:$A,A1060,SETORES!$F:$F,J1060)</f>
        <v/>
      </c>
      <c r="F1060" s="109">
        <f>IFERROR(D1060*E1060,0)</f>
        <v/>
      </c>
      <c r="G1060" s="77">
        <f>SUMIFS(PARÂMETROS!$F$8:$F$907,PARÂMETROS!$A$8:$A$907,C1060,PARÂMETROS!$G$8:$G$907,J1060)</f>
        <v/>
      </c>
      <c r="H1060" s="109">
        <f>IFERROR(F1060*G1060,0)</f>
        <v/>
      </c>
      <c r="I1060" s="109">
        <f>F1060+H1060</f>
        <v/>
      </c>
      <c r="J1060" s="106" t="inlineStr">
        <is>
          <t>Agosto/2026</t>
        </is>
      </c>
    </row>
    <row r="1061" ht="14.25" customHeight="1" s="64">
      <c r="A1061" s="74" t="inlineStr">
        <is>
          <t>Estoque</t>
        </is>
      </c>
      <c r="B1061" s="83">
        <f>INDEX(SETORES!$B:$B,MATCH(A1061,SETORES!$A:$A,0))</f>
        <v/>
      </c>
      <c r="C1061" s="74" t="inlineStr">
        <is>
          <t>Empresa Licenciada DX2</t>
        </is>
      </c>
      <c r="D1061" s="72">
        <f>IF(B1061="Clientes",SUMIFS(PARÂMETROS!$D$8:$D$907,PARÂMETROS!$A$8:$A$907,C1061,PARÂMETROS!$G$8:$G$907,J1061),SUMIFS(PARÂMETROS!$E$8:$E$907,PARÂMETROS!$A$8:$A$907,C1061,PARÂMETROS!$G$8:$G$907,J1061))</f>
        <v/>
      </c>
      <c r="E1061" s="84">
        <f>SUMIFS(SETORES!$D:$D,SETORES!$A:$A,A1061,SETORES!$F:$F,J1061)</f>
        <v/>
      </c>
      <c r="F1061" s="84">
        <f>IFERROR(D1061*E1061,0)</f>
        <v/>
      </c>
      <c r="G1061" s="72">
        <f>SUMIFS(PARÂMETROS!$F$8:$F$907,PARÂMETROS!$A$8:$A$907,C1061,PARÂMETROS!$G$8:$G$907,J1061)</f>
        <v/>
      </c>
      <c r="H1061" s="84">
        <f>IFERROR(F1061*G1061,0)</f>
        <v/>
      </c>
      <c r="I1061" s="84">
        <f>F1061+H1061</f>
        <v/>
      </c>
      <c r="J1061" s="74" t="inlineStr">
        <is>
          <t>Agosto/2026</t>
        </is>
      </c>
    </row>
    <row r="1062" ht="14.25" customHeight="1" s="64">
      <c r="A1062" s="106" t="inlineStr">
        <is>
          <t>Estoque</t>
        </is>
      </c>
      <c r="B1062" s="106">
        <f>INDEX(SETORES!$B:$B,MATCH(A1062,SETORES!$A:$A,0))</f>
        <v/>
      </c>
      <c r="C1062" s="106" t="inlineStr">
        <is>
          <t>Empresa Licenciada H&amp;A</t>
        </is>
      </c>
      <c r="D1062" s="77">
        <f>IF(B1062="Clientes",SUMIFS(PARÂMETROS!$D$8:$D$907,PARÂMETROS!$A$8:$A$907,C1062,PARÂMETROS!$G$8:$G$907,J1062),SUMIFS(PARÂMETROS!$E$8:$E$907,PARÂMETROS!$A$8:$A$907,C1062,PARÂMETROS!$G$8:$G$907,J1062))</f>
        <v/>
      </c>
      <c r="E1062" s="109">
        <f>SUMIFS(SETORES!$D:$D,SETORES!$A:$A,A1062,SETORES!$F:$F,J1062)</f>
        <v/>
      </c>
      <c r="F1062" s="109">
        <f>IFERROR(D1062*E1062,0)</f>
        <v/>
      </c>
      <c r="G1062" s="77">
        <f>SUMIFS(PARÂMETROS!$F$8:$F$907,PARÂMETROS!$A$8:$A$907,C1062,PARÂMETROS!$G$8:$G$907,J1062)</f>
        <v/>
      </c>
      <c r="H1062" s="109">
        <f>IFERROR(F1062*G1062,0)</f>
        <v/>
      </c>
      <c r="I1062" s="109">
        <f>F1062+H1062</f>
        <v/>
      </c>
      <c r="J1062" s="106" t="inlineStr">
        <is>
          <t>Agosto/2026</t>
        </is>
      </c>
    </row>
    <row r="1063" ht="14.25" customHeight="1" s="64">
      <c r="A1063" s="74" t="inlineStr">
        <is>
          <t>Estoque</t>
        </is>
      </c>
      <c r="B1063" s="83">
        <f>INDEX(SETORES!$B:$B,MATCH(A1063,SETORES!$A:$A,0))</f>
        <v/>
      </c>
      <c r="C1063" s="74" t="inlineStr">
        <is>
          <t>Empresa Licenciada SOLON ARAUJO</t>
        </is>
      </c>
      <c r="D1063" s="72">
        <f>IF(B1063="Clientes",SUMIFS(PARÂMETROS!$D$8:$D$907,PARÂMETROS!$A$8:$A$907,C1063,PARÂMETROS!$G$8:$G$907,J1063),SUMIFS(PARÂMETROS!$E$8:$E$907,PARÂMETROS!$A$8:$A$907,C1063,PARÂMETROS!$G$8:$G$907,J1063))</f>
        <v/>
      </c>
      <c r="E1063" s="84">
        <f>SUMIFS(SETORES!$D:$D,SETORES!$A:$A,A1063,SETORES!$F:$F,J1063)</f>
        <v/>
      </c>
      <c r="F1063" s="84">
        <f>IFERROR(D1063*E1063,0)</f>
        <v/>
      </c>
      <c r="G1063" s="72">
        <f>SUMIFS(PARÂMETROS!$F$8:$F$907,PARÂMETROS!$A$8:$A$907,C1063,PARÂMETROS!$G$8:$G$907,J1063)</f>
        <v/>
      </c>
      <c r="H1063" s="84">
        <f>IFERROR(F1063*G1063,0)</f>
        <v/>
      </c>
      <c r="I1063" s="84">
        <f>F1063+H1063</f>
        <v/>
      </c>
      <c r="J1063" s="74" t="inlineStr">
        <is>
          <t>Agosto/2026</t>
        </is>
      </c>
    </row>
    <row r="1064" ht="14.25" customHeight="1" s="64">
      <c r="A1064" s="106" t="inlineStr">
        <is>
          <t>Estoque</t>
        </is>
      </c>
      <c r="B1064" s="106">
        <f>INDEX(SETORES!$B:$B,MATCH(A1064,SETORES!$A:$A,0))</f>
        <v/>
      </c>
      <c r="C1064" s="106" t="inlineStr">
        <is>
          <t>Empresa Licenciada SOARES E LINS</t>
        </is>
      </c>
      <c r="D1064" s="77">
        <f>IF(B1064="Clientes",SUMIFS(PARÂMETROS!$D$8:$D$907,PARÂMETROS!$A$8:$A$907,C1064,PARÂMETROS!$G$8:$G$907,J1064),SUMIFS(PARÂMETROS!$E$8:$E$907,PARÂMETROS!$A$8:$A$907,C1064,PARÂMETROS!$G$8:$G$907,J1064))</f>
        <v/>
      </c>
      <c r="E1064" s="109">
        <f>SUMIFS(SETORES!$D:$D,SETORES!$A:$A,A1064,SETORES!$F:$F,J1064)</f>
        <v/>
      </c>
      <c r="F1064" s="109">
        <f>IFERROR(D1064*E1064,0)</f>
        <v/>
      </c>
      <c r="G1064" s="77">
        <f>SUMIFS(PARÂMETROS!$F$8:$F$907,PARÂMETROS!$A$8:$A$907,C1064,PARÂMETROS!$G$8:$G$907,J1064)</f>
        <v/>
      </c>
      <c r="H1064" s="109">
        <f>IFERROR(F1064*G1064,0)</f>
        <v/>
      </c>
      <c r="I1064" s="109">
        <f>F1064+H1064</f>
        <v/>
      </c>
      <c r="J1064" s="106" t="inlineStr">
        <is>
          <t>Agosto/2026</t>
        </is>
      </c>
    </row>
    <row r="1065" ht="14.25" customHeight="1" s="64">
      <c r="A1065" s="74" t="inlineStr">
        <is>
          <t>Estoque</t>
        </is>
      </c>
      <c r="B1065" s="83">
        <f>INDEX(SETORES!$B:$B,MATCH(A1065,SETORES!$A:$A,0))</f>
        <v/>
      </c>
      <c r="C1065" s="74" t="inlineStr">
        <is>
          <t>Empresa Licenciada SOARES E SILVA</t>
        </is>
      </c>
      <c r="D1065" s="72">
        <f>IF(B1065="Clientes",SUMIFS(PARÂMETROS!$D$8:$D$907,PARÂMETROS!$A$8:$A$907,C1065,PARÂMETROS!$G$8:$G$907,J1065),SUMIFS(PARÂMETROS!$E$8:$E$907,PARÂMETROS!$A$8:$A$907,C1065,PARÂMETROS!$G$8:$G$907,J1065))</f>
        <v/>
      </c>
      <c r="E1065" s="84">
        <f>SUMIFS(SETORES!$D:$D,SETORES!$A:$A,A1065,SETORES!$F:$F,J1065)</f>
        <v/>
      </c>
      <c r="F1065" s="84">
        <f>IFERROR(D1065*E1065,0)</f>
        <v/>
      </c>
      <c r="G1065" s="72">
        <f>SUMIFS(PARÂMETROS!$F$8:$F$907,PARÂMETROS!$A$8:$A$907,C1065,PARÂMETROS!$G$8:$G$907,J1065)</f>
        <v/>
      </c>
      <c r="H1065" s="84">
        <f>IFERROR(F1065*G1065,0)</f>
        <v/>
      </c>
      <c r="I1065" s="84">
        <f>F1065+H1065</f>
        <v/>
      </c>
      <c r="J1065" s="74" t="inlineStr">
        <is>
          <t>Agosto/2026</t>
        </is>
      </c>
    </row>
    <row r="1066" ht="14.25" customHeight="1" s="64">
      <c r="A1066" s="106" t="inlineStr">
        <is>
          <t>Estoque</t>
        </is>
      </c>
      <c r="B1066" s="106">
        <f>INDEX(SETORES!$B:$B,MATCH(A1066,SETORES!$A:$A,0))</f>
        <v/>
      </c>
      <c r="C1066" s="106" t="inlineStr">
        <is>
          <t>Empresa Licenciada SOUZA E SILVA</t>
        </is>
      </c>
      <c r="D1066" s="77">
        <f>IF(B1066="Clientes",SUMIFS(PARÂMETROS!$D$8:$D$907,PARÂMETROS!$A$8:$A$907,C1066,PARÂMETROS!$G$8:$G$907,J1066),SUMIFS(PARÂMETROS!$E$8:$E$907,PARÂMETROS!$A$8:$A$907,C1066,PARÂMETROS!$G$8:$G$907,J1066))</f>
        <v/>
      </c>
      <c r="E1066" s="109">
        <f>SUMIFS(SETORES!$D:$D,SETORES!$A:$A,A1066,SETORES!$F:$F,J1066)</f>
        <v/>
      </c>
      <c r="F1066" s="109">
        <f>IFERROR(D1066*E1066,0)</f>
        <v/>
      </c>
      <c r="G1066" s="77">
        <f>SUMIFS(PARÂMETROS!$F$8:$F$907,PARÂMETROS!$A$8:$A$907,C1066,PARÂMETROS!$G$8:$G$907,J1066)</f>
        <v/>
      </c>
      <c r="H1066" s="109">
        <f>IFERROR(F1066*G1066,0)</f>
        <v/>
      </c>
      <c r="I1066" s="109">
        <f>F1066+H1066</f>
        <v/>
      </c>
      <c r="J1066" s="106" t="inlineStr">
        <is>
          <t>Agosto/2026</t>
        </is>
      </c>
    </row>
    <row r="1067" ht="14.25" customHeight="1" s="64">
      <c r="A1067" s="74" t="inlineStr">
        <is>
          <t>Estoque</t>
        </is>
      </c>
      <c r="B1067" s="83">
        <f>INDEX(SETORES!$B:$B,MATCH(A1067,SETORES!$A:$A,0))</f>
        <v/>
      </c>
      <c r="C1067" s="74" t="inlineStr">
        <is>
          <t>Empresa Licenciada VOICENET</t>
        </is>
      </c>
      <c r="D1067" s="72">
        <f>IF(B1067="Clientes",SUMIFS(PARÂMETROS!$D$8:$D$907,PARÂMETROS!$A$8:$A$907,C1067,PARÂMETROS!$G$8:$G$907,J1067),SUMIFS(PARÂMETROS!$E$8:$E$907,PARÂMETROS!$A$8:$A$907,C1067,PARÂMETROS!$G$8:$G$907,J1067))</f>
        <v/>
      </c>
      <c r="E1067" s="84">
        <f>SUMIFS(SETORES!$D:$D,SETORES!$A:$A,A1067,SETORES!$F:$F,J1067)</f>
        <v/>
      </c>
      <c r="F1067" s="84">
        <f>IFERROR(D1067*E1067,0)</f>
        <v/>
      </c>
      <c r="G1067" s="72">
        <f>SUMIFS(PARÂMETROS!$F$8:$F$907,PARÂMETROS!$A$8:$A$907,C1067,PARÂMETROS!$G$8:$G$907,J1067)</f>
        <v/>
      </c>
      <c r="H1067" s="84">
        <f>IFERROR(F1067*G1067,0)</f>
        <v/>
      </c>
      <c r="I1067" s="84">
        <f>F1067+H1067</f>
        <v/>
      </c>
      <c r="J1067" s="74" t="inlineStr">
        <is>
          <t>Agosto/2026</t>
        </is>
      </c>
    </row>
    <row r="1068" ht="14.25" customHeight="1" s="64">
      <c r="A1068" s="106" t="inlineStr">
        <is>
          <t>Estoque</t>
        </is>
      </c>
      <c r="B1068" s="106">
        <f>INDEX(SETORES!$B:$B,MATCH(A1068,SETORES!$A:$A,0))</f>
        <v/>
      </c>
      <c r="C1068" s="106" t="inlineStr">
        <is>
          <t>DTEL (uso próprio)</t>
        </is>
      </c>
      <c r="D1068" s="77">
        <f>IF(B1068="Clientes",SUMIFS(PARÂMETROS!$D$8:$D$907,PARÂMETROS!$A$8:$A$907,C1068,PARÂMETROS!$G$8:$G$907,J1068),SUMIFS(PARÂMETROS!$E$8:$E$907,PARÂMETROS!$A$8:$A$907,C1068,PARÂMETROS!$G$8:$G$907,J1068))</f>
        <v/>
      </c>
      <c r="E1068" s="109">
        <f>SUMIFS(SETORES!$D:$D,SETORES!$A:$A,A1068,SETORES!$F:$F,J1068)</f>
        <v/>
      </c>
      <c r="F1068" s="109">
        <f>IFERROR(D1068*E1068,0)</f>
        <v/>
      </c>
      <c r="G1068" s="77">
        <f>SUMIFS(PARÂMETROS!$F$8:$F$907,PARÂMETROS!$A$8:$A$907,C1068,PARÂMETROS!$G$8:$G$907,J1068)</f>
        <v/>
      </c>
      <c r="H1068" s="109">
        <f>IFERROR(F1068*G1068,0)</f>
        <v/>
      </c>
      <c r="I1068" s="109">
        <f>F1068+H1068</f>
        <v/>
      </c>
      <c r="J1068" s="106" t="inlineStr">
        <is>
          <t>Agosto/2026</t>
        </is>
      </c>
    </row>
    <row r="1069" ht="14.25" customHeight="1" s="64">
      <c r="A1069" s="74" t="inlineStr">
        <is>
          <t>Televendas</t>
        </is>
      </c>
      <c r="B1069" s="83">
        <f>INDEX(SETORES!$B:$B,MATCH(A1069,SETORES!$A:$A,0))</f>
        <v/>
      </c>
      <c r="C1069" s="74" t="inlineStr">
        <is>
          <t>Empresa Licenciada DX2</t>
        </is>
      </c>
      <c r="D1069" s="72">
        <f>IF(B1069="Clientes",SUMIFS(PARÂMETROS!$D$8:$D$907,PARÂMETROS!$A$8:$A$907,C1069,PARÂMETROS!$G$8:$G$907,J1069),SUMIFS(PARÂMETROS!$E$8:$E$907,PARÂMETROS!$A$8:$A$907,C1069,PARÂMETROS!$G$8:$G$907,J1069))</f>
        <v/>
      </c>
      <c r="E1069" s="84">
        <f>SUMIFS(SETORES!$D:$D,SETORES!$A:$A,A1069,SETORES!$F:$F,J1069)</f>
        <v/>
      </c>
      <c r="F1069" s="84">
        <f>IFERROR(D1069*E1069,0)</f>
        <v/>
      </c>
      <c r="G1069" s="72">
        <f>SUMIFS(PARÂMETROS!$F$8:$F$907,PARÂMETROS!$A$8:$A$907,C1069,PARÂMETROS!$G$8:$G$907,J1069)</f>
        <v/>
      </c>
      <c r="H1069" s="84">
        <f>IFERROR(F1069*G1069,0)</f>
        <v/>
      </c>
      <c r="I1069" s="84">
        <f>F1069+H1069</f>
        <v/>
      </c>
      <c r="J1069" s="74" t="inlineStr">
        <is>
          <t>Agosto/2026</t>
        </is>
      </c>
    </row>
    <row r="1070" ht="14.25" customHeight="1" s="64">
      <c r="A1070" s="106" t="inlineStr">
        <is>
          <t>Televendas</t>
        </is>
      </c>
      <c r="B1070" s="106">
        <f>INDEX(SETORES!$B:$B,MATCH(A1070,SETORES!$A:$A,0))</f>
        <v/>
      </c>
      <c r="C1070" s="106" t="inlineStr">
        <is>
          <t>Empresa Licenciada H&amp;A</t>
        </is>
      </c>
      <c r="D1070" s="77">
        <f>IF(B1070="Clientes",SUMIFS(PARÂMETROS!$D$8:$D$907,PARÂMETROS!$A$8:$A$907,C1070,PARÂMETROS!$G$8:$G$907,J1070),SUMIFS(PARÂMETROS!$E$8:$E$907,PARÂMETROS!$A$8:$A$907,C1070,PARÂMETROS!$G$8:$G$907,J1070))</f>
        <v/>
      </c>
      <c r="E1070" s="109">
        <f>SUMIFS(SETORES!$D:$D,SETORES!$A:$A,A1070,SETORES!$F:$F,J1070)</f>
        <v/>
      </c>
      <c r="F1070" s="109">
        <f>IFERROR(D1070*E1070,0)</f>
        <v/>
      </c>
      <c r="G1070" s="77">
        <f>SUMIFS(PARÂMETROS!$F$8:$F$907,PARÂMETROS!$A$8:$A$907,C1070,PARÂMETROS!$G$8:$G$907,J1070)</f>
        <v/>
      </c>
      <c r="H1070" s="109">
        <f>IFERROR(F1070*G1070,0)</f>
        <v/>
      </c>
      <c r="I1070" s="109">
        <f>F1070+H1070</f>
        <v/>
      </c>
      <c r="J1070" s="106" t="inlineStr">
        <is>
          <t>Agosto/2026</t>
        </is>
      </c>
    </row>
    <row r="1071" ht="14.25" customHeight="1" s="64">
      <c r="A1071" s="74" t="inlineStr">
        <is>
          <t>Televendas</t>
        </is>
      </c>
      <c r="B1071" s="83">
        <f>INDEX(SETORES!$B:$B,MATCH(A1071,SETORES!$A:$A,0))</f>
        <v/>
      </c>
      <c r="C1071" s="74" t="inlineStr">
        <is>
          <t>Empresa Licenciada SOLON ARAUJO</t>
        </is>
      </c>
      <c r="D1071" s="72">
        <f>IF(B1071="Clientes",SUMIFS(PARÂMETROS!$D$8:$D$907,PARÂMETROS!$A$8:$A$907,C1071,PARÂMETROS!$G$8:$G$907,J1071),SUMIFS(PARÂMETROS!$E$8:$E$907,PARÂMETROS!$A$8:$A$907,C1071,PARÂMETROS!$G$8:$G$907,J1071))</f>
        <v/>
      </c>
      <c r="E1071" s="84">
        <f>SUMIFS(SETORES!$D:$D,SETORES!$A:$A,A1071,SETORES!$F:$F,J1071)</f>
        <v/>
      </c>
      <c r="F1071" s="84">
        <f>IFERROR(D1071*E1071,0)</f>
        <v/>
      </c>
      <c r="G1071" s="72">
        <f>SUMIFS(PARÂMETROS!$F$8:$F$907,PARÂMETROS!$A$8:$A$907,C1071,PARÂMETROS!$G$8:$G$907,J1071)</f>
        <v/>
      </c>
      <c r="H1071" s="84">
        <f>IFERROR(F1071*G1071,0)</f>
        <v/>
      </c>
      <c r="I1071" s="84">
        <f>F1071+H1071</f>
        <v/>
      </c>
      <c r="J1071" s="74" t="inlineStr">
        <is>
          <t>Agosto/2026</t>
        </is>
      </c>
    </row>
    <row r="1072" ht="14.25" customHeight="1" s="64">
      <c r="A1072" s="106" t="inlineStr">
        <is>
          <t>Televendas</t>
        </is>
      </c>
      <c r="B1072" s="106">
        <f>INDEX(SETORES!$B:$B,MATCH(A1072,SETORES!$A:$A,0))</f>
        <v/>
      </c>
      <c r="C1072" s="106" t="inlineStr">
        <is>
          <t>Empresa Licenciada SOARES E LINS</t>
        </is>
      </c>
      <c r="D1072" s="77">
        <f>IF(B1072="Clientes",SUMIFS(PARÂMETROS!$D$8:$D$907,PARÂMETROS!$A$8:$A$907,C1072,PARÂMETROS!$G$8:$G$907,J1072),SUMIFS(PARÂMETROS!$E$8:$E$907,PARÂMETROS!$A$8:$A$907,C1072,PARÂMETROS!$G$8:$G$907,J1072))</f>
        <v/>
      </c>
      <c r="E1072" s="109">
        <f>SUMIFS(SETORES!$D:$D,SETORES!$A:$A,A1072,SETORES!$F:$F,J1072)</f>
        <v/>
      </c>
      <c r="F1072" s="109">
        <f>IFERROR(D1072*E1072,0)</f>
        <v/>
      </c>
      <c r="G1072" s="77">
        <f>SUMIFS(PARÂMETROS!$F$8:$F$907,PARÂMETROS!$A$8:$A$907,C1072,PARÂMETROS!$G$8:$G$907,J1072)</f>
        <v/>
      </c>
      <c r="H1072" s="109">
        <f>IFERROR(F1072*G1072,0)</f>
        <v/>
      </c>
      <c r="I1072" s="109">
        <f>F1072+H1072</f>
        <v/>
      </c>
      <c r="J1072" s="106" t="inlineStr">
        <is>
          <t>Agosto/2026</t>
        </is>
      </c>
    </row>
    <row r="1073" ht="14.25" customHeight="1" s="64">
      <c r="A1073" s="74" t="inlineStr">
        <is>
          <t>Televendas</t>
        </is>
      </c>
      <c r="B1073" s="83">
        <f>INDEX(SETORES!$B:$B,MATCH(A1073,SETORES!$A:$A,0))</f>
        <v/>
      </c>
      <c r="C1073" s="74" t="inlineStr">
        <is>
          <t>Empresa Licenciada SOARES E SILVA</t>
        </is>
      </c>
      <c r="D1073" s="72">
        <f>IF(B1073="Clientes",SUMIFS(PARÂMETROS!$D$8:$D$907,PARÂMETROS!$A$8:$A$907,C1073,PARÂMETROS!$G$8:$G$907,J1073),SUMIFS(PARÂMETROS!$E$8:$E$907,PARÂMETROS!$A$8:$A$907,C1073,PARÂMETROS!$G$8:$G$907,J1073))</f>
        <v/>
      </c>
      <c r="E1073" s="84">
        <f>SUMIFS(SETORES!$D:$D,SETORES!$A:$A,A1073,SETORES!$F:$F,J1073)</f>
        <v/>
      </c>
      <c r="F1073" s="84">
        <f>IFERROR(D1073*E1073,0)</f>
        <v/>
      </c>
      <c r="G1073" s="72">
        <f>SUMIFS(PARÂMETROS!$F$8:$F$907,PARÂMETROS!$A$8:$A$907,C1073,PARÂMETROS!$G$8:$G$907,J1073)</f>
        <v/>
      </c>
      <c r="H1073" s="84">
        <f>IFERROR(F1073*G1073,0)</f>
        <v/>
      </c>
      <c r="I1073" s="84">
        <f>F1073+H1073</f>
        <v/>
      </c>
      <c r="J1073" s="74" t="inlineStr">
        <is>
          <t>Agosto/2026</t>
        </is>
      </c>
    </row>
    <row r="1074" ht="14.25" customHeight="1" s="64">
      <c r="A1074" s="106" t="inlineStr">
        <is>
          <t>Televendas</t>
        </is>
      </c>
      <c r="B1074" s="106">
        <f>INDEX(SETORES!$B:$B,MATCH(A1074,SETORES!$A:$A,0))</f>
        <v/>
      </c>
      <c r="C1074" s="106" t="inlineStr">
        <is>
          <t>Empresa Licenciada SOUZA E SILVA</t>
        </is>
      </c>
      <c r="D1074" s="77">
        <f>IF(B1074="Clientes",SUMIFS(PARÂMETROS!$D$8:$D$907,PARÂMETROS!$A$8:$A$907,C1074,PARÂMETROS!$G$8:$G$907,J1074),SUMIFS(PARÂMETROS!$E$8:$E$907,PARÂMETROS!$A$8:$A$907,C1074,PARÂMETROS!$G$8:$G$907,J1074))</f>
        <v/>
      </c>
      <c r="E1074" s="109">
        <f>SUMIFS(SETORES!$D:$D,SETORES!$A:$A,A1074,SETORES!$F:$F,J1074)</f>
        <v/>
      </c>
      <c r="F1074" s="109">
        <f>IFERROR(D1074*E1074,0)</f>
        <v/>
      </c>
      <c r="G1074" s="77">
        <f>SUMIFS(PARÂMETROS!$F$8:$F$907,PARÂMETROS!$A$8:$A$907,C1074,PARÂMETROS!$G$8:$G$907,J1074)</f>
        <v/>
      </c>
      <c r="H1074" s="109">
        <f>IFERROR(F1074*G1074,0)</f>
        <v/>
      </c>
      <c r="I1074" s="109">
        <f>F1074+H1074</f>
        <v/>
      </c>
      <c r="J1074" s="106" t="inlineStr">
        <is>
          <t>Agosto/2026</t>
        </is>
      </c>
    </row>
    <row r="1075" ht="14.25" customHeight="1" s="64">
      <c r="A1075" s="74" t="inlineStr">
        <is>
          <t>Televendas</t>
        </is>
      </c>
      <c r="B1075" s="83">
        <f>INDEX(SETORES!$B:$B,MATCH(A1075,SETORES!$A:$A,0))</f>
        <v/>
      </c>
      <c r="C1075" s="74" t="inlineStr">
        <is>
          <t>Empresa Licenciada VOICENET</t>
        </is>
      </c>
      <c r="D1075" s="72">
        <f>IF(B1075="Clientes",SUMIFS(PARÂMETROS!$D$8:$D$907,PARÂMETROS!$A$8:$A$907,C1075,PARÂMETROS!$G$8:$G$907,J1075),SUMIFS(PARÂMETROS!$E$8:$E$907,PARÂMETROS!$A$8:$A$907,C1075,PARÂMETROS!$G$8:$G$907,J1075))</f>
        <v/>
      </c>
      <c r="E1075" s="84">
        <f>SUMIFS(SETORES!$D:$D,SETORES!$A:$A,A1075,SETORES!$F:$F,J1075)</f>
        <v/>
      </c>
      <c r="F1075" s="84">
        <f>IFERROR(D1075*E1075,0)</f>
        <v/>
      </c>
      <c r="G1075" s="72">
        <f>SUMIFS(PARÂMETROS!$F$8:$F$907,PARÂMETROS!$A$8:$A$907,C1075,PARÂMETROS!$G$8:$G$907,J1075)</f>
        <v/>
      </c>
      <c r="H1075" s="84">
        <f>IFERROR(F1075*G1075,0)</f>
        <v/>
      </c>
      <c r="I1075" s="84">
        <f>F1075+H1075</f>
        <v/>
      </c>
      <c r="J1075" s="74" t="inlineStr">
        <is>
          <t>Agosto/2026</t>
        </is>
      </c>
    </row>
    <row r="1076" ht="14.25" customHeight="1" s="64">
      <c r="A1076" s="106" t="inlineStr">
        <is>
          <t>Televendas</t>
        </is>
      </c>
      <c r="B1076" s="106">
        <f>INDEX(SETORES!$B:$B,MATCH(A1076,SETORES!$A:$A,0))</f>
        <v/>
      </c>
      <c r="C1076" s="106" t="inlineStr">
        <is>
          <t>DTEL (uso próprio)</t>
        </is>
      </c>
      <c r="D1076" s="77">
        <f>IF(B1076="Clientes",SUMIFS(PARÂMETROS!$D$8:$D$907,PARÂMETROS!$A$8:$A$907,C1076,PARÂMETROS!$G$8:$G$907,J1076),SUMIFS(PARÂMETROS!$E$8:$E$907,PARÂMETROS!$A$8:$A$907,C1076,PARÂMETROS!$G$8:$G$907,J1076))</f>
        <v/>
      </c>
      <c r="E1076" s="109">
        <f>SUMIFS(SETORES!$D:$D,SETORES!$A:$A,A1076,SETORES!$F:$F,J1076)</f>
        <v/>
      </c>
      <c r="F1076" s="109">
        <f>IFERROR(D1076*E1076,0)</f>
        <v/>
      </c>
      <c r="G1076" s="77">
        <f>SUMIFS(PARÂMETROS!$F$8:$F$907,PARÂMETROS!$A$8:$A$907,C1076,PARÂMETROS!$G$8:$G$907,J1076)</f>
        <v/>
      </c>
      <c r="H1076" s="109">
        <f>IFERROR(F1076*G1076,0)</f>
        <v/>
      </c>
      <c r="I1076" s="109">
        <f>F1076+H1076</f>
        <v/>
      </c>
      <c r="J1076" s="106" t="inlineStr">
        <is>
          <t>Agosto/2026</t>
        </is>
      </c>
    </row>
    <row r="1077" ht="14.25" customHeight="1" s="64">
      <c r="A1077" s="74" t="inlineStr">
        <is>
          <t>Suporte Orbix</t>
        </is>
      </c>
      <c r="B1077" s="83">
        <f>INDEX(SETORES!$B:$B,MATCH(A1077,SETORES!$A:$A,0))</f>
        <v/>
      </c>
      <c r="C1077" s="74" t="inlineStr">
        <is>
          <t>Empresa Licenciada DX2</t>
        </is>
      </c>
      <c r="D1077" s="72">
        <f>IF(B1077="Clientes",SUMIFS(PARÂMETROS!$D$8:$D$907,PARÂMETROS!$A$8:$A$907,C1077,PARÂMETROS!$G$8:$G$907,J1077),SUMIFS(PARÂMETROS!$E$8:$E$907,PARÂMETROS!$A$8:$A$907,C1077,PARÂMETROS!$G$8:$G$907,J1077))</f>
        <v/>
      </c>
      <c r="E1077" s="84">
        <f>SUMIFS(SETORES!$D:$D,SETORES!$A:$A,A1077,SETORES!$F:$F,J1077)</f>
        <v/>
      </c>
      <c r="F1077" s="84">
        <f>IFERROR(D1077*E1077,0)</f>
        <v/>
      </c>
      <c r="G1077" s="72">
        <f>SUMIFS(PARÂMETROS!$F$8:$F$907,PARÂMETROS!$A$8:$A$907,C1077,PARÂMETROS!$G$8:$G$907,J1077)</f>
        <v/>
      </c>
      <c r="H1077" s="84">
        <f>IFERROR(F1077*G1077,0)</f>
        <v/>
      </c>
      <c r="I1077" s="84">
        <f>F1077+H1077</f>
        <v/>
      </c>
      <c r="J1077" s="74" t="inlineStr">
        <is>
          <t>Agosto/2026</t>
        </is>
      </c>
    </row>
    <row r="1078" ht="14.25" customHeight="1" s="64">
      <c r="A1078" s="106" t="inlineStr">
        <is>
          <t>Suporte Orbix</t>
        </is>
      </c>
      <c r="B1078" s="106">
        <f>INDEX(SETORES!$B:$B,MATCH(A1078,SETORES!$A:$A,0))</f>
        <v/>
      </c>
      <c r="C1078" s="106" t="inlineStr">
        <is>
          <t>Empresa Licenciada H&amp;A</t>
        </is>
      </c>
      <c r="D1078" s="77">
        <f>IF(B1078="Clientes",SUMIFS(PARÂMETROS!$D$8:$D$907,PARÂMETROS!$A$8:$A$907,C1078,PARÂMETROS!$G$8:$G$907,J1078),SUMIFS(PARÂMETROS!$E$8:$E$907,PARÂMETROS!$A$8:$A$907,C1078,PARÂMETROS!$G$8:$G$907,J1078))</f>
        <v/>
      </c>
      <c r="E1078" s="109">
        <f>SUMIFS(SETORES!$D:$D,SETORES!$A:$A,A1078,SETORES!$F:$F,J1078)</f>
        <v/>
      </c>
      <c r="F1078" s="109">
        <f>IFERROR(D1078*E1078,0)</f>
        <v/>
      </c>
      <c r="G1078" s="77">
        <f>SUMIFS(PARÂMETROS!$F$8:$F$907,PARÂMETROS!$A$8:$A$907,C1078,PARÂMETROS!$G$8:$G$907,J1078)</f>
        <v/>
      </c>
      <c r="H1078" s="109">
        <f>IFERROR(F1078*G1078,0)</f>
        <v/>
      </c>
      <c r="I1078" s="109">
        <f>F1078+H1078</f>
        <v/>
      </c>
      <c r="J1078" s="106" t="inlineStr">
        <is>
          <t>Agosto/2026</t>
        </is>
      </c>
    </row>
    <row r="1079" ht="14.25" customHeight="1" s="64">
      <c r="A1079" s="74" t="inlineStr">
        <is>
          <t>Suporte Orbix</t>
        </is>
      </c>
      <c r="B1079" s="83">
        <f>INDEX(SETORES!$B:$B,MATCH(A1079,SETORES!$A:$A,0))</f>
        <v/>
      </c>
      <c r="C1079" s="74" t="inlineStr">
        <is>
          <t>Empresa Licenciada SOLON ARAUJO</t>
        </is>
      </c>
      <c r="D1079" s="72">
        <f>IF(B1079="Clientes",SUMIFS(PARÂMETROS!$D$8:$D$907,PARÂMETROS!$A$8:$A$907,C1079,PARÂMETROS!$G$8:$G$907,J1079),SUMIFS(PARÂMETROS!$E$8:$E$907,PARÂMETROS!$A$8:$A$907,C1079,PARÂMETROS!$G$8:$G$907,J1079))</f>
        <v/>
      </c>
      <c r="E1079" s="84">
        <f>SUMIFS(SETORES!$D:$D,SETORES!$A:$A,A1079,SETORES!$F:$F,J1079)</f>
        <v/>
      </c>
      <c r="F1079" s="84">
        <f>IFERROR(D1079*E1079,0)</f>
        <v/>
      </c>
      <c r="G1079" s="72">
        <f>SUMIFS(PARÂMETROS!$F$8:$F$907,PARÂMETROS!$A$8:$A$907,C1079,PARÂMETROS!$G$8:$G$907,J1079)</f>
        <v/>
      </c>
      <c r="H1079" s="84">
        <f>IFERROR(F1079*G1079,0)</f>
        <v/>
      </c>
      <c r="I1079" s="84">
        <f>F1079+H1079</f>
        <v/>
      </c>
      <c r="J1079" s="74" t="inlineStr">
        <is>
          <t>Agosto/2026</t>
        </is>
      </c>
    </row>
    <row r="1080" ht="14.25" customHeight="1" s="64">
      <c r="A1080" s="106" t="inlineStr">
        <is>
          <t>Suporte Orbix</t>
        </is>
      </c>
      <c r="B1080" s="106">
        <f>INDEX(SETORES!$B:$B,MATCH(A1080,SETORES!$A:$A,0))</f>
        <v/>
      </c>
      <c r="C1080" s="106" t="inlineStr">
        <is>
          <t>Empresa Licenciada SOARES E LINS</t>
        </is>
      </c>
      <c r="D1080" s="77">
        <f>IF(B1080="Clientes",SUMIFS(PARÂMETROS!$D$8:$D$907,PARÂMETROS!$A$8:$A$907,C1080,PARÂMETROS!$G$8:$G$907,J1080),SUMIFS(PARÂMETROS!$E$8:$E$907,PARÂMETROS!$A$8:$A$907,C1080,PARÂMETROS!$G$8:$G$907,J1080))</f>
        <v/>
      </c>
      <c r="E1080" s="109">
        <f>SUMIFS(SETORES!$D:$D,SETORES!$A:$A,A1080,SETORES!$F:$F,J1080)</f>
        <v/>
      </c>
      <c r="F1080" s="109">
        <f>IFERROR(D1080*E1080,0)</f>
        <v/>
      </c>
      <c r="G1080" s="77">
        <f>SUMIFS(PARÂMETROS!$F$8:$F$907,PARÂMETROS!$A$8:$A$907,C1080,PARÂMETROS!$G$8:$G$907,J1080)</f>
        <v/>
      </c>
      <c r="H1080" s="109">
        <f>IFERROR(F1080*G1080,0)</f>
        <v/>
      </c>
      <c r="I1080" s="109">
        <f>F1080+H1080</f>
        <v/>
      </c>
      <c r="J1080" s="106" t="inlineStr">
        <is>
          <t>Agosto/2026</t>
        </is>
      </c>
    </row>
    <row r="1081" ht="14.25" customHeight="1" s="64">
      <c r="A1081" s="74" t="inlineStr">
        <is>
          <t>Suporte Orbix</t>
        </is>
      </c>
      <c r="B1081" s="83">
        <f>INDEX(SETORES!$B:$B,MATCH(A1081,SETORES!$A:$A,0))</f>
        <v/>
      </c>
      <c r="C1081" s="74" t="inlineStr">
        <is>
          <t>Empresa Licenciada SOARES E SILVA</t>
        </is>
      </c>
      <c r="D1081" s="72">
        <f>IF(B1081="Clientes",SUMIFS(PARÂMETROS!$D$8:$D$907,PARÂMETROS!$A$8:$A$907,C1081,PARÂMETROS!$G$8:$G$907,J1081),SUMIFS(PARÂMETROS!$E$8:$E$907,PARÂMETROS!$A$8:$A$907,C1081,PARÂMETROS!$G$8:$G$907,J1081))</f>
        <v/>
      </c>
      <c r="E1081" s="84">
        <f>SUMIFS(SETORES!$D:$D,SETORES!$A:$A,A1081,SETORES!$F:$F,J1081)</f>
        <v/>
      </c>
      <c r="F1081" s="84">
        <f>IFERROR(D1081*E1081,0)</f>
        <v/>
      </c>
      <c r="G1081" s="72">
        <f>SUMIFS(PARÂMETROS!$F$8:$F$907,PARÂMETROS!$A$8:$A$907,C1081,PARÂMETROS!$G$8:$G$907,J1081)</f>
        <v/>
      </c>
      <c r="H1081" s="84">
        <f>IFERROR(F1081*G1081,0)</f>
        <v/>
      </c>
      <c r="I1081" s="84">
        <f>F1081+H1081</f>
        <v/>
      </c>
      <c r="J1081" s="74" t="inlineStr">
        <is>
          <t>Agosto/2026</t>
        </is>
      </c>
    </row>
    <row r="1082" ht="14.25" customHeight="1" s="64">
      <c r="A1082" s="106" t="inlineStr">
        <is>
          <t>Suporte Orbix</t>
        </is>
      </c>
      <c r="B1082" s="106">
        <f>INDEX(SETORES!$B:$B,MATCH(A1082,SETORES!$A:$A,0))</f>
        <v/>
      </c>
      <c r="C1082" s="106" t="inlineStr">
        <is>
          <t>Empresa Licenciada SOUZA E SILVA</t>
        </is>
      </c>
      <c r="D1082" s="77">
        <f>IF(B1082="Clientes",SUMIFS(PARÂMETROS!$D$8:$D$907,PARÂMETROS!$A$8:$A$907,C1082,PARÂMETROS!$G$8:$G$907,J1082),SUMIFS(PARÂMETROS!$E$8:$E$907,PARÂMETROS!$A$8:$A$907,C1082,PARÂMETROS!$G$8:$G$907,J1082))</f>
        <v/>
      </c>
      <c r="E1082" s="109">
        <f>SUMIFS(SETORES!$D:$D,SETORES!$A:$A,A1082,SETORES!$F:$F,J1082)</f>
        <v/>
      </c>
      <c r="F1082" s="109">
        <f>IFERROR(D1082*E1082,0)</f>
        <v/>
      </c>
      <c r="G1082" s="77">
        <f>SUMIFS(PARÂMETROS!$F$8:$F$907,PARÂMETROS!$A$8:$A$907,C1082,PARÂMETROS!$G$8:$G$907,J1082)</f>
        <v/>
      </c>
      <c r="H1082" s="109">
        <f>IFERROR(F1082*G1082,0)</f>
        <v/>
      </c>
      <c r="I1082" s="109">
        <f>F1082+H1082</f>
        <v/>
      </c>
      <c r="J1082" s="106" t="inlineStr">
        <is>
          <t>Agosto/2026</t>
        </is>
      </c>
    </row>
    <row r="1083" ht="14.25" customHeight="1" s="64">
      <c r="A1083" s="74" t="inlineStr">
        <is>
          <t>Suporte Orbix</t>
        </is>
      </c>
      <c r="B1083" s="83">
        <f>INDEX(SETORES!$B:$B,MATCH(A1083,SETORES!$A:$A,0))</f>
        <v/>
      </c>
      <c r="C1083" s="74" t="inlineStr">
        <is>
          <t>Empresa Licenciada VOICENET</t>
        </is>
      </c>
      <c r="D1083" s="72">
        <f>IF(B1083="Clientes",SUMIFS(PARÂMETROS!$D$8:$D$907,PARÂMETROS!$A$8:$A$907,C1083,PARÂMETROS!$G$8:$G$907,J1083),SUMIFS(PARÂMETROS!$E$8:$E$907,PARÂMETROS!$A$8:$A$907,C1083,PARÂMETROS!$G$8:$G$907,J1083))</f>
        <v/>
      </c>
      <c r="E1083" s="84">
        <f>SUMIFS(SETORES!$D:$D,SETORES!$A:$A,A1083,SETORES!$F:$F,J1083)</f>
        <v/>
      </c>
      <c r="F1083" s="84">
        <f>IFERROR(D1083*E1083,0)</f>
        <v/>
      </c>
      <c r="G1083" s="72">
        <f>SUMIFS(PARÂMETROS!$F$8:$F$907,PARÂMETROS!$A$8:$A$907,C1083,PARÂMETROS!$G$8:$G$907,J1083)</f>
        <v/>
      </c>
      <c r="H1083" s="84">
        <f>IFERROR(F1083*G1083,0)</f>
        <v/>
      </c>
      <c r="I1083" s="84">
        <f>F1083+H1083</f>
        <v/>
      </c>
      <c r="J1083" s="74" t="inlineStr">
        <is>
          <t>Agosto/2026</t>
        </is>
      </c>
    </row>
    <row r="1084" ht="14.25" customHeight="1" s="64">
      <c r="A1084" s="106" t="inlineStr">
        <is>
          <t>Suporte Orbix</t>
        </is>
      </c>
      <c r="B1084" s="106">
        <f>INDEX(SETORES!$B:$B,MATCH(A1084,SETORES!$A:$A,0))</f>
        <v/>
      </c>
      <c r="C1084" s="106" t="inlineStr">
        <is>
          <t>DTEL (uso próprio)</t>
        </is>
      </c>
      <c r="D1084" s="77">
        <f>IF(B1084="Clientes",SUMIFS(PARÂMETROS!$D$8:$D$907,PARÂMETROS!$A$8:$A$907,C1084,PARÂMETROS!$G$8:$G$907,J1084),SUMIFS(PARÂMETROS!$E$8:$E$907,PARÂMETROS!$A$8:$A$907,C1084,PARÂMETROS!$G$8:$G$907,J1084))</f>
        <v/>
      </c>
      <c r="E1084" s="109">
        <f>SUMIFS(SETORES!$D:$D,SETORES!$A:$A,A1084,SETORES!$F:$F,J1084)</f>
        <v/>
      </c>
      <c r="F1084" s="109">
        <f>IFERROR(D1084*E1084,0)</f>
        <v/>
      </c>
      <c r="G1084" s="77">
        <f>SUMIFS(PARÂMETROS!$F$8:$F$907,PARÂMETROS!$A$8:$A$907,C1084,PARÂMETROS!$G$8:$G$907,J1084)</f>
        <v/>
      </c>
      <c r="H1084" s="109">
        <f>IFERROR(F1084*G1084,0)</f>
        <v/>
      </c>
      <c r="I1084" s="109">
        <f>F1084+H1084</f>
        <v/>
      </c>
      <c r="J1084" s="106" t="inlineStr">
        <is>
          <t>Agosto/2026</t>
        </is>
      </c>
    </row>
    <row r="1085" ht="14.25" customHeight="1" s="64">
      <c r="A1085" s="74" t="inlineStr">
        <is>
          <t>Suporte da Central</t>
        </is>
      </c>
      <c r="B1085" s="83">
        <f>INDEX(SETORES!$B:$B,MATCH(A1085,SETORES!$A:$A,0))</f>
        <v/>
      </c>
      <c r="C1085" s="74" t="inlineStr">
        <is>
          <t>Empresa Licenciada DX2</t>
        </is>
      </c>
      <c r="D1085" s="72">
        <f>IF(B1085="Clientes",SUMIFS(PARÂMETROS!$D$8:$D$907,PARÂMETROS!$A$8:$A$907,C1085,PARÂMETROS!$G$8:$G$907,J1085),SUMIFS(PARÂMETROS!$E$8:$E$907,PARÂMETROS!$A$8:$A$907,C1085,PARÂMETROS!$G$8:$G$907,J1085))</f>
        <v/>
      </c>
      <c r="E1085" s="84">
        <f>SUMIFS(SETORES!$D:$D,SETORES!$A:$A,A1085,SETORES!$F:$F,J1085)</f>
        <v/>
      </c>
      <c r="F1085" s="84">
        <f>IFERROR(D1085*E1085,0)</f>
        <v/>
      </c>
      <c r="G1085" s="72">
        <f>SUMIFS(PARÂMETROS!$F$8:$F$907,PARÂMETROS!$A$8:$A$907,C1085,PARÂMETROS!$G$8:$G$907,J1085)</f>
        <v/>
      </c>
      <c r="H1085" s="84">
        <f>IFERROR(F1085*G1085,0)</f>
        <v/>
      </c>
      <c r="I1085" s="84">
        <f>F1085+H1085</f>
        <v/>
      </c>
      <c r="J1085" s="74" t="inlineStr">
        <is>
          <t>Agosto/2026</t>
        </is>
      </c>
    </row>
    <row r="1086" ht="14.25" customHeight="1" s="64">
      <c r="A1086" s="106" t="inlineStr">
        <is>
          <t>Suporte da Central</t>
        </is>
      </c>
      <c r="B1086" s="106">
        <f>INDEX(SETORES!$B:$B,MATCH(A1086,SETORES!$A:$A,0))</f>
        <v/>
      </c>
      <c r="C1086" s="106" t="inlineStr">
        <is>
          <t>Empresa Licenciada H&amp;A</t>
        </is>
      </c>
      <c r="D1086" s="77">
        <f>IF(B1086="Clientes",SUMIFS(PARÂMETROS!$D$8:$D$907,PARÂMETROS!$A$8:$A$907,C1086,PARÂMETROS!$G$8:$G$907,J1086),SUMIFS(PARÂMETROS!$E$8:$E$907,PARÂMETROS!$A$8:$A$907,C1086,PARÂMETROS!$G$8:$G$907,J1086))</f>
        <v/>
      </c>
      <c r="E1086" s="109">
        <f>SUMIFS(SETORES!$D:$D,SETORES!$A:$A,A1086,SETORES!$F:$F,J1086)</f>
        <v/>
      </c>
      <c r="F1086" s="109">
        <f>IFERROR(D1086*E1086,0)</f>
        <v/>
      </c>
      <c r="G1086" s="77">
        <f>SUMIFS(PARÂMETROS!$F$8:$F$907,PARÂMETROS!$A$8:$A$907,C1086,PARÂMETROS!$G$8:$G$907,J1086)</f>
        <v/>
      </c>
      <c r="H1086" s="109">
        <f>IFERROR(F1086*G1086,0)</f>
        <v/>
      </c>
      <c r="I1086" s="109">
        <f>F1086+H1086</f>
        <v/>
      </c>
      <c r="J1086" s="106" t="inlineStr">
        <is>
          <t>Agosto/2026</t>
        </is>
      </c>
    </row>
    <row r="1087" ht="14.25" customHeight="1" s="64">
      <c r="A1087" s="74" t="inlineStr">
        <is>
          <t>Suporte da Central</t>
        </is>
      </c>
      <c r="B1087" s="83">
        <f>INDEX(SETORES!$B:$B,MATCH(A1087,SETORES!$A:$A,0))</f>
        <v/>
      </c>
      <c r="C1087" s="74" t="inlineStr">
        <is>
          <t>Empresa Licenciada SOLON ARAUJO</t>
        </is>
      </c>
      <c r="D1087" s="72">
        <f>IF(B1087="Clientes",SUMIFS(PARÂMETROS!$D$8:$D$907,PARÂMETROS!$A$8:$A$907,C1087,PARÂMETROS!$G$8:$G$907,J1087),SUMIFS(PARÂMETROS!$E$8:$E$907,PARÂMETROS!$A$8:$A$907,C1087,PARÂMETROS!$G$8:$G$907,J1087))</f>
        <v/>
      </c>
      <c r="E1087" s="84">
        <f>SUMIFS(SETORES!$D:$D,SETORES!$A:$A,A1087,SETORES!$F:$F,J1087)</f>
        <v/>
      </c>
      <c r="F1087" s="84">
        <f>IFERROR(D1087*E1087,0)</f>
        <v/>
      </c>
      <c r="G1087" s="72">
        <f>SUMIFS(PARÂMETROS!$F$8:$F$907,PARÂMETROS!$A$8:$A$907,C1087,PARÂMETROS!$G$8:$G$907,J1087)</f>
        <v/>
      </c>
      <c r="H1087" s="84">
        <f>IFERROR(F1087*G1087,0)</f>
        <v/>
      </c>
      <c r="I1087" s="84">
        <f>F1087+H1087</f>
        <v/>
      </c>
      <c r="J1087" s="74" t="inlineStr">
        <is>
          <t>Agosto/2026</t>
        </is>
      </c>
    </row>
    <row r="1088" ht="14.25" customHeight="1" s="64">
      <c r="A1088" s="106" t="inlineStr">
        <is>
          <t>Suporte da Central</t>
        </is>
      </c>
      <c r="B1088" s="106">
        <f>INDEX(SETORES!$B:$B,MATCH(A1088,SETORES!$A:$A,0))</f>
        <v/>
      </c>
      <c r="C1088" s="106" t="inlineStr">
        <is>
          <t>Empresa Licenciada SOARES E LINS</t>
        </is>
      </c>
      <c r="D1088" s="77">
        <f>IF(B1088="Clientes",SUMIFS(PARÂMETROS!$D$8:$D$907,PARÂMETROS!$A$8:$A$907,C1088,PARÂMETROS!$G$8:$G$907,J1088),SUMIFS(PARÂMETROS!$E$8:$E$907,PARÂMETROS!$A$8:$A$907,C1088,PARÂMETROS!$G$8:$G$907,J1088))</f>
        <v/>
      </c>
      <c r="E1088" s="109">
        <f>SUMIFS(SETORES!$D:$D,SETORES!$A:$A,A1088,SETORES!$F:$F,J1088)</f>
        <v/>
      </c>
      <c r="F1088" s="109">
        <f>IFERROR(D1088*E1088,0)</f>
        <v/>
      </c>
      <c r="G1088" s="77">
        <f>SUMIFS(PARÂMETROS!$F$8:$F$907,PARÂMETROS!$A$8:$A$907,C1088,PARÂMETROS!$G$8:$G$907,J1088)</f>
        <v/>
      </c>
      <c r="H1088" s="109">
        <f>IFERROR(F1088*G1088,0)</f>
        <v/>
      </c>
      <c r="I1088" s="109">
        <f>F1088+H1088</f>
        <v/>
      </c>
      <c r="J1088" s="106" t="inlineStr">
        <is>
          <t>Agosto/2026</t>
        </is>
      </c>
    </row>
    <row r="1089" ht="14.25" customHeight="1" s="64">
      <c r="A1089" s="74" t="inlineStr">
        <is>
          <t>Suporte da Central</t>
        </is>
      </c>
      <c r="B1089" s="83">
        <f>INDEX(SETORES!$B:$B,MATCH(A1089,SETORES!$A:$A,0))</f>
        <v/>
      </c>
      <c r="C1089" s="74" t="inlineStr">
        <is>
          <t>Empresa Licenciada SOARES E SILVA</t>
        </is>
      </c>
      <c r="D1089" s="72">
        <f>IF(B1089="Clientes",SUMIFS(PARÂMETROS!$D$8:$D$907,PARÂMETROS!$A$8:$A$907,C1089,PARÂMETROS!$G$8:$G$907,J1089),SUMIFS(PARÂMETROS!$E$8:$E$907,PARÂMETROS!$A$8:$A$907,C1089,PARÂMETROS!$G$8:$G$907,J1089))</f>
        <v/>
      </c>
      <c r="E1089" s="84">
        <f>SUMIFS(SETORES!$D:$D,SETORES!$A:$A,A1089,SETORES!$F:$F,J1089)</f>
        <v/>
      </c>
      <c r="F1089" s="84">
        <f>IFERROR(D1089*E1089,0)</f>
        <v/>
      </c>
      <c r="G1089" s="72">
        <f>SUMIFS(PARÂMETROS!$F$8:$F$907,PARÂMETROS!$A$8:$A$907,C1089,PARÂMETROS!$G$8:$G$907,J1089)</f>
        <v/>
      </c>
      <c r="H1089" s="84">
        <f>IFERROR(F1089*G1089,0)</f>
        <v/>
      </c>
      <c r="I1089" s="84">
        <f>F1089+H1089</f>
        <v/>
      </c>
      <c r="J1089" s="74" t="inlineStr">
        <is>
          <t>Agosto/2026</t>
        </is>
      </c>
    </row>
    <row r="1090" ht="14.25" customHeight="1" s="64">
      <c r="A1090" s="106" t="inlineStr">
        <is>
          <t>Suporte da Central</t>
        </is>
      </c>
      <c r="B1090" s="106">
        <f>INDEX(SETORES!$B:$B,MATCH(A1090,SETORES!$A:$A,0))</f>
        <v/>
      </c>
      <c r="C1090" s="106" t="inlineStr">
        <is>
          <t>Empresa Licenciada SOUZA E SILVA</t>
        </is>
      </c>
      <c r="D1090" s="77">
        <f>IF(B1090="Clientes",SUMIFS(PARÂMETROS!$D$8:$D$907,PARÂMETROS!$A$8:$A$907,C1090,PARÂMETROS!$G$8:$G$907,J1090),SUMIFS(PARÂMETROS!$E$8:$E$907,PARÂMETROS!$A$8:$A$907,C1090,PARÂMETROS!$G$8:$G$907,J1090))</f>
        <v/>
      </c>
      <c r="E1090" s="109">
        <f>SUMIFS(SETORES!$D:$D,SETORES!$A:$A,A1090,SETORES!$F:$F,J1090)</f>
        <v/>
      </c>
      <c r="F1090" s="109">
        <f>IFERROR(D1090*E1090,0)</f>
        <v/>
      </c>
      <c r="G1090" s="77">
        <f>SUMIFS(PARÂMETROS!$F$8:$F$907,PARÂMETROS!$A$8:$A$907,C1090,PARÂMETROS!$G$8:$G$907,J1090)</f>
        <v/>
      </c>
      <c r="H1090" s="109">
        <f>IFERROR(F1090*G1090,0)</f>
        <v/>
      </c>
      <c r="I1090" s="109">
        <f>F1090+H1090</f>
        <v/>
      </c>
      <c r="J1090" s="106" t="inlineStr">
        <is>
          <t>Agosto/2026</t>
        </is>
      </c>
    </row>
    <row r="1091" ht="14.25" customHeight="1" s="64">
      <c r="A1091" s="74" t="inlineStr">
        <is>
          <t>Suporte da Central</t>
        </is>
      </c>
      <c r="B1091" s="83">
        <f>INDEX(SETORES!$B:$B,MATCH(A1091,SETORES!$A:$A,0))</f>
        <v/>
      </c>
      <c r="C1091" s="74" t="inlineStr">
        <is>
          <t>Empresa Licenciada VOICENET</t>
        </is>
      </c>
      <c r="D1091" s="72">
        <f>IF(B1091="Clientes",SUMIFS(PARÂMETROS!$D$8:$D$907,PARÂMETROS!$A$8:$A$907,C1091,PARÂMETROS!$G$8:$G$907,J1091),SUMIFS(PARÂMETROS!$E$8:$E$907,PARÂMETROS!$A$8:$A$907,C1091,PARÂMETROS!$G$8:$G$907,J1091))</f>
        <v/>
      </c>
      <c r="E1091" s="84">
        <f>SUMIFS(SETORES!$D:$D,SETORES!$A:$A,A1091,SETORES!$F:$F,J1091)</f>
        <v/>
      </c>
      <c r="F1091" s="84">
        <f>IFERROR(D1091*E1091,0)</f>
        <v/>
      </c>
      <c r="G1091" s="72">
        <f>SUMIFS(PARÂMETROS!$F$8:$F$907,PARÂMETROS!$A$8:$A$907,C1091,PARÂMETROS!$G$8:$G$907,J1091)</f>
        <v/>
      </c>
      <c r="H1091" s="84">
        <f>IFERROR(F1091*G1091,0)</f>
        <v/>
      </c>
      <c r="I1091" s="84">
        <f>F1091+H1091</f>
        <v/>
      </c>
      <c r="J1091" s="74" t="inlineStr">
        <is>
          <t>Agosto/2026</t>
        </is>
      </c>
    </row>
    <row r="1092" ht="14.25" customHeight="1" s="64">
      <c r="A1092" s="106" t="inlineStr">
        <is>
          <t>Suporte da Central</t>
        </is>
      </c>
      <c r="B1092" s="106">
        <f>INDEX(SETORES!$B:$B,MATCH(A1092,SETORES!$A:$A,0))</f>
        <v/>
      </c>
      <c r="C1092" s="106" t="inlineStr">
        <is>
          <t>DTEL (uso próprio)</t>
        </is>
      </c>
      <c r="D1092" s="77">
        <f>IF(B1092="Clientes",SUMIFS(PARÂMETROS!$D$8:$D$907,PARÂMETROS!$A$8:$A$907,C1092,PARÂMETROS!$G$8:$G$907,J1092),SUMIFS(PARÂMETROS!$E$8:$E$907,PARÂMETROS!$A$8:$A$907,C1092,PARÂMETROS!$G$8:$G$907,J1092))</f>
        <v/>
      </c>
      <c r="E1092" s="109">
        <f>SUMIFS(SETORES!$D:$D,SETORES!$A:$A,A1092,SETORES!$F:$F,J1092)</f>
        <v/>
      </c>
      <c r="F1092" s="109">
        <f>IFERROR(D1092*E1092,0)</f>
        <v/>
      </c>
      <c r="G1092" s="77">
        <f>SUMIFS(PARÂMETROS!$F$8:$F$907,PARÂMETROS!$A$8:$A$907,C1092,PARÂMETROS!$G$8:$G$907,J1092)</f>
        <v/>
      </c>
      <c r="H1092" s="109">
        <f>IFERROR(F1092*G1092,0)</f>
        <v/>
      </c>
      <c r="I1092" s="109">
        <f>F1092+H1092</f>
        <v/>
      </c>
      <c r="J1092" s="106" t="inlineStr">
        <is>
          <t>Agosto/2026</t>
        </is>
      </c>
    </row>
    <row r="1093" ht="14.25" customHeight="1" s="64">
      <c r="A1093" s="74" t="inlineStr">
        <is>
          <t>Comercial Corporativo</t>
        </is>
      </c>
      <c r="B1093" s="83">
        <f>INDEX(SETORES!$B:$B,MATCH(A1093,SETORES!$A:$A,0))</f>
        <v/>
      </c>
      <c r="C1093" s="74" t="inlineStr">
        <is>
          <t>Empresa Licenciada DX2</t>
        </is>
      </c>
      <c r="D1093" s="72">
        <f>IF(B1093="Clientes",SUMIFS(PARÂMETROS!$D$8:$D$907,PARÂMETROS!$A$8:$A$907,C1093,PARÂMETROS!$G$8:$G$907,J1093),SUMIFS(PARÂMETROS!$E$8:$E$907,PARÂMETROS!$A$8:$A$907,C1093,PARÂMETROS!$G$8:$G$907,J1093))</f>
        <v/>
      </c>
      <c r="E1093" s="84">
        <f>SUMIFS(SETORES!$D:$D,SETORES!$A:$A,A1093,SETORES!$F:$F,J1093)</f>
        <v/>
      </c>
      <c r="F1093" s="84">
        <f>IFERROR(D1093*E1093,0)</f>
        <v/>
      </c>
      <c r="G1093" s="72">
        <f>SUMIFS(PARÂMETROS!$F$8:$F$907,PARÂMETROS!$A$8:$A$907,C1093,PARÂMETROS!$G$8:$G$907,J1093)</f>
        <v/>
      </c>
      <c r="H1093" s="84">
        <f>IFERROR(F1093*G1093,0)</f>
        <v/>
      </c>
      <c r="I1093" s="84">
        <f>F1093+H1093</f>
        <v/>
      </c>
      <c r="J1093" s="74" t="inlineStr">
        <is>
          <t>Agosto/2026</t>
        </is>
      </c>
    </row>
    <row r="1094" ht="14.25" customHeight="1" s="64">
      <c r="A1094" s="106" t="inlineStr">
        <is>
          <t>Comercial Corporativo</t>
        </is>
      </c>
      <c r="B1094" s="106">
        <f>INDEX(SETORES!$B:$B,MATCH(A1094,SETORES!$A:$A,0))</f>
        <v/>
      </c>
      <c r="C1094" s="106" t="inlineStr">
        <is>
          <t>Empresa Licenciada H&amp;A</t>
        </is>
      </c>
      <c r="D1094" s="77">
        <f>IF(B1094="Clientes",SUMIFS(PARÂMETROS!$D$8:$D$907,PARÂMETROS!$A$8:$A$907,C1094,PARÂMETROS!$G$8:$G$907,J1094),SUMIFS(PARÂMETROS!$E$8:$E$907,PARÂMETROS!$A$8:$A$907,C1094,PARÂMETROS!$G$8:$G$907,J1094))</f>
        <v/>
      </c>
      <c r="E1094" s="109">
        <f>SUMIFS(SETORES!$D:$D,SETORES!$A:$A,A1094,SETORES!$F:$F,J1094)</f>
        <v/>
      </c>
      <c r="F1094" s="109">
        <f>IFERROR(D1094*E1094,0)</f>
        <v/>
      </c>
      <c r="G1094" s="77">
        <f>SUMIFS(PARÂMETROS!$F$8:$F$907,PARÂMETROS!$A$8:$A$907,C1094,PARÂMETROS!$G$8:$G$907,J1094)</f>
        <v/>
      </c>
      <c r="H1094" s="109">
        <f>IFERROR(F1094*G1094,0)</f>
        <v/>
      </c>
      <c r="I1094" s="109">
        <f>F1094+H1094</f>
        <v/>
      </c>
      <c r="J1094" s="106" t="inlineStr">
        <is>
          <t>Agosto/2026</t>
        </is>
      </c>
    </row>
    <row r="1095" ht="14.25" customHeight="1" s="64">
      <c r="A1095" s="74" t="inlineStr">
        <is>
          <t>Comercial Corporativo</t>
        </is>
      </c>
      <c r="B1095" s="83">
        <f>INDEX(SETORES!$B:$B,MATCH(A1095,SETORES!$A:$A,0))</f>
        <v/>
      </c>
      <c r="C1095" s="74" t="inlineStr">
        <is>
          <t>Empresa Licenciada SOLON ARAUJO</t>
        </is>
      </c>
      <c r="D1095" s="72">
        <f>IF(B1095="Clientes",SUMIFS(PARÂMETROS!$D$8:$D$907,PARÂMETROS!$A$8:$A$907,C1095,PARÂMETROS!$G$8:$G$907,J1095),SUMIFS(PARÂMETROS!$E$8:$E$907,PARÂMETROS!$A$8:$A$907,C1095,PARÂMETROS!$G$8:$G$907,J1095))</f>
        <v/>
      </c>
      <c r="E1095" s="84">
        <f>SUMIFS(SETORES!$D:$D,SETORES!$A:$A,A1095,SETORES!$F:$F,J1095)</f>
        <v/>
      </c>
      <c r="F1095" s="84">
        <f>IFERROR(D1095*E1095,0)</f>
        <v/>
      </c>
      <c r="G1095" s="72">
        <f>SUMIFS(PARÂMETROS!$F$8:$F$907,PARÂMETROS!$A$8:$A$907,C1095,PARÂMETROS!$G$8:$G$907,J1095)</f>
        <v/>
      </c>
      <c r="H1095" s="84">
        <f>IFERROR(F1095*G1095,0)</f>
        <v/>
      </c>
      <c r="I1095" s="84">
        <f>F1095+H1095</f>
        <v/>
      </c>
      <c r="J1095" s="74" t="inlineStr">
        <is>
          <t>Agosto/2026</t>
        </is>
      </c>
    </row>
    <row r="1096" ht="14.25" customHeight="1" s="64">
      <c r="A1096" s="106" t="inlineStr">
        <is>
          <t>Comercial Corporativo</t>
        </is>
      </c>
      <c r="B1096" s="106">
        <f>INDEX(SETORES!$B:$B,MATCH(A1096,SETORES!$A:$A,0))</f>
        <v/>
      </c>
      <c r="C1096" s="106" t="inlineStr">
        <is>
          <t>Empresa Licenciada SOARES E LINS</t>
        </is>
      </c>
      <c r="D1096" s="77">
        <f>IF(B1096="Clientes",SUMIFS(PARÂMETROS!$D$8:$D$907,PARÂMETROS!$A$8:$A$907,C1096,PARÂMETROS!$G$8:$G$907,J1096),SUMIFS(PARÂMETROS!$E$8:$E$907,PARÂMETROS!$A$8:$A$907,C1096,PARÂMETROS!$G$8:$G$907,J1096))</f>
        <v/>
      </c>
      <c r="E1096" s="109">
        <f>SUMIFS(SETORES!$D:$D,SETORES!$A:$A,A1096,SETORES!$F:$F,J1096)</f>
        <v/>
      </c>
      <c r="F1096" s="109">
        <f>IFERROR(D1096*E1096,0)</f>
        <v/>
      </c>
      <c r="G1096" s="77">
        <f>SUMIFS(PARÂMETROS!$F$8:$F$907,PARÂMETROS!$A$8:$A$907,C1096,PARÂMETROS!$G$8:$G$907,J1096)</f>
        <v/>
      </c>
      <c r="H1096" s="109">
        <f>IFERROR(F1096*G1096,0)</f>
        <v/>
      </c>
      <c r="I1096" s="109">
        <f>F1096+H1096</f>
        <v/>
      </c>
      <c r="J1096" s="106" t="inlineStr">
        <is>
          <t>Agosto/2026</t>
        </is>
      </c>
    </row>
    <row r="1097" ht="14.25" customHeight="1" s="64">
      <c r="A1097" s="74" t="inlineStr">
        <is>
          <t>Comercial Corporativo</t>
        </is>
      </c>
      <c r="B1097" s="83">
        <f>INDEX(SETORES!$B:$B,MATCH(A1097,SETORES!$A:$A,0))</f>
        <v/>
      </c>
      <c r="C1097" s="74" t="inlineStr">
        <is>
          <t>Empresa Licenciada SOARES E SILVA</t>
        </is>
      </c>
      <c r="D1097" s="72">
        <f>IF(B1097="Clientes",SUMIFS(PARÂMETROS!$D$8:$D$907,PARÂMETROS!$A$8:$A$907,C1097,PARÂMETROS!$G$8:$G$907,J1097),SUMIFS(PARÂMETROS!$E$8:$E$907,PARÂMETROS!$A$8:$A$907,C1097,PARÂMETROS!$G$8:$G$907,J1097))</f>
        <v/>
      </c>
      <c r="E1097" s="84">
        <f>SUMIFS(SETORES!$D:$D,SETORES!$A:$A,A1097,SETORES!$F:$F,J1097)</f>
        <v/>
      </c>
      <c r="F1097" s="84">
        <f>IFERROR(D1097*E1097,0)</f>
        <v/>
      </c>
      <c r="G1097" s="72">
        <f>SUMIFS(PARÂMETROS!$F$8:$F$907,PARÂMETROS!$A$8:$A$907,C1097,PARÂMETROS!$G$8:$G$907,J1097)</f>
        <v/>
      </c>
      <c r="H1097" s="84">
        <f>IFERROR(F1097*G1097,0)</f>
        <v/>
      </c>
      <c r="I1097" s="84">
        <f>F1097+H1097</f>
        <v/>
      </c>
      <c r="J1097" s="74" t="inlineStr">
        <is>
          <t>Agosto/2026</t>
        </is>
      </c>
    </row>
    <row r="1098" ht="14.25" customHeight="1" s="64">
      <c r="A1098" s="106" t="inlineStr">
        <is>
          <t>Comercial Corporativo</t>
        </is>
      </c>
      <c r="B1098" s="106">
        <f>INDEX(SETORES!$B:$B,MATCH(A1098,SETORES!$A:$A,0))</f>
        <v/>
      </c>
      <c r="C1098" s="106" t="inlineStr">
        <is>
          <t>Empresa Licenciada SOUZA E SILVA</t>
        </is>
      </c>
      <c r="D1098" s="77">
        <f>IF(B1098="Clientes",SUMIFS(PARÂMETROS!$D$8:$D$907,PARÂMETROS!$A$8:$A$907,C1098,PARÂMETROS!$G$8:$G$907,J1098),SUMIFS(PARÂMETROS!$E$8:$E$907,PARÂMETROS!$A$8:$A$907,C1098,PARÂMETROS!$G$8:$G$907,J1098))</f>
        <v/>
      </c>
      <c r="E1098" s="109">
        <f>SUMIFS(SETORES!$D:$D,SETORES!$A:$A,A1098,SETORES!$F:$F,J1098)</f>
        <v/>
      </c>
      <c r="F1098" s="109">
        <f>IFERROR(D1098*E1098,0)</f>
        <v/>
      </c>
      <c r="G1098" s="77">
        <f>SUMIFS(PARÂMETROS!$F$8:$F$907,PARÂMETROS!$A$8:$A$907,C1098,PARÂMETROS!$G$8:$G$907,J1098)</f>
        <v/>
      </c>
      <c r="H1098" s="109">
        <f>IFERROR(F1098*G1098,0)</f>
        <v/>
      </c>
      <c r="I1098" s="109">
        <f>F1098+H1098</f>
        <v/>
      </c>
      <c r="J1098" s="106" t="inlineStr">
        <is>
          <t>Agosto/2026</t>
        </is>
      </c>
    </row>
    <row r="1099" ht="14.25" customHeight="1" s="64">
      <c r="A1099" s="74" t="inlineStr">
        <is>
          <t>Comercial Corporativo</t>
        </is>
      </c>
      <c r="B1099" s="83">
        <f>INDEX(SETORES!$B:$B,MATCH(A1099,SETORES!$A:$A,0))</f>
        <v/>
      </c>
      <c r="C1099" s="74" t="inlineStr">
        <is>
          <t>Empresa Licenciada VOICENET</t>
        </is>
      </c>
      <c r="D1099" s="72">
        <f>IF(B1099="Clientes",SUMIFS(PARÂMETROS!$D$8:$D$907,PARÂMETROS!$A$8:$A$907,C1099,PARÂMETROS!$G$8:$G$907,J1099),SUMIFS(PARÂMETROS!$E$8:$E$907,PARÂMETROS!$A$8:$A$907,C1099,PARÂMETROS!$G$8:$G$907,J1099))</f>
        <v/>
      </c>
      <c r="E1099" s="84">
        <f>SUMIFS(SETORES!$D:$D,SETORES!$A:$A,A1099,SETORES!$F:$F,J1099)</f>
        <v/>
      </c>
      <c r="F1099" s="84">
        <f>IFERROR(D1099*E1099,0)</f>
        <v/>
      </c>
      <c r="G1099" s="72">
        <f>SUMIFS(PARÂMETROS!$F$8:$F$907,PARÂMETROS!$A$8:$A$907,C1099,PARÂMETROS!$G$8:$G$907,J1099)</f>
        <v/>
      </c>
      <c r="H1099" s="84">
        <f>IFERROR(F1099*G1099,0)</f>
        <v/>
      </c>
      <c r="I1099" s="84">
        <f>F1099+H1099</f>
        <v/>
      </c>
      <c r="J1099" s="74" t="inlineStr">
        <is>
          <t>Agosto/2026</t>
        </is>
      </c>
    </row>
    <row r="1100" ht="14.25" customHeight="1" s="64">
      <c r="A1100" s="106" t="inlineStr">
        <is>
          <t>Comercial Corporativo</t>
        </is>
      </c>
      <c r="B1100" s="106">
        <f>INDEX(SETORES!$B:$B,MATCH(A1100,SETORES!$A:$A,0))</f>
        <v/>
      </c>
      <c r="C1100" s="106" t="inlineStr">
        <is>
          <t>DTEL (uso próprio)</t>
        </is>
      </c>
      <c r="D1100" s="77">
        <f>IF(B1100="Clientes",SUMIFS(PARÂMETROS!$D$8:$D$907,PARÂMETROS!$A$8:$A$907,C1100,PARÂMETROS!$G$8:$G$907,J1100),SUMIFS(PARÂMETROS!$E$8:$E$907,PARÂMETROS!$A$8:$A$907,C1100,PARÂMETROS!$G$8:$G$907,J1100))</f>
        <v/>
      </c>
      <c r="E1100" s="109">
        <f>SUMIFS(SETORES!$D:$D,SETORES!$A:$A,A1100,SETORES!$F:$F,J1100)</f>
        <v/>
      </c>
      <c r="F1100" s="109">
        <f>IFERROR(D1100*E1100,0)</f>
        <v/>
      </c>
      <c r="G1100" s="77">
        <f>SUMIFS(PARÂMETROS!$F$8:$F$907,PARÂMETROS!$A$8:$A$907,C1100,PARÂMETROS!$G$8:$G$907,J1100)</f>
        <v/>
      </c>
      <c r="H1100" s="109">
        <f>IFERROR(F1100*G1100,0)</f>
        <v/>
      </c>
      <c r="I1100" s="109">
        <f>F1100+H1100</f>
        <v/>
      </c>
      <c r="J1100" s="106" t="inlineStr">
        <is>
          <t>Agosto/2026</t>
        </is>
      </c>
    </row>
    <row r="1101" ht="14.25" customHeight="1" s="64">
      <c r="A1101" s="74" t="inlineStr">
        <is>
          <t>Administrativo</t>
        </is>
      </c>
      <c r="B1101" s="83">
        <f>INDEX(SETORES!$B:$B,MATCH(A1101,SETORES!$A:$A,0))</f>
        <v/>
      </c>
      <c r="C1101" s="74" t="inlineStr">
        <is>
          <t>Empresa Licenciada DX2</t>
        </is>
      </c>
      <c r="D1101" s="72">
        <f>IF(B1101="Clientes",SUMIFS(PARÂMETROS!$D$8:$D$907,PARÂMETROS!$A$8:$A$907,C1101,PARÂMETROS!$G$8:$G$907,J1101),SUMIFS(PARÂMETROS!$E$8:$E$907,PARÂMETROS!$A$8:$A$907,C1101,PARÂMETROS!$G$8:$G$907,J1101))</f>
        <v/>
      </c>
      <c r="E1101" s="84">
        <f>SUMIFS(SETORES!$D:$D,SETORES!$A:$A,A1101,SETORES!$F:$F,J1101)</f>
        <v/>
      </c>
      <c r="F1101" s="84">
        <f>IFERROR(D1101*E1101,0)</f>
        <v/>
      </c>
      <c r="G1101" s="72">
        <f>SUMIFS(PARÂMETROS!$F$8:$F$907,PARÂMETROS!$A$8:$A$907,C1101,PARÂMETROS!$G$8:$G$907,J1101)</f>
        <v/>
      </c>
      <c r="H1101" s="84">
        <f>IFERROR(F1101*G1101,0)</f>
        <v/>
      </c>
      <c r="I1101" s="84">
        <f>F1101+H1101</f>
        <v/>
      </c>
      <c r="J1101" s="74" t="inlineStr">
        <is>
          <t>Agosto/2026</t>
        </is>
      </c>
    </row>
    <row r="1102" ht="14.25" customHeight="1" s="64">
      <c r="A1102" s="106" t="inlineStr">
        <is>
          <t>Administrativo</t>
        </is>
      </c>
      <c r="B1102" s="106">
        <f>INDEX(SETORES!$B:$B,MATCH(A1102,SETORES!$A:$A,0))</f>
        <v/>
      </c>
      <c r="C1102" s="106" t="inlineStr">
        <is>
          <t>Empresa Licenciada H&amp;A</t>
        </is>
      </c>
      <c r="D1102" s="77">
        <f>IF(B1102="Clientes",SUMIFS(PARÂMETROS!$D$8:$D$907,PARÂMETROS!$A$8:$A$907,C1102,PARÂMETROS!$G$8:$G$907,J1102),SUMIFS(PARÂMETROS!$E$8:$E$907,PARÂMETROS!$A$8:$A$907,C1102,PARÂMETROS!$G$8:$G$907,J1102))</f>
        <v/>
      </c>
      <c r="E1102" s="109">
        <f>SUMIFS(SETORES!$D:$D,SETORES!$A:$A,A1102,SETORES!$F:$F,J1102)</f>
        <v/>
      </c>
      <c r="F1102" s="109">
        <f>IFERROR(D1102*E1102,0)</f>
        <v/>
      </c>
      <c r="G1102" s="77">
        <f>SUMIFS(PARÂMETROS!$F$8:$F$907,PARÂMETROS!$A$8:$A$907,C1102,PARÂMETROS!$G$8:$G$907,J1102)</f>
        <v/>
      </c>
      <c r="H1102" s="109">
        <f>IFERROR(F1102*G1102,0)</f>
        <v/>
      </c>
      <c r="I1102" s="109">
        <f>F1102+H1102</f>
        <v/>
      </c>
      <c r="J1102" s="106" t="inlineStr">
        <is>
          <t>Agosto/2026</t>
        </is>
      </c>
    </row>
    <row r="1103" ht="14.25" customHeight="1" s="64">
      <c r="A1103" s="74" t="inlineStr">
        <is>
          <t>Administrativo</t>
        </is>
      </c>
      <c r="B1103" s="83">
        <f>INDEX(SETORES!$B:$B,MATCH(A1103,SETORES!$A:$A,0))</f>
        <v/>
      </c>
      <c r="C1103" s="74" t="inlineStr">
        <is>
          <t>Empresa Licenciada SOLON ARAUJO</t>
        </is>
      </c>
      <c r="D1103" s="72">
        <f>IF(B1103="Clientes",SUMIFS(PARÂMETROS!$D$8:$D$907,PARÂMETROS!$A$8:$A$907,C1103,PARÂMETROS!$G$8:$G$907,J1103),SUMIFS(PARÂMETROS!$E$8:$E$907,PARÂMETROS!$A$8:$A$907,C1103,PARÂMETROS!$G$8:$G$907,J1103))</f>
        <v/>
      </c>
      <c r="E1103" s="84">
        <f>SUMIFS(SETORES!$D:$D,SETORES!$A:$A,A1103,SETORES!$F:$F,J1103)</f>
        <v/>
      </c>
      <c r="F1103" s="84">
        <f>IFERROR(D1103*E1103,0)</f>
        <v/>
      </c>
      <c r="G1103" s="72">
        <f>SUMIFS(PARÂMETROS!$F$8:$F$907,PARÂMETROS!$A$8:$A$907,C1103,PARÂMETROS!$G$8:$G$907,J1103)</f>
        <v/>
      </c>
      <c r="H1103" s="84">
        <f>IFERROR(F1103*G1103,0)</f>
        <v/>
      </c>
      <c r="I1103" s="84">
        <f>F1103+H1103</f>
        <v/>
      </c>
      <c r="J1103" s="74" t="inlineStr">
        <is>
          <t>Agosto/2026</t>
        </is>
      </c>
    </row>
    <row r="1104" ht="14.25" customHeight="1" s="64">
      <c r="A1104" s="106" t="inlineStr">
        <is>
          <t>Administrativo</t>
        </is>
      </c>
      <c r="B1104" s="106">
        <f>INDEX(SETORES!$B:$B,MATCH(A1104,SETORES!$A:$A,0))</f>
        <v/>
      </c>
      <c r="C1104" s="106" t="inlineStr">
        <is>
          <t>Empresa Licenciada SOARES E LINS</t>
        </is>
      </c>
      <c r="D1104" s="77">
        <f>IF(B1104="Clientes",SUMIFS(PARÂMETROS!$D$8:$D$907,PARÂMETROS!$A$8:$A$907,C1104,PARÂMETROS!$G$8:$G$907,J1104),SUMIFS(PARÂMETROS!$E$8:$E$907,PARÂMETROS!$A$8:$A$907,C1104,PARÂMETROS!$G$8:$G$907,J1104))</f>
        <v/>
      </c>
      <c r="E1104" s="109">
        <f>SUMIFS(SETORES!$D:$D,SETORES!$A:$A,A1104,SETORES!$F:$F,J1104)</f>
        <v/>
      </c>
      <c r="F1104" s="109">
        <f>IFERROR(D1104*E1104,0)</f>
        <v/>
      </c>
      <c r="G1104" s="77">
        <f>SUMIFS(PARÂMETROS!$F$8:$F$907,PARÂMETROS!$A$8:$A$907,C1104,PARÂMETROS!$G$8:$G$907,J1104)</f>
        <v/>
      </c>
      <c r="H1104" s="109">
        <f>IFERROR(F1104*G1104,0)</f>
        <v/>
      </c>
      <c r="I1104" s="109">
        <f>F1104+H1104</f>
        <v/>
      </c>
      <c r="J1104" s="106" t="inlineStr">
        <is>
          <t>Agosto/2026</t>
        </is>
      </c>
    </row>
    <row r="1105" ht="14.25" customHeight="1" s="64">
      <c r="A1105" s="74" t="inlineStr">
        <is>
          <t>Administrativo</t>
        </is>
      </c>
      <c r="B1105" s="83">
        <f>INDEX(SETORES!$B:$B,MATCH(A1105,SETORES!$A:$A,0))</f>
        <v/>
      </c>
      <c r="C1105" s="74" t="inlineStr">
        <is>
          <t>Empresa Licenciada SOARES E SILVA</t>
        </is>
      </c>
      <c r="D1105" s="72">
        <f>IF(B1105="Clientes",SUMIFS(PARÂMETROS!$D$8:$D$907,PARÂMETROS!$A$8:$A$907,C1105,PARÂMETROS!$G$8:$G$907,J1105),SUMIFS(PARÂMETROS!$E$8:$E$907,PARÂMETROS!$A$8:$A$907,C1105,PARÂMETROS!$G$8:$G$907,J1105))</f>
        <v/>
      </c>
      <c r="E1105" s="84">
        <f>SUMIFS(SETORES!$D:$D,SETORES!$A:$A,A1105,SETORES!$F:$F,J1105)</f>
        <v/>
      </c>
      <c r="F1105" s="84">
        <f>IFERROR(D1105*E1105,0)</f>
        <v/>
      </c>
      <c r="G1105" s="72">
        <f>SUMIFS(PARÂMETROS!$F$8:$F$907,PARÂMETROS!$A$8:$A$907,C1105,PARÂMETROS!$G$8:$G$907,J1105)</f>
        <v/>
      </c>
      <c r="H1105" s="84">
        <f>IFERROR(F1105*G1105,0)</f>
        <v/>
      </c>
      <c r="I1105" s="84">
        <f>F1105+H1105</f>
        <v/>
      </c>
      <c r="J1105" s="74" t="inlineStr">
        <is>
          <t>Agosto/2026</t>
        </is>
      </c>
    </row>
    <row r="1106" ht="14.25" customHeight="1" s="64">
      <c r="A1106" s="106" t="inlineStr">
        <is>
          <t>Administrativo</t>
        </is>
      </c>
      <c r="B1106" s="106">
        <f>INDEX(SETORES!$B:$B,MATCH(A1106,SETORES!$A:$A,0))</f>
        <v/>
      </c>
      <c r="C1106" s="106" t="inlineStr">
        <is>
          <t>Empresa Licenciada SOUZA E SILVA</t>
        </is>
      </c>
      <c r="D1106" s="77">
        <f>IF(B1106="Clientes",SUMIFS(PARÂMETROS!$D$8:$D$907,PARÂMETROS!$A$8:$A$907,C1106,PARÂMETROS!$G$8:$G$907,J1106),SUMIFS(PARÂMETROS!$E$8:$E$907,PARÂMETROS!$A$8:$A$907,C1106,PARÂMETROS!$G$8:$G$907,J1106))</f>
        <v/>
      </c>
      <c r="E1106" s="109">
        <f>SUMIFS(SETORES!$D:$D,SETORES!$A:$A,A1106,SETORES!$F:$F,J1106)</f>
        <v/>
      </c>
      <c r="F1106" s="109">
        <f>IFERROR(D1106*E1106,0)</f>
        <v/>
      </c>
      <c r="G1106" s="77">
        <f>SUMIFS(PARÂMETROS!$F$8:$F$907,PARÂMETROS!$A$8:$A$907,C1106,PARÂMETROS!$G$8:$G$907,J1106)</f>
        <v/>
      </c>
      <c r="H1106" s="109">
        <f>IFERROR(F1106*G1106,0)</f>
        <v/>
      </c>
      <c r="I1106" s="109">
        <f>F1106+H1106</f>
        <v/>
      </c>
      <c r="J1106" s="106" t="inlineStr">
        <is>
          <t>Agosto/2026</t>
        </is>
      </c>
    </row>
    <row r="1107" ht="14.25" customHeight="1" s="64">
      <c r="A1107" s="74" t="inlineStr">
        <is>
          <t>Administrativo</t>
        </is>
      </c>
      <c r="B1107" s="83">
        <f>INDEX(SETORES!$B:$B,MATCH(A1107,SETORES!$A:$A,0))</f>
        <v/>
      </c>
      <c r="C1107" s="74" t="inlineStr">
        <is>
          <t>Empresa Licenciada VOICENET</t>
        </is>
      </c>
      <c r="D1107" s="72">
        <f>IF(B1107="Clientes",SUMIFS(PARÂMETROS!$D$8:$D$907,PARÂMETROS!$A$8:$A$907,C1107,PARÂMETROS!$G$8:$G$907,J1107),SUMIFS(PARÂMETROS!$E$8:$E$907,PARÂMETROS!$A$8:$A$907,C1107,PARÂMETROS!$G$8:$G$907,J1107))</f>
        <v/>
      </c>
      <c r="E1107" s="84">
        <f>SUMIFS(SETORES!$D:$D,SETORES!$A:$A,A1107,SETORES!$F:$F,J1107)</f>
        <v/>
      </c>
      <c r="F1107" s="84">
        <f>IFERROR(D1107*E1107,0)</f>
        <v/>
      </c>
      <c r="G1107" s="72">
        <f>SUMIFS(PARÂMETROS!$F$8:$F$907,PARÂMETROS!$A$8:$A$907,C1107,PARÂMETROS!$G$8:$G$907,J1107)</f>
        <v/>
      </c>
      <c r="H1107" s="84">
        <f>IFERROR(F1107*G1107,0)</f>
        <v/>
      </c>
      <c r="I1107" s="84">
        <f>F1107+H1107</f>
        <v/>
      </c>
      <c r="J1107" s="74" t="inlineStr">
        <is>
          <t>Agosto/2026</t>
        </is>
      </c>
    </row>
    <row r="1108" ht="14.25" customHeight="1" s="64">
      <c r="A1108" s="106" t="inlineStr">
        <is>
          <t>Administrativo</t>
        </is>
      </c>
      <c r="B1108" s="106">
        <f>INDEX(SETORES!$B:$B,MATCH(A1108,SETORES!$A:$A,0))</f>
        <v/>
      </c>
      <c r="C1108" s="106" t="inlineStr">
        <is>
          <t>DTEL (uso próprio)</t>
        </is>
      </c>
      <c r="D1108" s="77">
        <f>IF(B1108="Clientes",SUMIFS(PARÂMETROS!$D$8:$D$907,PARÂMETROS!$A$8:$A$907,C1108,PARÂMETROS!$G$8:$G$907,J1108),SUMIFS(PARÂMETROS!$E$8:$E$907,PARÂMETROS!$A$8:$A$907,C1108,PARÂMETROS!$G$8:$G$907,J1108))</f>
        <v/>
      </c>
      <c r="E1108" s="109">
        <f>SUMIFS(SETORES!$D:$D,SETORES!$A:$A,A1108,SETORES!$F:$F,J1108)</f>
        <v/>
      </c>
      <c r="F1108" s="109">
        <f>IFERROR(D1108*E1108,0)</f>
        <v/>
      </c>
      <c r="G1108" s="77">
        <f>SUMIFS(PARÂMETROS!$F$8:$F$907,PARÂMETROS!$A$8:$A$907,C1108,PARÂMETROS!$G$8:$G$907,J1108)</f>
        <v/>
      </c>
      <c r="H1108" s="109">
        <f>IFERROR(F1108*G1108,0)</f>
        <v/>
      </c>
      <c r="I1108" s="109">
        <f>F1108+H1108</f>
        <v/>
      </c>
      <c r="J1108" s="106" t="inlineStr">
        <is>
          <t>Agosto/2026</t>
        </is>
      </c>
    </row>
    <row r="1109" ht="14.25" customHeight="1" s="64">
      <c r="A1109" s="110" t="inlineStr">
        <is>
          <t>COE</t>
        </is>
      </c>
      <c r="B1109" s="110">
        <f>INDEX(SETORES!$B:$B,MATCH(A1109,SETORES!$A:$A,0))</f>
        <v/>
      </c>
      <c r="C1109" s="110" t="inlineStr">
        <is>
          <t>Empresa Licenciada DX2</t>
        </is>
      </c>
      <c r="D1109" s="88">
        <f>IF(B1109="Clientes",SUMIFS(PARÂMETROS!$D$8:$D$907,PARÂMETROS!$A$8:$A$907,C1109,PARÂMETROS!$G$8:$G$907,J1109),SUMIFS(PARÂMETROS!$E$8:$E$907,PARÂMETROS!$A$8:$A$907,C1109,PARÂMETROS!$G$8:$G$907,J1109))</f>
        <v/>
      </c>
      <c r="E1109" s="89">
        <f>SUMIFS(SETORES!$D:$D,SETORES!$A:$A,A1109,SETORES!$F:$F,J1109)</f>
        <v/>
      </c>
      <c r="F1109" s="89" t="n">
        <v>0</v>
      </c>
      <c r="G1109" s="88">
        <f>SUMIFS(PARÂMETROS!$F$8:$F$907,PARÂMETROS!$A$8:$A$907,C1109,PARÂMETROS!$G$8:$G$907,J1109)</f>
        <v/>
      </c>
      <c r="H1109" s="89">
        <f>IFERROR(F1109*G1109,0)</f>
        <v/>
      </c>
      <c r="I1109" s="89">
        <f>F1109+H1109</f>
        <v/>
      </c>
      <c r="J1109" s="110" t="inlineStr">
        <is>
          <t>Agosto/2026</t>
        </is>
      </c>
    </row>
    <row r="1110" ht="14.25" customHeight="1" s="64">
      <c r="A1110" s="110" t="inlineStr">
        <is>
          <t>COE</t>
        </is>
      </c>
      <c r="B1110" s="110">
        <f>INDEX(SETORES!$B:$B,MATCH(A1110,SETORES!$A:$A,0))</f>
        <v/>
      </c>
      <c r="C1110" s="110" t="inlineStr">
        <is>
          <t>Empresa Licenciada H&amp;A</t>
        </is>
      </c>
      <c r="D1110" s="88">
        <f>IF(B1110="Clientes",SUMIFS(PARÂMETROS!$D$8:$D$907,PARÂMETROS!$A$8:$A$907,C1110,PARÂMETROS!$G$8:$G$907,J1110),SUMIFS(PARÂMETROS!$E$8:$E$907,PARÂMETROS!$A$8:$A$907,C1110,PARÂMETROS!$G$8:$G$907,J1110))</f>
        <v/>
      </c>
      <c r="E1110" s="89">
        <f>SUMIFS(SETORES!$D:$D,SETORES!$A:$A,A1110,SETORES!$F:$F,J1110)</f>
        <v/>
      </c>
      <c r="F1110" s="89" t="n">
        <v>0</v>
      </c>
      <c r="G1110" s="88">
        <f>SUMIFS(PARÂMETROS!$F$8:$F$907,PARÂMETROS!$A$8:$A$907,C1110,PARÂMETROS!$G$8:$G$907,J1110)</f>
        <v/>
      </c>
      <c r="H1110" s="89">
        <f>IFERROR(F1110*G1110,0)</f>
        <v/>
      </c>
      <c r="I1110" s="89">
        <f>F1110+H1110</f>
        <v/>
      </c>
      <c r="J1110" s="110" t="inlineStr">
        <is>
          <t>Agosto/2026</t>
        </is>
      </c>
    </row>
    <row r="1111" ht="14.25" customHeight="1" s="64">
      <c r="A1111" s="110" t="inlineStr">
        <is>
          <t>COE</t>
        </is>
      </c>
      <c r="B1111" s="110">
        <f>INDEX(SETORES!$B:$B,MATCH(A1111,SETORES!$A:$A,0))</f>
        <v/>
      </c>
      <c r="C1111" s="110" t="inlineStr">
        <is>
          <t>Empresa Licenciada SOLON ARAUJO</t>
        </is>
      </c>
      <c r="D1111" s="88">
        <f>IF(B1111="Clientes",SUMIFS(PARÂMETROS!$D$8:$D$907,PARÂMETROS!$A$8:$A$907,C1111,PARÂMETROS!$G$8:$G$907,J1111),SUMIFS(PARÂMETROS!$E$8:$E$907,PARÂMETROS!$A$8:$A$907,C1111,PARÂMETROS!$G$8:$G$907,J1111))</f>
        <v/>
      </c>
      <c r="E1111" s="89">
        <f>SUMIFS(SETORES!$D:$D,SETORES!$A:$A,A1111,SETORES!$F:$F,J1111)</f>
        <v/>
      </c>
      <c r="F1111" s="89" t="n">
        <v>6316.27</v>
      </c>
      <c r="G1111" s="88">
        <f>SUMIFS(PARÂMETROS!$F$8:$F$907,PARÂMETROS!$A$8:$A$907,C1111,PARÂMETROS!$G$8:$G$907,J1111)</f>
        <v/>
      </c>
      <c r="H1111" s="89">
        <f>IFERROR(F1111*G1111,0)</f>
        <v/>
      </c>
      <c r="I1111" s="89">
        <f>F1111+H1111</f>
        <v/>
      </c>
      <c r="J1111" s="110" t="inlineStr">
        <is>
          <t>Agosto/2026</t>
        </is>
      </c>
    </row>
    <row r="1112" ht="14.25" customHeight="1" s="64">
      <c r="A1112" s="110" t="inlineStr">
        <is>
          <t>COE</t>
        </is>
      </c>
      <c r="B1112" s="110">
        <f>INDEX(SETORES!$B:$B,MATCH(A1112,SETORES!$A:$A,0))</f>
        <v/>
      </c>
      <c r="C1112" s="110" t="inlineStr">
        <is>
          <t>Empresa Licenciada SOARES E LINS</t>
        </is>
      </c>
      <c r="D1112" s="88">
        <f>IF(B1112="Clientes",SUMIFS(PARÂMETROS!$D$8:$D$907,PARÂMETROS!$A$8:$A$907,C1112,PARÂMETROS!$G$8:$G$907,J1112),SUMIFS(PARÂMETROS!$E$8:$E$907,PARÂMETROS!$A$8:$A$907,C1112,PARÂMETROS!$G$8:$G$907,J1112))</f>
        <v/>
      </c>
      <c r="E1112" s="89">
        <f>SUMIFS(SETORES!$D:$D,SETORES!$A:$A,A1112,SETORES!$F:$F,J1112)</f>
        <v/>
      </c>
      <c r="F1112" s="89" t="n">
        <v>1618.95</v>
      </c>
      <c r="G1112" s="88">
        <f>SUMIFS(PARÂMETROS!$F$8:$F$907,PARÂMETROS!$A$8:$A$907,C1112,PARÂMETROS!$G$8:$G$907,J1112)</f>
        <v/>
      </c>
      <c r="H1112" s="89">
        <f>IFERROR(F1112*G1112,0)</f>
        <v/>
      </c>
      <c r="I1112" s="89">
        <f>F1112+H1112</f>
        <v/>
      </c>
      <c r="J1112" s="110" t="inlineStr">
        <is>
          <t>Agosto/2026</t>
        </is>
      </c>
    </row>
    <row r="1113" ht="14.25" customHeight="1" s="64">
      <c r="A1113" s="110" t="inlineStr">
        <is>
          <t>COE</t>
        </is>
      </c>
      <c r="B1113" s="110">
        <f>INDEX(SETORES!$B:$B,MATCH(A1113,SETORES!$A:$A,0))</f>
        <v/>
      </c>
      <c r="C1113" s="110" t="inlineStr">
        <is>
          <t>Empresa Licenciada SOARES E SILVA</t>
        </is>
      </c>
      <c r="D1113" s="88">
        <f>IF(B1113="Clientes",SUMIFS(PARÂMETROS!$D$8:$D$907,PARÂMETROS!$A$8:$A$907,C1113,PARÂMETROS!$G$8:$G$907,J1113),SUMIFS(PARÂMETROS!$E$8:$E$907,PARÂMETROS!$A$8:$A$907,C1113,PARÂMETROS!$G$8:$G$907,J1113))</f>
        <v/>
      </c>
      <c r="E1113" s="89">
        <f>SUMIFS(SETORES!$D:$D,SETORES!$A:$A,A1113,SETORES!$F:$F,J1113)</f>
        <v/>
      </c>
      <c r="F1113" s="89" t="n">
        <v>0</v>
      </c>
      <c r="G1113" s="88">
        <f>SUMIFS(PARÂMETROS!$F$8:$F$907,PARÂMETROS!$A$8:$A$907,C1113,PARÂMETROS!$G$8:$G$907,J1113)</f>
        <v/>
      </c>
      <c r="H1113" s="89">
        <f>IFERROR(F1113*G1113,0)</f>
        <v/>
      </c>
      <c r="I1113" s="89">
        <f>F1113+H1113</f>
        <v/>
      </c>
      <c r="J1113" s="110" t="inlineStr">
        <is>
          <t>Agosto/2026</t>
        </is>
      </c>
    </row>
    <row r="1114" ht="14.25" customHeight="1" s="64">
      <c r="A1114" s="110" t="inlineStr">
        <is>
          <t>COE</t>
        </is>
      </c>
      <c r="B1114" s="110">
        <f>INDEX(SETORES!$B:$B,MATCH(A1114,SETORES!$A:$A,0))</f>
        <v/>
      </c>
      <c r="C1114" s="110" t="inlineStr">
        <is>
          <t>Empresa Licenciada SOUZA E SILVA</t>
        </is>
      </c>
      <c r="D1114" s="88">
        <f>IF(B1114="Clientes",SUMIFS(PARÂMETROS!$D$8:$D$907,PARÂMETROS!$A$8:$A$907,C1114,PARÂMETROS!$G$8:$G$907,J1114),SUMIFS(PARÂMETROS!$E$8:$E$907,PARÂMETROS!$A$8:$A$907,C1114,PARÂMETROS!$G$8:$G$907,J1114))</f>
        <v/>
      </c>
      <c r="E1114" s="89">
        <f>SUMIFS(SETORES!$D:$D,SETORES!$A:$A,A1114,SETORES!$F:$F,J1114)</f>
        <v/>
      </c>
      <c r="F1114" s="89" t="n">
        <v>0</v>
      </c>
      <c r="G1114" s="88">
        <f>SUMIFS(PARÂMETROS!$F$8:$F$907,PARÂMETROS!$A$8:$A$907,C1114,PARÂMETROS!$G$8:$G$907,J1114)</f>
        <v/>
      </c>
      <c r="H1114" s="89">
        <f>IFERROR(F1114*G1114,0)</f>
        <v/>
      </c>
      <c r="I1114" s="89">
        <f>F1114+H1114</f>
        <v/>
      </c>
      <c r="J1114" s="110" t="inlineStr">
        <is>
          <t>Agosto/2026</t>
        </is>
      </c>
    </row>
    <row r="1115" ht="14.25" customHeight="1" s="64">
      <c r="A1115" s="110" t="inlineStr">
        <is>
          <t>COE</t>
        </is>
      </c>
      <c r="B1115" s="110">
        <f>INDEX(SETORES!$B:$B,MATCH(A1115,SETORES!$A:$A,0))</f>
        <v/>
      </c>
      <c r="C1115" s="110" t="inlineStr">
        <is>
          <t>Empresa Licenciada VOICENET</t>
        </is>
      </c>
      <c r="D1115" s="88">
        <f>IF(B1115="Clientes",SUMIFS(PARÂMETROS!$D$8:$D$907,PARÂMETROS!$A$8:$A$907,C1115,PARÂMETROS!$G$8:$G$907,J1115),SUMIFS(PARÂMETROS!$E$8:$E$907,PARÂMETROS!$A$8:$A$907,C1115,PARÂMETROS!$G$8:$G$907,J1115))</f>
        <v/>
      </c>
      <c r="E1115" s="89">
        <f>SUMIFS(SETORES!$D:$D,SETORES!$A:$A,A1115,SETORES!$F:$F,J1115)</f>
        <v/>
      </c>
      <c r="F1115" s="89" t="n">
        <v>2066.58</v>
      </c>
      <c r="G1115" s="88">
        <f>SUMIFS(PARÂMETROS!$F$8:$F$907,PARÂMETROS!$A$8:$A$907,C1115,PARÂMETROS!$G$8:$G$907,J1115)</f>
        <v/>
      </c>
      <c r="H1115" s="89">
        <f>IFERROR(F1115*G1115,0)</f>
        <v/>
      </c>
      <c r="I1115" s="89">
        <f>F1115+H1115</f>
        <v/>
      </c>
      <c r="J1115" s="110" t="inlineStr">
        <is>
          <t>Agosto/2026</t>
        </is>
      </c>
    </row>
    <row r="1116" ht="14.25" customHeight="1" s="64">
      <c r="A1116" s="110" t="inlineStr">
        <is>
          <t>COE</t>
        </is>
      </c>
      <c r="B1116" s="110">
        <f>INDEX(SETORES!$B:$B,MATCH(A1116,SETORES!$A:$A,0))</f>
        <v/>
      </c>
      <c r="C1116" s="110" t="inlineStr">
        <is>
          <t>DTEL (uso próprio)</t>
        </is>
      </c>
      <c r="D1116" s="88">
        <f>IF(B1116="Clientes",SUMIFS(PARÂMETROS!$D$8:$D$907,PARÂMETROS!$A$8:$A$907,C1116,PARÂMETROS!$G$8:$G$907,J1116),SUMIFS(PARÂMETROS!$E$8:$E$907,PARÂMETROS!$A$8:$A$907,C1116,PARÂMETROS!$G$8:$G$907,J1116))</f>
        <v/>
      </c>
      <c r="E1116" s="89">
        <f>SUMIFS(SETORES!$D:$D,SETORES!$A:$A,A1116,SETORES!$F:$F,J1116)</f>
        <v/>
      </c>
      <c r="F1116" s="89">
        <f>IFERROR(D1116*E1116,0)</f>
        <v/>
      </c>
      <c r="G1116" s="88">
        <f>SUMIFS(PARÂMETROS!$F$8:$F$907,PARÂMETROS!$A$8:$A$907,C1116,PARÂMETROS!$G$8:$G$907,J1116)</f>
        <v/>
      </c>
      <c r="H1116" s="89">
        <f>IFERROR(F1116*G1116,0)</f>
        <v/>
      </c>
      <c r="I1116" s="89">
        <f>F1116+H1116</f>
        <v/>
      </c>
      <c r="J1116" s="110" t="inlineStr">
        <is>
          <t>Agosto/2026</t>
        </is>
      </c>
    </row>
    <row r="1117" ht="14.25" customHeight="1" s="64">
      <c r="A1117" s="110" t="inlineStr">
        <is>
          <t>Cozinha</t>
        </is>
      </c>
      <c r="B1117" s="110">
        <f>INDEX(SETORES!$B:$B,MATCH(A1117,SETORES!$A:$A,0))</f>
        <v/>
      </c>
      <c r="C1117" s="110" t="inlineStr">
        <is>
          <t>Empresa Licenciada DX2</t>
        </is>
      </c>
      <c r="D1117" s="88">
        <f>IF(B1117="Clientes",SUMIFS(PARÂMETROS!$D$8:$D$907,PARÂMETROS!$A$8:$A$907,C1117,PARÂMETROS!$G$8:$G$907,J1117),SUMIFS(PARÂMETROS!$E$8:$E$907,PARÂMETROS!$A$8:$A$907,C1117,PARÂMETROS!$G$8:$G$907,J1117))</f>
        <v/>
      </c>
      <c r="E1117" s="89">
        <f>SUMIFS(SETORES!$D:$D,SETORES!$A:$A,A1117,SETORES!$F:$F,J1117)</f>
        <v/>
      </c>
      <c r="F1117" s="89">
        <f>IFERROR(D1117*E1117,0)</f>
        <v/>
      </c>
      <c r="G1117" s="88">
        <f>SUMIFS(PARÂMETROS!$F$8:$F$907,PARÂMETROS!$A$8:$A$907,C1117,PARÂMETROS!$G$8:$G$907,J1117)</f>
        <v/>
      </c>
      <c r="H1117" s="89">
        <f>IFERROR(F1117*G1117,0)</f>
        <v/>
      </c>
      <c r="I1117" s="89">
        <f>F1117+H1117</f>
        <v/>
      </c>
      <c r="J1117" s="110" t="inlineStr">
        <is>
          <t>Agosto/2026</t>
        </is>
      </c>
    </row>
    <row r="1118" ht="14.25" customHeight="1" s="64">
      <c r="A1118" s="110" t="inlineStr">
        <is>
          <t>Cozinha</t>
        </is>
      </c>
      <c r="B1118" s="110">
        <f>INDEX(SETORES!$B:$B,MATCH(A1118,SETORES!$A:$A,0))</f>
        <v/>
      </c>
      <c r="C1118" s="110" t="inlineStr">
        <is>
          <t>Empresa Licenciada H&amp;A</t>
        </is>
      </c>
      <c r="D1118" s="88">
        <f>IF(B1118="Clientes",SUMIFS(PARÂMETROS!$D$8:$D$907,PARÂMETROS!$A$8:$A$907,C1118,PARÂMETROS!$G$8:$G$907,J1118),SUMIFS(PARÂMETROS!$E$8:$E$907,PARÂMETROS!$A$8:$A$907,C1118,PARÂMETROS!$G$8:$G$907,J1118))</f>
        <v/>
      </c>
      <c r="E1118" s="89">
        <f>SUMIFS(SETORES!$D:$D,SETORES!$A:$A,A1118,SETORES!$F:$F,J1118)</f>
        <v/>
      </c>
      <c r="F1118" s="89">
        <f>IFERROR(D1118*E1118,0)</f>
        <v/>
      </c>
      <c r="G1118" s="88">
        <f>SUMIFS(PARÂMETROS!$F$8:$F$907,PARÂMETROS!$A$8:$A$907,C1118,PARÂMETROS!$G$8:$G$907,J1118)</f>
        <v/>
      </c>
      <c r="H1118" s="89">
        <f>IFERROR(F1118*G1118,0)</f>
        <v/>
      </c>
      <c r="I1118" s="89">
        <f>F1118+H1118</f>
        <v/>
      </c>
      <c r="J1118" s="110" t="inlineStr">
        <is>
          <t>Agosto/2026</t>
        </is>
      </c>
    </row>
    <row r="1119" ht="14.25" customHeight="1" s="64">
      <c r="A1119" s="110" t="inlineStr">
        <is>
          <t>Cozinha</t>
        </is>
      </c>
      <c r="B1119" s="110">
        <f>INDEX(SETORES!$B:$B,MATCH(A1119,SETORES!$A:$A,0))</f>
        <v/>
      </c>
      <c r="C1119" s="110" t="inlineStr">
        <is>
          <t>Empresa Licenciada SOLON ARAUJO</t>
        </is>
      </c>
      <c r="D1119" s="88">
        <f>IF(B1119="Clientes",SUMIFS(PARÂMETROS!$D$8:$D$907,PARÂMETROS!$A$8:$A$907,C1119,PARÂMETROS!$G$8:$G$907,J1119),SUMIFS(PARÂMETROS!$E$8:$E$907,PARÂMETROS!$A$8:$A$907,C1119,PARÂMETROS!$G$8:$G$907,J1119))</f>
        <v/>
      </c>
      <c r="E1119" s="89">
        <f>SUMIFS(SETORES!$D:$D,SETORES!$A:$A,A1119,SETORES!$F:$F,J1119)</f>
        <v/>
      </c>
      <c r="F1119" s="89">
        <f>IFERROR(D1119*E1119,0)</f>
        <v/>
      </c>
      <c r="G1119" s="88">
        <f>SUMIFS(PARÂMETROS!$F$8:$F$907,PARÂMETROS!$A$8:$A$907,C1119,PARÂMETROS!$G$8:$G$907,J1119)</f>
        <v/>
      </c>
      <c r="H1119" s="89">
        <f>IFERROR(F1119*G1119,0)</f>
        <v/>
      </c>
      <c r="I1119" s="89">
        <f>F1119+H1119</f>
        <v/>
      </c>
      <c r="J1119" s="110" t="inlineStr">
        <is>
          <t>Agosto/2026</t>
        </is>
      </c>
    </row>
    <row r="1120" ht="14.25" customHeight="1" s="64">
      <c r="A1120" s="110" t="inlineStr">
        <is>
          <t>Cozinha</t>
        </is>
      </c>
      <c r="B1120" s="110">
        <f>INDEX(SETORES!$B:$B,MATCH(A1120,SETORES!$A:$A,0))</f>
        <v/>
      </c>
      <c r="C1120" s="110" t="inlineStr">
        <is>
          <t>Empresa Licenciada SOARES E LINS</t>
        </is>
      </c>
      <c r="D1120" s="88">
        <f>IF(B1120="Clientes",SUMIFS(PARÂMETROS!$D$8:$D$907,PARÂMETROS!$A$8:$A$907,C1120,PARÂMETROS!$G$8:$G$907,J1120),SUMIFS(PARÂMETROS!$E$8:$E$907,PARÂMETROS!$A$8:$A$907,C1120,PARÂMETROS!$G$8:$G$907,J1120))</f>
        <v/>
      </c>
      <c r="E1120" s="89">
        <f>SUMIFS(SETORES!$D:$D,SETORES!$A:$A,A1120,SETORES!$F:$F,J1120)</f>
        <v/>
      </c>
      <c r="F1120" s="89">
        <f>IFERROR(D1120*E1120,0)</f>
        <v/>
      </c>
      <c r="G1120" s="88">
        <f>SUMIFS(PARÂMETROS!$F$8:$F$907,PARÂMETROS!$A$8:$A$907,C1120,PARÂMETROS!$G$8:$G$907,J1120)</f>
        <v/>
      </c>
      <c r="H1120" s="89">
        <f>IFERROR(F1120*G1120,0)</f>
        <v/>
      </c>
      <c r="I1120" s="89">
        <f>F1120+H1120</f>
        <v/>
      </c>
      <c r="J1120" s="110" t="inlineStr">
        <is>
          <t>Agosto/2026</t>
        </is>
      </c>
    </row>
    <row r="1121" ht="14.25" customHeight="1" s="64">
      <c r="A1121" s="110" t="inlineStr">
        <is>
          <t>Cozinha</t>
        </is>
      </c>
      <c r="B1121" s="110">
        <f>INDEX(SETORES!$B:$B,MATCH(A1121,SETORES!$A:$A,0))</f>
        <v/>
      </c>
      <c r="C1121" s="110" t="inlineStr">
        <is>
          <t>Empresa Licenciada SOARES E SILVA</t>
        </is>
      </c>
      <c r="D1121" s="88">
        <f>IF(B1121="Clientes",SUMIFS(PARÂMETROS!$D$8:$D$907,PARÂMETROS!$A$8:$A$907,C1121,PARÂMETROS!$G$8:$G$907,J1121),SUMIFS(PARÂMETROS!$E$8:$E$907,PARÂMETROS!$A$8:$A$907,C1121,PARÂMETROS!$G$8:$G$907,J1121))</f>
        <v/>
      </c>
      <c r="E1121" s="89">
        <f>SUMIFS(SETORES!$D:$D,SETORES!$A:$A,A1121,SETORES!$F:$F,J1121)</f>
        <v/>
      </c>
      <c r="F1121" s="89">
        <f>IFERROR(D1121*E1121,0)</f>
        <v/>
      </c>
      <c r="G1121" s="88">
        <f>SUMIFS(PARÂMETROS!$F$8:$F$907,PARÂMETROS!$A$8:$A$907,C1121,PARÂMETROS!$G$8:$G$907,J1121)</f>
        <v/>
      </c>
      <c r="H1121" s="89">
        <f>IFERROR(F1121*G1121,0)</f>
        <v/>
      </c>
      <c r="I1121" s="89">
        <f>F1121+H1121</f>
        <v/>
      </c>
      <c r="J1121" s="110" t="inlineStr">
        <is>
          <t>Agosto/2026</t>
        </is>
      </c>
    </row>
    <row r="1122" ht="14.25" customHeight="1" s="64">
      <c r="A1122" s="110" t="inlineStr">
        <is>
          <t>Cozinha</t>
        </is>
      </c>
      <c r="B1122" s="110">
        <f>INDEX(SETORES!$B:$B,MATCH(A1122,SETORES!$A:$A,0))</f>
        <v/>
      </c>
      <c r="C1122" s="110" t="inlineStr">
        <is>
          <t>Empresa Licenciada SOUZA E SILVA</t>
        </is>
      </c>
      <c r="D1122" s="88">
        <f>IF(B1122="Clientes",SUMIFS(PARÂMETROS!$D$8:$D$907,PARÂMETROS!$A$8:$A$907,C1122,PARÂMETROS!$G$8:$G$907,J1122),SUMIFS(PARÂMETROS!$E$8:$E$907,PARÂMETROS!$A$8:$A$907,C1122,PARÂMETROS!$G$8:$G$907,J1122))</f>
        <v/>
      </c>
      <c r="E1122" s="89">
        <f>SUMIFS(SETORES!$D:$D,SETORES!$A:$A,A1122,SETORES!$F:$F,J1122)</f>
        <v/>
      </c>
      <c r="F1122" s="89">
        <f>IFERROR(D1122*E1122,0)</f>
        <v/>
      </c>
      <c r="G1122" s="88">
        <f>SUMIFS(PARÂMETROS!$F$8:$F$907,PARÂMETROS!$A$8:$A$907,C1122,PARÂMETROS!$G$8:$G$907,J1122)</f>
        <v/>
      </c>
      <c r="H1122" s="89">
        <f>IFERROR(F1122*G1122,0)</f>
        <v/>
      </c>
      <c r="I1122" s="89">
        <f>F1122+H1122</f>
        <v/>
      </c>
      <c r="J1122" s="110" t="inlineStr">
        <is>
          <t>Agosto/2026</t>
        </is>
      </c>
    </row>
    <row r="1123" ht="14.25" customHeight="1" s="64">
      <c r="A1123" s="110" t="inlineStr">
        <is>
          <t>Cozinha</t>
        </is>
      </c>
      <c r="B1123" s="110">
        <f>INDEX(SETORES!$B:$B,MATCH(A1123,SETORES!$A:$A,0))</f>
        <v/>
      </c>
      <c r="C1123" s="110" t="inlineStr">
        <is>
          <t>Empresa Licenciada VOICENET</t>
        </is>
      </c>
      <c r="D1123" s="88">
        <f>IF(B1123="Clientes",SUMIFS(PARÂMETROS!$D$8:$D$907,PARÂMETROS!$A$8:$A$907,C1123,PARÂMETROS!$G$8:$G$907,J1123),SUMIFS(PARÂMETROS!$E$8:$E$907,PARÂMETROS!$A$8:$A$907,C1123,PARÂMETROS!$G$8:$G$907,J1123))</f>
        <v/>
      </c>
      <c r="E1123" s="89">
        <f>SUMIFS(SETORES!$D:$D,SETORES!$A:$A,A1123,SETORES!$F:$F,J1123)</f>
        <v/>
      </c>
      <c r="F1123" s="89">
        <f>IFERROR(D1123*E1123,0)</f>
        <v/>
      </c>
      <c r="G1123" s="88">
        <f>SUMIFS(PARÂMETROS!$F$8:$F$907,PARÂMETROS!$A$8:$A$907,C1123,PARÂMETROS!$G$8:$G$907,J1123)</f>
        <v/>
      </c>
      <c r="H1123" s="89">
        <f>IFERROR(F1123*G1123,0)</f>
        <v/>
      </c>
      <c r="I1123" s="89">
        <f>F1123+H1123</f>
        <v/>
      </c>
      <c r="J1123" s="110" t="inlineStr">
        <is>
          <t>Agosto/2026</t>
        </is>
      </c>
    </row>
    <row r="1124" ht="14.25" customHeight="1" s="64">
      <c r="A1124" s="110" t="inlineStr">
        <is>
          <t>Cozinha</t>
        </is>
      </c>
      <c r="B1124" s="110">
        <f>INDEX(SETORES!$B:$B,MATCH(A1124,SETORES!$A:$A,0))</f>
        <v/>
      </c>
      <c r="C1124" s="110" t="inlineStr">
        <is>
          <t>DTEL (uso próprio)</t>
        </is>
      </c>
      <c r="D1124" s="88">
        <f>IF(B1124="Clientes",SUMIFS(PARÂMETROS!$D$8:$D$907,PARÂMETROS!$A$8:$A$907,C1124,PARÂMETROS!$G$8:$G$907,J1124),SUMIFS(PARÂMETROS!$E$8:$E$907,PARÂMETROS!$A$8:$A$907,C1124,PARÂMETROS!$G$8:$G$907,J1124))</f>
        <v/>
      </c>
      <c r="E1124" s="89">
        <f>SUMIFS(SETORES!$D:$D,SETORES!$A:$A,A1124,SETORES!$F:$F,J1124)</f>
        <v/>
      </c>
      <c r="F1124" s="89">
        <f>IFERROR(D1124*E1124,0)</f>
        <v/>
      </c>
      <c r="G1124" s="88">
        <f>SUMIFS(PARÂMETROS!$F$8:$F$907,PARÂMETROS!$A$8:$A$907,C1124,PARÂMETROS!$G$8:$G$907,J1124)</f>
        <v/>
      </c>
      <c r="H1124" s="89">
        <f>IFERROR(F1124*G1124,0)</f>
        <v/>
      </c>
      <c r="I1124" s="89">
        <f>F1124+H1124</f>
        <v/>
      </c>
      <c r="J1124" s="110" t="inlineStr">
        <is>
          <t>Agosto/2026</t>
        </is>
      </c>
    </row>
    <row r="1125" ht="14.25" customHeight="1" s="64">
      <c r="A1125" s="110" t="inlineStr">
        <is>
          <t>Diretoria Adm</t>
        </is>
      </c>
      <c r="B1125" s="110">
        <f>INDEX(SETORES!$B:$B,MATCH(A1125,SETORES!$A:$A,0))</f>
        <v/>
      </c>
      <c r="C1125" s="110" t="inlineStr">
        <is>
          <t>Empresa Licenciada DX2</t>
        </is>
      </c>
      <c r="D1125" s="88">
        <f>IF(B1125="Clientes",SUMIFS(PARÂMETROS!$D$8:$D$907,PARÂMETROS!$A$8:$A$907,C1125,PARÂMETROS!$G$8:$G$907,J1125),SUMIFS(PARÂMETROS!$E$8:$E$907,PARÂMETROS!$A$8:$A$907,C1125,PARÂMETROS!$G$8:$G$907,J1125))</f>
        <v/>
      </c>
      <c r="E1125" s="89">
        <f>SUMIFS(SETORES!$D:$D,SETORES!$A:$A,A1125,SETORES!$F:$F,J1125)</f>
        <v/>
      </c>
      <c r="F1125" s="89">
        <f>IFERROR(D1125*E1125,0)</f>
        <v/>
      </c>
      <c r="G1125" s="88">
        <f>SUMIFS(PARÂMETROS!$F$8:$F$907,PARÂMETROS!$A$8:$A$907,C1125,PARÂMETROS!$G$8:$G$907,J1125)</f>
        <v/>
      </c>
      <c r="H1125" s="89">
        <f>IFERROR(F1125*G1125,0)</f>
        <v/>
      </c>
      <c r="I1125" s="89">
        <f>F1125+H1125</f>
        <v/>
      </c>
      <c r="J1125" s="110" t="inlineStr">
        <is>
          <t>Agosto/2026</t>
        </is>
      </c>
    </row>
    <row r="1126" ht="14.25" customHeight="1" s="64">
      <c r="A1126" s="110" t="inlineStr">
        <is>
          <t>Diretoria Adm</t>
        </is>
      </c>
      <c r="B1126" s="110">
        <f>INDEX(SETORES!$B:$B,MATCH(A1126,SETORES!$A:$A,0))</f>
        <v/>
      </c>
      <c r="C1126" s="110" t="inlineStr">
        <is>
          <t>Empresa Licenciada H&amp;A</t>
        </is>
      </c>
      <c r="D1126" s="88">
        <f>IF(B1126="Clientes",SUMIFS(PARÂMETROS!$D$8:$D$907,PARÂMETROS!$A$8:$A$907,C1126,PARÂMETROS!$G$8:$G$907,J1126),SUMIFS(PARÂMETROS!$E$8:$E$907,PARÂMETROS!$A$8:$A$907,C1126,PARÂMETROS!$G$8:$G$907,J1126))</f>
        <v/>
      </c>
      <c r="E1126" s="89">
        <f>SUMIFS(SETORES!$D:$D,SETORES!$A:$A,A1126,SETORES!$F:$F,J1126)</f>
        <v/>
      </c>
      <c r="F1126" s="89">
        <f>IFERROR(D1126*E1126,0)</f>
        <v/>
      </c>
      <c r="G1126" s="88">
        <f>SUMIFS(PARÂMETROS!$F$8:$F$907,PARÂMETROS!$A$8:$A$907,C1126,PARÂMETROS!$G$8:$G$907,J1126)</f>
        <v/>
      </c>
      <c r="H1126" s="89">
        <f>IFERROR(F1126*G1126,0)</f>
        <v/>
      </c>
      <c r="I1126" s="89">
        <f>F1126+H1126</f>
        <v/>
      </c>
      <c r="J1126" s="110" t="inlineStr">
        <is>
          <t>Agosto/2026</t>
        </is>
      </c>
    </row>
    <row r="1127" ht="14.25" customHeight="1" s="64">
      <c r="A1127" s="110" t="inlineStr">
        <is>
          <t>Diretoria Adm</t>
        </is>
      </c>
      <c r="B1127" s="110">
        <f>INDEX(SETORES!$B:$B,MATCH(A1127,SETORES!$A:$A,0))</f>
        <v/>
      </c>
      <c r="C1127" s="110" t="inlineStr">
        <is>
          <t>Empresa Licenciada SOLON ARAUJO</t>
        </is>
      </c>
      <c r="D1127" s="88">
        <f>IF(B1127="Clientes",SUMIFS(PARÂMETROS!$D$8:$D$907,PARÂMETROS!$A$8:$A$907,C1127,PARÂMETROS!$G$8:$G$907,J1127),SUMIFS(PARÂMETROS!$E$8:$E$907,PARÂMETROS!$A$8:$A$907,C1127,PARÂMETROS!$G$8:$G$907,J1127))</f>
        <v/>
      </c>
      <c r="E1127" s="89">
        <f>SUMIFS(SETORES!$D:$D,SETORES!$A:$A,A1127,SETORES!$F:$F,J1127)</f>
        <v/>
      </c>
      <c r="F1127" s="89">
        <f>IFERROR(D1127*E1127,0)</f>
        <v/>
      </c>
      <c r="G1127" s="88">
        <f>SUMIFS(PARÂMETROS!$F$8:$F$907,PARÂMETROS!$A$8:$A$907,C1127,PARÂMETROS!$G$8:$G$907,J1127)</f>
        <v/>
      </c>
      <c r="H1127" s="89">
        <f>IFERROR(F1127*G1127,0)</f>
        <v/>
      </c>
      <c r="I1127" s="89">
        <f>F1127+H1127</f>
        <v/>
      </c>
      <c r="J1127" s="110" t="inlineStr">
        <is>
          <t>Agosto/2026</t>
        </is>
      </c>
    </row>
    <row r="1128" ht="14.25" customHeight="1" s="64">
      <c r="A1128" s="110" t="inlineStr">
        <is>
          <t>Diretoria Adm</t>
        </is>
      </c>
      <c r="B1128" s="110">
        <f>INDEX(SETORES!$B:$B,MATCH(A1128,SETORES!$A:$A,0))</f>
        <v/>
      </c>
      <c r="C1128" s="110" t="inlineStr">
        <is>
          <t>Empresa Licenciada SOARES E LINS</t>
        </is>
      </c>
      <c r="D1128" s="88">
        <f>IF(B1128="Clientes",SUMIFS(PARÂMETROS!$D$8:$D$907,PARÂMETROS!$A$8:$A$907,C1128,PARÂMETROS!$G$8:$G$907,J1128),SUMIFS(PARÂMETROS!$E$8:$E$907,PARÂMETROS!$A$8:$A$907,C1128,PARÂMETROS!$G$8:$G$907,J1128))</f>
        <v/>
      </c>
      <c r="E1128" s="89">
        <f>SUMIFS(SETORES!$D:$D,SETORES!$A:$A,A1128,SETORES!$F:$F,J1128)</f>
        <v/>
      </c>
      <c r="F1128" s="89">
        <f>IFERROR(D1128*E1128,0)</f>
        <v/>
      </c>
      <c r="G1128" s="88">
        <f>SUMIFS(PARÂMETROS!$F$8:$F$907,PARÂMETROS!$A$8:$A$907,C1128,PARÂMETROS!$G$8:$G$907,J1128)</f>
        <v/>
      </c>
      <c r="H1128" s="89">
        <f>IFERROR(F1128*G1128,0)</f>
        <v/>
      </c>
      <c r="I1128" s="89">
        <f>F1128+H1128</f>
        <v/>
      </c>
      <c r="J1128" s="110" t="inlineStr">
        <is>
          <t>Agosto/2026</t>
        </is>
      </c>
    </row>
    <row r="1129" ht="14.25" customHeight="1" s="64">
      <c r="A1129" s="110" t="inlineStr">
        <is>
          <t>Diretoria Adm</t>
        </is>
      </c>
      <c r="B1129" s="110">
        <f>INDEX(SETORES!$B:$B,MATCH(A1129,SETORES!$A:$A,0))</f>
        <v/>
      </c>
      <c r="C1129" s="110" t="inlineStr">
        <is>
          <t>Empresa Licenciada SOARES E SILVA</t>
        </is>
      </c>
      <c r="D1129" s="88">
        <f>IF(B1129="Clientes",SUMIFS(PARÂMETROS!$D$8:$D$907,PARÂMETROS!$A$8:$A$907,C1129,PARÂMETROS!$G$8:$G$907,J1129),SUMIFS(PARÂMETROS!$E$8:$E$907,PARÂMETROS!$A$8:$A$907,C1129,PARÂMETROS!$G$8:$G$907,J1129))</f>
        <v/>
      </c>
      <c r="E1129" s="89">
        <f>SUMIFS(SETORES!$D:$D,SETORES!$A:$A,A1129,SETORES!$F:$F,J1129)</f>
        <v/>
      </c>
      <c r="F1129" s="89">
        <f>IFERROR(D1129*E1129,0)</f>
        <v/>
      </c>
      <c r="G1129" s="88">
        <f>SUMIFS(PARÂMETROS!$F$8:$F$907,PARÂMETROS!$A$8:$A$907,C1129,PARÂMETROS!$G$8:$G$907,J1129)</f>
        <v/>
      </c>
      <c r="H1129" s="89">
        <f>IFERROR(F1129*G1129,0)</f>
        <v/>
      </c>
      <c r="I1129" s="89">
        <f>F1129+H1129</f>
        <v/>
      </c>
      <c r="J1129" s="110" t="inlineStr">
        <is>
          <t>Agosto/2026</t>
        </is>
      </c>
    </row>
    <row r="1130" ht="14.25" customHeight="1" s="64">
      <c r="A1130" s="110" t="inlineStr">
        <is>
          <t>Diretoria Adm</t>
        </is>
      </c>
      <c r="B1130" s="110">
        <f>INDEX(SETORES!$B:$B,MATCH(A1130,SETORES!$A:$A,0))</f>
        <v/>
      </c>
      <c r="C1130" s="110" t="inlineStr">
        <is>
          <t>Empresa Licenciada SOUZA E SILVA</t>
        </is>
      </c>
      <c r="D1130" s="88">
        <f>IF(B1130="Clientes",SUMIFS(PARÂMETROS!$D$8:$D$907,PARÂMETROS!$A$8:$A$907,C1130,PARÂMETROS!$G$8:$G$907,J1130),SUMIFS(PARÂMETROS!$E$8:$E$907,PARÂMETROS!$A$8:$A$907,C1130,PARÂMETROS!$G$8:$G$907,J1130))</f>
        <v/>
      </c>
      <c r="E1130" s="89">
        <f>SUMIFS(SETORES!$D:$D,SETORES!$A:$A,A1130,SETORES!$F:$F,J1130)</f>
        <v/>
      </c>
      <c r="F1130" s="89">
        <f>IFERROR(D1130*E1130,0)</f>
        <v/>
      </c>
      <c r="G1130" s="88">
        <f>SUMIFS(PARÂMETROS!$F$8:$F$907,PARÂMETROS!$A$8:$A$907,C1130,PARÂMETROS!$G$8:$G$907,J1130)</f>
        <v/>
      </c>
      <c r="H1130" s="89">
        <f>IFERROR(F1130*G1130,0)</f>
        <v/>
      </c>
      <c r="I1130" s="89">
        <f>F1130+H1130</f>
        <v/>
      </c>
      <c r="J1130" s="110" t="inlineStr">
        <is>
          <t>Agosto/2026</t>
        </is>
      </c>
    </row>
    <row r="1131" ht="14.25" customHeight="1" s="64">
      <c r="A1131" s="110" t="inlineStr">
        <is>
          <t>Diretoria Adm</t>
        </is>
      </c>
      <c r="B1131" s="110">
        <f>INDEX(SETORES!$B:$B,MATCH(A1131,SETORES!$A:$A,0))</f>
        <v/>
      </c>
      <c r="C1131" s="110" t="inlineStr">
        <is>
          <t>Empresa Licenciada VOICENET</t>
        </is>
      </c>
      <c r="D1131" s="88">
        <f>IF(B1131="Clientes",SUMIFS(PARÂMETROS!$D$8:$D$907,PARÂMETROS!$A$8:$A$907,C1131,PARÂMETROS!$G$8:$G$907,J1131),SUMIFS(PARÂMETROS!$E$8:$E$907,PARÂMETROS!$A$8:$A$907,C1131,PARÂMETROS!$G$8:$G$907,J1131))</f>
        <v/>
      </c>
      <c r="E1131" s="89">
        <f>SUMIFS(SETORES!$D:$D,SETORES!$A:$A,A1131,SETORES!$F:$F,J1131)</f>
        <v/>
      </c>
      <c r="F1131" s="89">
        <f>IFERROR(D1131*E1131,0)</f>
        <v/>
      </c>
      <c r="G1131" s="88">
        <f>SUMIFS(PARÂMETROS!$F$8:$F$907,PARÂMETROS!$A$8:$A$907,C1131,PARÂMETROS!$G$8:$G$907,J1131)</f>
        <v/>
      </c>
      <c r="H1131" s="89">
        <f>IFERROR(F1131*G1131,0)</f>
        <v/>
      </c>
      <c r="I1131" s="89">
        <f>F1131+H1131</f>
        <v/>
      </c>
      <c r="J1131" s="110" t="inlineStr">
        <is>
          <t>Agosto/2026</t>
        </is>
      </c>
    </row>
    <row r="1132" ht="14.25" customHeight="1" s="64">
      <c r="A1132" s="110" t="inlineStr">
        <is>
          <t>Diretoria Adm</t>
        </is>
      </c>
      <c r="B1132" s="110">
        <f>INDEX(SETORES!$B:$B,MATCH(A1132,SETORES!$A:$A,0))</f>
        <v/>
      </c>
      <c r="C1132" s="110" t="inlineStr">
        <is>
          <t>DTEL (uso próprio)</t>
        </is>
      </c>
      <c r="D1132" s="88">
        <f>IF(B1132="Clientes",SUMIFS(PARÂMETROS!$D$8:$D$907,PARÂMETROS!$A$8:$A$907,C1132,PARÂMETROS!$G$8:$G$907,J1132),SUMIFS(PARÂMETROS!$E$8:$E$907,PARÂMETROS!$A$8:$A$907,C1132,PARÂMETROS!$G$8:$G$907,J1132))</f>
        <v/>
      </c>
      <c r="E1132" s="89">
        <f>SUMIFS(SETORES!$D:$D,SETORES!$A:$A,A1132,SETORES!$F:$F,J1132)</f>
        <v/>
      </c>
      <c r="F1132" s="89">
        <f>IFERROR(D1132*E1132,0)</f>
        <v/>
      </c>
      <c r="G1132" s="88">
        <f>SUMIFS(PARÂMETROS!$F$8:$F$907,PARÂMETROS!$A$8:$A$907,C1132,PARÂMETROS!$G$8:$G$907,J1132)</f>
        <v/>
      </c>
      <c r="H1132" s="89">
        <f>IFERROR(F1132*G1132,0)</f>
        <v/>
      </c>
      <c r="I1132" s="89">
        <f>F1132+H1132</f>
        <v/>
      </c>
      <c r="J1132" s="110" t="inlineStr">
        <is>
          <t>Agosto/2026</t>
        </is>
      </c>
    </row>
    <row r="1133" ht="14.25" customHeight="1" s="64">
      <c r="A1133" s="110" t="inlineStr">
        <is>
          <t>Fique Móvel</t>
        </is>
      </c>
      <c r="B1133" s="110">
        <f>INDEX(SETORES!$B:$B,MATCH(A1133,SETORES!$A:$A,0))</f>
        <v/>
      </c>
      <c r="C1133" s="110" t="inlineStr">
        <is>
          <t>Empresa Licenciada DX2</t>
        </is>
      </c>
      <c r="D1133" s="88">
        <f>IF(B1133="Clientes",SUMIFS(PARÂMETROS!$D$8:$D$907,PARÂMETROS!$A$8:$A$907,C1133,PARÂMETROS!$G$8:$G$907,J1133),SUMIFS(PARÂMETROS!$E$8:$E$907,PARÂMETROS!$A$8:$A$907,C1133,PARÂMETROS!$G$8:$G$907,J1133))</f>
        <v/>
      </c>
      <c r="E1133" s="89">
        <f>SUMIFS(SETORES!$D:$D,SETORES!$A:$A,A1133,SETORES!$F:$F,J1133)</f>
        <v/>
      </c>
      <c r="F1133" s="89">
        <f>IFERROR(D1133*E1133,0)</f>
        <v/>
      </c>
      <c r="G1133" s="88">
        <f>SUMIFS(PARÂMETROS!$F$8:$F$907,PARÂMETROS!$A$8:$A$907,C1133,PARÂMETROS!$G$8:$G$907,J1133)</f>
        <v/>
      </c>
      <c r="H1133" s="89">
        <f>IFERROR(F1133*G1133,0)</f>
        <v/>
      </c>
      <c r="I1133" s="89">
        <f>F1133+H1133</f>
        <v/>
      </c>
      <c r="J1133" s="110" t="inlineStr">
        <is>
          <t>Agosto/2026</t>
        </is>
      </c>
    </row>
    <row r="1134" ht="14.25" customHeight="1" s="64">
      <c r="A1134" s="110" t="inlineStr">
        <is>
          <t>Fique Móvel</t>
        </is>
      </c>
      <c r="B1134" s="110">
        <f>INDEX(SETORES!$B:$B,MATCH(A1134,SETORES!$A:$A,0))</f>
        <v/>
      </c>
      <c r="C1134" s="110" t="inlineStr">
        <is>
          <t>Empresa Licenciada H&amp;A</t>
        </is>
      </c>
      <c r="D1134" s="88">
        <f>IF(B1134="Clientes",SUMIFS(PARÂMETROS!$D$8:$D$907,PARÂMETROS!$A$8:$A$907,C1134,PARÂMETROS!$G$8:$G$907,J1134),SUMIFS(PARÂMETROS!$E$8:$E$907,PARÂMETROS!$A$8:$A$907,C1134,PARÂMETROS!$G$8:$G$907,J1134))</f>
        <v/>
      </c>
      <c r="E1134" s="89">
        <f>SUMIFS(SETORES!$D:$D,SETORES!$A:$A,A1134,SETORES!$F:$F,J1134)</f>
        <v/>
      </c>
      <c r="F1134" s="89">
        <f>IFERROR(D1134*E1134,0)</f>
        <v/>
      </c>
      <c r="G1134" s="88">
        <f>SUMIFS(PARÂMETROS!$F$8:$F$907,PARÂMETROS!$A$8:$A$907,C1134,PARÂMETROS!$G$8:$G$907,J1134)</f>
        <v/>
      </c>
      <c r="H1134" s="89">
        <f>IFERROR(F1134*G1134,0)</f>
        <v/>
      </c>
      <c r="I1134" s="89">
        <f>F1134+H1134</f>
        <v/>
      </c>
      <c r="J1134" s="110" t="inlineStr">
        <is>
          <t>Agosto/2026</t>
        </is>
      </c>
    </row>
    <row r="1135" ht="14.25" customHeight="1" s="64">
      <c r="A1135" s="110" t="inlineStr">
        <is>
          <t>Fique Móvel</t>
        </is>
      </c>
      <c r="B1135" s="110">
        <f>INDEX(SETORES!$B:$B,MATCH(A1135,SETORES!$A:$A,0))</f>
        <v/>
      </c>
      <c r="C1135" s="110" t="inlineStr">
        <is>
          <t>Empresa Licenciada SOLON ARAUJO</t>
        </is>
      </c>
      <c r="D1135" s="88">
        <f>IF(B1135="Clientes",SUMIFS(PARÂMETROS!$D$8:$D$907,PARÂMETROS!$A$8:$A$907,C1135,PARÂMETROS!$G$8:$G$907,J1135),SUMIFS(PARÂMETROS!$E$8:$E$907,PARÂMETROS!$A$8:$A$907,C1135,PARÂMETROS!$G$8:$G$907,J1135))</f>
        <v/>
      </c>
      <c r="E1135" s="89">
        <f>SUMIFS(SETORES!$D:$D,SETORES!$A:$A,A1135,SETORES!$F:$F,J1135)</f>
        <v/>
      </c>
      <c r="F1135" s="89">
        <f>IFERROR(D1135*E1135,0)</f>
        <v/>
      </c>
      <c r="G1135" s="88">
        <f>SUMIFS(PARÂMETROS!$F$8:$F$907,PARÂMETROS!$A$8:$A$907,C1135,PARÂMETROS!$G$8:$G$907,J1135)</f>
        <v/>
      </c>
      <c r="H1135" s="89">
        <f>IFERROR(F1135*G1135,0)</f>
        <v/>
      </c>
      <c r="I1135" s="89">
        <f>F1135+H1135</f>
        <v/>
      </c>
      <c r="J1135" s="110" t="inlineStr">
        <is>
          <t>Agosto/2026</t>
        </is>
      </c>
    </row>
    <row r="1136" ht="14.25" customHeight="1" s="64">
      <c r="A1136" s="110" t="inlineStr">
        <is>
          <t>Fique Móvel</t>
        </is>
      </c>
      <c r="B1136" s="110">
        <f>INDEX(SETORES!$B:$B,MATCH(A1136,SETORES!$A:$A,0))</f>
        <v/>
      </c>
      <c r="C1136" s="110" t="inlineStr">
        <is>
          <t>Empresa Licenciada SOARES E LINS</t>
        </is>
      </c>
      <c r="D1136" s="88">
        <f>IF(B1136="Clientes",SUMIFS(PARÂMETROS!$D$8:$D$907,PARÂMETROS!$A$8:$A$907,C1136,PARÂMETROS!$G$8:$G$907,J1136),SUMIFS(PARÂMETROS!$E$8:$E$907,PARÂMETROS!$A$8:$A$907,C1136,PARÂMETROS!$G$8:$G$907,J1136))</f>
        <v/>
      </c>
      <c r="E1136" s="89">
        <f>SUMIFS(SETORES!$D:$D,SETORES!$A:$A,A1136,SETORES!$F:$F,J1136)</f>
        <v/>
      </c>
      <c r="F1136" s="89">
        <f>IFERROR(D1136*E1136,0)</f>
        <v/>
      </c>
      <c r="G1136" s="88">
        <f>SUMIFS(PARÂMETROS!$F$8:$F$907,PARÂMETROS!$A$8:$A$907,C1136,PARÂMETROS!$G$8:$G$907,J1136)</f>
        <v/>
      </c>
      <c r="H1136" s="89">
        <f>IFERROR(F1136*G1136,0)</f>
        <v/>
      </c>
      <c r="I1136" s="89">
        <f>F1136+H1136</f>
        <v/>
      </c>
      <c r="J1136" s="110" t="inlineStr">
        <is>
          <t>Agosto/2026</t>
        </is>
      </c>
    </row>
    <row r="1137" ht="14.25" customHeight="1" s="64">
      <c r="A1137" s="110" t="inlineStr">
        <is>
          <t>Fique Móvel</t>
        </is>
      </c>
      <c r="B1137" s="110">
        <f>INDEX(SETORES!$B:$B,MATCH(A1137,SETORES!$A:$A,0))</f>
        <v/>
      </c>
      <c r="C1137" s="110" t="inlineStr">
        <is>
          <t>Empresa Licenciada SOARES E SILVA</t>
        </is>
      </c>
      <c r="D1137" s="88">
        <f>IF(B1137="Clientes",SUMIFS(PARÂMETROS!$D$8:$D$907,PARÂMETROS!$A$8:$A$907,C1137,PARÂMETROS!$G$8:$G$907,J1137),SUMIFS(PARÂMETROS!$E$8:$E$907,PARÂMETROS!$A$8:$A$907,C1137,PARÂMETROS!$G$8:$G$907,J1137))</f>
        <v/>
      </c>
      <c r="E1137" s="89">
        <f>SUMIFS(SETORES!$D:$D,SETORES!$A:$A,A1137,SETORES!$F:$F,J1137)</f>
        <v/>
      </c>
      <c r="F1137" s="89">
        <f>IFERROR(D1137*E1137,0)</f>
        <v/>
      </c>
      <c r="G1137" s="88">
        <f>SUMIFS(PARÂMETROS!$F$8:$F$907,PARÂMETROS!$A$8:$A$907,C1137,PARÂMETROS!$G$8:$G$907,J1137)</f>
        <v/>
      </c>
      <c r="H1137" s="89">
        <f>IFERROR(F1137*G1137,0)</f>
        <v/>
      </c>
      <c r="I1137" s="89">
        <f>F1137+H1137</f>
        <v/>
      </c>
      <c r="J1137" s="110" t="inlineStr">
        <is>
          <t>Agosto/2026</t>
        </is>
      </c>
    </row>
    <row r="1138" ht="14.25" customHeight="1" s="64">
      <c r="A1138" s="110" t="inlineStr">
        <is>
          <t>Fique Móvel</t>
        </is>
      </c>
      <c r="B1138" s="110">
        <f>INDEX(SETORES!$B:$B,MATCH(A1138,SETORES!$A:$A,0))</f>
        <v/>
      </c>
      <c r="C1138" s="110" t="inlineStr">
        <is>
          <t>Empresa Licenciada SOUZA E SILVA</t>
        </is>
      </c>
      <c r="D1138" s="88">
        <f>IF(B1138="Clientes",SUMIFS(PARÂMETROS!$D$8:$D$907,PARÂMETROS!$A$8:$A$907,C1138,PARÂMETROS!$G$8:$G$907,J1138),SUMIFS(PARÂMETROS!$E$8:$E$907,PARÂMETROS!$A$8:$A$907,C1138,PARÂMETROS!$G$8:$G$907,J1138))</f>
        <v/>
      </c>
      <c r="E1138" s="89">
        <f>SUMIFS(SETORES!$D:$D,SETORES!$A:$A,A1138,SETORES!$F:$F,J1138)</f>
        <v/>
      </c>
      <c r="F1138" s="89">
        <f>IFERROR(D1138*E1138,0)</f>
        <v/>
      </c>
      <c r="G1138" s="88">
        <f>SUMIFS(PARÂMETROS!$F$8:$F$907,PARÂMETROS!$A$8:$A$907,C1138,PARÂMETROS!$G$8:$G$907,J1138)</f>
        <v/>
      </c>
      <c r="H1138" s="89">
        <f>IFERROR(F1138*G1138,0)</f>
        <v/>
      </c>
      <c r="I1138" s="89">
        <f>F1138+H1138</f>
        <v/>
      </c>
      <c r="J1138" s="110" t="inlineStr">
        <is>
          <t>Agosto/2026</t>
        </is>
      </c>
    </row>
    <row r="1139" ht="14.25" customHeight="1" s="64">
      <c r="A1139" s="110" t="inlineStr">
        <is>
          <t>Fique Móvel</t>
        </is>
      </c>
      <c r="B1139" s="110">
        <f>INDEX(SETORES!$B:$B,MATCH(A1139,SETORES!$A:$A,0))</f>
        <v/>
      </c>
      <c r="C1139" s="110" t="inlineStr">
        <is>
          <t>Empresa Licenciada VOICENET</t>
        </is>
      </c>
      <c r="D1139" s="88">
        <f>IF(B1139="Clientes",SUMIFS(PARÂMETROS!$D$8:$D$907,PARÂMETROS!$A$8:$A$907,C1139,PARÂMETROS!$G$8:$G$907,J1139),SUMIFS(PARÂMETROS!$E$8:$E$907,PARÂMETROS!$A$8:$A$907,C1139,PARÂMETROS!$G$8:$G$907,J1139))</f>
        <v/>
      </c>
      <c r="E1139" s="89">
        <f>SUMIFS(SETORES!$D:$D,SETORES!$A:$A,A1139,SETORES!$F:$F,J1139)</f>
        <v/>
      </c>
      <c r="F1139" s="89">
        <f>IFERROR(D1139*E1139,0)</f>
        <v/>
      </c>
      <c r="G1139" s="88">
        <f>SUMIFS(PARÂMETROS!$F$8:$F$907,PARÂMETROS!$A$8:$A$907,C1139,PARÂMETROS!$G$8:$G$907,J1139)</f>
        <v/>
      </c>
      <c r="H1139" s="89">
        <f>IFERROR(F1139*G1139,0)</f>
        <v/>
      </c>
      <c r="I1139" s="89">
        <f>F1139+H1139</f>
        <v/>
      </c>
      <c r="J1139" s="110" t="inlineStr">
        <is>
          <t>Agosto/2026</t>
        </is>
      </c>
    </row>
    <row r="1140" ht="14.25" customHeight="1" s="64">
      <c r="A1140" s="110" t="inlineStr">
        <is>
          <t>Fique Móvel</t>
        </is>
      </c>
      <c r="B1140" s="110">
        <f>INDEX(SETORES!$B:$B,MATCH(A1140,SETORES!$A:$A,0))</f>
        <v/>
      </c>
      <c r="C1140" s="110" t="inlineStr">
        <is>
          <t>DTEL (uso próprio)</t>
        </is>
      </c>
      <c r="D1140" s="88">
        <f>IF(B1140="Clientes",SUMIFS(PARÂMETROS!$D$8:$D$907,PARÂMETROS!$A$8:$A$907,C1140,PARÂMETROS!$G$8:$G$907,J1140),SUMIFS(PARÂMETROS!$E$8:$E$907,PARÂMETROS!$A$8:$A$907,C1140,PARÂMETROS!$G$8:$G$907,J1140))</f>
        <v/>
      </c>
      <c r="E1140" s="89">
        <f>SUMIFS(SETORES!$D:$D,SETORES!$A:$A,A1140,SETORES!$F:$F,J1140)</f>
        <v/>
      </c>
      <c r="F1140" s="89">
        <f>IFERROR(D1140*E1140,0)</f>
        <v/>
      </c>
      <c r="G1140" s="88">
        <f>SUMIFS(PARÂMETROS!$F$8:$F$907,PARÂMETROS!$A$8:$A$907,C1140,PARÂMETROS!$G$8:$G$907,J1140)</f>
        <v/>
      </c>
      <c r="H1140" s="89">
        <f>IFERROR(F1140*G1140,0)</f>
        <v/>
      </c>
      <c r="I1140" s="89">
        <f>F1140+H1140</f>
        <v/>
      </c>
      <c r="J1140" s="110" t="inlineStr">
        <is>
          <t>Agosto/2026</t>
        </is>
      </c>
    </row>
    <row r="1141" ht="14.25" customHeight="1" s="64">
      <c r="A1141" s="110" t="inlineStr">
        <is>
          <t>Fusão</t>
        </is>
      </c>
      <c r="B1141" s="110">
        <f>INDEX(SETORES!$B:$B,MATCH(A1141,SETORES!$A:$A,0))</f>
        <v/>
      </c>
      <c r="C1141" s="110" t="inlineStr">
        <is>
          <t>Empresa Licenciada DX2</t>
        </is>
      </c>
      <c r="D1141" s="88">
        <f>IF(B1141="Clientes",SUMIFS(PARÂMETROS!$D$8:$D$907,PARÂMETROS!$A$8:$A$907,C1141,PARÂMETROS!$G$8:$G$907,J1141),SUMIFS(PARÂMETROS!$E$8:$E$907,PARÂMETROS!$A$8:$A$907,C1141,PARÂMETROS!$G$8:$G$907,J1141))</f>
        <v/>
      </c>
      <c r="E1141" s="89">
        <f>SUMIFS(SETORES!$D:$D,SETORES!$A:$A,A1141,SETORES!$F:$F,J1141)</f>
        <v/>
      </c>
      <c r="F1141" s="89">
        <f>IFERROR(D1141*E1141,0)</f>
        <v/>
      </c>
      <c r="G1141" s="88">
        <f>SUMIFS(PARÂMETROS!$F$8:$F$907,PARÂMETROS!$A$8:$A$907,C1141,PARÂMETROS!$G$8:$G$907,J1141)</f>
        <v/>
      </c>
      <c r="H1141" s="89">
        <f>IFERROR(F1141*G1141,0)</f>
        <v/>
      </c>
      <c r="I1141" s="89">
        <f>F1141+H1141</f>
        <v/>
      </c>
      <c r="J1141" s="110" t="inlineStr">
        <is>
          <t>Agosto/2026</t>
        </is>
      </c>
    </row>
    <row r="1142" ht="14.25" customHeight="1" s="64">
      <c r="A1142" s="110" t="inlineStr">
        <is>
          <t>Fusão</t>
        </is>
      </c>
      <c r="B1142" s="110">
        <f>INDEX(SETORES!$B:$B,MATCH(A1142,SETORES!$A:$A,0))</f>
        <v/>
      </c>
      <c r="C1142" s="110" t="inlineStr">
        <is>
          <t>Empresa Licenciada H&amp;A</t>
        </is>
      </c>
      <c r="D1142" s="88">
        <f>IF(B1142="Clientes",SUMIFS(PARÂMETROS!$D$8:$D$907,PARÂMETROS!$A$8:$A$907,C1142,PARÂMETROS!$G$8:$G$907,J1142),SUMIFS(PARÂMETROS!$E$8:$E$907,PARÂMETROS!$A$8:$A$907,C1142,PARÂMETROS!$G$8:$G$907,J1142))</f>
        <v/>
      </c>
      <c r="E1142" s="89">
        <f>SUMIFS(SETORES!$D:$D,SETORES!$A:$A,A1142,SETORES!$F:$F,J1142)</f>
        <v/>
      </c>
      <c r="F1142" s="89">
        <f>IFERROR(D1142*E1142,0)</f>
        <v/>
      </c>
      <c r="G1142" s="88">
        <f>SUMIFS(PARÂMETROS!$F$8:$F$907,PARÂMETROS!$A$8:$A$907,C1142,PARÂMETROS!$G$8:$G$907,J1142)</f>
        <v/>
      </c>
      <c r="H1142" s="89">
        <f>IFERROR(F1142*G1142,0)</f>
        <v/>
      </c>
      <c r="I1142" s="89">
        <f>F1142+H1142</f>
        <v/>
      </c>
      <c r="J1142" s="110" t="inlineStr">
        <is>
          <t>Agosto/2026</t>
        </is>
      </c>
    </row>
    <row r="1143" ht="14.25" customHeight="1" s="64">
      <c r="A1143" s="110" t="inlineStr">
        <is>
          <t>Fusão</t>
        </is>
      </c>
      <c r="B1143" s="110">
        <f>INDEX(SETORES!$B:$B,MATCH(A1143,SETORES!$A:$A,0))</f>
        <v/>
      </c>
      <c r="C1143" s="110" t="inlineStr">
        <is>
          <t>Empresa Licenciada SOLON ARAUJO</t>
        </is>
      </c>
      <c r="D1143" s="88">
        <f>IF(B1143="Clientes",SUMIFS(PARÂMETROS!$D$8:$D$907,PARÂMETROS!$A$8:$A$907,C1143,PARÂMETROS!$G$8:$G$907,J1143),SUMIFS(PARÂMETROS!$E$8:$E$907,PARÂMETROS!$A$8:$A$907,C1143,PARÂMETROS!$G$8:$G$907,J1143))</f>
        <v/>
      </c>
      <c r="E1143" s="89">
        <f>SUMIFS(SETORES!$D:$D,SETORES!$A:$A,A1143,SETORES!$F:$F,J1143)</f>
        <v/>
      </c>
      <c r="F1143" s="89">
        <f>IFERROR(D1143*E1143,0)</f>
        <v/>
      </c>
      <c r="G1143" s="88">
        <f>SUMIFS(PARÂMETROS!$F$8:$F$907,PARÂMETROS!$A$8:$A$907,C1143,PARÂMETROS!$G$8:$G$907,J1143)</f>
        <v/>
      </c>
      <c r="H1143" s="89">
        <f>IFERROR(F1143*G1143,0)</f>
        <v/>
      </c>
      <c r="I1143" s="89">
        <f>F1143+H1143</f>
        <v/>
      </c>
      <c r="J1143" s="110" t="inlineStr">
        <is>
          <t>Agosto/2026</t>
        </is>
      </c>
    </row>
    <row r="1144" ht="14.25" customHeight="1" s="64">
      <c r="A1144" s="110" t="inlineStr">
        <is>
          <t>Fusão</t>
        </is>
      </c>
      <c r="B1144" s="110">
        <f>INDEX(SETORES!$B:$B,MATCH(A1144,SETORES!$A:$A,0))</f>
        <v/>
      </c>
      <c r="C1144" s="110" t="inlineStr">
        <is>
          <t>Empresa Licenciada SOARES E LINS</t>
        </is>
      </c>
      <c r="D1144" s="88">
        <f>IF(B1144="Clientes",SUMIFS(PARÂMETROS!$D$8:$D$907,PARÂMETROS!$A$8:$A$907,C1144,PARÂMETROS!$G$8:$G$907,J1144),SUMIFS(PARÂMETROS!$E$8:$E$907,PARÂMETROS!$A$8:$A$907,C1144,PARÂMETROS!$G$8:$G$907,J1144))</f>
        <v/>
      </c>
      <c r="E1144" s="89">
        <f>SUMIFS(SETORES!$D:$D,SETORES!$A:$A,A1144,SETORES!$F:$F,J1144)</f>
        <v/>
      </c>
      <c r="F1144" s="89">
        <f>IFERROR(D1144*E1144,0)</f>
        <v/>
      </c>
      <c r="G1144" s="88">
        <f>SUMIFS(PARÂMETROS!$F$8:$F$907,PARÂMETROS!$A$8:$A$907,C1144,PARÂMETROS!$G$8:$G$907,J1144)</f>
        <v/>
      </c>
      <c r="H1144" s="89">
        <f>IFERROR(F1144*G1144,0)</f>
        <v/>
      </c>
      <c r="I1144" s="89">
        <f>F1144+H1144</f>
        <v/>
      </c>
      <c r="J1144" s="110" t="inlineStr">
        <is>
          <t>Agosto/2026</t>
        </is>
      </c>
    </row>
    <row r="1145" ht="14.25" customHeight="1" s="64">
      <c r="A1145" s="110" t="inlineStr">
        <is>
          <t>Fusão</t>
        </is>
      </c>
      <c r="B1145" s="110">
        <f>INDEX(SETORES!$B:$B,MATCH(A1145,SETORES!$A:$A,0))</f>
        <v/>
      </c>
      <c r="C1145" s="110" t="inlineStr">
        <is>
          <t>Empresa Licenciada SOARES E SILVA</t>
        </is>
      </c>
      <c r="D1145" s="88">
        <f>IF(B1145="Clientes",SUMIFS(PARÂMETROS!$D$8:$D$907,PARÂMETROS!$A$8:$A$907,C1145,PARÂMETROS!$G$8:$G$907,J1145),SUMIFS(PARÂMETROS!$E$8:$E$907,PARÂMETROS!$A$8:$A$907,C1145,PARÂMETROS!$G$8:$G$907,J1145))</f>
        <v/>
      </c>
      <c r="E1145" s="89">
        <f>SUMIFS(SETORES!$D:$D,SETORES!$A:$A,A1145,SETORES!$F:$F,J1145)</f>
        <v/>
      </c>
      <c r="F1145" s="89">
        <f>IFERROR(D1145*E1145,0)</f>
        <v/>
      </c>
      <c r="G1145" s="88">
        <f>SUMIFS(PARÂMETROS!$F$8:$F$907,PARÂMETROS!$A$8:$A$907,C1145,PARÂMETROS!$G$8:$G$907,J1145)</f>
        <v/>
      </c>
      <c r="H1145" s="89">
        <f>IFERROR(F1145*G1145,0)</f>
        <v/>
      </c>
      <c r="I1145" s="89">
        <f>F1145+H1145</f>
        <v/>
      </c>
      <c r="J1145" s="110" t="inlineStr">
        <is>
          <t>Agosto/2026</t>
        </is>
      </c>
    </row>
    <row r="1146" ht="14.25" customHeight="1" s="64">
      <c r="A1146" s="110" t="inlineStr">
        <is>
          <t>Fusão</t>
        </is>
      </c>
      <c r="B1146" s="110">
        <f>INDEX(SETORES!$B:$B,MATCH(A1146,SETORES!$A:$A,0))</f>
        <v/>
      </c>
      <c r="C1146" s="110" t="inlineStr">
        <is>
          <t>Empresa Licenciada SOUZA E SILVA</t>
        </is>
      </c>
      <c r="D1146" s="88">
        <f>IF(B1146="Clientes",SUMIFS(PARÂMETROS!$D$8:$D$907,PARÂMETROS!$A$8:$A$907,C1146,PARÂMETROS!$G$8:$G$907,J1146),SUMIFS(PARÂMETROS!$E$8:$E$907,PARÂMETROS!$A$8:$A$907,C1146,PARÂMETROS!$G$8:$G$907,J1146))</f>
        <v/>
      </c>
      <c r="E1146" s="89">
        <f>SUMIFS(SETORES!$D:$D,SETORES!$A:$A,A1146,SETORES!$F:$F,J1146)</f>
        <v/>
      </c>
      <c r="F1146" s="89">
        <f>IFERROR(D1146*E1146,0)</f>
        <v/>
      </c>
      <c r="G1146" s="88">
        <f>SUMIFS(PARÂMETROS!$F$8:$F$907,PARÂMETROS!$A$8:$A$907,C1146,PARÂMETROS!$G$8:$G$907,J1146)</f>
        <v/>
      </c>
      <c r="H1146" s="89">
        <f>IFERROR(F1146*G1146,0)</f>
        <v/>
      </c>
      <c r="I1146" s="89">
        <f>F1146+H1146</f>
        <v/>
      </c>
      <c r="J1146" s="110" t="inlineStr">
        <is>
          <t>Agosto/2026</t>
        </is>
      </c>
    </row>
    <row r="1147" ht="14.25" customHeight="1" s="64">
      <c r="A1147" s="110" t="inlineStr">
        <is>
          <t>Fusão</t>
        </is>
      </c>
      <c r="B1147" s="110">
        <f>INDEX(SETORES!$B:$B,MATCH(A1147,SETORES!$A:$A,0))</f>
        <v/>
      </c>
      <c r="C1147" s="110" t="inlineStr">
        <is>
          <t>Empresa Licenciada VOICENET</t>
        </is>
      </c>
      <c r="D1147" s="88">
        <f>IF(B1147="Clientes",SUMIFS(PARÂMETROS!$D$8:$D$907,PARÂMETROS!$A$8:$A$907,C1147,PARÂMETROS!$G$8:$G$907,J1147),SUMIFS(PARÂMETROS!$E$8:$E$907,PARÂMETROS!$A$8:$A$907,C1147,PARÂMETROS!$G$8:$G$907,J1147))</f>
        <v/>
      </c>
      <c r="E1147" s="89">
        <f>SUMIFS(SETORES!$D:$D,SETORES!$A:$A,A1147,SETORES!$F:$F,J1147)</f>
        <v/>
      </c>
      <c r="F1147" s="89">
        <f>IFERROR(D1147*E1147,0)</f>
        <v/>
      </c>
      <c r="G1147" s="88">
        <f>SUMIFS(PARÂMETROS!$F$8:$F$907,PARÂMETROS!$A$8:$A$907,C1147,PARÂMETROS!$G$8:$G$907,J1147)</f>
        <v/>
      </c>
      <c r="H1147" s="89">
        <f>IFERROR(F1147*G1147,0)</f>
        <v/>
      </c>
      <c r="I1147" s="89">
        <f>F1147+H1147</f>
        <v/>
      </c>
      <c r="J1147" s="110" t="inlineStr">
        <is>
          <t>Agosto/2026</t>
        </is>
      </c>
    </row>
    <row r="1148" ht="14.25" customHeight="1" s="64">
      <c r="A1148" s="110" t="inlineStr">
        <is>
          <t>Fusão</t>
        </is>
      </c>
      <c r="B1148" s="110">
        <f>INDEX(SETORES!$B:$B,MATCH(A1148,SETORES!$A:$A,0))</f>
        <v/>
      </c>
      <c r="C1148" s="110" t="inlineStr">
        <is>
          <t>DTEL (uso próprio)</t>
        </is>
      </c>
      <c r="D1148" s="88">
        <f>IF(B1148="Clientes",SUMIFS(PARÂMETROS!$D$8:$D$907,PARÂMETROS!$A$8:$A$907,C1148,PARÂMETROS!$G$8:$G$907,J1148),SUMIFS(PARÂMETROS!$E$8:$E$907,PARÂMETROS!$A$8:$A$907,C1148,PARÂMETROS!$G$8:$G$907,J1148))</f>
        <v/>
      </c>
      <c r="E1148" s="89">
        <f>SUMIFS(SETORES!$D:$D,SETORES!$A:$A,A1148,SETORES!$F:$F,J1148)</f>
        <v/>
      </c>
      <c r="F1148" s="89">
        <f>IFERROR(D1148*E1148,0)</f>
        <v/>
      </c>
      <c r="G1148" s="88">
        <f>SUMIFS(PARÂMETROS!$F$8:$F$907,PARÂMETROS!$A$8:$A$907,C1148,PARÂMETROS!$G$8:$G$907,J1148)</f>
        <v/>
      </c>
      <c r="H1148" s="89">
        <f>IFERROR(F1148*G1148,0)</f>
        <v/>
      </c>
      <c r="I1148" s="89">
        <f>F1148+H1148</f>
        <v/>
      </c>
      <c r="J1148" s="110" t="inlineStr">
        <is>
          <t>Agosto/2026</t>
        </is>
      </c>
    </row>
    <row r="1149" ht="14.25" customHeight="1" s="64">
      <c r="A1149" s="110" t="inlineStr">
        <is>
          <t>Jurídico</t>
        </is>
      </c>
      <c r="B1149" s="110">
        <f>INDEX(SETORES!$B:$B,MATCH(A1149,SETORES!$A:$A,0))</f>
        <v/>
      </c>
      <c r="C1149" s="110" t="inlineStr">
        <is>
          <t>Empresa Licenciada DX2</t>
        </is>
      </c>
      <c r="D1149" s="88">
        <f>IF(B1149="Clientes",SUMIFS(PARÂMETROS!$D$8:$D$907,PARÂMETROS!$A$8:$A$907,C1149,PARÂMETROS!$G$8:$G$907,J1149),SUMIFS(PARÂMETROS!$E$8:$E$907,PARÂMETROS!$A$8:$A$907,C1149,PARÂMETROS!$G$8:$G$907,J1149))</f>
        <v/>
      </c>
      <c r="E1149" s="89">
        <f>SUMIFS(SETORES!$D:$D,SETORES!$A:$A,A1149,SETORES!$F:$F,J1149)</f>
        <v/>
      </c>
      <c r="F1149" s="89">
        <f>IFERROR(D1149*E1149,0)</f>
        <v/>
      </c>
      <c r="G1149" s="88">
        <f>SUMIFS(PARÂMETROS!$F$8:$F$907,PARÂMETROS!$A$8:$A$907,C1149,PARÂMETROS!$G$8:$G$907,J1149)</f>
        <v/>
      </c>
      <c r="H1149" s="89">
        <f>IFERROR(F1149*G1149,0)</f>
        <v/>
      </c>
      <c r="I1149" s="89">
        <f>F1149+H1149</f>
        <v/>
      </c>
      <c r="J1149" s="110" t="inlineStr">
        <is>
          <t>Agosto/2026</t>
        </is>
      </c>
    </row>
    <row r="1150" ht="14.25" customHeight="1" s="64">
      <c r="A1150" s="110" t="inlineStr">
        <is>
          <t>Jurídico</t>
        </is>
      </c>
      <c r="B1150" s="110">
        <f>INDEX(SETORES!$B:$B,MATCH(A1150,SETORES!$A:$A,0))</f>
        <v/>
      </c>
      <c r="C1150" s="110" t="inlineStr">
        <is>
          <t>Empresa Licenciada H&amp;A</t>
        </is>
      </c>
      <c r="D1150" s="88">
        <f>IF(B1150="Clientes",SUMIFS(PARÂMETROS!$D$8:$D$907,PARÂMETROS!$A$8:$A$907,C1150,PARÂMETROS!$G$8:$G$907,J1150),SUMIFS(PARÂMETROS!$E$8:$E$907,PARÂMETROS!$A$8:$A$907,C1150,PARÂMETROS!$G$8:$G$907,J1150))</f>
        <v/>
      </c>
      <c r="E1150" s="89">
        <f>SUMIFS(SETORES!$D:$D,SETORES!$A:$A,A1150,SETORES!$F:$F,J1150)</f>
        <v/>
      </c>
      <c r="F1150" s="89">
        <f>IFERROR(D1150*E1150,0)</f>
        <v/>
      </c>
      <c r="G1150" s="88">
        <f>SUMIFS(PARÂMETROS!$F$8:$F$907,PARÂMETROS!$A$8:$A$907,C1150,PARÂMETROS!$G$8:$G$907,J1150)</f>
        <v/>
      </c>
      <c r="H1150" s="89">
        <f>IFERROR(F1150*G1150,0)</f>
        <v/>
      </c>
      <c r="I1150" s="89">
        <f>F1150+H1150</f>
        <v/>
      </c>
      <c r="J1150" s="110" t="inlineStr">
        <is>
          <t>Agosto/2026</t>
        </is>
      </c>
    </row>
    <row r="1151" ht="14.25" customHeight="1" s="64">
      <c r="A1151" s="110" t="inlineStr">
        <is>
          <t>Jurídico</t>
        </is>
      </c>
      <c r="B1151" s="110">
        <f>INDEX(SETORES!$B:$B,MATCH(A1151,SETORES!$A:$A,0))</f>
        <v/>
      </c>
      <c r="C1151" s="110" t="inlineStr">
        <is>
          <t>Empresa Licenciada SOLON ARAUJO</t>
        </is>
      </c>
      <c r="D1151" s="88">
        <f>IF(B1151="Clientes",SUMIFS(PARÂMETROS!$D$8:$D$907,PARÂMETROS!$A$8:$A$907,C1151,PARÂMETROS!$G$8:$G$907,J1151),SUMIFS(PARÂMETROS!$E$8:$E$907,PARÂMETROS!$A$8:$A$907,C1151,PARÂMETROS!$G$8:$G$907,J1151))</f>
        <v/>
      </c>
      <c r="E1151" s="89">
        <f>SUMIFS(SETORES!$D:$D,SETORES!$A:$A,A1151,SETORES!$F:$F,J1151)</f>
        <v/>
      </c>
      <c r="F1151" s="89">
        <f>IFERROR(D1151*E1151,0)</f>
        <v/>
      </c>
      <c r="G1151" s="88">
        <f>SUMIFS(PARÂMETROS!$F$8:$F$907,PARÂMETROS!$A$8:$A$907,C1151,PARÂMETROS!$G$8:$G$907,J1151)</f>
        <v/>
      </c>
      <c r="H1151" s="89">
        <f>IFERROR(F1151*G1151,0)</f>
        <v/>
      </c>
      <c r="I1151" s="89">
        <f>F1151+H1151</f>
        <v/>
      </c>
      <c r="J1151" s="110" t="inlineStr">
        <is>
          <t>Agosto/2026</t>
        </is>
      </c>
    </row>
    <row r="1152" ht="14.25" customHeight="1" s="64">
      <c r="A1152" s="110" t="inlineStr">
        <is>
          <t>Jurídico</t>
        </is>
      </c>
      <c r="B1152" s="110">
        <f>INDEX(SETORES!$B:$B,MATCH(A1152,SETORES!$A:$A,0))</f>
        <v/>
      </c>
      <c r="C1152" s="110" t="inlineStr">
        <is>
          <t>Empresa Licenciada SOARES E LINS</t>
        </is>
      </c>
      <c r="D1152" s="88">
        <f>IF(B1152="Clientes",SUMIFS(PARÂMETROS!$D$8:$D$907,PARÂMETROS!$A$8:$A$907,C1152,PARÂMETROS!$G$8:$G$907,J1152),SUMIFS(PARÂMETROS!$E$8:$E$907,PARÂMETROS!$A$8:$A$907,C1152,PARÂMETROS!$G$8:$G$907,J1152))</f>
        <v/>
      </c>
      <c r="E1152" s="89">
        <f>SUMIFS(SETORES!$D:$D,SETORES!$A:$A,A1152,SETORES!$F:$F,J1152)</f>
        <v/>
      </c>
      <c r="F1152" s="89">
        <f>IFERROR(D1152*E1152,0)</f>
        <v/>
      </c>
      <c r="G1152" s="88">
        <f>SUMIFS(PARÂMETROS!$F$8:$F$907,PARÂMETROS!$A$8:$A$907,C1152,PARÂMETROS!$G$8:$G$907,J1152)</f>
        <v/>
      </c>
      <c r="H1152" s="89">
        <f>IFERROR(F1152*G1152,0)</f>
        <v/>
      </c>
      <c r="I1152" s="89">
        <f>F1152+H1152</f>
        <v/>
      </c>
      <c r="J1152" s="110" t="inlineStr">
        <is>
          <t>Agosto/2026</t>
        </is>
      </c>
    </row>
    <row r="1153" ht="14.25" customHeight="1" s="64">
      <c r="A1153" s="110" t="inlineStr">
        <is>
          <t>Jurídico</t>
        </is>
      </c>
      <c r="B1153" s="110">
        <f>INDEX(SETORES!$B:$B,MATCH(A1153,SETORES!$A:$A,0))</f>
        <v/>
      </c>
      <c r="C1153" s="110" t="inlineStr">
        <is>
          <t>Empresa Licenciada SOARES E SILVA</t>
        </is>
      </c>
      <c r="D1153" s="88">
        <f>IF(B1153="Clientes",SUMIFS(PARÂMETROS!$D$8:$D$907,PARÂMETROS!$A$8:$A$907,C1153,PARÂMETROS!$G$8:$G$907,J1153),SUMIFS(PARÂMETROS!$E$8:$E$907,PARÂMETROS!$A$8:$A$907,C1153,PARÂMETROS!$G$8:$G$907,J1153))</f>
        <v/>
      </c>
      <c r="E1153" s="89">
        <f>SUMIFS(SETORES!$D:$D,SETORES!$A:$A,A1153,SETORES!$F:$F,J1153)</f>
        <v/>
      </c>
      <c r="F1153" s="89">
        <f>IFERROR(D1153*E1153,0)</f>
        <v/>
      </c>
      <c r="G1153" s="88">
        <f>SUMIFS(PARÂMETROS!$F$8:$F$907,PARÂMETROS!$A$8:$A$907,C1153,PARÂMETROS!$G$8:$G$907,J1153)</f>
        <v/>
      </c>
      <c r="H1153" s="89">
        <f>IFERROR(F1153*G1153,0)</f>
        <v/>
      </c>
      <c r="I1153" s="89">
        <f>F1153+H1153</f>
        <v/>
      </c>
      <c r="J1153" s="110" t="inlineStr">
        <is>
          <t>Agosto/2026</t>
        </is>
      </c>
    </row>
    <row r="1154" ht="14.25" customHeight="1" s="64">
      <c r="A1154" s="110" t="inlineStr">
        <is>
          <t>Jurídico</t>
        </is>
      </c>
      <c r="B1154" s="110">
        <f>INDEX(SETORES!$B:$B,MATCH(A1154,SETORES!$A:$A,0))</f>
        <v/>
      </c>
      <c r="C1154" s="110" t="inlineStr">
        <is>
          <t>Empresa Licenciada SOUZA E SILVA</t>
        </is>
      </c>
      <c r="D1154" s="88">
        <f>IF(B1154="Clientes",SUMIFS(PARÂMETROS!$D$8:$D$907,PARÂMETROS!$A$8:$A$907,C1154,PARÂMETROS!$G$8:$G$907,J1154),SUMIFS(PARÂMETROS!$E$8:$E$907,PARÂMETROS!$A$8:$A$907,C1154,PARÂMETROS!$G$8:$G$907,J1154))</f>
        <v/>
      </c>
      <c r="E1154" s="89">
        <f>SUMIFS(SETORES!$D:$D,SETORES!$A:$A,A1154,SETORES!$F:$F,J1154)</f>
        <v/>
      </c>
      <c r="F1154" s="89">
        <f>IFERROR(D1154*E1154,0)</f>
        <v/>
      </c>
      <c r="G1154" s="88">
        <f>SUMIFS(PARÂMETROS!$F$8:$F$907,PARÂMETROS!$A$8:$A$907,C1154,PARÂMETROS!$G$8:$G$907,J1154)</f>
        <v/>
      </c>
      <c r="H1154" s="89">
        <f>IFERROR(F1154*G1154,0)</f>
        <v/>
      </c>
      <c r="I1154" s="89">
        <f>F1154+H1154</f>
        <v/>
      </c>
      <c r="J1154" s="110" t="inlineStr">
        <is>
          <t>Agosto/2026</t>
        </is>
      </c>
    </row>
    <row r="1155" ht="14.25" customHeight="1" s="64">
      <c r="A1155" s="110" t="inlineStr">
        <is>
          <t>Jurídico</t>
        </is>
      </c>
      <c r="B1155" s="110">
        <f>INDEX(SETORES!$B:$B,MATCH(A1155,SETORES!$A:$A,0))</f>
        <v/>
      </c>
      <c r="C1155" s="110" t="inlineStr">
        <is>
          <t>Empresa Licenciada VOICENET</t>
        </is>
      </c>
      <c r="D1155" s="88">
        <f>IF(B1155="Clientes",SUMIFS(PARÂMETROS!$D$8:$D$907,PARÂMETROS!$A$8:$A$907,C1155,PARÂMETROS!$G$8:$G$907,J1155),SUMIFS(PARÂMETROS!$E$8:$E$907,PARÂMETROS!$A$8:$A$907,C1155,PARÂMETROS!$G$8:$G$907,J1155))</f>
        <v/>
      </c>
      <c r="E1155" s="89">
        <f>SUMIFS(SETORES!$D:$D,SETORES!$A:$A,A1155,SETORES!$F:$F,J1155)</f>
        <v/>
      </c>
      <c r="F1155" s="89">
        <f>IFERROR(D1155*E1155,0)</f>
        <v/>
      </c>
      <c r="G1155" s="88">
        <f>SUMIFS(PARÂMETROS!$F$8:$F$907,PARÂMETROS!$A$8:$A$907,C1155,PARÂMETROS!$G$8:$G$907,J1155)</f>
        <v/>
      </c>
      <c r="H1155" s="89">
        <f>IFERROR(F1155*G1155,0)</f>
        <v/>
      </c>
      <c r="I1155" s="89">
        <f>F1155+H1155</f>
        <v/>
      </c>
      <c r="J1155" s="110" t="inlineStr">
        <is>
          <t>Agosto/2026</t>
        </is>
      </c>
    </row>
    <row r="1156" ht="14.25" customHeight="1" s="64">
      <c r="A1156" s="110" t="inlineStr">
        <is>
          <t>Jurídico</t>
        </is>
      </c>
      <c r="B1156" s="110">
        <f>INDEX(SETORES!$B:$B,MATCH(A1156,SETORES!$A:$A,0))</f>
        <v/>
      </c>
      <c r="C1156" s="110" t="inlineStr">
        <is>
          <t>DTEL (uso próprio)</t>
        </is>
      </c>
      <c r="D1156" s="88">
        <f>IF(B1156="Clientes",SUMIFS(PARÂMETROS!$D$8:$D$907,PARÂMETROS!$A$8:$A$907,C1156,PARÂMETROS!$G$8:$G$907,J1156),SUMIFS(PARÂMETROS!$E$8:$E$907,PARÂMETROS!$A$8:$A$907,C1156,PARÂMETROS!$G$8:$G$907,J1156))</f>
        <v/>
      </c>
      <c r="E1156" s="89">
        <f>SUMIFS(SETORES!$D:$D,SETORES!$A:$A,A1156,SETORES!$F:$F,J1156)</f>
        <v/>
      </c>
      <c r="F1156" s="89">
        <f>IFERROR(D1156*E1156,0)</f>
        <v/>
      </c>
      <c r="G1156" s="88">
        <f>SUMIFS(PARÂMETROS!$F$8:$F$907,PARÂMETROS!$A$8:$A$907,C1156,PARÂMETROS!$G$8:$G$907,J1156)</f>
        <v/>
      </c>
      <c r="H1156" s="89">
        <f>IFERROR(F1156*G1156,0)</f>
        <v/>
      </c>
      <c r="I1156" s="89">
        <f>F1156+H1156</f>
        <v/>
      </c>
      <c r="J1156" s="110" t="inlineStr">
        <is>
          <t>Agosto/2026</t>
        </is>
      </c>
    </row>
    <row r="1157" ht="14.25" customHeight="1" s="64">
      <c r="A1157" s="110" t="inlineStr">
        <is>
          <t>Lançamento</t>
        </is>
      </c>
      <c r="B1157" s="110">
        <f>INDEX(SETORES!$B:$B,MATCH(A1157,SETORES!$A:$A,0))</f>
        <v/>
      </c>
      <c r="C1157" s="110" t="inlineStr">
        <is>
          <t>Empresa Licenciada DX2</t>
        </is>
      </c>
      <c r="D1157" s="88">
        <f>IF(B1157="Clientes",SUMIFS(PARÂMETROS!$D$8:$D$907,PARÂMETROS!$A$8:$A$907,C1157,PARÂMETROS!$G$8:$G$907,J1157),SUMIFS(PARÂMETROS!$E$8:$E$907,PARÂMETROS!$A$8:$A$907,C1157,PARÂMETROS!$G$8:$G$907,J1157))</f>
        <v/>
      </c>
      <c r="E1157" s="89">
        <f>SUMIFS(SETORES!$D:$D,SETORES!$A:$A,A1157,SETORES!$F:$F,J1157)</f>
        <v/>
      </c>
      <c r="F1157" s="89">
        <f>IFERROR(D1157*E1157,0)</f>
        <v/>
      </c>
      <c r="G1157" s="88">
        <f>SUMIFS(PARÂMETROS!$F$8:$F$907,PARÂMETROS!$A$8:$A$907,C1157,PARÂMETROS!$G$8:$G$907,J1157)</f>
        <v/>
      </c>
      <c r="H1157" s="89">
        <f>IFERROR(F1157*G1157,0)</f>
        <v/>
      </c>
      <c r="I1157" s="89">
        <f>F1157+H1157</f>
        <v/>
      </c>
      <c r="J1157" s="110" t="inlineStr">
        <is>
          <t>Agosto/2026</t>
        </is>
      </c>
    </row>
    <row r="1158" ht="14.25" customHeight="1" s="64">
      <c r="A1158" s="110" t="inlineStr">
        <is>
          <t>Lançamento</t>
        </is>
      </c>
      <c r="B1158" s="110">
        <f>INDEX(SETORES!$B:$B,MATCH(A1158,SETORES!$A:$A,0))</f>
        <v/>
      </c>
      <c r="C1158" s="110" t="inlineStr">
        <is>
          <t>Empresa Licenciada H&amp;A</t>
        </is>
      </c>
      <c r="D1158" s="88">
        <f>IF(B1158="Clientes",SUMIFS(PARÂMETROS!$D$8:$D$907,PARÂMETROS!$A$8:$A$907,C1158,PARÂMETROS!$G$8:$G$907,J1158),SUMIFS(PARÂMETROS!$E$8:$E$907,PARÂMETROS!$A$8:$A$907,C1158,PARÂMETROS!$G$8:$G$907,J1158))</f>
        <v/>
      </c>
      <c r="E1158" s="89">
        <f>SUMIFS(SETORES!$D:$D,SETORES!$A:$A,A1158,SETORES!$F:$F,J1158)</f>
        <v/>
      </c>
      <c r="F1158" s="89">
        <f>IFERROR(D1158*E1158,0)</f>
        <v/>
      </c>
      <c r="G1158" s="88">
        <f>SUMIFS(PARÂMETROS!$F$8:$F$907,PARÂMETROS!$A$8:$A$907,C1158,PARÂMETROS!$G$8:$G$907,J1158)</f>
        <v/>
      </c>
      <c r="H1158" s="89">
        <f>IFERROR(F1158*G1158,0)</f>
        <v/>
      </c>
      <c r="I1158" s="89">
        <f>F1158+H1158</f>
        <v/>
      </c>
      <c r="J1158" s="110" t="inlineStr">
        <is>
          <t>Agosto/2026</t>
        </is>
      </c>
    </row>
    <row r="1159" ht="14.25" customHeight="1" s="64">
      <c r="A1159" s="110" t="inlineStr">
        <is>
          <t>Lançamento</t>
        </is>
      </c>
      <c r="B1159" s="110">
        <f>INDEX(SETORES!$B:$B,MATCH(A1159,SETORES!$A:$A,0))</f>
        <v/>
      </c>
      <c r="C1159" s="110" t="inlineStr">
        <is>
          <t>Empresa Licenciada SOLON ARAUJO</t>
        </is>
      </c>
      <c r="D1159" s="88">
        <f>IF(B1159="Clientes",SUMIFS(PARÂMETROS!$D$8:$D$907,PARÂMETROS!$A$8:$A$907,C1159,PARÂMETROS!$G$8:$G$907,J1159),SUMIFS(PARÂMETROS!$E$8:$E$907,PARÂMETROS!$A$8:$A$907,C1159,PARÂMETROS!$G$8:$G$907,J1159))</f>
        <v/>
      </c>
      <c r="E1159" s="89">
        <f>SUMIFS(SETORES!$D:$D,SETORES!$A:$A,A1159,SETORES!$F:$F,J1159)</f>
        <v/>
      </c>
      <c r="F1159" s="89">
        <f>IFERROR(D1159*E1159,0)</f>
        <v/>
      </c>
      <c r="G1159" s="88">
        <f>SUMIFS(PARÂMETROS!$F$8:$F$907,PARÂMETROS!$A$8:$A$907,C1159,PARÂMETROS!$G$8:$G$907,J1159)</f>
        <v/>
      </c>
      <c r="H1159" s="89">
        <f>IFERROR(F1159*G1159,0)</f>
        <v/>
      </c>
      <c r="I1159" s="89">
        <f>F1159+H1159</f>
        <v/>
      </c>
      <c r="J1159" s="110" t="inlineStr">
        <is>
          <t>Agosto/2026</t>
        </is>
      </c>
    </row>
    <row r="1160" ht="14.25" customHeight="1" s="64">
      <c r="A1160" s="110" t="inlineStr">
        <is>
          <t>Lançamento</t>
        </is>
      </c>
      <c r="B1160" s="110">
        <f>INDEX(SETORES!$B:$B,MATCH(A1160,SETORES!$A:$A,0))</f>
        <v/>
      </c>
      <c r="C1160" s="110" t="inlineStr">
        <is>
          <t>Empresa Licenciada SOARES E LINS</t>
        </is>
      </c>
      <c r="D1160" s="88">
        <f>IF(B1160="Clientes",SUMIFS(PARÂMETROS!$D$8:$D$907,PARÂMETROS!$A$8:$A$907,C1160,PARÂMETROS!$G$8:$G$907,J1160),SUMIFS(PARÂMETROS!$E$8:$E$907,PARÂMETROS!$A$8:$A$907,C1160,PARÂMETROS!$G$8:$G$907,J1160))</f>
        <v/>
      </c>
      <c r="E1160" s="89">
        <f>SUMIFS(SETORES!$D:$D,SETORES!$A:$A,A1160,SETORES!$F:$F,J1160)</f>
        <v/>
      </c>
      <c r="F1160" s="89">
        <f>IFERROR(D1160*E1160,0)</f>
        <v/>
      </c>
      <c r="G1160" s="88">
        <f>SUMIFS(PARÂMETROS!$F$8:$F$907,PARÂMETROS!$A$8:$A$907,C1160,PARÂMETROS!$G$8:$G$907,J1160)</f>
        <v/>
      </c>
      <c r="H1160" s="89">
        <f>IFERROR(F1160*G1160,0)</f>
        <v/>
      </c>
      <c r="I1160" s="89">
        <f>F1160+H1160</f>
        <v/>
      </c>
      <c r="J1160" s="110" t="inlineStr">
        <is>
          <t>Agosto/2026</t>
        </is>
      </c>
    </row>
    <row r="1161" ht="14.25" customHeight="1" s="64">
      <c r="A1161" s="110" t="inlineStr">
        <is>
          <t>Lançamento</t>
        </is>
      </c>
      <c r="B1161" s="110">
        <f>INDEX(SETORES!$B:$B,MATCH(A1161,SETORES!$A:$A,0))</f>
        <v/>
      </c>
      <c r="C1161" s="110" t="inlineStr">
        <is>
          <t>Empresa Licenciada SOARES E SILVA</t>
        </is>
      </c>
      <c r="D1161" s="88">
        <f>IF(B1161="Clientes",SUMIFS(PARÂMETROS!$D$8:$D$907,PARÂMETROS!$A$8:$A$907,C1161,PARÂMETROS!$G$8:$G$907,J1161),SUMIFS(PARÂMETROS!$E$8:$E$907,PARÂMETROS!$A$8:$A$907,C1161,PARÂMETROS!$G$8:$G$907,J1161))</f>
        <v/>
      </c>
      <c r="E1161" s="89">
        <f>SUMIFS(SETORES!$D:$D,SETORES!$A:$A,A1161,SETORES!$F:$F,J1161)</f>
        <v/>
      </c>
      <c r="F1161" s="89">
        <f>IFERROR(D1161*E1161,0)</f>
        <v/>
      </c>
      <c r="G1161" s="88">
        <f>SUMIFS(PARÂMETROS!$F$8:$F$907,PARÂMETROS!$A$8:$A$907,C1161,PARÂMETROS!$G$8:$G$907,J1161)</f>
        <v/>
      </c>
      <c r="H1161" s="89">
        <f>IFERROR(F1161*G1161,0)</f>
        <v/>
      </c>
      <c r="I1161" s="89">
        <f>F1161+H1161</f>
        <v/>
      </c>
      <c r="J1161" s="110" t="inlineStr">
        <is>
          <t>Agosto/2026</t>
        </is>
      </c>
    </row>
    <row r="1162" ht="14.25" customHeight="1" s="64">
      <c r="A1162" s="110" t="inlineStr">
        <is>
          <t>Lançamento</t>
        </is>
      </c>
      <c r="B1162" s="110">
        <f>INDEX(SETORES!$B:$B,MATCH(A1162,SETORES!$A:$A,0))</f>
        <v/>
      </c>
      <c r="C1162" s="110" t="inlineStr">
        <is>
          <t>Empresa Licenciada SOUZA E SILVA</t>
        </is>
      </c>
      <c r="D1162" s="88">
        <f>IF(B1162="Clientes",SUMIFS(PARÂMETROS!$D$8:$D$907,PARÂMETROS!$A$8:$A$907,C1162,PARÂMETROS!$G$8:$G$907,J1162),SUMIFS(PARÂMETROS!$E$8:$E$907,PARÂMETROS!$A$8:$A$907,C1162,PARÂMETROS!$G$8:$G$907,J1162))</f>
        <v/>
      </c>
      <c r="E1162" s="89">
        <f>SUMIFS(SETORES!$D:$D,SETORES!$A:$A,A1162,SETORES!$F:$F,J1162)</f>
        <v/>
      </c>
      <c r="F1162" s="89">
        <f>IFERROR(D1162*E1162,0)</f>
        <v/>
      </c>
      <c r="G1162" s="88">
        <f>SUMIFS(PARÂMETROS!$F$8:$F$907,PARÂMETROS!$A$8:$A$907,C1162,PARÂMETROS!$G$8:$G$907,J1162)</f>
        <v/>
      </c>
      <c r="H1162" s="89">
        <f>IFERROR(F1162*G1162,0)</f>
        <v/>
      </c>
      <c r="I1162" s="89">
        <f>F1162+H1162</f>
        <v/>
      </c>
      <c r="J1162" s="110" t="inlineStr">
        <is>
          <t>Agosto/2026</t>
        </is>
      </c>
    </row>
    <row r="1163" ht="14.25" customHeight="1" s="64">
      <c r="A1163" s="110" t="inlineStr">
        <is>
          <t>Lançamento</t>
        </is>
      </c>
      <c r="B1163" s="110">
        <f>INDEX(SETORES!$B:$B,MATCH(A1163,SETORES!$A:$A,0))</f>
        <v/>
      </c>
      <c r="C1163" s="110" t="inlineStr">
        <is>
          <t>Empresa Licenciada VOICENET</t>
        </is>
      </c>
      <c r="D1163" s="88">
        <f>IF(B1163="Clientes",SUMIFS(PARÂMETROS!$D$8:$D$907,PARÂMETROS!$A$8:$A$907,C1163,PARÂMETROS!$G$8:$G$907,J1163),SUMIFS(PARÂMETROS!$E$8:$E$907,PARÂMETROS!$A$8:$A$907,C1163,PARÂMETROS!$G$8:$G$907,J1163))</f>
        <v/>
      </c>
      <c r="E1163" s="89">
        <f>SUMIFS(SETORES!$D:$D,SETORES!$A:$A,A1163,SETORES!$F:$F,J1163)</f>
        <v/>
      </c>
      <c r="F1163" s="89">
        <f>IFERROR(D1163*E1163,0)</f>
        <v/>
      </c>
      <c r="G1163" s="88">
        <f>SUMIFS(PARÂMETROS!$F$8:$F$907,PARÂMETROS!$A$8:$A$907,C1163,PARÂMETROS!$G$8:$G$907,J1163)</f>
        <v/>
      </c>
      <c r="H1163" s="89">
        <f>IFERROR(F1163*G1163,0)</f>
        <v/>
      </c>
      <c r="I1163" s="89">
        <f>F1163+H1163</f>
        <v/>
      </c>
      <c r="J1163" s="110" t="inlineStr">
        <is>
          <t>Agosto/2026</t>
        </is>
      </c>
    </row>
    <row r="1164" ht="14.25" customHeight="1" s="64">
      <c r="A1164" s="110" t="inlineStr">
        <is>
          <t>Lançamento</t>
        </is>
      </c>
      <c r="B1164" s="110">
        <f>INDEX(SETORES!$B:$B,MATCH(A1164,SETORES!$A:$A,0))</f>
        <v/>
      </c>
      <c r="C1164" s="110" t="inlineStr">
        <is>
          <t>DTEL (uso próprio)</t>
        </is>
      </c>
      <c r="D1164" s="88">
        <f>IF(B1164="Clientes",SUMIFS(PARÂMETROS!$D$8:$D$907,PARÂMETROS!$A$8:$A$907,C1164,PARÂMETROS!$G$8:$G$907,J1164),SUMIFS(PARÂMETROS!$E$8:$E$907,PARÂMETROS!$A$8:$A$907,C1164,PARÂMETROS!$G$8:$G$907,J1164))</f>
        <v/>
      </c>
      <c r="E1164" s="89">
        <f>SUMIFS(SETORES!$D:$D,SETORES!$A:$A,A1164,SETORES!$F:$F,J1164)</f>
        <v/>
      </c>
      <c r="F1164" s="89">
        <f>IFERROR(D1164*E1164,0)</f>
        <v/>
      </c>
      <c r="G1164" s="88">
        <f>SUMIFS(PARÂMETROS!$F$8:$F$907,PARÂMETROS!$A$8:$A$907,C1164,PARÂMETROS!$G$8:$G$907,J1164)</f>
        <v/>
      </c>
      <c r="H1164" s="89">
        <f>IFERROR(F1164*G1164,0)</f>
        <v/>
      </c>
      <c r="I1164" s="89">
        <f>F1164+H1164</f>
        <v/>
      </c>
      <c r="J1164" s="110" t="inlineStr">
        <is>
          <t>Agosto/2026</t>
        </is>
      </c>
    </row>
    <row r="1165" ht="14.25" customHeight="1" s="64">
      <c r="A1165" s="110" t="inlineStr">
        <is>
          <t>Marketing</t>
        </is>
      </c>
      <c r="B1165" s="110">
        <f>INDEX(SETORES!$B:$B,MATCH(A1165,SETORES!$A:$A,0))</f>
        <v/>
      </c>
      <c r="C1165" s="110" t="inlineStr">
        <is>
          <t>Empresa Licenciada DX2</t>
        </is>
      </c>
      <c r="D1165" s="88">
        <f>IF(B1165="Clientes",SUMIFS(PARÂMETROS!$D$8:$D$907,PARÂMETROS!$A$8:$A$907,C1165,PARÂMETROS!$G$8:$G$907,J1165),SUMIFS(PARÂMETROS!$E$8:$E$907,PARÂMETROS!$A$8:$A$907,C1165,PARÂMETROS!$G$8:$G$907,J1165))</f>
        <v/>
      </c>
      <c r="E1165" s="89">
        <f>SUMIFS(SETORES!$D:$D,SETORES!$A:$A,A1165,SETORES!$F:$F,J1165)</f>
        <v/>
      </c>
      <c r="F1165" s="89">
        <f>IFERROR(D1165*E1165,0)</f>
        <v/>
      </c>
      <c r="G1165" s="88">
        <f>SUMIFS(PARÂMETROS!$F$8:$F$907,PARÂMETROS!$A$8:$A$907,C1165,PARÂMETROS!$G$8:$G$907,J1165)</f>
        <v/>
      </c>
      <c r="H1165" s="89">
        <f>IFERROR(F1165*G1165,0)</f>
        <v/>
      </c>
      <c r="I1165" s="89">
        <f>F1165+H1165</f>
        <v/>
      </c>
      <c r="J1165" s="110" t="inlineStr">
        <is>
          <t>Agosto/2026</t>
        </is>
      </c>
    </row>
    <row r="1166" ht="14.25" customHeight="1" s="64">
      <c r="A1166" s="110" t="inlineStr">
        <is>
          <t>Marketing</t>
        </is>
      </c>
      <c r="B1166" s="110">
        <f>INDEX(SETORES!$B:$B,MATCH(A1166,SETORES!$A:$A,0))</f>
        <v/>
      </c>
      <c r="C1166" s="110" t="inlineStr">
        <is>
          <t>Empresa Licenciada H&amp;A</t>
        </is>
      </c>
      <c r="D1166" s="88">
        <f>IF(B1166="Clientes",SUMIFS(PARÂMETROS!$D$8:$D$907,PARÂMETROS!$A$8:$A$907,C1166,PARÂMETROS!$G$8:$G$907,J1166),SUMIFS(PARÂMETROS!$E$8:$E$907,PARÂMETROS!$A$8:$A$907,C1166,PARÂMETROS!$G$8:$G$907,J1166))</f>
        <v/>
      </c>
      <c r="E1166" s="89">
        <f>SUMIFS(SETORES!$D:$D,SETORES!$A:$A,A1166,SETORES!$F:$F,J1166)</f>
        <v/>
      </c>
      <c r="F1166" s="89">
        <f>IFERROR(D1166*E1166,0)</f>
        <v/>
      </c>
      <c r="G1166" s="88">
        <f>SUMIFS(PARÂMETROS!$F$8:$F$907,PARÂMETROS!$A$8:$A$907,C1166,PARÂMETROS!$G$8:$G$907,J1166)</f>
        <v/>
      </c>
      <c r="H1166" s="89">
        <f>IFERROR(F1166*G1166,0)</f>
        <v/>
      </c>
      <c r="I1166" s="89">
        <f>F1166+H1166</f>
        <v/>
      </c>
      <c r="J1166" s="110" t="inlineStr">
        <is>
          <t>Agosto/2026</t>
        </is>
      </c>
    </row>
    <row r="1167" ht="14.25" customHeight="1" s="64">
      <c r="A1167" s="110" t="inlineStr">
        <is>
          <t>Marketing</t>
        </is>
      </c>
      <c r="B1167" s="110">
        <f>INDEX(SETORES!$B:$B,MATCH(A1167,SETORES!$A:$A,0))</f>
        <v/>
      </c>
      <c r="C1167" s="110" t="inlineStr">
        <is>
          <t>Empresa Licenciada SOLON ARAUJO</t>
        </is>
      </c>
      <c r="D1167" s="88">
        <f>IF(B1167="Clientes",SUMIFS(PARÂMETROS!$D$8:$D$907,PARÂMETROS!$A$8:$A$907,C1167,PARÂMETROS!$G$8:$G$907,J1167),SUMIFS(PARÂMETROS!$E$8:$E$907,PARÂMETROS!$A$8:$A$907,C1167,PARÂMETROS!$G$8:$G$907,J1167))</f>
        <v/>
      </c>
      <c r="E1167" s="89">
        <f>SUMIFS(SETORES!$D:$D,SETORES!$A:$A,A1167,SETORES!$F:$F,J1167)</f>
        <v/>
      </c>
      <c r="F1167" s="89">
        <f>IFERROR(D1167*E1167,0)</f>
        <v/>
      </c>
      <c r="G1167" s="88">
        <f>SUMIFS(PARÂMETROS!$F$8:$F$907,PARÂMETROS!$A$8:$A$907,C1167,PARÂMETROS!$G$8:$G$907,J1167)</f>
        <v/>
      </c>
      <c r="H1167" s="89">
        <f>IFERROR(F1167*G1167,0)</f>
        <v/>
      </c>
      <c r="I1167" s="89">
        <f>F1167+H1167</f>
        <v/>
      </c>
      <c r="J1167" s="110" t="inlineStr">
        <is>
          <t>Agosto/2026</t>
        </is>
      </c>
    </row>
    <row r="1168" ht="14.25" customHeight="1" s="64">
      <c r="A1168" s="110" t="inlineStr">
        <is>
          <t>Marketing</t>
        </is>
      </c>
      <c r="B1168" s="110">
        <f>INDEX(SETORES!$B:$B,MATCH(A1168,SETORES!$A:$A,0))</f>
        <v/>
      </c>
      <c r="C1168" s="110" t="inlineStr">
        <is>
          <t>Empresa Licenciada SOARES E LINS</t>
        </is>
      </c>
      <c r="D1168" s="88">
        <f>IF(B1168="Clientes",SUMIFS(PARÂMETROS!$D$8:$D$907,PARÂMETROS!$A$8:$A$907,C1168,PARÂMETROS!$G$8:$G$907,J1168),SUMIFS(PARÂMETROS!$E$8:$E$907,PARÂMETROS!$A$8:$A$907,C1168,PARÂMETROS!$G$8:$G$907,J1168))</f>
        <v/>
      </c>
      <c r="E1168" s="89">
        <f>SUMIFS(SETORES!$D:$D,SETORES!$A:$A,A1168,SETORES!$F:$F,J1168)</f>
        <v/>
      </c>
      <c r="F1168" s="89">
        <f>IFERROR(D1168*E1168,0)</f>
        <v/>
      </c>
      <c r="G1168" s="88">
        <f>SUMIFS(PARÂMETROS!$F$8:$F$907,PARÂMETROS!$A$8:$A$907,C1168,PARÂMETROS!$G$8:$G$907,J1168)</f>
        <v/>
      </c>
      <c r="H1168" s="89">
        <f>IFERROR(F1168*G1168,0)</f>
        <v/>
      </c>
      <c r="I1168" s="89">
        <f>F1168+H1168</f>
        <v/>
      </c>
      <c r="J1168" s="110" t="inlineStr">
        <is>
          <t>Agosto/2026</t>
        </is>
      </c>
    </row>
    <row r="1169" ht="14.25" customHeight="1" s="64">
      <c r="A1169" s="110" t="inlineStr">
        <is>
          <t>Marketing</t>
        </is>
      </c>
      <c r="B1169" s="110">
        <f>INDEX(SETORES!$B:$B,MATCH(A1169,SETORES!$A:$A,0))</f>
        <v/>
      </c>
      <c r="C1169" s="110" t="inlineStr">
        <is>
          <t>Empresa Licenciada SOARES E SILVA</t>
        </is>
      </c>
      <c r="D1169" s="88">
        <f>IF(B1169="Clientes",SUMIFS(PARÂMETROS!$D$8:$D$907,PARÂMETROS!$A$8:$A$907,C1169,PARÂMETROS!$G$8:$G$907,J1169),SUMIFS(PARÂMETROS!$E$8:$E$907,PARÂMETROS!$A$8:$A$907,C1169,PARÂMETROS!$G$8:$G$907,J1169))</f>
        <v/>
      </c>
      <c r="E1169" s="89">
        <f>SUMIFS(SETORES!$D:$D,SETORES!$A:$A,A1169,SETORES!$F:$F,J1169)</f>
        <v/>
      </c>
      <c r="F1169" s="89">
        <f>IFERROR(D1169*E1169,0)</f>
        <v/>
      </c>
      <c r="G1169" s="88">
        <f>SUMIFS(PARÂMETROS!$F$8:$F$907,PARÂMETROS!$A$8:$A$907,C1169,PARÂMETROS!$G$8:$G$907,J1169)</f>
        <v/>
      </c>
      <c r="H1169" s="89">
        <f>IFERROR(F1169*G1169,0)</f>
        <v/>
      </c>
      <c r="I1169" s="89">
        <f>F1169+H1169</f>
        <v/>
      </c>
      <c r="J1169" s="110" t="inlineStr">
        <is>
          <t>Agosto/2026</t>
        </is>
      </c>
    </row>
    <row r="1170" ht="14.25" customHeight="1" s="64">
      <c r="A1170" s="110" t="inlineStr">
        <is>
          <t>Marketing</t>
        </is>
      </c>
      <c r="B1170" s="110">
        <f>INDEX(SETORES!$B:$B,MATCH(A1170,SETORES!$A:$A,0))</f>
        <v/>
      </c>
      <c r="C1170" s="110" t="inlineStr">
        <is>
          <t>Empresa Licenciada SOUZA E SILVA</t>
        </is>
      </c>
      <c r="D1170" s="88">
        <f>IF(B1170="Clientes",SUMIFS(PARÂMETROS!$D$8:$D$907,PARÂMETROS!$A$8:$A$907,C1170,PARÂMETROS!$G$8:$G$907,J1170),SUMIFS(PARÂMETROS!$E$8:$E$907,PARÂMETROS!$A$8:$A$907,C1170,PARÂMETROS!$G$8:$G$907,J1170))</f>
        <v/>
      </c>
      <c r="E1170" s="89">
        <f>SUMIFS(SETORES!$D:$D,SETORES!$A:$A,A1170,SETORES!$F:$F,J1170)</f>
        <v/>
      </c>
      <c r="F1170" s="89">
        <f>IFERROR(D1170*E1170,0)</f>
        <v/>
      </c>
      <c r="G1170" s="88">
        <f>SUMIFS(PARÂMETROS!$F$8:$F$907,PARÂMETROS!$A$8:$A$907,C1170,PARÂMETROS!$G$8:$G$907,J1170)</f>
        <v/>
      </c>
      <c r="H1170" s="89">
        <f>IFERROR(F1170*G1170,0)</f>
        <v/>
      </c>
      <c r="I1170" s="89">
        <f>F1170+H1170</f>
        <v/>
      </c>
      <c r="J1170" s="110" t="inlineStr">
        <is>
          <t>Agosto/2026</t>
        </is>
      </c>
    </row>
    <row r="1171" ht="14.25" customHeight="1" s="64">
      <c r="A1171" s="110" t="inlineStr">
        <is>
          <t>Marketing</t>
        </is>
      </c>
      <c r="B1171" s="110">
        <f>INDEX(SETORES!$B:$B,MATCH(A1171,SETORES!$A:$A,0))</f>
        <v/>
      </c>
      <c r="C1171" s="110" t="inlineStr">
        <is>
          <t>Empresa Licenciada VOICENET</t>
        </is>
      </c>
      <c r="D1171" s="88">
        <f>IF(B1171="Clientes",SUMIFS(PARÂMETROS!$D$8:$D$907,PARÂMETROS!$A$8:$A$907,C1171,PARÂMETROS!$G$8:$G$907,J1171),SUMIFS(PARÂMETROS!$E$8:$E$907,PARÂMETROS!$A$8:$A$907,C1171,PARÂMETROS!$G$8:$G$907,J1171))</f>
        <v/>
      </c>
      <c r="E1171" s="89">
        <f>SUMIFS(SETORES!$D:$D,SETORES!$A:$A,A1171,SETORES!$F:$F,J1171)</f>
        <v/>
      </c>
      <c r="F1171" s="89">
        <f>IFERROR(D1171*E1171,0)</f>
        <v/>
      </c>
      <c r="G1171" s="88">
        <f>SUMIFS(PARÂMETROS!$F$8:$F$907,PARÂMETROS!$A$8:$A$907,C1171,PARÂMETROS!$G$8:$G$907,J1171)</f>
        <v/>
      </c>
      <c r="H1171" s="89">
        <f>IFERROR(F1171*G1171,0)</f>
        <v/>
      </c>
      <c r="I1171" s="89">
        <f>F1171+H1171</f>
        <v/>
      </c>
      <c r="J1171" s="110" t="inlineStr">
        <is>
          <t>Agosto/2026</t>
        </is>
      </c>
    </row>
    <row r="1172" ht="14.25" customHeight="1" s="64">
      <c r="A1172" s="110" t="inlineStr">
        <is>
          <t>Marketing</t>
        </is>
      </c>
      <c r="B1172" s="110">
        <f>INDEX(SETORES!$B:$B,MATCH(A1172,SETORES!$A:$A,0))</f>
        <v/>
      </c>
      <c r="C1172" s="110" t="inlineStr">
        <is>
          <t>DTEL (uso próprio)</t>
        </is>
      </c>
      <c r="D1172" s="88">
        <f>IF(B1172="Clientes",SUMIFS(PARÂMETROS!$D$8:$D$907,PARÂMETROS!$A$8:$A$907,C1172,PARÂMETROS!$G$8:$G$907,J1172),SUMIFS(PARÂMETROS!$E$8:$E$907,PARÂMETROS!$A$8:$A$907,C1172,PARÂMETROS!$G$8:$G$907,J1172))</f>
        <v/>
      </c>
      <c r="E1172" s="89">
        <f>SUMIFS(SETORES!$D:$D,SETORES!$A:$A,A1172,SETORES!$F:$F,J1172)</f>
        <v/>
      </c>
      <c r="F1172" s="89">
        <f>IFERROR(D1172*E1172,0)</f>
        <v/>
      </c>
      <c r="G1172" s="88">
        <f>SUMIFS(PARÂMETROS!$F$8:$F$907,PARÂMETROS!$A$8:$A$907,C1172,PARÂMETROS!$G$8:$G$907,J1172)</f>
        <v/>
      </c>
      <c r="H1172" s="89">
        <f>IFERROR(F1172*G1172,0)</f>
        <v/>
      </c>
      <c r="I1172" s="89">
        <f>F1172+H1172</f>
        <v/>
      </c>
      <c r="J1172" s="110" t="inlineStr">
        <is>
          <t>Agosto/2026</t>
        </is>
      </c>
    </row>
    <row r="1173" ht="14.25" customHeight="1" s="64">
      <c r="A1173" s="110" t="inlineStr">
        <is>
          <t>Qualidade</t>
        </is>
      </c>
      <c r="B1173" s="110">
        <f>INDEX(SETORES!$B:$B,MATCH(A1173,SETORES!$A:$A,0))</f>
        <v/>
      </c>
      <c r="C1173" s="110" t="inlineStr">
        <is>
          <t>Empresa Licenciada DX2</t>
        </is>
      </c>
      <c r="D1173" s="88">
        <f>IF(B1173="Clientes",SUMIFS(PARÂMETROS!$D$8:$D$907,PARÂMETROS!$A$8:$A$907,C1173,PARÂMETROS!$G$8:$G$907,J1173),SUMIFS(PARÂMETROS!$E$8:$E$907,PARÂMETROS!$A$8:$A$907,C1173,PARÂMETROS!$G$8:$G$907,J1173))</f>
        <v/>
      </c>
      <c r="E1173" s="89">
        <f>SUMIFS(SETORES!$D:$D,SETORES!$A:$A,A1173,SETORES!$F:$F,J1173)</f>
        <v/>
      </c>
      <c r="F1173" s="89">
        <f>IFERROR(D1173*E1173,0)</f>
        <v/>
      </c>
      <c r="G1173" s="88">
        <f>SUMIFS(PARÂMETROS!$F$8:$F$907,PARÂMETROS!$A$8:$A$907,C1173,PARÂMETROS!$G$8:$G$907,J1173)</f>
        <v/>
      </c>
      <c r="H1173" s="89">
        <f>IFERROR(F1173*G1173,0)</f>
        <v/>
      </c>
      <c r="I1173" s="89">
        <f>F1173+H1173</f>
        <v/>
      </c>
      <c r="J1173" s="110" t="inlineStr">
        <is>
          <t>Agosto/2026</t>
        </is>
      </c>
    </row>
    <row r="1174" ht="14.25" customHeight="1" s="64">
      <c r="A1174" s="110" t="inlineStr">
        <is>
          <t>Qualidade</t>
        </is>
      </c>
      <c r="B1174" s="110">
        <f>INDEX(SETORES!$B:$B,MATCH(A1174,SETORES!$A:$A,0))</f>
        <v/>
      </c>
      <c r="C1174" s="110" t="inlineStr">
        <is>
          <t>Empresa Licenciada H&amp;A</t>
        </is>
      </c>
      <c r="D1174" s="88">
        <f>IF(B1174="Clientes",SUMIFS(PARÂMETROS!$D$8:$D$907,PARÂMETROS!$A$8:$A$907,C1174,PARÂMETROS!$G$8:$G$907,J1174),SUMIFS(PARÂMETROS!$E$8:$E$907,PARÂMETROS!$A$8:$A$907,C1174,PARÂMETROS!$G$8:$G$907,J1174))</f>
        <v/>
      </c>
      <c r="E1174" s="89">
        <f>SUMIFS(SETORES!$D:$D,SETORES!$A:$A,A1174,SETORES!$F:$F,J1174)</f>
        <v/>
      </c>
      <c r="F1174" s="89">
        <f>IFERROR(D1174*E1174,0)</f>
        <v/>
      </c>
      <c r="G1174" s="88">
        <f>SUMIFS(PARÂMETROS!$F$8:$F$907,PARÂMETROS!$A$8:$A$907,C1174,PARÂMETROS!$G$8:$G$907,J1174)</f>
        <v/>
      </c>
      <c r="H1174" s="89">
        <f>IFERROR(F1174*G1174,0)</f>
        <v/>
      </c>
      <c r="I1174" s="89">
        <f>F1174+H1174</f>
        <v/>
      </c>
      <c r="J1174" s="110" t="inlineStr">
        <is>
          <t>Agosto/2026</t>
        </is>
      </c>
    </row>
    <row r="1175" ht="14.25" customHeight="1" s="64">
      <c r="A1175" s="110" t="inlineStr">
        <is>
          <t>Qualidade</t>
        </is>
      </c>
      <c r="B1175" s="110">
        <f>INDEX(SETORES!$B:$B,MATCH(A1175,SETORES!$A:$A,0))</f>
        <v/>
      </c>
      <c r="C1175" s="110" t="inlineStr">
        <is>
          <t>Empresa Licenciada SOLON ARAUJO</t>
        </is>
      </c>
      <c r="D1175" s="88">
        <f>IF(B1175="Clientes",SUMIFS(PARÂMETROS!$D$8:$D$907,PARÂMETROS!$A$8:$A$907,C1175,PARÂMETROS!$G$8:$G$907,J1175),SUMIFS(PARÂMETROS!$E$8:$E$907,PARÂMETROS!$A$8:$A$907,C1175,PARÂMETROS!$G$8:$G$907,J1175))</f>
        <v/>
      </c>
      <c r="E1175" s="89">
        <f>SUMIFS(SETORES!$D:$D,SETORES!$A:$A,A1175,SETORES!$F:$F,J1175)</f>
        <v/>
      </c>
      <c r="F1175" s="89">
        <f>IFERROR(D1175*E1175,0)</f>
        <v/>
      </c>
      <c r="G1175" s="88">
        <f>SUMIFS(PARÂMETROS!$F$8:$F$907,PARÂMETROS!$A$8:$A$907,C1175,PARÂMETROS!$G$8:$G$907,J1175)</f>
        <v/>
      </c>
      <c r="H1175" s="89">
        <f>IFERROR(F1175*G1175,0)</f>
        <v/>
      </c>
      <c r="I1175" s="89">
        <f>F1175+H1175</f>
        <v/>
      </c>
      <c r="J1175" s="110" t="inlineStr">
        <is>
          <t>Agosto/2026</t>
        </is>
      </c>
    </row>
    <row r="1176" ht="14.25" customHeight="1" s="64">
      <c r="A1176" s="110" t="inlineStr">
        <is>
          <t>Qualidade</t>
        </is>
      </c>
      <c r="B1176" s="110">
        <f>INDEX(SETORES!$B:$B,MATCH(A1176,SETORES!$A:$A,0))</f>
        <v/>
      </c>
      <c r="C1176" s="110" t="inlineStr">
        <is>
          <t>Empresa Licenciada SOARES E LINS</t>
        </is>
      </c>
      <c r="D1176" s="88">
        <f>IF(B1176="Clientes",SUMIFS(PARÂMETROS!$D$8:$D$907,PARÂMETROS!$A$8:$A$907,C1176,PARÂMETROS!$G$8:$G$907,J1176),SUMIFS(PARÂMETROS!$E$8:$E$907,PARÂMETROS!$A$8:$A$907,C1176,PARÂMETROS!$G$8:$G$907,J1176))</f>
        <v/>
      </c>
      <c r="E1176" s="89">
        <f>SUMIFS(SETORES!$D:$D,SETORES!$A:$A,A1176,SETORES!$F:$F,J1176)</f>
        <v/>
      </c>
      <c r="F1176" s="89">
        <f>IFERROR(D1176*E1176,0)</f>
        <v/>
      </c>
      <c r="G1176" s="88">
        <f>SUMIFS(PARÂMETROS!$F$8:$F$907,PARÂMETROS!$A$8:$A$907,C1176,PARÂMETROS!$G$8:$G$907,J1176)</f>
        <v/>
      </c>
      <c r="H1176" s="89">
        <f>IFERROR(F1176*G1176,0)</f>
        <v/>
      </c>
      <c r="I1176" s="89">
        <f>F1176+H1176</f>
        <v/>
      </c>
      <c r="J1176" s="110" t="inlineStr">
        <is>
          <t>Agosto/2026</t>
        </is>
      </c>
    </row>
    <row r="1177" ht="14.25" customHeight="1" s="64">
      <c r="A1177" s="110" t="inlineStr">
        <is>
          <t>Qualidade</t>
        </is>
      </c>
      <c r="B1177" s="110">
        <f>INDEX(SETORES!$B:$B,MATCH(A1177,SETORES!$A:$A,0))</f>
        <v/>
      </c>
      <c r="C1177" s="110" t="inlineStr">
        <is>
          <t>Empresa Licenciada SOARES E SILVA</t>
        </is>
      </c>
      <c r="D1177" s="88">
        <f>IF(B1177="Clientes",SUMIFS(PARÂMETROS!$D$8:$D$907,PARÂMETROS!$A$8:$A$907,C1177,PARÂMETROS!$G$8:$G$907,J1177),SUMIFS(PARÂMETROS!$E$8:$E$907,PARÂMETROS!$A$8:$A$907,C1177,PARÂMETROS!$G$8:$G$907,J1177))</f>
        <v/>
      </c>
      <c r="E1177" s="89">
        <f>SUMIFS(SETORES!$D:$D,SETORES!$A:$A,A1177,SETORES!$F:$F,J1177)</f>
        <v/>
      </c>
      <c r="F1177" s="89">
        <f>IFERROR(D1177*E1177,0)</f>
        <v/>
      </c>
      <c r="G1177" s="88">
        <f>SUMIFS(PARÂMETROS!$F$8:$F$907,PARÂMETROS!$A$8:$A$907,C1177,PARÂMETROS!$G$8:$G$907,J1177)</f>
        <v/>
      </c>
      <c r="H1177" s="89">
        <f>IFERROR(F1177*G1177,0)</f>
        <v/>
      </c>
      <c r="I1177" s="89">
        <f>F1177+H1177</f>
        <v/>
      </c>
      <c r="J1177" s="110" t="inlineStr">
        <is>
          <t>Agosto/2026</t>
        </is>
      </c>
    </row>
    <row r="1178" ht="14.25" customHeight="1" s="64">
      <c r="A1178" s="110" t="inlineStr">
        <is>
          <t>Qualidade</t>
        </is>
      </c>
      <c r="B1178" s="110">
        <f>INDEX(SETORES!$B:$B,MATCH(A1178,SETORES!$A:$A,0))</f>
        <v/>
      </c>
      <c r="C1178" s="110" t="inlineStr">
        <is>
          <t>Empresa Licenciada SOUZA E SILVA</t>
        </is>
      </c>
      <c r="D1178" s="88">
        <f>IF(B1178="Clientes",SUMIFS(PARÂMETROS!$D$8:$D$907,PARÂMETROS!$A$8:$A$907,C1178,PARÂMETROS!$G$8:$G$907,J1178),SUMIFS(PARÂMETROS!$E$8:$E$907,PARÂMETROS!$A$8:$A$907,C1178,PARÂMETROS!$G$8:$G$907,J1178))</f>
        <v/>
      </c>
      <c r="E1178" s="89">
        <f>SUMIFS(SETORES!$D:$D,SETORES!$A:$A,A1178,SETORES!$F:$F,J1178)</f>
        <v/>
      </c>
      <c r="F1178" s="89">
        <f>IFERROR(D1178*E1178,0)</f>
        <v/>
      </c>
      <c r="G1178" s="88">
        <f>SUMIFS(PARÂMETROS!$F$8:$F$907,PARÂMETROS!$A$8:$A$907,C1178,PARÂMETROS!$G$8:$G$907,J1178)</f>
        <v/>
      </c>
      <c r="H1178" s="89">
        <f>IFERROR(F1178*G1178,0)</f>
        <v/>
      </c>
      <c r="I1178" s="89">
        <f>F1178+H1178</f>
        <v/>
      </c>
      <c r="J1178" s="110" t="inlineStr">
        <is>
          <t>Agosto/2026</t>
        </is>
      </c>
    </row>
    <row r="1179" ht="14.25" customHeight="1" s="64">
      <c r="A1179" s="110" t="inlineStr">
        <is>
          <t>Qualidade</t>
        </is>
      </c>
      <c r="B1179" s="110">
        <f>INDEX(SETORES!$B:$B,MATCH(A1179,SETORES!$A:$A,0))</f>
        <v/>
      </c>
      <c r="C1179" s="110" t="inlineStr">
        <is>
          <t>Empresa Licenciada VOICENET</t>
        </is>
      </c>
      <c r="D1179" s="88">
        <f>IF(B1179="Clientes",SUMIFS(PARÂMETROS!$D$8:$D$907,PARÂMETROS!$A$8:$A$907,C1179,PARÂMETROS!$G$8:$G$907,J1179),SUMIFS(PARÂMETROS!$E$8:$E$907,PARÂMETROS!$A$8:$A$907,C1179,PARÂMETROS!$G$8:$G$907,J1179))</f>
        <v/>
      </c>
      <c r="E1179" s="89">
        <f>SUMIFS(SETORES!$D:$D,SETORES!$A:$A,A1179,SETORES!$F:$F,J1179)</f>
        <v/>
      </c>
      <c r="F1179" s="89">
        <f>IFERROR(D1179*E1179,0)</f>
        <v/>
      </c>
      <c r="G1179" s="88">
        <f>SUMIFS(PARÂMETROS!$F$8:$F$907,PARÂMETROS!$A$8:$A$907,C1179,PARÂMETROS!$G$8:$G$907,J1179)</f>
        <v/>
      </c>
      <c r="H1179" s="89">
        <f>IFERROR(F1179*G1179,0)</f>
        <v/>
      </c>
      <c r="I1179" s="89">
        <f>F1179+H1179</f>
        <v/>
      </c>
      <c r="J1179" s="110" t="inlineStr">
        <is>
          <t>Agosto/2026</t>
        </is>
      </c>
    </row>
    <row r="1180" ht="14.25" customHeight="1" s="64">
      <c r="A1180" s="110" t="inlineStr">
        <is>
          <t>Qualidade</t>
        </is>
      </c>
      <c r="B1180" s="110">
        <f>INDEX(SETORES!$B:$B,MATCH(A1180,SETORES!$A:$A,0))</f>
        <v/>
      </c>
      <c r="C1180" s="110" t="inlineStr">
        <is>
          <t>DTEL (uso próprio)</t>
        </is>
      </c>
      <c r="D1180" s="88">
        <f>IF(B1180="Clientes",SUMIFS(PARÂMETROS!$D$8:$D$907,PARÂMETROS!$A$8:$A$907,C1180,PARÂMETROS!$G$8:$G$907,J1180),SUMIFS(PARÂMETROS!$E$8:$E$907,PARÂMETROS!$A$8:$A$907,C1180,PARÂMETROS!$G$8:$G$907,J1180))</f>
        <v/>
      </c>
      <c r="E1180" s="89">
        <f>SUMIFS(SETORES!$D:$D,SETORES!$A:$A,A1180,SETORES!$F:$F,J1180)</f>
        <v/>
      </c>
      <c r="F1180" s="89">
        <f>IFERROR(D1180*E1180,0)</f>
        <v/>
      </c>
      <c r="G1180" s="88">
        <f>SUMIFS(PARÂMETROS!$F$8:$F$907,PARÂMETROS!$A$8:$A$907,C1180,PARÂMETROS!$G$8:$G$907,J1180)</f>
        <v/>
      </c>
      <c r="H1180" s="89">
        <f>IFERROR(F1180*G1180,0)</f>
        <v/>
      </c>
      <c r="I1180" s="89">
        <f>F1180+H1180</f>
        <v/>
      </c>
      <c r="J1180" s="110" t="inlineStr">
        <is>
          <t>Agosto/2026</t>
        </is>
      </c>
    </row>
    <row r="1181" ht="14.25" customHeight="1" s="64">
      <c r="A1181" s="110" t="inlineStr">
        <is>
          <t>TIC</t>
        </is>
      </c>
      <c r="B1181" s="110">
        <f>INDEX(SETORES!$B:$B,MATCH(A1181,SETORES!$A:$A,0))</f>
        <v/>
      </c>
      <c r="C1181" s="110" t="inlineStr">
        <is>
          <t>Empresa Licenciada DX2</t>
        </is>
      </c>
      <c r="D1181" s="88">
        <f>IF(B1181="Clientes",SUMIFS(PARÂMETROS!$D$8:$D$907,PARÂMETROS!$A$8:$A$907,C1181,PARÂMETROS!$G$8:$G$907,J1181),SUMIFS(PARÂMETROS!$E$8:$E$907,PARÂMETROS!$A$8:$A$907,C1181,PARÂMETROS!$G$8:$G$907,J1181))</f>
        <v/>
      </c>
      <c r="E1181" s="89">
        <f>SUMIFS(SETORES!$D:$D,SETORES!$A:$A,A1181,SETORES!$F:$F,J1181)</f>
        <v/>
      </c>
      <c r="F1181" s="89">
        <f>IFERROR(D1181*E1181,0)</f>
        <v/>
      </c>
      <c r="G1181" s="88">
        <f>SUMIFS(PARÂMETROS!$F$8:$F$907,PARÂMETROS!$A$8:$A$907,C1181,PARÂMETROS!$G$8:$G$907,J1181)</f>
        <v/>
      </c>
      <c r="H1181" s="89">
        <f>IFERROR(F1181*G1181,0)</f>
        <v/>
      </c>
      <c r="I1181" s="89">
        <f>F1181+H1181</f>
        <v/>
      </c>
      <c r="J1181" s="110" t="inlineStr">
        <is>
          <t>Agosto/2026</t>
        </is>
      </c>
    </row>
    <row r="1182" ht="14.25" customHeight="1" s="64">
      <c r="A1182" s="110" t="inlineStr">
        <is>
          <t>TIC</t>
        </is>
      </c>
      <c r="B1182" s="110">
        <f>INDEX(SETORES!$B:$B,MATCH(A1182,SETORES!$A:$A,0))</f>
        <v/>
      </c>
      <c r="C1182" s="110" t="inlineStr">
        <is>
          <t>Empresa Licenciada H&amp;A</t>
        </is>
      </c>
      <c r="D1182" s="88">
        <f>IF(B1182="Clientes",SUMIFS(PARÂMETROS!$D$8:$D$907,PARÂMETROS!$A$8:$A$907,C1182,PARÂMETROS!$G$8:$G$907,J1182),SUMIFS(PARÂMETROS!$E$8:$E$907,PARÂMETROS!$A$8:$A$907,C1182,PARÂMETROS!$G$8:$G$907,J1182))</f>
        <v/>
      </c>
      <c r="E1182" s="89">
        <f>SUMIFS(SETORES!$D:$D,SETORES!$A:$A,A1182,SETORES!$F:$F,J1182)</f>
        <v/>
      </c>
      <c r="F1182" s="89">
        <f>IFERROR(D1182*E1182,0)</f>
        <v/>
      </c>
      <c r="G1182" s="88">
        <f>SUMIFS(PARÂMETROS!$F$8:$F$907,PARÂMETROS!$A$8:$A$907,C1182,PARÂMETROS!$G$8:$G$907,J1182)</f>
        <v/>
      </c>
      <c r="H1182" s="89">
        <f>IFERROR(F1182*G1182,0)</f>
        <v/>
      </c>
      <c r="I1182" s="89">
        <f>F1182+H1182</f>
        <v/>
      </c>
      <c r="J1182" s="110" t="inlineStr">
        <is>
          <t>Agosto/2026</t>
        </is>
      </c>
    </row>
    <row r="1183" ht="14.25" customHeight="1" s="64">
      <c r="A1183" s="110" t="inlineStr">
        <is>
          <t>TIC</t>
        </is>
      </c>
      <c r="B1183" s="110">
        <f>INDEX(SETORES!$B:$B,MATCH(A1183,SETORES!$A:$A,0))</f>
        <v/>
      </c>
      <c r="C1183" s="110" t="inlineStr">
        <is>
          <t>Empresa Licenciada SOLON ARAUJO</t>
        </is>
      </c>
      <c r="D1183" s="88">
        <f>IF(B1183="Clientes",SUMIFS(PARÂMETROS!$D$8:$D$907,PARÂMETROS!$A$8:$A$907,C1183,PARÂMETROS!$G$8:$G$907,J1183),SUMIFS(PARÂMETROS!$E$8:$E$907,PARÂMETROS!$A$8:$A$907,C1183,PARÂMETROS!$G$8:$G$907,J1183))</f>
        <v/>
      </c>
      <c r="E1183" s="89">
        <f>SUMIFS(SETORES!$D:$D,SETORES!$A:$A,A1183,SETORES!$F:$F,J1183)</f>
        <v/>
      </c>
      <c r="F1183" s="89">
        <f>IFERROR(D1183*E1183,0)</f>
        <v/>
      </c>
      <c r="G1183" s="88">
        <f>SUMIFS(PARÂMETROS!$F$8:$F$907,PARÂMETROS!$A$8:$A$907,C1183,PARÂMETROS!$G$8:$G$907,J1183)</f>
        <v/>
      </c>
      <c r="H1183" s="89">
        <f>IFERROR(F1183*G1183,0)</f>
        <v/>
      </c>
      <c r="I1183" s="89">
        <f>F1183+H1183</f>
        <v/>
      </c>
      <c r="J1183" s="110" t="inlineStr">
        <is>
          <t>Agosto/2026</t>
        </is>
      </c>
    </row>
    <row r="1184" ht="14.25" customHeight="1" s="64">
      <c r="A1184" s="110" t="inlineStr">
        <is>
          <t>TIC</t>
        </is>
      </c>
      <c r="B1184" s="110">
        <f>INDEX(SETORES!$B:$B,MATCH(A1184,SETORES!$A:$A,0))</f>
        <v/>
      </c>
      <c r="C1184" s="110" t="inlineStr">
        <is>
          <t>Empresa Licenciada SOARES E LINS</t>
        </is>
      </c>
      <c r="D1184" s="88">
        <f>IF(B1184="Clientes",SUMIFS(PARÂMETROS!$D$8:$D$907,PARÂMETROS!$A$8:$A$907,C1184,PARÂMETROS!$G$8:$G$907,J1184),SUMIFS(PARÂMETROS!$E$8:$E$907,PARÂMETROS!$A$8:$A$907,C1184,PARÂMETROS!$G$8:$G$907,J1184))</f>
        <v/>
      </c>
      <c r="E1184" s="89">
        <f>SUMIFS(SETORES!$D:$D,SETORES!$A:$A,A1184,SETORES!$F:$F,J1184)</f>
        <v/>
      </c>
      <c r="F1184" s="89">
        <f>IFERROR(D1184*E1184,0)</f>
        <v/>
      </c>
      <c r="G1184" s="88">
        <f>SUMIFS(PARÂMETROS!$F$8:$F$907,PARÂMETROS!$A$8:$A$907,C1184,PARÂMETROS!$G$8:$G$907,J1184)</f>
        <v/>
      </c>
      <c r="H1184" s="89">
        <f>IFERROR(F1184*G1184,0)</f>
        <v/>
      </c>
      <c r="I1184" s="89">
        <f>F1184+H1184</f>
        <v/>
      </c>
      <c r="J1184" s="110" t="inlineStr">
        <is>
          <t>Agosto/2026</t>
        </is>
      </c>
    </row>
    <row r="1185" ht="14.25" customHeight="1" s="64">
      <c r="A1185" s="110" t="inlineStr">
        <is>
          <t>TIC</t>
        </is>
      </c>
      <c r="B1185" s="110">
        <f>INDEX(SETORES!$B:$B,MATCH(A1185,SETORES!$A:$A,0))</f>
        <v/>
      </c>
      <c r="C1185" s="110" t="inlineStr">
        <is>
          <t>Empresa Licenciada SOARES E SILVA</t>
        </is>
      </c>
      <c r="D1185" s="88">
        <f>IF(B1185="Clientes",SUMIFS(PARÂMETROS!$D$8:$D$907,PARÂMETROS!$A$8:$A$907,C1185,PARÂMETROS!$G$8:$G$907,J1185),SUMIFS(PARÂMETROS!$E$8:$E$907,PARÂMETROS!$A$8:$A$907,C1185,PARÂMETROS!$G$8:$G$907,J1185))</f>
        <v/>
      </c>
      <c r="E1185" s="89">
        <f>SUMIFS(SETORES!$D:$D,SETORES!$A:$A,A1185,SETORES!$F:$F,J1185)</f>
        <v/>
      </c>
      <c r="F1185" s="89">
        <f>IFERROR(D1185*E1185,0)</f>
        <v/>
      </c>
      <c r="G1185" s="88">
        <f>SUMIFS(PARÂMETROS!$F$8:$F$907,PARÂMETROS!$A$8:$A$907,C1185,PARÂMETROS!$G$8:$G$907,J1185)</f>
        <v/>
      </c>
      <c r="H1185" s="89">
        <f>IFERROR(F1185*G1185,0)</f>
        <v/>
      </c>
      <c r="I1185" s="89">
        <f>F1185+H1185</f>
        <v/>
      </c>
      <c r="J1185" s="110" t="inlineStr">
        <is>
          <t>Agosto/2026</t>
        </is>
      </c>
    </row>
    <row r="1186" ht="14.25" customHeight="1" s="64">
      <c r="A1186" s="110" t="inlineStr">
        <is>
          <t>TIC</t>
        </is>
      </c>
      <c r="B1186" s="110">
        <f>INDEX(SETORES!$B:$B,MATCH(A1186,SETORES!$A:$A,0))</f>
        <v/>
      </c>
      <c r="C1186" s="110" t="inlineStr">
        <is>
          <t>Empresa Licenciada SOUZA E SILVA</t>
        </is>
      </c>
      <c r="D1186" s="88">
        <f>IF(B1186="Clientes",SUMIFS(PARÂMETROS!$D$8:$D$907,PARÂMETROS!$A$8:$A$907,C1186,PARÂMETROS!$G$8:$G$907,J1186),SUMIFS(PARÂMETROS!$E$8:$E$907,PARÂMETROS!$A$8:$A$907,C1186,PARÂMETROS!$G$8:$G$907,J1186))</f>
        <v/>
      </c>
      <c r="E1186" s="89">
        <f>SUMIFS(SETORES!$D:$D,SETORES!$A:$A,A1186,SETORES!$F:$F,J1186)</f>
        <v/>
      </c>
      <c r="F1186" s="89">
        <f>IFERROR(D1186*E1186,0)</f>
        <v/>
      </c>
      <c r="G1186" s="88">
        <f>SUMIFS(PARÂMETROS!$F$8:$F$907,PARÂMETROS!$A$8:$A$907,C1186,PARÂMETROS!$G$8:$G$907,J1186)</f>
        <v/>
      </c>
      <c r="H1186" s="89">
        <f>IFERROR(F1186*G1186,0)</f>
        <v/>
      </c>
      <c r="I1186" s="89">
        <f>F1186+H1186</f>
        <v/>
      </c>
      <c r="J1186" s="110" t="inlineStr">
        <is>
          <t>Agosto/2026</t>
        </is>
      </c>
    </row>
    <row r="1187" ht="14.25" customHeight="1" s="64">
      <c r="A1187" s="110" t="inlineStr">
        <is>
          <t>TIC</t>
        </is>
      </c>
      <c r="B1187" s="110">
        <f>INDEX(SETORES!$B:$B,MATCH(A1187,SETORES!$A:$A,0))</f>
        <v/>
      </c>
      <c r="C1187" s="110" t="inlineStr">
        <is>
          <t>Empresa Licenciada VOICENET</t>
        </is>
      </c>
      <c r="D1187" s="88">
        <f>IF(B1187="Clientes",SUMIFS(PARÂMETROS!$D$8:$D$907,PARÂMETROS!$A$8:$A$907,C1187,PARÂMETROS!$G$8:$G$907,J1187),SUMIFS(PARÂMETROS!$E$8:$E$907,PARÂMETROS!$A$8:$A$907,C1187,PARÂMETROS!$G$8:$G$907,J1187))</f>
        <v/>
      </c>
      <c r="E1187" s="89">
        <f>SUMIFS(SETORES!$D:$D,SETORES!$A:$A,A1187,SETORES!$F:$F,J1187)</f>
        <v/>
      </c>
      <c r="F1187" s="89">
        <f>IFERROR(D1187*E1187,0)</f>
        <v/>
      </c>
      <c r="G1187" s="88">
        <f>SUMIFS(PARÂMETROS!$F$8:$F$907,PARÂMETROS!$A$8:$A$907,C1187,PARÂMETROS!$G$8:$G$907,J1187)</f>
        <v/>
      </c>
      <c r="H1187" s="89">
        <f>IFERROR(F1187*G1187,0)</f>
        <v/>
      </c>
      <c r="I1187" s="89">
        <f>F1187+H1187</f>
        <v/>
      </c>
      <c r="J1187" s="110" t="inlineStr">
        <is>
          <t>Agosto/2026</t>
        </is>
      </c>
    </row>
    <row r="1188" ht="14.25" customHeight="1" s="64">
      <c r="A1188" s="110" t="inlineStr">
        <is>
          <t>TIC</t>
        </is>
      </c>
      <c r="B1188" s="110">
        <f>INDEX(SETORES!$B:$B,MATCH(A1188,SETORES!$A:$A,0))</f>
        <v/>
      </c>
      <c r="C1188" s="110" t="inlineStr">
        <is>
          <t>DTEL (uso próprio)</t>
        </is>
      </c>
      <c r="D1188" s="88">
        <f>IF(B1188="Clientes",SUMIFS(PARÂMETROS!$D$8:$D$907,PARÂMETROS!$A$8:$A$907,C1188,PARÂMETROS!$G$8:$G$907,J1188),SUMIFS(PARÂMETROS!$E$8:$E$907,PARÂMETROS!$A$8:$A$907,C1188,PARÂMETROS!$G$8:$G$907,J1188))</f>
        <v/>
      </c>
      <c r="E1188" s="89">
        <f>SUMIFS(SETORES!$D:$D,SETORES!$A:$A,A1188,SETORES!$F:$F,J1188)</f>
        <v/>
      </c>
      <c r="F1188" s="89">
        <f>IFERROR(D1188*E1188,0)</f>
        <v/>
      </c>
      <c r="G1188" s="88">
        <f>SUMIFS(PARÂMETROS!$F$8:$F$907,PARÂMETROS!$A$8:$A$907,C1188,PARÂMETROS!$G$8:$G$907,J1188)</f>
        <v/>
      </c>
      <c r="H1188" s="89">
        <f>IFERROR(F1188*G1188,0)</f>
        <v/>
      </c>
      <c r="I1188" s="89">
        <f>F1188+H1188</f>
        <v/>
      </c>
      <c r="J1188" s="110" t="inlineStr">
        <is>
          <t>Agosto/2026</t>
        </is>
      </c>
    </row>
  </sheetData>
  <autoFilter ref="A38:J638">
    <filterColumn colId="2" hiddenButton="0" showButton="1">
      <filters>
        <filter val="Empresa Licenciada SOARES E LINS"/>
      </filters>
    </filterColumn>
  </autoFilter>
  <mergeCells count="16">
    <mergeCell ref="A647:G647"/>
    <mergeCell ref="A651:G651"/>
    <mergeCell ref="A655:G655"/>
    <mergeCell ref="A1:G1"/>
    <mergeCell ref="A650:G650"/>
    <mergeCell ref="A36:I36"/>
    <mergeCell ref="A653:G653"/>
    <mergeCell ref="A654:G654"/>
    <mergeCell ref="A658:G658"/>
    <mergeCell ref="A648:G648"/>
    <mergeCell ref="A35:F35"/>
    <mergeCell ref="A649:G649"/>
    <mergeCell ref="A657:G657"/>
    <mergeCell ref="A652:G652"/>
    <mergeCell ref="A656:G656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baseColWidth="8" defaultColWidth="8.66796875" defaultRowHeight="14.25" zeroHeight="0" outlineLevelRow="0"/>
  <cols>
    <col width="24.33" customWidth="1" style="110" min="1" max="1"/>
    <col width="16" customWidth="1" style="110" min="2" max="2"/>
    <col width="55" customWidth="1" style="110" min="3" max="3"/>
    <col width="20" customWidth="1" style="110" min="4" max="4"/>
    <col width="18" customWidth="1" style="110" min="5" max="5"/>
    <col width="13" customWidth="1" style="110" min="6" max="6"/>
    <col width="22" customWidth="1" style="110" min="7" max="7"/>
  </cols>
  <sheetData>
    <row r="1" ht="25.5" customHeight="1" s="64">
      <c r="A1" s="65" t="inlineStr">
        <is>
          <t>SETORES — CRITÉRIO DE RATEIO</t>
        </is>
      </c>
    </row>
    <row r="2" ht="15" customHeight="1" s="64">
      <c r="A2" s="68" t="inlineStr">
        <is>
      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      </is>
      </c>
    </row>
    <row r="4" ht="27.75" customHeight="1" s="64">
      <c r="A4" s="69" t="inlineStr">
        <is>
          <t>Setor</t>
        </is>
      </c>
      <c r="B4" s="69" t="inlineStr">
        <is>
          <t>Critério de Rateio</t>
        </is>
      </c>
      <c r="C4" s="69" t="inlineStr">
        <is>
          <t>Justificativa</t>
        </is>
      </c>
      <c r="D4" s="69" t="inlineStr">
        <is>
          <t>Custo Total do Mês</t>
        </is>
      </c>
      <c r="E4" s="69" t="inlineStr">
        <is>
          <t>Custo Unitário</t>
        </is>
      </c>
      <c r="F4" s="69" t="inlineStr">
        <is>
          <t>Mês</t>
        </is>
      </c>
      <c r="G4" s="69" t="inlineStr">
        <is>
          <t>Nº de Funcionários/Clientes</t>
        </is>
      </c>
    </row>
    <row r="5" ht="15" customHeight="1" s="64">
      <c r="A5" s="90" t="n"/>
      <c r="B5" s="91" t="n"/>
      <c r="C5" s="92" t="n"/>
      <c r="D5" s="93">
        <f>SUMIFS('CUSTOS MENSAIS'!$F:$F,'CUSTOS MENSAIS'!$A:$A,A5,'CUSTOS MENSAIS'!$H:$H,F5)</f>
        <v/>
      </c>
      <c r="E5" s="93">
        <f>IFERROR(D5/IF(B5="Clientes",SUMIFS(PARÂMETROS!$B$8:$B$907,PARÂMETROS!$G$8:$G$907,F5),SUMIFS(PARÂMETROS!$C$8:$C$907,PARÂMETROS!$G$8:$G$907,F5)),0)</f>
        <v/>
      </c>
      <c r="F5" s="74" t="n"/>
      <c r="G5" s="94">
        <f>IF(B5="Clientes",SUMIFS(PARÂMETROS!$B$8:$B$907,PARÂMETROS!$G$8:$G$907,F5),SUMIFS(PARÂMETROS!$C$8:$C$907,PARÂMETROS!$G$8:$G$907,F5))</f>
        <v/>
      </c>
    </row>
    <row r="6" ht="15" customHeight="1" s="64">
      <c r="A6" s="90" t="inlineStr">
        <is>
          <t>NOC</t>
        </is>
      </c>
      <c r="B6" s="91" t="inlineStr">
        <is>
          <t>Clientes</t>
        </is>
      </c>
      <c r="C6" s="92" t="inlineStr">
        <is>
          <t>Infraestrutura de rede/NOC escala com o nº de clientes ativos</t>
        </is>
      </c>
      <c r="D6" s="84">
        <f>SUMIFS('CUSTOS MENSAIS'!$F:$F,'CUSTOS MENSAIS'!$A:$A,A6,'CUSTOS MENSAIS'!$H:$H,F6)</f>
        <v/>
      </c>
      <c r="E6" s="84">
        <f>IFERROR(D6/IF(B6="Clientes",SUMIFS(PARÂMETROS!$B$8:$B$907,PARÂMETROS!$G$8:$G$907,F6),SUMIFS(PARÂMETROS!$C$8:$C$907,PARÂMETROS!$G$8:$G$907,F6)),0)</f>
        <v/>
      </c>
      <c r="F6" s="74" t="inlineStr">
        <is>
          <t>Maio/2026</t>
        </is>
      </c>
      <c r="G6" s="94">
        <f>IF(B6="Clientes",SUMIFS(PARÂMETROS!$B$8:$B$907,PARÂMETROS!$G$8:$G$907,F6),SUMIFS(PARÂMETROS!$C$8:$C$907,PARÂMETROS!$G$8:$G$907,F6))</f>
        <v/>
      </c>
    </row>
    <row r="7" ht="15" customHeight="1" s="64">
      <c r="A7" s="90" t="inlineStr">
        <is>
          <t>RH</t>
        </is>
      </c>
      <c r="B7" s="91" t="inlineStr">
        <is>
          <t>Funcionários</t>
        </is>
      </c>
      <c r="C7" s="92" t="inlineStr">
        <is>
          <t>Recursos Humanos atende diretamente aos colaboradores</t>
        </is>
      </c>
      <c r="D7" s="84">
        <f>SUMIFS('CUSTOS MENSAIS'!$F:$F,'CUSTOS MENSAIS'!$A:$A,A7,'CUSTOS MENSAIS'!$H:$H,F7)</f>
        <v/>
      </c>
      <c r="E7" s="84">
        <f>IFERROR(D7/IF(B7="Clientes",SUMIFS(PARÂMETROS!$B$8:$B$907,PARÂMETROS!$G$8:$G$907,F7),SUMIFS(PARÂMETROS!$C$8:$C$907,PARÂMETROS!$G$8:$G$907,F7)),0)</f>
        <v/>
      </c>
      <c r="F7" s="74" t="inlineStr">
        <is>
          <t>Maio/2026</t>
        </is>
      </c>
      <c r="G7" s="94">
        <f>IF(B7="Clientes",SUMIFS(PARÂMETROS!$B$8:$B$907,PARÂMETROS!$G$8:$G$907,F7),SUMIFS(PARÂMETROS!$C$8:$C$907,PARÂMETROS!$G$8:$G$907,F7))</f>
        <v/>
      </c>
    </row>
    <row r="8" ht="15" customHeight="1" s="64">
      <c r="A8" s="90" t="inlineStr">
        <is>
          <t>DP</t>
        </is>
      </c>
      <c r="B8" s="91" t="inlineStr">
        <is>
          <t>Funcionários</t>
        </is>
      </c>
      <c r="C8" s="92" t="inlineStr">
        <is>
          <t>Departamento Pessoal atende à folha de colaboradores</t>
        </is>
      </c>
      <c r="D8" s="84">
        <f>SUMIFS('CUSTOS MENSAIS'!$F:$F,'CUSTOS MENSAIS'!$A:$A,A8,'CUSTOS MENSAIS'!$H:$H,F8)</f>
        <v/>
      </c>
      <c r="E8" s="84">
        <f>IFERROR(D8/IF(B8="Clientes",SUMIFS(PARÂMETROS!$B$8:$B$907,PARÂMETROS!$G$8:$G$907,F8),SUMIFS(PARÂMETROS!$C$8:$C$907,PARÂMETROS!$G$8:$G$907,F8)),0)</f>
        <v/>
      </c>
      <c r="F8" s="74" t="inlineStr">
        <is>
          <t>Maio/2026</t>
        </is>
      </c>
      <c r="G8" s="94">
        <f>IF(B8="Clientes",SUMIFS(PARÂMETROS!$B$8:$B$907,PARÂMETROS!$G$8:$G$907,F8),SUMIFS(PARÂMETROS!$C$8:$C$907,PARÂMETROS!$G$8:$G$907,F8))</f>
        <v/>
      </c>
    </row>
    <row r="9" ht="15" customHeight="1" s="64">
      <c r="A9" s="90" t="inlineStr">
        <is>
          <t>Gestão de Atendimento</t>
        </is>
      </c>
      <c r="B9" s="91" t="inlineStr">
        <is>
          <t>Clientes</t>
        </is>
      </c>
      <c r="C9" s="92" t="inlineStr">
        <is>
          <t>Atendimento administrativo e presencial de loja escala com o volume de clientes atendidos</t>
        </is>
      </c>
      <c r="D9" s="84">
        <f>SUMIFS('CUSTOS MENSAIS'!$F:$F,'CUSTOS MENSAIS'!$A:$A,A9,'CUSTOS MENSAIS'!$H:$H,F9)</f>
        <v/>
      </c>
      <c r="E9" s="84">
        <f>IFERROR(D9/IF(B9="Clientes",SUMIFS(PARÂMETROS!$B$8:$B$907,PARÂMETROS!$G$8:$G$907,F9),SUMIFS(PARÂMETROS!$C$8:$C$907,PARÂMETROS!$G$8:$G$907,F9)),0)</f>
        <v/>
      </c>
      <c r="F9" s="74" t="inlineStr">
        <is>
          <t>Maio/2026</t>
        </is>
      </c>
      <c r="G9" s="94">
        <f>IF(B9="Clientes",SUMIFS(PARÂMETROS!$B$8:$B$907,PARÂMETROS!$G$8:$G$907,F9),SUMIFS(PARÂMETROS!$C$8:$C$907,PARÂMETROS!$G$8:$G$907,F9))</f>
        <v/>
      </c>
    </row>
    <row r="10" ht="15" customHeight="1" s="64">
      <c r="A10" s="90" t="inlineStr">
        <is>
          <t>CAC</t>
        </is>
      </c>
      <c r="B10" s="91" t="inlineStr">
        <is>
          <t>Clientes</t>
        </is>
      </c>
      <c r="C10" s="92" t="inlineStr">
        <is>
          <t>Central de Atendimento ao Cliente atende diretamente a base de clientes de cada empresa</t>
        </is>
      </c>
      <c r="D10" s="84">
        <f>SUMIFS('CUSTOS MENSAIS'!$F:$F,'CUSTOS MENSAIS'!$A:$A,A10,'CUSTOS MENSAIS'!$H:$H,F10)</f>
        <v/>
      </c>
      <c r="E10" s="84">
        <f>IFERROR(D10/IF(B10="Clientes",SUMIFS(PARÂMETROS!$B$8:$B$907,PARÂMETROS!$G$8:$G$907,F10),SUMIFS(PARÂMETROS!$C$8:$C$907,PARÂMETROS!$G$8:$G$907,F10)),0)</f>
        <v/>
      </c>
      <c r="F10" s="74" t="inlineStr">
        <is>
          <t>Maio/2026</t>
        </is>
      </c>
      <c r="G10" s="94">
        <f>IF(B10="Clientes",SUMIFS(PARÂMETROS!$B$8:$B$907,PARÂMETROS!$G$8:$G$907,F10),SUMIFS(PARÂMETROS!$C$8:$C$907,PARÂMETROS!$G$8:$G$907,F10))</f>
        <v/>
      </c>
    </row>
    <row r="11" ht="15" customHeight="1" s="64">
      <c r="A11" s="90" t="inlineStr">
        <is>
          <t>Financeiro</t>
        </is>
      </c>
      <c r="B11" s="91" t="inlineStr">
        <is>
          <t>Clientes</t>
        </is>
      </c>
      <c r="C11" s="92" t="inlineStr">
        <is>
          <t>Financeiro cuida da gestão financeira e de faturamento da operação</t>
        </is>
      </c>
      <c r="D11" s="84">
        <f>SUMIFS('CUSTOS MENSAIS'!$F:$F,'CUSTOS MENSAIS'!$A:$A,A11,'CUSTOS MENSAIS'!$H:$H,F11)</f>
        <v/>
      </c>
      <c r="E11" s="84">
        <f>IFERROR(D11/IF(B11="Clientes",SUMIFS(PARÂMETROS!$B$8:$B$907,PARÂMETROS!$G$8:$G$907,F11),SUMIFS(PARÂMETROS!$C$8:$C$907,PARÂMETROS!$G$8:$G$907,F11)),0)</f>
        <v/>
      </c>
      <c r="F11" s="74" t="inlineStr">
        <is>
          <t>Maio/2026</t>
        </is>
      </c>
      <c r="G11" s="94">
        <f>IF(B11="Clientes",SUMIFS(PARÂMETROS!$B$8:$B$907,PARÂMETROS!$G$8:$G$907,F11),SUMIFS(PARÂMETROS!$C$8:$C$907,PARÂMETROS!$G$8:$G$907,F11))</f>
        <v/>
      </c>
    </row>
    <row r="12" ht="15" customHeight="1" s="64">
      <c r="A12" s="90" t="inlineStr">
        <is>
          <t>NRC</t>
        </is>
      </c>
      <c r="B12" s="91" t="inlineStr">
        <is>
          <t>Clientes</t>
        </is>
      </c>
      <c r="C12" s="92" t="inlineStr">
        <is>
          <t>Serviço de Atendimento ao Cliente escala com o volume de clientes atendidos</t>
        </is>
      </c>
      <c r="D12" s="84">
        <f>SUMIFS('CUSTOS MENSAIS'!$F:$F,'CUSTOS MENSAIS'!$A:$A,A12,'CUSTOS MENSAIS'!$H:$H,F12)</f>
        <v/>
      </c>
      <c r="E12" s="84">
        <f>IFERROR(D12/IF(B12="Clientes",SUMIFS(PARÂMETROS!$B$8:$B$907,PARÂMETROS!$G$8:$G$907,F12),SUMIFS(PARÂMETROS!$C$8:$C$907,PARÂMETROS!$G$8:$G$907,F12)),0)</f>
        <v/>
      </c>
      <c r="F12" s="74" t="inlineStr">
        <is>
          <t>Maio/2026</t>
        </is>
      </c>
      <c r="G12" s="94">
        <f>IF(B12="Clientes",SUMIFS(PARÂMETROS!$B$8:$B$907,PARÂMETROS!$G$8:$G$907,F12),SUMIFS(PARÂMETROS!$C$8:$C$907,PARÂMETROS!$G$8:$G$907,F12))</f>
        <v/>
      </c>
    </row>
    <row r="13" ht="15" customHeight="1" s="64">
      <c r="A13" s="90" t="inlineStr">
        <is>
          <t>Cobrança</t>
        </is>
      </c>
      <c r="B13" s="91" t="inlineStr">
        <is>
          <t>Clientes</t>
        </is>
      </c>
      <c r="C13" s="92" t="inlineStr">
        <is>
          <t>Cobrança atua sobre a carteira de clientes inadimplentes de cada empresa</t>
        </is>
      </c>
      <c r="D13" s="84">
        <f>SUMIFS('CUSTOS MENSAIS'!$F:$F,'CUSTOS MENSAIS'!$A:$A,A13,'CUSTOS MENSAIS'!$H:$H,F13)</f>
        <v/>
      </c>
      <c r="E13" s="84">
        <f>IFERROR(D13/IF(B13="Clientes",SUMIFS(PARÂMETROS!$B$8:$B$907,PARÂMETROS!$G$8:$G$907,F13),SUMIFS(PARÂMETROS!$C$8:$C$907,PARÂMETROS!$G$8:$G$907,F13)),0)</f>
        <v/>
      </c>
      <c r="F13" s="74" t="inlineStr">
        <is>
          <t>Maio/2026</t>
        </is>
      </c>
      <c r="G13" s="94">
        <f>IF(B13="Clientes",SUMIFS(PARÂMETROS!$B$8:$B$907,PARÂMETROS!$G$8:$G$907,F13),SUMIFS(PARÂMETROS!$C$8:$C$907,PARÂMETROS!$G$8:$G$907,F13))</f>
        <v/>
      </c>
    </row>
    <row r="14" ht="15" customHeight="1" s="64">
      <c r="A14" s="90" t="inlineStr">
        <is>
          <t>Retenção</t>
        </is>
      </c>
      <c r="B14" s="91" t="inlineStr">
        <is>
          <t>Clientes</t>
        </is>
      </c>
      <c r="C14" s="92" t="inlineStr">
        <is>
          <t>Retenção atua sobre a base de clientes de cada empresa para evitar cancelamento</t>
        </is>
      </c>
      <c r="D14" s="84">
        <f>SUMIFS('CUSTOS MENSAIS'!$F:$F,'CUSTOS MENSAIS'!$A:$A,A14,'CUSTOS MENSAIS'!$H:$H,F14)</f>
        <v/>
      </c>
      <c r="E14" s="84">
        <f>IFERROR(D14/IF(B14="Clientes",SUMIFS(PARÂMETROS!$B$8:$B$907,PARÂMETROS!$G$8:$G$907,F14),SUMIFS(PARÂMETROS!$C$8:$C$907,PARÂMETROS!$G$8:$G$907,F14)),0)</f>
        <v/>
      </c>
      <c r="F14" s="74" t="inlineStr">
        <is>
          <t>Maio/2026</t>
        </is>
      </c>
      <c r="G14" s="94">
        <f>IF(B14="Clientes",SUMIFS(PARÂMETROS!$B$8:$B$907,PARÂMETROS!$G$8:$G$907,F14),SUMIFS(PARÂMETROS!$C$8:$C$907,PARÂMETROS!$G$8:$G$907,F14))</f>
        <v/>
      </c>
    </row>
    <row r="15" ht="15" customHeight="1" s="64">
      <c r="A15" s="90" t="inlineStr">
        <is>
          <t>Contabilidade</t>
        </is>
      </c>
      <c r="B15" s="91" t="inlineStr">
        <is>
          <t>Clientes</t>
        </is>
      </c>
      <c r="C15" s="92" t="inlineStr">
        <is>
          <t>Contabilidade realiza a escrituração fiscal e contábil da operação</t>
        </is>
      </c>
      <c r="D15" s="84">
        <f>SUMIFS('CUSTOS MENSAIS'!$F:$F,'CUSTOS MENSAIS'!$A:$A,A15,'CUSTOS MENSAIS'!$H:$H,F15)</f>
        <v/>
      </c>
      <c r="E15" s="84">
        <f>IFERROR(D15/IF(B15="Clientes",SUMIFS(PARÂMETROS!$B$8:$B$907,PARÂMETROS!$G$8:$G$907,F15),SUMIFS(PARÂMETROS!$C$8:$C$907,PARÂMETROS!$G$8:$G$907,F15)),0)</f>
        <v/>
      </c>
      <c r="F15" s="74" t="inlineStr">
        <is>
          <t>Maio/2026</t>
        </is>
      </c>
      <c r="G15" s="94">
        <f>IF(B15="Clientes",SUMIFS(PARÂMETROS!$B$8:$B$907,PARÂMETROS!$G$8:$G$907,F15),SUMIFS(PARÂMETROS!$C$8:$C$907,PARÂMETROS!$G$8:$G$907,F15))</f>
        <v/>
      </c>
    </row>
    <row r="16" ht="15" customHeight="1" s="64">
      <c r="A16" s="90" t="inlineStr">
        <is>
          <t>Controladoria</t>
        </is>
      </c>
      <c r="B16" s="91" t="inlineStr">
        <is>
          <t>Clientes</t>
        </is>
      </c>
      <c r="C16" s="92" t="inlineStr">
        <is>
          <t>Controladoria acompanha os indicadores financeiros da operação</t>
        </is>
      </c>
      <c r="D16" s="84">
        <f>SUMIFS('CUSTOS MENSAIS'!$F:$F,'CUSTOS MENSAIS'!$A:$A,A16,'CUSTOS MENSAIS'!$H:$H,F16)</f>
        <v/>
      </c>
      <c r="E16" s="84">
        <f>IFERROR(D16/IF(B16="Clientes",SUMIFS(PARÂMETROS!$B$8:$B$907,PARÂMETROS!$G$8:$G$907,F16),SUMIFS(PARÂMETROS!$C$8:$C$907,PARÂMETROS!$G$8:$G$907,F16)),0)</f>
        <v/>
      </c>
      <c r="F16" s="74" t="inlineStr">
        <is>
          <t>Maio/2026</t>
        </is>
      </c>
      <c r="G16" s="94">
        <f>IF(B16="Clientes",SUMIFS(PARÂMETROS!$B$8:$B$907,PARÂMETROS!$G$8:$G$907,F16),SUMIFS(PARÂMETROS!$C$8:$C$907,PARÂMETROS!$G$8:$G$907,F16))</f>
        <v/>
      </c>
    </row>
    <row r="17" ht="15" customHeight="1" s="64">
      <c r="A17" s="90" t="inlineStr">
        <is>
          <t>Diretoria Operacional</t>
        </is>
      </c>
      <c r="B17" s="91" t="inlineStr">
        <is>
          <t>Clientes</t>
        </is>
      </c>
      <c r="C17" s="92" t="inlineStr">
        <is>
          <t>Diretoria Operacional coordena a operação das áreas técnicas e de atendimento</t>
        </is>
      </c>
      <c r="D17" s="84">
        <f>SUMIFS('CUSTOS MENSAIS'!$F:$F,'CUSTOS MENSAIS'!$A:$A,A17,'CUSTOS MENSAIS'!$H:$H,F17)</f>
        <v/>
      </c>
      <c r="E17" s="84">
        <f>IFERROR(D17/IF(B17="Clientes",SUMIFS(PARÂMETROS!$B$8:$B$907,PARÂMETROS!$G$8:$G$907,F17),SUMIFS(PARÂMETROS!$C$8:$C$907,PARÂMETROS!$G$8:$G$907,F17)),0)</f>
        <v/>
      </c>
      <c r="F17" s="74" t="inlineStr">
        <is>
          <t>Maio/2026</t>
        </is>
      </c>
      <c r="G17" s="94">
        <f>IF(B17="Clientes",SUMIFS(PARÂMETROS!$B$8:$B$907,PARÂMETROS!$G$8:$G$907,F17),SUMIFS(PARÂMETROS!$C$8:$C$907,PARÂMETROS!$G$8:$G$907,F17))</f>
        <v/>
      </c>
    </row>
    <row r="18" ht="15" customHeight="1" s="64">
      <c r="A18" s="90" t="inlineStr">
        <is>
          <t>Compras</t>
        </is>
      </c>
      <c r="B18" s="91" t="inlineStr">
        <is>
          <t>Clientes</t>
        </is>
      </c>
      <c r="C18" s="92" t="inlineStr">
        <is>
          <t>Compras administra a aquisição de materiais e serviços para a operação</t>
        </is>
      </c>
      <c r="D18" s="84">
        <f>SUMIFS('CUSTOS MENSAIS'!$F:$F,'CUSTOS MENSAIS'!$A:$A,A18,'CUSTOS MENSAIS'!$H:$H,F18)</f>
        <v/>
      </c>
      <c r="E18" s="84">
        <f>IFERROR(D18/IF(B18="Clientes",SUMIFS(PARÂMETROS!$B$8:$B$907,PARÂMETROS!$G$8:$G$907,F18),SUMIFS(PARÂMETROS!$C$8:$C$907,PARÂMETROS!$G$8:$G$907,F18)),0)</f>
        <v/>
      </c>
      <c r="F18" s="74" t="inlineStr">
        <is>
          <t>Maio/2026</t>
        </is>
      </c>
      <c r="G18" s="94">
        <f>IF(B18="Clientes",SUMIFS(PARÂMETROS!$B$8:$B$907,PARÂMETROS!$G$8:$G$907,F18),SUMIFS(PARÂMETROS!$C$8:$C$907,PARÂMETROS!$G$8:$G$907,F18))</f>
        <v/>
      </c>
    </row>
    <row r="19" ht="14.25" customHeight="1" s="64">
      <c r="A19" s="90" t="inlineStr">
        <is>
          <t>Segurança do Trabalho</t>
        </is>
      </c>
      <c r="B19" s="91" t="inlineStr">
        <is>
          <t>Funcionários</t>
        </is>
      </c>
      <c r="C19" s="92" t="inlineStr">
        <is>
          <t>Segurança do Trabalho cuida da saúde e segurança dos colaboradores</t>
        </is>
      </c>
      <c r="D19" s="84">
        <f>SUMIFS('CUSTOS MENSAIS'!$F:$F,'CUSTOS MENSAIS'!$A:$A,A19,'CUSTOS MENSAIS'!$H:$H,F19)</f>
        <v/>
      </c>
      <c r="E19" s="84">
        <f>IFERROR(D19/IF(B19="Clientes",SUMIFS(PARÂMETROS!$B$8:$B$907,PARÂMETROS!$G$8:$G$907,F19),SUMIFS(PARÂMETROS!$C$8:$C$907,PARÂMETROS!$G$8:$G$907,F19)),0)</f>
        <v/>
      </c>
      <c r="F19" s="74" t="inlineStr">
        <is>
          <t>Maio/2026</t>
        </is>
      </c>
      <c r="G19" s="94">
        <f>IF(B19="Clientes",SUMIFS(PARÂMETROS!$B$8:$B$907,PARÂMETROS!$G$8:$G$907,F19),SUMIFS(PARÂMETROS!$C$8:$C$907,PARÂMETROS!$G$8:$G$907,F19))</f>
        <v/>
      </c>
    </row>
    <row r="20" ht="15" customHeight="1" s="64">
      <c r="A20" s="90" t="inlineStr">
        <is>
          <t>Engenharia</t>
        </is>
      </c>
      <c r="B20" s="91" t="inlineStr">
        <is>
          <t>Clientes</t>
        </is>
      </c>
      <c r="C20" s="92" t="inlineStr">
        <is>
          <t>Engenharia realiza a instalação e manutenção da infraestrutura de rede</t>
        </is>
      </c>
      <c r="D20" s="84">
        <f>SUMIFS('CUSTOS MENSAIS'!$F:$F,'CUSTOS MENSAIS'!$A:$A,A20,'CUSTOS MENSAIS'!$H:$H,F20)</f>
        <v/>
      </c>
      <c r="E20" s="84">
        <f>IFERROR(D20/IF(B20="Clientes",SUMIFS(PARÂMETROS!$B$8:$B$907,PARÂMETROS!$G$8:$G$907,F20),SUMIFS(PARÂMETROS!$C$8:$C$907,PARÂMETROS!$G$8:$G$907,F20)),0)</f>
        <v/>
      </c>
      <c r="F20" s="74" t="inlineStr">
        <is>
          <t>Maio/2026</t>
        </is>
      </c>
      <c r="G20" s="94">
        <f>IF(B20="Clientes",SUMIFS(PARÂMETROS!$B$8:$B$907,PARÂMETROS!$G$8:$G$907,F20),SUMIFS(PARÂMETROS!$C$8:$C$907,PARÂMETROS!$G$8:$G$907,F20))</f>
        <v/>
      </c>
    </row>
    <row r="21" ht="15" customHeight="1" s="64">
      <c r="A21" s="90" t="inlineStr">
        <is>
          <t>Obras</t>
        </is>
      </c>
      <c r="B21" s="91" t="inlineStr">
        <is>
          <t>Clientes</t>
        </is>
      </c>
      <c r="C21" s="92" t="inlineStr">
        <is>
          <t>Obras executa construção e manutenção civil da infraestrutura</t>
        </is>
      </c>
      <c r="D21" s="84">
        <f>SUMIFS('CUSTOS MENSAIS'!$F:$F,'CUSTOS MENSAIS'!$A:$A,A21,'CUSTOS MENSAIS'!$H:$H,F21)</f>
        <v/>
      </c>
      <c r="E21" s="84">
        <f>IFERROR(D21/IF(B21="Clientes",SUMIFS(PARÂMETROS!$B$8:$B$907,PARÂMETROS!$G$8:$G$907,F21),SUMIFS(PARÂMETROS!$C$8:$C$907,PARÂMETROS!$G$8:$G$907,F21)),0)</f>
        <v/>
      </c>
      <c r="F21" s="74" t="inlineStr">
        <is>
          <t>Maio/2026</t>
        </is>
      </c>
      <c r="G21" s="94">
        <f>IF(B21="Clientes",SUMIFS(PARÂMETROS!$B$8:$B$907,PARÂMETROS!$G$8:$G$907,F21),SUMIFS(PARÂMETROS!$C$8:$C$907,PARÂMETROS!$G$8:$G$907,F21))</f>
        <v/>
      </c>
    </row>
    <row r="22" ht="15" customHeight="1" s="64">
      <c r="A22" s="90" t="inlineStr">
        <is>
          <t>Manutenção Predial</t>
        </is>
      </c>
      <c r="B22" s="91" t="inlineStr">
        <is>
          <t>Clientes</t>
        </is>
      </c>
      <c r="C22" s="92" t="inlineStr">
        <is>
          <t>Manutenção Predial cuida da manutenção das instalações físicas</t>
        </is>
      </c>
      <c r="D22" s="84">
        <f>SUMIFS('CUSTOS MENSAIS'!$F:$F,'CUSTOS MENSAIS'!$A:$A,A22,'CUSTOS MENSAIS'!$H:$H,F22)</f>
        <v/>
      </c>
      <c r="E22" s="84">
        <f>IFERROR(D22/IF(B22="Clientes",SUMIFS(PARÂMETROS!$B$8:$B$907,PARÂMETROS!$G$8:$G$907,F22),SUMIFS(PARÂMETROS!$C$8:$C$907,PARÂMETROS!$G$8:$G$907,F22)),0)</f>
        <v/>
      </c>
      <c r="F22" s="74" t="inlineStr">
        <is>
          <t>Maio/2026</t>
        </is>
      </c>
      <c r="G22" s="94">
        <f>IF(B22="Clientes",SUMIFS(PARÂMETROS!$B$8:$B$907,PARÂMETROS!$G$8:$G$907,F22),SUMIFS(PARÂMETROS!$C$8:$C$907,PARÂMETROS!$G$8:$G$907,F22))</f>
        <v/>
      </c>
    </row>
    <row r="23" ht="15" customHeight="1" s="64">
      <c r="A23" s="90" t="inlineStr">
        <is>
          <t>Logística</t>
        </is>
      </c>
      <c r="B23" s="91" t="inlineStr">
        <is>
          <t>Clientes</t>
        </is>
      </c>
      <c r="C23" s="92" t="inlineStr">
        <is>
          <t>Logística administra o armazenamento e a distribuição de materiais e equipamentos</t>
        </is>
      </c>
      <c r="D23" s="84">
        <f>SUMIFS('CUSTOS MENSAIS'!$F:$F,'CUSTOS MENSAIS'!$A:$A,A23,'CUSTOS MENSAIS'!$H:$H,F23)</f>
        <v/>
      </c>
      <c r="E23" s="84">
        <f>IFERROR(D23/IF(B23="Clientes",SUMIFS(PARÂMETROS!$B$8:$B$907,PARÂMETROS!$G$8:$G$907,F23),SUMIFS(PARÂMETROS!$C$8:$C$907,PARÂMETROS!$G$8:$G$907,F23)),0)</f>
        <v/>
      </c>
      <c r="F23" s="74" t="inlineStr">
        <is>
          <t>Maio/2026</t>
        </is>
      </c>
      <c r="G23" s="94">
        <f>IF(B23="Clientes",SUMIFS(PARÂMETROS!$B$8:$B$907,PARÂMETROS!$G$8:$G$907,F23),SUMIFS(PARÂMETROS!$C$8:$C$907,PARÂMETROS!$G$8:$G$907,F23))</f>
        <v/>
      </c>
    </row>
    <row r="24" ht="15" customHeight="1" s="64">
      <c r="A24" s="90" t="inlineStr">
        <is>
          <t>Oficina</t>
        </is>
      </c>
      <c r="B24" s="91" t="inlineStr">
        <is>
          <t>Clientes</t>
        </is>
      </c>
      <c r="C24" s="92" t="inlineStr">
        <is>
          <t>Oficina realiza a manutenção da frota de veículos</t>
        </is>
      </c>
      <c r="D24" s="84">
        <f>SUMIFS('CUSTOS MENSAIS'!$F:$F,'CUSTOS MENSAIS'!$A:$A,A24,'CUSTOS MENSAIS'!$H:$H,F24)</f>
        <v/>
      </c>
      <c r="E24" s="84">
        <f>IFERROR(D24/IF(B24="Clientes",SUMIFS(PARÂMETROS!$B$8:$B$907,PARÂMETROS!$G$8:$G$907,F24),SUMIFS(PARÂMETROS!$C$8:$C$907,PARÂMETROS!$G$8:$G$907,F24)),0)</f>
        <v/>
      </c>
      <c r="F24" s="74" t="inlineStr">
        <is>
          <t>Maio/2026</t>
        </is>
      </c>
      <c r="G24" s="94">
        <f>IF(B24="Clientes",SUMIFS(PARÂMETROS!$B$8:$B$907,PARÂMETROS!$G$8:$G$907,F24),SUMIFS(PARÂMETROS!$C$8:$C$907,PARÂMETROS!$G$8:$G$907,F24))</f>
        <v/>
      </c>
    </row>
    <row r="25" ht="15" customHeight="1" s="64">
      <c r="A25" s="90" t="inlineStr">
        <is>
          <t>Estoque</t>
        </is>
      </c>
      <c r="B25" s="91" t="inlineStr">
        <is>
          <t>Clientes</t>
        </is>
      </c>
      <c r="C25" s="92" t="inlineStr">
        <is>
          <t>Estoque controla o armazenamento e a movimentação de materiais</t>
        </is>
      </c>
      <c r="D25" s="84">
        <f>SUMIFS('CUSTOS MENSAIS'!$F:$F,'CUSTOS MENSAIS'!$A:$A,A25,'CUSTOS MENSAIS'!$H:$H,F25)</f>
        <v/>
      </c>
      <c r="E25" s="84">
        <f>IFERROR(D25/IF(B25="Clientes",SUMIFS(PARÂMETROS!$B$8:$B$907,PARÂMETROS!$G$8:$G$907,F25),SUMIFS(PARÂMETROS!$C$8:$C$907,PARÂMETROS!$G$8:$G$907,F25)),0)</f>
        <v/>
      </c>
      <c r="F25" s="74" t="inlineStr">
        <is>
          <t>Maio/2026</t>
        </is>
      </c>
      <c r="G25" s="94">
        <f>IF(B25="Clientes",SUMIFS(PARÂMETROS!$B$8:$B$907,PARÂMETROS!$G$8:$G$907,F25),SUMIFS(PARÂMETROS!$C$8:$C$907,PARÂMETROS!$G$8:$G$907,F25))</f>
        <v/>
      </c>
    </row>
    <row r="26" ht="15" customHeight="1" s="64">
      <c r="A26" s="90" t="inlineStr">
        <is>
          <t>Televendas</t>
        </is>
      </c>
      <c r="B26" s="91" t="inlineStr">
        <is>
          <t>Clientes</t>
        </is>
      </c>
      <c r="C26" s="92" t="inlineStr">
        <is>
          <t>Televendas realiza vendas por telefone para novos clientes</t>
        </is>
      </c>
      <c r="D26" s="84">
        <f>SUMIFS('CUSTOS MENSAIS'!$F:$F,'CUSTOS MENSAIS'!$A:$A,A26,'CUSTOS MENSAIS'!$H:$H,F26)</f>
        <v/>
      </c>
      <c r="E26" s="84">
        <f>IFERROR(D26/IF(B26="Clientes",SUMIFS(PARÂMETROS!$B$8:$B$907,PARÂMETROS!$G$8:$G$907,F26),SUMIFS(PARÂMETROS!$C$8:$C$907,PARÂMETROS!$G$8:$G$907,F26)),0)</f>
        <v/>
      </c>
      <c r="F26" s="74" t="inlineStr">
        <is>
          <t>Maio/2026</t>
        </is>
      </c>
      <c r="G26" s="94">
        <f>IF(B26="Clientes",SUMIFS(PARÂMETROS!$B$8:$B$907,PARÂMETROS!$G$8:$G$907,F26),SUMIFS(PARÂMETROS!$C$8:$C$907,PARÂMETROS!$G$8:$G$907,F26))</f>
        <v/>
      </c>
    </row>
    <row r="27" ht="15" customHeight="1" s="64">
      <c r="A27" s="90" t="inlineStr">
        <is>
          <t>Suporte Orbix</t>
        </is>
      </c>
      <c r="B27" s="91" t="inlineStr">
        <is>
          <t>Clientes</t>
        </is>
      </c>
      <c r="C27" s="92" t="inlineStr">
        <is>
          <t>Suporte Orbix dá suporte técnico à operação Orbix</t>
        </is>
      </c>
      <c r="D27" s="84">
        <f>SUMIFS('CUSTOS MENSAIS'!$F:$F,'CUSTOS MENSAIS'!$A:$A,A27,'CUSTOS MENSAIS'!$H:$H,F27)</f>
        <v/>
      </c>
      <c r="E27" s="84">
        <f>IFERROR(D27/IF(B27="Clientes",SUMIFS(PARÂMETROS!$B$8:$B$907,PARÂMETROS!$G$8:$G$907,F27),SUMIFS(PARÂMETROS!$C$8:$C$907,PARÂMETROS!$G$8:$G$907,F27)),0)</f>
        <v/>
      </c>
      <c r="F27" s="74" t="inlineStr">
        <is>
          <t>Maio/2026</t>
        </is>
      </c>
      <c r="G27" s="94">
        <f>IF(B27="Clientes",SUMIFS(PARÂMETROS!$B$8:$B$907,PARÂMETROS!$G$8:$G$907,F27),SUMIFS(PARÂMETROS!$C$8:$C$907,PARÂMETROS!$G$8:$G$907,F27))</f>
        <v/>
      </c>
    </row>
    <row r="28" ht="15" customHeight="1" s="64">
      <c r="A28" s="90" t="inlineStr">
        <is>
          <t>Suporte da Central</t>
        </is>
      </c>
      <c r="B28" s="91" t="inlineStr">
        <is>
          <t>Clientes</t>
        </is>
      </c>
      <c r="C28" s="92" t="inlineStr">
        <is>
          <t>Suporte da Central dá suporte técnico à central de atendimento</t>
        </is>
      </c>
      <c r="D28" s="84">
        <f>SUMIFS('CUSTOS MENSAIS'!$F:$F,'CUSTOS MENSAIS'!$A:$A,A28,'CUSTOS MENSAIS'!$H:$H,F28)</f>
        <v/>
      </c>
      <c r="E28" s="84">
        <f>IFERROR(D28/IF(B28="Clientes",SUMIFS(PARÂMETROS!$B$8:$B$907,PARÂMETROS!$G$8:$G$907,F28),SUMIFS(PARÂMETROS!$C$8:$C$907,PARÂMETROS!$G$8:$G$907,F28)),0)</f>
        <v/>
      </c>
      <c r="F28" s="74" t="inlineStr">
        <is>
          <t>Maio/2026</t>
        </is>
      </c>
      <c r="G28" s="94">
        <f>IF(B28="Clientes",SUMIFS(PARÂMETROS!$B$8:$B$907,PARÂMETROS!$G$8:$G$907,F28),SUMIFS(PARÂMETROS!$C$8:$C$907,PARÂMETROS!$G$8:$G$907,F28))</f>
        <v/>
      </c>
    </row>
    <row r="29" ht="15" customHeight="1" s="64">
      <c r="A29" s="90" t="inlineStr">
        <is>
          <t>Comercial Corporativo</t>
        </is>
      </c>
      <c r="B29" s="91" t="inlineStr">
        <is>
          <t>Clientes</t>
        </is>
      </c>
      <c r="C29" s="92" t="inlineStr">
        <is>
          <t>Comercial Corporativo realiza vendas para clientes corporativos</t>
        </is>
      </c>
      <c r="D29" s="84">
        <f>SUMIFS('CUSTOS MENSAIS'!$F:$F,'CUSTOS MENSAIS'!$A:$A,A29,'CUSTOS MENSAIS'!$H:$H,F29)</f>
        <v/>
      </c>
      <c r="E29" s="84">
        <f>IFERROR(D29/IF(B29="Clientes",SUMIFS(PARÂMETROS!$B$8:$B$907,PARÂMETROS!$G$8:$G$907,F29),SUMIFS(PARÂMETROS!$C$8:$C$907,PARÂMETROS!$G$8:$G$907,F29)),0)</f>
        <v/>
      </c>
      <c r="F29" s="74" t="inlineStr">
        <is>
          <t>Maio/2026</t>
        </is>
      </c>
      <c r="G29" s="94">
        <f>IF(B29="Clientes",SUMIFS(PARÂMETROS!$B$8:$B$907,PARÂMETROS!$G$8:$G$907,F29),SUMIFS(PARÂMETROS!$C$8:$C$907,PARÂMETROS!$G$8:$G$907,F29))</f>
        <v/>
      </c>
    </row>
    <row r="30" ht="15" customHeight="1" s="64">
      <c r="A30" s="90" t="inlineStr">
        <is>
          <t>Administrativo</t>
        </is>
      </c>
      <c r="B30" s="91" t="inlineStr">
        <is>
          <t>Funcionários</t>
        </is>
      </c>
      <c r="C30" s="92" t="inlineStr">
        <is>
          <t>Administrativo reúne os softwares e sistemas corporativos usados pela operação</t>
        </is>
      </c>
      <c r="D30" s="84">
        <f>SUMIFS('CUSTOS MENSAIS'!$F:$F,'CUSTOS MENSAIS'!$A:$A,A30,'CUSTOS MENSAIS'!$H:$H,F30)</f>
        <v/>
      </c>
      <c r="E30" s="84">
        <f>IFERROR(D30/IF(B30="Clientes",SUMIFS(PARÂMETROS!$B$8:$B$907,PARÂMETROS!$G$8:$G$907,F30),SUMIFS(PARÂMETROS!$C$8:$C$907,PARÂMETROS!$G$8:$G$907,F30)),0)</f>
        <v/>
      </c>
      <c r="F30" s="74" t="inlineStr">
        <is>
          <t>Maio/2026</t>
        </is>
      </c>
      <c r="G30" s="94">
        <f>IF(B30="Clientes",SUMIFS(PARÂMETROS!$B$8:$B$907,PARÂMETROS!$G$8:$G$907,F30),SUMIFS(PARÂMETROS!$C$8:$C$907,PARÂMETROS!$G$8:$G$907,F30))</f>
        <v/>
      </c>
    </row>
    <row r="31" ht="15" customHeight="1" s="64">
      <c r="A31" s="90" t="inlineStr">
        <is>
          <t>Qualidade</t>
        </is>
      </c>
      <c r="B31" s="91" t="inlineStr">
        <is>
          <t>Clientes</t>
        </is>
      </c>
      <c r="C31" s="92" t="inlineStr">
        <is>
          <t>Área de Qualidade garante o padrão de atendimento e dos serviços prestados aos clientes</t>
        </is>
      </c>
      <c r="D31" s="84">
        <f>SUMIFS('CUSTOS MENSAIS'!$F:$F,'CUSTOS MENSAIS'!$A:$A,A31,'CUSTOS MENSAIS'!$H:$H,F31)</f>
        <v/>
      </c>
      <c r="E31" s="84">
        <f>IFERROR(D31/IF(B31="Clientes",SUMIFS(PARÂMETROS!$B$8:$B$907,PARÂMETROS!$G$8:$G$907,F31),SUMIFS(PARÂMETROS!$C$8:$C$907,PARÂMETROS!$G$8:$G$907,F31)),0)</f>
        <v/>
      </c>
      <c r="F31" s="74" t="inlineStr">
        <is>
          <t>Maio/2026</t>
        </is>
      </c>
      <c r="G31" s="94">
        <f>IF(B31="Clientes",SUMIFS(PARÂMETROS!$B$8:$B$907,PARÂMETROS!$G$8:$G$907,F31),SUMIFS(PARÂMETROS!$C$8:$C$907,PARÂMETROS!$G$8:$G$907,F31))</f>
        <v/>
      </c>
    </row>
    <row r="32" ht="15" customHeight="1" s="64">
      <c r="A32" s="90" t="inlineStr">
        <is>
          <t>Jurídico</t>
        </is>
      </c>
      <c r="B32" s="91" t="inlineStr">
        <is>
          <t>Clientes</t>
        </is>
      </c>
      <c r="C32" s="92" t="inlineStr">
        <is>
          <t>Jurídico atua nas demandas legais e contratuais da operação</t>
        </is>
      </c>
      <c r="D32" s="84">
        <f>SUMIFS('CUSTOS MENSAIS'!$F:$F,'CUSTOS MENSAIS'!$A:$A,A32,'CUSTOS MENSAIS'!$H:$H,F32)</f>
        <v/>
      </c>
      <c r="E32" s="84">
        <f>IFERROR(D32/IF(B32="Clientes",SUMIFS(PARÂMETROS!$B$8:$B$907,PARÂMETROS!$G$8:$G$907,F32),SUMIFS(PARÂMETROS!$C$8:$C$907,PARÂMETROS!$G$8:$G$907,F32)),0)</f>
        <v/>
      </c>
      <c r="F32" s="74" t="inlineStr">
        <is>
          <t>Maio/2026</t>
        </is>
      </c>
      <c r="G32" s="94">
        <f>IF(B32="Clientes",SUMIFS(PARÂMETROS!$B$8:$B$907,PARÂMETROS!$G$8:$G$907,F32),SUMIFS(PARÂMETROS!$C$8:$C$907,PARÂMETROS!$G$8:$G$907,F32))</f>
        <v/>
      </c>
    </row>
    <row r="33" ht="15" customHeight="1" s="64">
      <c r="A33" s="90" t="inlineStr">
        <is>
          <t>Marketing</t>
        </is>
      </c>
      <c r="B33" s="91" t="inlineStr">
        <is>
          <t>Clientes</t>
        </is>
      </c>
      <c r="C33" s="92" t="inlineStr">
        <is>
          <t>Marketing atua na captação, retenção e comunicação com a base de clientes</t>
        </is>
      </c>
      <c r="D33" s="84">
        <f>SUMIFS('CUSTOS MENSAIS'!$F:$F,'CUSTOS MENSAIS'!$A:$A,A33,'CUSTOS MENSAIS'!$H:$H,F33)</f>
        <v/>
      </c>
      <c r="E33" s="84">
        <f>IFERROR(D33/IF(B33="Clientes",SUMIFS(PARÂMETROS!$B$8:$B$907,PARÂMETROS!$G$8:$G$907,F33),SUMIFS(PARÂMETROS!$C$8:$C$907,PARÂMETROS!$G$8:$G$907,F33)),0)</f>
        <v/>
      </c>
      <c r="F33" s="74" t="inlineStr">
        <is>
          <t>Maio/2026</t>
        </is>
      </c>
      <c r="G33" s="94">
        <f>IF(B33="Clientes",SUMIFS(PARÂMETROS!$B$8:$B$907,PARÂMETROS!$G$8:$G$907,F33),SUMIFS(PARÂMETROS!$C$8:$C$907,PARÂMETROS!$G$8:$G$907,F33))</f>
        <v/>
      </c>
    </row>
    <row r="34" ht="14.25" customHeight="1" s="64">
      <c r="A34" s="90" t="inlineStr">
        <is>
          <t>TIC</t>
        </is>
      </c>
      <c r="B34" s="91" t="inlineStr">
        <is>
          <t>Clientes</t>
        </is>
      </c>
      <c r="C34" s="92" t="inlineStr">
        <is>
          <t>TIC dá suporte de infraestrutura de tecnologia à operação voltada aos clientes</t>
        </is>
      </c>
      <c r="D34" s="84">
        <f>SUMIFS('CUSTOS MENSAIS'!$F:$F,'CUSTOS MENSAIS'!$A:$A,A34,'CUSTOS MENSAIS'!$H:$H,F34)</f>
        <v/>
      </c>
      <c r="E34" s="84">
        <f>IFERROR(D34/IF(B34="Clientes",SUMIFS(PARÂMETROS!$B$8:$B$907,PARÂMETROS!$G$8:$G$907,F34),SUMIFS(PARÂMETROS!$C$8:$C$907,PARÂMETROS!$G$8:$G$907,F34)),0)</f>
        <v/>
      </c>
      <c r="F34" s="74" t="inlineStr">
        <is>
          <t>Maio/2026</t>
        </is>
      </c>
      <c r="G34" s="94">
        <f>IF(B34="Clientes",SUMIFS(PARÂMETROS!$B$8:$B$907,PARÂMETROS!$G$8:$G$907,F34),SUMIFS(PARÂMETROS!$C$8:$C$907,PARÂMETROS!$G$8:$G$907,F34))</f>
        <v/>
      </c>
    </row>
    <row r="35" ht="14.25" customHeight="1" s="64">
      <c r="A35" s="90" t="inlineStr">
        <is>
          <t>COE</t>
        </is>
      </c>
      <c r="B35" s="91" t="inlineStr">
        <is>
          <t>Clientes</t>
        </is>
      </c>
      <c r="C35" s="92" t="inlineStr">
        <is>
          <t>Centro de Operações Especiais (COE) trata despacho e demandas operacionais ligadas à base de clientes</t>
        </is>
      </c>
      <c r="D35" s="84">
        <f>SUMIFS('CUSTOS MENSAIS'!$F:$F,'CUSTOS MENSAIS'!$A:$A,A35,'CUSTOS MENSAIS'!$H:$H,F35)</f>
        <v/>
      </c>
      <c r="E35" s="84">
        <f>IFERROR(D35/IF(B35="Clientes",SUMIFS(PARÂMETROS!$B$8:$B$907,PARÂMETROS!$G$8:$G$907,F35),SUMIFS(PARÂMETROS!$C$8:$C$907,PARÂMETROS!$G$8:$G$907,F35)),0)</f>
        <v/>
      </c>
      <c r="F35" s="74" t="inlineStr">
        <is>
          <t>Maio/2026</t>
        </is>
      </c>
      <c r="G35" s="94">
        <f>IF(B35="Clientes",SUMIFS(PARÂMETROS!$B$8:$B$907,PARÂMETROS!$G$8:$G$907,F35),SUMIFS(PARÂMETROS!$C$8:$C$907,PARÂMETROS!$G$8:$G$907,F35))</f>
        <v/>
      </c>
    </row>
    <row r="36" ht="14.25" customHeight="1" s="64">
      <c r="A36" s="90" t="inlineStr">
        <is>
          <t>Fique Móvel</t>
        </is>
      </c>
      <c r="B36" s="91" t="inlineStr">
        <is>
          <t>Clientes</t>
        </is>
      </c>
      <c r="C36" s="92" t="inlineStr">
        <is>
          <t>Fique Móvel é equipe de vendas que atua diretamente na captação de clientes</t>
        </is>
      </c>
      <c r="D36" s="84">
        <f>SUMIFS('CUSTOS MENSAIS'!$F:$F,'CUSTOS MENSAIS'!$A:$A,A36,'CUSTOS MENSAIS'!$H:$H,F36)</f>
        <v/>
      </c>
      <c r="E36" s="84">
        <f>IFERROR(D36/IF(B36="Clientes",SUMIFS(PARÂMETROS!$B$8:$B$907,PARÂMETROS!$G$8:$G$907,F36),SUMIFS(PARÂMETROS!$C$8:$C$907,PARÂMETROS!$G$8:$G$907,F36)),0)</f>
        <v/>
      </c>
      <c r="F36" s="74" t="inlineStr">
        <is>
          <t>Maio/2026</t>
        </is>
      </c>
      <c r="G36" s="94">
        <f>IF(B36="Clientes",SUMIFS(PARÂMETROS!$B$8:$B$907,PARÂMETROS!$G$8:$G$907,F36),SUMIFS(PARÂMETROS!$C$8:$C$907,PARÂMETROS!$G$8:$G$907,F36))</f>
        <v/>
      </c>
    </row>
    <row r="37" ht="14.25" customHeight="1" s="64">
      <c r="A37" s="90" t="inlineStr">
        <is>
          <t>Lançamento</t>
        </is>
      </c>
      <c r="B37" s="91" t="inlineStr">
        <is>
          <t>Clientes</t>
        </is>
      </c>
      <c r="C37" s="92" t="inlineStr">
        <is>
          <t>Equipe de Lançamento realiza a instalação/lançamento de rede para atender novos clientes</t>
        </is>
      </c>
      <c r="D37" s="84">
        <f>SUMIFS('CUSTOS MENSAIS'!$F:$F,'CUSTOS MENSAIS'!$A:$A,A37,'CUSTOS MENSAIS'!$H:$H,F37)</f>
        <v/>
      </c>
      <c r="E37" s="84">
        <f>IFERROR(D37/IF(B37="Clientes",SUMIFS(PARÂMETROS!$B$8:$B$907,PARÂMETROS!$G$8:$G$907,F37),SUMIFS(PARÂMETROS!$C$8:$C$907,PARÂMETROS!$G$8:$G$907,F37)),0)</f>
        <v/>
      </c>
      <c r="F37" s="74" t="inlineStr">
        <is>
          <t>Maio/2026</t>
        </is>
      </c>
      <c r="G37" s="94">
        <f>IF(B37="Clientes",SUMIFS(PARÂMETROS!$B$8:$B$907,PARÂMETROS!$G$8:$G$907,F37),SUMIFS(PARÂMETROS!$C$8:$C$907,PARÂMETROS!$G$8:$G$907,F37))</f>
        <v/>
      </c>
    </row>
    <row r="38" ht="14.25" customHeight="1" s="64">
      <c r="A38" s="90" t="inlineStr">
        <is>
          <t>Fusão</t>
        </is>
      </c>
      <c r="B38" s="91" t="inlineStr">
        <is>
          <t>Clientes</t>
        </is>
      </c>
      <c r="C38" s="92" t="inlineStr">
        <is>
          <t>Equipe de Fusão realiza fusão/manutenção de fibra óptica para atender a base de clientes</t>
        </is>
      </c>
      <c r="D38" s="84">
        <f>SUMIFS('CUSTOS MENSAIS'!$F:$F,'CUSTOS MENSAIS'!$A:$A,A38,'CUSTOS MENSAIS'!$H:$H,F38)</f>
        <v/>
      </c>
      <c r="E38" s="84">
        <f>IFERROR(D38/IF(B38="Clientes",SUMIFS(PARÂMETROS!$B$8:$B$907,PARÂMETROS!$G$8:$G$907,F38),SUMIFS(PARÂMETROS!$C$8:$C$907,PARÂMETROS!$G$8:$G$907,F38)),0)</f>
        <v/>
      </c>
      <c r="F38" s="74" t="inlineStr">
        <is>
          <t>Maio/2026</t>
        </is>
      </c>
      <c r="G38" s="94">
        <f>IF(B38="Clientes",SUMIFS(PARÂMETROS!$B$8:$B$907,PARÂMETROS!$G$8:$G$907,F38),SUMIFS(PARÂMETROS!$C$8:$C$907,PARÂMETROS!$G$8:$G$907,F38))</f>
        <v/>
      </c>
    </row>
    <row r="39" ht="14.25" customHeight="1" s="64">
      <c r="A39" s="90" t="inlineStr">
        <is>
          <t>Diretoria Adm</t>
        </is>
      </c>
      <c r="B39" s="91" t="inlineStr">
        <is>
          <t>Clientes</t>
        </is>
      </c>
      <c r="C39" s="92" t="inlineStr">
        <is>
          <t>Diretoria Administrativa realiza a gestão administrativa executiva da operação</t>
        </is>
      </c>
      <c r="D39" s="84">
        <f>SUMIFS('CUSTOS MENSAIS'!$F:$F,'CUSTOS MENSAIS'!$A:$A,A39,'CUSTOS MENSAIS'!$H:$H,F39)</f>
        <v/>
      </c>
      <c r="E39" s="84">
        <f>IFERROR(D39/IF(B39="Clientes",SUMIFS(PARÂMETROS!$B$8:$B$907,PARÂMETROS!$G$8:$G$907,F39),SUMIFS(PARÂMETROS!$C$8:$C$907,PARÂMETROS!$G$8:$G$907,F39)),0)</f>
        <v/>
      </c>
      <c r="F39" s="74" t="inlineStr">
        <is>
          <t>Maio/2026</t>
        </is>
      </c>
      <c r="G39" s="94">
        <f>IF(B39="Clientes",SUMIFS(PARÂMETROS!$B$8:$B$907,PARÂMETROS!$G$8:$G$907,F39),SUMIFS(PARÂMETROS!$C$8:$C$907,PARÂMETROS!$G$8:$G$907,F39))</f>
        <v/>
      </c>
    </row>
    <row r="40" ht="14.25" customHeight="1" s="64">
      <c r="A40" s="90" t="inlineStr">
        <is>
          <t>Cozinha</t>
        </is>
      </c>
      <c r="B40" s="91" t="inlineStr">
        <is>
          <t>Funcionários</t>
        </is>
      </c>
      <c r="C40" s="92" t="inlineStr">
        <is>
          <t>Cozinha prepara as refeições dos colaboradores</t>
        </is>
      </c>
      <c r="D40" s="84">
        <f>SUMIFS('CUSTOS MENSAIS'!$F:$F,'CUSTOS MENSAIS'!$A:$A,A40,'CUSTOS MENSAIS'!$H:$H,F40)</f>
        <v/>
      </c>
      <c r="E40" s="84">
        <f>IFERROR(D40/G40,0)</f>
        <v/>
      </c>
      <c r="F40" s="74" t="inlineStr">
        <is>
          <t>Maio/2026</t>
        </is>
      </c>
      <c r="G40" s="94">
        <f>SUMIFS(PARÂMETROS!$C$8:$C$907,PARÂMETROS!$G$8:$G$907,F40,PARÂMETROS!$A$8:$A$907,"DTEL (uso próprio)")</f>
        <v/>
      </c>
    </row>
    <row r="41" ht="14.25" customHeight="1" s="64">
      <c r="A41" s="80" t="inlineStr">
        <is>
          <t>TOTAL GERAL — Maio/2026</t>
        </is>
      </c>
      <c r="B41" s="95" t="n"/>
      <c r="C41" s="96" t="n"/>
      <c r="D41" s="97">
        <f>SUM(D5:D40)+D114+D117+D120+D123</f>
        <v/>
      </c>
      <c r="E41" s="97" t="n"/>
      <c r="F41" s="95" t="n"/>
      <c r="G41" s="98" t="n"/>
    </row>
    <row r="42" ht="14.25" customHeight="1" s="64">
      <c r="A42" s="90" t="inlineStr">
        <is>
          <t>NOC</t>
        </is>
      </c>
      <c r="B42" s="91" t="inlineStr">
        <is>
          <t>Clientes</t>
        </is>
      </c>
      <c r="C42" s="92" t="inlineStr">
        <is>
          <t>Infraestrutura de rede/NOC escala com o nº de clientes ativos</t>
        </is>
      </c>
      <c r="D42" s="84">
        <f>SUMIFS('CUSTOS MENSAIS'!$F:$F,'CUSTOS MENSAIS'!$A:$A,A42,'CUSTOS MENSAIS'!$H:$H,F42)</f>
        <v/>
      </c>
      <c r="E42" s="84">
        <f>IFERROR(D42/IF(B42="Clientes",SUMIFS(PARÂMETROS!$B$8:$B$907,PARÂMETROS!$G$8:$G$907,F42),SUMIFS(PARÂMETROS!$C$8:$C$907,PARÂMETROS!$G$8:$G$907,F42)),0)</f>
        <v/>
      </c>
      <c r="F42" s="74" t="inlineStr">
        <is>
          <t>Junho/2026</t>
        </is>
      </c>
      <c r="G42" s="94">
        <f>IF(B42="Clientes",SUMIFS(PARÂMETROS!$B$8:$B$907,PARÂMETROS!$G$8:$G$907,F42),SUMIFS(PARÂMETROS!$C$8:$C$907,PARÂMETROS!$G$8:$G$907,F42))</f>
        <v/>
      </c>
    </row>
    <row r="43" ht="14.25" customHeight="1" s="64">
      <c r="A43" s="90" t="inlineStr">
        <is>
          <t>RH</t>
        </is>
      </c>
      <c r="B43" s="91" t="inlineStr">
        <is>
          <t>Funcionários</t>
        </is>
      </c>
      <c r="C43" s="92" t="inlineStr">
        <is>
          <t>Recursos Humanos atende diretamente aos colaboradores</t>
        </is>
      </c>
      <c r="D43" s="84">
        <f>SUMIFS('CUSTOS MENSAIS'!$F:$F,'CUSTOS MENSAIS'!$A:$A,A43,'CUSTOS MENSAIS'!$H:$H,F43)</f>
        <v/>
      </c>
      <c r="E43" s="84">
        <f>IFERROR(D43/IF(B43="Clientes",SUMIFS(PARÂMETROS!$B$8:$B$907,PARÂMETROS!$G$8:$G$907,F43),SUMIFS(PARÂMETROS!$C$8:$C$907,PARÂMETROS!$G$8:$G$907,F43)),0)</f>
        <v/>
      </c>
      <c r="F43" s="74" t="inlineStr">
        <is>
          <t>Junho/2026</t>
        </is>
      </c>
      <c r="G43" s="94">
        <f>IF(B43="Clientes",SUMIFS(PARÂMETROS!$B$8:$B$907,PARÂMETROS!$G$8:$G$907,F43),SUMIFS(PARÂMETROS!$C$8:$C$907,PARÂMETROS!$G$8:$G$907,F43))</f>
        <v/>
      </c>
    </row>
    <row r="44" ht="14.25" customHeight="1" s="64">
      <c r="A44" s="90" t="inlineStr">
        <is>
          <t>DP</t>
        </is>
      </c>
      <c r="B44" s="91" t="inlineStr">
        <is>
          <t>Funcionários</t>
        </is>
      </c>
      <c r="C44" s="92" t="inlineStr">
        <is>
          <t>Departamento Pessoal atende à folha de colaboradores</t>
        </is>
      </c>
      <c r="D44" s="84">
        <f>SUMIFS('CUSTOS MENSAIS'!$F:$F,'CUSTOS MENSAIS'!$A:$A,A44,'CUSTOS MENSAIS'!$H:$H,F44)</f>
        <v/>
      </c>
      <c r="E44" s="84">
        <f>IFERROR(D44/IF(B44="Clientes",SUMIFS(PARÂMETROS!$B$8:$B$907,PARÂMETROS!$G$8:$G$907,F44),SUMIFS(PARÂMETROS!$C$8:$C$907,PARÂMETROS!$G$8:$G$907,F44)),0)</f>
        <v/>
      </c>
      <c r="F44" s="74" t="inlineStr">
        <is>
          <t>Junho/2026</t>
        </is>
      </c>
      <c r="G44" s="94">
        <f>IF(B44="Clientes",SUMIFS(PARÂMETROS!$B$8:$B$907,PARÂMETROS!$G$8:$G$907,F44),SUMIFS(PARÂMETROS!$C$8:$C$907,PARÂMETROS!$G$8:$G$907,F44))</f>
        <v/>
      </c>
    </row>
    <row r="45" ht="14.25" customHeight="1" s="64">
      <c r="A45" s="90" t="inlineStr">
        <is>
          <t>Gestão de Atendimento</t>
        </is>
      </c>
      <c r="B45" s="91" t="inlineStr">
        <is>
          <t>Clientes</t>
        </is>
      </c>
      <c r="C45" s="92" t="inlineStr">
        <is>
          <t>Atendimento administrativo e presencial de loja escala com o volume de clientes atendidos</t>
        </is>
      </c>
      <c r="D45" s="84">
        <f>SUMIFS('CUSTOS MENSAIS'!$F:$F,'CUSTOS MENSAIS'!$A:$A,A45,'CUSTOS MENSAIS'!$H:$H,F45)</f>
        <v/>
      </c>
      <c r="E45" s="84">
        <f>IFERROR(D45/IF(B45="Clientes",SUMIFS(PARÂMETROS!$B$8:$B$907,PARÂMETROS!$G$8:$G$907,F45),SUMIFS(PARÂMETROS!$C$8:$C$907,PARÂMETROS!$G$8:$G$907,F45)),0)</f>
        <v/>
      </c>
      <c r="F45" s="74" t="inlineStr">
        <is>
          <t>Junho/2026</t>
        </is>
      </c>
      <c r="G45" s="94">
        <f>IF(B45="Clientes",SUMIFS(PARÂMETROS!$B$8:$B$907,PARÂMETROS!$G$8:$G$907,F45),SUMIFS(PARÂMETROS!$C$8:$C$907,PARÂMETROS!$G$8:$G$907,F45))</f>
        <v/>
      </c>
    </row>
    <row r="46" ht="14.25" customHeight="1" s="64">
      <c r="A46" s="90" t="inlineStr">
        <is>
          <t>CAC</t>
        </is>
      </c>
      <c r="B46" s="91" t="inlineStr">
        <is>
          <t>Clientes</t>
        </is>
      </c>
      <c r="C46" s="92" t="inlineStr">
        <is>
          <t>Central de Atendimento ao Cliente atende diretamente a base de clientes de cada empresa</t>
        </is>
      </c>
      <c r="D46" s="84">
        <f>SUMIFS('CUSTOS MENSAIS'!$F:$F,'CUSTOS MENSAIS'!$A:$A,A46,'CUSTOS MENSAIS'!$H:$H,F46)</f>
        <v/>
      </c>
      <c r="E46" s="84">
        <f>IFERROR(D46/IF(B46="Clientes",SUMIFS(PARÂMETROS!$B$8:$B$907,PARÂMETROS!$G$8:$G$907,F46),SUMIFS(PARÂMETROS!$C$8:$C$907,PARÂMETROS!$G$8:$G$907,F46)),0)</f>
        <v/>
      </c>
      <c r="F46" s="74" t="inlineStr">
        <is>
          <t>Junho/2026</t>
        </is>
      </c>
      <c r="G46" s="94">
        <f>IF(B46="Clientes",SUMIFS(PARÂMETROS!$B$8:$B$907,PARÂMETROS!$G$8:$G$907,F46),SUMIFS(PARÂMETROS!$C$8:$C$907,PARÂMETROS!$G$8:$G$907,F46))</f>
        <v/>
      </c>
    </row>
    <row r="47" ht="14.25" customHeight="1" s="64">
      <c r="A47" s="90" t="inlineStr">
        <is>
          <t>Financeiro</t>
        </is>
      </c>
      <c r="B47" s="91" t="inlineStr">
        <is>
          <t>Clientes</t>
        </is>
      </c>
      <c r="C47" s="92" t="inlineStr">
        <is>
          <t>Financeiro cuida da gestão financeira e de faturamento da operação</t>
        </is>
      </c>
      <c r="D47" s="84">
        <f>SUMIFS('CUSTOS MENSAIS'!$F:$F,'CUSTOS MENSAIS'!$A:$A,A47,'CUSTOS MENSAIS'!$H:$H,F47)</f>
        <v/>
      </c>
      <c r="E47" s="84">
        <f>IFERROR(D47/IF(B47="Clientes",SUMIFS(PARÂMETROS!$B$8:$B$907,PARÂMETROS!$G$8:$G$907,F47),SUMIFS(PARÂMETROS!$C$8:$C$907,PARÂMETROS!$G$8:$G$907,F47)),0)</f>
        <v/>
      </c>
      <c r="F47" s="74" t="inlineStr">
        <is>
          <t>Junho/2026</t>
        </is>
      </c>
      <c r="G47" s="94">
        <f>IF(B47="Clientes",SUMIFS(PARÂMETROS!$B$8:$B$907,PARÂMETROS!$G$8:$G$907,F47),SUMIFS(PARÂMETROS!$C$8:$C$907,PARÂMETROS!$G$8:$G$907,F47))</f>
        <v/>
      </c>
    </row>
    <row r="48" ht="14.25" customHeight="1" s="64">
      <c r="A48" s="90" t="inlineStr">
        <is>
          <t>NRC</t>
        </is>
      </c>
      <c r="B48" s="91" t="inlineStr">
        <is>
          <t>Clientes</t>
        </is>
      </c>
      <c r="C48" s="92" t="inlineStr">
        <is>
          <t>Serviço de Atendimento ao Cliente escala com o volume de clientes atendidos</t>
        </is>
      </c>
      <c r="D48" s="84">
        <f>SUMIFS('CUSTOS MENSAIS'!$F:$F,'CUSTOS MENSAIS'!$A:$A,A48,'CUSTOS MENSAIS'!$H:$H,F48)</f>
        <v/>
      </c>
      <c r="E48" s="84">
        <f>IFERROR(D48/IF(B48="Clientes",SUMIFS(PARÂMETROS!$B$8:$B$907,PARÂMETROS!$G$8:$G$907,F48),SUMIFS(PARÂMETROS!$C$8:$C$907,PARÂMETROS!$G$8:$G$907,F48)),0)</f>
        <v/>
      </c>
      <c r="F48" s="74" t="inlineStr">
        <is>
          <t>Junho/2026</t>
        </is>
      </c>
      <c r="G48" s="94">
        <f>IF(B48="Clientes",SUMIFS(PARÂMETROS!$B$8:$B$907,PARÂMETROS!$G$8:$G$907,F48),SUMIFS(PARÂMETROS!$C$8:$C$907,PARÂMETROS!$G$8:$G$907,F48))</f>
        <v/>
      </c>
    </row>
    <row r="49" ht="14.25" customHeight="1" s="64">
      <c r="A49" s="90" t="inlineStr">
        <is>
          <t>Cobrança</t>
        </is>
      </c>
      <c r="B49" s="91" t="inlineStr">
        <is>
          <t>Clientes</t>
        </is>
      </c>
      <c r="C49" s="92" t="inlineStr">
        <is>
          <t>Cobrança atua sobre a carteira de clientes inadimplentes de cada empresa</t>
        </is>
      </c>
      <c r="D49" s="84">
        <f>SUMIFS('CUSTOS MENSAIS'!$F:$F,'CUSTOS MENSAIS'!$A:$A,A49,'CUSTOS MENSAIS'!$H:$H,F49)</f>
        <v/>
      </c>
      <c r="E49" s="84">
        <f>IFERROR(D49/IF(B49="Clientes",SUMIFS(PARÂMETROS!$B$8:$B$907,PARÂMETROS!$G$8:$G$907,F49),SUMIFS(PARÂMETROS!$C$8:$C$907,PARÂMETROS!$G$8:$G$907,F49)),0)</f>
        <v/>
      </c>
      <c r="F49" s="74" t="inlineStr">
        <is>
          <t>Junho/2026</t>
        </is>
      </c>
      <c r="G49" s="94">
        <f>IF(B49="Clientes",SUMIFS(PARÂMETROS!$B$8:$B$907,PARÂMETROS!$G$8:$G$907,F49),SUMIFS(PARÂMETROS!$C$8:$C$907,PARÂMETROS!$G$8:$G$907,F49))</f>
        <v/>
      </c>
    </row>
    <row r="50" ht="14.25" customHeight="1" s="64">
      <c r="A50" s="90" t="inlineStr">
        <is>
          <t>Retenção</t>
        </is>
      </c>
      <c r="B50" s="91" t="inlineStr">
        <is>
          <t>Clientes</t>
        </is>
      </c>
      <c r="C50" s="92" t="inlineStr">
        <is>
          <t>Retenção atua sobre a base de clientes de cada empresa para evitar cancelamento</t>
        </is>
      </c>
      <c r="D50" s="84">
        <f>SUMIFS('CUSTOS MENSAIS'!$F:$F,'CUSTOS MENSAIS'!$A:$A,A50,'CUSTOS MENSAIS'!$H:$H,F50)</f>
        <v/>
      </c>
      <c r="E50" s="84">
        <f>IFERROR(D50/IF(B50="Clientes",SUMIFS(PARÂMETROS!$B$8:$B$907,PARÂMETROS!$G$8:$G$907,F50),SUMIFS(PARÂMETROS!$C$8:$C$907,PARÂMETROS!$G$8:$G$907,F50)),0)</f>
        <v/>
      </c>
      <c r="F50" s="74" t="inlineStr">
        <is>
          <t>Junho/2026</t>
        </is>
      </c>
      <c r="G50" s="94">
        <f>IF(B50="Clientes",SUMIFS(PARÂMETROS!$B$8:$B$907,PARÂMETROS!$G$8:$G$907,F50),SUMIFS(PARÂMETROS!$C$8:$C$907,PARÂMETROS!$G$8:$G$907,F50))</f>
        <v/>
      </c>
    </row>
    <row r="51" ht="14.25" customHeight="1" s="64">
      <c r="A51" s="90" t="inlineStr">
        <is>
          <t>Contabilidade</t>
        </is>
      </c>
      <c r="B51" s="91" t="inlineStr">
        <is>
          <t>Clientes</t>
        </is>
      </c>
      <c r="C51" s="92" t="inlineStr">
        <is>
          <t>Contabilidade realiza a escrituração fiscal e contábil da operação</t>
        </is>
      </c>
      <c r="D51" s="84">
        <f>SUMIFS('CUSTOS MENSAIS'!$F:$F,'CUSTOS MENSAIS'!$A:$A,A51,'CUSTOS MENSAIS'!$H:$H,F51)</f>
        <v/>
      </c>
      <c r="E51" s="84">
        <f>IFERROR(D51/IF(B51="Clientes",SUMIFS(PARÂMETROS!$B$8:$B$907,PARÂMETROS!$G$8:$G$907,F51),SUMIFS(PARÂMETROS!$C$8:$C$907,PARÂMETROS!$G$8:$G$907,F51)),0)</f>
        <v/>
      </c>
      <c r="F51" s="74" t="inlineStr">
        <is>
          <t>Junho/2026</t>
        </is>
      </c>
      <c r="G51" s="94">
        <f>IF(B51="Clientes",SUMIFS(PARÂMETROS!$B$8:$B$907,PARÂMETROS!$G$8:$G$907,F51),SUMIFS(PARÂMETROS!$C$8:$C$907,PARÂMETROS!$G$8:$G$907,F51))</f>
        <v/>
      </c>
    </row>
    <row r="52" ht="14.25" customHeight="1" s="64">
      <c r="A52" s="90" t="inlineStr">
        <is>
          <t>Controladoria</t>
        </is>
      </c>
      <c r="B52" s="91" t="inlineStr">
        <is>
          <t>Clientes</t>
        </is>
      </c>
      <c r="C52" s="92" t="inlineStr">
        <is>
          <t>Controladoria acompanha os indicadores financeiros da operação</t>
        </is>
      </c>
      <c r="D52" s="84">
        <f>SUMIFS('CUSTOS MENSAIS'!$F:$F,'CUSTOS MENSAIS'!$A:$A,A52,'CUSTOS MENSAIS'!$H:$H,F52)</f>
        <v/>
      </c>
      <c r="E52" s="84">
        <f>IFERROR(D52/IF(B52="Clientes",SUMIFS(PARÂMETROS!$B$8:$B$907,PARÂMETROS!$G$8:$G$907,F52),SUMIFS(PARÂMETROS!$C$8:$C$907,PARÂMETROS!$G$8:$G$907,F52)),0)</f>
        <v/>
      </c>
      <c r="F52" s="74" t="inlineStr">
        <is>
          <t>Junho/2026</t>
        </is>
      </c>
      <c r="G52" s="94">
        <f>IF(B52="Clientes",SUMIFS(PARÂMETROS!$B$8:$B$907,PARÂMETROS!$G$8:$G$907,F52),SUMIFS(PARÂMETROS!$C$8:$C$907,PARÂMETROS!$G$8:$G$907,F52))</f>
        <v/>
      </c>
    </row>
    <row r="53" ht="14.25" customHeight="1" s="64">
      <c r="A53" s="90" t="inlineStr">
        <is>
          <t>Diretoria Operacional</t>
        </is>
      </c>
      <c r="B53" s="91" t="inlineStr">
        <is>
          <t>Clientes</t>
        </is>
      </c>
      <c r="C53" s="92" t="inlineStr">
        <is>
          <t>Diretoria Operacional coordena a operação das áreas técnicas e de atendimento</t>
        </is>
      </c>
      <c r="D53" s="84">
        <f>SUMIFS('CUSTOS MENSAIS'!$F:$F,'CUSTOS MENSAIS'!$A:$A,A53,'CUSTOS MENSAIS'!$H:$H,F53)</f>
        <v/>
      </c>
      <c r="E53" s="84">
        <f>IFERROR(D53/IF(B53="Clientes",SUMIFS(PARÂMETROS!$B$8:$B$907,PARÂMETROS!$G$8:$G$907,F53),SUMIFS(PARÂMETROS!$C$8:$C$907,PARÂMETROS!$G$8:$G$907,F53)),0)</f>
        <v/>
      </c>
      <c r="F53" s="74" t="inlineStr">
        <is>
          <t>Junho/2026</t>
        </is>
      </c>
      <c r="G53" s="94">
        <f>IF(B53="Clientes",SUMIFS(PARÂMETROS!$B$8:$B$907,PARÂMETROS!$G$8:$G$907,F53),SUMIFS(PARÂMETROS!$C$8:$C$907,PARÂMETROS!$G$8:$G$907,F53))</f>
        <v/>
      </c>
    </row>
    <row r="54" ht="14.25" customHeight="1" s="64">
      <c r="A54" s="90" t="inlineStr">
        <is>
          <t>Compras</t>
        </is>
      </c>
      <c r="B54" s="91" t="inlineStr">
        <is>
          <t>Clientes</t>
        </is>
      </c>
      <c r="C54" s="92" t="inlineStr">
        <is>
          <t>Compras administra a aquisição de materiais e serviços para a operação</t>
        </is>
      </c>
      <c r="D54" s="84">
        <f>SUMIFS('CUSTOS MENSAIS'!$F:$F,'CUSTOS MENSAIS'!$A:$A,A54,'CUSTOS MENSAIS'!$H:$H,F54)</f>
        <v/>
      </c>
      <c r="E54" s="84">
        <f>IFERROR(D54/IF(B54="Clientes",SUMIFS(PARÂMETROS!$B$8:$B$907,PARÂMETROS!$G$8:$G$907,F54),SUMIFS(PARÂMETROS!$C$8:$C$907,PARÂMETROS!$G$8:$G$907,F54)),0)</f>
        <v/>
      </c>
      <c r="F54" s="74" t="inlineStr">
        <is>
          <t>Junho/2026</t>
        </is>
      </c>
      <c r="G54" s="94">
        <f>IF(B54="Clientes",SUMIFS(PARÂMETROS!$B$8:$B$907,PARÂMETROS!$G$8:$G$907,F54),SUMIFS(PARÂMETROS!$C$8:$C$907,PARÂMETROS!$G$8:$G$907,F54))</f>
        <v/>
      </c>
    </row>
    <row r="55" ht="14.25" customHeight="1" s="64">
      <c r="A55" s="90" t="inlineStr">
        <is>
          <t>Segurança do Trabalho</t>
        </is>
      </c>
      <c r="B55" s="91" t="inlineStr">
        <is>
          <t>Funcionários</t>
        </is>
      </c>
      <c r="C55" s="92" t="inlineStr">
        <is>
          <t>Segurança do Trabalho cuida da saúde e segurança dos colaboradores</t>
        </is>
      </c>
      <c r="D55" s="84">
        <f>SUMIFS('CUSTOS MENSAIS'!$F:$F,'CUSTOS MENSAIS'!$A:$A,A55,'CUSTOS MENSAIS'!$H:$H,F55)</f>
        <v/>
      </c>
      <c r="E55" s="84">
        <f>IFERROR(D55/IF(B55="Clientes",SUMIFS(PARÂMETROS!$B$8:$B$907,PARÂMETROS!$G$8:$G$907,F55),SUMIFS(PARÂMETROS!$C$8:$C$907,PARÂMETROS!$G$8:$G$907,F55)),0)</f>
        <v/>
      </c>
      <c r="F55" s="74" t="inlineStr">
        <is>
          <t>Junho/2026</t>
        </is>
      </c>
      <c r="G55" s="94">
        <f>IF(B55="Clientes",SUMIFS(PARÂMETROS!$B$8:$B$907,PARÂMETROS!$G$8:$G$907,F55),SUMIFS(PARÂMETROS!$C$8:$C$907,PARÂMETROS!$G$8:$G$907,F55))</f>
        <v/>
      </c>
    </row>
    <row r="56" ht="14.25" customHeight="1" s="64">
      <c r="A56" s="90" t="inlineStr">
        <is>
          <t>Engenharia</t>
        </is>
      </c>
      <c r="B56" s="91" t="inlineStr">
        <is>
          <t>Clientes</t>
        </is>
      </c>
      <c r="C56" s="92" t="inlineStr">
        <is>
          <t>Engenharia realiza a instalação e manutenção da infraestrutura de rede</t>
        </is>
      </c>
      <c r="D56" s="84">
        <f>SUMIFS('CUSTOS MENSAIS'!$F:$F,'CUSTOS MENSAIS'!$A:$A,A56,'CUSTOS MENSAIS'!$H:$H,F56)</f>
        <v/>
      </c>
      <c r="E56" s="84">
        <f>IFERROR(D56/IF(B56="Clientes",SUMIFS(PARÂMETROS!$B$8:$B$907,PARÂMETROS!$G$8:$G$907,F56),SUMIFS(PARÂMETROS!$C$8:$C$907,PARÂMETROS!$G$8:$G$907,F56)),0)</f>
        <v/>
      </c>
      <c r="F56" s="74" t="inlineStr">
        <is>
          <t>Junho/2026</t>
        </is>
      </c>
      <c r="G56" s="94">
        <f>IF(B56="Clientes",SUMIFS(PARÂMETROS!$B$8:$B$907,PARÂMETROS!$G$8:$G$907,F56),SUMIFS(PARÂMETROS!$C$8:$C$907,PARÂMETROS!$G$8:$G$907,F56))</f>
        <v/>
      </c>
    </row>
    <row r="57" ht="14.25" customHeight="1" s="64">
      <c r="A57" s="90" t="inlineStr">
        <is>
          <t>Obras</t>
        </is>
      </c>
      <c r="B57" s="91" t="inlineStr">
        <is>
          <t>Clientes</t>
        </is>
      </c>
      <c r="C57" s="92" t="inlineStr">
        <is>
          <t>Obras executa construção e manutenção civil da infraestrutura</t>
        </is>
      </c>
      <c r="D57" s="84">
        <f>SUMIFS('CUSTOS MENSAIS'!$F:$F,'CUSTOS MENSAIS'!$A:$A,A57,'CUSTOS MENSAIS'!$H:$H,F57)</f>
        <v/>
      </c>
      <c r="E57" s="84">
        <f>IFERROR(D57/IF(B57="Clientes",SUMIFS(PARÂMETROS!$B$8:$B$907,PARÂMETROS!$G$8:$G$907,F57),SUMIFS(PARÂMETROS!$C$8:$C$907,PARÂMETROS!$G$8:$G$907,F57)),0)</f>
        <v/>
      </c>
      <c r="F57" s="74" t="inlineStr">
        <is>
          <t>Junho/2026</t>
        </is>
      </c>
      <c r="G57" s="94">
        <f>IF(B57="Clientes",SUMIFS(PARÂMETROS!$B$8:$B$907,PARÂMETROS!$G$8:$G$907,F57),SUMIFS(PARÂMETROS!$C$8:$C$907,PARÂMETROS!$G$8:$G$907,F57))</f>
        <v/>
      </c>
    </row>
    <row r="58" ht="15" customHeight="1" s="64">
      <c r="A58" s="90" t="inlineStr">
        <is>
          <t>Manutenção Predial</t>
        </is>
      </c>
      <c r="B58" s="91" t="inlineStr">
        <is>
          <t>Clientes</t>
        </is>
      </c>
      <c r="C58" s="92" t="inlineStr">
        <is>
          <t>Manutenção Predial cuida da manutenção das instalações físicas</t>
        </is>
      </c>
      <c r="D58" s="84">
        <f>SUMIFS('CUSTOS MENSAIS'!$F:$F,'CUSTOS MENSAIS'!$A:$A,A58,'CUSTOS MENSAIS'!$H:$H,F58)</f>
        <v/>
      </c>
      <c r="E58" s="84">
        <f>IFERROR(D58/IF(B58="Clientes",SUMIFS(PARÂMETROS!$B$8:$B$907,PARÂMETROS!$G$8:$G$907,F58),SUMIFS(PARÂMETROS!$C$8:$C$907,PARÂMETROS!$G$8:$G$907,F58)),0)</f>
        <v/>
      </c>
      <c r="F58" s="74" t="inlineStr">
        <is>
          <t>Junho/2026</t>
        </is>
      </c>
      <c r="G58" s="94">
        <f>IF(B58="Clientes",SUMIFS(PARÂMETROS!$B$8:$B$907,PARÂMETROS!$G$8:$G$907,F58),SUMIFS(PARÂMETROS!$C$8:$C$907,PARÂMETROS!$G$8:$G$907,F58))</f>
        <v/>
      </c>
    </row>
    <row r="59" ht="15" customHeight="1" s="64">
      <c r="A59" s="90" t="inlineStr">
        <is>
          <t>Logística</t>
        </is>
      </c>
      <c r="B59" s="91" t="inlineStr">
        <is>
          <t>Clientes</t>
        </is>
      </c>
      <c r="C59" s="92" t="inlineStr">
        <is>
          <t>Logística administra o armazenamento e a distribuição de materiais e equipamentos</t>
        </is>
      </c>
      <c r="D59" s="84">
        <f>SUMIFS('CUSTOS MENSAIS'!$F:$F,'CUSTOS MENSAIS'!$A:$A,A59,'CUSTOS MENSAIS'!$H:$H,F59)</f>
        <v/>
      </c>
      <c r="E59" s="84">
        <f>IFERROR(D59/IF(B59="Clientes",SUMIFS(PARÂMETROS!$B$8:$B$907,PARÂMETROS!$G$8:$G$907,F59),SUMIFS(PARÂMETROS!$C$8:$C$907,PARÂMETROS!$G$8:$G$907,F59)),0)</f>
        <v/>
      </c>
      <c r="F59" s="74" t="inlineStr">
        <is>
          <t>Junho/2026</t>
        </is>
      </c>
      <c r="G59" s="94">
        <f>IF(B59="Clientes",SUMIFS(PARÂMETROS!$B$8:$B$907,PARÂMETROS!$G$8:$G$907,F59),SUMIFS(PARÂMETROS!$C$8:$C$907,PARÂMETROS!$G$8:$G$907,F59))</f>
        <v/>
      </c>
    </row>
    <row r="60" ht="15" customHeight="1" s="64">
      <c r="A60" s="90" t="inlineStr">
        <is>
          <t>Oficina</t>
        </is>
      </c>
      <c r="B60" s="91" t="inlineStr">
        <is>
          <t>Clientes</t>
        </is>
      </c>
      <c r="C60" s="92" t="inlineStr">
        <is>
          <t>Oficina realiza a manutenção da frota de veículos</t>
        </is>
      </c>
      <c r="D60" s="84">
        <f>SUMIFS('CUSTOS MENSAIS'!$F:$F,'CUSTOS MENSAIS'!$A:$A,A60,'CUSTOS MENSAIS'!$H:$H,F60)</f>
        <v/>
      </c>
      <c r="E60" s="84">
        <f>IFERROR(D60/IF(B60="Clientes",SUMIFS(PARÂMETROS!$B$8:$B$907,PARÂMETROS!$G$8:$G$907,F60),SUMIFS(PARÂMETROS!$C$8:$C$907,PARÂMETROS!$G$8:$G$907,F60)),0)</f>
        <v/>
      </c>
      <c r="F60" s="74" t="inlineStr">
        <is>
          <t>Junho/2026</t>
        </is>
      </c>
      <c r="G60" s="94">
        <f>IF(B60="Clientes",SUMIFS(PARÂMETROS!$B$8:$B$907,PARÂMETROS!$G$8:$G$907,F60),SUMIFS(PARÂMETROS!$C$8:$C$907,PARÂMETROS!$G$8:$G$907,F60))</f>
        <v/>
      </c>
    </row>
    <row r="61" ht="15" customHeight="1" s="64">
      <c r="A61" s="90" t="inlineStr">
        <is>
          <t>Estoque</t>
        </is>
      </c>
      <c r="B61" s="91" t="inlineStr">
        <is>
          <t>Clientes</t>
        </is>
      </c>
      <c r="C61" s="92" t="inlineStr">
        <is>
          <t>Estoque controla o armazenamento e a movimentação de materiais</t>
        </is>
      </c>
      <c r="D61" s="84">
        <f>SUMIFS('CUSTOS MENSAIS'!$F:$F,'CUSTOS MENSAIS'!$A:$A,A61,'CUSTOS MENSAIS'!$H:$H,F61)</f>
        <v/>
      </c>
      <c r="E61" s="84">
        <f>IFERROR(D61/IF(B61="Clientes",SUMIFS(PARÂMETROS!$B$8:$B$907,PARÂMETROS!$G$8:$G$907,F61),SUMIFS(PARÂMETROS!$C$8:$C$907,PARÂMETROS!$G$8:$G$907,F61)),0)</f>
        <v/>
      </c>
      <c r="F61" s="74" t="inlineStr">
        <is>
          <t>Junho/2026</t>
        </is>
      </c>
      <c r="G61" s="94">
        <f>IF(B61="Clientes",SUMIFS(PARÂMETROS!$B$8:$B$907,PARÂMETROS!$G$8:$G$907,F61),SUMIFS(PARÂMETROS!$C$8:$C$907,PARÂMETROS!$G$8:$G$907,F61))</f>
        <v/>
      </c>
    </row>
    <row r="62" ht="15" customHeight="1" s="64">
      <c r="A62" s="90" t="inlineStr">
        <is>
          <t>Televendas</t>
        </is>
      </c>
      <c r="B62" s="91" t="inlineStr">
        <is>
          <t>Clientes</t>
        </is>
      </c>
      <c r="C62" s="92" t="inlineStr">
        <is>
          <t>Televendas realiza vendas por telefone para novos clientes</t>
        </is>
      </c>
      <c r="D62" s="84">
        <f>SUMIFS('CUSTOS MENSAIS'!$F:$F,'CUSTOS MENSAIS'!$A:$A,A62,'CUSTOS MENSAIS'!$H:$H,F62)</f>
        <v/>
      </c>
      <c r="E62" s="84">
        <f>IFERROR(D62/IF(B62="Clientes",SUMIFS(PARÂMETROS!$B$8:$B$907,PARÂMETROS!$G$8:$G$907,F62),SUMIFS(PARÂMETROS!$C$8:$C$907,PARÂMETROS!$G$8:$G$907,F62)),0)</f>
        <v/>
      </c>
      <c r="F62" s="74" t="inlineStr">
        <is>
          <t>Junho/2026</t>
        </is>
      </c>
      <c r="G62" s="94">
        <f>IF(B62="Clientes",SUMIFS(PARÂMETROS!$B$8:$B$907,PARÂMETROS!$G$8:$G$907,F62),SUMIFS(PARÂMETROS!$C$8:$C$907,PARÂMETROS!$G$8:$G$907,F62))</f>
        <v/>
      </c>
    </row>
    <row r="63" ht="15" customHeight="1" s="64">
      <c r="A63" s="90" t="inlineStr">
        <is>
          <t>Suporte Orbix</t>
        </is>
      </c>
      <c r="B63" s="91" t="inlineStr">
        <is>
          <t>Clientes</t>
        </is>
      </c>
      <c r="C63" s="92" t="inlineStr">
        <is>
          <t>Suporte Orbix dá suporte técnico à operação Orbix</t>
        </is>
      </c>
      <c r="D63" s="84">
        <f>SUMIFS('CUSTOS MENSAIS'!$F:$F,'CUSTOS MENSAIS'!$A:$A,A63,'CUSTOS MENSAIS'!$H:$H,F63)</f>
        <v/>
      </c>
      <c r="E63" s="84">
        <f>IFERROR(D63/IF(B63="Clientes",SUMIFS(PARÂMETROS!$B$8:$B$907,PARÂMETROS!$G$8:$G$907,F63),SUMIFS(PARÂMETROS!$C$8:$C$907,PARÂMETROS!$G$8:$G$907,F63)),0)</f>
        <v/>
      </c>
      <c r="F63" s="74" t="inlineStr">
        <is>
          <t>Junho/2026</t>
        </is>
      </c>
      <c r="G63" s="94">
        <f>IF(B63="Clientes",SUMIFS(PARÂMETROS!$B$8:$B$907,PARÂMETROS!$G$8:$G$907,F63),SUMIFS(PARÂMETROS!$C$8:$C$907,PARÂMETROS!$G$8:$G$907,F63))</f>
        <v/>
      </c>
    </row>
    <row r="64" ht="15" customHeight="1" s="64">
      <c r="A64" s="90" t="inlineStr">
        <is>
          <t>Suporte da Central</t>
        </is>
      </c>
      <c r="B64" s="91" t="inlineStr">
        <is>
          <t>Clientes</t>
        </is>
      </c>
      <c r="C64" s="92" t="inlineStr">
        <is>
          <t>Suporte da Central dá suporte técnico à central de atendimento</t>
        </is>
      </c>
      <c r="D64" s="84">
        <f>SUMIFS('CUSTOS MENSAIS'!$F:$F,'CUSTOS MENSAIS'!$A:$A,A64,'CUSTOS MENSAIS'!$H:$H,F64)</f>
        <v/>
      </c>
      <c r="E64" s="84">
        <f>IFERROR(D64/IF(B64="Clientes",SUMIFS(PARÂMETROS!$B$8:$B$907,PARÂMETROS!$G$8:$G$907,F64),SUMIFS(PARÂMETROS!$C$8:$C$907,PARÂMETROS!$G$8:$G$907,F64)),0)</f>
        <v/>
      </c>
      <c r="F64" s="74" t="inlineStr">
        <is>
          <t>Junho/2026</t>
        </is>
      </c>
      <c r="G64" s="94">
        <f>IF(B64="Clientes",SUMIFS(PARÂMETROS!$B$8:$B$907,PARÂMETROS!$G$8:$G$907,F64),SUMIFS(PARÂMETROS!$C$8:$C$907,PARÂMETROS!$G$8:$G$907,F64))</f>
        <v/>
      </c>
    </row>
    <row r="65" ht="15" customHeight="1" s="64">
      <c r="A65" s="90" t="inlineStr">
        <is>
          <t>Comercial Corporativo</t>
        </is>
      </c>
      <c r="B65" s="91" t="inlineStr">
        <is>
          <t>Vendas</t>
        </is>
      </c>
      <c r="C65" s="92" t="inlineStr">
        <is>
          <t>Comercial Corporativo realiza vendas para clientes corporativos</t>
        </is>
      </c>
      <c r="D65" s="84">
        <f>SUMIFS('CUSTOS MENSAIS'!$F:$F,'CUSTOS MENSAIS'!$A:$A,A65,'CUSTOS MENSAIS'!$H:$H,F65)</f>
        <v/>
      </c>
      <c r="E65" s="84">
        <f>IFERROR(D65/G65,0)</f>
        <v/>
      </c>
      <c r="F65" s="74" t="inlineStr">
        <is>
          <t>Junho/2026</t>
        </is>
      </c>
      <c r="G65" s="94" t="n">
        <v>144</v>
      </c>
    </row>
    <row r="66" ht="15" customHeight="1" s="64">
      <c r="A66" s="90" t="inlineStr">
        <is>
          <t>Administrativo</t>
        </is>
      </c>
      <c r="B66" s="91" t="inlineStr">
        <is>
          <t>Funcionários</t>
        </is>
      </c>
      <c r="C66" s="92" t="inlineStr">
        <is>
          <t>Administrativo reúne os softwares e sistemas corporativos usados pela operação</t>
        </is>
      </c>
      <c r="D66" s="84">
        <f>SUMIFS('CUSTOS MENSAIS'!$F:$F,'CUSTOS MENSAIS'!$A:$A,A66,'CUSTOS MENSAIS'!$H:$H,F66)</f>
        <v/>
      </c>
      <c r="E66" s="84">
        <f>IFERROR(D66/IF(B66="Clientes",SUMIFS(PARÂMETROS!$B$8:$B$907,PARÂMETROS!$G$8:$G$907,F66),SUMIFS(PARÂMETROS!$C$8:$C$907,PARÂMETROS!$G$8:$G$907,F66)),0)</f>
        <v/>
      </c>
      <c r="F66" s="74" t="inlineStr">
        <is>
          <t>Junho/2026</t>
        </is>
      </c>
      <c r="G66" s="94">
        <f>IF(B66="Clientes",SUMIFS(PARÂMETROS!$B$8:$B$907,PARÂMETROS!$G$8:$G$907,F66),SUMIFS(PARÂMETROS!$C$8:$C$907,PARÂMETROS!$G$8:$G$907,F66))</f>
        <v/>
      </c>
    </row>
    <row r="67" ht="15" customHeight="1" s="64">
      <c r="A67" s="90" t="inlineStr">
        <is>
          <t>Qualidade</t>
        </is>
      </c>
      <c r="B67" s="91" t="inlineStr">
        <is>
          <t>Clientes</t>
        </is>
      </c>
      <c r="C67" s="92" t="inlineStr">
        <is>
          <t>Área de Qualidade garante o padrão de atendimento e dos serviços prestados aos clientes</t>
        </is>
      </c>
      <c r="D67" s="84">
        <f>SUMIFS('CUSTOS MENSAIS'!$F:$F,'CUSTOS MENSAIS'!$A:$A,A67,'CUSTOS MENSAIS'!$H:$H,F67)</f>
        <v/>
      </c>
      <c r="E67" s="84">
        <f>IFERROR(D67/IF(B67="Clientes",SUMIFS(PARÂMETROS!$B$8:$B$907,PARÂMETROS!$G$8:$G$907,F67),SUMIFS(PARÂMETROS!$C$8:$C$907,PARÂMETROS!$G$8:$G$907,F67)),0)</f>
        <v/>
      </c>
      <c r="F67" s="74" t="inlineStr">
        <is>
          <t>Junho/2026</t>
        </is>
      </c>
      <c r="G67" s="94">
        <f>IF(B67="Clientes",SUMIFS(PARÂMETROS!$B$8:$B$907,PARÂMETROS!$G$8:$G$907,F67),SUMIFS(PARÂMETROS!$C$8:$C$907,PARÂMETROS!$G$8:$G$907,F67))</f>
        <v/>
      </c>
    </row>
    <row r="68" ht="15" customHeight="1" s="64">
      <c r="A68" s="90" t="inlineStr">
        <is>
          <t>Jurídico</t>
        </is>
      </c>
      <c r="B68" s="91" t="inlineStr">
        <is>
          <t>Clientes</t>
        </is>
      </c>
      <c r="C68" s="92" t="inlineStr">
        <is>
          <t>Jurídico atua nas demandas legais e contratuais da operação</t>
        </is>
      </c>
      <c r="D68" s="84">
        <f>SUMIFS('CUSTOS MENSAIS'!$F:$F,'CUSTOS MENSAIS'!$A:$A,A68,'CUSTOS MENSAIS'!$H:$H,F68)</f>
        <v/>
      </c>
      <c r="E68" s="84">
        <f>IFERROR(D68/IF(B68="Clientes",SUMIFS(PARÂMETROS!$B$8:$B$907,PARÂMETROS!$G$8:$G$907,F68),SUMIFS(PARÂMETROS!$C$8:$C$907,PARÂMETROS!$G$8:$G$907,F68)),0)</f>
        <v/>
      </c>
      <c r="F68" s="74" t="inlineStr">
        <is>
          <t>Junho/2026</t>
        </is>
      </c>
      <c r="G68" s="94">
        <f>IF(B68="Clientes",SUMIFS(PARÂMETROS!$B$8:$B$907,PARÂMETROS!$G$8:$G$907,F68),SUMIFS(PARÂMETROS!$C$8:$C$907,PARÂMETROS!$G$8:$G$907,F68))</f>
        <v/>
      </c>
    </row>
    <row r="69" ht="15" customHeight="1" s="64">
      <c r="A69" s="90" t="inlineStr">
        <is>
          <t>Marketing</t>
        </is>
      </c>
      <c r="B69" s="91" t="inlineStr">
        <is>
          <t>Clientes</t>
        </is>
      </c>
      <c r="C69" s="92" t="inlineStr">
        <is>
          <t>Marketing atua na captação, retenção e comunicação com a base de clientes</t>
        </is>
      </c>
      <c r="D69" s="84">
        <f>SUMIFS('CUSTOS MENSAIS'!$F:$F,'CUSTOS MENSAIS'!$A:$A,A69,'CUSTOS MENSAIS'!$H:$H,F69)</f>
        <v/>
      </c>
      <c r="E69" s="84">
        <f>IFERROR(D69/IF(B69="Clientes",SUMIFS(PARÂMETROS!$B$8:$B$907,PARÂMETROS!$G$8:$G$907,F69),SUMIFS(PARÂMETROS!$C$8:$C$907,PARÂMETROS!$G$8:$G$907,F69)),0)</f>
        <v/>
      </c>
      <c r="F69" s="74" t="inlineStr">
        <is>
          <t>Junho/2026</t>
        </is>
      </c>
      <c r="G69" s="94">
        <f>IF(B69="Clientes",SUMIFS(PARÂMETROS!$B$8:$B$907,PARÂMETROS!$G$8:$G$907,F69),SUMIFS(PARÂMETROS!$C$8:$C$907,PARÂMETROS!$G$8:$G$907,F69))</f>
        <v/>
      </c>
    </row>
    <row r="70" ht="15" customHeight="1" s="64">
      <c r="A70" s="90" t="inlineStr">
        <is>
          <t>TIC</t>
        </is>
      </c>
      <c r="B70" s="91" t="inlineStr">
        <is>
          <t>Clientes</t>
        </is>
      </c>
      <c r="C70" s="92" t="inlineStr">
        <is>
          <t>TIC dá suporte de infraestrutura de tecnologia à operação voltada aos clientes</t>
        </is>
      </c>
      <c r="D70" s="84">
        <f>SUMIFS('CUSTOS MENSAIS'!$F:$F,'CUSTOS MENSAIS'!$A:$A,A70,'CUSTOS MENSAIS'!$H:$H,F70)</f>
        <v/>
      </c>
      <c r="E70" s="84">
        <f>IFERROR(D70/IF(B70="Clientes",SUMIFS(PARÂMETROS!$B$8:$B$907,PARÂMETROS!$G$8:$G$907,F70),SUMIFS(PARÂMETROS!$C$8:$C$907,PARÂMETROS!$G$8:$G$907,F70)),0)</f>
        <v/>
      </c>
      <c r="F70" s="74" t="inlineStr">
        <is>
          <t>Junho/2026</t>
        </is>
      </c>
      <c r="G70" s="94">
        <f>IF(B70="Clientes",SUMIFS(PARÂMETROS!$B$8:$B$907,PARÂMETROS!$G$8:$G$907,F70),SUMIFS(PARÂMETROS!$C$8:$C$907,PARÂMETROS!$G$8:$G$907,F70))</f>
        <v/>
      </c>
    </row>
    <row r="71" ht="15" customHeight="1" s="64">
      <c r="A71" s="90" t="inlineStr">
        <is>
          <t>COE</t>
        </is>
      </c>
      <c r="B71" s="91" t="inlineStr">
        <is>
          <t>Clientes</t>
        </is>
      </c>
      <c r="C71" s="92" t="inlineStr">
        <is>
          <t>Centro de Operações Especiais (COE) trata despacho e demandas operacionais ligadas à base de clientes</t>
        </is>
      </c>
      <c r="D71" s="84">
        <f>SUMIFS('CUSTOS MENSAIS'!$F:$F,'CUSTOS MENSAIS'!$A:$A,A71,'CUSTOS MENSAIS'!$H:$H,F71)</f>
        <v/>
      </c>
      <c r="E71" s="84">
        <f>IFERROR(D71/IF(B71="Clientes",SUMIFS(PARÂMETROS!$B$8:$B$907,PARÂMETROS!$G$8:$G$907,F71),SUMIFS(PARÂMETROS!$C$8:$C$907,PARÂMETROS!$G$8:$G$907,F71)),0)</f>
        <v/>
      </c>
      <c r="F71" s="74" t="inlineStr">
        <is>
          <t>Junho/2026</t>
        </is>
      </c>
      <c r="G71" s="94">
        <f>IF(B71="Clientes",SUMIFS(PARÂMETROS!$B$8:$B$907,PARÂMETROS!$G$8:$G$907,F71),SUMIFS(PARÂMETROS!$C$8:$C$907,PARÂMETROS!$G$8:$G$907,F71))</f>
        <v/>
      </c>
    </row>
    <row r="72" ht="14.25" customHeight="1" s="64">
      <c r="A72" s="90" t="inlineStr">
        <is>
          <t>Fique Móvel</t>
        </is>
      </c>
      <c r="B72" s="91" t="inlineStr">
        <is>
          <t>Clientes</t>
        </is>
      </c>
      <c r="C72" s="92" t="inlineStr">
        <is>
          <t>Fique Móvel é equipe de vendas que atua diretamente na captação de clientes</t>
        </is>
      </c>
      <c r="D72" s="84">
        <f>SUMIFS('CUSTOS MENSAIS'!$F:$F,'CUSTOS MENSAIS'!$A:$A,A72,'CUSTOS MENSAIS'!$H:$H,F72)</f>
        <v/>
      </c>
      <c r="E72" s="84">
        <f>IFERROR(D72/IF(B72="Clientes",SUMIFS(PARÂMETROS!$B$8:$B$907,PARÂMETROS!$G$8:$G$907,F72),SUMIFS(PARÂMETROS!$C$8:$C$907,PARÂMETROS!$G$8:$G$907,F72)),0)</f>
        <v/>
      </c>
      <c r="F72" s="74" t="inlineStr">
        <is>
          <t>Junho/2026</t>
        </is>
      </c>
      <c r="G72" s="94">
        <f>IF(B72="Clientes",SUMIFS(PARÂMETROS!$B$8:$B$907,PARÂMETROS!$G$8:$G$907,F72),SUMIFS(PARÂMETROS!$C$8:$C$907,PARÂMETROS!$G$8:$G$907,F72))</f>
        <v/>
      </c>
    </row>
    <row r="73" ht="15" customHeight="1" s="64">
      <c r="A73" s="90" t="inlineStr">
        <is>
          <t>Lançamento</t>
        </is>
      </c>
      <c r="B73" s="91" t="inlineStr">
        <is>
          <t>Clientes</t>
        </is>
      </c>
      <c r="C73" s="92" t="inlineStr">
        <is>
          <t>Equipe de Lançamento realiza a instalação/lançamento de rede para atender novos clientes</t>
        </is>
      </c>
      <c r="D73" s="84">
        <f>SUMIFS('CUSTOS MENSAIS'!$F:$F,'CUSTOS MENSAIS'!$A:$A,A73,'CUSTOS MENSAIS'!$H:$H,F73)</f>
        <v/>
      </c>
      <c r="E73" s="84">
        <f>IFERROR(D73/IF(B73="Clientes",SUMIFS(PARÂMETROS!$B$8:$B$907,PARÂMETROS!$G$8:$G$907,F73),SUMIFS(PARÂMETROS!$C$8:$C$907,PARÂMETROS!$G$8:$G$907,F73)),0)</f>
        <v/>
      </c>
      <c r="F73" s="74" t="inlineStr">
        <is>
          <t>Junho/2026</t>
        </is>
      </c>
      <c r="G73" s="94">
        <f>IF(B73="Clientes",SUMIFS(PARÂMETROS!$B$8:$B$907,PARÂMETROS!$G$8:$G$907,F73),SUMIFS(PARÂMETROS!$C$8:$C$907,PARÂMETROS!$G$8:$G$907,F73))</f>
        <v/>
      </c>
    </row>
    <row r="74" ht="15" customHeight="1" s="64">
      <c r="A74" s="90" t="inlineStr">
        <is>
          <t>Fusão</t>
        </is>
      </c>
      <c r="B74" s="91" t="inlineStr">
        <is>
          <t>Clientes</t>
        </is>
      </c>
      <c r="C74" s="92" t="inlineStr">
        <is>
          <t>Equipe de Fusão realiza fusão/manutenção de fibra óptica para atender a base de clientes</t>
        </is>
      </c>
      <c r="D74" s="84">
        <f>SUMIFS('CUSTOS MENSAIS'!$F:$F,'CUSTOS MENSAIS'!$A:$A,A74,'CUSTOS MENSAIS'!$H:$H,F74)</f>
        <v/>
      </c>
      <c r="E74" s="84">
        <f>IFERROR(D74/IF(B74="Clientes",SUMIFS(PARÂMETROS!$B$8:$B$907,PARÂMETROS!$G$8:$G$907,F74),SUMIFS(PARÂMETROS!$C$8:$C$907,PARÂMETROS!$G$8:$G$907,F74)),0)</f>
        <v/>
      </c>
      <c r="F74" s="74" t="inlineStr">
        <is>
          <t>Junho/2026</t>
        </is>
      </c>
      <c r="G74" s="94">
        <f>IF(B74="Clientes",SUMIFS(PARÂMETROS!$B$8:$B$907,PARÂMETROS!$G$8:$G$907,F74),SUMIFS(PARÂMETROS!$C$8:$C$907,PARÂMETROS!$G$8:$G$907,F74))</f>
        <v/>
      </c>
    </row>
    <row r="75" ht="15" customHeight="1" s="64">
      <c r="A75" s="90" t="inlineStr">
        <is>
          <t>Diretoria Adm</t>
        </is>
      </c>
      <c r="B75" s="91" t="inlineStr">
        <is>
          <t>Clientes</t>
        </is>
      </c>
      <c r="C75" s="92" t="inlineStr">
        <is>
          <t>Diretoria Administrativa realiza a gestão administrativa executiva da operação</t>
        </is>
      </c>
      <c r="D75" s="84">
        <f>SUMIFS('CUSTOS MENSAIS'!$F:$F,'CUSTOS MENSAIS'!$A:$A,A75,'CUSTOS MENSAIS'!$H:$H,F75)</f>
        <v/>
      </c>
      <c r="E75" s="84">
        <f>IFERROR(D75/IF(B75="Clientes",SUMIFS(PARÂMETROS!$B$8:$B$907,PARÂMETROS!$G$8:$G$907,F75),SUMIFS(PARÂMETROS!$C$8:$C$907,PARÂMETROS!$G$8:$G$907,F75)),0)</f>
        <v/>
      </c>
      <c r="F75" s="74" t="inlineStr">
        <is>
          <t>Junho/2026</t>
        </is>
      </c>
      <c r="G75" s="94">
        <f>IF(B75="Clientes",SUMIFS(PARÂMETROS!$B$8:$B$907,PARÂMETROS!$G$8:$G$907,F75),SUMIFS(PARÂMETROS!$C$8:$C$907,PARÂMETROS!$G$8:$G$907,F75))</f>
        <v/>
      </c>
    </row>
    <row r="76" ht="15" customHeight="1" s="64">
      <c r="A76" s="90" t="inlineStr">
        <is>
          <t>Cozinha</t>
        </is>
      </c>
      <c r="B76" s="91" t="inlineStr">
        <is>
          <t>Funcionários</t>
        </is>
      </c>
      <c r="C76" s="92" t="inlineStr">
        <is>
          <t>Cozinha prepara as refeições dos colaboradores</t>
        </is>
      </c>
      <c r="D76" s="84">
        <f>SUMIFS('CUSTOS MENSAIS'!$F:$F,'CUSTOS MENSAIS'!$A:$A,A76,'CUSTOS MENSAIS'!$H:$H,F76)</f>
        <v/>
      </c>
      <c r="E76" s="84">
        <f>IFERROR(D76/G76,0)</f>
        <v/>
      </c>
      <c r="F76" s="74" t="inlineStr">
        <is>
          <t>Junho/2026</t>
        </is>
      </c>
      <c r="G76" s="94">
        <f>SUMIFS(PARÂMETROS!$C$8:$C$907,PARÂMETROS!$G$8:$G$907,F76,PARÂMETROS!$A$8:$A$907,"DTEL (uso próprio)")</f>
        <v/>
      </c>
    </row>
    <row r="77" ht="15" customHeight="1" s="64">
      <c r="A77" s="80" t="inlineStr">
        <is>
          <t>TOTAL GERAL — Junho/2026</t>
        </is>
      </c>
      <c r="B77" s="95" t="n"/>
      <c r="C77" s="96" t="n"/>
      <c r="D77" s="97">
        <f>SUM(D42:D76)+D115+D118+D121+D124</f>
        <v/>
      </c>
      <c r="E77" s="97" t="n"/>
      <c r="F77" s="95" t="n"/>
      <c r="G77" s="98" t="n"/>
    </row>
    <row r="78" ht="15" customHeight="1" s="64">
      <c r="A78" s="90" t="inlineStr">
        <is>
          <t>NOC</t>
        </is>
      </c>
      <c r="B78" s="91" t="inlineStr">
        <is>
          <t>Clientes</t>
        </is>
      </c>
      <c r="C78" s="92" t="inlineStr">
        <is>
          <t>Infraestrutura de rede/NOC escala com o nº de clientes ativos</t>
        </is>
      </c>
      <c r="D78" s="84">
        <f>SUMIFS('CUSTOS MENSAIS'!$F:$F,'CUSTOS MENSAIS'!$A:$A,A78,'CUSTOS MENSAIS'!$H:$H,F78)</f>
        <v/>
      </c>
      <c r="E78" s="84">
        <f>IFERROR(D78/IF(B78="Clientes",SUMIFS(PARÂMETROS!$B$8:$B$907,PARÂMETROS!$G$8:$G$907,F78),SUMIFS(PARÂMETROS!$C$8:$C$907,PARÂMETROS!$G$8:$G$907,F78)),0)</f>
        <v/>
      </c>
      <c r="F78" s="74" t="inlineStr">
        <is>
          <t>Julho/2026</t>
        </is>
      </c>
      <c r="G78" s="94">
        <f>IF(B78="Clientes",SUMIFS(PARÂMETROS!$B$8:$B$907,PARÂMETROS!$G$8:$G$907,F78),SUMIFS(PARÂMETROS!$C$8:$C$907,PARÂMETROS!$G$8:$G$907,F78))</f>
        <v/>
      </c>
    </row>
    <row r="79" ht="15" customHeight="1" s="64">
      <c r="A79" s="90" t="inlineStr">
        <is>
          <t>RH</t>
        </is>
      </c>
      <c r="B79" s="91" t="inlineStr">
        <is>
          <t>Funcionários</t>
        </is>
      </c>
      <c r="C79" s="92" t="inlineStr">
        <is>
          <t>Recursos Humanos atende diretamente aos colaboradores</t>
        </is>
      </c>
      <c r="D79" s="84">
        <f>SUMIFS('CUSTOS MENSAIS'!$F:$F,'CUSTOS MENSAIS'!$A:$A,A79,'CUSTOS MENSAIS'!$H:$H,F79)</f>
        <v/>
      </c>
      <c r="E79" s="84">
        <f>IFERROR(D79/IF(B79="Clientes",SUMIFS(PARÂMETROS!$B$8:$B$907,PARÂMETROS!$G$8:$G$907,F79),SUMIFS(PARÂMETROS!$C$8:$C$907,PARÂMETROS!$G$8:$G$907,F79)),0)</f>
        <v/>
      </c>
      <c r="F79" s="74" t="inlineStr">
        <is>
          <t>Julho/2026</t>
        </is>
      </c>
      <c r="G79" s="94">
        <f>IF(B79="Clientes",SUMIFS(PARÂMETROS!$B$8:$B$907,PARÂMETROS!$G$8:$G$907,F79),SUMIFS(PARÂMETROS!$C$8:$C$907,PARÂMETROS!$G$8:$G$907,F79))</f>
        <v/>
      </c>
    </row>
    <row r="80" ht="15" customHeight="1" s="64">
      <c r="A80" s="90" t="inlineStr">
        <is>
          <t>DP</t>
        </is>
      </c>
      <c r="B80" s="91" t="inlineStr">
        <is>
          <t>Funcionários</t>
        </is>
      </c>
      <c r="C80" s="92" t="inlineStr">
        <is>
          <t>Departamento Pessoal atende à folha de colaboradores</t>
        </is>
      </c>
      <c r="D80" s="84">
        <f>SUMIFS('CUSTOS MENSAIS'!$F:$F,'CUSTOS MENSAIS'!$A:$A,A80,'CUSTOS MENSAIS'!$H:$H,F80)</f>
        <v/>
      </c>
      <c r="E80" s="84">
        <f>IFERROR(D80/IF(B80="Clientes",SUMIFS(PARÂMETROS!$B$8:$B$907,PARÂMETROS!$G$8:$G$907,F80),SUMIFS(PARÂMETROS!$C$8:$C$907,PARÂMETROS!$G$8:$G$907,F80)),0)</f>
        <v/>
      </c>
      <c r="F80" s="74" t="inlineStr">
        <is>
          <t>Julho/2026</t>
        </is>
      </c>
      <c r="G80" s="94">
        <f>IF(B80="Clientes",SUMIFS(PARÂMETROS!$B$8:$B$907,PARÂMETROS!$G$8:$G$907,F80),SUMIFS(PARÂMETROS!$C$8:$C$907,PARÂMETROS!$G$8:$G$907,F80))</f>
        <v/>
      </c>
    </row>
    <row r="81" ht="15" customHeight="1" s="64">
      <c r="A81" s="90" t="inlineStr">
        <is>
          <t>Gestão de Atendimento</t>
        </is>
      </c>
      <c r="B81" s="91" t="inlineStr">
        <is>
          <t>Clientes</t>
        </is>
      </c>
      <c r="C81" s="92" t="inlineStr">
        <is>
          <t>Atendimento administrativo e presencial de loja escala com o volume de clientes atendidos</t>
        </is>
      </c>
      <c r="D81" s="84">
        <f>SUMIFS('CUSTOS MENSAIS'!$F:$F,'CUSTOS MENSAIS'!$A:$A,A81,'CUSTOS MENSAIS'!$H:$H,F81)</f>
        <v/>
      </c>
      <c r="E81" s="84">
        <f>IFERROR(D81/IF(B81="Clientes",SUMIFS(PARÂMETROS!$B$8:$B$907,PARÂMETROS!$G$8:$G$907,F81),SUMIFS(PARÂMETROS!$C$8:$C$907,PARÂMETROS!$G$8:$G$907,F81)),0)</f>
        <v/>
      </c>
      <c r="F81" s="74" t="inlineStr">
        <is>
          <t>Julho/2026</t>
        </is>
      </c>
      <c r="G81" s="94">
        <f>IF(B81="Clientes",SUMIFS(PARÂMETROS!$B$8:$B$907,PARÂMETROS!$G$8:$G$907,F81),SUMIFS(PARÂMETROS!$C$8:$C$907,PARÂMETROS!$G$8:$G$907,F81))</f>
        <v/>
      </c>
    </row>
    <row r="82" ht="15" customHeight="1" s="64">
      <c r="A82" s="90" t="inlineStr">
        <is>
          <t>CAC</t>
        </is>
      </c>
      <c r="B82" s="91" t="inlineStr">
        <is>
          <t>Clientes</t>
        </is>
      </c>
      <c r="C82" s="92" t="inlineStr">
        <is>
          <t>Central de Atendimento ao Cliente atende diretamente a base de clientes de cada empresa</t>
        </is>
      </c>
      <c r="D82" s="84">
        <f>SUMIFS('CUSTOS MENSAIS'!$F:$F,'CUSTOS MENSAIS'!$A:$A,A82,'CUSTOS MENSAIS'!$H:$H,F82)</f>
        <v/>
      </c>
      <c r="E82" s="84">
        <f>IFERROR(D82/IF(B82="Clientes",SUMIFS(PARÂMETROS!$B$8:$B$907,PARÂMETROS!$G$8:$G$907,F82),SUMIFS(PARÂMETROS!$C$8:$C$907,PARÂMETROS!$G$8:$G$907,F82)),0)</f>
        <v/>
      </c>
      <c r="F82" s="74" t="inlineStr">
        <is>
          <t>Julho/2026</t>
        </is>
      </c>
      <c r="G82" s="94">
        <f>IF(B82="Clientes",SUMIFS(PARÂMETROS!$B$8:$B$907,PARÂMETROS!$G$8:$G$907,F82),SUMIFS(PARÂMETROS!$C$8:$C$907,PARÂMETROS!$G$8:$G$907,F82))</f>
        <v/>
      </c>
    </row>
    <row r="83" ht="15" customHeight="1" s="64">
      <c r="A83" s="90" t="inlineStr">
        <is>
          <t>Financeiro</t>
        </is>
      </c>
      <c r="B83" s="91" t="inlineStr">
        <is>
          <t>Clientes</t>
        </is>
      </c>
      <c r="C83" s="92" t="inlineStr">
        <is>
          <t>Financeiro cuida da gestão financeira e de faturamento da operação</t>
        </is>
      </c>
      <c r="D83" s="84">
        <f>SUMIFS('CUSTOS MENSAIS'!$F:$F,'CUSTOS MENSAIS'!$A:$A,A83,'CUSTOS MENSAIS'!$H:$H,F83)</f>
        <v/>
      </c>
      <c r="E83" s="84">
        <f>IFERROR(D83/IF(B83="Clientes",SUMIFS(PARÂMETROS!$B$8:$B$907,PARÂMETROS!$G$8:$G$907,F83),SUMIFS(PARÂMETROS!$C$8:$C$907,PARÂMETROS!$G$8:$G$907,F83)),0)</f>
        <v/>
      </c>
      <c r="F83" s="74" t="inlineStr">
        <is>
          <t>Julho/2026</t>
        </is>
      </c>
      <c r="G83" s="94">
        <f>IF(B83="Clientes",SUMIFS(PARÂMETROS!$B$8:$B$907,PARÂMETROS!$G$8:$G$907,F83),SUMIFS(PARÂMETROS!$C$8:$C$907,PARÂMETROS!$G$8:$G$907,F83))</f>
        <v/>
      </c>
    </row>
    <row r="84" ht="14.25" customHeight="1" s="64">
      <c r="A84" s="90" t="inlineStr">
        <is>
          <t>NRC</t>
        </is>
      </c>
      <c r="B84" s="91" t="inlineStr">
        <is>
          <t>Clientes</t>
        </is>
      </c>
      <c r="C84" s="92" t="inlineStr">
        <is>
          <t>Serviço de Atendimento ao Cliente escala com o volume de clientes atendidos</t>
        </is>
      </c>
      <c r="D84" s="84">
        <f>SUMIFS('CUSTOS MENSAIS'!$F:$F,'CUSTOS MENSAIS'!$A:$A,A84,'CUSTOS MENSAIS'!$H:$H,F84)</f>
        <v/>
      </c>
      <c r="E84" s="84">
        <f>IFERROR(D84/IF(B84="Clientes",SUMIFS(PARÂMETROS!$B$8:$B$907,PARÂMETROS!$G$8:$G$907,F84),SUMIFS(PARÂMETROS!$C$8:$C$907,PARÂMETROS!$G$8:$G$907,F84)),0)</f>
        <v/>
      </c>
      <c r="F84" s="74" t="inlineStr">
        <is>
          <t>Julho/2026</t>
        </is>
      </c>
      <c r="G84" s="94">
        <f>IF(B84="Clientes",SUMIFS(PARÂMETROS!$B$8:$B$907,PARÂMETROS!$G$8:$G$907,F84),SUMIFS(PARÂMETROS!$C$8:$C$907,PARÂMETROS!$G$8:$G$907,F84))</f>
        <v/>
      </c>
    </row>
    <row r="85" ht="14.25" customHeight="1" s="64">
      <c r="A85" s="90" t="inlineStr">
        <is>
          <t>Cobrança</t>
        </is>
      </c>
      <c r="B85" s="91" t="inlineStr">
        <is>
          <t>Clientes</t>
        </is>
      </c>
      <c r="C85" s="92" t="inlineStr">
        <is>
          <t>Cobrança atua sobre a carteira de clientes inadimplentes de cada empresa</t>
        </is>
      </c>
      <c r="D85" s="84">
        <f>SUMIFS('CUSTOS MENSAIS'!$F:$F,'CUSTOS MENSAIS'!$A:$A,A85,'CUSTOS MENSAIS'!$H:$H,F85)</f>
        <v/>
      </c>
      <c r="E85" s="84">
        <f>IFERROR(D85/IF(B85="Clientes",SUMIFS(PARÂMETROS!$B$8:$B$907,PARÂMETROS!$G$8:$G$907,F85),SUMIFS(PARÂMETROS!$C$8:$C$907,PARÂMETROS!$G$8:$G$907,F85)),0)</f>
        <v/>
      </c>
      <c r="F85" s="74" t="inlineStr">
        <is>
          <t>Julho/2026</t>
        </is>
      </c>
      <c r="G85" s="94">
        <f>IF(B85="Clientes",SUMIFS(PARÂMETROS!$B$8:$B$907,PARÂMETROS!$G$8:$G$907,F85),SUMIFS(PARÂMETROS!$C$8:$C$907,PARÂMETROS!$G$8:$G$907,F85))</f>
        <v/>
      </c>
    </row>
    <row r="86" ht="14.25" customHeight="1" s="64">
      <c r="A86" s="90" t="inlineStr">
        <is>
          <t>Retenção</t>
        </is>
      </c>
      <c r="B86" s="91" t="inlineStr">
        <is>
          <t>Clientes</t>
        </is>
      </c>
      <c r="C86" s="92" t="inlineStr">
        <is>
          <t>Retenção atua sobre a base de clientes de cada empresa para evitar cancelamento</t>
        </is>
      </c>
      <c r="D86" s="84">
        <f>SUMIFS('CUSTOS MENSAIS'!$F:$F,'CUSTOS MENSAIS'!$A:$A,A86,'CUSTOS MENSAIS'!$H:$H,F86)</f>
        <v/>
      </c>
      <c r="E86" s="84">
        <f>IFERROR(D86/IF(B86="Clientes",SUMIFS(PARÂMETROS!$B$8:$B$907,PARÂMETROS!$G$8:$G$907,F86),SUMIFS(PARÂMETROS!$C$8:$C$907,PARÂMETROS!$G$8:$G$907,F86)),0)</f>
        <v/>
      </c>
      <c r="F86" s="74" t="inlineStr">
        <is>
          <t>Julho/2026</t>
        </is>
      </c>
      <c r="G86" s="94">
        <f>IF(B86="Clientes",SUMIFS(PARÂMETROS!$B$8:$B$907,PARÂMETROS!$G$8:$G$907,F86),SUMIFS(PARÂMETROS!$C$8:$C$907,PARÂMETROS!$G$8:$G$907,F86))</f>
        <v/>
      </c>
    </row>
    <row r="87" ht="14.25" customHeight="1" s="64">
      <c r="A87" s="90" t="inlineStr">
        <is>
          <t>Contabilidade</t>
        </is>
      </c>
      <c r="B87" s="91" t="inlineStr">
        <is>
          <t>Clientes</t>
        </is>
      </c>
      <c r="C87" s="92" t="inlineStr">
        <is>
          <t>Contabilidade realiza a escrituração fiscal e contábil da operação</t>
        </is>
      </c>
      <c r="D87" s="84">
        <f>SUMIFS('CUSTOS MENSAIS'!$F:$F,'CUSTOS MENSAIS'!$A:$A,A87,'CUSTOS MENSAIS'!$H:$H,F87)</f>
        <v/>
      </c>
      <c r="E87" s="84">
        <f>IFERROR(D87/IF(B87="Clientes",SUMIFS(PARÂMETROS!$B$8:$B$907,PARÂMETROS!$G$8:$G$907,F87),SUMIFS(PARÂMETROS!$C$8:$C$907,PARÂMETROS!$G$8:$G$907,F87)),0)</f>
        <v/>
      </c>
      <c r="F87" s="74" t="inlineStr">
        <is>
          <t>Julho/2026</t>
        </is>
      </c>
      <c r="G87" s="94">
        <f>IF(B87="Clientes",SUMIFS(PARÂMETROS!$B$8:$B$907,PARÂMETROS!$G$8:$G$907,F87),SUMIFS(PARÂMETROS!$C$8:$C$907,PARÂMETROS!$G$8:$G$907,F87))</f>
        <v/>
      </c>
    </row>
    <row r="88" ht="14.25" customHeight="1" s="64">
      <c r="A88" s="90" t="inlineStr">
        <is>
          <t>Controladoria</t>
        </is>
      </c>
      <c r="B88" s="91" t="inlineStr">
        <is>
          <t>Clientes</t>
        </is>
      </c>
      <c r="C88" s="92" t="inlineStr">
        <is>
          <t>Controladoria acompanha os indicadores financeiros da operação</t>
        </is>
      </c>
      <c r="D88" s="84">
        <f>SUMIFS('CUSTOS MENSAIS'!$F:$F,'CUSTOS MENSAIS'!$A:$A,A88,'CUSTOS MENSAIS'!$H:$H,F88)</f>
        <v/>
      </c>
      <c r="E88" s="84">
        <f>IFERROR(D88/IF(B88="Clientes",SUMIFS(PARÂMETROS!$B$8:$B$907,PARÂMETROS!$G$8:$G$907,F88),SUMIFS(PARÂMETROS!$C$8:$C$907,PARÂMETROS!$G$8:$G$907,F88)),0)</f>
        <v/>
      </c>
      <c r="F88" s="74" t="inlineStr">
        <is>
          <t>Julho/2026</t>
        </is>
      </c>
      <c r="G88" s="94">
        <f>IF(B88="Clientes",SUMIFS(PARÂMETROS!$B$8:$B$907,PARÂMETROS!$G$8:$G$907,F88),SUMIFS(PARÂMETROS!$C$8:$C$907,PARÂMETROS!$G$8:$G$907,F88))</f>
        <v/>
      </c>
    </row>
    <row r="89" ht="14.25" customHeight="1" s="64">
      <c r="A89" s="90" t="inlineStr">
        <is>
          <t>Diretoria Operacional</t>
        </is>
      </c>
      <c r="B89" s="91" t="inlineStr">
        <is>
          <t>Clientes</t>
        </is>
      </c>
      <c r="C89" s="92" t="inlineStr">
        <is>
          <t>Diretoria Operacional coordena a operação das áreas técnicas e de atendimento</t>
        </is>
      </c>
      <c r="D89" s="84">
        <f>SUMIFS('CUSTOS MENSAIS'!$F:$F,'CUSTOS MENSAIS'!$A:$A,A89,'CUSTOS MENSAIS'!$H:$H,F89)</f>
        <v/>
      </c>
      <c r="E89" s="84">
        <f>IFERROR(D89/IF(B89="Clientes",SUMIFS(PARÂMETROS!$B$8:$B$907,PARÂMETROS!$G$8:$G$907,F89),SUMIFS(PARÂMETROS!$C$8:$C$907,PARÂMETROS!$G$8:$G$907,F89)),0)</f>
        <v/>
      </c>
      <c r="F89" s="74" t="inlineStr">
        <is>
          <t>Julho/2026</t>
        </is>
      </c>
      <c r="G89" s="94">
        <f>IF(B89="Clientes",SUMIFS(PARÂMETROS!$B$8:$B$907,PARÂMETROS!$G$8:$G$907,F89),SUMIFS(PARÂMETROS!$C$8:$C$907,PARÂMETROS!$G$8:$G$907,F89))</f>
        <v/>
      </c>
    </row>
    <row r="90" ht="14.25" customHeight="1" s="64">
      <c r="A90" s="90" t="inlineStr">
        <is>
          <t>Compras</t>
        </is>
      </c>
      <c r="B90" s="91" t="inlineStr">
        <is>
          <t>Clientes</t>
        </is>
      </c>
      <c r="C90" s="92" t="inlineStr">
        <is>
          <t>Compras administra a aquisição de materiais e serviços para a operação</t>
        </is>
      </c>
      <c r="D90" s="84">
        <f>SUMIFS('CUSTOS MENSAIS'!$F:$F,'CUSTOS MENSAIS'!$A:$A,A90,'CUSTOS MENSAIS'!$H:$H,F90)</f>
        <v/>
      </c>
      <c r="E90" s="84">
        <f>IFERROR(D90/IF(B90="Clientes",SUMIFS(PARÂMETROS!$B$8:$B$907,PARÂMETROS!$G$8:$G$907,F90),SUMIFS(PARÂMETROS!$C$8:$C$907,PARÂMETROS!$G$8:$G$907,F90)),0)</f>
        <v/>
      </c>
      <c r="F90" s="74" t="inlineStr">
        <is>
          <t>Julho/2026</t>
        </is>
      </c>
      <c r="G90" s="94">
        <f>IF(B90="Clientes",SUMIFS(PARÂMETROS!$B$8:$B$907,PARÂMETROS!$G$8:$G$907,F90),SUMIFS(PARÂMETROS!$C$8:$C$907,PARÂMETROS!$G$8:$G$907,F90))</f>
        <v/>
      </c>
    </row>
    <row r="91" ht="14.25" customHeight="1" s="64">
      <c r="A91" s="90" t="inlineStr">
        <is>
          <t>Segurança do Trabalho</t>
        </is>
      </c>
      <c r="B91" s="91" t="inlineStr">
        <is>
          <t>Funcionários</t>
        </is>
      </c>
      <c r="C91" s="92" t="inlineStr">
        <is>
          <t>Segurança do Trabalho cuida da saúde e segurança dos colaboradores</t>
        </is>
      </c>
      <c r="D91" s="84">
        <f>SUMIFS('CUSTOS MENSAIS'!$F:$F,'CUSTOS MENSAIS'!$A:$A,A91,'CUSTOS MENSAIS'!$H:$H,F91)</f>
        <v/>
      </c>
      <c r="E91" s="84">
        <f>IFERROR(D91/IF(B91="Clientes",SUMIFS(PARÂMETROS!$B$8:$B$907,PARÂMETROS!$G$8:$G$907,F91),SUMIFS(PARÂMETROS!$C$8:$C$907,PARÂMETROS!$G$8:$G$907,F91)),0)</f>
        <v/>
      </c>
      <c r="F91" s="74" t="inlineStr">
        <is>
          <t>Julho/2026</t>
        </is>
      </c>
      <c r="G91" s="94">
        <f>IF(B91="Clientes",SUMIFS(PARÂMETROS!$B$8:$B$907,PARÂMETROS!$G$8:$G$907,F91),SUMIFS(PARÂMETROS!$C$8:$C$907,PARÂMETROS!$G$8:$G$907,F91))</f>
        <v/>
      </c>
    </row>
    <row r="92" ht="14.25" customHeight="1" s="64">
      <c r="A92" s="90" t="inlineStr">
        <is>
          <t>Engenharia</t>
        </is>
      </c>
      <c r="B92" s="91" t="inlineStr">
        <is>
          <t>Clientes</t>
        </is>
      </c>
      <c r="C92" s="92" t="inlineStr">
        <is>
          <t>Engenharia realiza a instalação e manutenção da infraestrutura de rede</t>
        </is>
      </c>
      <c r="D92" s="84">
        <f>SUMIFS('CUSTOS MENSAIS'!$F:$F,'CUSTOS MENSAIS'!$A:$A,A92,'CUSTOS MENSAIS'!$H:$H,F92)</f>
        <v/>
      </c>
      <c r="E92" s="84">
        <f>IFERROR(D92/IF(B92="Clientes",SUMIFS(PARÂMETROS!$B$8:$B$907,PARÂMETROS!$G$8:$G$907,F92),SUMIFS(PARÂMETROS!$C$8:$C$907,PARÂMETROS!$G$8:$G$907,F92)),0)</f>
        <v/>
      </c>
      <c r="F92" s="74" t="inlineStr">
        <is>
          <t>Julho/2026</t>
        </is>
      </c>
      <c r="G92" s="94">
        <f>IF(B92="Clientes",SUMIFS(PARÂMETROS!$B$8:$B$907,PARÂMETROS!$G$8:$G$907,F92),SUMIFS(PARÂMETROS!$C$8:$C$907,PARÂMETROS!$G$8:$G$907,F92))</f>
        <v/>
      </c>
    </row>
    <row r="93" ht="14.25" customHeight="1" s="64">
      <c r="A93" s="90" t="inlineStr">
        <is>
          <t>Obras</t>
        </is>
      </c>
      <c r="B93" s="91" t="inlineStr">
        <is>
          <t>Clientes</t>
        </is>
      </c>
      <c r="C93" s="92" t="inlineStr">
        <is>
          <t>Obras executa construção e manutenção civil da infraestrutura</t>
        </is>
      </c>
      <c r="D93" s="84">
        <f>SUMIFS('CUSTOS MENSAIS'!$F:$F,'CUSTOS MENSAIS'!$A:$A,A93,'CUSTOS MENSAIS'!$H:$H,F93)</f>
        <v/>
      </c>
      <c r="E93" s="84">
        <f>IFERROR(D93/IF(B93="Clientes",SUMIFS(PARÂMETROS!$B$8:$B$907,PARÂMETROS!$G$8:$G$907,F93),SUMIFS(PARÂMETROS!$C$8:$C$907,PARÂMETROS!$G$8:$G$907,F93)),0)</f>
        <v/>
      </c>
      <c r="F93" s="74" t="inlineStr">
        <is>
          <t>Julho/2026</t>
        </is>
      </c>
      <c r="G93" s="94">
        <f>IF(B93="Clientes",SUMIFS(PARÂMETROS!$B$8:$B$907,PARÂMETROS!$G$8:$G$907,F93),SUMIFS(PARÂMETROS!$C$8:$C$907,PARÂMETROS!$G$8:$G$907,F93))</f>
        <v/>
      </c>
    </row>
    <row r="94" ht="14.25" customHeight="1" s="64">
      <c r="A94" s="90" t="inlineStr">
        <is>
          <t>Manutenção Predial</t>
        </is>
      </c>
      <c r="B94" s="91" t="inlineStr">
        <is>
          <t>Clientes</t>
        </is>
      </c>
      <c r="C94" s="92" t="inlineStr">
        <is>
          <t>Manutenção Predial cuida da manutenção das instalações físicas</t>
        </is>
      </c>
      <c r="D94" s="84">
        <f>SUMIFS('CUSTOS MENSAIS'!$F:$F,'CUSTOS MENSAIS'!$A:$A,A94,'CUSTOS MENSAIS'!$H:$H,F94)</f>
        <v/>
      </c>
      <c r="E94" s="84">
        <f>IFERROR(D94/IF(B94="Clientes",SUMIFS(PARÂMETROS!$B$8:$B$907,PARÂMETROS!$G$8:$G$907,F94),SUMIFS(PARÂMETROS!$C$8:$C$907,PARÂMETROS!$G$8:$G$907,F94)),0)</f>
        <v/>
      </c>
      <c r="F94" s="74" t="inlineStr">
        <is>
          <t>Julho/2026</t>
        </is>
      </c>
      <c r="G94" s="94">
        <f>IF(B94="Clientes",SUMIFS(PARÂMETROS!$B$8:$B$907,PARÂMETROS!$G$8:$G$907,F94),SUMIFS(PARÂMETROS!$C$8:$C$907,PARÂMETROS!$G$8:$G$907,F94))</f>
        <v/>
      </c>
    </row>
    <row r="95" ht="14.25" customHeight="1" s="64">
      <c r="A95" s="90" t="inlineStr">
        <is>
          <t>Logística</t>
        </is>
      </c>
      <c r="B95" s="91" t="inlineStr">
        <is>
          <t>Clientes</t>
        </is>
      </c>
      <c r="C95" s="92" t="inlineStr">
        <is>
          <t>Logística administra o armazenamento e a distribuição de materiais e equipamentos</t>
        </is>
      </c>
      <c r="D95" s="84">
        <f>SUMIFS('CUSTOS MENSAIS'!$F:$F,'CUSTOS MENSAIS'!$A:$A,A95,'CUSTOS MENSAIS'!$H:$H,F95)</f>
        <v/>
      </c>
      <c r="E95" s="84">
        <f>IFERROR(D95/IF(B95="Clientes",SUMIFS(PARÂMETROS!$B$8:$B$907,PARÂMETROS!$G$8:$G$907,F95),SUMIFS(PARÂMETROS!$C$8:$C$907,PARÂMETROS!$G$8:$G$907,F95)),0)</f>
        <v/>
      </c>
      <c r="F95" s="74" t="inlineStr">
        <is>
          <t>Julho/2026</t>
        </is>
      </c>
      <c r="G95" s="94">
        <f>IF(B95="Clientes",SUMIFS(PARÂMETROS!$B$8:$B$907,PARÂMETROS!$G$8:$G$907,F95),SUMIFS(PARÂMETROS!$C$8:$C$907,PARÂMETROS!$G$8:$G$907,F95))</f>
        <v/>
      </c>
    </row>
    <row r="96" ht="14.25" customHeight="1" s="64">
      <c r="A96" s="90" t="inlineStr">
        <is>
          <t>Oficina</t>
        </is>
      </c>
      <c r="B96" s="91" t="inlineStr">
        <is>
          <t>Clientes</t>
        </is>
      </c>
      <c r="C96" s="92" t="inlineStr">
        <is>
          <t>Oficina realiza a manutenção da frota de veículos</t>
        </is>
      </c>
      <c r="D96" s="84">
        <f>SUMIFS('CUSTOS MENSAIS'!$F:$F,'CUSTOS MENSAIS'!$A:$A,A96,'CUSTOS MENSAIS'!$H:$H,F96)</f>
        <v/>
      </c>
      <c r="E96" s="84">
        <f>IFERROR(D96/IF(B96="Clientes",SUMIFS(PARÂMETROS!$B$8:$B$907,PARÂMETROS!$G$8:$G$907,F96),SUMIFS(PARÂMETROS!$C$8:$C$907,PARÂMETROS!$G$8:$G$907,F96)),0)</f>
        <v/>
      </c>
      <c r="F96" s="74" t="inlineStr">
        <is>
          <t>Julho/2026</t>
        </is>
      </c>
      <c r="G96" s="94">
        <f>IF(B96="Clientes",SUMIFS(PARÂMETROS!$B$8:$B$907,PARÂMETROS!$G$8:$G$907,F96),SUMIFS(PARÂMETROS!$C$8:$C$907,PARÂMETROS!$G$8:$G$907,F96))</f>
        <v/>
      </c>
    </row>
    <row r="97" ht="14.25" customHeight="1" s="64">
      <c r="A97" s="90" t="inlineStr">
        <is>
          <t>Estoque</t>
        </is>
      </c>
      <c r="B97" s="91" t="inlineStr">
        <is>
          <t>Clientes</t>
        </is>
      </c>
      <c r="C97" s="92" t="inlineStr">
        <is>
          <t>Estoque controla o armazenamento e a movimentação de materiais</t>
        </is>
      </c>
      <c r="D97" s="84">
        <f>SUMIFS('CUSTOS MENSAIS'!$F:$F,'CUSTOS MENSAIS'!$A:$A,A97,'CUSTOS MENSAIS'!$H:$H,F97)</f>
        <v/>
      </c>
      <c r="E97" s="84">
        <f>IFERROR(D97/IF(B97="Clientes",SUMIFS(PARÂMETROS!$B$8:$B$907,PARÂMETROS!$G$8:$G$907,F97),SUMIFS(PARÂMETROS!$C$8:$C$907,PARÂMETROS!$G$8:$G$907,F97)),0)</f>
        <v/>
      </c>
      <c r="F97" s="74" t="inlineStr">
        <is>
          <t>Julho/2026</t>
        </is>
      </c>
      <c r="G97" s="94">
        <f>IF(B97="Clientes",SUMIFS(PARÂMETROS!$B$8:$B$907,PARÂMETROS!$G$8:$G$907,F97),SUMIFS(PARÂMETROS!$C$8:$C$907,PARÂMETROS!$G$8:$G$907,F97))</f>
        <v/>
      </c>
    </row>
    <row r="98" ht="14.25" customHeight="1" s="64">
      <c r="A98" s="90" t="inlineStr">
        <is>
          <t>Televendas</t>
        </is>
      </c>
      <c r="B98" s="91" t="inlineStr">
        <is>
          <t>Clientes</t>
        </is>
      </c>
      <c r="C98" s="92" t="inlineStr">
        <is>
          <t>Televendas realiza vendas por telefone para novos clientes</t>
        </is>
      </c>
      <c r="D98" s="84">
        <f>SUMIFS('CUSTOS MENSAIS'!$F:$F,'CUSTOS MENSAIS'!$A:$A,A98,'CUSTOS MENSAIS'!$H:$H,F98)</f>
        <v/>
      </c>
      <c r="E98" s="84">
        <f>IFERROR(D98/IF(B98="Clientes",SUMIFS(PARÂMETROS!$B$8:$B$907,PARÂMETROS!$G$8:$G$907,F98),SUMIFS(PARÂMETROS!$C$8:$C$907,PARÂMETROS!$G$8:$G$907,F98)),0)</f>
        <v/>
      </c>
      <c r="F98" s="74" t="inlineStr">
        <is>
          <t>Julho/2026</t>
        </is>
      </c>
      <c r="G98" s="94">
        <f>IF(B98="Clientes",SUMIFS(PARÂMETROS!$B$8:$B$907,PARÂMETROS!$G$8:$G$907,F98),SUMIFS(PARÂMETROS!$C$8:$C$907,PARÂMETROS!$G$8:$G$907,F98))</f>
        <v/>
      </c>
    </row>
    <row r="99" ht="14.25" customHeight="1" s="64">
      <c r="A99" s="90" t="inlineStr">
        <is>
          <t>Suporte Orbix</t>
        </is>
      </c>
      <c r="B99" s="91" t="inlineStr">
        <is>
          <t>Clientes</t>
        </is>
      </c>
      <c r="C99" s="92" t="inlineStr">
        <is>
          <t>Suporte Orbix dá suporte técnico à operação Orbix</t>
        </is>
      </c>
      <c r="D99" s="84">
        <f>SUMIFS('CUSTOS MENSAIS'!$F:$F,'CUSTOS MENSAIS'!$A:$A,A99,'CUSTOS MENSAIS'!$H:$H,F99)</f>
        <v/>
      </c>
      <c r="E99" s="84">
        <f>IFERROR(D99/IF(B99="Clientes",SUMIFS(PARÂMETROS!$B$8:$B$907,PARÂMETROS!$G$8:$G$907,F99),SUMIFS(PARÂMETROS!$C$8:$C$907,PARÂMETROS!$G$8:$G$907,F99)),0)</f>
        <v/>
      </c>
      <c r="F99" s="74" t="inlineStr">
        <is>
          <t>Julho/2026</t>
        </is>
      </c>
      <c r="G99" s="94">
        <f>IF(B99="Clientes",SUMIFS(PARÂMETROS!$B$8:$B$907,PARÂMETROS!$G$8:$G$907,F99),SUMIFS(PARÂMETROS!$C$8:$C$907,PARÂMETROS!$G$8:$G$907,F99))</f>
        <v/>
      </c>
    </row>
    <row r="100" ht="14.25" customHeight="1" s="64">
      <c r="A100" s="90" t="inlineStr">
        <is>
          <t>Suporte da Central</t>
        </is>
      </c>
      <c r="B100" s="91" t="inlineStr">
        <is>
          <t>Clientes</t>
        </is>
      </c>
      <c r="C100" s="92" t="inlineStr">
        <is>
          <t>Suporte da Central dá suporte técnico à central de atendimento</t>
        </is>
      </c>
      <c r="D100" s="84">
        <f>SUMIFS('CUSTOS MENSAIS'!$F:$F,'CUSTOS MENSAIS'!$A:$A,A100,'CUSTOS MENSAIS'!$H:$H,F100)</f>
        <v/>
      </c>
      <c r="E100" s="84">
        <f>IFERROR(D100/IF(B100="Clientes",SUMIFS(PARÂMETROS!$B$8:$B$907,PARÂMETROS!$G$8:$G$907,F100),SUMIFS(PARÂMETROS!$C$8:$C$907,PARÂMETROS!$G$8:$G$907,F100)),0)</f>
        <v/>
      </c>
      <c r="F100" s="74" t="inlineStr">
        <is>
          <t>Julho/2026</t>
        </is>
      </c>
      <c r="G100" s="94">
        <f>IF(B100="Clientes",SUMIFS(PARÂMETROS!$B$8:$B$907,PARÂMETROS!$G$8:$G$907,F100),SUMIFS(PARÂMETROS!$C$8:$C$907,PARÂMETROS!$G$8:$G$907,F100))</f>
        <v/>
      </c>
    </row>
    <row r="101" ht="14.25" customHeight="1" s="64">
      <c r="A101" s="90" t="inlineStr">
        <is>
          <t>Comercial Corporativo</t>
        </is>
      </c>
      <c r="B101" s="91" t="inlineStr">
        <is>
          <t>Vendas</t>
        </is>
      </c>
      <c r="C101" s="92" t="inlineStr">
        <is>
          <t>Comercial Corporativo realiza vendas para clientes corporativos</t>
        </is>
      </c>
      <c r="D101" s="84">
        <f>SUMIFS('CUSTOS MENSAIS'!$F:$F,'CUSTOS MENSAIS'!$A:$A,A101,'CUSTOS MENSAIS'!$H:$H,F101)</f>
        <v/>
      </c>
      <c r="E101" s="84">
        <f>IFERROR(D101/G101,0)</f>
        <v/>
      </c>
      <c r="F101" s="74" t="inlineStr">
        <is>
          <t>Julho/2026</t>
        </is>
      </c>
      <c r="G101" s="94" t="n">
        <v>74</v>
      </c>
    </row>
    <row r="102" ht="14.25" customHeight="1" s="64">
      <c r="A102" s="90" t="inlineStr">
        <is>
          <t>Administrativo</t>
        </is>
      </c>
      <c r="B102" s="91" t="inlineStr">
        <is>
          <t>Funcionários</t>
        </is>
      </c>
      <c r="C102" s="92" t="inlineStr">
        <is>
          <t>Administrativo reúne os softwares e sistemas corporativos usados pela operação</t>
        </is>
      </c>
      <c r="D102" s="84">
        <f>SUMIFS('CUSTOS MENSAIS'!$F:$F,'CUSTOS MENSAIS'!$A:$A,A102,'CUSTOS MENSAIS'!$H:$H,F102)</f>
        <v/>
      </c>
      <c r="E102" s="84">
        <f>IFERROR(D102/IF(B102="Clientes",SUMIFS(PARÂMETROS!$B$8:$B$907,PARÂMETROS!$G$8:$G$907,F102),SUMIFS(PARÂMETROS!$C$8:$C$907,PARÂMETROS!$G$8:$G$907,F102)),0)</f>
        <v/>
      </c>
      <c r="F102" s="74" t="inlineStr">
        <is>
          <t>Julho/2026</t>
        </is>
      </c>
      <c r="G102" s="94">
        <f>IF(B102="Clientes",SUMIFS(PARÂMETROS!$B$8:$B$907,PARÂMETROS!$G$8:$G$907,F102),SUMIFS(PARÂMETROS!$C$8:$C$907,PARÂMETROS!$G$8:$G$907,F102))</f>
        <v/>
      </c>
    </row>
    <row r="103" ht="14.25" customHeight="1" s="64">
      <c r="A103" s="90" t="inlineStr">
        <is>
          <t>Qualidade</t>
        </is>
      </c>
      <c r="B103" s="91" t="inlineStr">
        <is>
          <t>Clientes</t>
        </is>
      </c>
      <c r="C103" s="92" t="inlineStr">
        <is>
          <t>Área de Qualidade garante o padrão de atendimento e dos serviços prestados aos clientes</t>
        </is>
      </c>
      <c r="D103" s="84">
        <f>SUMIFS('CUSTOS MENSAIS'!$F:$F,'CUSTOS MENSAIS'!$A:$A,A103,'CUSTOS MENSAIS'!$H:$H,F103)</f>
        <v/>
      </c>
      <c r="E103" s="84">
        <f>IFERROR(D103/IF(B103="Clientes",SUMIFS(PARÂMETROS!$B$8:$B$907,PARÂMETROS!$G$8:$G$907,F103),SUMIFS(PARÂMETROS!$C$8:$C$907,PARÂMETROS!$G$8:$G$907,F103)),0)</f>
        <v/>
      </c>
      <c r="F103" s="74" t="inlineStr">
        <is>
          <t>Julho/2026</t>
        </is>
      </c>
      <c r="G103" s="94">
        <f>IF(B103="Clientes",SUMIFS(PARÂMETROS!$B$8:$B$907,PARÂMETROS!$G$8:$G$907,F103),SUMIFS(PARÂMETROS!$C$8:$C$907,PARÂMETROS!$G$8:$G$907,F103))</f>
        <v/>
      </c>
    </row>
    <row r="104" ht="14.25" customHeight="1" s="64">
      <c r="A104" s="90" t="inlineStr">
        <is>
          <t>Jurídico</t>
        </is>
      </c>
      <c r="B104" s="91" t="inlineStr">
        <is>
          <t>Clientes</t>
        </is>
      </c>
      <c r="C104" s="92" t="inlineStr">
        <is>
          <t>Jurídico atua nas demandas legais e contratuais da operação</t>
        </is>
      </c>
      <c r="D104" s="84">
        <f>SUMIFS('CUSTOS MENSAIS'!$F:$F,'CUSTOS MENSAIS'!$A:$A,A104,'CUSTOS MENSAIS'!$H:$H,F104)</f>
        <v/>
      </c>
      <c r="E104" s="84">
        <f>IFERROR(D104/IF(B104="Clientes",SUMIFS(PARÂMETROS!$B$8:$B$907,PARÂMETROS!$G$8:$G$907,F104),SUMIFS(PARÂMETROS!$C$8:$C$907,PARÂMETROS!$G$8:$G$907,F104)),0)</f>
        <v/>
      </c>
      <c r="F104" s="74" t="inlineStr">
        <is>
          <t>Julho/2026</t>
        </is>
      </c>
      <c r="G104" s="94">
        <f>IF(B104="Clientes",SUMIFS(PARÂMETROS!$B$8:$B$907,PARÂMETROS!$G$8:$G$907,F104),SUMIFS(PARÂMETROS!$C$8:$C$907,PARÂMETROS!$G$8:$G$907,F104))</f>
        <v/>
      </c>
    </row>
    <row r="105" ht="14.25" customHeight="1" s="64">
      <c r="A105" s="90" t="inlineStr">
        <is>
          <t>Marketing</t>
        </is>
      </c>
      <c r="B105" s="91" t="inlineStr">
        <is>
          <t>Clientes</t>
        </is>
      </c>
      <c r="C105" s="92" t="inlineStr">
        <is>
          <t>Marketing atua na captação, retenção e comunicação com a base de clientes</t>
        </is>
      </c>
      <c r="D105" s="84">
        <f>SUMIFS('CUSTOS MENSAIS'!$F:$F,'CUSTOS MENSAIS'!$A:$A,A105,'CUSTOS MENSAIS'!$H:$H,F105)</f>
        <v/>
      </c>
      <c r="E105" s="84">
        <f>IFERROR(D105/IF(B105="Clientes",SUMIFS(PARÂMETROS!$B$8:$B$907,PARÂMETROS!$G$8:$G$907,F105),SUMIFS(PARÂMETROS!$C$8:$C$907,PARÂMETROS!$G$8:$G$907,F105)),0)</f>
        <v/>
      </c>
      <c r="F105" s="74" t="inlineStr">
        <is>
          <t>Julho/2026</t>
        </is>
      </c>
      <c r="G105" s="94">
        <f>IF(B105="Clientes",SUMIFS(PARÂMETROS!$B$8:$B$907,PARÂMETROS!$G$8:$G$907,F105),SUMIFS(PARÂMETROS!$C$8:$C$907,PARÂMETROS!$G$8:$G$907,F105))</f>
        <v/>
      </c>
    </row>
    <row r="106" ht="14.25" customHeight="1" s="64">
      <c r="A106" s="90" t="inlineStr">
        <is>
          <t>TIC</t>
        </is>
      </c>
      <c r="B106" s="91" t="inlineStr">
        <is>
          <t>Clientes</t>
        </is>
      </c>
      <c r="C106" s="92" t="inlineStr">
        <is>
          <t>TIC dá suporte de infraestrutura de tecnologia à operação voltada aos clientes</t>
        </is>
      </c>
      <c r="D106" s="84">
        <f>SUMIFS('CUSTOS MENSAIS'!$F:$F,'CUSTOS MENSAIS'!$A:$A,A106,'CUSTOS MENSAIS'!$H:$H,F106)</f>
        <v/>
      </c>
      <c r="E106" s="84">
        <f>IFERROR(D106/IF(B106="Clientes",SUMIFS(PARÂMETROS!$B$8:$B$907,PARÂMETROS!$G$8:$G$907,F106),SUMIFS(PARÂMETROS!$C$8:$C$907,PARÂMETROS!$G$8:$G$907,F106)),0)</f>
        <v/>
      </c>
      <c r="F106" s="74" t="inlineStr">
        <is>
          <t>Julho/2026</t>
        </is>
      </c>
      <c r="G106" s="94">
        <f>IF(B106="Clientes",SUMIFS(PARÂMETROS!$B$8:$B$907,PARÂMETROS!$G$8:$G$907,F106),SUMIFS(PARÂMETROS!$C$8:$C$907,PARÂMETROS!$G$8:$G$907,F106))</f>
        <v/>
      </c>
    </row>
    <row r="107" ht="14.25" customHeight="1" s="64">
      <c r="A107" s="90" t="inlineStr">
        <is>
          <t>COE</t>
        </is>
      </c>
      <c r="B107" s="91" t="inlineStr">
        <is>
          <t>Clientes</t>
        </is>
      </c>
      <c r="C107" s="92" t="inlineStr">
        <is>
          <t>Centro de Operações Especiais (COE) trata despacho e demandas operacionais ligadas à base de clientes</t>
        </is>
      </c>
      <c r="D107" s="84">
        <f>SUMIFS('CUSTOS MENSAIS'!$F:$F,'CUSTOS MENSAIS'!$A:$A,A107,'CUSTOS MENSAIS'!$H:$H,F107)</f>
        <v/>
      </c>
      <c r="E107" s="84">
        <f>IFERROR(D107/IF(B107="Clientes",SUMIFS(PARÂMETROS!$B$8:$B$907,PARÂMETROS!$G$8:$G$907,F107),SUMIFS(PARÂMETROS!$C$8:$C$907,PARÂMETROS!$G$8:$G$907,F107)),0)</f>
        <v/>
      </c>
      <c r="F107" s="74" t="inlineStr">
        <is>
          <t>Julho/2026</t>
        </is>
      </c>
      <c r="G107" s="94">
        <f>IF(B107="Clientes",SUMIFS(PARÂMETROS!$B$8:$B$907,PARÂMETROS!$G$8:$G$907,F107),SUMIFS(PARÂMETROS!$C$8:$C$907,PARÂMETROS!$G$8:$G$907,F107))</f>
        <v/>
      </c>
    </row>
    <row r="108" ht="14.25" customHeight="1" s="64">
      <c r="A108" s="90" t="inlineStr">
        <is>
          <t>Fique Móvel</t>
        </is>
      </c>
      <c r="B108" s="91" t="inlineStr">
        <is>
          <t>Clientes</t>
        </is>
      </c>
      <c r="C108" s="92" t="inlineStr">
        <is>
          <t>Fique Móvel é equipe de vendas que atua diretamente na captação de clientes</t>
        </is>
      </c>
      <c r="D108" s="84">
        <f>SUMIFS('CUSTOS MENSAIS'!$F:$F,'CUSTOS MENSAIS'!$A:$A,A108,'CUSTOS MENSAIS'!$H:$H,F108)</f>
        <v/>
      </c>
      <c r="E108" s="84">
        <f>IFERROR(D108/IF(B108="Clientes",SUMIFS(PARÂMETROS!$B$8:$B$907,PARÂMETROS!$G$8:$G$907,F108),SUMIFS(PARÂMETROS!$C$8:$C$907,PARÂMETROS!$G$8:$G$907,F108)),0)</f>
        <v/>
      </c>
      <c r="F108" s="74" t="inlineStr">
        <is>
          <t>Julho/2026</t>
        </is>
      </c>
      <c r="G108" s="94">
        <f>IF(B108="Clientes",SUMIFS(PARÂMETROS!$B$8:$B$907,PARÂMETROS!$G$8:$G$907,F108),SUMIFS(PARÂMETROS!$C$8:$C$907,PARÂMETROS!$G$8:$G$907,F108))</f>
        <v/>
      </c>
    </row>
    <row r="109" ht="14.25" customHeight="1" s="64">
      <c r="A109" s="90" t="inlineStr">
        <is>
          <t>Lançamento</t>
        </is>
      </c>
      <c r="B109" s="91" t="inlineStr">
        <is>
          <t>Clientes</t>
        </is>
      </c>
      <c r="C109" s="92" t="inlineStr">
        <is>
          <t>Equipe de Lançamento realiza a instalação/lançamento de rede para atender novos clientes</t>
        </is>
      </c>
      <c r="D109" s="84">
        <f>SUMIFS('CUSTOS MENSAIS'!$F:$F,'CUSTOS MENSAIS'!$A:$A,A109,'CUSTOS MENSAIS'!$H:$H,F109)</f>
        <v/>
      </c>
      <c r="E109" s="84">
        <f>IFERROR(D109/IF(B109="Clientes",SUMIFS(PARÂMETROS!$B$8:$B$907,PARÂMETROS!$G$8:$G$907,F109),SUMIFS(PARÂMETROS!$C$8:$C$907,PARÂMETROS!$G$8:$G$907,F109)),0)</f>
        <v/>
      </c>
      <c r="F109" s="74" t="inlineStr">
        <is>
          <t>Julho/2026</t>
        </is>
      </c>
      <c r="G109" s="94">
        <f>IF(B109="Clientes",SUMIFS(PARÂMETROS!$B$8:$B$907,PARÂMETROS!$G$8:$G$907,F109),SUMIFS(PARÂMETROS!$C$8:$C$907,PARÂMETROS!$G$8:$G$907,F109))</f>
        <v/>
      </c>
    </row>
    <row r="110" ht="14.25" customHeight="1" s="64">
      <c r="A110" s="90" t="inlineStr">
        <is>
          <t>Fusão</t>
        </is>
      </c>
      <c r="B110" s="91" t="inlineStr">
        <is>
          <t>Clientes</t>
        </is>
      </c>
      <c r="C110" s="92" t="inlineStr">
        <is>
          <t>Equipe de Fusão realiza fusão/manutenção de fibra óptica para atender a base de clientes</t>
        </is>
      </c>
      <c r="D110" s="84">
        <f>SUMIFS('CUSTOS MENSAIS'!$F:$F,'CUSTOS MENSAIS'!$A:$A,A110,'CUSTOS MENSAIS'!$H:$H,F110)</f>
        <v/>
      </c>
      <c r="E110" s="84">
        <f>IFERROR(D110/IF(B110="Clientes",SUMIFS(PARÂMETROS!$B$8:$B$907,PARÂMETROS!$G$8:$G$907,F110),SUMIFS(PARÂMETROS!$C$8:$C$907,PARÂMETROS!$G$8:$G$907,F110)),0)</f>
        <v/>
      </c>
      <c r="F110" s="74" t="inlineStr">
        <is>
          <t>Julho/2026</t>
        </is>
      </c>
      <c r="G110" s="94">
        <f>IF(B110="Clientes",SUMIFS(PARÂMETROS!$B$8:$B$907,PARÂMETROS!$G$8:$G$907,F110),SUMIFS(PARÂMETROS!$C$8:$C$907,PARÂMETROS!$G$8:$G$907,F110))</f>
        <v/>
      </c>
    </row>
    <row r="111" ht="14.25" customHeight="1" s="64">
      <c r="A111" s="90" t="inlineStr">
        <is>
          <t>Diretoria Adm</t>
        </is>
      </c>
      <c r="B111" s="91" t="inlineStr">
        <is>
          <t>Clientes</t>
        </is>
      </c>
      <c r="C111" s="92" t="inlineStr">
        <is>
          <t>Diretoria Administrativa realiza a gestão administrativa executiva da operação</t>
        </is>
      </c>
      <c r="D111" s="84">
        <f>SUMIFS('CUSTOS MENSAIS'!$F:$F,'CUSTOS MENSAIS'!$A:$A,A111,'CUSTOS MENSAIS'!$H:$H,F111)</f>
        <v/>
      </c>
      <c r="E111" s="84">
        <f>IFERROR(D111/IF(B111="Clientes",SUMIFS(PARÂMETROS!$B$8:$B$907,PARÂMETROS!$G$8:$G$907,F111),SUMIFS(PARÂMETROS!$C$8:$C$907,PARÂMETROS!$G$8:$G$907,F111)),0)</f>
        <v/>
      </c>
      <c r="F111" s="74" t="inlineStr">
        <is>
          <t>Julho/2026</t>
        </is>
      </c>
      <c r="G111" s="94">
        <f>IF(B111="Clientes",SUMIFS(PARÂMETROS!$B$8:$B$907,PARÂMETROS!$G$8:$G$907,F111),SUMIFS(PARÂMETROS!$C$8:$C$907,PARÂMETROS!$G$8:$G$907,F111))</f>
        <v/>
      </c>
    </row>
    <row r="112" ht="14.25" customHeight="1" s="64">
      <c r="A112" s="90" t="inlineStr">
        <is>
          <t>Cozinha</t>
        </is>
      </c>
      <c r="B112" s="91" t="inlineStr">
        <is>
          <t>Funcionários</t>
        </is>
      </c>
      <c r="C112" s="92" t="inlineStr">
        <is>
          <t>Cozinha prepara as refeições dos colaboradores</t>
        </is>
      </c>
      <c r="D112" s="84">
        <f>SUMIFS('CUSTOS MENSAIS'!$F:$F,'CUSTOS MENSAIS'!$A:$A,A112,'CUSTOS MENSAIS'!$H:$H,F112)</f>
        <v/>
      </c>
      <c r="E112" s="84">
        <f>IFERROR(D112/G112,0)</f>
        <v/>
      </c>
      <c r="F112" s="74" t="inlineStr">
        <is>
          <t>Julho/2026</t>
        </is>
      </c>
      <c r="G112" s="94">
        <f>SUMIFS(PARÂMETROS!$C$8:$C$907,PARÂMETROS!$G$8:$G$907,F112,PARÂMETROS!$A$8:$A$907,"DTEL (uso próprio)")</f>
        <v/>
      </c>
    </row>
    <row r="113" ht="14.25" customHeight="1" s="64">
      <c r="A113" s="80" t="inlineStr">
        <is>
          <t>TOTAL GERAL — Julho/2026</t>
        </is>
      </c>
      <c r="B113" s="95" t="n"/>
      <c r="C113" s="96" t="n"/>
      <c r="D113" s="97">
        <f>SUM(D78:D112)+D116+D119+D122+D125</f>
        <v/>
      </c>
      <c r="E113" s="97" t="n"/>
      <c r="F113" s="95" t="n"/>
      <c r="G113" s="98" t="n"/>
    </row>
    <row r="114" ht="14.25" customHeight="1" s="64">
      <c r="A114" s="90" t="inlineStr">
        <is>
          <t>Backoffice Comercial Varejo</t>
        </is>
      </c>
      <c r="B114" s="91" t="inlineStr">
        <is>
          <t>Clientes</t>
        </is>
      </c>
      <c r="C114" s="92" t="inlineStr">
        <is>
          <t>Equipe de backoffice do Comercial Varejo dá suporte administrativo às vendas e atende à base de clientes</t>
        </is>
      </c>
      <c r="D114" s="84">
        <f>SUMIFS('CUSTOS MENSAIS'!$F:$F,'CUSTOS MENSAIS'!$A:$A,A114,'CUSTOS MENSAIS'!$H:$H,F114)</f>
        <v/>
      </c>
      <c r="E114" s="84">
        <f>IFERROR(D114/IF(B114="Clientes",SUMIFS(PARÂMETROS!$B$8:$B$907,PARÂMETROS!$G$8:$G$907,F114),SUMIFS(PARÂMETROS!$C$8:$C$907,PARÂMETROS!$G$8:$G$907,F114)),0)</f>
        <v/>
      </c>
      <c r="F114" s="74" t="inlineStr">
        <is>
          <t>Maio/2026</t>
        </is>
      </c>
      <c r="G114" s="94">
        <f>IF(B114="Clientes",SUMIFS(PARÂMETROS!$B$8:$B$907,PARÂMETROS!$G$8:$G$907,F114),SUMIFS(PARÂMETROS!$C$8:$C$907,PARÂMETROS!$G$8:$G$907,F114))</f>
        <v/>
      </c>
    </row>
    <row r="115" ht="14.25" customHeight="1" s="64">
      <c r="A115" s="90" t="inlineStr">
        <is>
          <t>Backoffice Comercial Varejo</t>
        </is>
      </c>
      <c r="B115" s="91" t="inlineStr">
        <is>
          <t>Clientes</t>
        </is>
      </c>
      <c r="C115" s="92" t="inlineStr">
        <is>
          <t>Equipe de backoffice do Comercial Varejo dá suporte administrativo às vendas e atende à base de clientes</t>
        </is>
      </c>
      <c r="D115" s="84">
        <f>SUMIFS('CUSTOS MENSAIS'!$F:$F,'CUSTOS MENSAIS'!$A:$A,A115,'CUSTOS MENSAIS'!$H:$H,F115)</f>
        <v/>
      </c>
      <c r="E115" s="84">
        <f>IFERROR(D115/IF(B115="Clientes",SUMIFS(PARÂMETROS!$B$8:$B$907,PARÂMETROS!$G$8:$G$907,F115),SUMIFS(PARÂMETROS!$C$8:$C$907,PARÂMETROS!$G$8:$G$907,F115)),0)</f>
        <v/>
      </c>
      <c r="F115" s="74" t="inlineStr">
        <is>
          <t>Junho/2026</t>
        </is>
      </c>
      <c r="G115" s="94">
        <f>IF(B115="Clientes",SUMIFS(PARÂMETROS!$B$8:$B$907,PARÂMETROS!$G$8:$G$907,F115),SUMIFS(PARÂMETROS!$C$8:$C$907,PARÂMETROS!$G$8:$G$907,F115))</f>
        <v/>
      </c>
    </row>
    <row r="116" ht="14.25" customHeight="1" s="64">
      <c r="A116" s="90" t="inlineStr">
        <is>
          <t>Backoffice Comercial Varejo</t>
        </is>
      </c>
      <c r="B116" s="91" t="inlineStr">
        <is>
          <t>Clientes</t>
        </is>
      </c>
      <c r="C116" s="92" t="inlineStr">
        <is>
          <t>Equipe de backoffice do Comercial Varejo dá suporte administrativo às vendas e atende à base de clientes</t>
        </is>
      </c>
      <c r="D116" s="84">
        <f>SUMIFS('CUSTOS MENSAIS'!$F:$F,'CUSTOS MENSAIS'!$A:$A,A116,'CUSTOS MENSAIS'!$H:$H,F116)</f>
        <v/>
      </c>
      <c r="E116" s="84">
        <f>IFERROR(D116/IF(B116="Clientes",SUMIFS(PARÂMETROS!$B$8:$B$907,PARÂMETROS!$G$8:$G$907,F116),SUMIFS(PARÂMETROS!$C$8:$C$907,PARÂMETROS!$G$8:$G$907,F116)),0)</f>
        <v/>
      </c>
      <c r="F116" s="74" t="inlineStr">
        <is>
          <t>Julho/2026</t>
        </is>
      </c>
      <c r="G116" s="94">
        <f>IF(B116="Clientes",SUMIFS(PARÂMETROS!$B$8:$B$907,PARÂMETROS!$G$8:$G$907,F116),SUMIFS(PARÂMETROS!$C$8:$C$907,PARÂMETROS!$G$8:$G$907,F116))</f>
        <v/>
      </c>
    </row>
    <row r="117" ht="14.25" customHeight="1" s="64">
      <c r="A117" s="90" t="inlineStr">
        <is>
          <t>Serviços Gerais</t>
        </is>
      </c>
      <c r="B117" s="91" t="inlineStr">
        <is>
          <t>Funcionários</t>
        </is>
      </c>
      <c r="C117" s="92" t="inlineStr">
        <is>
          <t>Serviços Gerais realiza limpeza e apoio predial para os colaboradores</t>
        </is>
      </c>
      <c r="D117" s="84">
        <f>SUMIFS('CUSTOS MENSAIS'!$F:$F,'CUSTOS MENSAIS'!$A:$A,A117,'CUSTOS MENSAIS'!$H:$H,F117)</f>
        <v/>
      </c>
      <c r="E117" s="84">
        <f>IFERROR(D117/IF(B117="Clientes",SUMIFS(PARÂMETROS!$B$8:$B$907,PARÂMETROS!$G$8:$G$907,F117),SUMIFS(PARÂMETROS!$C$8:$C$907,PARÂMETROS!$G$8:$G$907,F117)),0)</f>
        <v/>
      </c>
      <c r="F117" s="74" t="inlineStr">
        <is>
          <t>Maio/2026</t>
        </is>
      </c>
      <c r="G117" s="94">
        <f>IF(B117="Clientes",SUMIFS(PARÂMETROS!$B$8:$B$907,PARÂMETROS!$G$8:$G$907,F117),SUMIFS(PARÂMETROS!$C$8:$C$907,PARÂMETROS!$G$8:$G$907,F117))</f>
        <v/>
      </c>
    </row>
    <row r="118" ht="14.25" customHeight="1" s="64">
      <c r="A118" s="90" t="inlineStr">
        <is>
          <t>Serviços Gerais</t>
        </is>
      </c>
      <c r="B118" s="91" t="inlineStr">
        <is>
          <t>Funcionários</t>
        </is>
      </c>
      <c r="C118" s="92" t="inlineStr">
        <is>
          <t>Serviços Gerais realiza limpeza e apoio predial para os colaboradores</t>
        </is>
      </c>
      <c r="D118" s="84">
        <f>SUMIFS('CUSTOS MENSAIS'!$F:$F,'CUSTOS MENSAIS'!$A:$A,A118,'CUSTOS MENSAIS'!$H:$H,F118)</f>
        <v/>
      </c>
      <c r="E118" s="84">
        <f>IFERROR(D118/IF(B118="Clientes",SUMIFS(PARÂMETROS!$B$8:$B$907,PARÂMETROS!$G$8:$G$907,F118),SUMIFS(PARÂMETROS!$C$8:$C$907,PARÂMETROS!$G$8:$G$907,F118)),0)</f>
        <v/>
      </c>
      <c r="F118" s="74" t="inlineStr">
        <is>
          <t>Junho/2026</t>
        </is>
      </c>
      <c r="G118" s="94">
        <f>IF(B118="Clientes",SUMIFS(PARÂMETROS!$B$8:$B$907,PARÂMETROS!$G$8:$G$907,F118),SUMIFS(PARÂMETROS!$C$8:$C$907,PARÂMETROS!$G$8:$G$907,F118))</f>
        <v/>
      </c>
    </row>
    <row r="119" ht="14.25" customHeight="1" s="64">
      <c r="A119" s="90" t="inlineStr">
        <is>
          <t>Serviços Gerais</t>
        </is>
      </c>
      <c r="B119" s="91" t="inlineStr">
        <is>
          <t>Funcionários</t>
        </is>
      </c>
      <c r="C119" s="92" t="inlineStr">
        <is>
          <t>Serviços Gerais realiza limpeza e apoio predial para os colaboradores</t>
        </is>
      </c>
      <c r="D119" s="84">
        <f>SUMIFS('CUSTOS MENSAIS'!$F:$F,'CUSTOS MENSAIS'!$A:$A,A119,'CUSTOS MENSAIS'!$H:$H,F119)</f>
        <v/>
      </c>
      <c r="E119" s="84">
        <f>IFERROR(D119/IF(B119="Clientes",SUMIFS(PARÂMETROS!$B$8:$B$907,PARÂMETROS!$G$8:$G$907,F119),SUMIFS(PARÂMETROS!$C$8:$C$907,PARÂMETROS!$G$8:$G$907,F119)),0)</f>
        <v/>
      </c>
      <c r="F119" s="74" t="inlineStr">
        <is>
          <t>Julho/2026</t>
        </is>
      </c>
      <c r="G119" s="94">
        <f>IF(B119="Clientes",SUMIFS(PARÂMETROS!$B$8:$B$907,PARÂMETROS!$G$8:$G$907,F119),SUMIFS(PARÂMETROS!$C$8:$C$907,PARÂMETROS!$G$8:$G$907,F119))</f>
        <v/>
      </c>
    </row>
    <row r="120" ht="14.25" customHeight="1" s="64">
      <c r="A120" s="90" t="inlineStr">
        <is>
          <t>Desenvolvimento</t>
        </is>
      </c>
      <c r="B120" s="91" t="inlineStr">
        <is>
          <t>Clientes</t>
        </is>
      </c>
      <c r="C120" s="92" t="inlineStr">
        <is>
          <t>Desenvolvimento mantém e evolui os sistemas internos que atendem à operação e aos clientes</t>
        </is>
      </c>
      <c r="D120" s="84">
        <f>SUMIFS('CUSTOS MENSAIS'!$F:$F,'CUSTOS MENSAIS'!$A:$A,A120,'CUSTOS MENSAIS'!$H:$H,F120)</f>
        <v/>
      </c>
      <c r="E120" s="84">
        <f>IFERROR(D120/IF(B120="Clientes",SUMIFS(PARÂMETROS!$B$8:$B$907,PARÂMETROS!$G$8:$G$907,F120),SUMIFS(PARÂMETROS!$C$8:$C$907,PARÂMETROS!$G$8:$G$907,F120)),0)</f>
        <v/>
      </c>
      <c r="F120" s="74" t="inlineStr">
        <is>
          <t>Maio/2026</t>
        </is>
      </c>
      <c r="G120" s="94">
        <f>IF(B120="Clientes",SUMIFS(PARÂMETROS!$B$8:$B$907,PARÂMETROS!$G$8:$G$907,F120),SUMIFS(PARÂMETROS!$C$8:$C$907,PARÂMETROS!$G$8:$G$907,F120))</f>
        <v/>
      </c>
    </row>
    <row r="121" ht="14.25" customHeight="1" s="64">
      <c r="A121" s="90" t="inlineStr">
        <is>
          <t>Desenvolvimento</t>
        </is>
      </c>
      <c r="B121" s="91" t="inlineStr">
        <is>
          <t>Clientes</t>
        </is>
      </c>
      <c r="C121" s="92" t="inlineStr">
        <is>
          <t>Desenvolvimento mantém e evolui os sistemas internos que atendem à operação e aos clientes</t>
        </is>
      </c>
      <c r="D121" s="84">
        <f>SUMIFS('CUSTOS MENSAIS'!$F:$F,'CUSTOS MENSAIS'!$A:$A,A121,'CUSTOS MENSAIS'!$H:$H,F121)</f>
        <v/>
      </c>
      <c r="E121" s="84">
        <f>IFERROR(D121/IF(B121="Clientes",SUMIFS(PARÂMETROS!$B$8:$B$907,PARÂMETROS!$G$8:$G$907,F121),SUMIFS(PARÂMETROS!$C$8:$C$907,PARÂMETROS!$G$8:$G$907,F121)),0)</f>
        <v/>
      </c>
      <c r="F121" s="74" t="inlineStr">
        <is>
          <t>Junho/2026</t>
        </is>
      </c>
      <c r="G121" s="94">
        <f>IF(B121="Clientes",SUMIFS(PARÂMETROS!$B$8:$B$907,PARÂMETROS!$G$8:$G$907,F121),SUMIFS(PARÂMETROS!$C$8:$C$907,PARÂMETROS!$G$8:$G$907,F121))</f>
        <v/>
      </c>
    </row>
    <row r="122" ht="14.25" customHeight="1" s="64">
      <c r="A122" s="90" t="inlineStr">
        <is>
          <t>Desenvolvimento</t>
        </is>
      </c>
      <c r="B122" s="91" t="inlineStr">
        <is>
          <t>Clientes</t>
        </is>
      </c>
      <c r="C122" s="92" t="inlineStr">
        <is>
          <t>Desenvolvimento mantém e evolui os sistemas internos que atendem à operação e aos clientes</t>
        </is>
      </c>
      <c r="D122" s="84">
        <f>SUMIFS('CUSTOS MENSAIS'!$F:$F,'CUSTOS MENSAIS'!$A:$A,A122,'CUSTOS MENSAIS'!$H:$H,F122)</f>
        <v/>
      </c>
      <c r="E122" s="84">
        <f>IFERROR(D122/IF(B122="Clientes",SUMIFS(PARÂMETROS!$B$8:$B$907,PARÂMETROS!$G$8:$G$907,F122),SUMIFS(PARÂMETROS!$C$8:$C$907,PARÂMETROS!$G$8:$G$907,F122)),0)</f>
        <v/>
      </c>
      <c r="F122" s="74" t="inlineStr">
        <is>
          <t>Julho/2026</t>
        </is>
      </c>
      <c r="G122" s="94">
        <f>IF(B122="Clientes",SUMIFS(PARÂMETROS!$B$8:$B$907,PARÂMETROS!$G$8:$G$907,F122),SUMIFS(PARÂMETROS!$C$8:$C$907,PARÂMETROS!$G$8:$G$907,F122))</f>
        <v/>
      </c>
    </row>
    <row r="123" ht="14.25" customHeight="1" s="64">
      <c r="A123" s="110" t="inlineStr">
        <is>
          <t>Configuração</t>
        </is>
      </c>
      <c r="B123" s="110" t="inlineStr">
        <is>
          <t>Clientes</t>
        </is>
      </c>
      <c r="C123" s="110" t="inlineStr">
        <is>
          <t>Configuração dá suporte técnico de rede (operadores de redes) e escala com o nº de clientes ativos</t>
        </is>
      </c>
      <c r="D123" s="110">
        <f>SUMIFS('CUSTOS MENSAIS'!$F:$F,'CUSTOS MENSAIS'!$A:$A,A123,'CUSTOS MENSAIS'!$H:$H,F123)</f>
        <v/>
      </c>
      <c r="E123" s="110">
        <f>IFERROR(D123/IF(B123="Clientes",SUMIFS(PARÂMETROS!$B$8:$B$907,PARÂMETROS!$G$8:$G$907,F123),SUMIFS(PARÂMETROS!$C$8:$C$907,PARÂMETROS!$G$8:$G$907,F123)),0)</f>
        <v/>
      </c>
      <c r="F123" s="110" t="inlineStr">
        <is>
          <t>Maio/2026</t>
        </is>
      </c>
      <c r="G123" s="110">
        <f>IF(B123="Clientes",SUMIFS(PARÂMETROS!$B$8:$B$907,PARÂMETROS!$G$8:$G$907,F123),SUMIFS(PARÂMETROS!$C$8:$C$907,PARÂMETROS!$G$8:$G$907,F123))</f>
        <v/>
      </c>
    </row>
    <row r="124" ht="14.25" customHeight="1" s="64">
      <c r="A124" s="110" t="inlineStr">
        <is>
          <t>Configuração</t>
        </is>
      </c>
      <c r="B124" s="110" t="inlineStr">
        <is>
          <t>Clientes</t>
        </is>
      </c>
      <c r="C124" s="110" t="inlineStr">
        <is>
          <t>Configuração dá suporte técnico de rede (operadores de redes) e escala com o nº de clientes ativos</t>
        </is>
      </c>
      <c r="D124" s="110">
        <f>SUMIFS('CUSTOS MENSAIS'!$F:$F,'CUSTOS MENSAIS'!$A:$A,A124,'CUSTOS MENSAIS'!$H:$H,F124)</f>
        <v/>
      </c>
      <c r="E124" s="110">
        <f>IFERROR(D124/IF(B124="Clientes",SUMIFS(PARÂMETROS!$B$8:$B$907,PARÂMETROS!$G$8:$G$907,F124),SUMIFS(PARÂMETROS!$C$8:$C$907,PARÂMETROS!$G$8:$G$907,F124)),0)</f>
        <v/>
      </c>
      <c r="F124" s="110" t="inlineStr">
        <is>
          <t>Junho/2026</t>
        </is>
      </c>
      <c r="G124" s="110">
        <f>IF(B124="Clientes",SUMIFS(PARÂMETROS!$B$8:$B$907,PARÂMETROS!$G$8:$G$907,F124),SUMIFS(PARÂMETROS!$C$8:$C$907,PARÂMETROS!$G$8:$G$907,F124))</f>
        <v/>
      </c>
    </row>
    <row r="125" ht="14.25" customHeight="1" s="64">
      <c r="A125" s="110" t="inlineStr">
        <is>
          <t>Configuração</t>
        </is>
      </c>
      <c r="B125" s="110" t="inlineStr">
        <is>
          <t>Clientes</t>
        </is>
      </c>
      <c r="C125" s="110" t="inlineStr">
        <is>
          <t>Configuração dá suporte técnico de rede (operadores de redes) e escala com o nº de clientes ativos</t>
        </is>
      </c>
      <c r="D125" s="110">
        <f>SUMIFS('CUSTOS MENSAIS'!$F:$F,'CUSTOS MENSAIS'!$A:$A,A125,'CUSTOS MENSAIS'!$H:$H,F125)</f>
        <v/>
      </c>
      <c r="E125" s="110">
        <f>IFERROR(D125/IF(B125="Clientes",SUMIFS(PARÂMETROS!$B$8:$B$907,PARÂMETROS!$G$8:$G$907,F125),SUMIFS(PARÂMETROS!$C$8:$C$907,PARÂMETROS!$G$8:$G$907,F125)),0)</f>
        <v/>
      </c>
      <c r="F125" s="110" t="inlineStr">
        <is>
          <t>Julho/2026</t>
        </is>
      </c>
      <c r="G125" s="110">
        <f>IF(B125="Clientes",SUMIFS(PARÂMETROS!$B$8:$B$907,PARÂMETROS!$G$8:$G$907,F125),SUMIFS(PARÂMETROS!$C$8:$C$907,PARÂMETROS!$G$8:$G$907,F125))</f>
        <v/>
      </c>
    </row>
    <row r="126" ht="14.25" customHeight="1" s="64">
      <c r="A126" s="90" t="inlineStr">
        <is>
          <t>NOC</t>
        </is>
      </c>
      <c r="B126" s="91" t="inlineStr">
        <is>
          <t>Clientes</t>
        </is>
      </c>
      <c r="C126" s="92" t="inlineStr">
        <is>
          <t>Infraestrutura de rede/NOC escala com o nº de clientes ativos</t>
        </is>
      </c>
      <c r="D126" s="84">
        <f>SUMIFS('CUSTOS MENSAIS'!$F:$F,'CUSTOS MENSAIS'!$A:$A,A126,'CUSTOS MENSAIS'!$H:$H,F126)</f>
        <v/>
      </c>
      <c r="E126" s="84">
        <f>IFERROR(D126/IF(B126="Clientes",SUMIFS(PARÂMETROS!$B$8:$B$907,PARÂMETROS!$G$8:$G$907,F126),SUMIFS(PARÂMETROS!$C$8:$C$907,PARÂMETROS!$G$8:$G$907,F126)),0)</f>
        <v/>
      </c>
      <c r="F126" s="74" t="inlineStr">
        <is>
          <t>Agosto/2026</t>
        </is>
      </c>
      <c r="G126" s="94">
        <f>IF(B126="Clientes",SUMIFS(PARÂMETROS!$B$8:$B$907,PARÂMETROS!$G$8:$G$907,F126),SUMIFS(PARÂMETROS!$C$8:$C$907,PARÂMETROS!$G$8:$G$907,F126))</f>
        <v/>
      </c>
    </row>
    <row r="127" ht="14.25" customHeight="1" s="64">
      <c r="A127" s="90" t="inlineStr">
        <is>
          <t>RH</t>
        </is>
      </c>
      <c r="B127" s="91" t="inlineStr">
        <is>
          <t>Funcionários</t>
        </is>
      </c>
      <c r="C127" s="92" t="inlineStr">
        <is>
          <t>Recursos Humanos atende diretamente aos colaboradores</t>
        </is>
      </c>
      <c r="D127" s="84">
        <f>SUMIFS('CUSTOS MENSAIS'!$F:$F,'CUSTOS MENSAIS'!$A:$A,A127,'CUSTOS MENSAIS'!$H:$H,F127)</f>
        <v/>
      </c>
      <c r="E127" s="84">
        <f>IFERROR(D127/IF(B127="Clientes",SUMIFS(PARÂMETROS!$B$8:$B$907,PARÂMETROS!$G$8:$G$907,F127),SUMIFS(PARÂMETROS!$C$8:$C$907,PARÂMETROS!$G$8:$G$907,F127)),0)</f>
        <v/>
      </c>
      <c r="F127" s="74" t="inlineStr">
        <is>
          <t>Agosto/2026</t>
        </is>
      </c>
      <c r="G127" s="94">
        <f>IF(B127="Clientes",SUMIFS(PARÂMETROS!$B$8:$B$907,PARÂMETROS!$G$8:$G$907,F127),SUMIFS(PARÂMETROS!$C$8:$C$907,PARÂMETROS!$G$8:$G$907,F127))</f>
        <v/>
      </c>
    </row>
    <row r="128" ht="14.25" customHeight="1" s="64">
      <c r="A128" s="90" t="inlineStr">
        <is>
          <t>DP</t>
        </is>
      </c>
      <c r="B128" s="91" t="inlineStr">
        <is>
          <t>Funcionários</t>
        </is>
      </c>
      <c r="C128" s="92" t="inlineStr">
        <is>
          <t>Departamento Pessoal atende à folha de colaboradores</t>
        </is>
      </c>
      <c r="D128" s="84">
        <f>SUMIFS('CUSTOS MENSAIS'!$F:$F,'CUSTOS MENSAIS'!$A:$A,A128,'CUSTOS MENSAIS'!$H:$H,F128)</f>
        <v/>
      </c>
      <c r="E128" s="84">
        <f>IFERROR(D128/IF(B128="Clientes",SUMIFS(PARÂMETROS!$B$8:$B$907,PARÂMETROS!$G$8:$G$907,F128),SUMIFS(PARÂMETROS!$C$8:$C$907,PARÂMETROS!$G$8:$G$907,F128)),0)</f>
        <v/>
      </c>
      <c r="F128" s="74" t="inlineStr">
        <is>
          <t>Agosto/2026</t>
        </is>
      </c>
      <c r="G128" s="94">
        <f>IF(B128="Clientes",SUMIFS(PARÂMETROS!$B$8:$B$907,PARÂMETROS!$G$8:$G$907,F128),SUMIFS(PARÂMETROS!$C$8:$C$907,PARÂMETROS!$G$8:$G$907,F128))</f>
        <v/>
      </c>
    </row>
    <row r="129" ht="14.25" customHeight="1" s="64">
      <c r="A129" s="90" t="inlineStr">
        <is>
          <t>Gestão de Atendimento</t>
        </is>
      </c>
      <c r="B129" s="91" t="inlineStr">
        <is>
          <t>Clientes</t>
        </is>
      </c>
      <c r="C129" s="92" t="inlineStr">
        <is>
          <t>Atendimento administrativo e presencial de loja escala com o volume de clientes atendidos</t>
        </is>
      </c>
      <c r="D129" s="84">
        <f>SUMIFS('CUSTOS MENSAIS'!$F:$F,'CUSTOS MENSAIS'!$A:$A,A129,'CUSTOS MENSAIS'!$H:$H,F129)</f>
        <v/>
      </c>
      <c r="E129" s="84">
        <f>IFERROR(D129/IF(B129="Clientes",SUMIFS(PARÂMETROS!$B$8:$B$907,PARÂMETROS!$G$8:$G$907,F129),SUMIFS(PARÂMETROS!$C$8:$C$907,PARÂMETROS!$G$8:$G$907,F129)),0)</f>
        <v/>
      </c>
      <c r="F129" s="74" t="inlineStr">
        <is>
          <t>Agosto/2026</t>
        </is>
      </c>
      <c r="G129" s="94">
        <f>IF(B129="Clientes",SUMIFS(PARÂMETROS!$B$8:$B$907,PARÂMETROS!$G$8:$G$907,F129),SUMIFS(PARÂMETROS!$C$8:$C$907,PARÂMETROS!$G$8:$G$907,F129))</f>
        <v/>
      </c>
    </row>
    <row r="130" ht="14.25" customHeight="1" s="64">
      <c r="A130" s="90" t="inlineStr">
        <is>
          <t>CAC</t>
        </is>
      </c>
      <c r="B130" s="91" t="inlineStr">
        <is>
          <t>Clientes</t>
        </is>
      </c>
      <c r="C130" s="92" t="inlineStr">
        <is>
          <t>Central de Atendimento ao Cliente atende diretamente a base de clientes de cada empresa</t>
        </is>
      </c>
      <c r="D130" s="84">
        <f>SUMIFS('CUSTOS MENSAIS'!$F:$F,'CUSTOS MENSAIS'!$A:$A,A130,'CUSTOS MENSAIS'!$H:$H,F130)</f>
        <v/>
      </c>
      <c r="E130" s="84">
        <f>IFERROR(D130/IF(B130="Clientes",SUMIFS(PARÂMETROS!$B$8:$B$907,PARÂMETROS!$G$8:$G$907,F130),SUMIFS(PARÂMETROS!$C$8:$C$907,PARÂMETROS!$G$8:$G$907,F130)),0)</f>
        <v/>
      </c>
      <c r="F130" s="74" t="inlineStr">
        <is>
          <t>Agosto/2026</t>
        </is>
      </c>
      <c r="G130" s="94">
        <f>IF(B130="Clientes",SUMIFS(PARÂMETROS!$B$8:$B$907,PARÂMETROS!$G$8:$G$907,F130),SUMIFS(PARÂMETROS!$C$8:$C$907,PARÂMETROS!$G$8:$G$907,F130))</f>
        <v/>
      </c>
    </row>
    <row r="131" ht="14.25" customHeight="1" s="64">
      <c r="A131" s="90" t="inlineStr">
        <is>
          <t>Financeiro</t>
        </is>
      </c>
      <c r="B131" s="91" t="inlineStr">
        <is>
          <t>Clientes</t>
        </is>
      </c>
      <c r="C131" s="92" t="inlineStr">
        <is>
          <t>Financeiro cuida da gestão financeira e de faturamento da operação</t>
        </is>
      </c>
      <c r="D131" s="84">
        <f>SUMIFS('CUSTOS MENSAIS'!$F:$F,'CUSTOS MENSAIS'!$A:$A,A131,'CUSTOS MENSAIS'!$H:$H,F131)</f>
        <v/>
      </c>
      <c r="E131" s="84">
        <f>IFERROR(D131/IF(B131="Clientes",SUMIFS(PARÂMETROS!$B$8:$B$907,PARÂMETROS!$G$8:$G$907,F131),SUMIFS(PARÂMETROS!$C$8:$C$907,PARÂMETROS!$G$8:$G$907,F131)),0)</f>
        <v/>
      </c>
      <c r="F131" s="74" t="inlineStr">
        <is>
          <t>Agosto/2026</t>
        </is>
      </c>
      <c r="G131" s="94">
        <f>IF(B131="Clientes",SUMIFS(PARÂMETROS!$B$8:$B$907,PARÂMETROS!$G$8:$G$907,F131),SUMIFS(PARÂMETROS!$C$8:$C$907,PARÂMETROS!$G$8:$G$907,F131))</f>
        <v/>
      </c>
    </row>
    <row r="132" ht="14.25" customHeight="1" s="64">
      <c r="A132" s="90" t="inlineStr">
        <is>
          <t>NRC</t>
        </is>
      </c>
      <c r="B132" s="91" t="inlineStr">
        <is>
          <t>Clientes</t>
        </is>
      </c>
      <c r="C132" s="92" t="inlineStr">
        <is>
          <t>Serviço de Atendimento ao Cliente escala com o volume de clientes atendidos</t>
        </is>
      </c>
      <c r="D132" s="84">
        <f>SUMIFS('CUSTOS MENSAIS'!$F:$F,'CUSTOS MENSAIS'!$A:$A,A132,'CUSTOS MENSAIS'!$H:$H,F132)</f>
        <v/>
      </c>
      <c r="E132" s="84">
        <f>IFERROR(D132/IF(B132="Clientes",SUMIFS(PARÂMETROS!$B$8:$B$907,PARÂMETROS!$G$8:$G$907,F132),SUMIFS(PARÂMETROS!$C$8:$C$907,PARÂMETROS!$G$8:$G$907,F132)),0)</f>
        <v/>
      </c>
      <c r="F132" s="74" t="inlineStr">
        <is>
          <t>Agosto/2026</t>
        </is>
      </c>
      <c r="G132" s="94">
        <f>IF(B132="Clientes",SUMIFS(PARÂMETROS!$B$8:$B$907,PARÂMETROS!$G$8:$G$907,F132),SUMIFS(PARÂMETROS!$C$8:$C$907,PARÂMETROS!$G$8:$G$907,F132))</f>
        <v/>
      </c>
    </row>
    <row r="133" ht="14.25" customHeight="1" s="64">
      <c r="A133" s="90" t="inlineStr">
        <is>
          <t>Cobrança</t>
        </is>
      </c>
      <c r="B133" s="91" t="inlineStr">
        <is>
          <t>Clientes</t>
        </is>
      </c>
      <c r="C133" s="92" t="inlineStr">
        <is>
          <t>Cobrança atua sobre a carteira de clientes inadimplentes de cada empresa</t>
        </is>
      </c>
      <c r="D133" s="84">
        <f>SUMIFS('CUSTOS MENSAIS'!$F:$F,'CUSTOS MENSAIS'!$A:$A,A133,'CUSTOS MENSAIS'!$H:$H,F133)</f>
        <v/>
      </c>
      <c r="E133" s="84">
        <f>IFERROR(D133/IF(B133="Clientes",SUMIFS(PARÂMETROS!$B$8:$B$907,PARÂMETROS!$G$8:$G$907,F133),SUMIFS(PARÂMETROS!$C$8:$C$907,PARÂMETROS!$G$8:$G$907,F133)),0)</f>
        <v/>
      </c>
      <c r="F133" s="74" t="inlineStr">
        <is>
          <t>Agosto/2026</t>
        </is>
      </c>
      <c r="G133" s="94">
        <f>IF(B133="Clientes",SUMIFS(PARÂMETROS!$B$8:$B$907,PARÂMETROS!$G$8:$G$907,F133),SUMIFS(PARÂMETROS!$C$8:$C$907,PARÂMETROS!$G$8:$G$907,F133))</f>
        <v/>
      </c>
    </row>
    <row r="134" ht="14.25" customHeight="1" s="64">
      <c r="A134" s="90" t="inlineStr">
        <is>
          <t>Retenção</t>
        </is>
      </c>
      <c r="B134" s="91" t="inlineStr">
        <is>
          <t>Clientes</t>
        </is>
      </c>
      <c r="C134" s="92" t="inlineStr">
        <is>
          <t>Retenção atua sobre a base de clientes de cada empresa para evitar cancelamento</t>
        </is>
      </c>
      <c r="D134" s="84">
        <f>SUMIFS('CUSTOS MENSAIS'!$F:$F,'CUSTOS MENSAIS'!$A:$A,A134,'CUSTOS MENSAIS'!$H:$H,F134)</f>
        <v/>
      </c>
      <c r="E134" s="84">
        <f>IFERROR(D134/IF(B134="Clientes",SUMIFS(PARÂMETROS!$B$8:$B$907,PARÂMETROS!$G$8:$G$907,F134),SUMIFS(PARÂMETROS!$C$8:$C$907,PARÂMETROS!$G$8:$G$907,F134)),0)</f>
        <v/>
      </c>
      <c r="F134" s="74" t="inlineStr">
        <is>
          <t>Agosto/2026</t>
        </is>
      </c>
      <c r="G134" s="94">
        <f>IF(B134="Clientes",SUMIFS(PARÂMETROS!$B$8:$B$907,PARÂMETROS!$G$8:$G$907,F134),SUMIFS(PARÂMETROS!$C$8:$C$907,PARÂMETROS!$G$8:$G$907,F134))</f>
        <v/>
      </c>
    </row>
    <row r="135" ht="14.25" customHeight="1" s="64">
      <c r="A135" s="90" t="inlineStr">
        <is>
          <t>Contabilidade</t>
        </is>
      </c>
      <c r="B135" s="91" t="inlineStr">
        <is>
          <t>Clientes</t>
        </is>
      </c>
      <c r="C135" s="92" t="inlineStr">
        <is>
          <t>Contabilidade realiza a escrituração fiscal e contábil da operação</t>
        </is>
      </c>
      <c r="D135" s="84">
        <f>SUMIFS('CUSTOS MENSAIS'!$F:$F,'CUSTOS MENSAIS'!$A:$A,A135,'CUSTOS MENSAIS'!$H:$H,F135)</f>
        <v/>
      </c>
      <c r="E135" s="84">
        <f>IFERROR(D135/IF(B135="Clientes",SUMIFS(PARÂMETROS!$B$8:$B$907,PARÂMETROS!$G$8:$G$907,F135),SUMIFS(PARÂMETROS!$C$8:$C$907,PARÂMETROS!$G$8:$G$907,F135)),0)</f>
        <v/>
      </c>
      <c r="F135" s="74" t="inlineStr">
        <is>
          <t>Agosto/2026</t>
        </is>
      </c>
      <c r="G135" s="94">
        <f>IF(B135="Clientes",SUMIFS(PARÂMETROS!$B$8:$B$907,PARÂMETROS!$G$8:$G$907,F135),SUMIFS(PARÂMETROS!$C$8:$C$907,PARÂMETROS!$G$8:$G$907,F135))</f>
        <v/>
      </c>
    </row>
    <row r="136" ht="14.25" customHeight="1" s="64">
      <c r="A136" s="90" t="inlineStr">
        <is>
          <t>Controladoria</t>
        </is>
      </c>
      <c r="B136" s="91" t="inlineStr">
        <is>
          <t>Clientes</t>
        </is>
      </c>
      <c r="C136" s="92" t="inlineStr">
        <is>
          <t>Controladoria acompanha os indicadores financeiros da operação</t>
        </is>
      </c>
      <c r="D136" s="84">
        <f>SUMIFS('CUSTOS MENSAIS'!$F:$F,'CUSTOS MENSAIS'!$A:$A,A136,'CUSTOS MENSAIS'!$H:$H,F136)</f>
        <v/>
      </c>
      <c r="E136" s="84">
        <f>IFERROR(D136/IF(B136="Clientes",SUMIFS(PARÂMETROS!$B$8:$B$907,PARÂMETROS!$G$8:$G$907,F136),SUMIFS(PARÂMETROS!$C$8:$C$907,PARÂMETROS!$G$8:$G$907,F136)),0)</f>
        <v/>
      </c>
      <c r="F136" s="74" t="inlineStr">
        <is>
          <t>Agosto/2026</t>
        </is>
      </c>
      <c r="G136" s="94">
        <f>IF(B136="Clientes",SUMIFS(PARÂMETROS!$B$8:$B$907,PARÂMETROS!$G$8:$G$907,F136),SUMIFS(PARÂMETROS!$C$8:$C$907,PARÂMETROS!$G$8:$G$907,F136))</f>
        <v/>
      </c>
    </row>
    <row r="137" ht="14.25" customHeight="1" s="64">
      <c r="A137" s="90" t="inlineStr">
        <is>
          <t>Diretoria Operacional</t>
        </is>
      </c>
      <c r="B137" s="91" t="inlineStr">
        <is>
          <t>Clientes</t>
        </is>
      </c>
      <c r="C137" s="92" t="inlineStr">
        <is>
          <t>Diretoria Operacional coordena a operação das áreas técnicas e de atendimento</t>
        </is>
      </c>
      <c r="D137" s="84">
        <f>SUMIFS('CUSTOS MENSAIS'!$F:$F,'CUSTOS MENSAIS'!$A:$A,A137,'CUSTOS MENSAIS'!$H:$H,F137)</f>
        <v/>
      </c>
      <c r="E137" s="84">
        <f>IFERROR(D137/IF(B137="Clientes",SUMIFS(PARÂMETROS!$B$8:$B$907,PARÂMETROS!$G$8:$G$907,F137),SUMIFS(PARÂMETROS!$C$8:$C$907,PARÂMETROS!$G$8:$G$907,F137)),0)</f>
        <v/>
      </c>
      <c r="F137" s="74" t="inlineStr">
        <is>
          <t>Agosto/2026</t>
        </is>
      </c>
      <c r="G137" s="94">
        <f>IF(B137="Clientes",SUMIFS(PARÂMETROS!$B$8:$B$907,PARÂMETROS!$G$8:$G$907,F137),SUMIFS(PARÂMETROS!$C$8:$C$907,PARÂMETROS!$G$8:$G$907,F137))</f>
        <v/>
      </c>
    </row>
    <row r="138" ht="14.25" customHeight="1" s="64">
      <c r="A138" s="90" t="inlineStr">
        <is>
          <t>Compras</t>
        </is>
      </c>
      <c r="B138" s="91" t="inlineStr">
        <is>
          <t>Clientes</t>
        </is>
      </c>
      <c r="C138" s="92" t="inlineStr">
        <is>
          <t>Compras administra a aquisição de materiais e serviços para a operação</t>
        </is>
      </c>
      <c r="D138" s="84">
        <f>SUMIFS('CUSTOS MENSAIS'!$F:$F,'CUSTOS MENSAIS'!$A:$A,A138,'CUSTOS MENSAIS'!$H:$H,F138)</f>
        <v/>
      </c>
      <c r="E138" s="84">
        <f>IFERROR(D138/IF(B138="Clientes",SUMIFS(PARÂMETROS!$B$8:$B$907,PARÂMETROS!$G$8:$G$907,F138),SUMIFS(PARÂMETROS!$C$8:$C$907,PARÂMETROS!$G$8:$G$907,F138)),0)</f>
        <v/>
      </c>
      <c r="F138" s="74" t="inlineStr">
        <is>
          <t>Agosto/2026</t>
        </is>
      </c>
      <c r="G138" s="94">
        <f>IF(B138="Clientes",SUMIFS(PARÂMETROS!$B$8:$B$907,PARÂMETROS!$G$8:$G$907,F138),SUMIFS(PARÂMETROS!$C$8:$C$907,PARÂMETROS!$G$8:$G$907,F138))</f>
        <v/>
      </c>
    </row>
    <row r="139" ht="14.25" customHeight="1" s="64">
      <c r="A139" s="90" t="inlineStr">
        <is>
          <t>Segurança do Trabalho</t>
        </is>
      </c>
      <c r="B139" s="91" t="inlineStr">
        <is>
          <t>Funcionários</t>
        </is>
      </c>
      <c r="C139" s="92" t="inlineStr">
        <is>
          <t>Segurança do Trabalho cuida da saúde e segurança dos colaboradores</t>
        </is>
      </c>
      <c r="D139" s="84">
        <f>SUMIFS('CUSTOS MENSAIS'!$F:$F,'CUSTOS MENSAIS'!$A:$A,A139,'CUSTOS MENSAIS'!$H:$H,F139)</f>
        <v/>
      </c>
      <c r="E139" s="84">
        <f>IFERROR(D139/IF(B139="Clientes",SUMIFS(PARÂMETROS!$B$8:$B$907,PARÂMETROS!$G$8:$G$907,F139),SUMIFS(PARÂMETROS!$C$8:$C$907,PARÂMETROS!$G$8:$G$907,F139)),0)</f>
        <v/>
      </c>
      <c r="F139" s="74" t="inlineStr">
        <is>
          <t>Agosto/2026</t>
        </is>
      </c>
      <c r="G139" s="94">
        <f>IF(B139="Clientes",SUMIFS(PARÂMETROS!$B$8:$B$907,PARÂMETROS!$G$8:$G$907,F139),SUMIFS(PARÂMETROS!$C$8:$C$907,PARÂMETROS!$G$8:$G$907,F139))</f>
        <v/>
      </c>
    </row>
    <row r="140" ht="14.25" customHeight="1" s="64">
      <c r="A140" s="90" t="inlineStr">
        <is>
          <t>Engenharia</t>
        </is>
      </c>
      <c r="B140" s="91" t="inlineStr">
        <is>
          <t>Clientes</t>
        </is>
      </c>
      <c r="C140" s="92" t="inlineStr">
        <is>
          <t>Engenharia realiza a instalação e manutenção da infraestrutura de rede</t>
        </is>
      </c>
      <c r="D140" s="84">
        <f>SUMIFS('CUSTOS MENSAIS'!$F:$F,'CUSTOS MENSAIS'!$A:$A,A140,'CUSTOS MENSAIS'!$H:$H,F140)</f>
        <v/>
      </c>
      <c r="E140" s="84">
        <f>IFERROR(D140/IF(B140="Clientes",SUMIFS(PARÂMETROS!$B$8:$B$907,PARÂMETROS!$G$8:$G$907,F140),SUMIFS(PARÂMETROS!$C$8:$C$907,PARÂMETROS!$G$8:$G$907,F140)),0)</f>
        <v/>
      </c>
      <c r="F140" s="74" t="inlineStr">
        <is>
          <t>Agosto/2026</t>
        </is>
      </c>
      <c r="G140" s="94">
        <f>IF(B140="Clientes",SUMIFS(PARÂMETROS!$B$8:$B$907,PARÂMETROS!$G$8:$G$907,F140),SUMIFS(PARÂMETROS!$C$8:$C$907,PARÂMETROS!$G$8:$G$907,F140))</f>
        <v/>
      </c>
    </row>
    <row r="141" ht="14.25" customHeight="1" s="64">
      <c r="A141" s="90" t="inlineStr">
        <is>
          <t>Obras</t>
        </is>
      </c>
      <c r="B141" s="91" t="inlineStr">
        <is>
          <t>Clientes</t>
        </is>
      </c>
      <c r="C141" s="92" t="inlineStr">
        <is>
          <t>Obras executa construção e manutenção civil da infraestrutura</t>
        </is>
      </c>
      <c r="D141" s="84">
        <f>SUMIFS('CUSTOS MENSAIS'!$F:$F,'CUSTOS MENSAIS'!$A:$A,A141,'CUSTOS MENSAIS'!$H:$H,F141)</f>
        <v/>
      </c>
      <c r="E141" s="84">
        <f>IFERROR(D141/IF(B141="Clientes",SUMIFS(PARÂMETROS!$B$8:$B$907,PARÂMETROS!$G$8:$G$907,F141),SUMIFS(PARÂMETROS!$C$8:$C$907,PARÂMETROS!$G$8:$G$907,F141)),0)</f>
        <v/>
      </c>
      <c r="F141" s="74" t="inlineStr">
        <is>
          <t>Agosto/2026</t>
        </is>
      </c>
      <c r="G141" s="94">
        <f>IF(B141="Clientes",SUMIFS(PARÂMETROS!$B$8:$B$907,PARÂMETROS!$G$8:$G$907,F141),SUMIFS(PARÂMETROS!$C$8:$C$907,PARÂMETROS!$G$8:$G$907,F141))</f>
        <v/>
      </c>
    </row>
    <row r="142" ht="14.25" customHeight="1" s="64">
      <c r="A142" s="90" t="inlineStr">
        <is>
          <t>Manutenção Predial</t>
        </is>
      </c>
      <c r="B142" s="91" t="inlineStr">
        <is>
          <t>Clientes</t>
        </is>
      </c>
      <c r="C142" s="92" t="inlineStr">
        <is>
          <t>Manutenção Predial cuida da manutenção das instalações físicas</t>
        </is>
      </c>
      <c r="D142" s="84">
        <f>SUMIFS('CUSTOS MENSAIS'!$F:$F,'CUSTOS MENSAIS'!$A:$A,A142,'CUSTOS MENSAIS'!$H:$H,F142)</f>
        <v/>
      </c>
      <c r="E142" s="84">
        <f>IFERROR(D142/IF(B142="Clientes",SUMIFS(PARÂMETROS!$B$8:$B$907,PARÂMETROS!$G$8:$G$907,F142),SUMIFS(PARÂMETROS!$C$8:$C$907,PARÂMETROS!$G$8:$G$907,F142)),0)</f>
        <v/>
      </c>
      <c r="F142" s="74" t="inlineStr">
        <is>
          <t>Agosto/2026</t>
        </is>
      </c>
      <c r="G142" s="94">
        <f>IF(B142="Clientes",SUMIFS(PARÂMETROS!$B$8:$B$907,PARÂMETROS!$G$8:$G$907,F142),SUMIFS(PARÂMETROS!$C$8:$C$907,PARÂMETROS!$G$8:$G$907,F142))</f>
        <v/>
      </c>
    </row>
    <row r="143" ht="14.25" customHeight="1" s="64">
      <c r="A143" s="90" t="inlineStr">
        <is>
          <t>Logística</t>
        </is>
      </c>
      <c r="B143" s="91" t="inlineStr">
        <is>
          <t>Clientes</t>
        </is>
      </c>
      <c r="C143" s="92" t="inlineStr">
        <is>
          <t>Logística administra o armazenamento e a distribuição de materiais e equipamentos</t>
        </is>
      </c>
      <c r="D143" s="84">
        <f>SUMIFS('CUSTOS MENSAIS'!$F:$F,'CUSTOS MENSAIS'!$A:$A,A143,'CUSTOS MENSAIS'!$H:$H,F143)</f>
        <v/>
      </c>
      <c r="E143" s="84">
        <f>IFERROR(D143/IF(B143="Clientes",SUMIFS(PARÂMETROS!$B$8:$B$907,PARÂMETROS!$G$8:$G$907,F143),SUMIFS(PARÂMETROS!$C$8:$C$907,PARÂMETROS!$G$8:$G$907,F143)),0)</f>
        <v/>
      </c>
      <c r="F143" s="74" t="inlineStr">
        <is>
          <t>Agosto/2026</t>
        </is>
      </c>
      <c r="G143" s="94">
        <f>IF(B143="Clientes",SUMIFS(PARÂMETROS!$B$8:$B$907,PARÂMETROS!$G$8:$G$907,F143),SUMIFS(PARÂMETROS!$C$8:$C$907,PARÂMETROS!$G$8:$G$907,F143))</f>
        <v/>
      </c>
    </row>
    <row r="144" ht="14.25" customHeight="1" s="64">
      <c r="A144" s="90" t="inlineStr">
        <is>
          <t>Oficina</t>
        </is>
      </c>
      <c r="B144" s="91" t="inlineStr">
        <is>
          <t>Clientes</t>
        </is>
      </c>
      <c r="C144" s="92" t="inlineStr">
        <is>
          <t>Oficina realiza a manutenção da frota de veículos</t>
        </is>
      </c>
      <c r="D144" s="84">
        <f>SUMIFS('CUSTOS MENSAIS'!$F:$F,'CUSTOS MENSAIS'!$A:$A,A144,'CUSTOS MENSAIS'!$H:$H,F144)</f>
        <v/>
      </c>
      <c r="E144" s="84">
        <f>IFERROR(D144/IF(B144="Clientes",SUMIFS(PARÂMETROS!$B$8:$B$907,PARÂMETROS!$G$8:$G$907,F144),SUMIFS(PARÂMETROS!$C$8:$C$907,PARÂMETROS!$G$8:$G$907,F144)),0)</f>
        <v/>
      </c>
      <c r="F144" s="74" t="inlineStr">
        <is>
          <t>Agosto/2026</t>
        </is>
      </c>
      <c r="G144" s="94">
        <f>IF(B144="Clientes",SUMIFS(PARÂMETROS!$B$8:$B$907,PARÂMETROS!$G$8:$G$907,F144),SUMIFS(PARÂMETROS!$C$8:$C$907,PARÂMETROS!$G$8:$G$907,F144))</f>
        <v/>
      </c>
    </row>
    <row r="145" ht="14.25" customHeight="1" s="64">
      <c r="A145" s="90" t="inlineStr">
        <is>
          <t>Estoque</t>
        </is>
      </c>
      <c r="B145" s="91" t="inlineStr">
        <is>
          <t>Clientes</t>
        </is>
      </c>
      <c r="C145" s="92" t="inlineStr">
        <is>
          <t>Estoque controla o armazenamento e a movimentação de materiais</t>
        </is>
      </c>
      <c r="D145" s="84">
        <f>SUMIFS('CUSTOS MENSAIS'!$F:$F,'CUSTOS MENSAIS'!$A:$A,A145,'CUSTOS MENSAIS'!$H:$H,F145)</f>
        <v/>
      </c>
      <c r="E145" s="84">
        <f>IFERROR(D145/IF(B145="Clientes",SUMIFS(PARÂMETROS!$B$8:$B$907,PARÂMETROS!$G$8:$G$907,F145),SUMIFS(PARÂMETROS!$C$8:$C$907,PARÂMETROS!$G$8:$G$907,F145)),0)</f>
        <v/>
      </c>
      <c r="F145" s="74" t="inlineStr">
        <is>
          <t>Agosto/2026</t>
        </is>
      </c>
      <c r="G145" s="94">
        <f>IF(B145="Clientes",SUMIFS(PARÂMETROS!$B$8:$B$907,PARÂMETROS!$G$8:$G$907,F145),SUMIFS(PARÂMETROS!$C$8:$C$907,PARÂMETROS!$G$8:$G$907,F145))</f>
        <v/>
      </c>
    </row>
    <row r="146" ht="14.25" customHeight="1" s="64">
      <c r="A146" s="90" t="inlineStr">
        <is>
          <t>Televendas</t>
        </is>
      </c>
      <c r="B146" s="91" t="inlineStr">
        <is>
          <t>Clientes</t>
        </is>
      </c>
      <c r="C146" s="92" t="inlineStr">
        <is>
          <t>Televendas realiza vendas por telefone para novos clientes</t>
        </is>
      </c>
      <c r="D146" s="84">
        <f>SUMIFS('CUSTOS MENSAIS'!$F:$F,'CUSTOS MENSAIS'!$A:$A,A146,'CUSTOS MENSAIS'!$H:$H,F146)</f>
        <v/>
      </c>
      <c r="E146" s="84">
        <f>IFERROR(D146/IF(B146="Clientes",SUMIFS(PARÂMETROS!$B$8:$B$907,PARÂMETROS!$G$8:$G$907,F146),SUMIFS(PARÂMETROS!$C$8:$C$907,PARÂMETROS!$G$8:$G$907,F146)),0)</f>
        <v/>
      </c>
      <c r="F146" s="74" t="inlineStr">
        <is>
          <t>Agosto/2026</t>
        </is>
      </c>
      <c r="G146" s="94">
        <f>IF(B146="Clientes",SUMIFS(PARÂMETROS!$B$8:$B$907,PARÂMETROS!$G$8:$G$907,F146),SUMIFS(PARÂMETROS!$C$8:$C$907,PARÂMETROS!$G$8:$G$907,F146))</f>
        <v/>
      </c>
    </row>
    <row r="147" ht="14.25" customHeight="1" s="64">
      <c r="A147" s="90" t="inlineStr">
        <is>
          <t>Suporte Orbix</t>
        </is>
      </c>
      <c r="B147" s="91" t="inlineStr">
        <is>
          <t>Clientes</t>
        </is>
      </c>
      <c r="C147" s="92" t="inlineStr">
        <is>
          <t>Suporte Orbix dá suporte técnico à operação Orbix</t>
        </is>
      </c>
      <c r="D147" s="84">
        <f>SUMIFS('CUSTOS MENSAIS'!$F:$F,'CUSTOS MENSAIS'!$A:$A,A147,'CUSTOS MENSAIS'!$H:$H,F147)</f>
        <v/>
      </c>
      <c r="E147" s="84">
        <f>IFERROR(D147/IF(B147="Clientes",SUMIFS(PARÂMETROS!$B$8:$B$907,PARÂMETROS!$G$8:$G$907,F147),SUMIFS(PARÂMETROS!$C$8:$C$907,PARÂMETROS!$G$8:$G$907,F147)),0)</f>
        <v/>
      </c>
      <c r="F147" s="74" t="inlineStr">
        <is>
          <t>Agosto/2026</t>
        </is>
      </c>
      <c r="G147" s="94">
        <f>IF(B147="Clientes",SUMIFS(PARÂMETROS!$B$8:$B$907,PARÂMETROS!$G$8:$G$907,F147),SUMIFS(PARÂMETROS!$C$8:$C$907,PARÂMETROS!$G$8:$G$907,F147))</f>
        <v/>
      </c>
    </row>
    <row r="148" ht="14.25" customHeight="1" s="64">
      <c r="A148" s="90" t="inlineStr">
        <is>
          <t>Suporte da Central</t>
        </is>
      </c>
      <c r="B148" s="91" t="inlineStr">
        <is>
          <t>Clientes</t>
        </is>
      </c>
      <c r="C148" s="92" t="inlineStr">
        <is>
          <t>Suporte da Central dá suporte técnico à central de atendimento</t>
        </is>
      </c>
      <c r="D148" s="84">
        <f>SUMIFS('CUSTOS MENSAIS'!$F:$F,'CUSTOS MENSAIS'!$A:$A,A148,'CUSTOS MENSAIS'!$H:$H,F148)</f>
        <v/>
      </c>
      <c r="E148" s="84">
        <f>IFERROR(D148/IF(B148="Clientes",SUMIFS(PARÂMETROS!$B$8:$B$907,PARÂMETROS!$G$8:$G$907,F148),SUMIFS(PARÂMETROS!$C$8:$C$907,PARÂMETROS!$G$8:$G$907,F148)),0)</f>
        <v/>
      </c>
      <c r="F148" s="74" t="inlineStr">
        <is>
          <t>Agosto/2026</t>
        </is>
      </c>
      <c r="G148" s="94">
        <f>IF(B148="Clientes",SUMIFS(PARÂMETROS!$B$8:$B$907,PARÂMETROS!$G$8:$G$907,F148),SUMIFS(PARÂMETROS!$C$8:$C$907,PARÂMETROS!$G$8:$G$907,F148))</f>
        <v/>
      </c>
    </row>
    <row r="149" ht="14.25" customHeight="1" s="64">
      <c r="A149" s="90" t="inlineStr">
        <is>
          <t>Comercial Corporativo</t>
        </is>
      </c>
      <c r="B149" s="91" t="inlineStr">
        <is>
          <t>Vendas</t>
        </is>
      </c>
      <c r="C149" s="92" t="inlineStr">
        <is>
          <t>Comercial Corporativo realiza vendas para clientes corporativos</t>
        </is>
      </c>
      <c r="D149" s="84">
        <f>SUMIFS('CUSTOS MENSAIS'!$F:$F,'CUSTOS MENSAIS'!$A:$A,A149,'CUSTOS MENSAIS'!$H:$H,F149)</f>
        <v/>
      </c>
      <c r="E149" s="84">
        <f>IFERROR(D149/G149,0)</f>
        <v/>
      </c>
      <c r="F149" s="74" t="inlineStr">
        <is>
          <t>Agosto/2026</t>
        </is>
      </c>
      <c r="G149" s="94" t="n">
        <v>167</v>
      </c>
    </row>
    <row r="150" ht="14.25" customHeight="1" s="64">
      <c r="A150" s="90" t="inlineStr">
        <is>
          <t>Administrativo</t>
        </is>
      </c>
      <c r="B150" s="91" t="inlineStr">
        <is>
          <t>Funcionários</t>
        </is>
      </c>
      <c r="C150" s="92" t="inlineStr">
        <is>
          <t>Administrativo reúne os softwares e sistemas corporativos usados pela operação</t>
        </is>
      </c>
      <c r="D150" s="84">
        <f>SUMIFS('CUSTOS MENSAIS'!$F:$F,'CUSTOS MENSAIS'!$A:$A,A150,'CUSTOS MENSAIS'!$H:$H,F150)</f>
        <v/>
      </c>
      <c r="E150" s="84">
        <f>IFERROR(D150/IF(B150="Clientes",SUMIFS(PARÂMETROS!$B$8:$B$907,PARÂMETROS!$G$8:$G$907,F150),SUMIFS(PARÂMETROS!$C$8:$C$907,PARÂMETROS!$G$8:$G$907,F150)),0)</f>
        <v/>
      </c>
      <c r="F150" s="74" t="inlineStr">
        <is>
          <t>Agosto/2026</t>
        </is>
      </c>
      <c r="G150" s="94">
        <f>IF(B150="Clientes",SUMIFS(PARÂMETROS!$B$8:$B$907,PARÂMETROS!$G$8:$G$907,F150),SUMIFS(PARÂMETROS!$C$8:$C$907,PARÂMETROS!$G$8:$G$907,F150))</f>
        <v/>
      </c>
    </row>
    <row r="151" ht="14.25" customHeight="1" s="64">
      <c r="A151" s="90" t="inlineStr">
        <is>
          <t>Qualidade</t>
        </is>
      </c>
      <c r="B151" s="91" t="inlineStr">
        <is>
          <t>Clientes</t>
        </is>
      </c>
      <c r="C151" s="92" t="inlineStr">
        <is>
          <t>Área de Qualidade garante o padrão de atendimento e dos serviços prestados aos clientes</t>
        </is>
      </c>
      <c r="D151" s="84">
        <f>SUMIFS('CUSTOS MENSAIS'!$F:$F,'CUSTOS MENSAIS'!$A:$A,A151,'CUSTOS MENSAIS'!$H:$H,F151)</f>
        <v/>
      </c>
      <c r="E151" s="84">
        <f>IFERROR(D151/IF(B151="Clientes",SUMIFS(PARÂMETROS!$B$8:$B$907,PARÂMETROS!$G$8:$G$907,F151),SUMIFS(PARÂMETROS!$C$8:$C$907,PARÂMETROS!$G$8:$G$907,F151)),0)</f>
        <v/>
      </c>
      <c r="F151" s="74" t="inlineStr">
        <is>
          <t>Agosto/2026</t>
        </is>
      </c>
      <c r="G151" s="94">
        <f>IF(B151="Clientes",SUMIFS(PARÂMETROS!$B$8:$B$907,PARÂMETROS!$G$8:$G$907,F151),SUMIFS(PARÂMETROS!$C$8:$C$907,PARÂMETROS!$G$8:$G$907,F151))</f>
        <v/>
      </c>
    </row>
    <row r="152" ht="14.25" customHeight="1" s="64">
      <c r="A152" s="90" t="inlineStr">
        <is>
          <t>Jurídico</t>
        </is>
      </c>
      <c r="B152" s="91" t="inlineStr">
        <is>
          <t>Clientes</t>
        </is>
      </c>
      <c r="C152" s="92" t="inlineStr">
        <is>
          <t>Jurídico atua nas demandas legais e contratuais da operação</t>
        </is>
      </c>
      <c r="D152" s="84">
        <f>SUMIFS('CUSTOS MENSAIS'!$F:$F,'CUSTOS MENSAIS'!$A:$A,A152,'CUSTOS MENSAIS'!$H:$H,F152)</f>
        <v/>
      </c>
      <c r="E152" s="84">
        <f>IFERROR(D152/IF(B152="Clientes",SUMIFS(PARÂMETROS!$B$8:$B$907,PARÂMETROS!$G$8:$G$907,F152),SUMIFS(PARÂMETROS!$C$8:$C$907,PARÂMETROS!$G$8:$G$907,F152)),0)</f>
        <v/>
      </c>
      <c r="F152" s="74" t="inlineStr">
        <is>
          <t>Agosto/2026</t>
        </is>
      </c>
      <c r="G152" s="94">
        <f>IF(B152="Clientes",SUMIFS(PARÂMETROS!$B$8:$B$907,PARÂMETROS!$G$8:$G$907,F152),SUMIFS(PARÂMETROS!$C$8:$C$907,PARÂMETROS!$G$8:$G$907,F152))</f>
        <v/>
      </c>
    </row>
    <row r="153" ht="14.25" customHeight="1" s="64">
      <c r="A153" s="90" t="inlineStr">
        <is>
          <t>Marketing</t>
        </is>
      </c>
      <c r="B153" s="91" t="inlineStr">
        <is>
          <t>Clientes</t>
        </is>
      </c>
      <c r="C153" s="92" t="inlineStr">
        <is>
          <t>Marketing atua na captação, retenção e comunicação com a base de clientes</t>
        </is>
      </c>
      <c r="D153" s="84">
        <f>SUMIFS('CUSTOS MENSAIS'!$F:$F,'CUSTOS MENSAIS'!$A:$A,A153,'CUSTOS MENSAIS'!$H:$H,F153)</f>
        <v/>
      </c>
      <c r="E153" s="84">
        <f>IFERROR(D153/IF(B153="Clientes",SUMIFS(PARÂMETROS!$B$8:$B$907,PARÂMETROS!$G$8:$G$907,F153),SUMIFS(PARÂMETROS!$C$8:$C$907,PARÂMETROS!$G$8:$G$907,F153)),0)</f>
        <v/>
      </c>
      <c r="F153" s="74" t="inlineStr">
        <is>
          <t>Agosto/2026</t>
        </is>
      </c>
      <c r="G153" s="94">
        <f>IF(B153="Clientes",SUMIFS(PARÂMETROS!$B$8:$B$907,PARÂMETROS!$G$8:$G$907,F153),SUMIFS(PARÂMETROS!$C$8:$C$907,PARÂMETROS!$G$8:$G$907,F153))</f>
        <v/>
      </c>
    </row>
    <row r="154" ht="14.25" customHeight="1" s="64">
      <c r="A154" s="90" t="inlineStr">
        <is>
          <t>TIC</t>
        </is>
      </c>
      <c r="B154" s="91" t="inlineStr">
        <is>
          <t>Clientes</t>
        </is>
      </c>
      <c r="C154" s="92" t="inlineStr">
        <is>
          <t>TIC dá suporte de infraestrutura de tecnologia à operação voltada aos clientes</t>
        </is>
      </c>
      <c r="D154" s="84">
        <f>SUMIFS('CUSTOS MENSAIS'!$F:$F,'CUSTOS MENSAIS'!$A:$A,A154,'CUSTOS MENSAIS'!$H:$H,F154)</f>
        <v/>
      </c>
      <c r="E154" s="84">
        <f>IFERROR(D154/IF(B154="Clientes",SUMIFS(PARÂMETROS!$B$8:$B$907,PARÂMETROS!$G$8:$G$907,F154),SUMIFS(PARÂMETROS!$C$8:$C$907,PARÂMETROS!$G$8:$G$907,F154)),0)</f>
        <v/>
      </c>
      <c r="F154" s="74" t="inlineStr">
        <is>
          <t>Agosto/2026</t>
        </is>
      </c>
      <c r="G154" s="94">
        <f>IF(B154="Clientes",SUMIFS(PARÂMETROS!$B$8:$B$907,PARÂMETROS!$G$8:$G$907,F154),SUMIFS(PARÂMETROS!$C$8:$C$907,PARÂMETROS!$G$8:$G$907,F154))</f>
        <v/>
      </c>
    </row>
    <row r="155" ht="14.25" customHeight="1" s="64">
      <c r="A155" s="90" t="inlineStr">
        <is>
          <t>COE</t>
        </is>
      </c>
      <c r="B155" s="91" t="inlineStr">
        <is>
          <t>Clientes</t>
        </is>
      </c>
      <c r="C155" s="92" t="inlineStr">
        <is>
          <t>Centro de Operações Especiais (COE) trata despacho e demandas operacionais ligadas à base de clientes</t>
        </is>
      </c>
      <c r="D155" s="84">
        <f>SUMIFS('CUSTOS MENSAIS'!$F:$F,'CUSTOS MENSAIS'!$A:$A,A155,'CUSTOS MENSAIS'!$H:$H,F155)</f>
        <v/>
      </c>
      <c r="E155" s="84">
        <f>IFERROR(D155/IF(B155="Clientes",SUMIFS(PARÂMETROS!$B$8:$B$907,PARÂMETROS!$G$8:$G$907,F155),SUMIFS(PARÂMETROS!$C$8:$C$907,PARÂMETROS!$G$8:$G$907,F155)),0)</f>
        <v/>
      </c>
      <c r="F155" s="74" t="inlineStr">
        <is>
          <t>Agosto/2026</t>
        </is>
      </c>
      <c r="G155" s="94">
        <f>IF(B155="Clientes",SUMIFS(PARÂMETROS!$B$8:$B$907,PARÂMETROS!$G$8:$G$907,F155),SUMIFS(PARÂMETROS!$C$8:$C$907,PARÂMETROS!$G$8:$G$907,F155))</f>
        <v/>
      </c>
    </row>
    <row r="156" ht="14.25" customHeight="1" s="64">
      <c r="A156" s="90" t="inlineStr">
        <is>
          <t>Fique Móvel</t>
        </is>
      </c>
      <c r="B156" s="91" t="inlineStr">
        <is>
          <t>Clientes</t>
        </is>
      </c>
      <c r="C156" s="92" t="inlineStr">
        <is>
          <t>Fique Móvel é equipe de vendas que atua diretamente na captação de clientes</t>
        </is>
      </c>
      <c r="D156" s="84">
        <f>SUMIFS('CUSTOS MENSAIS'!$F:$F,'CUSTOS MENSAIS'!$A:$A,A156,'CUSTOS MENSAIS'!$H:$H,F156)</f>
        <v/>
      </c>
      <c r="E156" s="84">
        <f>IFERROR(D156/IF(B156="Clientes",SUMIFS(PARÂMETROS!$B$8:$B$907,PARÂMETROS!$G$8:$G$907,F156),SUMIFS(PARÂMETROS!$C$8:$C$907,PARÂMETROS!$G$8:$G$907,F156)),0)</f>
        <v/>
      </c>
      <c r="F156" s="74" t="inlineStr">
        <is>
          <t>Agosto/2026</t>
        </is>
      </c>
      <c r="G156" s="94">
        <f>IF(B156="Clientes",SUMIFS(PARÂMETROS!$B$8:$B$907,PARÂMETROS!$G$8:$G$907,F156),SUMIFS(PARÂMETROS!$C$8:$C$907,PARÂMETROS!$G$8:$G$907,F156))</f>
        <v/>
      </c>
    </row>
    <row r="157" ht="14.25" customHeight="1" s="64">
      <c r="A157" s="90" t="inlineStr">
        <is>
          <t>Lançamento</t>
        </is>
      </c>
      <c r="B157" s="91" t="inlineStr">
        <is>
          <t>Clientes</t>
        </is>
      </c>
      <c r="C157" s="92" t="inlineStr">
        <is>
          <t>Equipe de Lançamento realiza a instalação/lançamento de rede para atender novos clientes</t>
        </is>
      </c>
      <c r="D157" s="84">
        <f>SUMIFS('CUSTOS MENSAIS'!$F:$F,'CUSTOS MENSAIS'!$A:$A,A157,'CUSTOS MENSAIS'!$H:$H,F157)</f>
        <v/>
      </c>
      <c r="E157" s="84">
        <f>IFERROR(D157/IF(B157="Clientes",SUMIFS(PARÂMETROS!$B$8:$B$907,PARÂMETROS!$G$8:$G$907,F157),SUMIFS(PARÂMETROS!$C$8:$C$907,PARÂMETROS!$G$8:$G$907,F157)),0)</f>
        <v/>
      </c>
      <c r="F157" s="74" t="inlineStr">
        <is>
          <t>Agosto/2026</t>
        </is>
      </c>
      <c r="G157" s="94">
        <f>IF(B157="Clientes",SUMIFS(PARÂMETROS!$B$8:$B$907,PARÂMETROS!$G$8:$G$907,F157),SUMIFS(PARÂMETROS!$C$8:$C$907,PARÂMETROS!$G$8:$G$907,F157))</f>
        <v/>
      </c>
    </row>
    <row r="158" ht="14.25" customHeight="1" s="64">
      <c r="A158" s="90" t="inlineStr">
        <is>
          <t>Fusão</t>
        </is>
      </c>
      <c r="B158" s="91" t="inlineStr">
        <is>
          <t>Clientes</t>
        </is>
      </c>
      <c r="C158" s="92" t="inlineStr">
        <is>
          <t>Equipe de Fusão realiza fusão/manutenção de fibra óptica para atender a base de clientes</t>
        </is>
      </c>
      <c r="D158" s="84">
        <f>SUMIFS('CUSTOS MENSAIS'!$F:$F,'CUSTOS MENSAIS'!$A:$A,A158,'CUSTOS MENSAIS'!$H:$H,F158)</f>
        <v/>
      </c>
      <c r="E158" s="84">
        <f>IFERROR(D158/IF(B158="Clientes",SUMIFS(PARÂMETROS!$B$8:$B$907,PARÂMETROS!$G$8:$G$907,F158),SUMIFS(PARÂMETROS!$C$8:$C$907,PARÂMETROS!$G$8:$G$907,F158)),0)</f>
        <v/>
      </c>
      <c r="F158" s="74" t="inlineStr">
        <is>
          <t>Agosto/2026</t>
        </is>
      </c>
      <c r="G158" s="94">
        <f>IF(B158="Clientes",SUMIFS(PARÂMETROS!$B$8:$B$907,PARÂMETROS!$G$8:$G$907,F158),SUMIFS(PARÂMETROS!$C$8:$C$907,PARÂMETROS!$G$8:$G$907,F158))</f>
        <v/>
      </c>
    </row>
    <row r="159" ht="14.25" customHeight="1" s="64">
      <c r="A159" s="90" t="inlineStr">
        <is>
          <t>Diretoria Adm</t>
        </is>
      </c>
      <c r="B159" s="91" t="inlineStr">
        <is>
          <t>Clientes</t>
        </is>
      </c>
      <c r="C159" s="92" t="inlineStr">
        <is>
          <t>Diretoria Administrativa realiza a gestão administrativa executiva da operação</t>
        </is>
      </c>
      <c r="D159" s="84">
        <f>SUMIFS('CUSTOS MENSAIS'!$F:$F,'CUSTOS MENSAIS'!$A:$A,A159,'CUSTOS MENSAIS'!$H:$H,F159)</f>
        <v/>
      </c>
      <c r="E159" s="84">
        <f>IFERROR(D159/IF(B159="Clientes",SUMIFS(PARÂMETROS!$B$8:$B$907,PARÂMETROS!$G$8:$G$907,F159),SUMIFS(PARÂMETROS!$C$8:$C$907,PARÂMETROS!$G$8:$G$907,F159)),0)</f>
        <v/>
      </c>
      <c r="F159" s="74" t="inlineStr">
        <is>
          <t>Agosto/2026</t>
        </is>
      </c>
      <c r="G159" s="94">
        <f>IF(B159="Clientes",SUMIFS(PARÂMETROS!$B$8:$B$907,PARÂMETROS!$G$8:$G$907,F159),SUMIFS(PARÂMETROS!$C$8:$C$907,PARÂMETROS!$G$8:$G$907,F159))</f>
        <v/>
      </c>
    </row>
    <row r="160" ht="14.25" customHeight="1" s="64">
      <c r="A160" s="90" t="inlineStr">
        <is>
          <t>Cozinha</t>
        </is>
      </c>
      <c r="B160" s="91" t="inlineStr">
        <is>
          <t>Funcionários</t>
        </is>
      </c>
      <c r="C160" s="92" t="inlineStr">
        <is>
          <t>Cozinha prepara as refeições dos colaboradores</t>
        </is>
      </c>
      <c r="D160" s="84">
        <f>SUMIFS('CUSTOS MENSAIS'!$F:$F,'CUSTOS MENSAIS'!$A:$A,A160,'CUSTOS MENSAIS'!$H:$H,F160)</f>
        <v/>
      </c>
      <c r="E160" s="84">
        <f>IFERROR(D160/G160,0)</f>
        <v/>
      </c>
      <c r="F160" s="74" t="inlineStr">
        <is>
          <t>Agosto/2026</t>
        </is>
      </c>
      <c r="G160" s="94">
        <f>SUMIFS(PARÂMETROS!$C$8:$C$907,PARÂMETROS!$G$8:$G$907,F160,PARÂMETROS!$A$8:$A$907,"DTEL (uso próprio)")</f>
        <v/>
      </c>
    </row>
    <row r="161" ht="14.25" customHeight="1" s="64">
      <c r="A161" s="80" t="inlineStr">
        <is>
          <t>TOTAL GERAL — Agosto/2026</t>
        </is>
      </c>
      <c r="B161" s="95" t="n"/>
      <c r="C161" s="96" t="n"/>
      <c r="D161" s="97">
        <f>SUM(D126:D160)+D162+D163+D164+D165</f>
        <v/>
      </c>
      <c r="E161" s="97" t="n"/>
      <c r="F161" s="95" t="n"/>
      <c r="G161" s="98" t="n"/>
    </row>
    <row r="162" ht="14.25" customHeight="1" s="64">
      <c r="A162" s="90" t="inlineStr">
        <is>
          <t>Backoffice Comercial Varejo</t>
        </is>
      </c>
      <c r="B162" s="91" t="inlineStr">
        <is>
          <t>Clientes</t>
        </is>
      </c>
      <c r="C162" s="92" t="inlineStr">
        <is>
          <t>Equipe de backoffice do Comercial Varejo dá suporte administrativo às vendas e atende à base de clientes</t>
        </is>
      </c>
      <c r="D162" s="84">
        <f>SUMIFS('CUSTOS MENSAIS'!$F:$F,'CUSTOS MENSAIS'!$A:$A,A162,'CUSTOS MENSAIS'!$H:$H,F162)</f>
        <v/>
      </c>
      <c r="E162" s="84">
        <f>IFERROR(D162/IF(B162="Clientes",SUMIFS(PARÂMETROS!$B$8:$B$907,PARÂMETROS!$G$8:$G$907,F162),SUMIFS(PARÂMETROS!$C$8:$C$907,PARÂMETROS!$G$8:$G$907,F162)),0)</f>
        <v/>
      </c>
      <c r="F162" s="74" t="inlineStr">
        <is>
          <t>Agosto/2026</t>
        </is>
      </c>
      <c r="G162" s="94">
        <f>IF(B162="Clientes",SUMIFS(PARÂMETROS!$B$8:$B$907,PARÂMETROS!$G$8:$G$907,F162),SUMIFS(PARÂMETROS!$C$8:$C$907,PARÂMETROS!$G$8:$G$907,F162))</f>
        <v/>
      </c>
    </row>
    <row r="163" ht="14.25" customHeight="1" s="64">
      <c r="A163" s="90" t="inlineStr">
        <is>
          <t>Serviços Gerais</t>
        </is>
      </c>
      <c r="B163" s="91" t="inlineStr">
        <is>
          <t>Funcionários</t>
        </is>
      </c>
      <c r="C163" s="92" t="inlineStr">
        <is>
          <t>Serviços Gerais realiza limpeza e apoio predial para os colaboradores</t>
        </is>
      </c>
      <c r="D163" s="84">
        <f>SUMIFS('CUSTOS MENSAIS'!$F:$F,'CUSTOS MENSAIS'!$A:$A,A163,'CUSTOS MENSAIS'!$H:$H,F163)</f>
        <v/>
      </c>
      <c r="E163" s="84">
        <f>IFERROR(D163/IF(B163="Clientes",SUMIFS(PARÂMETROS!$B$8:$B$907,PARÂMETROS!$G$8:$G$907,F163),SUMIFS(PARÂMETROS!$C$8:$C$907,PARÂMETROS!$G$8:$G$907,F163)),0)</f>
        <v/>
      </c>
      <c r="F163" s="74" t="inlineStr">
        <is>
          <t>Agosto/2026</t>
        </is>
      </c>
      <c r="G163" s="94">
        <f>IF(B163="Clientes",SUMIFS(PARÂMETROS!$B$8:$B$907,PARÂMETROS!$G$8:$G$907,F163),SUMIFS(PARÂMETROS!$C$8:$C$907,PARÂMETROS!$G$8:$G$907,F163))</f>
        <v/>
      </c>
    </row>
    <row r="164" ht="14.25" customHeight="1" s="64">
      <c r="A164" s="90" t="inlineStr">
        <is>
          <t>Desenvolvimento</t>
        </is>
      </c>
      <c r="B164" s="91" t="inlineStr">
        <is>
          <t>Clientes</t>
        </is>
      </c>
      <c r="C164" s="92" t="inlineStr">
        <is>
          <t>Desenvolvimento mantém e evolui os sistemas internos que atendem à operação e aos clientes</t>
        </is>
      </c>
      <c r="D164" s="84">
        <f>SUMIFS('CUSTOS MENSAIS'!$F:$F,'CUSTOS MENSAIS'!$A:$A,A164,'CUSTOS MENSAIS'!$H:$H,F164)</f>
        <v/>
      </c>
      <c r="E164" s="84">
        <f>IFERROR(D164/IF(B164="Clientes",SUMIFS(PARÂMETROS!$B$8:$B$907,PARÂMETROS!$G$8:$G$907,F164),SUMIFS(PARÂMETROS!$C$8:$C$907,PARÂMETROS!$G$8:$G$907,F164)),0)</f>
        <v/>
      </c>
      <c r="F164" s="74" t="inlineStr">
        <is>
          <t>Agosto/2026</t>
        </is>
      </c>
      <c r="G164" s="94">
        <f>IF(B164="Clientes",SUMIFS(PARÂMETROS!$B$8:$B$907,PARÂMETROS!$G$8:$G$907,F164),SUMIFS(PARÂMETROS!$C$8:$C$907,PARÂMETROS!$G$8:$G$907,F164))</f>
        <v/>
      </c>
    </row>
    <row r="165" ht="14.25" customHeight="1" s="64">
      <c r="A165" s="110" t="inlineStr">
        <is>
          <t>Configuração</t>
        </is>
      </c>
      <c r="B165" s="110" t="inlineStr">
        <is>
          <t>Clientes</t>
        </is>
      </c>
      <c r="C165" s="110" t="inlineStr">
        <is>
          <t>Configuração dá suporte técnico de rede (operadores de redes) e escala com o nº de clientes ativos</t>
        </is>
      </c>
      <c r="D165" s="110">
        <f>SUMIFS('CUSTOS MENSAIS'!$F:$F,'CUSTOS MENSAIS'!$A:$A,A165,'CUSTOS MENSAIS'!$H:$H,F165)</f>
        <v/>
      </c>
      <c r="E165" s="110">
        <f>IFERROR(D165/IF(B165="Clientes",SUMIFS(PARÂMETROS!$B$8:$B$907,PARÂMETROS!$G$8:$G$907,F165),SUMIFS(PARÂMETROS!$C$8:$C$907,PARÂMETROS!$G$8:$G$907,F165)),0)</f>
        <v/>
      </c>
      <c r="F165" s="110" t="inlineStr">
        <is>
          <t>Agosto/2026</t>
        </is>
      </c>
      <c r="G165" s="110">
        <f>IF(B165="Clientes",SUMIFS(PARÂMETROS!$B$8:$B$907,PARÂMETROS!$G$8:$G$907,F165),SUMIFS(PARÂMETROS!$C$8:$C$907,PARÂMETROS!$G$8:$G$907,F165))</f>
        <v/>
      </c>
    </row>
    <row r="166" ht="14.25" customHeight="1" s="64">
      <c r="A166" s="110" t="inlineStr">
        <is>
          <t>Projetista</t>
        </is>
      </c>
      <c r="B166" s="110" t="inlineStr">
        <is>
          <t>Clientes</t>
        </is>
      </c>
      <c r="C166" s="110" t="inlineStr">
        <is>
          <t>Sub-setor de projetistas, separado da Engenharia (função Projetista na folha trabalhista); cobrado apenas o custo próprio de projetistas</t>
        </is>
      </c>
      <c r="D166" s="110">
        <f>SUMIFS('CUSTOS MENSAIS'!$F:$F,'CUSTOS MENSAIS'!$A:$A,A166,'CUSTOS MENSAIS'!$H:$H,F166)</f>
        <v/>
      </c>
      <c r="E166" s="110">
        <f>IFERROR(D166/IF(B166="Clientes",SUMIFS(PARÂMETROS!$B$8:$B$907,PARÂMETROS!$G$8:$G$907,F166),SUMIFS(PARÂMETROS!$C$8:$C$907,PARÂMETROS!$G$8:$G$907,F166)),0)</f>
        <v/>
      </c>
      <c r="F166" s="110" t="inlineStr">
        <is>
          <t>Maio/2026</t>
        </is>
      </c>
      <c r="G166" s="110">
        <f>IF(B166="Clientes",SUMIFS(PARÂMETROS!$B$8:$B$907,PARÂMETROS!$G$8:$G$907,F166),SUMIFS(PARÂMETROS!$C$8:$C$907,PARÂMETROS!$G$8:$G$907,F166))</f>
        <v/>
      </c>
    </row>
    <row r="167" ht="14.25" customHeight="1" s="64">
      <c r="A167" s="110" t="inlineStr">
        <is>
          <t>Projetista</t>
        </is>
      </c>
      <c r="B167" s="110" t="inlineStr">
        <is>
          <t>Clientes</t>
        </is>
      </c>
      <c r="C167" s="110" t="inlineStr">
        <is>
          <t>Sub-setor de projetistas, separado da Engenharia (função Projetista na folha trabalhista); cobrado apenas o custo próprio de projetistas</t>
        </is>
      </c>
      <c r="D167" s="110">
        <f>SUMIFS('CUSTOS MENSAIS'!$F:$F,'CUSTOS MENSAIS'!$A:$A,A167,'CUSTOS MENSAIS'!$H:$H,F167)</f>
        <v/>
      </c>
      <c r="E167" s="110">
        <f>IFERROR(D167/IF(B167="Clientes",SUMIFS(PARÂMETROS!$B$8:$B$907,PARÂMETROS!$G$8:$G$907,F167),SUMIFS(PARÂMETROS!$C$8:$C$907,PARÂMETROS!$G$8:$G$907,F167)),0)</f>
        <v/>
      </c>
      <c r="F167" s="110" t="inlineStr">
        <is>
          <t>Junho/2026</t>
        </is>
      </c>
      <c r="G167" s="110">
        <f>IF(B167="Clientes",SUMIFS(PARÂMETROS!$B$8:$B$907,PARÂMETROS!$G$8:$G$907,F167),SUMIFS(PARÂMETROS!$C$8:$C$907,PARÂMETROS!$G$8:$G$907,F167))</f>
        <v/>
      </c>
    </row>
    <row r="168" ht="14.25" customHeight="1" s="64">
      <c r="A168" s="110" t="inlineStr">
        <is>
          <t>Projetista</t>
        </is>
      </c>
      <c r="B168" s="110" t="inlineStr">
        <is>
          <t>Clientes</t>
        </is>
      </c>
      <c r="C168" s="110" t="inlineStr">
        <is>
          <t>Sub-setor de projetistas, separado da Engenharia (função Projetista na folha trabalhista); cobrado apenas o custo próprio de projetistas</t>
        </is>
      </c>
      <c r="D168" s="110">
        <f>SUMIFS('CUSTOS MENSAIS'!$F:$F,'CUSTOS MENSAIS'!$A:$A,A168,'CUSTOS MENSAIS'!$H:$H,F168)</f>
        <v/>
      </c>
      <c r="E168" s="110">
        <f>IFERROR(D168/IF(B168="Clientes",SUMIFS(PARÂMETROS!$B$8:$B$907,PARÂMETROS!$G$8:$G$907,F168),SUMIFS(PARÂMETROS!$C$8:$C$907,PARÂMETROS!$G$8:$G$907,F168)),0)</f>
        <v/>
      </c>
      <c r="F168" s="110" t="inlineStr">
        <is>
          <t>Julho/2026</t>
        </is>
      </c>
      <c r="G168" s="110">
        <f>IF(B168="Clientes",SUMIFS(PARÂMETROS!$B$8:$B$907,PARÂMETROS!$G$8:$G$907,F168),SUMIFS(PARÂMETROS!$C$8:$C$907,PARÂMETROS!$G$8:$G$907,F168))</f>
        <v/>
      </c>
    </row>
    <row r="169" ht="14.25" customHeight="1" s="64">
      <c r="A169" s="110" t="inlineStr">
        <is>
          <t>Projetista</t>
        </is>
      </c>
      <c r="B169" s="110" t="inlineStr">
        <is>
          <t>Clientes</t>
        </is>
      </c>
      <c r="C169" s="110" t="inlineStr">
        <is>
          <t>Sub-setor de projetistas, separado da Engenharia (função Projetista na folha trabalhista); cobrado apenas o custo próprio de projetistas</t>
        </is>
      </c>
      <c r="D169" s="110">
        <f>SUMIFS('CUSTOS MENSAIS'!$F:$F,'CUSTOS MENSAIS'!$A:$A,A169,'CUSTOS MENSAIS'!$H:$H,F169)</f>
        <v/>
      </c>
      <c r="E169" s="110">
        <f>IFERROR(D169/IF(B169="Clientes",SUMIFS(PARÂMETROS!$B$8:$B$907,PARÂMETROS!$G$8:$G$907,F169),SUMIFS(PARÂMETROS!$C$8:$C$907,PARÂMETROS!$G$8:$G$907,F169)),0)</f>
        <v/>
      </c>
      <c r="F169" s="110" t="inlineStr">
        <is>
          <t>Agosto/2026</t>
        </is>
      </c>
      <c r="G169" s="110">
        <f>IF(B169="Clientes",SUMIFS(PARÂMETROS!$B$8:$B$907,PARÂMETROS!$G$8:$G$907,F169),SUMIFS(PARÂMETROS!$C$8:$C$907,PARÂMETROS!$G$8:$G$907,F169))</f>
        <v/>
      </c>
    </row>
  </sheetData>
  <mergeCells count="2">
    <mergeCell ref="A1:E1"/>
    <mergeCell ref="A2:G2"/>
  </mergeCells>
  <dataValidations count="1">
    <dataValidation sqref="B5:B17" showDropDown="0" showInputMessage="0" showErrorMessage="0" allowBlank="0" type="list" errorStyle="stop" operator="between">
      <formula1>"Clientes,Funcionários"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5722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C1448" activeCellId="0" sqref="C1448"/>
    </sheetView>
  </sheetViews>
  <sheetFormatPr baseColWidth="8" defaultColWidth="8.66796875" defaultRowHeight="14.25" zeroHeight="0" outlineLevelRow="0"/>
  <cols>
    <col width="21.22" customWidth="1" style="110" min="1" max="1"/>
    <col width="20.66" customWidth="1" style="110" min="2" max="2"/>
    <col width="62" customWidth="1" style="110" min="3" max="3"/>
    <col width="15.78" customWidth="1" style="110" min="4" max="4"/>
    <col width="18.34" customWidth="1" style="110" min="5" max="5"/>
    <col width="16.56" customWidth="1" style="110" min="6" max="6"/>
    <col width="16" customWidth="1" style="110" min="7" max="7"/>
    <col width="12" customWidth="1" style="110" min="8" max="8"/>
  </cols>
  <sheetData>
    <row r="1" ht="14.25" customHeight="1" s="64">
      <c r="A1" s="110" t="inlineStr">
        <is>
          <t>CUSTOS MENSAIS — POR SETOR</t>
        </is>
      </c>
    </row>
    <row r="2" ht="14.25" customHeight="1" s="64">
      <c r="A2" s="68" t="inlineStr">
        <is>
      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      </is>
      </c>
    </row>
    <row r="3" ht="14.25" customHeight="1" s="64"/>
    <row r="4" ht="26.25" customHeight="1" s="64">
      <c r="A4" s="69" t="inlineStr">
        <is>
          <t>Setor</t>
        </is>
      </c>
      <c r="B4" s="69" t="inlineStr">
        <is>
          <t>Categoria</t>
        </is>
      </c>
      <c r="C4" s="69" t="inlineStr">
        <is>
          <t>Descrição do Custo</t>
        </is>
      </c>
      <c r="D4" s="69" t="inlineStr">
        <is>
          <t>Quantidade</t>
        </is>
      </c>
      <c r="E4" s="69" t="inlineStr">
        <is>
          <t>Valor Unitário</t>
        </is>
      </c>
      <c r="F4" s="69" t="inlineStr">
        <is>
          <t xml:space="preserve">Total do Mês </t>
        </is>
      </c>
      <c r="G4" s="69" t="inlineStr">
        <is>
          <t>Critério de Rateio</t>
        </is>
      </c>
      <c r="H4" s="69" t="inlineStr">
        <is>
          <t>Mês</t>
        </is>
      </c>
    </row>
    <row r="5" hidden="1" ht="14.25" customHeight="1" s="64">
      <c r="A5" s="106" t="inlineStr">
        <is>
          <t>Gestão de Atendimento</t>
        </is>
      </c>
      <c r="B5" s="106" t="inlineStr">
        <is>
          <t>Custo Fixo</t>
        </is>
      </c>
      <c r="C5" s="106" t="inlineStr">
        <is>
          <t>Material de escritório (suprimentos de informática)</t>
        </is>
      </c>
      <c r="D5" s="107" t="n"/>
      <c r="E5" s="108" t="n"/>
      <c r="F5" s="109" t="n">
        <v>0</v>
      </c>
      <c r="G5" s="106">
        <f>INDEX(SETORES!$B:$B,MATCH(A5,SETORES!$A:$A,0))</f>
        <v/>
      </c>
      <c r="H5" s="106" t="inlineStr">
        <is>
          <t>Maio/2026</t>
        </is>
      </c>
    </row>
    <row r="6" hidden="1" ht="14.25" customHeight="1" s="64">
      <c r="A6" s="101" t="inlineStr">
        <is>
          <t>Gestão de Atendimento</t>
        </is>
      </c>
      <c r="B6" s="101" t="inlineStr">
        <is>
          <t>Custo Fixo</t>
        </is>
      </c>
      <c r="C6" s="101" t="inlineStr">
        <is>
          <t>Material de uso coletivo (copa/limpeza)</t>
        </is>
      </c>
      <c r="D6" s="102" t="n">
        <v>1</v>
      </c>
      <c r="E6" s="103" t="n">
        <v>130.4</v>
      </c>
      <c r="F6" s="104" t="n">
        <v>130.4</v>
      </c>
      <c r="G6" s="101">
        <f>INDEX(SETORES!$B:$B,MATCH(A6,SETORES!$A:$A,0))</f>
        <v/>
      </c>
      <c r="H6" s="101" t="inlineStr">
        <is>
          <t>Maio/2026</t>
        </is>
      </c>
    </row>
    <row r="7" hidden="1" ht="14.25" customHeight="1" s="64">
      <c r="A7" s="106" t="inlineStr">
        <is>
          <t>Gestão de Atendimento</t>
        </is>
      </c>
      <c r="B7" s="106" t="inlineStr">
        <is>
          <t>Custo Fixo</t>
        </is>
      </c>
      <c r="C7" s="106" t="inlineStr">
        <is>
          <t>Energia elétrica (rateio)</t>
        </is>
      </c>
      <c r="D7" s="107" t="n">
        <v>1</v>
      </c>
      <c r="E7" s="108" t="n">
        <v>42.554</v>
      </c>
      <c r="F7" s="109" t="n">
        <v>42.554</v>
      </c>
      <c r="G7" s="106">
        <f>INDEX(SETORES!$B:$B,MATCH(A7,SETORES!$A:$A,0))</f>
        <v/>
      </c>
      <c r="H7" s="106" t="inlineStr">
        <is>
          <t>Maio/2026</t>
        </is>
      </c>
    </row>
    <row r="8" hidden="1" ht="14.25" customHeight="1" s="64">
      <c r="A8" s="101" t="inlineStr">
        <is>
          <t>Gestão de Atendimento</t>
        </is>
      </c>
      <c r="B8" s="101" t="inlineStr">
        <is>
          <t>Custo Fixo</t>
        </is>
      </c>
      <c r="C8" s="101" t="inlineStr">
        <is>
          <t>Água e esgoto (rateio)</t>
        </is>
      </c>
      <c r="D8" s="102" t="n">
        <v>1</v>
      </c>
      <c r="E8" s="103" t="n">
        <v>0</v>
      </c>
      <c r="F8" s="104" t="n">
        <v>0</v>
      </c>
      <c r="G8" s="101">
        <f>INDEX(SETORES!$B:$B,MATCH(A8,SETORES!$A:$A,0))</f>
        <v/>
      </c>
      <c r="H8" s="101" t="inlineStr">
        <is>
          <t>Maio/2026</t>
        </is>
      </c>
    </row>
    <row r="9" hidden="1" ht="14.25" customHeight="1" s="64">
      <c r="A9" s="106" t="inlineStr">
        <is>
          <t>Gestão de Atendimento</t>
        </is>
      </c>
      <c r="B9" s="106" t="inlineStr">
        <is>
          <t>Custo Fixo</t>
        </is>
      </c>
      <c r="C9" s="106" t="inlineStr">
        <is>
          <t>Telefonia móvel corporativa</t>
        </is>
      </c>
      <c r="D9" s="107" t="n"/>
      <c r="E9" s="108" t="n"/>
      <c r="F9" s="109">
        <f>IFERROR(D9*E9,0)</f>
        <v/>
      </c>
      <c r="G9" s="106">
        <f>INDEX(SETORES!$B:$B,MATCH(A9,SETORES!$A:$A,0))</f>
        <v/>
      </c>
      <c r="H9" s="106" t="inlineStr">
        <is>
          <t>Maio/2026</t>
        </is>
      </c>
    </row>
    <row r="10" hidden="1" ht="14.25" customHeight="1" s="64">
      <c r="A10" s="101" t="inlineStr">
        <is>
          <t>Gestão de Atendimento</t>
        </is>
      </c>
      <c r="B10" s="101" t="inlineStr">
        <is>
          <t>Custo Fixo</t>
        </is>
      </c>
      <c r="C10" s="101" t="inlineStr">
        <is>
          <t>Folha de pagamento (salários)</t>
        </is>
      </c>
      <c r="D10" s="102" t="n">
        <v>1</v>
      </c>
      <c r="E10" s="103" t="n">
        <v>15762.09</v>
      </c>
      <c r="F10" s="104">
        <f>IFERROR(E10,0)</f>
        <v/>
      </c>
      <c r="G10" s="101">
        <f>INDEX(SETORES!$B:$B,MATCH(A10,SETORES!$A:$A,0))</f>
        <v/>
      </c>
      <c r="H10" s="101" t="inlineStr">
        <is>
          <t>Maio/2026</t>
        </is>
      </c>
    </row>
    <row r="11" hidden="1" ht="14.25" customHeight="1" s="64">
      <c r="A11" s="106" t="inlineStr">
        <is>
          <t>Gestão de Atendimento</t>
        </is>
      </c>
      <c r="B11" s="106" t="inlineStr">
        <is>
          <t>Custo Variável</t>
        </is>
      </c>
      <c r="C11" s="106" t="inlineStr">
        <is>
          <t>Fardamento novo</t>
        </is>
      </c>
      <c r="D11" s="107" t="n">
        <v>1</v>
      </c>
      <c r="E11" s="108" t="n">
        <v>174</v>
      </c>
      <c r="F11" s="109">
        <f>IFERROR(D11*E11,0)</f>
        <v/>
      </c>
      <c r="G11" s="106">
        <f>INDEX(SETORES!$B:$B,MATCH(A11,SETORES!$A:$A,0))</f>
        <v/>
      </c>
      <c r="H11" s="106" t="inlineStr">
        <is>
          <t>Maio/2026</t>
        </is>
      </c>
    </row>
    <row r="12" hidden="1" ht="14.25" customHeight="1" s="64">
      <c r="A12" s="101" t="inlineStr">
        <is>
          <t>Gestão de Atendimento</t>
        </is>
      </c>
      <c r="B12" s="101" t="inlineStr">
        <is>
          <t>Custo Variável</t>
        </is>
      </c>
      <c r="C12" s="101" t="inlineStr">
        <is>
          <t>Fardamento substituição</t>
        </is>
      </c>
      <c r="D12" s="102" t="n">
        <v>1</v>
      </c>
      <c r="E12" s="103" t="n">
        <v>38</v>
      </c>
      <c r="F12" s="104">
        <f>IFERROR(D12*E12,0)</f>
        <v/>
      </c>
      <c r="G12" s="101">
        <f>INDEX(SETORES!$B:$B,MATCH(A12,SETORES!$A:$A,0))</f>
        <v/>
      </c>
      <c r="H12" s="101" t="inlineStr">
        <is>
          <t>Maio/2026</t>
        </is>
      </c>
    </row>
    <row r="13" hidden="1" ht="14.25" customHeight="1" s="64">
      <c r="A13" s="106" t="inlineStr">
        <is>
          <t>Gestão de Atendimento</t>
        </is>
      </c>
      <c r="B13" s="106" t="inlineStr">
        <is>
          <t>Custo Variável</t>
        </is>
      </c>
      <c r="C13" s="106" t="inlineStr">
        <is>
          <t>Exames médicos</t>
        </is>
      </c>
      <c r="D13" s="107" t="n"/>
      <c r="E13" s="108" t="n"/>
      <c r="F13" s="109">
        <f>IFERROR(D13*E13,0)</f>
        <v/>
      </c>
      <c r="G13" s="106">
        <f>INDEX(SETORES!$B:$B,MATCH(A13,SETORES!$A:$A,0))</f>
        <v/>
      </c>
      <c r="H13" s="106" t="inlineStr">
        <is>
          <t>Maio/2026</t>
        </is>
      </c>
    </row>
    <row r="14" hidden="1" ht="14.25" customHeight="1" s="64">
      <c r="A14" s="101" t="inlineStr">
        <is>
          <t>Gestão de Atendimento</t>
        </is>
      </c>
      <c r="B14" s="101" t="inlineStr">
        <is>
          <t>Custo Fixo</t>
        </is>
      </c>
      <c r="C14" s="101" t="inlineStr">
        <is>
          <t>Licença de e-mail corporativo</t>
        </is>
      </c>
      <c r="D14" s="102" t="n">
        <v>8</v>
      </c>
      <c r="E14" s="103" t="n">
        <v>50</v>
      </c>
      <c r="F14" s="104">
        <f>IFERROR(D14*E14,0)</f>
        <v/>
      </c>
      <c r="G14" s="101">
        <f>INDEX(SETORES!$B:$B,MATCH(A14,SETORES!$A:$A,0))</f>
        <v/>
      </c>
      <c r="H14" s="101" t="inlineStr">
        <is>
          <t>Maio/2026</t>
        </is>
      </c>
    </row>
    <row r="15" hidden="1" ht="14.25" customHeight="1" s="64">
      <c r="A15" s="106" t="inlineStr">
        <is>
          <t>Gestão de Atendimento</t>
        </is>
      </c>
      <c r="B15" s="106" t="inlineStr">
        <is>
          <t>Custo Fixo</t>
        </is>
      </c>
      <c r="C15" s="106" t="inlineStr">
        <is>
          <t>Gympass</t>
        </is>
      </c>
      <c r="D15" s="107" t="n">
        <v>5</v>
      </c>
      <c r="E15" s="108" t="n">
        <v>10.05</v>
      </c>
      <c r="F15" s="109">
        <f>IFERROR(D15*E15,0)</f>
        <v/>
      </c>
      <c r="G15" s="106">
        <f>INDEX(SETORES!$B:$B,MATCH(A15,SETORES!$A:$A,0))</f>
        <v/>
      </c>
      <c r="H15" s="106" t="inlineStr">
        <is>
          <t>Maio/2026</t>
        </is>
      </c>
    </row>
    <row r="16" hidden="1" ht="14.25" customHeight="1" s="64">
      <c r="A16" s="101" t="inlineStr">
        <is>
          <t>Gestão de Atendimento</t>
        </is>
      </c>
      <c r="B16" s="101" t="inlineStr">
        <is>
          <t>Custo Fixo</t>
        </is>
      </c>
      <c r="C16" s="101" t="inlineStr">
        <is>
          <t>Stargrid</t>
        </is>
      </c>
      <c r="D16" s="102" t="n">
        <v>5</v>
      </c>
      <c r="E16" s="103" t="n">
        <v>2.07</v>
      </c>
      <c r="F16" s="104">
        <f>IFERROR(D16*E16,0)</f>
        <v/>
      </c>
      <c r="G16" s="101">
        <f>INDEX(SETORES!$B:$B,MATCH(A16,SETORES!$A:$A,0))</f>
        <v/>
      </c>
      <c r="H16" s="101" t="inlineStr">
        <is>
          <t>Maio/2026</t>
        </is>
      </c>
    </row>
    <row r="17" hidden="1" ht="14.25" customHeight="1" s="64">
      <c r="A17" s="106" t="inlineStr">
        <is>
          <t>Gestão de Atendimento</t>
        </is>
      </c>
      <c r="B17" s="106" t="inlineStr">
        <is>
          <t>Custo Fixo</t>
        </is>
      </c>
      <c r="C17" s="106" t="inlineStr">
        <is>
          <t>Despesas com SST</t>
        </is>
      </c>
      <c r="D17" s="107" t="n">
        <v>5</v>
      </c>
      <c r="E17" s="108" t="n">
        <v>64.56999999999999</v>
      </c>
      <c r="F17" s="109">
        <f>IFERROR(D17*E17,0)</f>
        <v/>
      </c>
      <c r="G17" s="106">
        <f>INDEX(SETORES!$B:$B,MATCH(A17,SETORES!$A:$A,0))</f>
        <v/>
      </c>
      <c r="H17" s="106" t="inlineStr">
        <is>
          <t>Maio/2026</t>
        </is>
      </c>
    </row>
    <row r="18" hidden="1" ht="14.25" customHeight="1" s="64">
      <c r="A18" s="101" t="inlineStr">
        <is>
          <t>Gestão de Atendimento</t>
        </is>
      </c>
      <c r="B18" s="101" t="inlineStr">
        <is>
          <t>Custo Fixo</t>
        </is>
      </c>
      <c r="C18" s="101" t="inlineStr">
        <is>
          <t>Despesas com RH</t>
        </is>
      </c>
      <c r="D18" s="102" t="n">
        <v>5</v>
      </c>
      <c r="E18" s="103" t="n">
        <v>28.31</v>
      </c>
      <c r="F18" s="104">
        <f>IFERROR(D18*E18,0)</f>
        <v/>
      </c>
      <c r="G18" s="101">
        <f>INDEX(SETORES!$B:$B,MATCH(A18,SETORES!$A:$A,0))</f>
        <v/>
      </c>
      <c r="H18" s="101" t="inlineStr">
        <is>
          <t>Maio/2026</t>
        </is>
      </c>
    </row>
    <row r="19" hidden="1" ht="14.25" customHeight="1" s="64">
      <c r="A19" s="106" t="inlineStr">
        <is>
          <t>Gestão de Atendimento</t>
        </is>
      </c>
      <c r="B19" s="106" t="inlineStr">
        <is>
          <t>Custo Fixo</t>
        </is>
      </c>
      <c r="C19" s="106" t="inlineStr">
        <is>
          <t>Despesas com DP</t>
        </is>
      </c>
      <c r="D19" s="107" t="n">
        <v>5</v>
      </c>
      <c r="E19" s="108" t="n">
        <v>47.79</v>
      </c>
      <c r="F19" s="109">
        <f>IFERROR(D19*E19,0)</f>
        <v/>
      </c>
      <c r="G19" s="106">
        <f>INDEX(SETORES!$B:$B,MATCH(A19,SETORES!$A:$A,0))</f>
        <v/>
      </c>
      <c r="H19" s="106" t="inlineStr">
        <is>
          <t>Maio/2026</t>
        </is>
      </c>
    </row>
    <row r="20" hidden="1" ht="14.25" customHeight="1" s="64">
      <c r="A20" s="101" t="inlineStr">
        <is>
          <t>NOC</t>
        </is>
      </c>
      <c r="B20" s="101" t="inlineStr">
        <is>
          <t>Custo Fixo</t>
        </is>
      </c>
      <c r="C20" s="101" t="inlineStr">
        <is>
          <t>Licenças de software/sistemas corporativos (NOC)</t>
        </is>
      </c>
      <c r="D20" s="102" t="n"/>
      <c r="E20" s="103" t="n"/>
      <c r="F20" s="104">
        <f>IFERROR(D20*E20,0)</f>
        <v/>
      </c>
      <c r="G20" s="101">
        <f>INDEX(SETORES!$B:$B,MATCH(A20,SETORES!$A:$A,0))</f>
        <v/>
      </c>
      <c r="H20" s="101" t="inlineStr">
        <is>
          <t>Maio/2026</t>
        </is>
      </c>
    </row>
    <row r="21" hidden="1" ht="14.25" customHeight="1" s="64">
      <c r="A21" s="106" t="inlineStr">
        <is>
          <t>Financeiro</t>
        </is>
      </c>
      <c r="B21" s="106" t="inlineStr">
        <is>
          <t>Custo Fixo</t>
        </is>
      </c>
      <c r="C21" s="106" t="inlineStr">
        <is>
          <t>Plataforma do aplicativo Vexpenses</t>
        </is>
      </c>
      <c r="D21" s="107" t="n">
        <v>1</v>
      </c>
      <c r="E21" s="108" t="n">
        <v>1614.4</v>
      </c>
      <c r="F21" s="109">
        <f>IFERROR(D21*E21,0)</f>
        <v/>
      </c>
      <c r="G21" s="106">
        <f>INDEX(SETORES!$B:$B,MATCH(A21,SETORES!$A:$A,0))</f>
        <v/>
      </c>
      <c r="H21" s="106" t="inlineStr">
        <is>
          <t>Maio/2026</t>
        </is>
      </c>
    </row>
    <row r="22" hidden="1" ht="14.25" customHeight="1" s="64">
      <c r="A22" s="101" t="inlineStr">
        <is>
          <t>RH</t>
        </is>
      </c>
      <c r="B22" s="101" t="inlineStr">
        <is>
          <t>Custo Fixo</t>
        </is>
      </c>
      <c r="C22" s="101" t="inlineStr">
        <is>
          <t>Plataforma de comunicação interna (Useflow) (RH)</t>
        </is>
      </c>
      <c r="D22" s="102" t="n">
        <v>1</v>
      </c>
      <c r="E22" s="103" t="n">
        <v>2000</v>
      </c>
      <c r="F22" s="104">
        <f>IFERROR(D22*E22,0)</f>
        <v/>
      </c>
      <c r="G22" s="101">
        <f>INDEX(SETORES!$B:$B,MATCH(A22,SETORES!$A:$A,0))</f>
        <v/>
      </c>
      <c r="H22" s="101" t="inlineStr">
        <is>
          <t>Maio/2026</t>
        </is>
      </c>
    </row>
    <row r="23" hidden="1" ht="14.25" customHeight="1" s="64">
      <c r="A23" s="106" t="inlineStr">
        <is>
          <t>RH</t>
        </is>
      </c>
      <c r="B23" s="106" t="inlineStr">
        <is>
          <t>Custo Fixo</t>
        </is>
      </c>
      <c r="C23" s="106" t="inlineStr">
        <is>
          <t>Software exclusivo fiberschool (RH)</t>
        </is>
      </c>
      <c r="D23" s="107" t="n">
        <v>1</v>
      </c>
      <c r="E23" s="108" t="n">
        <v>2500</v>
      </c>
      <c r="F23" s="109">
        <f>IFERROR(D23*E23,0)</f>
        <v/>
      </c>
      <c r="G23" s="106">
        <f>INDEX(SETORES!$B:$B,MATCH(A23,SETORES!$A:$A,0))</f>
        <v/>
      </c>
      <c r="H23" s="106" t="inlineStr">
        <is>
          <t>Maio/2026</t>
        </is>
      </c>
    </row>
    <row r="24" hidden="1" ht="14.25" customHeight="1" s="64">
      <c r="A24" s="101" t="inlineStr">
        <is>
          <t>RH</t>
        </is>
      </c>
      <c r="B24" s="101" t="inlineStr">
        <is>
          <t>Custo Fixo</t>
        </is>
      </c>
      <c r="C24" s="101" t="inlineStr">
        <is>
          <t>Software RH1000 (RH)</t>
        </is>
      </c>
      <c r="D24" s="102" t="n">
        <v>1</v>
      </c>
      <c r="E24" s="103" t="n">
        <v>2612.9</v>
      </c>
      <c r="F24" s="104">
        <f>IFERROR(D24*E24,0)</f>
        <v/>
      </c>
      <c r="G24" s="101">
        <f>INDEX(SETORES!$B:$B,MATCH(A24,SETORES!$A:$A,0))</f>
        <v/>
      </c>
      <c r="H24" s="101" t="inlineStr">
        <is>
          <t>Maio/2026</t>
        </is>
      </c>
    </row>
    <row r="25" hidden="1" ht="14.25" customHeight="1" s="64">
      <c r="A25" s="106" t="inlineStr">
        <is>
          <t>DP</t>
        </is>
      </c>
      <c r="B25" s="106" t="inlineStr">
        <is>
          <t>Custo Fixo</t>
        </is>
      </c>
      <c r="C25" s="106" t="inlineStr">
        <is>
          <t>Licenças de software/sistemas corporativos (DP)</t>
        </is>
      </c>
      <c r="D25" s="107" t="n">
        <v>1</v>
      </c>
      <c r="E25" s="108" t="n">
        <v>2559.44</v>
      </c>
      <c r="F25" s="109">
        <f>IFERROR(D25*E25,0)</f>
        <v/>
      </c>
      <c r="G25" s="106">
        <f>INDEX(SETORES!$B:$B,MATCH(A25,SETORES!$A:$A,0))</f>
        <v/>
      </c>
      <c r="H25" s="106" t="inlineStr">
        <is>
          <t>Maio/2026</t>
        </is>
      </c>
    </row>
    <row r="26" hidden="1" ht="14.25" customHeight="1" s="64">
      <c r="A26" s="101" t="inlineStr">
        <is>
          <t>DP</t>
        </is>
      </c>
      <c r="B26" s="101" t="inlineStr">
        <is>
          <t>Custo Fixo</t>
        </is>
      </c>
      <c r="C26" s="101" t="inlineStr">
        <is>
          <t>Sistema de ponto eletrônico (DP)</t>
        </is>
      </c>
      <c r="D26" s="102" t="n">
        <v>1</v>
      </c>
      <c r="E26" s="103" t="n">
        <v>4226.8</v>
      </c>
      <c r="F26" s="104">
        <f>IFERROR(D26*E26,0)</f>
        <v/>
      </c>
      <c r="G26" s="101">
        <f>INDEX(SETORES!$B:$B,MATCH(A26,SETORES!$A:$A,0))</f>
        <v/>
      </c>
      <c r="H26" s="101" t="inlineStr">
        <is>
          <t>Maio/2026</t>
        </is>
      </c>
    </row>
    <row r="27" hidden="1" ht="14.25" customHeight="1" s="64">
      <c r="A27" s="106" t="inlineStr">
        <is>
          <t>DP</t>
        </is>
      </c>
      <c r="B27" s="106" t="inlineStr">
        <is>
          <t>Custo Fixo</t>
        </is>
      </c>
      <c r="C27" s="106" t="inlineStr">
        <is>
          <t>Software exclusivo B2D (Arquivar) (DP)</t>
        </is>
      </c>
      <c r="D27" s="107" t="n">
        <v>1</v>
      </c>
      <c r="E27" s="108" t="n">
        <v>837.0599999999999</v>
      </c>
      <c r="F27" s="109">
        <f>IFERROR(D27*E27,0)</f>
        <v/>
      </c>
      <c r="G27" s="106">
        <f>INDEX(SETORES!$B:$B,MATCH(A27,SETORES!$A:$A,0))</f>
        <v/>
      </c>
      <c r="H27" s="106" t="inlineStr">
        <is>
          <t>Maio/2026</t>
        </is>
      </c>
    </row>
    <row r="28" hidden="1" ht="14.25" customHeight="1" s="64">
      <c r="A28" s="101" t="inlineStr">
        <is>
          <t>DP</t>
        </is>
      </c>
      <c r="B28" s="101" t="inlineStr">
        <is>
          <t>Custo Fixo</t>
        </is>
      </c>
      <c r="C28" s="101" t="inlineStr">
        <is>
          <t>Software Dominio portal do empregado (DP)</t>
        </is>
      </c>
      <c r="D28" s="102" t="n">
        <v>1</v>
      </c>
      <c r="E28" s="103" t="n">
        <v>3714.01</v>
      </c>
      <c r="F28" s="104">
        <f>IFERROR(D28*E28,0)</f>
        <v/>
      </c>
      <c r="G28" s="101">
        <f>INDEX(SETORES!$B:$B,MATCH(A28,SETORES!$A:$A,0))</f>
        <v/>
      </c>
      <c r="H28" s="101" t="inlineStr">
        <is>
          <t>Maio/2026</t>
        </is>
      </c>
    </row>
    <row r="29" hidden="1" ht="14.25" customHeight="1" s="64">
      <c r="A29" s="106" t="inlineStr">
        <is>
          <t>Contabilidade</t>
        </is>
      </c>
      <c r="B29" s="106" t="inlineStr">
        <is>
          <t>Custo Fixo</t>
        </is>
      </c>
      <c r="C29" s="106" t="inlineStr">
        <is>
          <t>Licenças de software/sistemas corporativos (Contabilidade)</t>
        </is>
      </c>
      <c r="D29" s="107" t="n">
        <v>1</v>
      </c>
      <c r="E29" s="108" t="n">
        <v>2559.45</v>
      </c>
      <c r="F29" s="109">
        <f>IFERROR(D29*E29,0)</f>
        <v/>
      </c>
      <c r="G29" s="106">
        <f>INDEX(SETORES!$B:$B,MATCH(A29,SETORES!$A:$A,0))</f>
        <v/>
      </c>
      <c r="H29" s="106" t="inlineStr">
        <is>
          <t>Maio/2026</t>
        </is>
      </c>
    </row>
    <row r="30" hidden="1" ht="14.25" customHeight="1" s="64">
      <c r="A30" s="101" t="inlineStr">
        <is>
          <t>Contabilidade</t>
        </is>
      </c>
      <c r="B30" s="101" t="inlineStr">
        <is>
          <t>Custo Fixo</t>
        </is>
      </c>
      <c r="C30" s="101" t="inlineStr">
        <is>
          <t>Sistema de emissão de notas fiscais (Contabilidade)</t>
        </is>
      </c>
      <c r="D30" s="102" t="n"/>
      <c r="E30" s="103" t="n"/>
      <c r="F30" s="104">
        <f>IFERROR(D30*E30,0)</f>
        <v/>
      </c>
      <c r="G30" s="101">
        <f>INDEX(SETORES!$B:$B,MATCH(A30,SETORES!$A:$A,0))</f>
        <v/>
      </c>
      <c r="H30" s="101" t="inlineStr">
        <is>
          <t>Maio/2026</t>
        </is>
      </c>
    </row>
    <row r="31" hidden="1" ht="14.25" customHeight="1" s="64">
      <c r="A31" s="106" t="inlineStr">
        <is>
          <t>Engenharia</t>
        </is>
      </c>
      <c r="B31" s="106" t="inlineStr">
        <is>
          <t>Custo Fixo</t>
        </is>
      </c>
      <c r="C31" s="106" t="inlineStr">
        <is>
          <t>Licenças de software/sistemas corporativos (Engenharia)</t>
        </is>
      </c>
      <c r="D31" s="107" t="n">
        <v>1</v>
      </c>
      <c r="E31" s="108" t="n">
        <v>666.2</v>
      </c>
      <c r="F31" s="109">
        <f>IFERROR(D31*E31,0)</f>
        <v/>
      </c>
      <c r="G31" s="106">
        <f>INDEX(SETORES!$B:$B,MATCH(A31,SETORES!$A:$A,0))</f>
        <v/>
      </c>
      <c r="H31" s="106" t="inlineStr">
        <is>
          <t>Maio/2026</t>
        </is>
      </c>
    </row>
    <row r="32" hidden="1" ht="14.25" customHeight="1" s="64">
      <c r="A32" s="101" t="inlineStr">
        <is>
          <t>Engenharia</t>
        </is>
      </c>
      <c r="B32" s="101" t="inlineStr">
        <is>
          <t>Custo Fixo</t>
        </is>
      </c>
      <c r="C32" s="101" t="inlineStr">
        <is>
          <t>Software ronda sistema eletrônico (Engenharia)</t>
        </is>
      </c>
      <c r="D32" s="102" t="n">
        <v>1</v>
      </c>
      <c r="E32" s="103" t="n">
        <v>470</v>
      </c>
      <c r="F32" s="104">
        <f>IFERROR(D32*E32,0)</f>
        <v/>
      </c>
      <c r="G32" s="101">
        <f>INDEX(SETORES!$B:$B,MATCH(A32,SETORES!$A:$A,0))</f>
        <v/>
      </c>
      <c r="H32" s="101" t="inlineStr">
        <is>
          <t>Maio/2026</t>
        </is>
      </c>
    </row>
    <row r="33" ht="14.25" customHeight="1" s="64">
      <c r="A33" s="106" t="inlineStr">
        <is>
          <t>Administrativo</t>
        </is>
      </c>
      <c r="B33" s="106" t="inlineStr">
        <is>
          <t>Custo Fixo</t>
        </is>
      </c>
      <c r="C33" s="106" t="inlineStr">
        <is>
          <t>Sistema de assinatura eletronica (autentique) (TIC)</t>
        </is>
      </c>
      <c r="D33" s="107" t="n">
        <v>1</v>
      </c>
      <c r="E33" s="108" t="n">
        <v>99</v>
      </c>
      <c r="F33" s="109">
        <f>IFERROR(D33*E33,0)</f>
        <v/>
      </c>
      <c r="G33" s="106">
        <f>INDEX(SETORES!$B:$B,MATCH(A33,SETORES!$A:$A,0))</f>
        <v/>
      </c>
      <c r="H33" s="106" t="inlineStr">
        <is>
          <t>Maio/2026</t>
        </is>
      </c>
    </row>
    <row r="34" hidden="1" ht="14.25" customHeight="1" s="64">
      <c r="A34" s="101" t="inlineStr">
        <is>
          <t>Logística</t>
        </is>
      </c>
      <c r="B34" s="101" t="inlineStr">
        <is>
          <t>Custo Fixo</t>
        </is>
      </c>
      <c r="C34" s="101" t="inlineStr">
        <is>
          <t>Software Full time (Logística)</t>
        </is>
      </c>
      <c r="D34" s="102" t="n">
        <v>1</v>
      </c>
      <c r="E34" s="103" t="n">
        <v>2534</v>
      </c>
      <c r="F34" s="104">
        <f>IFERROR(D34*E34,0)</f>
        <v/>
      </c>
      <c r="G34" s="101">
        <f>INDEX(SETORES!$B:$B,MATCH(A34,SETORES!$A:$A,0))</f>
        <v/>
      </c>
      <c r="H34" s="101" t="inlineStr">
        <is>
          <t>Maio/2026</t>
        </is>
      </c>
    </row>
    <row r="35" hidden="1" ht="14.25" customHeight="1" s="64">
      <c r="A35" s="106" t="inlineStr">
        <is>
          <t>CAC</t>
        </is>
      </c>
      <c r="B35" s="106" t="inlineStr">
        <is>
          <t>Custo Fixo</t>
        </is>
      </c>
      <c r="C35" s="106" t="inlineStr">
        <is>
          <t>Material de escritório (suprimentos de informática)</t>
        </is>
      </c>
      <c r="D35" s="107" t="n"/>
      <c r="E35" s="108" t="n"/>
      <c r="F35" s="109" t="n">
        <v>0</v>
      </c>
      <c r="G35" s="106">
        <f>INDEX(SETORES!$B:$B,MATCH(A35,SETORES!$A:$A,0))</f>
        <v/>
      </c>
      <c r="H35" s="106" t="inlineStr">
        <is>
          <t>Maio/2026</t>
        </is>
      </c>
    </row>
    <row r="36" hidden="1" ht="14.25" customHeight="1" s="64">
      <c r="A36" s="101" t="inlineStr">
        <is>
          <t>CAC</t>
        </is>
      </c>
      <c r="B36" s="101" t="inlineStr">
        <is>
          <t>Custo Fixo</t>
        </is>
      </c>
      <c r="C36" s="101" t="inlineStr">
        <is>
          <t>Material de uso coletivo (copa/limpeza)</t>
        </is>
      </c>
      <c r="D36" s="102" t="n">
        <v>1</v>
      </c>
      <c r="E36" s="103" t="n">
        <v>65.2</v>
      </c>
      <c r="F36" s="104" t="n">
        <v>65.2</v>
      </c>
      <c r="G36" s="101">
        <f>INDEX(SETORES!$B:$B,MATCH(A36,SETORES!$A:$A,0))</f>
        <v/>
      </c>
      <c r="H36" s="101" t="inlineStr">
        <is>
          <t>Maio/2026</t>
        </is>
      </c>
    </row>
    <row r="37" hidden="1" ht="14.25" customHeight="1" s="64">
      <c r="A37" s="106" t="inlineStr">
        <is>
          <t>CAC</t>
        </is>
      </c>
      <c r="B37" s="106" t="inlineStr">
        <is>
          <t>Custo Fixo</t>
        </is>
      </c>
      <c r="C37" s="106" t="inlineStr">
        <is>
          <t>Energia elétrica (rateio)</t>
        </is>
      </c>
      <c r="D37" s="107" t="n">
        <v>1</v>
      </c>
      <c r="E37" s="108" t="n">
        <v>34.0432</v>
      </c>
      <c r="F37" s="109" t="n">
        <v>34.0432</v>
      </c>
      <c r="G37" s="106">
        <f>INDEX(SETORES!$B:$B,MATCH(A37,SETORES!$A:$A,0))</f>
        <v/>
      </c>
      <c r="H37" s="106" t="inlineStr">
        <is>
          <t>Maio/2026</t>
        </is>
      </c>
    </row>
    <row r="38" hidden="1" ht="14.25" customHeight="1" s="64">
      <c r="A38" s="101" t="inlineStr">
        <is>
          <t>CAC</t>
        </is>
      </c>
      <c r="B38" s="101" t="inlineStr">
        <is>
          <t>Custo Fixo</t>
        </is>
      </c>
      <c r="C38" s="101" t="inlineStr">
        <is>
          <t>Água e esgoto (rateio)</t>
        </is>
      </c>
      <c r="D38" s="102" t="n">
        <v>1</v>
      </c>
      <c r="E38" s="103" t="n">
        <v>0</v>
      </c>
      <c r="F38" s="104" t="n">
        <v>0</v>
      </c>
      <c r="G38" s="101">
        <f>INDEX(SETORES!$B:$B,MATCH(A38,SETORES!$A:$A,0))</f>
        <v/>
      </c>
      <c r="H38" s="101" t="inlineStr">
        <is>
          <t>Maio/2026</t>
        </is>
      </c>
    </row>
    <row r="39" hidden="1" ht="14.25" customHeight="1" s="64">
      <c r="A39" s="106" t="inlineStr">
        <is>
          <t>CAC</t>
        </is>
      </c>
      <c r="B39" s="106" t="inlineStr">
        <is>
          <t>Custo Fixo</t>
        </is>
      </c>
      <c r="C39" s="106" t="inlineStr">
        <is>
          <t>Telefonia móvel corporativa</t>
        </is>
      </c>
      <c r="D39" s="107" t="n"/>
      <c r="E39" s="108" t="n"/>
      <c r="F39" s="109">
        <f>IFERROR(D39*E39,0)</f>
        <v/>
      </c>
      <c r="G39" s="106">
        <f>INDEX(SETORES!$B:$B,MATCH(A39,SETORES!$A:$A,0))</f>
        <v/>
      </c>
      <c r="H39" s="106" t="inlineStr">
        <is>
          <t>Maio/2026</t>
        </is>
      </c>
    </row>
    <row r="40" hidden="1" ht="14.25" customHeight="1" s="64">
      <c r="A40" s="101" t="inlineStr">
        <is>
          <t>CAC</t>
        </is>
      </c>
      <c r="B40" s="101" t="inlineStr">
        <is>
          <t>Custo Fixo</t>
        </is>
      </c>
      <c r="C40" s="101" t="inlineStr">
        <is>
          <t>Folha de pagamento (salários)</t>
        </is>
      </c>
      <c r="D40" s="102" t="n">
        <v>1</v>
      </c>
      <c r="E40" s="103" t="n">
        <v>12057.21</v>
      </c>
      <c r="F40" s="104">
        <f>IFERROR(E40,0)</f>
        <v/>
      </c>
      <c r="G40" s="101">
        <f>INDEX(SETORES!$B:$B,MATCH(A40,SETORES!$A:$A,0))</f>
        <v/>
      </c>
      <c r="H40" s="101" t="inlineStr">
        <is>
          <t>Maio/2026</t>
        </is>
      </c>
    </row>
    <row r="41" hidden="1" ht="14.25" customHeight="1" s="64">
      <c r="A41" s="106" t="inlineStr">
        <is>
          <t>CAC</t>
        </is>
      </c>
      <c r="B41" s="106" t="inlineStr">
        <is>
          <t>Custo Variável</t>
        </is>
      </c>
      <c r="C41" s="106" t="inlineStr">
        <is>
          <t>Fardamento novo</t>
        </is>
      </c>
      <c r="D41" s="107" t="n">
        <v>1</v>
      </c>
      <c r="E41" s="108" t="n">
        <v>174</v>
      </c>
      <c r="F41" s="109">
        <f>IFERROR(D41*E41,0)</f>
        <v/>
      </c>
      <c r="G41" s="106">
        <f>INDEX(SETORES!$B:$B,MATCH(A41,SETORES!$A:$A,0))</f>
        <v/>
      </c>
      <c r="H41" s="106" t="inlineStr">
        <is>
          <t>Maio/2026</t>
        </is>
      </c>
    </row>
    <row r="42" hidden="1" ht="14.25" customHeight="1" s="64">
      <c r="A42" s="101" t="inlineStr">
        <is>
          <t>CAC</t>
        </is>
      </c>
      <c r="B42" s="101" t="inlineStr">
        <is>
          <t>Custo Variável</t>
        </is>
      </c>
      <c r="C42" s="101" t="inlineStr">
        <is>
          <t>Fardamento substituição</t>
        </is>
      </c>
      <c r="D42" s="102" t="n">
        <v>1</v>
      </c>
      <c r="E42" s="103" t="n">
        <v>38</v>
      </c>
      <c r="F42" s="104">
        <f>IFERROR(D42*E42,0)</f>
        <v/>
      </c>
      <c r="G42" s="101">
        <f>INDEX(SETORES!$B:$B,MATCH(A42,SETORES!$A:$A,0))</f>
        <v/>
      </c>
      <c r="H42" s="101" t="inlineStr">
        <is>
          <t>Maio/2026</t>
        </is>
      </c>
    </row>
    <row r="43" hidden="1" ht="14.25" customHeight="1" s="64">
      <c r="A43" s="106" t="inlineStr">
        <is>
          <t>CAC</t>
        </is>
      </c>
      <c r="B43" s="106" t="inlineStr">
        <is>
          <t>Custo Variável</t>
        </is>
      </c>
      <c r="C43" s="106" t="inlineStr">
        <is>
          <t>Exames médicos</t>
        </is>
      </c>
      <c r="D43" s="107" t="n">
        <v>1</v>
      </c>
      <c r="E43" s="108" t="n">
        <v>950</v>
      </c>
      <c r="F43" s="109">
        <f>IFERROR(D43*E43,0)</f>
        <v/>
      </c>
      <c r="G43" s="106">
        <f>INDEX(SETORES!$B:$B,MATCH(A43,SETORES!$A:$A,0))</f>
        <v/>
      </c>
      <c r="H43" s="106" t="inlineStr">
        <is>
          <t>Maio/2026</t>
        </is>
      </c>
    </row>
    <row r="44" hidden="1" ht="14.25" customHeight="1" s="64">
      <c r="A44" s="101" t="inlineStr">
        <is>
          <t>CAC</t>
        </is>
      </c>
      <c r="B44" s="101" t="inlineStr">
        <is>
          <t>Custo Fixo</t>
        </is>
      </c>
      <c r="C44" s="101" t="inlineStr">
        <is>
          <t>Licença de e-mail corporativo</t>
        </is>
      </c>
      <c r="D44" s="102" t="n">
        <v>3</v>
      </c>
      <c r="E44" s="103" t="n">
        <v>50</v>
      </c>
      <c r="F44" s="104">
        <f>IFERROR(D44*E44,0)</f>
        <v/>
      </c>
      <c r="G44" s="101">
        <f>INDEX(SETORES!$B:$B,MATCH(A44,SETORES!$A:$A,0))</f>
        <v/>
      </c>
      <c r="H44" s="101" t="inlineStr">
        <is>
          <t>Maio/2026</t>
        </is>
      </c>
    </row>
    <row r="45" hidden="1" ht="14.25" customHeight="1" s="64">
      <c r="A45" s="106" t="inlineStr">
        <is>
          <t>CAC</t>
        </is>
      </c>
      <c r="B45" s="106" t="inlineStr">
        <is>
          <t>Custo Fixo</t>
        </is>
      </c>
      <c r="C45" s="106" t="inlineStr">
        <is>
          <t>Gympass</t>
        </is>
      </c>
      <c r="D45" s="107" t="n">
        <v>4</v>
      </c>
      <c r="E45" s="108" t="n">
        <v>10.05</v>
      </c>
      <c r="F45" s="109">
        <f>IFERROR(D45*E45,0)</f>
        <v/>
      </c>
      <c r="G45" s="106">
        <f>INDEX(SETORES!$B:$B,MATCH(A45,SETORES!$A:$A,0))</f>
        <v/>
      </c>
      <c r="H45" s="106" t="inlineStr">
        <is>
          <t>Maio/2026</t>
        </is>
      </c>
    </row>
    <row r="46" hidden="1" ht="14.25" customHeight="1" s="64">
      <c r="A46" s="101" t="inlineStr">
        <is>
          <t>CAC</t>
        </is>
      </c>
      <c r="B46" s="101" t="inlineStr">
        <is>
          <t>Custo Fixo</t>
        </is>
      </c>
      <c r="C46" s="101" t="inlineStr">
        <is>
          <t>Stargrid</t>
        </is>
      </c>
      <c r="D46" s="102" t="n">
        <v>4</v>
      </c>
      <c r="E46" s="103" t="n">
        <v>2.07</v>
      </c>
      <c r="F46" s="104">
        <f>IFERROR(D46*E46,0)</f>
        <v/>
      </c>
      <c r="G46" s="101">
        <f>INDEX(SETORES!$B:$B,MATCH(A46,SETORES!$A:$A,0))</f>
        <v/>
      </c>
      <c r="H46" s="101" t="inlineStr">
        <is>
          <t>Maio/2026</t>
        </is>
      </c>
    </row>
    <row r="47" hidden="1" ht="14.25" customHeight="1" s="64">
      <c r="A47" s="106" t="inlineStr">
        <is>
          <t>CAC</t>
        </is>
      </c>
      <c r="B47" s="106" t="inlineStr">
        <is>
          <t>Custo Fixo</t>
        </is>
      </c>
      <c r="C47" s="106" t="inlineStr">
        <is>
          <t>Despesas com SST</t>
        </is>
      </c>
      <c r="D47" s="107" t="n">
        <v>4</v>
      </c>
      <c r="E47" s="108" t="n">
        <v>64.56999999999999</v>
      </c>
      <c r="F47" s="109">
        <f>IFERROR(D47*E47,0)</f>
        <v/>
      </c>
      <c r="G47" s="106">
        <f>INDEX(SETORES!$B:$B,MATCH(A47,SETORES!$A:$A,0))</f>
        <v/>
      </c>
      <c r="H47" s="106" t="inlineStr">
        <is>
          <t>Maio/2026</t>
        </is>
      </c>
    </row>
    <row r="48" hidden="1" ht="14.25" customHeight="1" s="64">
      <c r="A48" s="101" t="inlineStr">
        <is>
          <t>CAC</t>
        </is>
      </c>
      <c r="B48" s="101" t="inlineStr">
        <is>
          <t>Custo Fixo</t>
        </is>
      </c>
      <c r="C48" s="101" t="inlineStr">
        <is>
          <t>Despesas com RH</t>
        </is>
      </c>
      <c r="D48" s="102" t="n">
        <v>4</v>
      </c>
      <c r="E48" s="103" t="n">
        <v>28.31</v>
      </c>
      <c r="F48" s="104">
        <f>IFERROR(D48*E48,0)</f>
        <v/>
      </c>
      <c r="G48" s="101">
        <f>INDEX(SETORES!$B:$B,MATCH(A48,SETORES!$A:$A,0))</f>
        <v/>
      </c>
      <c r="H48" s="101" t="inlineStr">
        <is>
          <t>Maio/2026</t>
        </is>
      </c>
    </row>
    <row r="49" hidden="1" ht="14.25" customHeight="1" s="64">
      <c r="A49" s="106" t="inlineStr">
        <is>
          <t>CAC</t>
        </is>
      </c>
      <c r="B49" s="106" t="inlineStr">
        <is>
          <t>Custo Fixo</t>
        </is>
      </c>
      <c r="C49" s="106" t="inlineStr">
        <is>
          <t>Despesas com DP</t>
        </is>
      </c>
      <c r="D49" s="107" t="n">
        <v>4</v>
      </c>
      <c r="E49" s="108" t="n">
        <v>47.79</v>
      </c>
      <c r="F49" s="109">
        <f>IFERROR(D49*E49,0)</f>
        <v/>
      </c>
      <c r="G49" s="106">
        <f>INDEX(SETORES!$B:$B,MATCH(A49,SETORES!$A:$A,0))</f>
        <v/>
      </c>
      <c r="H49" s="106" t="inlineStr">
        <is>
          <t>Maio/2026</t>
        </is>
      </c>
    </row>
    <row r="50" hidden="1" ht="14.25" customHeight="1" s="64">
      <c r="A50" s="101" t="inlineStr">
        <is>
          <t>Cobrança</t>
        </is>
      </c>
      <c r="B50" s="101" t="inlineStr">
        <is>
          <t>Custo Fixo</t>
        </is>
      </c>
      <c r="C50" s="101" t="inlineStr">
        <is>
          <t>Material de escritório (suprimentos de informática)</t>
        </is>
      </c>
      <c r="D50" s="102" t="n">
        <v>12</v>
      </c>
      <c r="E50" s="103" t="n">
        <v>0.3648</v>
      </c>
      <c r="F50" s="104" t="n">
        <v>4.3776</v>
      </c>
      <c r="G50" s="101">
        <f>INDEX(SETORES!$B:$B,MATCH(A50,SETORES!$A:$A,0))</f>
        <v/>
      </c>
      <c r="H50" s="101" t="inlineStr">
        <is>
          <t>Maio/2026</t>
        </is>
      </c>
    </row>
    <row r="51" hidden="1" ht="14.25" customHeight="1" s="64">
      <c r="A51" s="106" t="inlineStr">
        <is>
          <t>Cobrança</t>
        </is>
      </c>
      <c r="B51" s="106" t="inlineStr">
        <is>
          <t>Custo Fixo</t>
        </is>
      </c>
      <c r="C51" s="106" t="inlineStr">
        <is>
          <t>Material de uso coletivo (copa/limpeza)</t>
        </is>
      </c>
      <c r="D51" s="107" t="n">
        <v>1</v>
      </c>
      <c r="E51" s="108" t="n">
        <v>339.577241</v>
      </c>
      <c r="F51" s="109" t="n">
        <v>339.577241</v>
      </c>
      <c r="G51" s="106">
        <f>INDEX(SETORES!$B:$B,MATCH(A51,SETORES!$A:$A,0))</f>
        <v/>
      </c>
      <c r="H51" s="106" t="inlineStr">
        <is>
          <t>Maio/2026</t>
        </is>
      </c>
    </row>
    <row r="52" hidden="1" ht="14.25" customHeight="1" s="64">
      <c r="A52" s="101" t="inlineStr">
        <is>
          <t>Cobrança</t>
        </is>
      </c>
      <c r="B52" s="101" t="inlineStr">
        <is>
          <t>Custo Fixo</t>
        </is>
      </c>
      <c r="C52" s="101" t="inlineStr">
        <is>
          <t>Energia elétrica (rateio)</t>
        </is>
      </c>
      <c r="D52" s="102" t="n">
        <v>1</v>
      </c>
      <c r="E52" s="103" t="n">
        <v>102.1295</v>
      </c>
      <c r="F52" s="104" t="n">
        <v>102.1295</v>
      </c>
      <c r="G52" s="101">
        <f>INDEX(SETORES!$B:$B,MATCH(A52,SETORES!$A:$A,0))</f>
        <v/>
      </c>
      <c r="H52" s="101" t="inlineStr">
        <is>
          <t>Maio/2026</t>
        </is>
      </c>
    </row>
    <row r="53" hidden="1" ht="14.25" customHeight="1" s="64">
      <c r="A53" s="106" t="inlineStr">
        <is>
          <t>Cobrança</t>
        </is>
      </c>
      <c r="B53" s="106" t="inlineStr">
        <is>
          <t>Custo Fixo</t>
        </is>
      </c>
      <c r="C53" s="106" t="inlineStr">
        <is>
          <t>Água e esgoto (rateio)</t>
        </is>
      </c>
      <c r="D53" s="107" t="n">
        <v>1</v>
      </c>
      <c r="E53" s="108" t="n">
        <v>0</v>
      </c>
      <c r="F53" s="109" t="n">
        <v>0</v>
      </c>
      <c r="G53" s="106">
        <f>INDEX(SETORES!$B:$B,MATCH(A53,SETORES!$A:$A,0))</f>
        <v/>
      </c>
      <c r="H53" s="106" t="inlineStr">
        <is>
          <t>Maio/2026</t>
        </is>
      </c>
    </row>
    <row r="54" hidden="1" ht="14.25" customHeight="1" s="64">
      <c r="A54" s="101" t="inlineStr">
        <is>
          <t>Cobrança</t>
        </is>
      </c>
      <c r="B54" s="101" t="inlineStr">
        <is>
          <t>Custo Fixo</t>
        </is>
      </c>
      <c r="C54" s="101" t="inlineStr">
        <is>
          <t>Telefonia móvel corporativa</t>
        </is>
      </c>
      <c r="D54" s="102" t="n"/>
      <c r="E54" s="103" t="n"/>
      <c r="F54" s="104">
        <f>IFERROR(D54*E54,0)</f>
        <v/>
      </c>
      <c r="G54" s="101">
        <f>INDEX(SETORES!$B:$B,MATCH(A54,SETORES!$A:$A,0))</f>
        <v/>
      </c>
      <c r="H54" s="101" t="inlineStr">
        <is>
          <t>Maio/2026</t>
        </is>
      </c>
    </row>
    <row r="55" hidden="1" ht="14.25" customHeight="1" s="64">
      <c r="A55" s="106" t="inlineStr">
        <is>
          <t>Cobrança</t>
        </is>
      </c>
      <c r="B55" s="106" t="inlineStr">
        <is>
          <t>Custo Fixo</t>
        </is>
      </c>
      <c r="C55" s="106" t="inlineStr">
        <is>
          <t>Folha de pagamento (salários)</t>
        </is>
      </c>
      <c r="D55" s="107" t="n">
        <v>1</v>
      </c>
      <c r="E55" s="108" t="n">
        <v>35259.81</v>
      </c>
      <c r="F55" s="109">
        <f>IFERROR(E55,0)</f>
        <v/>
      </c>
      <c r="G55" s="106">
        <f>INDEX(SETORES!$B:$B,MATCH(A55,SETORES!$A:$A,0))</f>
        <v/>
      </c>
      <c r="H55" s="106" t="inlineStr">
        <is>
          <t>Maio/2026</t>
        </is>
      </c>
    </row>
    <row r="56" hidden="1" ht="14.25" customHeight="1" s="64">
      <c r="A56" s="101" t="inlineStr">
        <is>
          <t>Cobrança</t>
        </is>
      </c>
      <c r="B56" s="101" t="inlineStr">
        <is>
          <t>Custo Variável</t>
        </is>
      </c>
      <c r="C56" s="101" t="inlineStr">
        <is>
          <t>Fardamento novo</t>
        </is>
      </c>
      <c r="D56" s="102" t="n">
        <v>1</v>
      </c>
      <c r="E56" s="103" t="n">
        <v>340</v>
      </c>
      <c r="F56" s="104">
        <f>IFERROR(D56*E56,0)</f>
        <v/>
      </c>
      <c r="G56" s="101">
        <f>INDEX(SETORES!$B:$B,MATCH(A56,SETORES!$A:$A,0))</f>
        <v/>
      </c>
      <c r="H56" s="101" t="inlineStr">
        <is>
          <t>Maio/2026</t>
        </is>
      </c>
    </row>
    <row r="57" hidden="1" ht="14.25" customHeight="1" s="64">
      <c r="A57" s="106" t="inlineStr">
        <is>
          <t>Cobrança</t>
        </is>
      </c>
      <c r="B57" s="106" t="inlineStr">
        <is>
          <t>Custo Variável</t>
        </is>
      </c>
      <c r="C57" s="106" t="inlineStr">
        <is>
          <t>Fardamento substituição</t>
        </is>
      </c>
      <c r="D57" s="107" t="n">
        <v>1</v>
      </c>
      <c r="E57" s="108" t="n">
        <v>181.33</v>
      </c>
      <c r="F57" s="109">
        <f>IFERROR(D57*E57,0)</f>
        <v/>
      </c>
      <c r="G57" s="106">
        <f>INDEX(SETORES!$B:$B,MATCH(A57,SETORES!$A:$A,0))</f>
        <v/>
      </c>
      <c r="H57" s="106" t="inlineStr">
        <is>
          <t>Maio/2026</t>
        </is>
      </c>
    </row>
    <row r="58" hidden="1" ht="14.25" customHeight="1" s="64">
      <c r="A58" s="101" t="inlineStr">
        <is>
          <t>Cobrança</t>
        </is>
      </c>
      <c r="B58" s="101" t="inlineStr">
        <is>
          <t>Custo Variável</t>
        </is>
      </c>
      <c r="C58" s="101" t="inlineStr">
        <is>
          <t>Exames médicos</t>
        </is>
      </c>
      <c r="D58" s="102" t="n">
        <v>1</v>
      </c>
      <c r="E58" s="103" t="n">
        <v>316.67</v>
      </c>
      <c r="F58" s="104">
        <f>IFERROR(D58*E58,0)</f>
        <v/>
      </c>
      <c r="G58" s="101">
        <f>INDEX(SETORES!$B:$B,MATCH(A58,SETORES!$A:$A,0))</f>
        <v/>
      </c>
      <c r="H58" s="101" t="inlineStr">
        <is>
          <t>Maio/2026</t>
        </is>
      </c>
    </row>
    <row r="59" hidden="1" ht="14.25" customHeight="1" s="64">
      <c r="A59" s="106" t="inlineStr">
        <is>
          <t>Cobrança</t>
        </is>
      </c>
      <c r="B59" s="106" t="inlineStr">
        <is>
          <t>Custo Fixo</t>
        </is>
      </c>
      <c r="C59" s="106" t="inlineStr">
        <is>
          <t>Licença de e-mail corporativo</t>
        </is>
      </c>
      <c r="D59" s="107" t="n">
        <v>13</v>
      </c>
      <c r="E59" s="108" t="n">
        <v>50</v>
      </c>
      <c r="F59" s="109">
        <f>IFERROR(D59*E59,0)</f>
        <v/>
      </c>
      <c r="G59" s="106">
        <f>INDEX(SETORES!$B:$B,MATCH(A59,SETORES!$A:$A,0))</f>
        <v/>
      </c>
      <c r="H59" s="106" t="inlineStr">
        <is>
          <t>Maio/2026</t>
        </is>
      </c>
    </row>
    <row r="60" hidden="1" ht="14.25" customHeight="1" s="64">
      <c r="A60" s="101" t="inlineStr">
        <is>
          <t>Cobrança</t>
        </is>
      </c>
      <c r="B60" s="101" t="inlineStr">
        <is>
          <t>Custo Fixo</t>
        </is>
      </c>
      <c r="C60" s="101" t="inlineStr">
        <is>
          <t>Software MATRIX (rateio equipe Relacionamento)</t>
        </is>
      </c>
      <c r="D60" s="102" t="n">
        <v>1</v>
      </c>
      <c r="E60" s="103" t="n">
        <v>550.095516</v>
      </c>
      <c r="F60" s="104">
        <f>IFERROR(D60*E60,0)</f>
        <v/>
      </c>
      <c r="G60" s="101">
        <f>INDEX(SETORES!$B:$B,MATCH(A60,SETORES!$A:$A,0))</f>
        <v/>
      </c>
      <c r="H60" s="101" t="inlineStr">
        <is>
          <t>Maio/2026</t>
        </is>
      </c>
    </row>
    <row r="61" hidden="1" ht="14.25" customHeight="1" s="64">
      <c r="A61" s="106" t="inlineStr">
        <is>
          <t>Cobrança</t>
        </is>
      </c>
      <c r="B61" s="106" t="inlineStr">
        <is>
          <t>Custo Fixo</t>
        </is>
      </c>
      <c r="C61" s="106" t="inlineStr">
        <is>
          <t>Telefonia de entrada Algar</t>
        </is>
      </c>
      <c r="D61" s="107" t="n">
        <v>1</v>
      </c>
      <c r="E61" s="108" t="n">
        <v>1641.85</v>
      </c>
      <c r="F61" s="109">
        <f>IFERROR(D61*E61,0)</f>
        <v/>
      </c>
      <c r="G61" s="106">
        <f>INDEX(SETORES!$B:$B,MATCH(A61,SETORES!$A:$A,0))</f>
        <v/>
      </c>
      <c r="H61" s="106" t="inlineStr">
        <is>
          <t>Maio/2026</t>
        </is>
      </c>
    </row>
    <row r="62" hidden="1" ht="14.25" customHeight="1" s="64">
      <c r="A62" s="101" t="inlineStr">
        <is>
          <t>Cobrança</t>
        </is>
      </c>
      <c r="B62" s="101" t="inlineStr">
        <is>
          <t>Custo Fixo</t>
        </is>
      </c>
      <c r="C62" s="101" t="inlineStr">
        <is>
          <t>Software Dlocal (trafego pago)</t>
        </is>
      </c>
      <c r="D62" s="102" t="n">
        <v>1</v>
      </c>
      <c r="E62" s="103" t="n">
        <v>258.620688</v>
      </c>
      <c r="F62" s="104">
        <f>IFERROR(D62*E62,0)</f>
        <v/>
      </c>
      <c r="G62" s="101">
        <f>INDEX(SETORES!$B:$B,MATCH(A62,SETORES!$A:$A,0))</f>
        <v/>
      </c>
      <c r="H62" s="101" t="inlineStr">
        <is>
          <t>Maio/2026</t>
        </is>
      </c>
    </row>
    <row r="63" hidden="1" ht="14.25" customHeight="1" s="64">
      <c r="A63" s="106" t="inlineStr">
        <is>
          <t>Cobrança</t>
        </is>
      </c>
      <c r="B63" s="106" t="inlineStr">
        <is>
          <t>Custo Fixo</t>
        </is>
      </c>
      <c r="C63" s="106" t="inlineStr">
        <is>
          <t>Software Google brasil (trafego pago)</t>
        </is>
      </c>
      <c r="D63" s="107" t="n">
        <v>1</v>
      </c>
      <c r="E63" s="108" t="n">
        <v>34.482408</v>
      </c>
      <c r="F63" s="109">
        <f>IFERROR(D63*E63,0)</f>
        <v/>
      </c>
      <c r="G63" s="106">
        <f>INDEX(SETORES!$B:$B,MATCH(A63,SETORES!$A:$A,0))</f>
        <v/>
      </c>
      <c r="H63" s="106" t="inlineStr">
        <is>
          <t>Maio/2026</t>
        </is>
      </c>
    </row>
    <row r="64" hidden="1" ht="14.25" customHeight="1" s="64">
      <c r="A64" s="101" t="inlineStr">
        <is>
          <t>Cobrança</t>
        </is>
      </c>
      <c r="B64" s="101" t="inlineStr">
        <is>
          <t>Custo Variável</t>
        </is>
      </c>
      <c r="C64" s="101" t="inlineStr">
        <is>
          <t>Software Lorensi marketing (f000987)</t>
        </is>
      </c>
      <c r="D64" s="102" t="n">
        <v>1</v>
      </c>
      <c r="E64" s="103" t="n">
        <v>95.568624</v>
      </c>
      <c r="F64" s="104">
        <f>IFERROR(D64*E64,0)</f>
        <v/>
      </c>
      <c r="G64" s="101">
        <f>INDEX(SETORES!$B:$B,MATCH(A64,SETORES!$A:$A,0))</f>
        <v/>
      </c>
      <c r="H64" s="101" t="inlineStr">
        <is>
          <t>Maio/2026</t>
        </is>
      </c>
    </row>
    <row r="65" hidden="1" ht="14.25" customHeight="1" s="64">
      <c r="A65" s="106" t="inlineStr">
        <is>
          <t>Cobrança</t>
        </is>
      </c>
      <c r="B65" s="106" t="inlineStr">
        <is>
          <t>Custo Variável</t>
        </is>
      </c>
      <c r="C65" s="106" t="inlineStr">
        <is>
          <t>Disparos feito pela meta</t>
        </is>
      </c>
      <c r="D65" s="107" t="n">
        <v>1</v>
      </c>
      <c r="E65" s="108" t="n">
        <v>242.73</v>
      </c>
      <c r="F65" s="109">
        <f>IFERROR(D65*E65,0)</f>
        <v/>
      </c>
      <c r="G65" s="106">
        <f>INDEX(SETORES!$B:$B,MATCH(A65,SETORES!$A:$A,0))</f>
        <v/>
      </c>
      <c r="H65" s="106" t="inlineStr">
        <is>
          <t>Maio/2026</t>
        </is>
      </c>
    </row>
    <row r="66" hidden="1" ht="14.25" customHeight="1" s="64">
      <c r="A66" s="101" t="inlineStr">
        <is>
          <t>Cobrança</t>
        </is>
      </c>
      <c r="B66" s="101" t="inlineStr">
        <is>
          <t>Custo Fixo</t>
        </is>
      </c>
      <c r="C66" s="101" t="inlineStr">
        <is>
          <t>Vexpenses</t>
        </is>
      </c>
      <c r="D66" s="102" t="n">
        <v>1</v>
      </c>
      <c r="E66" s="103" t="n">
        <v>52</v>
      </c>
      <c r="F66" s="104">
        <f>IFERROR(D66*E66,0)</f>
        <v/>
      </c>
      <c r="G66" s="101">
        <f>INDEX(SETORES!$B:$B,MATCH(A66,SETORES!$A:$A,0))</f>
        <v/>
      </c>
      <c r="H66" s="101" t="inlineStr">
        <is>
          <t>Maio/2026</t>
        </is>
      </c>
    </row>
    <row r="67" hidden="1" ht="14.25" customHeight="1" s="64">
      <c r="A67" s="106" t="inlineStr">
        <is>
          <t>Cobrança</t>
        </is>
      </c>
      <c r="B67" s="106" t="inlineStr">
        <is>
          <t>Custo Variável</t>
        </is>
      </c>
      <c r="C67" s="106" t="inlineStr">
        <is>
          <t>Endomarketing</t>
        </is>
      </c>
      <c r="D67" s="107" t="n">
        <v>1</v>
      </c>
      <c r="E67" s="108" t="n">
        <v>23.5</v>
      </c>
      <c r="F67" s="109">
        <f>IFERROR(D67*E67,0)</f>
        <v/>
      </c>
      <c r="G67" s="106">
        <f>INDEX(SETORES!$B:$B,MATCH(A67,SETORES!$A:$A,0))</f>
        <v/>
      </c>
      <c r="H67" s="106" t="inlineStr">
        <is>
          <t>Maio/2026</t>
        </is>
      </c>
    </row>
    <row r="68" hidden="1" ht="14.25" customHeight="1" s="64">
      <c r="A68" s="101" t="inlineStr">
        <is>
          <t>Cobrança</t>
        </is>
      </c>
      <c r="B68" s="101" t="inlineStr">
        <is>
          <t>Custo Fixo</t>
        </is>
      </c>
      <c r="C68" s="101" t="inlineStr">
        <is>
          <t>Gympass</t>
        </is>
      </c>
      <c r="D68" s="102" t="n">
        <v>12</v>
      </c>
      <c r="E68" s="103" t="n">
        <v>10.05</v>
      </c>
      <c r="F68" s="104">
        <f>IFERROR(D68*E68,0)</f>
        <v/>
      </c>
      <c r="G68" s="101">
        <f>INDEX(SETORES!$B:$B,MATCH(A68,SETORES!$A:$A,0))</f>
        <v/>
      </c>
      <c r="H68" s="101" t="inlineStr">
        <is>
          <t>Maio/2026</t>
        </is>
      </c>
    </row>
    <row r="69" hidden="1" ht="14.25" customHeight="1" s="64">
      <c r="A69" s="106" t="inlineStr">
        <is>
          <t>Cobrança</t>
        </is>
      </c>
      <c r="B69" s="106" t="inlineStr">
        <is>
          <t>Custo Fixo</t>
        </is>
      </c>
      <c r="C69" s="106" t="inlineStr">
        <is>
          <t>Stargrid</t>
        </is>
      </c>
      <c r="D69" s="107" t="n">
        <v>12</v>
      </c>
      <c r="E69" s="108" t="n">
        <v>2.07</v>
      </c>
      <c r="F69" s="109">
        <f>IFERROR(D69*E69,0)</f>
        <v/>
      </c>
      <c r="G69" s="106">
        <f>INDEX(SETORES!$B:$B,MATCH(A69,SETORES!$A:$A,0))</f>
        <v/>
      </c>
      <c r="H69" s="106" t="inlineStr">
        <is>
          <t>Maio/2026</t>
        </is>
      </c>
    </row>
    <row r="70" hidden="1" ht="14.25" customHeight="1" s="64">
      <c r="A70" s="101" t="inlineStr">
        <is>
          <t>Cobrança</t>
        </is>
      </c>
      <c r="B70" s="101" t="inlineStr">
        <is>
          <t>Custo Fixo</t>
        </is>
      </c>
      <c r="C70" s="101" t="inlineStr">
        <is>
          <t>Despesas com SST</t>
        </is>
      </c>
      <c r="D70" s="102" t="n">
        <v>12</v>
      </c>
      <c r="E70" s="103" t="n">
        <v>64.56999999999999</v>
      </c>
      <c r="F70" s="104">
        <f>IFERROR(D70*E70,0)</f>
        <v/>
      </c>
      <c r="G70" s="101">
        <f>INDEX(SETORES!$B:$B,MATCH(A70,SETORES!$A:$A,0))</f>
        <v/>
      </c>
      <c r="H70" s="101" t="inlineStr">
        <is>
          <t>Maio/2026</t>
        </is>
      </c>
    </row>
    <row r="71" hidden="1" ht="14.25" customHeight="1" s="64">
      <c r="A71" s="106" t="inlineStr">
        <is>
          <t>Cobrança</t>
        </is>
      </c>
      <c r="B71" s="106" t="inlineStr">
        <is>
          <t>Custo Fixo</t>
        </is>
      </c>
      <c r="C71" s="106" t="inlineStr">
        <is>
          <t>Despesas com RH</t>
        </is>
      </c>
      <c r="D71" s="107" t="n">
        <v>12</v>
      </c>
      <c r="E71" s="108" t="n">
        <v>28.31</v>
      </c>
      <c r="F71" s="109">
        <f>IFERROR(D71*E71,0)</f>
        <v/>
      </c>
      <c r="G71" s="106">
        <f>INDEX(SETORES!$B:$B,MATCH(A71,SETORES!$A:$A,0))</f>
        <v/>
      </c>
      <c r="H71" s="106" t="inlineStr">
        <is>
          <t>Maio/2026</t>
        </is>
      </c>
    </row>
    <row r="72" hidden="1" ht="14.25" customHeight="1" s="64">
      <c r="A72" s="101" t="inlineStr">
        <is>
          <t>Cobrança</t>
        </is>
      </c>
      <c r="B72" s="101" t="inlineStr">
        <is>
          <t>Custo Fixo</t>
        </is>
      </c>
      <c r="C72" s="101" t="inlineStr">
        <is>
          <t>Despesas com DP</t>
        </is>
      </c>
      <c r="D72" s="102" t="n">
        <v>12</v>
      </c>
      <c r="E72" s="103" t="n">
        <v>47.79</v>
      </c>
      <c r="F72" s="104">
        <f>IFERROR(D72*E72,0)</f>
        <v/>
      </c>
      <c r="G72" s="101">
        <f>INDEX(SETORES!$B:$B,MATCH(A72,SETORES!$A:$A,0))</f>
        <v/>
      </c>
      <c r="H72" s="101" t="inlineStr">
        <is>
          <t>Maio/2026</t>
        </is>
      </c>
    </row>
    <row r="73" hidden="1" ht="14.25" customHeight="1" s="64">
      <c r="A73" s="106" t="inlineStr">
        <is>
          <t>Comercial Corporativo</t>
        </is>
      </c>
      <c r="B73" s="106" t="inlineStr">
        <is>
          <t>Custo Variável</t>
        </is>
      </c>
      <c r="C73" s="106" t="inlineStr">
        <is>
          <t>Endomarketing</t>
        </is>
      </c>
      <c r="D73" s="107" t="n"/>
      <c r="E73" s="108" t="n"/>
      <c r="F73" s="109">
        <f>IFERROR(D73*E73,0)</f>
        <v/>
      </c>
      <c r="G73" s="106">
        <f>INDEX(SETORES!$B:$B,MATCH(A73,SETORES!$A:$A,0))</f>
        <v/>
      </c>
      <c r="H73" s="106" t="inlineStr">
        <is>
          <t>Maio/2026</t>
        </is>
      </c>
    </row>
    <row r="74" hidden="1" ht="14.25" customHeight="1" s="64">
      <c r="A74" s="101" t="inlineStr">
        <is>
          <t>Comercial Corporativo</t>
        </is>
      </c>
      <c r="B74" s="101" t="inlineStr">
        <is>
          <t>Custo Variável</t>
        </is>
      </c>
      <c r="C74" s="101" t="inlineStr">
        <is>
          <t>Marketing direto</t>
        </is>
      </c>
      <c r="D74" s="102" t="n"/>
      <c r="E74" s="103" t="n"/>
      <c r="F74" s="104">
        <f>IFERROR(D74*E74,0)</f>
        <v/>
      </c>
      <c r="G74" s="101">
        <f>INDEX(SETORES!$B:$B,MATCH(A74,SETORES!$A:$A,0))</f>
        <v/>
      </c>
      <c r="H74" s="101" t="inlineStr">
        <is>
          <t>Maio/2026</t>
        </is>
      </c>
    </row>
    <row r="75" hidden="1" ht="14.25" customHeight="1" s="64">
      <c r="A75" s="106" t="inlineStr">
        <is>
          <t>Comercial Corporativo</t>
        </is>
      </c>
      <c r="B75" s="106" t="inlineStr">
        <is>
          <t>Custo Fixo</t>
        </is>
      </c>
      <c r="C75" s="106" t="inlineStr">
        <is>
          <t>E-mail do departamento</t>
        </is>
      </c>
      <c r="D75" s="107" t="n">
        <v>10</v>
      </c>
      <c r="E75" s="108" t="n">
        <v>50</v>
      </c>
      <c r="F75" s="109">
        <f>IFERROR(D75*E75,0)</f>
        <v/>
      </c>
      <c r="G75" s="106">
        <f>INDEX(SETORES!$B:$B,MATCH(A75,SETORES!$A:$A,0))</f>
        <v/>
      </c>
      <c r="H75" s="106" t="inlineStr">
        <is>
          <t>Maio/2026</t>
        </is>
      </c>
    </row>
    <row r="76" hidden="1" ht="14.25" customHeight="1" s="64">
      <c r="A76" s="101" t="inlineStr">
        <is>
          <t>Comercial Corporativo</t>
        </is>
      </c>
      <c r="B76" s="101" t="inlineStr">
        <is>
          <t>Custo Fixo</t>
        </is>
      </c>
      <c r="C76" s="101" t="inlineStr">
        <is>
          <t>Folha Trabalhista com impostos do mês</t>
        </is>
      </c>
      <c r="D76" s="102" t="n">
        <v>10</v>
      </c>
      <c r="E76" s="103" t="n">
        <v>102601.16</v>
      </c>
      <c r="F76" s="104">
        <f>IFERROR(E76,0)</f>
        <v/>
      </c>
      <c r="G76" s="101">
        <f>INDEX(SETORES!$B:$B,MATCH(A76,SETORES!$A:$A,0))</f>
        <v/>
      </c>
      <c r="H76" s="101" t="inlineStr">
        <is>
          <t>Maio/2026</t>
        </is>
      </c>
    </row>
    <row r="77" hidden="1" ht="14.25" customHeight="1" s="64">
      <c r="A77" s="106" t="inlineStr">
        <is>
          <t>Comercial Corporativo</t>
        </is>
      </c>
      <c r="B77" s="106" t="inlineStr">
        <is>
          <t>Custo Fixo</t>
        </is>
      </c>
      <c r="C77" s="106" t="inlineStr">
        <is>
          <t>Linhas moveis (FIQUE MÓVEL)</t>
        </is>
      </c>
      <c r="D77" s="107" t="n">
        <v>7</v>
      </c>
      <c r="E77" s="108" t="n">
        <v>30</v>
      </c>
      <c r="F77" s="109">
        <f>IFERROR(D77*E77,0)</f>
        <v/>
      </c>
      <c r="G77" s="106">
        <f>INDEX(SETORES!$B:$B,MATCH(A77,SETORES!$A:$A,0))</f>
        <v/>
      </c>
      <c r="H77" s="106" t="inlineStr">
        <is>
          <t>Maio/2026</t>
        </is>
      </c>
    </row>
    <row r="78" hidden="1" ht="14.25" customHeight="1" s="64">
      <c r="A78" s="101" t="inlineStr">
        <is>
          <t>Comercial Corporativo</t>
        </is>
      </c>
      <c r="B78" s="101" t="inlineStr">
        <is>
          <t>Custo Fixo</t>
        </is>
      </c>
      <c r="C78" s="101" t="inlineStr">
        <is>
          <t>Despesas com RH</t>
        </is>
      </c>
      <c r="D78" s="102" t="n">
        <v>10</v>
      </c>
      <c r="E78" s="103" t="n">
        <v>28.31</v>
      </c>
      <c r="F78" s="104">
        <f>IFERROR(D78*E78,0)</f>
        <v/>
      </c>
      <c r="G78" s="101">
        <f>INDEX(SETORES!$B:$B,MATCH(A78,SETORES!$A:$A,0))</f>
        <v/>
      </c>
      <c r="H78" s="101" t="inlineStr">
        <is>
          <t>Maio/2026</t>
        </is>
      </c>
    </row>
    <row r="79" hidden="1" ht="14.25" customHeight="1" s="64">
      <c r="A79" s="106" t="inlineStr">
        <is>
          <t>Comercial Corporativo</t>
        </is>
      </c>
      <c r="B79" s="106" t="inlineStr">
        <is>
          <t>Custo Fixo</t>
        </is>
      </c>
      <c r="C79" s="106" t="inlineStr">
        <is>
          <t>Despesas com DP</t>
        </is>
      </c>
      <c r="D79" s="107" t="n">
        <v>10</v>
      </c>
      <c r="E79" s="108" t="n">
        <v>47.79</v>
      </c>
      <c r="F79" s="109">
        <f>IFERROR(D79*E79,0)</f>
        <v/>
      </c>
      <c r="G79" s="106">
        <f>INDEX(SETORES!$B:$B,MATCH(A79,SETORES!$A:$A,0))</f>
        <v/>
      </c>
      <c r="H79" s="106" t="inlineStr">
        <is>
          <t>Maio/2026</t>
        </is>
      </c>
    </row>
    <row r="80" hidden="1" ht="14.25" customHeight="1" s="64">
      <c r="A80" s="101" t="inlineStr">
        <is>
          <t>Comercial Corporativo</t>
        </is>
      </c>
      <c r="B80" s="101" t="inlineStr">
        <is>
          <t>Custo Fixo</t>
        </is>
      </c>
      <c r="C80" s="101" t="inlineStr">
        <is>
          <t>Despesas com SST</t>
        </is>
      </c>
      <c r="D80" s="102" t="n">
        <v>9</v>
      </c>
      <c r="E80" s="103" t="n">
        <v>64.56999999999999</v>
      </c>
      <c r="F80" s="104">
        <f>IFERROR(D80*E80,0)</f>
        <v/>
      </c>
      <c r="G80" s="101">
        <f>INDEX(SETORES!$B:$B,MATCH(A80,SETORES!$A:$A,0))</f>
        <v/>
      </c>
      <c r="H80" s="101" t="inlineStr">
        <is>
          <t>Maio/2026</t>
        </is>
      </c>
    </row>
    <row r="81" hidden="1" ht="14.25" customHeight="1" s="64">
      <c r="A81" s="106" t="inlineStr">
        <is>
          <t>Comercial Corporativo</t>
        </is>
      </c>
      <c r="B81" s="106" t="inlineStr">
        <is>
          <t>Custo Variável</t>
        </is>
      </c>
      <c r="C81" s="106" t="inlineStr">
        <is>
          <t>Despesas SST exames</t>
        </is>
      </c>
      <c r="D81" s="107" t="n"/>
      <c r="E81" s="108" t="n"/>
      <c r="F81" s="109">
        <f>IFERROR(D81*E81,0)</f>
        <v/>
      </c>
      <c r="G81" s="106">
        <f>INDEX(SETORES!$B:$B,MATCH(A81,SETORES!$A:$A,0))</f>
        <v/>
      </c>
      <c r="H81" s="106" t="inlineStr">
        <is>
          <t>Maio/2026</t>
        </is>
      </c>
    </row>
    <row r="82" hidden="1" ht="14.25" customHeight="1" s="64">
      <c r="A82" s="101" t="inlineStr">
        <is>
          <t>Comercial Corporativo</t>
        </is>
      </c>
      <c r="B82" s="101" t="inlineStr">
        <is>
          <t>Custo Variável</t>
        </is>
      </c>
      <c r="C82" s="101" t="inlineStr">
        <is>
          <t>Novo Fardamento</t>
        </is>
      </c>
      <c r="D82" s="102" t="n">
        <v>2</v>
      </c>
      <c r="E82" s="103" t="n">
        <v>68</v>
      </c>
      <c r="F82" s="104">
        <f>IFERROR(D82*E82,0)</f>
        <v/>
      </c>
      <c r="G82" s="101">
        <f>INDEX(SETORES!$B:$B,MATCH(A82,SETORES!$A:$A,0))</f>
        <v/>
      </c>
      <c r="H82" s="101" t="inlineStr">
        <is>
          <t>Maio/2026</t>
        </is>
      </c>
    </row>
    <row r="83" hidden="1" ht="14.25" customHeight="1" s="64">
      <c r="A83" s="106" t="inlineStr">
        <is>
          <t>Comercial Corporativo</t>
        </is>
      </c>
      <c r="B83" s="106" t="inlineStr">
        <is>
          <t>Custo Variável</t>
        </is>
      </c>
      <c r="C83" s="106" t="inlineStr">
        <is>
          <t>Devolução de fardamento</t>
        </is>
      </c>
      <c r="D83" s="107" t="n"/>
      <c r="E83" s="108" t="n"/>
      <c r="F83" s="109">
        <f>IFERROR(D83*E83,0)</f>
        <v/>
      </c>
      <c r="G83" s="106">
        <f>INDEX(SETORES!$B:$B,MATCH(A83,SETORES!$A:$A,0))</f>
        <v/>
      </c>
      <c r="H83" s="106" t="inlineStr">
        <is>
          <t>Maio/2026</t>
        </is>
      </c>
    </row>
    <row r="84" hidden="1" ht="14.25" customHeight="1" s="64">
      <c r="A84" s="101" t="inlineStr">
        <is>
          <t>Comercial Corporativo</t>
        </is>
      </c>
      <c r="B84" s="101" t="inlineStr">
        <is>
          <t>Custo Variável</t>
        </is>
      </c>
      <c r="C84" s="101" t="inlineStr">
        <is>
          <t>Substituição extra de Fardamento</t>
        </is>
      </c>
      <c r="D84" s="102" t="n"/>
      <c r="E84" s="103" t="n"/>
      <c r="F84" s="104">
        <f>IFERROR(D84*E84,0)</f>
        <v/>
      </c>
      <c r="G84" s="101">
        <f>INDEX(SETORES!$B:$B,MATCH(A84,SETORES!$A:$A,0))</f>
        <v/>
      </c>
      <c r="H84" s="101" t="inlineStr">
        <is>
          <t>Maio/2026</t>
        </is>
      </c>
    </row>
    <row r="85" hidden="1" ht="14.25" customHeight="1" s="64">
      <c r="A85" s="106" t="inlineStr">
        <is>
          <t>Comercial Corporativo</t>
        </is>
      </c>
      <c r="B85" s="106" t="inlineStr">
        <is>
          <t>Custo Variável</t>
        </is>
      </c>
      <c r="C85" s="106" t="inlineStr">
        <is>
          <t>Consumo de combustível</t>
        </is>
      </c>
      <c r="D85" s="107" t="n">
        <v>1</v>
      </c>
      <c r="E85" s="108" t="n">
        <v>3504.09</v>
      </c>
      <c r="F85" s="109">
        <f>IFERROR(D85*E85,0)</f>
        <v/>
      </c>
      <c r="G85" s="106">
        <f>INDEX(SETORES!$B:$B,MATCH(A85,SETORES!$A:$A,0))</f>
        <v/>
      </c>
      <c r="H85" s="106" t="inlineStr">
        <is>
          <t>Maio/2026</t>
        </is>
      </c>
    </row>
    <row r="86" hidden="1" ht="14.25" customHeight="1" s="64">
      <c r="A86" s="101" t="inlineStr">
        <is>
          <t>Comercial Corporativo</t>
        </is>
      </c>
      <c r="B86" s="101" t="inlineStr">
        <is>
          <t>Custo Fixo</t>
        </is>
      </c>
      <c r="C86" s="101" t="inlineStr">
        <is>
          <t>Gympass</t>
        </is>
      </c>
      <c r="D86" s="102" t="n">
        <v>10</v>
      </c>
      <c r="E86" s="103" t="n">
        <v>10.05</v>
      </c>
      <c r="F86" s="104">
        <f>IFERROR(D86*E86,0)</f>
        <v/>
      </c>
      <c r="G86" s="101">
        <f>INDEX(SETORES!$B:$B,MATCH(A86,SETORES!$A:$A,0))</f>
        <v/>
      </c>
      <c r="H86" s="101" t="inlineStr">
        <is>
          <t>Maio/2026</t>
        </is>
      </c>
    </row>
    <row r="87" hidden="1" ht="14.25" customHeight="1" s="64">
      <c r="A87" s="106" t="inlineStr">
        <is>
          <t>Comercial Corporativo</t>
        </is>
      </c>
      <c r="B87" s="106" t="inlineStr">
        <is>
          <t>Custo Fixo</t>
        </is>
      </c>
      <c r="C87" s="106" t="inlineStr">
        <is>
          <t>Stargrid</t>
        </is>
      </c>
      <c r="D87" s="107" t="n">
        <v>10</v>
      </c>
      <c r="E87" s="108" t="n">
        <v>2.07</v>
      </c>
      <c r="F87" s="109">
        <f>IFERROR(D87*E87,0)</f>
        <v/>
      </c>
      <c r="G87" s="106">
        <f>INDEX(SETORES!$B:$B,MATCH(A87,SETORES!$A:$A,0))</f>
        <v/>
      </c>
      <c r="H87" s="106" t="inlineStr">
        <is>
          <t>Maio/2026</t>
        </is>
      </c>
    </row>
    <row r="88" hidden="1" ht="14.25" customHeight="1" s="64">
      <c r="A88" s="101" t="inlineStr">
        <is>
          <t>Comercial Corporativo</t>
        </is>
      </c>
      <c r="B88" s="101" t="inlineStr">
        <is>
          <t>Custo Variável</t>
        </is>
      </c>
      <c r="C88" s="101" t="inlineStr">
        <is>
          <t>Rescisões/Despesas Trabalhistas extra folha</t>
        </is>
      </c>
      <c r="D88" s="102" t="n"/>
      <c r="E88" s="103" t="n"/>
      <c r="F88" s="104">
        <f>IFERROR(D88*E88,0)</f>
        <v/>
      </c>
      <c r="G88" s="101">
        <f>INDEX(SETORES!$B:$B,MATCH(A88,SETORES!$A:$A,0))</f>
        <v/>
      </c>
      <c r="H88" s="101" t="inlineStr">
        <is>
          <t>Maio/2026</t>
        </is>
      </c>
    </row>
    <row r="89" hidden="1" ht="14.25" customHeight="1" s="64">
      <c r="A89" s="106" t="inlineStr">
        <is>
          <t>Comercial Corporativo</t>
        </is>
      </c>
      <c r="B89" s="106" t="inlineStr">
        <is>
          <t>Custo Fixo</t>
        </is>
      </c>
      <c r="C89" s="106" t="inlineStr">
        <is>
          <t>Datlo</t>
        </is>
      </c>
      <c r="D89" s="107" t="n">
        <v>1</v>
      </c>
      <c r="E89" s="108" t="n">
        <v>2997</v>
      </c>
      <c r="F89" s="109">
        <f>IFERROR(D89*E89,0)</f>
        <v/>
      </c>
      <c r="G89" s="106">
        <f>INDEX(SETORES!$B:$B,MATCH(A89,SETORES!$A:$A,0))</f>
        <v/>
      </c>
      <c r="H89" s="106" t="inlineStr">
        <is>
          <t>Maio/2026</t>
        </is>
      </c>
    </row>
    <row r="90" hidden="1" ht="14.25" customHeight="1" s="64">
      <c r="A90" s="101" t="inlineStr">
        <is>
          <t>Comercial Corporativo</t>
        </is>
      </c>
      <c r="B90" s="101" t="inlineStr">
        <is>
          <t>Custo Fixo</t>
        </is>
      </c>
      <c r="C90" s="101" t="inlineStr">
        <is>
          <t>Agendor (válido por 3 meses)</t>
        </is>
      </c>
      <c r="D90" s="102" t="n">
        <v>1</v>
      </c>
      <c r="E90" s="103" t="n">
        <v>545.99</v>
      </c>
      <c r="F90" s="104">
        <f>IFERROR(D90*E90,0)</f>
        <v/>
      </c>
      <c r="G90" s="101">
        <f>INDEX(SETORES!$B:$B,MATCH(A90,SETORES!$A:$A,0))</f>
        <v/>
      </c>
      <c r="H90" s="101" t="inlineStr">
        <is>
          <t>Maio/2026</t>
        </is>
      </c>
    </row>
    <row r="91" hidden="1" ht="14.25" customHeight="1" s="64">
      <c r="A91" s="106" t="inlineStr">
        <is>
          <t>Comercial Corporativo</t>
        </is>
      </c>
      <c r="B91" s="106" t="inlineStr">
        <is>
          <t>Custo Fixo</t>
        </is>
      </c>
      <c r="C91" s="106" t="inlineStr">
        <is>
          <t>Dynamics (f001796)</t>
        </is>
      </c>
      <c r="D91" s="107" t="n"/>
      <c r="E91" s="108" t="n"/>
      <c r="F91" s="109">
        <f>IFERROR(D91*E91,0)</f>
        <v/>
      </c>
      <c r="G91" s="106">
        <f>INDEX(SETORES!$B:$B,MATCH(A91,SETORES!$A:$A,0))</f>
        <v/>
      </c>
      <c r="H91" s="106" t="inlineStr">
        <is>
          <t>Maio/2026</t>
        </is>
      </c>
    </row>
    <row r="92" hidden="1" ht="14.25" customHeight="1" s="64">
      <c r="A92" s="101" t="inlineStr">
        <is>
          <t>Comercial Corporativo</t>
        </is>
      </c>
      <c r="B92" s="101" t="inlineStr">
        <is>
          <t>Custo Fixo</t>
        </is>
      </c>
      <c r="C92" s="101" t="inlineStr">
        <is>
          <t>Salesforce</t>
        </is>
      </c>
      <c r="D92" s="102" t="n">
        <v>1</v>
      </c>
      <c r="E92" s="103" t="n">
        <v>3042.34</v>
      </c>
      <c r="F92" s="104">
        <f>IFERROR(D92*E92,0)</f>
        <v/>
      </c>
      <c r="G92" s="101">
        <f>INDEX(SETORES!$B:$B,MATCH(A92,SETORES!$A:$A,0))</f>
        <v/>
      </c>
      <c r="H92" s="101" t="inlineStr">
        <is>
          <t>Maio/2026</t>
        </is>
      </c>
    </row>
    <row r="93" hidden="1" ht="14.25" customHeight="1" s="64">
      <c r="A93" s="106" t="inlineStr">
        <is>
          <t>Compras</t>
        </is>
      </c>
      <c r="B93" s="106" t="inlineStr">
        <is>
          <t>Custo Fixo</t>
        </is>
      </c>
      <c r="C93" s="106" t="inlineStr">
        <is>
          <t>Material de escritório (suprimentos de informática)</t>
        </is>
      </c>
      <c r="D93" s="107" t="n"/>
      <c r="E93" s="108" t="n"/>
      <c r="F93" s="109" t="n">
        <v>0</v>
      </c>
      <c r="G93" s="106">
        <f>INDEX(SETORES!$B:$B,MATCH(A93,SETORES!$A:$A,0))</f>
        <v/>
      </c>
      <c r="H93" s="106" t="inlineStr">
        <is>
          <t>Maio/2026</t>
        </is>
      </c>
    </row>
    <row r="94" hidden="1" ht="14.25" customHeight="1" s="64">
      <c r="A94" s="101" t="inlineStr">
        <is>
          <t>Compras</t>
        </is>
      </c>
      <c r="B94" s="101" t="inlineStr">
        <is>
          <t>Custo Fixo</t>
        </is>
      </c>
      <c r="C94" s="101" t="inlineStr">
        <is>
          <t>Material de uso coletivo (copa/limpeza)</t>
        </is>
      </c>
      <c r="D94" s="102" t="n"/>
      <c r="E94" s="103" t="n"/>
      <c r="F94" s="104" t="n">
        <v>0</v>
      </c>
      <c r="G94" s="101">
        <f>INDEX(SETORES!$B:$B,MATCH(A94,SETORES!$A:$A,0))</f>
        <v/>
      </c>
      <c r="H94" s="101" t="inlineStr">
        <is>
          <t>Maio/2026</t>
        </is>
      </c>
    </row>
    <row r="95" hidden="1" ht="14.25" customHeight="1" s="64">
      <c r="A95" s="106" t="inlineStr">
        <is>
          <t>Compras</t>
        </is>
      </c>
      <c r="B95" s="106" t="inlineStr">
        <is>
          <t>Custo Fixo</t>
        </is>
      </c>
      <c r="C95" s="106" t="inlineStr">
        <is>
          <t>Energia elétrica (rateio)</t>
        </is>
      </c>
      <c r="D95" s="107" t="n">
        <v>4</v>
      </c>
      <c r="E95" s="108" t="n">
        <v>24.8613</v>
      </c>
      <c r="F95" s="109" t="n">
        <v>99.4452</v>
      </c>
      <c r="G95" s="106">
        <f>INDEX(SETORES!$B:$B,MATCH(A95,SETORES!$A:$A,0))</f>
        <v/>
      </c>
      <c r="H95" s="106" t="inlineStr">
        <is>
          <t>Maio/2026</t>
        </is>
      </c>
    </row>
    <row r="96" hidden="1" ht="14.25" customHeight="1" s="64">
      <c r="A96" s="101" t="inlineStr">
        <is>
          <t>Compras</t>
        </is>
      </c>
      <c r="B96" s="101" t="inlineStr">
        <is>
          <t>Custo Fixo</t>
        </is>
      </c>
      <c r="C96" s="101" t="inlineStr">
        <is>
          <t>Telefonia móvel corporativa</t>
        </is>
      </c>
      <c r="D96" s="102" t="n"/>
      <c r="E96" s="103" t="n"/>
      <c r="F96" s="104">
        <f>IFERROR(D96*E96,0)</f>
        <v/>
      </c>
      <c r="G96" s="101">
        <f>INDEX(SETORES!$B:$B,MATCH(A96,SETORES!$A:$A,0))</f>
        <v/>
      </c>
      <c r="H96" s="101" t="inlineStr">
        <is>
          <t>Maio/2026</t>
        </is>
      </c>
    </row>
    <row r="97" hidden="1" ht="14.25" customHeight="1" s="64">
      <c r="A97" s="106" t="inlineStr">
        <is>
          <t>Compras</t>
        </is>
      </c>
      <c r="B97" s="106" t="inlineStr">
        <is>
          <t>Custo Fixo</t>
        </is>
      </c>
      <c r="C97" s="106" t="inlineStr">
        <is>
          <t>Folha de pagamento (salários)</t>
        </is>
      </c>
      <c r="D97" s="107" t="n">
        <v>1</v>
      </c>
      <c r="E97" s="108" t="n">
        <v>20620.48</v>
      </c>
      <c r="F97" s="109">
        <f>IFERROR(E97,0)</f>
        <v/>
      </c>
      <c r="G97" s="106">
        <f>INDEX(SETORES!$B:$B,MATCH(A97,SETORES!$A:$A,0))</f>
        <v/>
      </c>
      <c r="H97" s="106" t="inlineStr">
        <is>
          <t>Maio/2026</t>
        </is>
      </c>
    </row>
    <row r="98" hidden="1" ht="14.25" customHeight="1" s="64">
      <c r="A98" s="101" t="inlineStr">
        <is>
          <t>Compras</t>
        </is>
      </c>
      <c r="B98" s="101" t="inlineStr">
        <is>
          <t>Custo Variável</t>
        </is>
      </c>
      <c r="C98" s="101" t="inlineStr">
        <is>
          <t>Rateio de transporte coletivo</t>
        </is>
      </c>
      <c r="D98" s="102" t="n">
        <v>4</v>
      </c>
      <c r="E98" s="103" t="n">
        <v>89.55</v>
      </c>
      <c r="F98" s="104">
        <f>IFERROR(D98*E98,0)</f>
        <v/>
      </c>
      <c r="G98" s="101">
        <f>INDEX(SETORES!$B:$B,MATCH(A98,SETORES!$A:$A,0))</f>
        <v/>
      </c>
      <c r="H98" s="101" t="inlineStr">
        <is>
          <t>Maio/2026</t>
        </is>
      </c>
    </row>
    <row r="99" hidden="1" ht="14.25" customHeight="1" s="64">
      <c r="A99" s="106" t="inlineStr">
        <is>
          <t>Compras</t>
        </is>
      </c>
      <c r="B99" s="106" t="inlineStr">
        <is>
          <t>Custo Variável</t>
        </is>
      </c>
      <c r="C99" s="106" t="inlineStr">
        <is>
          <t>Exames médicos</t>
        </is>
      </c>
      <c r="D99" s="107" t="n">
        <v>1</v>
      </c>
      <c r="E99" s="108" t="n">
        <v>38</v>
      </c>
      <c r="F99" s="109">
        <f>IFERROR(D99*E99,0)</f>
        <v/>
      </c>
      <c r="G99" s="106">
        <f>INDEX(SETORES!$B:$B,MATCH(A99,SETORES!$A:$A,0))</f>
        <v/>
      </c>
      <c r="H99" s="106" t="inlineStr">
        <is>
          <t>Maio/2026</t>
        </is>
      </c>
    </row>
    <row r="100" hidden="1" ht="14.25" customHeight="1" s="64">
      <c r="A100" s="101" t="inlineStr">
        <is>
          <t>Compras</t>
        </is>
      </c>
      <c r="B100" s="101" t="inlineStr">
        <is>
          <t>Custo Fixo</t>
        </is>
      </c>
      <c r="C100" s="101" t="inlineStr">
        <is>
          <t>Licença de e-mail corporativo</t>
        </is>
      </c>
      <c r="D100" s="102" t="n">
        <v>4</v>
      </c>
      <c r="E100" s="103" t="n">
        <v>50</v>
      </c>
      <c r="F100" s="104">
        <f>IFERROR(D100*E100,0)</f>
        <v/>
      </c>
      <c r="G100" s="101">
        <f>INDEX(SETORES!$B:$B,MATCH(A100,SETORES!$A:$A,0))</f>
        <v/>
      </c>
      <c r="H100" s="101" t="inlineStr">
        <is>
          <t>Maio/2026</t>
        </is>
      </c>
    </row>
    <row r="101" hidden="1" ht="14.25" customHeight="1" s="64">
      <c r="A101" s="106" t="inlineStr">
        <is>
          <t>Compras</t>
        </is>
      </c>
      <c r="B101" s="106" t="inlineStr">
        <is>
          <t>Custo Fixo</t>
        </is>
      </c>
      <c r="C101" s="106" t="inlineStr">
        <is>
          <t>Gympass</t>
        </is>
      </c>
      <c r="D101" s="107" t="n">
        <v>4</v>
      </c>
      <c r="E101" s="108" t="n">
        <v>10.05</v>
      </c>
      <c r="F101" s="109">
        <f>IFERROR(D101*E101,0)</f>
        <v/>
      </c>
      <c r="G101" s="106">
        <f>INDEX(SETORES!$B:$B,MATCH(A101,SETORES!$A:$A,0))</f>
        <v/>
      </c>
      <c r="H101" s="106" t="inlineStr">
        <is>
          <t>Maio/2026</t>
        </is>
      </c>
    </row>
    <row r="102" hidden="1" ht="14.25" customHeight="1" s="64">
      <c r="A102" s="101" t="inlineStr">
        <is>
          <t>Compras</t>
        </is>
      </c>
      <c r="B102" s="101" t="inlineStr">
        <is>
          <t>Custo Fixo</t>
        </is>
      </c>
      <c r="C102" s="101" t="inlineStr">
        <is>
          <t>Stargrid</t>
        </is>
      </c>
      <c r="D102" s="102" t="n">
        <v>4</v>
      </c>
      <c r="E102" s="103" t="n">
        <v>2.07</v>
      </c>
      <c r="F102" s="104">
        <f>IFERROR(D102*E102,0)</f>
        <v/>
      </c>
      <c r="G102" s="101">
        <f>INDEX(SETORES!$B:$B,MATCH(A102,SETORES!$A:$A,0))</f>
        <v/>
      </c>
      <c r="H102" s="101" t="inlineStr">
        <is>
          <t>Maio/2026</t>
        </is>
      </c>
    </row>
    <row r="103" hidden="1" ht="14.25" customHeight="1" s="64">
      <c r="A103" s="106" t="inlineStr">
        <is>
          <t>Compras</t>
        </is>
      </c>
      <c r="B103" s="106" t="inlineStr">
        <is>
          <t>Custo Fixo</t>
        </is>
      </c>
      <c r="C103" s="106" t="inlineStr">
        <is>
          <t>Despesas com SST</t>
        </is>
      </c>
      <c r="D103" s="107" t="n">
        <v>4</v>
      </c>
      <c r="E103" s="108" t="n">
        <v>64.56999999999999</v>
      </c>
      <c r="F103" s="109">
        <f>IFERROR(D103*E103,0)</f>
        <v/>
      </c>
      <c r="G103" s="106">
        <f>INDEX(SETORES!$B:$B,MATCH(A103,SETORES!$A:$A,0))</f>
        <v/>
      </c>
      <c r="H103" s="106" t="inlineStr">
        <is>
          <t>Maio/2026</t>
        </is>
      </c>
    </row>
    <row r="104" hidden="1" ht="14.25" customHeight="1" s="64">
      <c r="A104" s="101" t="inlineStr">
        <is>
          <t>Compras</t>
        </is>
      </c>
      <c r="B104" s="101" t="inlineStr">
        <is>
          <t>Custo Fixo</t>
        </is>
      </c>
      <c r="C104" s="101" t="inlineStr">
        <is>
          <t>Despesas com RH</t>
        </is>
      </c>
      <c r="D104" s="102" t="n">
        <v>4</v>
      </c>
      <c r="E104" s="103" t="n">
        <v>28.31</v>
      </c>
      <c r="F104" s="104">
        <f>IFERROR(D104*E104,0)</f>
        <v/>
      </c>
      <c r="G104" s="101">
        <f>INDEX(SETORES!$B:$B,MATCH(A104,SETORES!$A:$A,0))</f>
        <v/>
      </c>
      <c r="H104" s="101" t="inlineStr">
        <is>
          <t>Maio/2026</t>
        </is>
      </c>
    </row>
    <row r="105" hidden="1" ht="14.25" customHeight="1" s="64">
      <c r="A105" s="106" t="inlineStr">
        <is>
          <t>Compras</t>
        </is>
      </c>
      <c r="B105" s="106" t="inlineStr">
        <is>
          <t>Custo Fixo</t>
        </is>
      </c>
      <c r="C105" s="106" t="inlineStr">
        <is>
          <t>Despesas com DP</t>
        </is>
      </c>
      <c r="D105" s="107" t="n">
        <v>4</v>
      </c>
      <c r="E105" s="108" t="n">
        <v>47.79</v>
      </c>
      <c r="F105" s="109">
        <f>IFERROR(D105*E105,0)</f>
        <v/>
      </c>
      <c r="G105" s="106">
        <f>INDEX(SETORES!$B:$B,MATCH(A105,SETORES!$A:$A,0))</f>
        <v/>
      </c>
      <c r="H105" s="106" t="inlineStr">
        <is>
          <t>Maio/2026</t>
        </is>
      </c>
    </row>
    <row r="106" hidden="1" ht="14.25" customHeight="1" s="64">
      <c r="A106" s="101" t="inlineStr">
        <is>
          <t>Contabilidade</t>
        </is>
      </c>
      <c r="B106" s="101" t="inlineStr">
        <is>
          <t>Custo Fixo</t>
        </is>
      </c>
      <c r="C106" s="101" t="inlineStr">
        <is>
          <t>Material de escritório (suprimentos de informática)</t>
        </is>
      </c>
      <c r="D106" s="102" t="n"/>
      <c r="E106" s="103" t="n"/>
      <c r="F106" s="104" t="n">
        <v>0</v>
      </c>
      <c r="G106" s="101">
        <f>INDEX(SETORES!$B:$B,MATCH(A106,SETORES!$A:$A,0))</f>
        <v/>
      </c>
      <c r="H106" s="101" t="inlineStr">
        <is>
          <t>Maio/2026</t>
        </is>
      </c>
    </row>
    <row r="107" hidden="1" ht="14.25" customHeight="1" s="64">
      <c r="A107" s="106" t="inlineStr">
        <is>
          <t>Contabilidade</t>
        </is>
      </c>
      <c r="B107" s="106" t="inlineStr">
        <is>
          <t>Custo Fixo</t>
        </is>
      </c>
      <c r="C107" s="106" t="inlineStr">
        <is>
          <t>Material de uso coletivo (copa/limpeza)</t>
        </is>
      </c>
      <c r="D107" s="107" t="n"/>
      <c r="E107" s="108" t="n"/>
      <c r="F107" s="109" t="n">
        <v>0</v>
      </c>
      <c r="G107" s="106">
        <f>INDEX(SETORES!$B:$B,MATCH(A107,SETORES!$A:$A,0))</f>
        <v/>
      </c>
      <c r="H107" s="106" t="inlineStr">
        <is>
          <t>Maio/2026</t>
        </is>
      </c>
    </row>
    <row r="108" hidden="1" ht="14.25" customHeight="1" s="64">
      <c r="A108" s="101" t="inlineStr">
        <is>
          <t>Contabilidade</t>
        </is>
      </c>
      <c r="B108" s="101" t="inlineStr">
        <is>
          <t>Custo Fixo</t>
        </is>
      </c>
      <c r="C108" s="101" t="inlineStr">
        <is>
          <t>Energia elétrica (rateio)</t>
        </is>
      </c>
      <c r="D108" s="102" t="n">
        <v>1</v>
      </c>
      <c r="E108" s="103" t="n">
        <v>42.554</v>
      </c>
      <c r="F108" s="104" t="n">
        <v>42.554</v>
      </c>
      <c r="G108" s="101">
        <f>INDEX(SETORES!$B:$B,MATCH(A108,SETORES!$A:$A,0))</f>
        <v/>
      </c>
      <c r="H108" s="101" t="inlineStr">
        <is>
          <t>Maio/2026</t>
        </is>
      </c>
    </row>
    <row r="109" hidden="1" ht="14.25" customHeight="1" s="64">
      <c r="A109" s="106" t="inlineStr">
        <is>
          <t>Contabilidade</t>
        </is>
      </c>
      <c r="B109" s="106" t="inlineStr">
        <is>
          <t>Custo Fixo</t>
        </is>
      </c>
      <c r="C109" s="106" t="inlineStr">
        <is>
          <t>Água e esgoto (rateio)</t>
        </is>
      </c>
      <c r="D109" s="107" t="n">
        <v>1</v>
      </c>
      <c r="E109" s="108" t="n">
        <v>0</v>
      </c>
      <c r="F109" s="109" t="n">
        <v>0</v>
      </c>
      <c r="G109" s="106">
        <f>INDEX(SETORES!$B:$B,MATCH(A109,SETORES!$A:$A,0))</f>
        <v/>
      </c>
      <c r="H109" s="106" t="inlineStr">
        <is>
          <t>Maio/2026</t>
        </is>
      </c>
    </row>
    <row r="110" hidden="1" ht="14.25" customHeight="1" s="64">
      <c r="A110" s="101" t="inlineStr">
        <is>
          <t>Contabilidade</t>
        </is>
      </c>
      <c r="B110" s="101" t="inlineStr">
        <is>
          <t>Custo Fixo</t>
        </is>
      </c>
      <c r="C110" s="101" t="inlineStr">
        <is>
          <t>Telefonia móvel corporativa</t>
        </is>
      </c>
      <c r="D110" s="102" t="n"/>
      <c r="E110" s="103" t="n"/>
      <c r="F110" s="104">
        <f>IFERROR(D110*E110,0)</f>
        <v/>
      </c>
      <c r="G110" s="101">
        <f>INDEX(SETORES!$B:$B,MATCH(A110,SETORES!$A:$A,0))</f>
        <v/>
      </c>
      <c r="H110" s="101" t="inlineStr">
        <is>
          <t>Maio/2026</t>
        </is>
      </c>
    </row>
    <row r="111" hidden="1" ht="14.25" customHeight="1" s="64">
      <c r="A111" s="106" t="inlineStr">
        <is>
          <t>Contabilidade</t>
        </is>
      </c>
      <c r="B111" s="106" t="inlineStr">
        <is>
          <t>Custo Fixo</t>
        </is>
      </c>
      <c r="C111" s="106" t="inlineStr">
        <is>
          <t>Folha de pagamento (salários)</t>
        </is>
      </c>
      <c r="D111" s="107" t="n">
        <v>1</v>
      </c>
      <c r="E111" s="108" t="n">
        <v>14135.77</v>
      </c>
      <c r="F111" s="109">
        <f>IFERROR(E111,0)</f>
        <v/>
      </c>
      <c r="G111" s="106">
        <f>INDEX(SETORES!$B:$B,MATCH(A111,SETORES!$A:$A,0))</f>
        <v/>
      </c>
      <c r="H111" s="106" t="inlineStr">
        <is>
          <t>Maio/2026</t>
        </is>
      </c>
    </row>
    <row r="112" hidden="1" ht="14.25" customHeight="1" s="64">
      <c r="A112" s="101" t="inlineStr">
        <is>
          <t>Contabilidade</t>
        </is>
      </c>
      <c r="B112" s="101" t="inlineStr">
        <is>
          <t>Custo Variável</t>
        </is>
      </c>
      <c r="C112" s="101" t="inlineStr">
        <is>
          <t>Auditoria contábil externa</t>
        </is>
      </c>
      <c r="D112" s="102" t="n"/>
      <c r="E112" s="103" t="n"/>
      <c r="F112" s="104">
        <f>IFERROR(D112*E112,0)</f>
        <v/>
      </c>
      <c r="G112" s="101">
        <f>INDEX(SETORES!$B:$B,MATCH(A112,SETORES!$A:$A,0))</f>
        <v/>
      </c>
      <c r="H112" s="101" t="inlineStr">
        <is>
          <t>Maio/2026</t>
        </is>
      </c>
    </row>
    <row r="113" hidden="1" ht="14.25" customHeight="1" s="64">
      <c r="A113" s="106" t="inlineStr">
        <is>
          <t>Contabilidade</t>
        </is>
      </c>
      <c r="B113" s="106" t="inlineStr">
        <is>
          <t>Custo Variável</t>
        </is>
      </c>
      <c r="C113" s="106" t="inlineStr">
        <is>
          <t>Fardamento novo</t>
        </is>
      </c>
      <c r="D113" s="107" t="n"/>
      <c r="E113" s="108" t="n"/>
      <c r="F113" s="109">
        <f>IFERROR(D113*E113,0)</f>
        <v/>
      </c>
      <c r="G113" s="106">
        <f>INDEX(SETORES!$B:$B,MATCH(A113,SETORES!$A:$A,0))</f>
        <v/>
      </c>
      <c r="H113" s="106" t="inlineStr">
        <is>
          <t>Maio/2026</t>
        </is>
      </c>
    </row>
    <row r="114" hidden="1" ht="14.25" customHeight="1" s="64">
      <c r="A114" s="101" t="inlineStr">
        <is>
          <t>Contabilidade</t>
        </is>
      </c>
      <c r="B114" s="101" t="inlineStr">
        <is>
          <t>Custo Variável</t>
        </is>
      </c>
      <c r="C114" s="101" t="inlineStr">
        <is>
          <t>Fardamento substituição</t>
        </is>
      </c>
      <c r="D114" s="102" t="n">
        <v>1</v>
      </c>
      <c r="E114" s="103" t="n">
        <v>68</v>
      </c>
      <c r="F114" s="104">
        <f>IFERROR(D114*E114,0)</f>
        <v/>
      </c>
      <c r="G114" s="101">
        <f>INDEX(SETORES!$B:$B,MATCH(A114,SETORES!$A:$A,0))</f>
        <v/>
      </c>
      <c r="H114" s="101" t="inlineStr">
        <is>
          <t>Maio/2026</t>
        </is>
      </c>
    </row>
    <row r="115" hidden="1" ht="14.25" customHeight="1" s="64">
      <c r="A115" s="106" t="inlineStr">
        <is>
          <t>Contabilidade</t>
        </is>
      </c>
      <c r="B115" s="106" t="inlineStr">
        <is>
          <t>Custo Fixo</t>
        </is>
      </c>
      <c r="C115" s="106" t="inlineStr">
        <is>
          <t>Licença de e-mail corporativo</t>
        </is>
      </c>
      <c r="D115" s="107" t="n">
        <v>5</v>
      </c>
      <c r="E115" s="108" t="n">
        <v>50</v>
      </c>
      <c r="F115" s="109">
        <f>IFERROR(D115*E115,0)</f>
        <v/>
      </c>
      <c r="G115" s="106">
        <f>INDEX(SETORES!$B:$B,MATCH(A115,SETORES!$A:$A,0))</f>
        <v/>
      </c>
      <c r="H115" s="106" t="inlineStr">
        <is>
          <t>Maio/2026</t>
        </is>
      </c>
    </row>
    <row r="116" hidden="1" ht="14.25" customHeight="1" s="64">
      <c r="A116" s="101" t="inlineStr">
        <is>
          <t>Contabilidade</t>
        </is>
      </c>
      <c r="B116" s="101" t="inlineStr">
        <is>
          <t>Custo Fixo</t>
        </is>
      </c>
      <c r="C116" s="101" t="inlineStr">
        <is>
          <t>Gympass</t>
        </is>
      </c>
      <c r="D116" s="102" t="n">
        <v>5</v>
      </c>
      <c r="E116" s="103" t="n">
        <v>10.05</v>
      </c>
      <c r="F116" s="104">
        <f>IFERROR(D116*E116,0)</f>
        <v/>
      </c>
      <c r="G116" s="101">
        <f>INDEX(SETORES!$B:$B,MATCH(A116,SETORES!$A:$A,0))</f>
        <v/>
      </c>
      <c r="H116" s="101" t="inlineStr">
        <is>
          <t>Maio/2026</t>
        </is>
      </c>
    </row>
    <row r="117" hidden="1" ht="14.25" customHeight="1" s="64">
      <c r="A117" s="106" t="inlineStr">
        <is>
          <t>Contabilidade</t>
        </is>
      </c>
      <c r="B117" s="106" t="inlineStr">
        <is>
          <t>Custo Fixo</t>
        </is>
      </c>
      <c r="C117" s="106" t="inlineStr">
        <is>
          <t>Stargrid</t>
        </is>
      </c>
      <c r="D117" s="107" t="n">
        <v>5</v>
      </c>
      <c r="E117" s="108" t="n">
        <v>2.07</v>
      </c>
      <c r="F117" s="109">
        <f>IFERROR(D117*E117,0)</f>
        <v/>
      </c>
      <c r="G117" s="106">
        <f>INDEX(SETORES!$B:$B,MATCH(A117,SETORES!$A:$A,0))</f>
        <v/>
      </c>
      <c r="H117" s="106" t="inlineStr">
        <is>
          <t>Maio/2026</t>
        </is>
      </c>
    </row>
    <row r="118" hidden="1" ht="14.25" customHeight="1" s="64">
      <c r="A118" s="101" t="inlineStr">
        <is>
          <t>Contabilidade</t>
        </is>
      </c>
      <c r="B118" s="101" t="inlineStr">
        <is>
          <t>Custo Fixo</t>
        </is>
      </c>
      <c r="C118" s="101" t="inlineStr">
        <is>
          <t>Despesas com SST</t>
        </is>
      </c>
      <c r="D118" s="102" t="n">
        <v>5</v>
      </c>
      <c r="E118" s="103" t="n">
        <v>64.56999999999999</v>
      </c>
      <c r="F118" s="104">
        <f>IFERROR(D118*E118,0)</f>
        <v/>
      </c>
      <c r="G118" s="101">
        <f>INDEX(SETORES!$B:$B,MATCH(A118,SETORES!$A:$A,0))</f>
        <v/>
      </c>
      <c r="H118" s="101" t="inlineStr">
        <is>
          <t>Maio/2026</t>
        </is>
      </c>
    </row>
    <row r="119" hidden="1" ht="14.25" customHeight="1" s="64">
      <c r="A119" s="106" t="inlineStr">
        <is>
          <t>Contabilidade</t>
        </is>
      </c>
      <c r="B119" s="106" t="inlineStr">
        <is>
          <t>Custo Fixo</t>
        </is>
      </c>
      <c r="C119" s="106" t="inlineStr">
        <is>
          <t>Despesas com RH</t>
        </is>
      </c>
      <c r="D119" s="107" t="n">
        <v>5</v>
      </c>
      <c r="E119" s="108" t="n">
        <v>28.31</v>
      </c>
      <c r="F119" s="109">
        <f>IFERROR(D119*E119,0)</f>
        <v/>
      </c>
      <c r="G119" s="106">
        <f>INDEX(SETORES!$B:$B,MATCH(A119,SETORES!$A:$A,0))</f>
        <v/>
      </c>
      <c r="H119" s="106" t="inlineStr">
        <is>
          <t>Maio/2026</t>
        </is>
      </c>
    </row>
    <row r="120" hidden="1" ht="14.25" customHeight="1" s="64">
      <c r="A120" s="101" t="inlineStr">
        <is>
          <t>Contabilidade</t>
        </is>
      </c>
      <c r="B120" s="101" t="inlineStr">
        <is>
          <t>Custo Fixo</t>
        </is>
      </c>
      <c r="C120" s="101" t="inlineStr">
        <is>
          <t>Despesas com DP</t>
        </is>
      </c>
      <c r="D120" s="102" t="n">
        <v>5</v>
      </c>
      <c r="E120" s="103" t="n">
        <v>47.79</v>
      </c>
      <c r="F120" s="104">
        <f>IFERROR(D120*E120,0)</f>
        <v/>
      </c>
      <c r="G120" s="101">
        <f>INDEX(SETORES!$B:$B,MATCH(A120,SETORES!$A:$A,0))</f>
        <v/>
      </c>
      <c r="H120" s="101" t="inlineStr">
        <is>
          <t>Maio/2026</t>
        </is>
      </c>
    </row>
    <row r="121" hidden="1" ht="14.25" customHeight="1" s="64">
      <c r="A121" s="106" t="inlineStr">
        <is>
          <t>Contabilidade</t>
        </is>
      </c>
      <c r="B121" s="106" t="inlineStr">
        <is>
          <t>Custo Variável</t>
        </is>
      </c>
      <c r="C121" s="106" t="inlineStr">
        <is>
          <t>Consultoria contábil PJ (Wadson Genuíno)</t>
        </is>
      </c>
      <c r="D121" s="107" t="n">
        <v>1</v>
      </c>
      <c r="E121" s="108" t="n">
        <v>9468</v>
      </c>
      <c r="F121" s="109">
        <f>IFERROR(D121*E121,0)</f>
        <v/>
      </c>
      <c r="G121" s="106">
        <f>INDEX(SETORES!$B:$B,MATCH(A121,SETORES!$A:$A,0))</f>
        <v/>
      </c>
      <c r="H121" s="106" t="inlineStr">
        <is>
          <t>Maio/2026</t>
        </is>
      </c>
    </row>
    <row r="122" hidden="1" ht="14.25" customHeight="1" s="64">
      <c r="A122" s="101" t="inlineStr">
        <is>
          <t>Controladoria</t>
        </is>
      </c>
      <c r="B122" s="101" t="inlineStr">
        <is>
          <t>Custo Fixo</t>
        </is>
      </c>
      <c r="C122" s="101" t="inlineStr">
        <is>
          <t>Material de escritório (suprimentos de informática)</t>
        </is>
      </c>
      <c r="D122" s="102" t="n"/>
      <c r="E122" s="103" t="n"/>
      <c r="F122" s="104" t="n">
        <v>0</v>
      </c>
      <c r="G122" s="101">
        <f>INDEX(SETORES!$B:$B,MATCH(A122,SETORES!$A:$A,0))</f>
        <v/>
      </c>
      <c r="H122" s="101" t="inlineStr">
        <is>
          <t>Maio/2026</t>
        </is>
      </c>
    </row>
    <row r="123" hidden="1" ht="14.25" customHeight="1" s="64">
      <c r="A123" s="106" t="inlineStr">
        <is>
          <t>Controladoria</t>
        </is>
      </c>
      <c r="B123" s="106" t="inlineStr">
        <is>
          <t>Custo Fixo</t>
        </is>
      </c>
      <c r="C123" s="106" t="inlineStr">
        <is>
          <t>Material de uso coletivo (copa/limpeza)</t>
        </is>
      </c>
      <c r="D123" s="107" t="n"/>
      <c r="E123" s="108" t="n"/>
      <c r="F123" s="109" t="n">
        <v>0</v>
      </c>
      <c r="G123" s="106">
        <f>INDEX(SETORES!$B:$B,MATCH(A123,SETORES!$A:$A,0))</f>
        <v/>
      </c>
      <c r="H123" s="106" t="inlineStr">
        <is>
          <t>Maio/2026</t>
        </is>
      </c>
    </row>
    <row r="124" hidden="1" ht="14.25" customHeight="1" s="64">
      <c r="A124" s="101" t="inlineStr">
        <is>
          <t>Controladoria</t>
        </is>
      </c>
      <c r="B124" s="101" t="inlineStr">
        <is>
          <t>Custo Fixo</t>
        </is>
      </c>
      <c r="C124" s="101" t="inlineStr">
        <is>
          <t>Energia elétrica (rateio)</t>
        </is>
      </c>
      <c r="D124" s="102" t="n">
        <v>1</v>
      </c>
      <c r="E124" s="103" t="n">
        <v>8.5108</v>
      </c>
      <c r="F124" s="104" t="n">
        <v>8.5108</v>
      </c>
      <c r="G124" s="101">
        <f>INDEX(SETORES!$B:$B,MATCH(A124,SETORES!$A:$A,0))</f>
        <v/>
      </c>
      <c r="H124" s="101" t="inlineStr">
        <is>
          <t>Maio/2026</t>
        </is>
      </c>
    </row>
    <row r="125" hidden="1" ht="14.25" customHeight="1" s="64">
      <c r="A125" s="106" t="inlineStr">
        <is>
          <t>Controladoria</t>
        </is>
      </c>
      <c r="B125" s="106" t="inlineStr">
        <is>
          <t>Custo Fixo</t>
        </is>
      </c>
      <c r="C125" s="106" t="inlineStr">
        <is>
          <t>Água e esgoto (rateio)</t>
        </is>
      </c>
      <c r="D125" s="107" t="n">
        <v>1</v>
      </c>
      <c r="E125" s="108" t="n">
        <v>0</v>
      </c>
      <c r="F125" s="109" t="n">
        <v>0</v>
      </c>
      <c r="G125" s="106">
        <f>INDEX(SETORES!$B:$B,MATCH(A125,SETORES!$A:$A,0))</f>
        <v/>
      </c>
      <c r="H125" s="106" t="inlineStr">
        <is>
          <t>Maio/2026</t>
        </is>
      </c>
    </row>
    <row r="126" hidden="1" ht="14.25" customHeight="1" s="64">
      <c r="A126" s="101" t="inlineStr">
        <is>
          <t>Controladoria</t>
        </is>
      </c>
      <c r="B126" s="101" t="inlineStr">
        <is>
          <t>Custo Fixo</t>
        </is>
      </c>
      <c r="C126" s="101" t="inlineStr">
        <is>
          <t>Chip móvel corporativo</t>
        </is>
      </c>
      <c r="D126" s="102" t="n">
        <v>1</v>
      </c>
      <c r="E126" s="103" t="n">
        <v>30</v>
      </c>
      <c r="F126" s="104">
        <f>IFERROR(D126*E126,0)</f>
        <v/>
      </c>
      <c r="G126" s="101">
        <f>INDEX(SETORES!$B:$B,MATCH(A126,SETORES!$A:$A,0))</f>
        <v/>
      </c>
      <c r="H126" s="101" t="inlineStr">
        <is>
          <t>Maio/2026</t>
        </is>
      </c>
    </row>
    <row r="127" hidden="1" ht="14.25" customHeight="1" s="64">
      <c r="A127" s="106" t="inlineStr">
        <is>
          <t>Controladoria</t>
        </is>
      </c>
      <c r="B127" s="106" t="inlineStr">
        <is>
          <t>Custo Fixo</t>
        </is>
      </c>
      <c r="C127" s="106" t="inlineStr">
        <is>
          <t>Folha de pagamento (salários)</t>
        </is>
      </c>
      <c r="D127" s="107" t="n">
        <v>1</v>
      </c>
      <c r="E127" s="108" t="n">
        <v>18000</v>
      </c>
      <c r="F127" s="109">
        <f>IFERROR(E127,0)</f>
        <v/>
      </c>
      <c r="G127" s="106">
        <f>INDEX(SETORES!$B:$B,MATCH(A127,SETORES!$A:$A,0))</f>
        <v/>
      </c>
      <c r="H127" s="106" t="inlineStr">
        <is>
          <t>Maio/2026</t>
        </is>
      </c>
    </row>
    <row r="128" hidden="1" ht="14.25" customHeight="1" s="64">
      <c r="A128" s="101" t="inlineStr">
        <is>
          <t>Controladoria</t>
        </is>
      </c>
      <c r="B128" s="101" t="inlineStr">
        <is>
          <t>Custo Fixo</t>
        </is>
      </c>
      <c r="C128" s="101" t="inlineStr">
        <is>
          <t>Gympass</t>
        </is>
      </c>
      <c r="D128" s="102">
        <f>D890</f>
        <v/>
      </c>
      <c r="E128" s="103" t="n">
        <v>10.05</v>
      </c>
      <c r="F128" s="104">
        <f>IFERROR(D128*E128,0)</f>
        <v/>
      </c>
      <c r="G128" s="101">
        <f>INDEX(SETORES!$B:$B,MATCH(A128,SETORES!$A:$A,0))</f>
        <v/>
      </c>
      <c r="H128" s="101" t="inlineStr">
        <is>
          <t>Maio/2026</t>
        </is>
      </c>
    </row>
    <row r="129" hidden="1" ht="14.25" customHeight="1" s="64">
      <c r="A129" s="106" t="inlineStr">
        <is>
          <t>Controladoria</t>
        </is>
      </c>
      <c r="B129" s="106" t="inlineStr">
        <is>
          <t>Custo Fixo</t>
        </is>
      </c>
      <c r="C129" s="106" t="inlineStr">
        <is>
          <t>Stargrid</t>
        </is>
      </c>
      <c r="D129" s="107">
        <f>D890</f>
        <v/>
      </c>
      <c r="E129" s="108" t="n">
        <v>2.07</v>
      </c>
      <c r="F129" s="109">
        <f>IFERROR(D129*E129,0)</f>
        <v/>
      </c>
      <c r="G129" s="106">
        <f>INDEX(SETORES!$B:$B,MATCH(A129,SETORES!$A:$A,0))</f>
        <v/>
      </c>
      <c r="H129" s="106" t="inlineStr">
        <is>
          <t>Maio/2026</t>
        </is>
      </c>
    </row>
    <row r="130" hidden="1" ht="14.25" customHeight="1" s="64">
      <c r="A130" s="101" t="inlineStr">
        <is>
          <t>Controladoria</t>
        </is>
      </c>
      <c r="B130" s="101" t="inlineStr">
        <is>
          <t>Custo Fixo</t>
        </is>
      </c>
      <c r="C130" s="101" t="inlineStr">
        <is>
          <t>Despesas com SST</t>
        </is>
      </c>
      <c r="D130" s="102">
        <f>D890</f>
        <v/>
      </c>
      <c r="E130" s="103" t="n">
        <v>64.56999999999999</v>
      </c>
      <c r="F130" s="104">
        <f>IFERROR(D130*E130,0)</f>
        <v/>
      </c>
      <c r="G130" s="101">
        <f>INDEX(SETORES!$B:$B,MATCH(A130,SETORES!$A:$A,0))</f>
        <v/>
      </c>
      <c r="H130" s="101" t="inlineStr">
        <is>
          <t>Maio/2026</t>
        </is>
      </c>
    </row>
    <row r="131" hidden="1" ht="14.25" customHeight="1" s="64">
      <c r="A131" s="106" t="inlineStr">
        <is>
          <t>Controladoria</t>
        </is>
      </c>
      <c r="B131" s="106" t="inlineStr">
        <is>
          <t>Custo Fixo</t>
        </is>
      </c>
      <c r="C131" s="106" t="inlineStr">
        <is>
          <t>Despesas com RH</t>
        </is>
      </c>
      <c r="D131" s="107">
        <f>D890</f>
        <v/>
      </c>
      <c r="E131" s="108" t="n">
        <v>28.31</v>
      </c>
      <c r="F131" s="109">
        <f>IFERROR(D131*E131,0)</f>
        <v/>
      </c>
      <c r="G131" s="106">
        <f>INDEX(SETORES!$B:$B,MATCH(A131,SETORES!$A:$A,0))</f>
        <v/>
      </c>
      <c r="H131" s="106" t="inlineStr">
        <is>
          <t>Maio/2026</t>
        </is>
      </c>
    </row>
    <row r="132" hidden="1" ht="14.25" customHeight="1" s="64">
      <c r="A132" s="101" t="inlineStr">
        <is>
          <t>Controladoria</t>
        </is>
      </c>
      <c r="B132" s="101" t="inlineStr">
        <is>
          <t>Custo Fixo</t>
        </is>
      </c>
      <c r="C132" s="101" t="inlineStr">
        <is>
          <t>Despesas com DP</t>
        </is>
      </c>
      <c r="D132" s="102">
        <f>D890</f>
        <v/>
      </c>
      <c r="E132" s="103" t="n">
        <v>47.79</v>
      </c>
      <c r="F132" s="104">
        <f>IFERROR(D132*E132,0)</f>
        <v/>
      </c>
      <c r="G132" s="101">
        <f>INDEX(SETORES!$B:$B,MATCH(A132,SETORES!$A:$A,0))</f>
        <v/>
      </c>
      <c r="H132" s="101" t="inlineStr">
        <is>
          <t>Maio/2026</t>
        </is>
      </c>
    </row>
    <row r="133" hidden="1" ht="14.25" customHeight="1" s="64">
      <c r="A133" s="106" t="inlineStr">
        <is>
          <t>DP</t>
        </is>
      </c>
      <c r="B133" s="106" t="inlineStr">
        <is>
          <t>Custo Fixo</t>
        </is>
      </c>
      <c r="C133" s="106" t="inlineStr">
        <is>
          <t>Material de escritório (suprimentos de informática)</t>
        </is>
      </c>
      <c r="D133" s="107" t="n">
        <v>1</v>
      </c>
      <c r="E133" s="108" t="n">
        <v>28.5</v>
      </c>
      <c r="F133" s="109" t="n">
        <v>57.0003</v>
      </c>
      <c r="G133" s="106">
        <f>INDEX(SETORES!$B:$B,MATCH(A133,SETORES!$A:$A,0))</f>
        <v/>
      </c>
      <c r="H133" s="106" t="inlineStr">
        <is>
          <t>Maio/2026</t>
        </is>
      </c>
    </row>
    <row r="134" hidden="1" ht="14.25" customHeight="1" s="64">
      <c r="A134" s="101" t="inlineStr">
        <is>
          <t>DP</t>
        </is>
      </c>
      <c r="B134" s="101" t="inlineStr">
        <is>
          <t>Custo Fixo</t>
        </is>
      </c>
      <c r="C134" s="101" t="inlineStr">
        <is>
          <t>Material de uso coletivo (copa/limpeza)</t>
        </is>
      </c>
      <c r="D134" s="102" t="n">
        <v>1</v>
      </c>
      <c r="E134" s="103" t="n">
        <v>28.5</v>
      </c>
      <c r="F134" s="104" t="n">
        <v>28.5</v>
      </c>
      <c r="G134" s="101">
        <f>INDEX(SETORES!$B:$B,MATCH(A134,SETORES!$A:$A,0))</f>
        <v/>
      </c>
      <c r="H134" s="101" t="inlineStr">
        <is>
          <t>Maio/2026</t>
        </is>
      </c>
    </row>
    <row r="135" hidden="1" ht="14.25" customHeight="1" s="64">
      <c r="A135" s="106" t="inlineStr">
        <is>
          <t>DP</t>
        </is>
      </c>
      <c r="B135" s="106" t="inlineStr">
        <is>
          <t>Custo Fixo</t>
        </is>
      </c>
      <c r="C135" s="106" t="inlineStr">
        <is>
          <t>Energia elétrica (rateio)</t>
        </is>
      </c>
      <c r="D135" s="107" t="n">
        <v>1</v>
      </c>
      <c r="E135" s="108" t="n">
        <v>59.5756</v>
      </c>
      <c r="F135" s="109" t="n">
        <v>59.5756</v>
      </c>
      <c r="G135" s="106">
        <f>INDEX(SETORES!$B:$B,MATCH(A135,SETORES!$A:$A,0))</f>
        <v/>
      </c>
      <c r="H135" s="106" t="inlineStr">
        <is>
          <t>Maio/2026</t>
        </is>
      </c>
    </row>
    <row r="136" hidden="1" ht="14.25" customHeight="1" s="64">
      <c r="A136" s="101" t="inlineStr">
        <is>
          <t>DP</t>
        </is>
      </c>
      <c r="B136" s="101" t="inlineStr">
        <is>
          <t>Custo Fixo</t>
        </is>
      </c>
      <c r="C136" s="101" t="inlineStr">
        <is>
          <t>Água e esgoto (rateio)</t>
        </is>
      </c>
      <c r="D136" s="102" t="n">
        <v>1</v>
      </c>
      <c r="E136" s="103" t="n">
        <v>0</v>
      </c>
      <c r="F136" s="104" t="n">
        <v>0</v>
      </c>
      <c r="G136" s="101">
        <f>INDEX(SETORES!$B:$B,MATCH(A136,SETORES!$A:$A,0))</f>
        <v/>
      </c>
      <c r="H136" s="101" t="inlineStr">
        <is>
          <t>Maio/2026</t>
        </is>
      </c>
    </row>
    <row r="137" hidden="1" ht="14.25" customHeight="1" s="64">
      <c r="A137" s="106" t="inlineStr">
        <is>
          <t>DP</t>
        </is>
      </c>
      <c r="B137" s="106" t="inlineStr">
        <is>
          <t>Custo Fixo</t>
        </is>
      </c>
      <c r="C137" s="106" t="inlineStr">
        <is>
          <t>Telefonia móvel corporativa</t>
        </is>
      </c>
      <c r="D137" s="107" t="n"/>
      <c r="E137" s="108" t="n"/>
      <c r="F137" s="109">
        <f>IFERROR(D137*E137,0)</f>
        <v/>
      </c>
      <c r="G137" s="106">
        <f>INDEX(SETORES!$B:$B,MATCH(A137,SETORES!$A:$A,0))</f>
        <v/>
      </c>
      <c r="H137" s="106" t="inlineStr">
        <is>
          <t>Maio/2026</t>
        </is>
      </c>
    </row>
    <row r="138" hidden="1" ht="14.25" customHeight="1" s="64">
      <c r="A138" s="101" t="inlineStr">
        <is>
          <t>DP</t>
        </is>
      </c>
      <c r="B138" s="101" t="inlineStr">
        <is>
          <t>Custo Fixo</t>
        </is>
      </c>
      <c r="C138" s="101" t="inlineStr">
        <is>
          <t>Folha de pagamento (salários)</t>
        </is>
      </c>
      <c r="D138" s="102" t="n">
        <v>1</v>
      </c>
      <c r="E138" s="103" t="n">
        <v>36796.53</v>
      </c>
      <c r="F138" s="104">
        <f>IFERROR(E138,0)</f>
        <v/>
      </c>
      <c r="G138" s="101">
        <f>INDEX(SETORES!$B:$B,MATCH(A138,SETORES!$A:$A,0))</f>
        <v/>
      </c>
      <c r="H138" s="101" t="inlineStr">
        <is>
          <t>Maio/2026</t>
        </is>
      </c>
    </row>
    <row r="139" hidden="1" ht="14.25" customHeight="1" s="64">
      <c r="A139" s="106" t="inlineStr">
        <is>
          <t>DP</t>
        </is>
      </c>
      <c r="B139" s="106" t="inlineStr">
        <is>
          <t>Custo Variável</t>
        </is>
      </c>
      <c r="C139" s="106" t="inlineStr">
        <is>
          <t>Exames admissionais/demissionais</t>
        </is>
      </c>
      <c r="D139" s="107" t="n"/>
      <c r="E139" s="108" t="n"/>
      <c r="F139" s="109">
        <f>IFERROR(D139*E139,0)</f>
        <v/>
      </c>
      <c r="G139" s="106">
        <f>INDEX(SETORES!$B:$B,MATCH(A139,SETORES!$A:$A,0))</f>
        <v/>
      </c>
      <c r="H139" s="106" t="inlineStr">
        <is>
          <t>Maio/2026</t>
        </is>
      </c>
    </row>
    <row r="140" hidden="1" ht="14.25" customHeight="1" s="64">
      <c r="A140" s="101" t="inlineStr">
        <is>
          <t>DP</t>
        </is>
      </c>
      <c r="B140" s="101" t="inlineStr">
        <is>
          <t>Custo Variável</t>
        </is>
      </c>
      <c r="C140" s="101" t="inlineStr">
        <is>
          <t>Homologações e rescisões</t>
        </is>
      </c>
      <c r="D140" s="102" t="n"/>
      <c r="E140" s="103" t="n"/>
      <c r="F140" s="104">
        <f>IFERROR(D140*E140,0)</f>
        <v/>
      </c>
      <c r="G140" s="101">
        <f>INDEX(SETORES!$B:$B,MATCH(A140,SETORES!$A:$A,0))</f>
        <v/>
      </c>
      <c r="H140" s="101" t="inlineStr">
        <is>
          <t>Maio/2026</t>
        </is>
      </c>
    </row>
    <row r="141" hidden="1" ht="14.25" customHeight="1" s="64">
      <c r="A141" s="106" t="inlineStr">
        <is>
          <t>DP</t>
        </is>
      </c>
      <c r="B141" s="106" t="inlineStr">
        <is>
          <t>Custo Variável</t>
        </is>
      </c>
      <c r="C141" s="106" t="inlineStr">
        <is>
          <t>Fardamento novo</t>
        </is>
      </c>
      <c r="D141" s="107" t="n"/>
      <c r="E141" s="108" t="n"/>
      <c r="F141" s="109">
        <f>IFERROR(D141*E141,0)</f>
        <v/>
      </c>
      <c r="G141" s="106">
        <f>INDEX(SETORES!$B:$B,MATCH(A141,SETORES!$A:$A,0))</f>
        <v/>
      </c>
      <c r="H141" s="106" t="inlineStr">
        <is>
          <t>Maio/2026</t>
        </is>
      </c>
    </row>
    <row r="142" hidden="1" ht="14.25" customHeight="1" s="64">
      <c r="A142" s="101" t="inlineStr">
        <is>
          <t>DP</t>
        </is>
      </c>
      <c r="B142" s="101" t="inlineStr">
        <is>
          <t>Custo Variável</t>
        </is>
      </c>
      <c r="C142" s="101" t="inlineStr">
        <is>
          <t>Fardamento substituição</t>
        </is>
      </c>
      <c r="D142" s="102" t="n">
        <v>1</v>
      </c>
      <c r="E142" s="103" t="n">
        <v>68</v>
      </c>
      <c r="F142" s="104">
        <f>IFERROR(D142*E142,0)</f>
        <v/>
      </c>
      <c r="G142" s="101">
        <f>INDEX(SETORES!$B:$B,MATCH(A142,SETORES!$A:$A,0))</f>
        <v/>
      </c>
      <c r="H142" s="101" t="inlineStr">
        <is>
          <t>Maio/2026</t>
        </is>
      </c>
    </row>
    <row r="143" hidden="1" ht="14.25" customHeight="1" s="64">
      <c r="A143" s="106" t="inlineStr">
        <is>
          <t>DP</t>
        </is>
      </c>
      <c r="B143" s="106" t="inlineStr">
        <is>
          <t>Custo Fixo</t>
        </is>
      </c>
      <c r="C143" s="106" t="inlineStr">
        <is>
          <t>Licença de e-mail corporativo</t>
        </is>
      </c>
      <c r="D143" s="107" t="n">
        <v>7</v>
      </c>
      <c r="E143" s="108" t="n">
        <v>50</v>
      </c>
      <c r="F143" s="109">
        <f>IFERROR(D143*E143,0)</f>
        <v/>
      </c>
      <c r="G143" s="106">
        <f>INDEX(SETORES!$B:$B,MATCH(A143,SETORES!$A:$A,0))</f>
        <v/>
      </c>
      <c r="H143" s="106" t="inlineStr">
        <is>
          <t>Maio/2026</t>
        </is>
      </c>
    </row>
    <row r="144" hidden="1" ht="14.25" customHeight="1" s="64">
      <c r="A144" s="101" t="inlineStr">
        <is>
          <t>DP</t>
        </is>
      </c>
      <c r="B144" s="101" t="inlineStr">
        <is>
          <t>Custo Fixo</t>
        </is>
      </c>
      <c r="C144" s="101" t="inlineStr">
        <is>
          <t>Gympass</t>
        </is>
      </c>
      <c r="D144" s="102" t="n">
        <v>7</v>
      </c>
      <c r="E144" s="103" t="n">
        <v>10.05</v>
      </c>
      <c r="F144" s="104">
        <f>IFERROR(D144*E144,0)</f>
        <v/>
      </c>
      <c r="G144" s="101">
        <f>INDEX(SETORES!$B:$B,MATCH(A144,SETORES!$A:$A,0))</f>
        <v/>
      </c>
      <c r="H144" s="101" t="inlineStr">
        <is>
          <t>Maio/2026</t>
        </is>
      </c>
    </row>
    <row r="145" hidden="1" ht="14.25" customHeight="1" s="64">
      <c r="A145" s="106" t="inlineStr">
        <is>
          <t>DP</t>
        </is>
      </c>
      <c r="B145" s="106" t="inlineStr">
        <is>
          <t>Custo Fixo</t>
        </is>
      </c>
      <c r="C145" s="106" t="inlineStr">
        <is>
          <t>Stargrid</t>
        </is>
      </c>
      <c r="D145" s="107" t="n">
        <v>7</v>
      </c>
      <c r="E145" s="108" t="n">
        <v>2.07</v>
      </c>
      <c r="F145" s="109">
        <f>IFERROR(D145*E145,0)</f>
        <v/>
      </c>
      <c r="G145" s="106">
        <f>INDEX(SETORES!$B:$B,MATCH(A145,SETORES!$A:$A,0))</f>
        <v/>
      </c>
      <c r="H145" s="106" t="inlineStr">
        <is>
          <t>Maio/2026</t>
        </is>
      </c>
    </row>
    <row r="146" hidden="1" ht="14.25" customHeight="1" s="64">
      <c r="A146" s="101" t="inlineStr">
        <is>
          <t>DP</t>
        </is>
      </c>
      <c r="B146" s="101" t="inlineStr">
        <is>
          <t>Custo Fixo</t>
        </is>
      </c>
      <c r="C146" s="101" t="inlineStr">
        <is>
          <t>Despesas com SST</t>
        </is>
      </c>
      <c r="D146" s="102" t="n">
        <v>7</v>
      </c>
      <c r="E146" s="103" t="n">
        <v>64.56999999999999</v>
      </c>
      <c r="F146" s="104">
        <f>IFERROR(D146*E146,0)</f>
        <v/>
      </c>
      <c r="G146" s="101">
        <f>INDEX(SETORES!$B:$B,MATCH(A146,SETORES!$A:$A,0))</f>
        <v/>
      </c>
      <c r="H146" s="101" t="inlineStr">
        <is>
          <t>Maio/2026</t>
        </is>
      </c>
    </row>
    <row r="147" hidden="1" ht="14.25" customHeight="1" s="64">
      <c r="A147" s="106" t="inlineStr">
        <is>
          <t>DP</t>
        </is>
      </c>
      <c r="B147" s="106" t="inlineStr">
        <is>
          <t>Custo Fixo</t>
        </is>
      </c>
      <c r="C147" s="106" t="inlineStr">
        <is>
          <t>Despesas com RH</t>
        </is>
      </c>
      <c r="D147" s="107" t="n">
        <v>7</v>
      </c>
      <c r="E147" s="108" t="n">
        <v>28.31</v>
      </c>
      <c r="F147" s="109">
        <f>IFERROR(D147*E147,0)</f>
        <v/>
      </c>
      <c r="G147" s="106">
        <f>INDEX(SETORES!$B:$B,MATCH(A147,SETORES!$A:$A,0))</f>
        <v/>
      </c>
      <c r="H147" s="106" t="inlineStr">
        <is>
          <t>Maio/2026</t>
        </is>
      </c>
    </row>
    <row r="148" hidden="1" ht="14.25" customHeight="1" s="64">
      <c r="A148" s="101" t="inlineStr">
        <is>
          <t>DP</t>
        </is>
      </c>
      <c r="B148" s="101" t="inlineStr">
        <is>
          <t>Custo Fixo</t>
        </is>
      </c>
      <c r="C148" s="101" t="inlineStr">
        <is>
          <t>Despesas com DP</t>
        </is>
      </c>
      <c r="D148" s="102" t="n">
        <v>7</v>
      </c>
      <c r="E148" s="103" t="n">
        <v>47.79</v>
      </c>
      <c r="F148" s="104">
        <f>IFERROR(D148*E148,0)</f>
        <v/>
      </c>
      <c r="G148" s="101">
        <f>INDEX(SETORES!$B:$B,MATCH(A148,SETORES!$A:$A,0))</f>
        <v/>
      </c>
      <c r="H148" s="101" t="inlineStr">
        <is>
          <t>Maio/2026</t>
        </is>
      </c>
    </row>
    <row r="149" hidden="1" ht="14.25" customHeight="1" s="64">
      <c r="A149" s="106" t="inlineStr">
        <is>
          <t>Diretoria Operacional</t>
        </is>
      </c>
      <c r="B149" s="106" t="inlineStr">
        <is>
          <t>Custo Fixo</t>
        </is>
      </c>
      <c r="C149" s="106" t="inlineStr">
        <is>
          <t>Material de escritório (suprimentos de informática)</t>
        </is>
      </c>
      <c r="D149" s="107" t="n"/>
      <c r="E149" s="108" t="n"/>
      <c r="F149" s="109" t="n">
        <v>0</v>
      </c>
      <c r="G149" s="106">
        <f>INDEX(SETORES!$B:$B,MATCH(A149,SETORES!$A:$A,0))</f>
        <v/>
      </c>
      <c r="H149" s="106" t="inlineStr">
        <is>
          <t>Maio/2026</t>
        </is>
      </c>
    </row>
    <row r="150" hidden="1" ht="14.25" customHeight="1" s="64">
      <c r="A150" s="101" t="inlineStr">
        <is>
          <t>Diretoria Operacional</t>
        </is>
      </c>
      <c r="B150" s="101" t="inlineStr">
        <is>
          <t>Custo Fixo</t>
        </is>
      </c>
      <c r="C150" s="101" t="inlineStr">
        <is>
          <t>Material de uso coletivo (copa/limpeza)</t>
        </is>
      </c>
      <c r="D150" s="102" t="n"/>
      <c r="E150" s="103" t="n"/>
      <c r="F150" s="104" t="n">
        <v>0</v>
      </c>
      <c r="G150" s="101">
        <f>INDEX(SETORES!$B:$B,MATCH(A150,SETORES!$A:$A,0))</f>
        <v/>
      </c>
      <c r="H150" s="101" t="inlineStr">
        <is>
          <t>Maio/2026</t>
        </is>
      </c>
    </row>
    <row r="151" hidden="1" ht="14.25" customHeight="1" s="64">
      <c r="A151" s="106" t="inlineStr">
        <is>
          <t>Diretoria Operacional</t>
        </is>
      </c>
      <c r="B151" s="106" t="inlineStr">
        <is>
          <t>Custo Fixo</t>
        </is>
      </c>
      <c r="C151" s="106" t="inlineStr">
        <is>
          <t>Energia elétrica (rateio)</t>
        </is>
      </c>
      <c r="D151" s="107" t="n">
        <v>1</v>
      </c>
      <c r="E151" s="108" t="n">
        <v>17.0216</v>
      </c>
      <c r="F151" s="109" t="n">
        <v>17.0216</v>
      </c>
      <c r="G151" s="106">
        <f>INDEX(SETORES!$B:$B,MATCH(A151,SETORES!$A:$A,0))</f>
        <v/>
      </c>
      <c r="H151" s="106" t="inlineStr">
        <is>
          <t>Maio/2026</t>
        </is>
      </c>
    </row>
    <row r="152" hidden="1" ht="14.25" customHeight="1" s="64">
      <c r="A152" s="101" t="inlineStr">
        <is>
          <t>Diretoria Operacional</t>
        </is>
      </c>
      <c r="B152" s="101" t="inlineStr">
        <is>
          <t>Custo Fixo</t>
        </is>
      </c>
      <c r="C152" s="101" t="inlineStr">
        <is>
          <t>Água e esgoto (rateio)</t>
        </is>
      </c>
      <c r="D152" s="102" t="n">
        <v>1</v>
      </c>
      <c r="E152" s="103" t="n">
        <v>0</v>
      </c>
      <c r="F152" s="104" t="n">
        <v>0</v>
      </c>
      <c r="G152" s="101">
        <f>INDEX(SETORES!$B:$B,MATCH(A152,SETORES!$A:$A,0))</f>
        <v/>
      </c>
      <c r="H152" s="101" t="inlineStr">
        <is>
          <t>Maio/2026</t>
        </is>
      </c>
    </row>
    <row r="153" hidden="1" ht="14.25" customHeight="1" s="64">
      <c r="A153" s="106" t="inlineStr">
        <is>
          <t>Diretoria Operacional</t>
        </is>
      </c>
      <c r="B153" s="106" t="inlineStr">
        <is>
          <t>Custo Fixo</t>
        </is>
      </c>
      <c r="C153" s="106" t="inlineStr">
        <is>
          <t>Telefonia móvel corporativa</t>
        </is>
      </c>
      <c r="D153" s="107" t="n"/>
      <c r="E153" s="108" t="n"/>
      <c r="F153" s="109">
        <f>IFERROR(D153*E153,0)</f>
        <v/>
      </c>
      <c r="G153" s="106">
        <f>INDEX(SETORES!$B:$B,MATCH(A153,SETORES!$A:$A,0))</f>
        <v/>
      </c>
      <c r="H153" s="106" t="inlineStr">
        <is>
          <t>Maio/2026</t>
        </is>
      </c>
    </row>
    <row r="154" hidden="1" ht="14.25" customHeight="1" s="64">
      <c r="A154" s="101" t="inlineStr">
        <is>
          <t>Diretoria Operacional</t>
        </is>
      </c>
      <c r="B154" s="101" t="inlineStr">
        <is>
          <t>Custo Fixo</t>
        </is>
      </c>
      <c r="C154" s="101" t="inlineStr">
        <is>
          <t>Folha de pagamento (salários)</t>
        </is>
      </c>
      <c r="D154" s="102" t="n">
        <v>1</v>
      </c>
      <c r="E154" s="103" t="n">
        <v>27129.8033777778</v>
      </c>
      <c r="F154" s="104">
        <f>IFERROR(E154,0)</f>
        <v/>
      </c>
      <c r="G154" s="101">
        <f>INDEX(SETORES!$B:$B,MATCH(A154,SETORES!$A:$A,0))</f>
        <v/>
      </c>
      <c r="H154" s="101" t="inlineStr">
        <is>
          <t>Maio/2026</t>
        </is>
      </c>
    </row>
    <row r="155" hidden="1" ht="14.25" customHeight="1" s="64">
      <c r="A155" s="106" t="inlineStr">
        <is>
          <t>Diretoria Operacional</t>
        </is>
      </c>
      <c r="B155" s="106" t="inlineStr">
        <is>
          <t>Custo Variável</t>
        </is>
      </c>
      <c r="C155" s="106" t="inlineStr">
        <is>
          <t>Viagens e hospedagem corporativas</t>
        </is>
      </c>
      <c r="D155" s="107" t="n"/>
      <c r="E155" s="108" t="n"/>
      <c r="F155" s="109">
        <f>IFERROR(D155*E155,0)</f>
        <v/>
      </c>
      <c r="G155" s="106">
        <f>INDEX(SETORES!$B:$B,MATCH(A155,SETORES!$A:$A,0))</f>
        <v/>
      </c>
      <c r="H155" s="106" t="inlineStr">
        <is>
          <t>Maio/2026</t>
        </is>
      </c>
    </row>
    <row r="156" hidden="1" ht="14.25" customHeight="1" s="64">
      <c r="A156" s="101" t="inlineStr">
        <is>
          <t>Diretoria Operacional</t>
        </is>
      </c>
      <c r="B156" s="101" t="inlineStr">
        <is>
          <t>Custo Variável</t>
        </is>
      </c>
      <c r="C156" s="101" t="inlineStr">
        <is>
          <t>Fardamento novo</t>
        </is>
      </c>
      <c r="D156" s="102" t="n"/>
      <c r="E156" s="103" t="n"/>
      <c r="F156" s="104">
        <f>IFERROR(D156*E156,0)</f>
        <v/>
      </c>
      <c r="G156" s="101">
        <f>INDEX(SETORES!$B:$B,MATCH(A156,SETORES!$A:$A,0))</f>
        <v/>
      </c>
      <c r="H156" s="101" t="inlineStr">
        <is>
          <t>Maio/2026</t>
        </is>
      </c>
    </row>
    <row r="157" hidden="1" ht="14.25" customHeight="1" s="64">
      <c r="A157" s="106" t="inlineStr">
        <is>
          <t>Diretoria Operacional</t>
        </is>
      </c>
      <c r="B157" s="106" t="inlineStr">
        <is>
          <t>Custo Variável</t>
        </is>
      </c>
      <c r="C157" s="106" t="inlineStr">
        <is>
          <t>Fardamento substituição</t>
        </is>
      </c>
      <c r="D157" s="107" t="n">
        <v>1</v>
      </c>
      <c r="E157" s="108" t="n">
        <v>144</v>
      </c>
      <c r="F157" s="109">
        <f>IFERROR(D157*E157,0)</f>
        <v/>
      </c>
      <c r="G157" s="106">
        <f>INDEX(SETORES!$B:$B,MATCH(A157,SETORES!$A:$A,0))</f>
        <v/>
      </c>
      <c r="H157" s="106" t="inlineStr">
        <is>
          <t>Maio/2026</t>
        </is>
      </c>
    </row>
    <row r="158" hidden="1" ht="14.25" customHeight="1" s="64">
      <c r="A158" s="101" t="inlineStr">
        <is>
          <t>Diretoria Operacional</t>
        </is>
      </c>
      <c r="B158" s="101" t="inlineStr">
        <is>
          <t>Custo Fixo</t>
        </is>
      </c>
      <c r="C158" s="101" t="inlineStr">
        <is>
          <t>Licença de e-mail corporativo</t>
        </is>
      </c>
      <c r="D158" s="102" t="n">
        <v>4</v>
      </c>
      <c r="E158" s="103" t="n">
        <v>50</v>
      </c>
      <c r="F158" s="104">
        <f>IFERROR(D158*E158,0)</f>
        <v/>
      </c>
      <c r="G158" s="101">
        <f>INDEX(SETORES!$B:$B,MATCH(A158,SETORES!$A:$A,0))</f>
        <v/>
      </c>
      <c r="H158" s="101" t="inlineStr">
        <is>
          <t>Maio/2026</t>
        </is>
      </c>
    </row>
    <row r="159" hidden="1" ht="14.25" customHeight="1" s="64">
      <c r="A159" s="106" t="inlineStr">
        <is>
          <t>Diretoria Operacional</t>
        </is>
      </c>
      <c r="B159" s="106" t="inlineStr">
        <is>
          <t>Custo Fixo</t>
        </is>
      </c>
      <c r="C159" s="106" t="inlineStr">
        <is>
          <t>Gympass</t>
        </is>
      </c>
      <c r="D159" s="107" t="n">
        <v>2</v>
      </c>
      <c r="E159" s="108" t="n">
        <v>10.05</v>
      </c>
      <c r="F159" s="109">
        <f>IFERROR(D159*E159,0)</f>
        <v/>
      </c>
      <c r="G159" s="106">
        <f>INDEX(SETORES!$B:$B,MATCH(A159,SETORES!$A:$A,0))</f>
        <v/>
      </c>
      <c r="H159" s="106" t="inlineStr">
        <is>
          <t>Maio/2026</t>
        </is>
      </c>
    </row>
    <row r="160" hidden="1" ht="14.25" customHeight="1" s="64">
      <c r="A160" s="101" t="inlineStr">
        <is>
          <t>Diretoria Operacional</t>
        </is>
      </c>
      <c r="B160" s="101" t="inlineStr">
        <is>
          <t>Custo Fixo</t>
        </is>
      </c>
      <c r="C160" s="101" t="inlineStr">
        <is>
          <t>Stargrid</t>
        </is>
      </c>
      <c r="D160" s="102" t="n">
        <v>2</v>
      </c>
      <c r="E160" s="103" t="n">
        <v>2.07</v>
      </c>
      <c r="F160" s="104">
        <f>IFERROR(D160*E160,0)</f>
        <v/>
      </c>
      <c r="G160" s="101">
        <f>INDEX(SETORES!$B:$B,MATCH(A160,SETORES!$A:$A,0))</f>
        <v/>
      </c>
      <c r="H160" s="101" t="inlineStr">
        <is>
          <t>Maio/2026</t>
        </is>
      </c>
    </row>
    <row r="161" hidden="1" ht="14.25" customHeight="1" s="64">
      <c r="A161" s="106" t="inlineStr">
        <is>
          <t>Diretoria Operacional</t>
        </is>
      </c>
      <c r="B161" s="106" t="inlineStr">
        <is>
          <t>Custo Fixo</t>
        </is>
      </c>
      <c r="C161" s="106" t="inlineStr">
        <is>
          <t>Despesas com SST</t>
        </is>
      </c>
      <c r="D161" s="107" t="n">
        <v>2</v>
      </c>
      <c r="E161" s="108" t="n">
        <v>64.56999999999999</v>
      </c>
      <c r="F161" s="109">
        <f>IFERROR(D161*E161,0)</f>
        <v/>
      </c>
      <c r="G161" s="106">
        <f>INDEX(SETORES!$B:$B,MATCH(A161,SETORES!$A:$A,0))</f>
        <v/>
      </c>
      <c r="H161" s="106" t="inlineStr">
        <is>
          <t>Maio/2026</t>
        </is>
      </c>
    </row>
    <row r="162" hidden="1" ht="14.25" customHeight="1" s="64">
      <c r="A162" s="101" t="inlineStr">
        <is>
          <t>Diretoria Operacional</t>
        </is>
      </c>
      <c r="B162" s="101" t="inlineStr">
        <is>
          <t>Custo Fixo</t>
        </is>
      </c>
      <c r="C162" s="101" t="inlineStr">
        <is>
          <t>Despesas com RH</t>
        </is>
      </c>
      <c r="D162" s="102" t="n">
        <v>2</v>
      </c>
      <c r="E162" s="103" t="n">
        <v>28.31</v>
      </c>
      <c r="F162" s="104">
        <f>IFERROR(D162*E162,0)</f>
        <v/>
      </c>
      <c r="G162" s="101">
        <f>INDEX(SETORES!$B:$B,MATCH(A162,SETORES!$A:$A,0))</f>
        <v/>
      </c>
      <c r="H162" s="101" t="inlineStr">
        <is>
          <t>Maio/2026</t>
        </is>
      </c>
    </row>
    <row r="163" hidden="1" ht="14.25" customHeight="1" s="64">
      <c r="A163" s="106" t="inlineStr">
        <is>
          <t>Diretoria Operacional</t>
        </is>
      </c>
      <c r="B163" s="106" t="inlineStr">
        <is>
          <t>Custo Fixo</t>
        </is>
      </c>
      <c r="C163" s="106" t="inlineStr">
        <is>
          <t>Despesas com DP</t>
        </is>
      </c>
      <c r="D163" s="107" t="n">
        <v>2</v>
      </c>
      <c r="E163" s="108" t="n">
        <v>47.79</v>
      </c>
      <c r="F163" s="109">
        <f>IFERROR(D163*E163,0)</f>
        <v/>
      </c>
      <c r="G163" s="106">
        <f>INDEX(SETORES!$B:$B,MATCH(A163,SETORES!$A:$A,0))</f>
        <v/>
      </c>
      <c r="H163" s="106" t="inlineStr">
        <is>
          <t>Maio/2026</t>
        </is>
      </c>
    </row>
    <row r="164" hidden="1" ht="14.25" customHeight="1" s="64">
      <c r="A164" s="101" t="inlineStr">
        <is>
          <t>Engenharia</t>
        </is>
      </c>
      <c r="B164" s="101" t="inlineStr">
        <is>
          <t>Custo Fixo</t>
        </is>
      </c>
      <c r="C164" s="101" t="inlineStr">
        <is>
          <t>Material de escritório (suprimentos de informática)</t>
        </is>
      </c>
      <c r="D164" s="102" t="n"/>
      <c r="E164" s="103" t="n"/>
      <c r="F164" s="104" t="n">
        <v>0</v>
      </c>
      <c r="G164" s="101">
        <f>INDEX(SETORES!$B:$B,MATCH(A164,SETORES!$A:$A,0))</f>
        <v/>
      </c>
      <c r="H164" s="101" t="inlineStr">
        <is>
          <t>Maio/2026</t>
        </is>
      </c>
    </row>
    <row r="165" hidden="1" ht="14.25" customHeight="1" s="64">
      <c r="A165" s="106" t="inlineStr">
        <is>
          <t>Engenharia</t>
        </is>
      </c>
      <c r="B165" s="106" t="inlineStr">
        <is>
          <t>Custo Fixo</t>
        </is>
      </c>
      <c r="C165" s="106" t="inlineStr">
        <is>
          <t>Material de uso coletivo (copa/limpeza)</t>
        </is>
      </c>
      <c r="D165" s="107" t="n"/>
      <c r="E165" s="108" t="n"/>
      <c r="F165" s="109" t="n">
        <v>0</v>
      </c>
      <c r="G165" s="106">
        <f>INDEX(SETORES!$B:$B,MATCH(A165,SETORES!$A:$A,0))</f>
        <v/>
      </c>
      <c r="H165" s="106" t="inlineStr">
        <is>
          <t>Maio/2026</t>
        </is>
      </c>
    </row>
    <row r="166" hidden="1" ht="14.25" customHeight="1" s="64">
      <c r="A166" s="101" t="inlineStr">
        <is>
          <t>Engenharia</t>
        </is>
      </c>
      <c r="B166" s="101" t="inlineStr">
        <is>
          <t>Custo Fixo</t>
        </is>
      </c>
      <c r="C166" s="101" t="inlineStr">
        <is>
          <t>Vexpenses</t>
        </is>
      </c>
      <c r="D166" s="102" t="n">
        <v>1</v>
      </c>
      <c r="E166" s="103" t="n">
        <v>513.4400000000001</v>
      </c>
      <c r="F166" s="104">
        <f>IFERROR(D166*E166,0)</f>
        <v/>
      </c>
      <c r="G166" s="101">
        <f>INDEX(SETORES!$B:$B,MATCH(A166,SETORES!$A:$A,0))</f>
        <v/>
      </c>
      <c r="H166" s="101" t="inlineStr">
        <is>
          <t>Maio/2026</t>
        </is>
      </c>
    </row>
    <row r="167" hidden="1" ht="14.25" customHeight="1" s="64">
      <c r="A167" s="106" t="inlineStr">
        <is>
          <t>Engenharia</t>
        </is>
      </c>
      <c r="B167" s="106" t="inlineStr">
        <is>
          <t>Custo Fixo</t>
        </is>
      </c>
      <c r="C167" s="106" t="inlineStr">
        <is>
          <t>Energia elétrica (rateio)</t>
        </is>
      </c>
      <c r="D167" s="107" t="n">
        <v>7</v>
      </c>
      <c r="E167" s="108" t="n">
        <v>24.8613</v>
      </c>
      <c r="F167" s="109" t="n">
        <v>174.0291</v>
      </c>
      <c r="G167" s="106">
        <f>INDEX(SETORES!$B:$B,MATCH(A167,SETORES!$A:$A,0))</f>
        <v/>
      </c>
      <c r="H167" s="106" t="inlineStr">
        <is>
          <t>Maio/2026</t>
        </is>
      </c>
    </row>
    <row r="168" hidden="1" ht="14.25" customHeight="1" s="64">
      <c r="A168" s="101" t="inlineStr">
        <is>
          <t>Engenharia</t>
        </is>
      </c>
      <c r="B168" s="101" t="inlineStr">
        <is>
          <t>Custo Fixo</t>
        </is>
      </c>
      <c r="C168" s="101" t="inlineStr">
        <is>
          <t>Telefonia móvel corporativa</t>
        </is>
      </c>
      <c r="D168" s="102" t="n"/>
      <c r="E168" s="103" t="n"/>
      <c r="F168" s="104">
        <f>IFERROR(D168*E168,0)</f>
        <v/>
      </c>
      <c r="G168" s="101">
        <f>INDEX(SETORES!$B:$B,MATCH(A168,SETORES!$A:$A,0))</f>
        <v/>
      </c>
      <c r="H168" s="101" t="inlineStr">
        <is>
          <t>Maio/2026</t>
        </is>
      </c>
    </row>
    <row r="169" hidden="1" ht="14.25" customHeight="1" s="64">
      <c r="A169" s="106" t="inlineStr">
        <is>
          <t>Engenharia</t>
        </is>
      </c>
      <c r="B169" s="106" t="inlineStr">
        <is>
          <t>Custo Fixo</t>
        </is>
      </c>
      <c r="C169" s="106" t="inlineStr">
        <is>
          <t>Folha de pagamento (salários)</t>
        </is>
      </c>
      <c r="D169" s="107" t="n">
        <v>1</v>
      </c>
      <c r="E169" s="108" t="n">
        <v>58274.98</v>
      </c>
      <c r="F169" s="109">
        <f>IFERROR(E169,0)</f>
        <v/>
      </c>
      <c r="G169" s="106">
        <f>INDEX(SETORES!$B:$B,MATCH(A169,SETORES!$A:$A,0))</f>
        <v/>
      </c>
      <c r="H169" s="106" t="inlineStr">
        <is>
          <t>Maio/2026</t>
        </is>
      </c>
    </row>
    <row r="170" hidden="1" ht="14.25" customHeight="1" s="64">
      <c r="A170" s="101" t="inlineStr">
        <is>
          <t>Engenharia</t>
        </is>
      </c>
      <c r="B170" s="101" t="inlineStr">
        <is>
          <t>Custo Variável</t>
        </is>
      </c>
      <c r="C170" s="101" t="inlineStr">
        <is>
          <t>Cursos contratados</t>
        </is>
      </c>
      <c r="D170" s="102" t="n"/>
      <c r="E170" s="103" t="n"/>
      <c r="F170" s="104">
        <f>IFERROR(D170*E170,0)</f>
        <v/>
      </c>
      <c r="G170" s="101">
        <f>INDEX(SETORES!$B:$B,MATCH(A170,SETORES!$A:$A,0))</f>
        <v/>
      </c>
      <c r="H170" s="101" t="inlineStr">
        <is>
          <t>Maio/2026</t>
        </is>
      </c>
    </row>
    <row r="171" hidden="1" ht="14.25" customHeight="1" s="64">
      <c r="A171" s="106" t="inlineStr">
        <is>
          <t>Engenharia</t>
        </is>
      </c>
      <c r="B171" s="106" t="inlineStr">
        <is>
          <t>Custo Variável</t>
        </is>
      </c>
      <c r="C171" s="106" t="inlineStr">
        <is>
          <t>Fardamento novo</t>
        </is>
      </c>
      <c r="D171" s="107" t="n">
        <v>1</v>
      </c>
      <c r="E171" s="108" t="n">
        <v>132</v>
      </c>
      <c r="F171" s="109">
        <f>IFERROR(D171*E171,0)</f>
        <v/>
      </c>
      <c r="G171" s="106">
        <f>INDEX(SETORES!$B:$B,MATCH(A171,SETORES!$A:$A,0))</f>
        <v/>
      </c>
      <c r="H171" s="106" t="inlineStr">
        <is>
          <t>Maio/2026</t>
        </is>
      </c>
    </row>
    <row r="172" hidden="1" ht="14.25" customHeight="1" s="64">
      <c r="A172" s="101" t="inlineStr">
        <is>
          <t>Engenharia</t>
        </is>
      </c>
      <c r="B172" s="101" t="inlineStr">
        <is>
          <t>Custo Variável</t>
        </is>
      </c>
      <c r="C172" s="101" t="inlineStr">
        <is>
          <t>Fardamento substituição</t>
        </is>
      </c>
      <c r="D172" s="102" t="n"/>
      <c r="E172" s="103" t="n"/>
      <c r="F172" s="104">
        <f>IFERROR(D172*E172,0)</f>
        <v/>
      </c>
      <c r="G172" s="101">
        <f>INDEX(SETORES!$B:$B,MATCH(A172,SETORES!$A:$A,0))</f>
        <v/>
      </c>
      <c r="H172" s="101" t="inlineStr">
        <is>
          <t>Maio/2026</t>
        </is>
      </c>
    </row>
    <row r="173" hidden="1" ht="14.25" customHeight="1" s="64">
      <c r="A173" s="106" t="inlineStr">
        <is>
          <t>Engenharia</t>
        </is>
      </c>
      <c r="B173" s="106" t="inlineStr">
        <is>
          <t>Custo Variável</t>
        </is>
      </c>
      <c r="C173" s="106" t="inlineStr">
        <is>
          <t>Rateio de transporte coletivo</t>
        </is>
      </c>
      <c r="D173" s="107" t="n">
        <v>7</v>
      </c>
      <c r="E173" s="108" t="n">
        <v>89.55</v>
      </c>
      <c r="F173" s="109">
        <f>IFERROR(D173*E173,0)</f>
        <v/>
      </c>
      <c r="G173" s="106">
        <f>INDEX(SETORES!$B:$B,MATCH(A173,SETORES!$A:$A,0))</f>
        <v/>
      </c>
      <c r="H173" s="106" t="inlineStr">
        <is>
          <t>Maio/2026</t>
        </is>
      </c>
    </row>
    <row r="174" hidden="1" ht="14.25" customHeight="1" s="64">
      <c r="A174" s="101" t="inlineStr">
        <is>
          <t>Engenharia</t>
        </is>
      </c>
      <c r="B174" s="101" t="inlineStr">
        <is>
          <t>Custo Fixo</t>
        </is>
      </c>
      <c r="C174" s="101" t="inlineStr">
        <is>
          <t>Licença de e-mail corporativo</t>
        </is>
      </c>
      <c r="D174" s="102" t="n">
        <v>10</v>
      </c>
      <c r="E174" s="103" t="n">
        <v>50</v>
      </c>
      <c r="F174" s="104">
        <f>IFERROR(D174*E174,0)</f>
        <v/>
      </c>
      <c r="G174" s="101">
        <f>INDEX(SETORES!$B:$B,MATCH(A174,SETORES!$A:$A,0))</f>
        <v/>
      </c>
      <c r="H174" s="101" t="inlineStr">
        <is>
          <t>Maio/2026</t>
        </is>
      </c>
    </row>
    <row r="175" hidden="1" ht="14.25" customHeight="1" s="64">
      <c r="A175" s="106" t="inlineStr">
        <is>
          <t>Engenharia</t>
        </is>
      </c>
      <c r="B175" s="106" t="inlineStr">
        <is>
          <t>Custo Variável</t>
        </is>
      </c>
      <c r="C175" s="106" t="inlineStr">
        <is>
          <t>Combustível de frota</t>
        </is>
      </c>
      <c r="D175" s="107" t="n">
        <v>1</v>
      </c>
      <c r="E175" s="108" t="n">
        <v>8424.469999999999</v>
      </c>
      <c r="F175" s="109">
        <f>IFERROR(D175*E175,0)</f>
        <v/>
      </c>
      <c r="G175" s="106">
        <f>INDEX(SETORES!$B:$B,MATCH(A175,SETORES!$A:$A,0))</f>
        <v/>
      </c>
      <c r="H175" s="106" t="inlineStr">
        <is>
          <t>Maio/2026</t>
        </is>
      </c>
    </row>
    <row r="176" hidden="1" ht="14.25" customHeight="1" s="64">
      <c r="A176" s="101" t="inlineStr">
        <is>
          <t>Engenharia</t>
        </is>
      </c>
      <c r="B176" s="101" t="inlineStr">
        <is>
          <t>Custo Fixo</t>
        </is>
      </c>
      <c r="C176" s="101" t="inlineStr">
        <is>
          <t>Gympass</t>
        </is>
      </c>
      <c r="D176" s="102" t="n">
        <v>7</v>
      </c>
      <c r="E176" s="103" t="n">
        <v>10.05</v>
      </c>
      <c r="F176" s="104">
        <f>IFERROR(D176*E176,0)</f>
        <v/>
      </c>
      <c r="G176" s="101">
        <f>INDEX(SETORES!$B:$B,MATCH(A176,SETORES!$A:$A,0))</f>
        <v/>
      </c>
      <c r="H176" s="101" t="inlineStr">
        <is>
          <t>Maio/2026</t>
        </is>
      </c>
    </row>
    <row r="177" hidden="1" ht="14.25" customHeight="1" s="64">
      <c r="A177" s="106" t="inlineStr">
        <is>
          <t>Engenharia</t>
        </is>
      </c>
      <c r="B177" s="106" t="inlineStr">
        <is>
          <t>Custo Fixo</t>
        </is>
      </c>
      <c r="C177" s="106" t="inlineStr">
        <is>
          <t>Stargrid</t>
        </is>
      </c>
      <c r="D177" s="107" t="n">
        <v>7</v>
      </c>
      <c r="E177" s="108" t="n">
        <v>2.07</v>
      </c>
      <c r="F177" s="109">
        <f>IFERROR(D177*E177,0)</f>
        <v/>
      </c>
      <c r="G177" s="106">
        <f>INDEX(SETORES!$B:$B,MATCH(A177,SETORES!$A:$A,0))</f>
        <v/>
      </c>
      <c r="H177" s="106" t="inlineStr">
        <is>
          <t>Maio/2026</t>
        </is>
      </c>
    </row>
    <row r="178" hidden="1" ht="14.25" customHeight="1" s="64">
      <c r="A178" s="101" t="inlineStr">
        <is>
          <t>Engenharia</t>
        </is>
      </c>
      <c r="B178" s="101" t="inlineStr">
        <is>
          <t>Custo Fixo</t>
        </is>
      </c>
      <c r="C178" s="101" t="inlineStr">
        <is>
          <t>Despesas com SST</t>
        </is>
      </c>
      <c r="D178" s="102" t="n">
        <v>7</v>
      </c>
      <c r="E178" s="103" t="n">
        <v>64.56999999999999</v>
      </c>
      <c r="F178" s="104">
        <f>IFERROR(D178*E178,0)</f>
        <v/>
      </c>
      <c r="G178" s="101">
        <f>INDEX(SETORES!$B:$B,MATCH(A178,SETORES!$A:$A,0))</f>
        <v/>
      </c>
      <c r="H178" s="101" t="inlineStr">
        <is>
          <t>Maio/2026</t>
        </is>
      </c>
    </row>
    <row r="179" hidden="1" ht="14.25" customHeight="1" s="64">
      <c r="A179" s="106" t="inlineStr">
        <is>
          <t>Engenharia</t>
        </is>
      </c>
      <c r="B179" s="106" t="inlineStr">
        <is>
          <t>Custo Fixo</t>
        </is>
      </c>
      <c r="C179" s="106" t="inlineStr">
        <is>
          <t>Despesas com RH</t>
        </is>
      </c>
      <c r="D179" s="107" t="n">
        <v>7</v>
      </c>
      <c r="E179" s="108" t="n">
        <v>28.31</v>
      </c>
      <c r="F179" s="109">
        <f>IFERROR(D179*E179,0)</f>
        <v/>
      </c>
      <c r="G179" s="106">
        <f>INDEX(SETORES!$B:$B,MATCH(A179,SETORES!$A:$A,0))</f>
        <v/>
      </c>
      <c r="H179" s="106" t="inlineStr">
        <is>
          <t>Maio/2026</t>
        </is>
      </c>
    </row>
    <row r="180" hidden="1" ht="14.25" customHeight="1" s="64">
      <c r="A180" s="101" t="inlineStr">
        <is>
          <t>Engenharia</t>
        </is>
      </c>
      <c r="B180" s="101" t="inlineStr">
        <is>
          <t>Custo Fixo</t>
        </is>
      </c>
      <c r="C180" s="101" t="inlineStr">
        <is>
          <t>Despesas com DP</t>
        </is>
      </c>
      <c r="D180" s="102" t="n">
        <v>7</v>
      </c>
      <c r="E180" s="103" t="n">
        <v>47.79</v>
      </c>
      <c r="F180" s="104">
        <f>IFERROR(D180*E180,0)</f>
        <v/>
      </c>
      <c r="G180" s="101">
        <f>INDEX(SETORES!$B:$B,MATCH(A180,SETORES!$A:$A,0))</f>
        <v/>
      </c>
      <c r="H180" s="101" t="inlineStr">
        <is>
          <t>Maio/2026</t>
        </is>
      </c>
    </row>
    <row r="181" hidden="1" ht="14.25" customHeight="1" s="64">
      <c r="A181" s="106" t="inlineStr">
        <is>
          <t>Estoque</t>
        </is>
      </c>
      <c r="B181" s="106" t="inlineStr">
        <is>
          <t>Custo Fixo</t>
        </is>
      </c>
      <c r="C181" s="106" t="inlineStr">
        <is>
          <t>Material de escritório (suprimentos de informática)</t>
        </is>
      </c>
      <c r="D181" s="107" t="n"/>
      <c r="E181" s="108" t="n"/>
      <c r="F181" s="109" t="n">
        <v>0</v>
      </c>
      <c r="G181" s="106">
        <f>INDEX(SETORES!$B:$B,MATCH(A181,SETORES!$A:$A,0))</f>
        <v/>
      </c>
      <c r="H181" s="106" t="inlineStr">
        <is>
          <t>Maio/2026</t>
        </is>
      </c>
    </row>
    <row r="182" hidden="1" ht="14.25" customHeight="1" s="64">
      <c r="A182" s="101" t="inlineStr">
        <is>
          <t>Estoque</t>
        </is>
      </c>
      <c r="B182" s="101" t="inlineStr">
        <is>
          <t>Custo Fixo</t>
        </is>
      </c>
      <c r="C182" s="101" t="inlineStr">
        <is>
          <t>Material de uso coletivo (copa/limpeza)</t>
        </is>
      </c>
      <c r="D182" s="102" t="n"/>
      <c r="E182" s="103" t="n"/>
      <c r="F182" s="104" t="n">
        <v>0</v>
      </c>
      <c r="G182" s="101">
        <f>INDEX(SETORES!$B:$B,MATCH(A182,SETORES!$A:$A,0))</f>
        <v/>
      </c>
      <c r="H182" s="101" t="inlineStr">
        <is>
          <t>Maio/2026</t>
        </is>
      </c>
    </row>
    <row r="183" hidden="1" ht="14.25" customHeight="1" s="64">
      <c r="A183" s="106" t="inlineStr">
        <is>
          <t>Estoque</t>
        </is>
      </c>
      <c r="B183" s="106" t="inlineStr">
        <is>
          <t>Custo Fixo</t>
        </is>
      </c>
      <c r="C183" s="106" t="inlineStr">
        <is>
          <t>Energia elétrica (rateio)</t>
        </is>
      </c>
      <c r="D183" s="107" t="n">
        <v>12</v>
      </c>
      <c r="E183" s="108" t="n">
        <v>24.8613</v>
      </c>
      <c r="F183" s="109" t="n">
        <v>298.3356</v>
      </c>
      <c r="G183" s="106">
        <f>INDEX(SETORES!$B:$B,MATCH(A183,SETORES!$A:$A,0))</f>
        <v/>
      </c>
      <c r="H183" s="106" t="inlineStr">
        <is>
          <t>Maio/2026</t>
        </is>
      </c>
    </row>
    <row r="184" hidden="1" ht="14.25" customHeight="1" s="64">
      <c r="A184" s="101" t="inlineStr">
        <is>
          <t>Estoque</t>
        </is>
      </c>
      <c r="B184" s="101" t="inlineStr">
        <is>
          <t>Custo Fixo</t>
        </is>
      </c>
      <c r="C184" s="101" t="inlineStr">
        <is>
          <t>Telefonia móvel corporativa</t>
        </is>
      </c>
      <c r="D184" s="102" t="n"/>
      <c r="E184" s="103" t="n"/>
      <c r="F184" s="104">
        <f>IFERROR(D184*E184,0)</f>
        <v/>
      </c>
      <c r="G184" s="101">
        <f>INDEX(SETORES!$B:$B,MATCH(A184,SETORES!$A:$A,0))</f>
        <v/>
      </c>
      <c r="H184" s="101" t="inlineStr">
        <is>
          <t>Maio/2026</t>
        </is>
      </c>
    </row>
    <row r="185" hidden="1" ht="14.25" customHeight="1" s="64">
      <c r="A185" s="106" t="inlineStr">
        <is>
          <t>Estoque</t>
        </is>
      </c>
      <c r="B185" s="106" t="inlineStr">
        <is>
          <t>Custo Fixo</t>
        </is>
      </c>
      <c r="C185" s="106" t="inlineStr">
        <is>
          <t>Folha de pagamento (salários)</t>
        </is>
      </c>
      <c r="D185" s="107" t="n">
        <v>1</v>
      </c>
      <c r="E185" s="108" t="n">
        <v>54038.56</v>
      </c>
      <c r="F185" s="109">
        <f>IFERROR(E185,0)</f>
        <v/>
      </c>
      <c r="G185" s="106">
        <f>INDEX(SETORES!$B:$B,MATCH(A185,SETORES!$A:$A,0))</f>
        <v/>
      </c>
      <c r="H185" s="106" t="inlineStr">
        <is>
          <t>Maio/2026</t>
        </is>
      </c>
    </row>
    <row r="186" hidden="1" ht="14.25" customHeight="1" s="64">
      <c r="A186" s="101" t="inlineStr">
        <is>
          <t>Estoque</t>
        </is>
      </c>
      <c r="B186" s="101" t="inlineStr">
        <is>
          <t>Custo Variável</t>
        </is>
      </c>
      <c r="C186" s="101" t="inlineStr">
        <is>
          <t>Investimento de equipamentos (não patrimoniável)</t>
        </is>
      </c>
      <c r="D186" s="102" t="n"/>
      <c r="E186" s="103" t="n"/>
      <c r="F186" s="104">
        <f>IFERROR(D186*E186,0)</f>
        <v/>
      </c>
      <c r="G186" s="101">
        <f>INDEX(SETORES!$B:$B,MATCH(A186,SETORES!$A:$A,0))</f>
        <v/>
      </c>
      <c r="H186" s="101" t="inlineStr">
        <is>
          <t>Maio/2026</t>
        </is>
      </c>
    </row>
    <row r="187" hidden="1" ht="14.25" customHeight="1" s="64">
      <c r="A187" s="106" t="inlineStr">
        <is>
          <t>Estoque</t>
        </is>
      </c>
      <c r="B187" s="106" t="inlineStr">
        <is>
          <t>Custo Variável</t>
        </is>
      </c>
      <c r="C187" s="106" t="inlineStr">
        <is>
          <t>Fardamento novo</t>
        </is>
      </c>
      <c r="D187" s="107" t="n">
        <v>1</v>
      </c>
      <c r="E187" s="108" t="n">
        <v>135</v>
      </c>
      <c r="F187" s="109">
        <f>IFERROR(D187*E187,0)</f>
        <v/>
      </c>
      <c r="G187" s="106">
        <f>INDEX(SETORES!$B:$B,MATCH(A187,SETORES!$A:$A,0))</f>
        <v/>
      </c>
      <c r="H187" s="106" t="inlineStr">
        <is>
          <t>Maio/2026</t>
        </is>
      </c>
    </row>
    <row r="188" hidden="1" ht="14.25" customHeight="1" s="64">
      <c r="A188" s="101" t="inlineStr">
        <is>
          <t>Estoque</t>
        </is>
      </c>
      <c r="B188" s="101" t="inlineStr">
        <is>
          <t>Custo Variável</t>
        </is>
      </c>
      <c r="C188" s="101" t="inlineStr">
        <is>
          <t>Fardamento substituição</t>
        </is>
      </c>
      <c r="D188" s="102" t="n"/>
      <c r="E188" s="103" t="n"/>
      <c r="F188" s="104">
        <f>IFERROR(D188*E188,0)</f>
        <v/>
      </c>
      <c r="G188" s="101">
        <f>INDEX(SETORES!$B:$B,MATCH(A188,SETORES!$A:$A,0))</f>
        <v/>
      </c>
      <c r="H188" s="101" t="inlineStr">
        <is>
          <t>Maio/2026</t>
        </is>
      </c>
    </row>
    <row r="189" hidden="1" ht="14.25" customHeight="1" s="64">
      <c r="A189" s="106" t="inlineStr">
        <is>
          <t>Estoque</t>
        </is>
      </c>
      <c r="B189" s="106" t="inlineStr">
        <is>
          <t>Custo Variável</t>
        </is>
      </c>
      <c r="C189" s="106" t="inlineStr">
        <is>
          <t>Rateio de transporte coletivo</t>
        </is>
      </c>
      <c r="D189" s="107" t="n">
        <v>12</v>
      </c>
      <c r="E189" s="108" t="n">
        <v>89.55</v>
      </c>
      <c r="F189" s="109">
        <f>IFERROR(D189*E189,0)</f>
        <v/>
      </c>
      <c r="G189" s="106">
        <f>INDEX(SETORES!$B:$B,MATCH(A189,SETORES!$A:$A,0))</f>
        <v/>
      </c>
      <c r="H189" s="106" t="inlineStr">
        <is>
          <t>Maio/2026</t>
        </is>
      </c>
    </row>
    <row r="190" hidden="1" ht="14.25" customHeight="1" s="64">
      <c r="A190" s="101" t="inlineStr">
        <is>
          <t>Estoque</t>
        </is>
      </c>
      <c r="B190" s="101" t="inlineStr">
        <is>
          <t>Custo Variável</t>
        </is>
      </c>
      <c r="C190" s="101" t="inlineStr">
        <is>
          <t>Exames médicos</t>
        </is>
      </c>
      <c r="D190" s="102" t="n">
        <v>1</v>
      </c>
      <c r="E190" s="103" t="n">
        <v>176</v>
      </c>
      <c r="F190" s="104">
        <f>IFERROR(D190*E190,0)</f>
        <v/>
      </c>
      <c r="G190" s="101">
        <f>INDEX(SETORES!$B:$B,MATCH(A190,SETORES!$A:$A,0))</f>
        <v/>
      </c>
      <c r="H190" s="101" t="inlineStr">
        <is>
          <t>Maio/2026</t>
        </is>
      </c>
    </row>
    <row r="191" hidden="1" ht="14.25" customHeight="1" s="64">
      <c r="A191" s="106" t="inlineStr">
        <is>
          <t>Estoque</t>
        </is>
      </c>
      <c r="B191" s="106" t="inlineStr">
        <is>
          <t>Custo Fixo</t>
        </is>
      </c>
      <c r="C191" s="106" t="inlineStr">
        <is>
          <t>Licença de e-mail corporativo</t>
        </is>
      </c>
      <c r="D191" s="107" t="n">
        <v>16</v>
      </c>
      <c r="E191" s="108" t="n">
        <v>50</v>
      </c>
      <c r="F191" s="109">
        <f>IFERROR(D191*E191,0)</f>
        <v/>
      </c>
      <c r="G191" s="106">
        <f>INDEX(SETORES!$B:$B,MATCH(A191,SETORES!$A:$A,0))</f>
        <v/>
      </c>
      <c r="H191" s="106" t="inlineStr">
        <is>
          <t>Maio/2026</t>
        </is>
      </c>
    </row>
    <row r="192" hidden="1" ht="14.25" customHeight="1" s="64">
      <c r="A192" s="101" t="inlineStr">
        <is>
          <t>Estoque</t>
        </is>
      </c>
      <c r="B192" s="101" t="inlineStr">
        <is>
          <t>Custo Fixo</t>
        </is>
      </c>
      <c r="C192" s="101" t="inlineStr">
        <is>
          <t>Gympass</t>
        </is>
      </c>
      <c r="D192" s="102">
        <f>D948</f>
        <v/>
      </c>
      <c r="E192" s="103" t="n">
        <v>10.05</v>
      </c>
      <c r="F192" s="104">
        <f>IFERROR(D192*E192,0)</f>
        <v/>
      </c>
      <c r="G192" s="101">
        <f>INDEX(SETORES!$B:$B,MATCH(A192,SETORES!$A:$A,0))</f>
        <v/>
      </c>
      <c r="H192" s="101" t="inlineStr">
        <is>
          <t>Maio/2026</t>
        </is>
      </c>
    </row>
    <row r="193" hidden="1" ht="14.25" customHeight="1" s="64">
      <c r="A193" s="106" t="inlineStr">
        <is>
          <t>Estoque</t>
        </is>
      </c>
      <c r="B193" s="106" t="inlineStr">
        <is>
          <t>Custo Fixo</t>
        </is>
      </c>
      <c r="C193" s="106" t="inlineStr">
        <is>
          <t>Stargrid</t>
        </is>
      </c>
      <c r="D193" s="107">
        <f>D948</f>
        <v/>
      </c>
      <c r="E193" s="108" t="n">
        <v>2.07</v>
      </c>
      <c r="F193" s="109">
        <f>IFERROR(D193*E193,0)</f>
        <v/>
      </c>
      <c r="G193" s="106">
        <f>INDEX(SETORES!$B:$B,MATCH(A193,SETORES!$A:$A,0))</f>
        <v/>
      </c>
      <c r="H193" s="106" t="inlineStr">
        <is>
          <t>Maio/2026</t>
        </is>
      </c>
    </row>
    <row r="194" hidden="1" ht="14.25" customHeight="1" s="64">
      <c r="A194" s="101" t="inlineStr">
        <is>
          <t>Estoque</t>
        </is>
      </c>
      <c r="B194" s="101" t="inlineStr">
        <is>
          <t>Custo Fixo</t>
        </is>
      </c>
      <c r="C194" s="101" t="inlineStr">
        <is>
          <t>Despesas com SST</t>
        </is>
      </c>
      <c r="D194" s="102">
        <f>D948</f>
        <v/>
      </c>
      <c r="E194" s="103" t="n">
        <v>64.56999999999999</v>
      </c>
      <c r="F194" s="104">
        <f>IFERROR(D194*E194,0)</f>
        <v/>
      </c>
      <c r="G194" s="101">
        <f>INDEX(SETORES!$B:$B,MATCH(A194,SETORES!$A:$A,0))</f>
        <v/>
      </c>
      <c r="H194" s="101" t="inlineStr">
        <is>
          <t>Maio/2026</t>
        </is>
      </c>
    </row>
    <row r="195" hidden="1" ht="14.25" customHeight="1" s="64">
      <c r="A195" s="106" t="inlineStr">
        <is>
          <t>Estoque</t>
        </is>
      </c>
      <c r="B195" s="106" t="inlineStr">
        <is>
          <t>Custo Fixo</t>
        </is>
      </c>
      <c r="C195" s="106" t="inlineStr">
        <is>
          <t>Despesas com RH</t>
        </is>
      </c>
      <c r="D195" s="107">
        <f>D948</f>
        <v/>
      </c>
      <c r="E195" s="108" t="n">
        <v>28.31</v>
      </c>
      <c r="F195" s="109">
        <f>IFERROR(D195*E195,0)</f>
        <v/>
      </c>
      <c r="G195" s="106">
        <f>INDEX(SETORES!$B:$B,MATCH(A195,SETORES!$A:$A,0))</f>
        <v/>
      </c>
      <c r="H195" s="106" t="inlineStr">
        <is>
          <t>Maio/2026</t>
        </is>
      </c>
    </row>
    <row r="196" hidden="1" ht="14.25" customHeight="1" s="64">
      <c r="A196" s="101" t="inlineStr">
        <is>
          <t>Estoque</t>
        </is>
      </c>
      <c r="B196" s="101" t="inlineStr">
        <is>
          <t>Custo Fixo</t>
        </is>
      </c>
      <c r="C196" s="101" t="inlineStr">
        <is>
          <t>Despesas com DP</t>
        </is>
      </c>
      <c r="D196" s="102">
        <f>D948</f>
        <v/>
      </c>
      <c r="E196" s="103" t="n">
        <v>47.79</v>
      </c>
      <c r="F196" s="104">
        <f>IFERROR(D196*E196,0)</f>
        <v/>
      </c>
      <c r="G196" s="101">
        <f>INDEX(SETORES!$B:$B,MATCH(A196,SETORES!$A:$A,0))</f>
        <v/>
      </c>
      <c r="H196" s="101" t="inlineStr">
        <is>
          <t>Maio/2026</t>
        </is>
      </c>
    </row>
    <row r="197" hidden="1" ht="14.25" customHeight="1" s="64">
      <c r="A197" s="106" t="inlineStr">
        <is>
          <t>Financeiro</t>
        </is>
      </c>
      <c r="B197" s="106" t="inlineStr">
        <is>
          <t>Custo Fixo</t>
        </is>
      </c>
      <c r="C197" s="106" t="inlineStr">
        <is>
          <t>Material de escritório (suprimentos de informática)</t>
        </is>
      </c>
      <c r="D197" s="107" t="n"/>
      <c r="E197" s="108" t="n"/>
      <c r="F197" s="109" t="n">
        <v>0</v>
      </c>
      <c r="G197" s="106">
        <f>INDEX(SETORES!$B:$B,MATCH(A197,SETORES!$A:$A,0))</f>
        <v/>
      </c>
      <c r="H197" s="106" t="inlineStr">
        <is>
          <t>Maio/2026</t>
        </is>
      </c>
    </row>
    <row r="198" hidden="1" ht="14.25" customHeight="1" s="64">
      <c r="A198" s="101" t="inlineStr">
        <is>
          <t>Financeiro</t>
        </is>
      </c>
      <c r="B198" s="101" t="inlineStr">
        <is>
          <t>Custo Fixo</t>
        </is>
      </c>
      <c r="C198" s="101" t="inlineStr">
        <is>
          <t>Material de uso coletivo (copa/limpeza)</t>
        </is>
      </c>
      <c r="D198" s="102" t="n"/>
      <c r="E198" s="103" t="n"/>
      <c r="F198" s="104" t="n">
        <v>0</v>
      </c>
      <c r="G198" s="101">
        <f>INDEX(SETORES!$B:$B,MATCH(A198,SETORES!$A:$A,0))</f>
        <v/>
      </c>
      <c r="H198" s="101" t="inlineStr">
        <is>
          <t>Maio/2026</t>
        </is>
      </c>
    </row>
    <row r="199" hidden="1" ht="14.25" customHeight="1" s="64">
      <c r="A199" s="106" t="inlineStr">
        <is>
          <t>Financeiro</t>
        </is>
      </c>
      <c r="B199" s="106" t="inlineStr">
        <is>
          <t>Custo Fixo</t>
        </is>
      </c>
      <c r="C199" s="106" t="inlineStr">
        <is>
          <t>Energia elétrica (rateio)</t>
        </is>
      </c>
      <c r="D199" s="107" t="n">
        <v>1</v>
      </c>
      <c r="E199" s="108" t="n">
        <v>59.5756</v>
      </c>
      <c r="F199" s="109" t="n">
        <v>59.5756</v>
      </c>
      <c r="G199" s="106">
        <f>INDEX(SETORES!$B:$B,MATCH(A199,SETORES!$A:$A,0))</f>
        <v/>
      </c>
      <c r="H199" s="106" t="inlineStr">
        <is>
          <t>Maio/2026</t>
        </is>
      </c>
    </row>
    <row r="200" hidden="1" ht="14.25" customHeight="1" s="64">
      <c r="A200" s="101" t="inlineStr">
        <is>
          <t>Financeiro</t>
        </is>
      </c>
      <c r="B200" s="101" t="inlineStr">
        <is>
          <t>Custo Fixo</t>
        </is>
      </c>
      <c r="C200" s="101" t="inlineStr">
        <is>
          <t>Água e esgoto (rateio)</t>
        </is>
      </c>
      <c r="D200" s="102" t="n">
        <v>1</v>
      </c>
      <c r="E200" s="103" t="n">
        <v>0</v>
      </c>
      <c r="F200" s="104" t="n">
        <v>0</v>
      </c>
      <c r="G200" s="101">
        <f>INDEX(SETORES!$B:$B,MATCH(A200,SETORES!$A:$A,0))</f>
        <v/>
      </c>
      <c r="H200" s="101" t="inlineStr">
        <is>
          <t>Maio/2026</t>
        </is>
      </c>
    </row>
    <row r="201" hidden="1" ht="14.25" customHeight="1" s="64">
      <c r="A201" s="106" t="inlineStr">
        <is>
          <t>Financeiro</t>
        </is>
      </c>
      <c r="B201" s="106" t="inlineStr">
        <is>
          <t>Custo Fixo</t>
        </is>
      </c>
      <c r="C201" s="106" t="inlineStr">
        <is>
          <t>Telefonia móvel corporativa</t>
        </is>
      </c>
      <c r="D201" s="107" t="n"/>
      <c r="E201" s="108" t="n"/>
      <c r="F201" s="109">
        <f>IFERROR(D201*E201,0)</f>
        <v/>
      </c>
      <c r="G201" s="106">
        <f>INDEX(SETORES!$B:$B,MATCH(A201,SETORES!$A:$A,0))</f>
        <v/>
      </c>
      <c r="H201" s="106" t="inlineStr">
        <is>
          <t>Maio/2026</t>
        </is>
      </c>
    </row>
    <row r="202" hidden="1" ht="14.25" customHeight="1" s="64">
      <c r="A202" s="101" t="inlineStr">
        <is>
          <t>Financeiro</t>
        </is>
      </c>
      <c r="B202" s="101" t="inlineStr">
        <is>
          <t>Custo Fixo</t>
        </is>
      </c>
      <c r="C202" s="101" t="inlineStr">
        <is>
          <t>Folha de pagamento (salários)</t>
        </is>
      </c>
      <c r="D202" s="102" t="n">
        <v>1</v>
      </c>
      <c r="E202" s="103" t="n">
        <v>38547.99</v>
      </c>
      <c r="F202" s="104">
        <f>IFERROR(E202,0)</f>
        <v/>
      </c>
      <c r="G202" s="101">
        <f>INDEX(SETORES!$B:$B,MATCH(A202,SETORES!$A:$A,0))</f>
        <v/>
      </c>
      <c r="H202" s="101" t="inlineStr">
        <is>
          <t>Maio/2026</t>
        </is>
      </c>
    </row>
    <row r="203" hidden="1" ht="14.25" customHeight="1" s="64">
      <c r="A203" s="106" t="inlineStr">
        <is>
          <t>Financeiro</t>
        </is>
      </c>
      <c r="B203" s="106" t="inlineStr">
        <is>
          <t>Custo Fixo</t>
        </is>
      </c>
      <c r="C203" s="106" t="inlineStr">
        <is>
          <t>Licenças de software/sistemas corporativos (Financeiro)</t>
        </is>
      </c>
      <c r="D203" s="107" t="n">
        <v>1</v>
      </c>
      <c r="E203" s="108" t="n">
        <v>29494.72</v>
      </c>
      <c r="F203" s="109">
        <f>IFERROR(D203*E203,0)</f>
        <v/>
      </c>
      <c r="G203" s="106">
        <f>INDEX(SETORES!$B:$B,MATCH(A203,SETORES!$A:$A,0))</f>
        <v/>
      </c>
      <c r="H203" s="106" t="inlineStr">
        <is>
          <t>Maio/2026</t>
        </is>
      </c>
    </row>
    <row r="204" hidden="1" ht="14.25" customHeight="1" s="64">
      <c r="A204" s="101" t="inlineStr">
        <is>
          <t>Financeiro</t>
        </is>
      </c>
      <c r="B204" s="101" t="inlineStr">
        <is>
          <t>Custo Variável</t>
        </is>
      </c>
      <c r="C204" s="101" t="inlineStr">
        <is>
          <t>Fardamento novo</t>
        </is>
      </c>
      <c r="D204" s="102" t="n"/>
      <c r="E204" s="103" t="n"/>
      <c r="F204" s="104">
        <f>IFERROR(D204*E204,0)</f>
        <v/>
      </c>
      <c r="G204" s="101">
        <f>INDEX(SETORES!$B:$B,MATCH(A204,SETORES!$A:$A,0))</f>
        <v/>
      </c>
      <c r="H204" s="101" t="inlineStr">
        <is>
          <t>Maio/2026</t>
        </is>
      </c>
    </row>
    <row r="205" hidden="1" ht="14.25" customHeight="1" s="64">
      <c r="A205" s="106" t="inlineStr">
        <is>
          <t>Financeiro</t>
        </is>
      </c>
      <c r="B205" s="106" t="inlineStr">
        <is>
          <t>Custo Variável</t>
        </is>
      </c>
      <c r="C205" s="106" t="inlineStr">
        <is>
          <t>Fardamento substituição</t>
        </is>
      </c>
      <c r="D205" s="107" t="n">
        <v>1</v>
      </c>
      <c r="E205" s="108" t="n">
        <v>68</v>
      </c>
      <c r="F205" s="109">
        <f>IFERROR(D205*E205,0)</f>
        <v/>
      </c>
      <c r="G205" s="106">
        <f>INDEX(SETORES!$B:$B,MATCH(A205,SETORES!$A:$A,0))</f>
        <v/>
      </c>
      <c r="H205" s="106" t="inlineStr">
        <is>
          <t>Maio/2026</t>
        </is>
      </c>
    </row>
    <row r="206" hidden="1" ht="14.25" customHeight="1" s="64">
      <c r="A206" s="101" t="inlineStr">
        <is>
          <t>Financeiro</t>
        </is>
      </c>
      <c r="B206" s="101" t="inlineStr">
        <is>
          <t>Custo Fixo</t>
        </is>
      </c>
      <c r="C206" s="101" t="inlineStr">
        <is>
          <t>Licença de e-mail corporativo</t>
        </is>
      </c>
      <c r="D206" s="102" t="n">
        <v>8</v>
      </c>
      <c r="E206" s="103" t="n">
        <v>50</v>
      </c>
      <c r="F206" s="104">
        <f>IFERROR(D206*E206,0)</f>
        <v/>
      </c>
      <c r="G206" s="101">
        <f>INDEX(SETORES!$B:$B,MATCH(A206,SETORES!$A:$A,0))</f>
        <v/>
      </c>
      <c r="H206" s="101" t="inlineStr">
        <is>
          <t>Maio/2026</t>
        </is>
      </c>
    </row>
    <row r="207" hidden="1" ht="14.25" customHeight="1" s="64">
      <c r="A207" s="106" t="inlineStr">
        <is>
          <t>Financeiro</t>
        </is>
      </c>
      <c r="B207" s="106" t="inlineStr">
        <is>
          <t>Custo Fixo</t>
        </is>
      </c>
      <c r="C207" s="106" t="inlineStr">
        <is>
          <t>Gympass</t>
        </is>
      </c>
      <c r="D207" s="107" t="n">
        <v>8</v>
      </c>
      <c r="E207" s="108" t="n">
        <v>10.05</v>
      </c>
      <c r="F207" s="109">
        <f>IFERROR(D207*E207,0)</f>
        <v/>
      </c>
      <c r="G207" s="106">
        <f>INDEX(SETORES!$B:$B,MATCH(A207,SETORES!$A:$A,0))</f>
        <v/>
      </c>
      <c r="H207" s="106" t="inlineStr">
        <is>
          <t>Maio/2026</t>
        </is>
      </c>
    </row>
    <row r="208" hidden="1" ht="14.25" customHeight="1" s="64">
      <c r="A208" s="101" t="inlineStr">
        <is>
          <t>Financeiro</t>
        </is>
      </c>
      <c r="B208" s="101" t="inlineStr">
        <is>
          <t>Custo Fixo</t>
        </is>
      </c>
      <c r="C208" s="101" t="inlineStr">
        <is>
          <t>Stargrid</t>
        </is>
      </c>
      <c r="D208" s="102" t="n">
        <v>8</v>
      </c>
      <c r="E208" s="103" t="n">
        <v>2.07</v>
      </c>
      <c r="F208" s="104">
        <f>IFERROR(D208*E208,0)</f>
        <v/>
      </c>
      <c r="G208" s="101">
        <f>INDEX(SETORES!$B:$B,MATCH(A208,SETORES!$A:$A,0))</f>
        <v/>
      </c>
      <c r="H208" s="101" t="inlineStr">
        <is>
          <t>Maio/2026</t>
        </is>
      </c>
    </row>
    <row r="209" hidden="1" ht="14.25" customHeight="1" s="64">
      <c r="A209" s="106" t="inlineStr">
        <is>
          <t>Financeiro</t>
        </is>
      </c>
      <c r="B209" s="106" t="inlineStr">
        <is>
          <t>Custo Fixo</t>
        </is>
      </c>
      <c r="C209" s="106" t="inlineStr">
        <is>
          <t>Despesas com SST</t>
        </is>
      </c>
      <c r="D209" s="107" t="n">
        <v>8</v>
      </c>
      <c r="E209" s="108" t="n">
        <v>64.56999999999999</v>
      </c>
      <c r="F209" s="109">
        <f>IFERROR(D209*E209,0)</f>
        <v/>
      </c>
      <c r="G209" s="106">
        <f>INDEX(SETORES!$B:$B,MATCH(A209,SETORES!$A:$A,0))</f>
        <v/>
      </c>
      <c r="H209" s="106" t="inlineStr">
        <is>
          <t>Maio/2026</t>
        </is>
      </c>
    </row>
    <row r="210" hidden="1" ht="14.25" customHeight="1" s="64">
      <c r="A210" s="101" t="inlineStr">
        <is>
          <t>Financeiro</t>
        </is>
      </c>
      <c r="B210" s="101" t="inlineStr">
        <is>
          <t>Custo Fixo</t>
        </is>
      </c>
      <c r="C210" s="101" t="inlineStr">
        <is>
          <t>Despesas com RH</t>
        </is>
      </c>
      <c r="D210" s="102" t="n">
        <v>8</v>
      </c>
      <c r="E210" s="103" t="n">
        <v>28.31</v>
      </c>
      <c r="F210" s="104">
        <f>IFERROR(D210*E210,0)</f>
        <v/>
      </c>
      <c r="G210" s="101">
        <f>INDEX(SETORES!$B:$B,MATCH(A210,SETORES!$A:$A,0))</f>
        <v/>
      </c>
      <c r="H210" s="101" t="inlineStr">
        <is>
          <t>Maio/2026</t>
        </is>
      </c>
    </row>
    <row r="211" hidden="1" ht="14.25" customHeight="1" s="64">
      <c r="A211" s="106" t="inlineStr">
        <is>
          <t>Financeiro</t>
        </is>
      </c>
      <c r="B211" s="106" t="inlineStr">
        <is>
          <t>Custo Fixo</t>
        </is>
      </c>
      <c r="C211" s="106" t="inlineStr">
        <is>
          <t>Despesas com DP</t>
        </is>
      </c>
      <c r="D211" s="107" t="n">
        <v>8</v>
      </c>
      <c r="E211" s="108" t="n">
        <v>47.79</v>
      </c>
      <c r="F211" s="109">
        <f>IFERROR(D211*E211,0)</f>
        <v/>
      </c>
      <c r="G211" s="106">
        <f>INDEX(SETORES!$B:$B,MATCH(A211,SETORES!$A:$A,0))</f>
        <v/>
      </c>
      <c r="H211" s="106" t="inlineStr">
        <is>
          <t>Maio/2026</t>
        </is>
      </c>
    </row>
    <row r="212" hidden="1" ht="14.25" customHeight="1" s="64">
      <c r="A212" s="101" t="inlineStr">
        <is>
          <t>Compras</t>
        </is>
      </c>
      <c r="B212" s="101" t="inlineStr">
        <is>
          <t>Custo Fixo</t>
        </is>
      </c>
      <c r="C212" s="101" t="inlineStr">
        <is>
          <t>Água e esgoto (rateio)</t>
        </is>
      </c>
      <c r="D212" s="102" t="n">
        <v>4</v>
      </c>
      <c r="E212" s="103" t="n">
        <v>0.6343</v>
      </c>
      <c r="F212" s="104" t="n">
        <v>2.5372</v>
      </c>
      <c r="G212" s="101">
        <f>INDEX(SETORES!$B:$B,MATCH(A212,SETORES!$A:$A,0))</f>
        <v/>
      </c>
      <c r="H212" s="101" t="inlineStr">
        <is>
          <t>Maio/2026</t>
        </is>
      </c>
    </row>
    <row r="213" hidden="1" ht="14.25" customHeight="1" s="64">
      <c r="A213" s="106" t="inlineStr">
        <is>
          <t>Logística</t>
        </is>
      </c>
      <c r="B213" s="106" t="inlineStr">
        <is>
          <t>Custo Fixo</t>
        </is>
      </c>
      <c r="C213" s="106" t="inlineStr">
        <is>
          <t>Material de escritório (suprimentos de informática)</t>
        </is>
      </c>
      <c r="D213" s="107" t="n"/>
      <c r="E213" s="108" t="n"/>
      <c r="F213" s="109" t="n">
        <v>0</v>
      </c>
      <c r="G213" s="106">
        <f>INDEX(SETORES!$B:$B,MATCH(A213,SETORES!$A:$A,0))</f>
        <v/>
      </c>
      <c r="H213" s="106" t="inlineStr">
        <is>
          <t>Maio/2026</t>
        </is>
      </c>
    </row>
    <row r="214" hidden="1" ht="14.25" customHeight="1" s="64">
      <c r="A214" s="101" t="inlineStr">
        <is>
          <t>Logística</t>
        </is>
      </c>
      <c r="B214" s="101" t="inlineStr">
        <is>
          <t>Custo Fixo</t>
        </is>
      </c>
      <c r="C214" s="101" t="inlineStr">
        <is>
          <t>Material de uso coletivo (copa/limpeza)</t>
        </is>
      </c>
      <c r="D214" s="102" t="n"/>
      <c r="E214" s="103" t="n"/>
      <c r="F214" s="104" t="n">
        <v>0</v>
      </c>
      <c r="G214" s="101">
        <f>INDEX(SETORES!$B:$B,MATCH(A214,SETORES!$A:$A,0))</f>
        <v/>
      </c>
      <c r="H214" s="101" t="inlineStr">
        <is>
          <t>Maio/2026</t>
        </is>
      </c>
    </row>
    <row r="215" hidden="1" ht="14.25" customHeight="1" s="64">
      <c r="A215" s="106" t="inlineStr">
        <is>
          <t>Logística</t>
        </is>
      </c>
      <c r="B215" s="106" t="inlineStr">
        <is>
          <t>Custo Fixo</t>
        </is>
      </c>
      <c r="C215" s="106" t="inlineStr">
        <is>
          <t>Energia elétrica (rateio)</t>
        </is>
      </c>
      <c r="D215" s="107" t="n">
        <v>12</v>
      </c>
      <c r="E215" s="108" t="n">
        <v>24.8613</v>
      </c>
      <c r="F215" s="109" t="n">
        <v>298.3356</v>
      </c>
      <c r="G215" s="106">
        <f>INDEX(SETORES!$B:$B,MATCH(A215,SETORES!$A:$A,0))</f>
        <v/>
      </c>
      <c r="H215" s="106" t="inlineStr">
        <is>
          <t>Maio/2026</t>
        </is>
      </c>
    </row>
    <row r="216" hidden="1" ht="14.25" customHeight="1" s="64">
      <c r="A216" s="101" t="inlineStr">
        <is>
          <t>Engenharia</t>
        </is>
      </c>
      <c r="B216" s="101" t="inlineStr">
        <is>
          <t>Custo Fixo</t>
        </is>
      </c>
      <c r="C216" s="101" t="inlineStr">
        <is>
          <t>Água e esgoto (rateio)</t>
        </is>
      </c>
      <c r="D216" s="102" t="n">
        <v>7</v>
      </c>
      <c r="E216" s="103" t="n">
        <v>0.6343</v>
      </c>
      <c r="F216" s="104" t="n">
        <v>4.4401</v>
      </c>
      <c r="G216" s="101">
        <f>INDEX(SETORES!$B:$B,MATCH(A216,SETORES!$A:$A,0))</f>
        <v/>
      </c>
      <c r="H216" s="101" t="inlineStr">
        <is>
          <t>Maio/2026</t>
        </is>
      </c>
    </row>
    <row r="217" hidden="1" ht="14.25" customHeight="1" s="64">
      <c r="A217" s="106" t="inlineStr">
        <is>
          <t>Logística</t>
        </is>
      </c>
      <c r="B217" s="106" t="inlineStr">
        <is>
          <t>Custo Fixo</t>
        </is>
      </c>
      <c r="C217" s="106" t="inlineStr">
        <is>
          <t>Telefonia móvel corporativa</t>
        </is>
      </c>
      <c r="D217" s="107" t="n"/>
      <c r="E217" s="108" t="n"/>
      <c r="F217" s="109">
        <f>IFERROR(D217*E217,0)</f>
        <v/>
      </c>
      <c r="G217" s="106">
        <f>INDEX(SETORES!$B:$B,MATCH(A217,SETORES!$A:$A,0))</f>
        <v/>
      </c>
      <c r="H217" s="106" t="inlineStr">
        <is>
          <t>Maio/2026</t>
        </is>
      </c>
    </row>
    <row r="218" hidden="1" ht="14.25" customHeight="1" s="64">
      <c r="A218" s="101" t="inlineStr">
        <is>
          <t>Logística</t>
        </is>
      </c>
      <c r="B218" s="101" t="inlineStr">
        <is>
          <t>Custo Fixo</t>
        </is>
      </c>
      <c r="C218" s="101" t="inlineStr">
        <is>
          <t>Folha de pagamento (salários)</t>
        </is>
      </c>
      <c r="D218" s="102" t="n">
        <v>1</v>
      </c>
      <c r="E218" s="103" t="n">
        <v>49817.213157</v>
      </c>
      <c r="F218" s="104" t="n">
        <v>49817.213157</v>
      </c>
      <c r="G218" s="101">
        <f>INDEX(SETORES!$B:$B,MATCH(A218,SETORES!$A:$A,0))</f>
        <v/>
      </c>
      <c r="H218" s="101" t="inlineStr">
        <is>
          <t>Maio/2026</t>
        </is>
      </c>
    </row>
    <row r="219" hidden="1" ht="14.25" customHeight="1" s="64">
      <c r="A219" s="106" t="inlineStr">
        <is>
          <t>Logística</t>
        </is>
      </c>
      <c r="B219" s="106" t="inlineStr">
        <is>
          <t>Custo Variável</t>
        </is>
      </c>
      <c r="C219" s="106" t="inlineStr">
        <is>
          <t>Combustível de frota</t>
        </is>
      </c>
      <c r="D219" s="107" t="n">
        <v>1</v>
      </c>
      <c r="E219" s="108" t="n">
        <v>53498.33</v>
      </c>
      <c r="F219" s="109">
        <f>IFERROR(D219*E219,0)</f>
        <v/>
      </c>
      <c r="G219" s="106">
        <f>INDEX(SETORES!$B:$B,MATCH(A219,SETORES!$A:$A,0))</f>
        <v/>
      </c>
      <c r="H219" s="106" t="inlineStr">
        <is>
          <t>Maio/2026</t>
        </is>
      </c>
    </row>
    <row r="220" hidden="1" ht="14.25" customHeight="1" s="64">
      <c r="A220" s="101" t="inlineStr">
        <is>
          <t>Logística</t>
        </is>
      </c>
      <c r="B220" s="101" t="inlineStr">
        <is>
          <t>Custo Variável</t>
        </is>
      </c>
      <c r="C220" s="101" t="inlineStr">
        <is>
          <t>Manutenção de veículos</t>
        </is>
      </c>
      <c r="D220" s="102" t="n"/>
      <c r="E220" s="103" t="n"/>
      <c r="F220" s="104">
        <f>IFERROR(D220*E220,0)</f>
        <v/>
      </c>
      <c r="G220" s="101">
        <f>INDEX(SETORES!$B:$B,MATCH(A220,SETORES!$A:$A,0))</f>
        <v/>
      </c>
      <c r="H220" s="101" t="inlineStr">
        <is>
          <t>Maio/2026</t>
        </is>
      </c>
    </row>
    <row r="221" hidden="1" ht="14.25" customHeight="1" s="64">
      <c r="A221" s="106" t="inlineStr">
        <is>
          <t>Logística</t>
        </is>
      </c>
      <c r="B221" s="106" t="inlineStr">
        <is>
          <t>Custo Variável</t>
        </is>
      </c>
      <c r="C221" s="106" t="inlineStr">
        <is>
          <t>Fardamento novo</t>
        </is>
      </c>
      <c r="D221" s="107" t="n">
        <v>1</v>
      </c>
      <c r="E221" s="108" t="n">
        <v>272</v>
      </c>
      <c r="F221" s="109">
        <f>IFERROR(D221*E221,0)</f>
        <v/>
      </c>
      <c r="G221" s="106">
        <f>INDEX(SETORES!$B:$B,MATCH(A221,SETORES!$A:$A,0))</f>
        <v/>
      </c>
      <c r="H221" s="106" t="inlineStr">
        <is>
          <t>Maio/2026</t>
        </is>
      </c>
    </row>
    <row r="222" hidden="1" ht="14.25" customHeight="1" s="64">
      <c r="A222" s="101" t="inlineStr">
        <is>
          <t>Logística</t>
        </is>
      </c>
      <c r="B222" s="101" t="inlineStr">
        <is>
          <t>Custo Variável</t>
        </is>
      </c>
      <c r="C222" s="101" t="inlineStr">
        <is>
          <t>Fardamento substituição</t>
        </is>
      </c>
      <c r="D222" s="102" t="n"/>
      <c r="E222" s="103" t="n"/>
      <c r="F222" s="104">
        <f>IFERROR(D222*E222,0)</f>
        <v/>
      </c>
      <c r="G222" s="101">
        <f>INDEX(SETORES!$B:$B,MATCH(A222,SETORES!$A:$A,0))</f>
        <v/>
      </c>
      <c r="H222" s="101" t="inlineStr">
        <is>
          <t>Maio/2026</t>
        </is>
      </c>
    </row>
    <row r="223" hidden="1" ht="14.25" customHeight="1" s="64">
      <c r="A223" s="106" t="inlineStr">
        <is>
          <t>Logística</t>
        </is>
      </c>
      <c r="B223" s="106" t="inlineStr">
        <is>
          <t>Custo Variável</t>
        </is>
      </c>
      <c r="C223" s="106" t="inlineStr">
        <is>
          <t>EPIs - Equipamento de Proteção Individual</t>
        </is>
      </c>
      <c r="D223" s="107" t="n">
        <v>1</v>
      </c>
      <c r="E223" s="108" t="n">
        <v>56</v>
      </c>
      <c r="F223" s="109">
        <f>IFERROR(D223*E223,0)</f>
        <v/>
      </c>
      <c r="G223" s="106">
        <f>INDEX(SETORES!$B:$B,MATCH(A223,SETORES!$A:$A,0))</f>
        <v/>
      </c>
      <c r="H223" s="106" t="inlineStr">
        <is>
          <t>Maio/2026</t>
        </is>
      </c>
    </row>
    <row r="224" hidden="1" ht="14.25" customHeight="1" s="64">
      <c r="A224" s="101" t="inlineStr">
        <is>
          <t>Logística</t>
        </is>
      </c>
      <c r="B224" s="101" t="inlineStr">
        <is>
          <t>Custo Variável</t>
        </is>
      </c>
      <c r="C224" s="101" t="inlineStr">
        <is>
          <t>Rateio de transporte coletivo</t>
        </is>
      </c>
      <c r="D224" s="102" t="n">
        <v>12</v>
      </c>
      <c r="E224" s="103" t="n">
        <v>89.55</v>
      </c>
      <c r="F224" s="104" t="n">
        <v>1074.6</v>
      </c>
      <c r="G224" s="101">
        <f>INDEX(SETORES!$B:$B,MATCH(A224,SETORES!$A:$A,0))</f>
        <v/>
      </c>
      <c r="H224" s="101" t="inlineStr">
        <is>
          <t>Maio/2026</t>
        </is>
      </c>
    </row>
    <row r="225" hidden="1" ht="14.25" customHeight="1" s="64">
      <c r="A225" s="106" t="inlineStr">
        <is>
          <t>Logística</t>
        </is>
      </c>
      <c r="B225" s="106" t="inlineStr">
        <is>
          <t>Custo Fixo</t>
        </is>
      </c>
      <c r="C225" s="106" t="inlineStr">
        <is>
          <t>Licença de e-mail corporativo</t>
        </is>
      </c>
      <c r="D225" s="107" t="n">
        <v>17</v>
      </c>
      <c r="E225" s="108" t="n">
        <v>50</v>
      </c>
      <c r="F225" s="109">
        <f>IFERROR(D225*E225,0)</f>
        <v/>
      </c>
      <c r="G225" s="106">
        <f>INDEX(SETORES!$B:$B,MATCH(A225,SETORES!$A:$A,0))</f>
        <v/>
      </c>
      <c r="H225" s="106" t="inlineStr">
        <is>
          <t>Maio/2026</t>
        </is>
      </c>
    </row>
    <row r="226" hidden="1" ht="14.25" customHeight="1" s="64">
      <c r="A226" s="101" t="inlineStr">
        <is>
          <t>Logística</t>
        </is>
      </c>
      <c r="B226" s="101" t="inlineStr">
        <is>
          <t>Custo Fixo</t>
        </is>
      </c>
      <c r="C226" s="101" t="inlineStr">
        <is>
          <t>Gympass</t>
        </is>
      </c>
      <c r="D226" s="102" t="n">
        <v>12</v>
      </c>
      <c r="E226" s="103" t="n">
        <v>10.05</v>
      </c>
      <c r="F226" s="104" t="n">
        <v>120.6</v>
      </c>
      <c r="G226" s="101">
        <f>INDEX(SETORES!$B:$B,MATCH(A226,SETORES!$A:$A,0))</f>
        <v/>
      </c>
      <c r="H226" s="101" t="inlineStr">
        <is>
          <t>Maio/2026</t>
        </is>
      </c>
    </row>
    <row r="227" hidden="1" ht="14.25" customHeight="1" s="64">
      <c r="A227" s="106" t="inlineStr">
        <is>
          <t>Logística</t>
        </is>
      </c>
      <c r="B227" s="106" t="inlineStr">
        <is>
          <t>Custo Fixo</t>
        </is>
      </c>
      <c r="C227" s="106" t="inlineStr">
        <is>
          <t>Stargrid</t>
        </is>
      </c>
      <c r="D227" s="107" t="n">
        <v>12</v>
      </c>
      <c r="E227" s="108" t="n">
        <v>2.07</v>
      </c>
      <c r="F227" s="109" t="n">
        <v>24.84</v>
      </c>
      <c r="G227" s="106">
        <f>INDEX(SETORES!$B:$B,MATCH(A227,SETORES!$A:$A,0))</f>
        <v/>
      </c>
      <c r="H227" s="106" t="inlineStr">
        <is>
          <t>Maio/2026</t>
        </is>
      </c>
    </row>
    <row r="228" hidden="1" ht="14.25" customHeight="1" s="64">
      <c r="A228" s="101" t="inlineStr">
        <is>
          <t>Logística</t>
        </is>
      </c>
      <c r="B228" s="101" t="inlineStr">
        <is>
          <t>Custo Fixo</t>
        </is>
      </c>
      <c r="C228" s="101" t="inlineStr">
        <is>
          <t>Despesas com SST</t>
        </is>
      </c>
      <c r="D228" s="102" t="n">
        <v>12</v>
      </c>
      <c r="E228" s="103" t="n">
        <v>64.56999999999999</v>
      </c>
      <c r="F228" s="104" t="n">
        <v>774.84</v>
      </c>
      <c r="G228" s="101">
        <f>INDEX(SETORES!$B:$B,MATCH(A228,SETORES!$A:$A,0))</f>
        <v/>
      </c>
      <c r="H228" s="101" t="inlineStr">
        <is>
          <t>Maio/2026</t>
        </is>
      </c>
    </row>
    <row r="229" hidden="1" ht="14.25" customHeight="1" s="64">
      <c r="A229" s="106" t="inlineStr">
        <is>
          <t>Logística</t>
        </is>
      </c>
      <c r="B229" s="106" t="inlineStr">
        <is>
          <t>Custo Fixo</t>
        </is>
      </c>
      <c r="C229" s="106" t="inlineStr">
        <is>
          <t>Despesas com RH</t>
        </is>
      </c>
      <c r="D229" s="107" t="n">
        <v>12</v>
      </c>
      <c r="E229" s="108" t="n">
        <v>28.31</v>
      </c>
      <c r="F229" s="109" t="n">
        <v>339.72</v>
      </c>
      <c r="G229" s="106">
        <f>INDEX(SETORES!$B:$B,MATCH(A229,SETORES!$A:$A,0))</f>
        <v/>
      </c>
      <c r="H229" s="106" t="inlineStr">
        <is>
          <t>Maio/2026</t>
        </is>
      </c>
    </row>
    <row r="230" hidden="1" ht="14.25" customHeight="1" s="64">
      <c r="A230" s="101" t="inlineStr">
        <is>
          <t>Logística</t>
        </is>
      </c>
      <c r="B230" s="101" t="inlineStr">
        <is>
          <t>Custo Fixo</t>
        </is>
      </c>
      <c r="C230" s="101" t="inlineStr">
        <is>
          <t>Despesas com DP</t>
        </is>
      </c>
      <c r="D230" s="102" t="n">
        <v>12</v>
      </c>
      <c r="E230" s="103" t="n">
        <v>47.79</v>
      </c>
      <c r="F230" s="104" t="n">
        <v>573.48</v>
      </c>
      <c r="G230" s="101">
        <f>INDEX(SETORES!$B:$B,MATCH(A230,SETORES!$A:$A,0))</f>
        <v/>
      </c>
      <c r="H230" s="101" t="inlineStr">
        <is>
          <t>Maio/2026</t>
        </is>
      </c>
    </row>
    <row r="231" hidden="1" ht="14.25" customHeight="1" s="64">
      <c r="A231" s="106" t="inlineStr">
        <is>
          <t>Manutenção Predial</t>
        </is>
      </c>
      <c r="B231" s="106" t="inlineStr">
        <is>
          <t>Custo Fixo</t>
        </is>
      </c>
      <c r="C231" s="106" t="inlineStr">
        <is>
          <t>Material de escritório (suprimentos de informática)</t>
        </is>
      </c>
      <c r="D231" s="107" t="n"/>
      <c r="E231" s="108" t="n"/>
      <c r="F231" s="109" t="n">
        <v>0</v>
      </c>
      <c r="G231" s="106">
        <f>INDEX(SETORES!$B:$B,MATCH(A231,SETORES!$A:$A,0))</f>
        <v/>
      </c>
      <c r="H231" s="106" t="inlineStr">
        <is>
          <t>Maio/2026</t>
        </is>
      </c>
    </row>
    <row r="232" hidden="1" ht="14.25" customHeight="1" s="64">
      <c r="A232" s="101" t="inlineStr">
        <is>
          <t>Manutenção Predial</t>
        </is>
      </c>
      <c r="B232" s="101" t="inlineStr">
        <is>
          <t>Custo Fixo</t>
        </is>
      </c>
      <c r="C232" s="101" t="inlineStr">
        <is>
          <t>Material de uso coletivo (copa/limpeza)</t>
        </is>
      </c>
      <c r="D232" s="102" t="n"/>
      <c r="E232" s="103" t="n"/>
      <c r="F232" s="104" t="n">
        <v>0</v>
      </c>
      <c r="G232" s="101">
        <f>INDEX(SETORES!$B:$B,MATCH(A232,SETORES!$A:$A,0))</f>
        <v/>
      </c>
      <c r="H232" s="101" t="inlineStr">
        <is>
          <t>Maio/2026</t>
        </is>
      </c>
    </row>
    <row r="233" hidden="1" ht="14.25" customHeight="1" s="64">
      <c r="A233" s="106" t="inlineStr">
        <is>
          <t>Manutenção Predial</t>
        </is>
      </c>
      <c r="B233" s="106" t="inlineStr">
        <is>
          <t>Custo Fixo</t>
        </is>
      </c>
      <c r="C233" s="106" t="inlineStr">
        <is>
          <t>Água e esgoto (rateio)</t>
        </is>
      </c>
      <c r="D233" s="107" t="n"/>
      <c r="E233" s="108" t="n"/>
      <c r="F233" s="109">
        <f>IFERROR(D233*E233,0)</f>
        <v/>
      </c>
      <c r="G233" s="106">
        <f>INDEX(SETORES!$B:$B,MATCH(A233,SETORES!$A:$A,0))</f>
        <v/>
      </c>
      <c r="H233" s="106" t="inlineStr">
        <is>
          <t>Maio/2026</t>
        </is>
      </c>
    </row>
    <row r="234" hidden="1" ht="14.25" customHeight="1" s="64">
      <c r="A234" s="101" t="inlineStr">
        <is>
          <t>Manutenção Predial</t>
        </is>
      </c>
      <c r="B234" s="101" t="inlineStr">
        <is>
          <t>Custo Fixo</t>
        </is>
      </c>
      <c r="C234" s="101" t="inlineStr">
        <is>
          <t>Telefonia móvel corporativa</t>
        </is>
      </c>
      <c r="D234" s="102" t="n"/>
      <c r="E234" s="103" t="n"/>
      <c r="F234" s="104">
        <f>IFERROR(D234*E234,0)</f>
        <v/>
      </c>
      <c r="G234" s="101">
        <f>INDEX(SETORES!$B:$B,MATCH(A234,SETORES!$A:$A,0))</f>
        <v/>
      </c>
      <c r="H234" s="101" t="inlineStr">
        <is>
          <t>Maio/2026</t>
        </is>
      </c>
    </row>
    <row r="235" hidden="1" ht="14.25" customHeight="1" s="64">
      <c r="A235" s="106" t="inlineStr">
        <is>
          <t>Manutenção Predial</t>
        </is>
      </c>
      <c r="B235" s="106" t="inlineStr">
        <is>
          <t>Custo Fixo</t>
        </is>
      </c>
      <c r="C235" s="106" t="inlineStr">
        <is>
          <t>Folha de pagamento (salários)</t>
        </is>
      </c>
      <c r="D235" s="107" t="n">
        <v>1</v>
      </c>
      <c r="E235" s="108" t="n">
        <v>115351.05</v>
      </c>
      <c r="F235" s="109">
        <f>IFERROR(E235,0)</f>
        <v/>
      </c>
      <c r="G235" s="106">
        <f>INDEX(SETORES!$B:$B,MATCH(A235,SETORES!$A:$A,0))</f>
        <v/>
      </c>
      <c r="H235" s="106" t="inlineStr">
        <is>
          <t>Maio/2026</t>
        </is>
      </c>
    </row>
    <row r="236" hidden="1" ht="14.25" customHeight="1" s="64">
      <c r="A236" s="101" t="inlineStr">
        <is>
          <t>Manutenção Predial</t>
        </is>
      </c>
      <c r="B236" s="101" t="inlineStr">
        <is>
          <t>Custo Variável</t>
        </is>
      </c>
      <c r="C236" s="101" t="inlineStr">
        <is>
          <t>Investimento de equipamentos (não patrimoniável)</t>
        </is>
      </c>
      <c r="D236" s="102" t="n"/>
      <c r="E236" s="103" t="n"/>
      <c r="F236" s="104">
        <f>IFERROR(D236*E236,0)</f>
        <v/>
      </c>
      <c r="G236" s="101">
        <f>INDEX(SETORES!$B:$B,MATCH(A236,SETORES!$A:$A,0))</f>
        <v/>
      </c>
      <c r="H236" s="101" t="inlineStr">
        <is>
          <t>Maio/2026</t>
        </is>
      </c>
    </row>
    <row r="237" hidden="1" ht="14.25" customHeight="1" s="64">
      <c r="A237" s="106" t="inlineStr">
        <is>
          <t>Manutenção Predial</t>
        </is>
      </c>
      <c r="B237" s="106" t="inlineStr">
        <is>
          <t>Custo Variável</t>
        </is>
      </c>
      <c r="C237" s="106" t="inlineStr">
        <is>
          <t>EPIs - Equipamento de Proteção Individual</t>
        </is>
      </c>
      <c r="D237" s="107" t="n">
        <v>1</v>
      </c>
      <c r="E237" s="108" t="n">
        <v>1478.5</v>
      </c>
      <c r="F237" s="109">
        <f>IFERROR(D237*E237,0)</f>
        <v/>
      </c>
      <c r="G237" s="106">
        <f>INDEX(SETORES!$B:$B,MATCH(A237,SETORES!$A:$A,0))</f>
        <v/>
      </c>
      <c r="H237" s="106" t="inlineStr">
        <is>
          <t>Maio/2026</t>
        </is>
      </c>
    </row>
    <row r="238" hidden="1" ht="14.25" customHeight="1" s="64">
      <c r="A238" s="101" t="inlineStr">
        <is>
          <t>Manutenção Predial</t>
        </is>
      </c>
      <c r="B238" s="101" t="inlineStr">
        <is>
          <t>Custo Variável</t>
        </is>
      </c>
      <c r="C238" s="101" t="inlineStr">
        <is>
          <t>Rescisões trabalhistas</t>
        </is>
      </c>
      <c r="D238" s="102" t="n">
        <v>1</v>
      </c>
      <c r="E238" s="103" t="n">
        <v>1954.84</v>
      </c>
      <c r="F238" s="104">
        <f>IFERROR(D238*E238,0)</f>
        <v/>
      </c>
      <c r="G238" s="101">
        <f>INDEX(SETORES!$B:$B,MATCH(A238,SETORES!$A:$A,0))</f>
        <v/>
      </c>
      <c r="H238" s="101" t="inlineStr">
        <is>
          <t>Maio/2026</t>
        </is>
      </c>
    </row>
    <row r="239" hidden="1" ht="14.25" customHeight="1" s="64">
      <c r="A239" s="106" t="inlineStr">
        <is>
          <t>Manutenção Predial</t>
        </is>
      </c>
      <c r="B239" s="106" t="inlineStr">
        <is>
          <t>Custo Fixo</t>
        </is>
      </c>
      <c r="C239" s="106" t="inlineStr">
        <is>
          <t>Licença de e-mail corporativo</t>
        </is>
      </c>
      <c r="D239" s="107" t="n">
        <v>1</v>
      </c>
      <c r="E239" s="108" t="n">
        <v>50</v>
      </c>
      <c r="F239" s="109">
        <f>IFERROR(D239*E239,0)</f>
        <v/>
      </c>
      <c r="G239" s="106">
        <f>INDEX(SETORES!$B:$B,MATCH(A239,SETORES!$A:$A,0))</f>
        <v/>
      </c>
      <c r="H239" s="106" t="inlineStr">
        <is>
          <t>Maio/2026</t>
        </is>
      </c>
    </row>
    <row r="240" hidden="1" ht="14.25" customHeight="1" s="64">
      <c r="A240" s="101" t="inlineStr">
        <is>
          <t>Manutenção Predial</t>
        </is>
      </c>
      <c r="B240" s="101" t="inlineStr">
        <is>
          <t>Custo Variável</t>
        </is>
      </c>
      <c r="C240" s="101" t="inlineStr">
        <is>
          <t>Combustível de frota</t>
        </is>
      </c>
      <c r="D240" s="102" t="n">
        <v>1</v>
      </c>
      <c r="E240" s="103" t="n">
        <v>14366.59</v>
      </c>
      <c r="F240" s="104">
        <f>IFERROR(D240*E240,0)</f>
        <v/>
      </c>
      <c r="G240" s="101">
        <f>INDEX(SETORES!$B:$B,MATCH(A240,SETORES!$A:$A,0))</f>
        <v/>
      </c>
      <c r="H240" s="101" t="inlineStr">
        <is>
          <t>Maio/2026</t>
        </is>
      </c>
    </row>
    <row r="241" hidden="1" ht="14.25" customHeight="1" s="64">
      <c r="A241" s="106" t="inlineStr">
        <is>
          <t>Manutenção Predial</t>
        </is>
      </c>
      <c r="B241" s="106" t="inlineStr">
        <is>
          <t>Custo Fixo</t>
        </is>
      </c>
      <c r="C241" s="106" t="inlineStr">
        <is>
          <t>Gympass</t>
        </is>
      </c>
      <c r="D241" s="107" t="n">
        <v>12</v>
      </c>
      <c r="E241" s="108" t="n">
        <v>10.05</v>
      </c>
      <c r="F241" s="109">
        <f>IFERROR(D241*E241,0)</f>
        <v/>
      </c>
      <c r="G241" s="106">
        <f>INDEX(SETORES!$B:$B,MATCH(A241,SETORES!$A:$A,0))</f>
        <v/>
      </c>
      <c r="H241" s="106" t="inlineStr">
        <is>
          <t>Maio/2026</t>
        </is>
      </c>
    </row>
    <row r="242" hidden="1" ht="14.25" customHeight="1" s="64">
      <c r="A242" s="101" t="inlineStr">
        <is>
          <t>Manutenção Predial</t>
        </is>
      </c>
      <c r="B242" s="101" t="inlineStr">
        <is>
          <t>Custo Fixo</t>
        </is>
      </c>
      <c r="C242" s="101" t="inlineStr">
        <is>
          <t>Stargrid</t>
        </is>
      </c>
      <c r="D242" s="102" t="n">
        <v>12</v>
      </c>
      <c r="E242" s="103" t="n">
        <v>2.07</v>
      </c>
      <c r="F242" s="104">
        <f>IFERROR(D242*E242,0)</f>
        <v/>
      </c>
      <c r="G242" s="101">
        <f>INDEX(SETORES!$B:$B,MATCH(A242,SETORES!$A:$A,0))</f>
        <v/>
      </c>
      <c r="H242" s="101" t="inlineStr">
        <is>
          <t>Maio/2026</t>
        </is>
      </c>
    </row>
    <row r="243" hidden="1" ht="14.25" customHeight="1" s="64">
      <c r="A243" s="106" t="inlineStr">
        <is>
          <t>Manutenção Predial</t>
        </is>
      </c>
      <c r="B243" s="106" t="inlineStr">
        <is>
          <t>Custo Fixo</t>
        </is>
      </c>
      <c r="C243" s="106" t="inlineStr">
        <is>
          <t>Despesas com SST</t>
        </is>
      </c>
      <c r="D243" s="107" t="n">
        <v>12</v>
      </c>
      <c r="E243" s="108" t="n">
        <v>64.56999999999999</v>
      </c>
      <c r="F243" s="109">
        <f>IFERROR(D243*E243,0)</f>
        <v/>
      </c>
      <c r="G243" s="106">
        <f>INDEX(SETORES!$B:$B,MATCH(A243,SETORES!$A:$A,0))</f>
        <v/>
      </c>
      <c r="H243" s="106" t="inlineStr">
        <is>
          <t>Maio/2026</t>
        </is>
      </c>
    </row>
    <row r="244" hidden="1" ht="14.25" customHeight="1" s="64">
      <c r="A244" s="101" t="inlineStr">
        <is>
          <t>Manutenção Predial</t>
        </is>
      </c>
      <c r="B244" s="101" t="inlineStr">
        <is>
          <t>Custo Fixo</t>
        </is>
      </c>
      <c r="C244" s="101" t="inlineStr">
        <is>
          <t>Despesas com RH</t>
        </is>
      </c>
      <c r="D244" s="102" t="n">
        <v>12</v>
      </c>
      <c r="E244" s="103" t="n">
        <v>28.31</v>
      </c>
      <c r="F244" s="104">
        <f>IFERROR(D244*E244,0)</f>
        <v/>
      </c>
      <c r="G244" s="101">
        <f>INDEX(SETORES!$B:$B,MATCH(A244,SETORES!$A:$A,0))</f>
        <v/>
      </c>
      <c r="H244" s="101" t="inlineStr">
        <is>
          <t>Maio/2026</t>
        </is>
      </c>
    </row>
    <row r="245" hidden="1" ht="14.25" customHeight="1" s="64">
      <c r="A245" s="106" t="inlineStr">
        <is>
          <t>Manutenção Predial</t>
        </is>
      </c>
      <c r="B245" s="106" t="inlineStr">
        <is>
          <t>Custo Fixo</t>
        </is>
      </c>
      <c r="C245" s="106" t="inlineStr">
        <is>
          <t>Despesas com DP</t>
        </is>
      </c>
      <c r="D245" s="107" t="n">
        <v>12</v>
      </c>
      <c r="E245" s="108" t="n">
        <v>47.79</v>
      </c>
      <c r="F245" s="109">
        <f>IFERROR(D245*E245,0)</f>
        <v/>
      </c>
      <c r="G245" s="106">
        <f>INDEX(SETORES!$B:$B,MATCH(A245,SETORES!$A:$A,0))</f>
        <v/>
      </c>
      <c r="H245" s="106" t="inlineStr">
        <is>
          <t>Maio/2026</t>
        </is>
      </c>
    </row>
    <row r="246" hidden="1" ht="14.25" customHeight="1" s="64">
      <c r="A246" s="101" t="inlineStr">
        <is>
          <t>NOC</t>
        </is>
      </c>
      <c r="B246" s="101" t="inlineStr">
        <is>
          <t>Custo Fixo</t>
        </is>
      </c>
      <c r="C246" s="101" t="inlineStr">
        <is>
          <t>Material de escritório (suprimentos de informática)</t>
        </is>
      </c>
      <c r="D246" s="102" t="n"/>
      <c r="E246" s="103" t="n"/>
      <c r="F246" s="104" t="n">
        <v>0</v>
      </c>
      <c r="G246" s="101">
        <f>INDEX(SETORES!$B:$B,MATCH(A246,SETORES!$A:$A,0))</f>
        <v/>
      </c>
      <c r="H246" s="101" t="inlineStr">
        <is>
          <t>Maio/2026</t>
        </is>
      </c>
    </row>
    <row r="247" hidden="1" ht="14.25" customHeight="1" s="64">
      <c r="A247" s="106" t="inlineStr">
        <is>
          <t>NOC</t>
        </is>
      </c>
      <c r="B247" s="106" t="inlineStr">
        <is>
          <t>Custo Fixo</t>
        </is>
      </c>
      <c r="C247" s="106" t="inlineStr">
        <is>
          <t>Material de uso coletivo (copa/limpeza)</t>
        </is>
      </c>
      <c r="D247" s="107" t="n"/>
      <c r="E247" s="108" t="n"/>
      <c r="F247" s="109" t="n">
        <v>0</v>
      </c>
      <c r="G247" s="106">
        <f>INDEX(SETORES!$B:$B,MATCH(A247,SETORES!$A:$A,0))</f>
        <v/>
      </c>
      <c r="H247" s="106" t="inlineStr">
        <is>
          <t>Maio/2026</t>
        </is>
      </c>
    </row>
    <row r="248" hidden="1" ht="14.25" customHeight="1" s="64">
      <c r="A248" s="101" t="inlineStr">
        <is>
          <t>NOC</t>
        </is>
      </c>
      <c r="B248" s="101" t="inlineStr">
        <is>
          <t>Custo Fixo</t>
        </is>
      </c>
      <c r="C248" s="101" t="inlineStr">
        <is>
          <t>Energia elétrica (rateio)</t>
        </is>
      </c>
      <c r="D248" s="102" t="n">
        <v>1</v>
      </c>
      <c r="E248" s="103" t="n">
        <v>34.0432</v>
      </c>
      <c r="F248" s="104" t="n">
        <v>34.0432</v>
      </c>
      <c r="G248" s="101">
        <f>INDEX(SETORES!$B:$B,MATCH(A248,SETORES!$A:$A,0))</f>
        <v/>
      </c>
      <c r="H248" s="101" t="inlineStr">
        <is>
          <t>Maio/2026</t>
        </is>
      </c>
    </row>
    <row r="249" hidden="1" ht="14.25" customHeight="1" s="64">
      <c r="A249" s="106" t="inlineStr">
        <is>
          <t>NOC</t>
        </is>
      </c>
      <c r="B249" s="106" t="inlineStr">
        <is>
          <t>Custo Fixo</t>
        </is>
      </c>
      <c r="C249" s="106" t="inlineStr">
        <is>
          <t>Água e esgoto (rateio)</t>
        </is>
      </c>
      <c r="D249" s="107" t="n">
        <v>1</v>
      </c>
      <c r="E249" s="108" t="n">
        <v>0</v>
      </c>
      <c r="F249" s="109" t="n">
        <v>0</v>
      </c>
      <c r="G249" s="106">
        <f>INDEX(SETORES!$B:$B,MATCH(A249,SETORES!$A:$A,0))</f>
        <v/>
      </c>
      <c r="H249" s="106" t="inlineStr">
        <is>
          <t>Maio/2026</t>
        </is>
      </c>
    </row>
    <row r="250" hidden="1" ht="14.25" customHeight="1" s="64">
      <c r="A250" s="101" t="inlineStr">
        <is>
          <t>NOC</t>
        </is>
      </c>
      <c r="B250" s="101" t="inlineStr">
        <is>
          <t>Custo Fixo</t>
        </is>
      </c>
      <c r="C250" s="101" t="inlineStr">
        <is>
          <t>Telefonia móvel corporativa</t>
        </is>
      </c>
      <c r="D250" s="102" t="n"/>
      <c r="E250" s="103" t="n"/>
      <c r="F250" s="104">
        <f>IFERROR(D250*E250,0)</f>
        <v/>
      </c>
      <c r="G250" s="101">
        <f>INDEX(SETORES!$B:$B,MATCH(A250,SETORES!$A:$A,0))</f>
        <v/>
      </c>
      <c r="H250" s="101" t="inlineStr">
        <is>
          <t>Maio/2026</t>
        </is>
      </c>
    </row>
    <row r="251" hidden="1" ht="14.25" customHeight="1" s="64">
      <c r="A251" s="106" t="inlineStr">
        <is>
          <t>NOC</t>
        </is>
      </c>
      <c r="B251" s="106" t="inlineStr">
        <is>
          <t>Custo Fixo</t>
        </is>
      </c>
      <c r="C251" s="106" t="inlineStr">
        <is>
          <t>Folha de pagamento (salários)</t>
        </is>
      </c>
      <c r="D251" s="107" t="n">
        <v>1</v>
      </c>
      <c r="E251" s="108" t="n">
        <v>44988.49</v>
      </c>
      <c r="F251" s="109">
        <f>IFERROR(E251,0)</f>
        <v/>
      </c>
      <c r="G251" s="106">
        <f>INDEX(SETORES!$B:$B,MATCH(A251,SETORES!$A:$A,0))</f>
        <v/>
      </c>
      <c r="H251" s="106" t="inlineStr">
        <is>
          <t>Maio/2026</t>
        </is>
      </c>
    </row>
    <row r="252" hidden="1" ht="14.25" customHeight="1" s="64">
      <c r="A252" s="101" t="inlineStr">
        <is>
          <t>NOC</t>
        </is>
      </c>
      <c r="B252" s="101" t="inlineStr">
        <is>
          <t>Custo Fixo</t>
        </is>
      </c>
      <c r="C252" s="101" t="inlineStr">
        <is>
          <t>Licença de e-mail corporativo</t>
        </is>
      </c>
      <c r="D252" s="102" t="n">
        <v>4</v>
      </c>
      <c r="E252" s="103" t="n">
        <v>50</v>
      </c>
      <c r="F252" s="104">
        <f>IFERROR(D252*E252,0)</f>
        <v/>
      </c>
      <c r="G252" s="101">
        <f>INDEX(SETORES!$B:$B,MATCH(A252,SETORES!$A:$A,0))</f>
        <v/>
      </c>
      <c r="H252" s="101" t="inlineStr">
        <is>
          <t>Maio/2026</t>
        </is>
      </c>
    </row>
    <row r="253" hidden="1" ht="14.25" customHeight="1" s="64">
      <c r="A253" s="106" t="inlineStr">
        <is>
          <t>NOC</t>
        </is>
      </c>
      <c r="B253" s="106" t="inlineStr">
        <is>
          <t>Custo Variável</t>
        </is>
      </c>
      <c r="C253" s="106" t="inlineStr">
        <is>
          <t>Combustível de frota</t>
        </is>
      </c>
      <c r="D253" s="107" t="n">
        <v>1</v>
      </c>
      <c r="E253" s="108" t="n">
        <v>2859.16</v>
      </c>
      <c r="F253" s="109">
        <f>IFERROR(D253*E253,0)</f>
        <v/>
      </c>
      <c r="G253" s="106">
        <f>INDEX(SETORES!$B:$B,MATCH(A253,SETORES!$A:$A,0))</f>
        <v/>
      </c>
      <c r="H253" s="106" t="inlineStr">
        <is>
          <t>Maio/2026</t>
        </is>
      </c>
    </row>
    <row r="254" hidden="1" ht="14.25" customHeight="1" s="64">
      <c r="A254" s="101" t="inlineStr">
        <is>
          <t>NOC</t>
        </is>
      </c>
      <c r="B254" s="101" t="inlineStr">
        <is>
          <t>Custo Fixo</t>
        </is>
      </c>
      <c r="C254" s="101" t="inlineStr">
        <is>
          <t>Gympass</t>
        </is>
      </c>
      <c r="D254" s="102" t="n">
        <v>4</v>
      </c>
      <c r="E254" s="103" t="n">
        <v>10.05</v>
      </c>
      <c r="F254" s="104">
        <f>IFERROR(D254*E254,0)</f>
        <v/>
      </c>
      <c r="G254" s="101">
        <f>INDEX(SETORES!$B:$B,MATCH(A254,SETORES!$A:$A,0))</f>
        <v/>
      </c>
      <c r="H254" s="101" t="inlineStr">
        <is>
          <t>Maio/2026</t>
        </is>
      </c>
    </row>
    <row r="255" hidden="1" ht="14.25" customHeight="1" s="64">
      <c r="A255" s="106" t="inlineStr">
        <is>
          <t>NOC</t>
        </is>
      </c>
      <c r="B255" s="106" t="inlineStr">
        <is>
          <t>Custo Fixo</t>
        </is>
      </c>
      <c r="C255" s="106" t="inlineStr">
        <is>
          <t>Stargrid</t>
        </is>
      </c>
      <c r="D255" s="107" t="n">
        <v>4</v>
      </c>
      <c r="E255" s="108" t="n">
        <v>2.07</v>
      </c>
      <c r="F255" s="109">
        <f>IFERROR(D255*E255,0)</f>
        <v/>
      </c>
      <c r="G255" s="106">
        <f>INDEX(SETORES!$B:$B,MATCH(A255,SETORES!$A:$A,0))</f>
        <v/>
      </c>
      <c r="H255" s="106" t="inlineStr">
        <is>
          <t>Maio/2026</t>
        </is>
      </c>
    </row>
    <row r="256" hidden="1" ht="14.25" customHeight="1" s="64">
      <c r="A256" s="101" t="inlineStr">
        <is>
          <t>NOC</t>
        </is>
      </c>
      <c r="B256" s="101" t="inlineStr">
        <is>
          <t>Custo Fixo</t>
        </is>
      </c>
      <c r="C256" s="101" t="inlineStr">
        <is>
          <t>Despesas com SST</t>
        </is>
      </c>
      <c r="D256" s="102" t="n">
        <v>4</v>
      </c>
      <c r="E256" s="103" t="n">
        <v>64.56999999999999</v>
      </c>
      <c r="F256" s="104">
        <f>IFERROR(D256*E256,0)</f>
        <v/>
      </c>
      <c r="G256" s="101">
        <f>INDEX(SETORES!$B:$B,MATCH(A256,SETORES!$A:$A,0))</f>
        <v/>
      </c>
      <c r="H256" s="101" t="inlineStr">
        <is>
          <t>Maio/2026</t>
        </is>
      </c>
    </row>
    <row r="257" hidden="1" ht="14.25" customHeight="1" s="64">
      <c r="A257" s="106" t="inlineStr">
        <is>
          <t>NOC</t>
        </is>
      </c>
      <c r="B257" s="106" t="inlineStr">
        <is>
          <t>Custo Fixo</t>
        </is>
      </c>
      <c r="C257" s="106" t="inlineStr">
        <is>
          <t>Despesas com RH</t>
        </is>
      </c>
      <c r="D257" s="107" t="n">
        <v>4</v>
      </c>
      <c r="E257" s="108" t="n">
        <v>28.31</v>
      </c>
      <c r="F257" s="109">
        <f>IFERROR(D257*E257,0)</f>
        <v/>
      </c>
      <c r="G257" s="106">
        <f>INDEX(SETORES!$B:$B,MATCH(A257,SETORES!$A:$A,0))</f>
        <v/>
      </c>
      <c r="H257" s="106" t="inlineStr">
        <is>
          <t>Maio/2026</t>
        </is>
      </c>
    </row>
    <row r="258" hidden="1" ht="14.25" customHeight="1" s="64">
      <c r="A258" s="101" t="inlineStr">
        <is>
          <t>NOC</t>
        </is>
      </c>
      <c r="B258" s="101" t="inlineStr">
        <is>
          <t>Custo Fixo</t>
        </is>
      </c>
      <c r="C258" s="101" t="inlineStr">
        <is>
          <t>Despesas com DP</t>
        </is>
      </c>
      <c r="D258" s="102" t="n">
        <v>4</v>
      </c>
      <c r="E258" s="103" t="n">
        <v>47.79</v>
      </c>
      <c r="F258" s="104">
        <f>IFERROR(D258*E258,0)</f>
        <v/>
      </c>
      <c r="G258" s="101">
        <f>INDEX(SETORES!$B:$B,MATCH(A258,SETORES!$A:$A,0))</f>
        <v/>
      </c>
      <c r="H258" s="101" t="inlineStr">
        <is>
          <t>Maio/2026</t>
        </is>
      </c>
    </row>
    <row r="259" hidden="1" ht="14.25" customHeight="1" s="64">
      <c r="A259" s="106" t="inlineStr">
        <is>
          <t>NRC</t>
        </is>
      </c>
      <c r="B259" s="106" t="inlineStr">
        <is>
          <t>Custo Fixo</t>
        </is>
      </c>
      <c r="C259" s="106" t="inlineStr">
        <is>
          <t>Material de escritório (suprimentos de informática)</t>
        </is>
      </c>
      <c r="D259" s="107" t="n">
        <v>41</v>
      </c>
      <c r="E259" s="108" t="n">
        <v>0.3648</v>
      </c>
      <c r="F259" s="109" t="n">
        <v>14.9568</v>
      </c>
      <c r="G259" s="106">
        <f>INDEX(SETORES!$B:$B,MATCH(A259,SETORES!$A:$A,0))</f>
        <v/>
      </c>
      <c r="H259" s="106" t="inlineStr">
        <is>
          <t>Maio/2026</t>
        </is>
      </c>
    </row>
    <row r="260" hidden="1" ht="14.25" customHeight="1" s="64">
      <c r="A260" s="101" t="inlineStr">
        <is>
          <t>NRC</t>
        </is>
      </c>
      <c r="B260" s="101" t="inlineStr">
        <is>
          <t>Custo Fixo</t>
        </is>
      </c>
      <c r="C260" s="101" t="inlineStr">
        <is>
          <t>Material de uso coletivo (copa/limpeza)</t>
        </is>
      </c>
      <c r="D260" s="102" t="n">
        <v>1</v>
      </c>
      <c r="E260" s="103" t="n">
        <v>1160.222241</v>
      </c>
      <c r="F260" s="104" t="n">
        <v>1160.222241</v>
      </c>
      <c r="G260" s="101">
        <f>INDEX(SETORES!$B:$B,MATCH(A260,SETORES!$A:$A,0))</f>
        <v/>
      </c>
      <c r="H260" s="101" t="inlineStr">
        <is>
          <t>Maio/2026</t>
        </is>
      </c>
    </row>
    <row r="261" hidden="1" ht="14.25" customHeight="1" s="64">
      <c r="A261" s="106" t="inlineStr">
        <is>
          <t>NRC</t>
        </is>
      </c>
      <c r="B261" s="106" t="inlineStr">
        <is>
          <t>Custo Fixo</t>
        </is>
      </c>
      <c r="C261" s="106" t="inlineStr">
        <is>
          <t>Energia elétrica (rateio)</t>
        </is>
      </c>
      <c r="D261" s="107" t="n">
        <v>1</v>
      </c>
      <c r="E261" s="108" t="n">
        <v>348.9425</v>
      </c>
      <c r="F261" s="109" t="n">
        <v>348.9425</v>
      </c>
      <c r="G261" s="106">
        <f>INDEX(SETORES!$B:$B,MATCH(A261,SETORES!$A:$A,0))</f>
        <v/>
      </c>
      <c r="H261" s="106" t="inlineStr">
        <is>
          <t>Maio/2026</t>
        </is>
      </c>
    </row>
    <row r="262" hidden="1" ht="14.25" customHeight="1" s="64">
      <c r="A262" s="101" t="inlineStr">
        <is>
          <t>NRC</t>
        </is>
      </c>
      <c r="B262" s="101" t="inlineStr">
        <is>
          <t>Custo Fixo</t>
        </is>
      </c>
      <c r="C262" s="101" t="inlineStr">
        <is>
          <t>Água e esgoto (rateio)</t>
        </is>
      </c>
      <c r="D262" s="102" t="n">
        <v>1</v>
      </c>
      <c r="E262" s="103" t="n">
        <v>0</v>
      </c>
      <c r="F262" s="104" t="n">
        <v>0</v>
      </c>
      <c r="G262" s="101">
        <f>INDEX(SETORES!$B:$B,MATCH(A262,SETORES!$A:$A,0))</f>
        <v/>
      </c>
      <c r="H262" s="101" t="inlineStr">
        <is>
          <t>Maio/2026</t>
        </is>
      </c>
    </row>
    <row r="263" hidden="1" ht="14.25" customHeight="1" s="64">
      <c r="A263" s="106" t="inlineStr">
        <is>
          <t>NRC</t>
        </is>
      </c>
      <c r="B263" s="106" t="inlineStr">
        <is>
          <t>Custo Fixo</t>
        </is>
      </c>
      <c r="C263" s="106" t="inlineStr">
        <is>
          <t>Telefonia móvel corporativa</t>
        </is>
      </c>
      <c r="D263" s="107" t="n"/>
      <c r="E263" s="108" t="n"/>
      <c r="F263" s="109">
        <f>IFERROR(D263*E263,0)</f>
        <v/>
      </c>
      <c r="G263" s="106">
        <f>INDEX(SETORES!$B:$B,MATCH(A263,SETORES!$A:$A,0))</f>
        <v/>
      </c>
      <c r="H263" s="106" t="inlineStr">
        <is>
          <t>Maio/2026</t>
        </is>
      </c>
    </row>
    <row r="264" hidden="1" ht="14.25" customHeight="1" s="64">
      <c r="A264" s="101" t="inlineStr">
        <is>
          <t>NRC</t>
        </is>
      </c>
      <c r="B264" s="101" t="inlineStr">
        <is>
          <t>Custo Fixo</t>
        </is>
      </c>
      <c r="C264" s="101" t="inlineStr">
        <is>
          <t>Folha de pagamento (salários)</t>
        </is>
      </c>
      <c r="D264" s="102" t="n">
        <v>1</v>
      </c>
      <c r="E264" s="103" t="n">
        <v>132451.46</v>
      </c>
      <c r="F264" s="104">
        <f>IFERROR(E264,0)</f>
        <v/>
      </c>
      <c r="G264" s="101">
        <f>INDEX(SETORES!$B:$B,MATCH(A264,SETORES!$A:$A,0))</f>
        <v/>
      </c>
      <c r="H264" s="101" t="inlineStr">
        <is>
          <t>Maio/2026</t>
        </is>
      </c>
    </row>
    <row r="265" hidden="1" ht="14.25" customHeight="1" s="64">
      <c r="A265" s="106" t="inlineStr">
        <is>
          <t>NRC</t>
        </is>
      </c>
      <c r="B265" s="106" t="inlineStr">
        <is>
          <t>Custo Fixo</t>
        </is>
      </c>
      <c r="C265" s="106" t="inlineStr">
        <is>
          <t>Licenças de software/sistemas corporativos</t>
        </is>
      </c>
      <c r="D265" s="107" t="n"/>
      <c r="E265" s="108" t="n"/>
      <c r="F265" s="109">
        <f>IFERROR(D265*E265,0)</f>
        <v/>
      </c>
      <c r="G265" s="106">
        <f>INDEX(SETORES!$B:$B,MATCH(A265,SETORES!$A:$A,0))</f>
        <v/>
      </c>
      <c r="H265" s="106" t="inlineStr">
        <is>
          <t>Maio/2026</t>
        </is>
      </c>
    </row>
    <row r="266" hidden="1" ht="14.25" customHeight="1" s="64">
      <c r="A266" s="101" t="inlineStr">
        <is>
          <t>NRC</t>
        </is>
      </c>
      <c r="B266" s="101" t="inlineStr">
        <is>
          <t>Custo Variável</t>
        </is>
      </c>
      <c r="C266" s="101" t="inlineStr">
        <is>
          <t>Fardamento novo</t>
        </is>
      </c>
      <c r="D266" s="102" t="n">
        <v>1</v>
      </c>
      <c r="E266" s="103" t="n">
        <v>340</v>
      </c>
      <c r="F266" s="104">
        <f>IFERROR(D266*E266,0)</f>
        <v/>
      </c>
      <c r="G266" s="101">
        <f>INDEX(SETORES!$B:$B,MATCH(A266,SETORES!$A:$A,0))</f>
        <v/>
      </c>
      <c r="H266" s="101" t="inlineStr">
        <is>
          <t>Maio/2026</t>
        </is>
      </c>
    </row>
    <row r="267" hidden="1" ht="14.25" customHeight="1" s="64">
      <c r="A267" s="106" t="inlineStr">
        <is>
          <t>NRC</t>
        </is>
      </c>
      <c r="B267" s="106" t="inlineStr">
        <is>
          <t>Custo Variável</t>
        </is>
      </c>
      <c r="C267" s="106" t="inlineStr">
        <is>
          <t>Fardamento substituição</t>
        </is>
      </c>
      <c r="D267" s="107" t="n">
        <v>1</v>
      </c>
      <c r="E267" s="108" t="n">
        <v>181.33</v>
      </c>
      <c r="F267" s="109">
        <f>IFERROR(D267*E267,0)</f>
        <v/>
      </c>
      <c r="G267" s="106">
        <f>INDEX(SETORES!$B:$B,MATCH(A267,SETORES!$A:$A,0))</f>
        <v/>
      </c>
      <c r="H267" s="106" t="inlineStr">
        <is>
          <t>Maio/2026</t>
        </is>
      </c>
    </row>
    <row r="268" hidden="1" ht="14.25" customHeight="1" s="64">
      <c r="A268" s="101" t="inlineStr">
        <is>
          <t>NRC</t>
        </is>
      </c>
      <c r="B268" s="101" t="inlineStr">
        <is>
          <t>Custo Variável</t>
        </is>
      </c>
      <c r="C268" s="101" t="inlineStr">
        <is>
          <t>Exames médicos</t>
        </is>
      </c>
      <c r="D268" s="102" t="n">
        <v>1</v>
      </c>
      <c r="E268" s="103" t="n">
        <v>316.67</v>
      </c>
      <c r="F268" s="104">
        <f>IFERROR(D268*E268,0)</f>
        <v/>
      </c>
      <c r="G268" s="101">
        <f>INDEX(SETORES!$B:$B,MATCH(A268,SETORES!$A:$A,0))</f>
        <v/>
      </c>
      <c r="H268" s="101" t="inlineStr">
        <is>
          <t>Maio/2026</t>
        </is>
      </c>
    </row>
    <row r="269" hidden="1" ht="14.25" customHeight="1" s="64">
      <c r="A269" s="106" t="inlineStr">
        <is>
          <t>NRC</t>
        </is>
      </c>
      <c r="B269" s="106" t="inlineStr">
        <is>
          <t>Custo Fixo</t>
        </is>
      </c>
      <c r="C269" s="106" t="inlineStr">
        <is>
          <t>Licença de e-mail corporativo</t>
        </is>
      </c>
      <c r="D269" s="107" t="n">
        <v>43</v>
      </c>
      <c r="E269" s="108" t="n">
        <v>50</v>
      </c>
      <c r="F269" s="109">
        <f>IFERROR(D269*E269,0)</f>
        <v/>
      </c>
      <c r="G269" s="106">
        <f>INDEX(SETORES!$B:$B,MATCH(A269,SETORES!$A:$A,0))</f>
        <v/>
      </c>
      <c r="H269" s="106" t="inlineStr">
        <is>
          <t>Maio/2026</t>
        </is>
      </c>
    </row>
    <row r="270" hidden="1" ht="14.25" customHeight="1" s="64">
      <c r="A270" s="101" t="inlineStr">
        <is>
          <t>NRC</t>
        </is>
      </c>
      <c r="B270" s="101" t="inlineStr">
        <is>
          <t>Custo Fixo</t>
        </is>
      </c>
      <c r="C270" s="101" t="inlineStr">
        <is>
          <t>Software MATRIX (rateio equipe Relacionamento)</t>
        </is>
      </c>
      <c r="D270" s="102" t="n">
        <v>1</v>
      </c>
      <c r="E270" s="103" t="n">
        <v>1879.493013</v>
      </c>
      <c r="F270" s="104">
        <f>IFERROR(D270*E270,0)</f>
        <v/>
      </c>
      <c r="G270" s="101">
        <f>INDEX(SETORES!$B:$B,MATCH(A270,SETORES!$A:$A,0))</f>
        <v/>
      </c>
      <c r="H270" s="101" t="inlineStr">
        <is>
          <t>Maio/2026</t>
        </is>
      </c>
    </row>
    <row r="271" hidden="1" ht="14.25" customHeight="1" s="64">
      <c r="A271" s="106" t="inlineStr">
        <is>
          <t>NRC</t>
        </is>
      </c>
      <c r="B271" s="106" t="inlineStr">
        <is>
          <t>Custo Fixo</t>
        </is>
      </c>
      <c r="C271" s="106" t="inlineStr">
        <is>
          <t>Telefonia de entrada Algar</t>
        </is>
      </c>
      <c r="D271" s="107" t="n">
        <v>1</v>
      </c>
      <c r="E271" s="108" t="n">
        <v>1641.88</v>
      </c>
      <c r="F271" s="109">
        <f>IFERROR(D271*E271,0)</f>
        <v/>
      </c>
      <c r="G271" s="106">
        <f>INDEX(SETORES!$B:$B,MATCH(A271,SETORES!$A:$A,0))</f>
        <v/>
      </c>
      <c r="H271" s="106" t="inlineStr">
        <is>
          <t>Maio/2026</t>
        </is>
      </c>
    </row>
    <row r="272" hidden="1" ht="14.25" customHeight="1" s="64">
      <c r="A272" s="101" t="inlineStr">
        <is>
          <t>NRC</t>
        </is>
      </c>
      <c r="B272" s="101" t="inlineStr">
        <is>
          <t>Custo Fixo</t>
        </is>
      </c>
      <c r="C272" s="101" t="inlineStr">
        <is>
          <t>Software Dlocal (trafego pago)</t>
        </is>
      </c>
      <c r="D272" s="102" t="n">
        <v>1</v>
      </c>
      <c r="E272" s="103" t="n">
        <v>883.620684</v>
      </c>
      <c r="F272" s="104">
        <f>IFERROR(D272*E272,0)</f>
        <v/>
      </c>
      <c r="G272" s="101">
        <f>INDEX(SETORES!$B:$B,MATCH(A272,SETORES!$A:$A,0))</f>
        <v/>
      </c>
      <c r="H272" s="101" t="inlineStr">
        <is>
          <t>Maio/2026</t>
        </is>
      </c>
    </row>
    <row r="273" hidden="1" ht="14.25" customHeight="1" s="64">
      <c r="A273" s="106" t="inlineStr">
        <is>
          <t>NRC</t>
        </is>
      </c>
      <c r="B273" s="106" t="inlineStr">
        <is>
          <t>Custo Fixo</t>
        </is>
      </c>
      <c r="C273" s="106" t="inlineStr">
        <is>
          <t>Software Google brasil (trafego pago)</t>
        </is>
      </c>
      <c r="D273" s="107" t="n">
        <v>1</v>
      </c>
      <c r="E273" s="108" t="n">
        <v>117.814894</v>
      </c>
      <c r="F273" s="109">
        <f>IFERROR(D273*E273,0)</f>
        <v/>
      </c>
      <c r="G273" s="106">
        <f>INDEX(SETORES!$B:$B,MATCH(A273,SETORES!$A:$A,0))</f>
        <v/>
      </c>
      <c r="H273" s="106" t="inlineStr">
        <is>
          <t>Maio/2026</t>
        </is>
      </c>
    </row>
    <row r="274" hidden="1" ht="14.25" customHeight="1" s="64">
      <c r="A274" s="101" t="inlineStr">
        <is>
          <t>NRC</t>
        </is>
      </c>
      <c r="B274" s="101" t="inlineStr">
        <is>
          <t>Custo Variável</t>
        </is>
      </c>
      <c r="C274" s="101" t="inlineStr">
        <is>
          <t>Software Lorensi marketing (f000987)</t>
        </is>
      </c>
      <c r="D274" s="102" t="n">
        <v>1</v>
      </c>
      <c r="E274" s="103" t="n">
        <v>326.526132</v>
      </c>
      <c r="F274" s="104">
        <f>IFERROR(D274*E274,0)</f>
        <v/>
      </c>
      <c r="G274" s="101">
        <f>INDEX(SETORES!$B:$B,MATCH(A274,SETORES!$A:$A,0))</f>
        <v/>
      </c>
      <c r="H274" s="101" t="inlineStr">
        <is>
          <t>Maio/2026</t>
        </is>
      </c>
    </row>
    <row r="275" hidden="1" ht="14.25" customHeight="1" s="64">
      <c r="A275" s="106" t="inlineStr">
        <is>
          <t>NRC</t>
        </is>
      </c>
      <c r="B275" s="106" t="inlineStr">
        <is>
          <t>Custo Variável</t>
        </is>
      </c>
      <c r="C275" s="106" t="inlineStr">
        <is>
          <t>Disparos feito pela meta</t>
        </is>
      </c>
      <c r="D275" s="107" t="n">
        <v>1</v>
      </c>
      <c r="E275" s="108" t="n">
        <v>242.73</v>
      </c>
      <c r="F275" s="109">
        <f>IFERROR(D275*E275,0)</f>
        <v/>
      </c>
      <c r="G275" s="106">
        <f>INDEX(SETORES!$B:$B,MATCH(A275,SETORES!$A:$A,0))</f>
        <v/>
      </c>
      <c r="H275" s="106" t="inlineStr">
        <is>
          <t>Maio/2026</t>
        </is>
      </c>
    </row>
    <row r="276" hidden="1" ht="14.25" customHeight="1" s="64">
      <c r="A276" s="101" t="inlineStr">
        <is>
          <t>NRC</t>
        </is>
      </c>
      <c r="B276" s="101" t="inlineStr">
        <is>
          <t>Custo Fixo</t>
        </is>
      </c>
      <c r="C276" s="101" t="inlineStr">
        <is>
          <t>Vexpenses</t>
        </is>
      </c>
      <c r="D276" s="102" t="n">
        <v>1</v>
      </c>
      <c r="E276" s="103" t="n">
        <v>52</v>
      </c>
      <c r="F276" s="104">
        <f>IFERROR(D276*E276,0)</f>
        <v/>
      </c>
      <c r="G276" s="101">
        <f>INDEX(SETORES!$B:$B,MATCH(A276,SETORES!$A:$A,0))</f>
        <v/>
      </c>
      <c r="H276" s="101" t="inlineStr">
        <is>
          <t>Maio/2026</t>
        </is>
      </c>
    </row>
    <row r="277" hidden="1" ht="14.25" customHeight="1" s="64">
      <c r="A277" s="106" t="inlineStr">
        <is>
          <t>NRC</t>
        </is>
      </c>
      <c r="B277" s="106" t="inlineStr">
        <is>
          <t>Custo Variável</t>
        </is>
      </c>
      <c r="C277" s="106" t="inlineStr">
        <is>
          <t>Endomarketing</t>
        </is>
      </c>
      <c r="D277" s="107" t="n">
        <v>1</v>
      </c>
      <c r="E277" s="108" t="n">
        <v>23.5</v>
      </c>
      <c r="F277" s="109">
        <f>IFERROR(D277*E277,0)</f>
        <v/>
      </c>
      <c r="G277" s="106">
        <f>INDEX(SETORES!$B:$B,MATCH(A277,SETORES!$A:$A,0))</f>
        <v/>
      </c>
      <c r="H277" s="106" t="inlineStr">
        <is>
          <t>Maio/2026</t>
        </is>
      </c>
    </row>
    <row r="278" hidden="1" ht="14.25" customHeight="1" s="64">
      <c r="A278" s="101" t="inlineStr">
        <is>
          <t>NRC</t>
        </is>
      </c>
      <c r="B278" s="101" t="inlineStr">
        <is>
          <t>Custo Fixo</t>
        </is>
      </c>
      <c r="C278" s="101" t="inlineStr">
        <is>
          <t>Gympass</t>
        </is>
      </c>
      <c r="D278" s="102" t="n">
        <v>41</v>
      </c>
      <c r="E278" s="103" t="n">
        <v>10.05</v>
      </c>
      <c r="F278" s="104">
        <f>IFERROR(D278*E278,0)</f>
        <v/>
      </c>
      <c r="G278" s="101">
        <f>INDEX(SETORES!$B:$B,MATCH(A278,SETORES!$A:$A,0))</f>
        <v/>
      </c>
      <c r="H278" s="101" t="inlineStr">
        <is>
          <t>Maio/2026</t>
        </is>
      </c>
    </row>
    <row r="279" hidden="1" ht="14.25" customHeight="1" s="64">
      <c r="A279" s="106" t="inlineStr">
        <is>
          <t>NRC</t>
        </is>
      </c>
      <c r="B279" s="106" t="inlineStr">
        <is>
          <t>Custo Fixo</t>
        </is>
      </c>
      <c r="C279" s="106" t="inlineStr">
        <is>
          <t>Stargrid</t>
        </is>
      </c>
      <c r="D279" s="107" t="n">
        <v>41</v>
      </c>
      <c r="E279" s="108" t="n">
        <v>2.07</v>
      </c>
      <c r="F279" s="109">
        <f>IFERROR(D279*E279,0)</f>
        <v/>
      </c>
      <c r="G279" s="106">
        <f>INDEX(SETORES!$B:$B,MATCH(A279,SETORES!$A:$A,0))</f>
        <v/>
      </c>
      <c r="H279" s="106" t="inlineStr">
        <is>
          <t>Maio/2026</t>
        </is>
      </c>
    </row>
    <row r="280" hidden="1" ht="14.25" customHeight="1" s="64">
      <c r="A280" s="101" t="inlineStr">
        <is>
          <t>NRC</t>
        </is>
      </c>
      <c r="B280" s="101" t="inlineStr">
        <is>
          <t>Custo Fixo</t>
        </is>
      </c>
      <c r="C280" s="101" t="inlineStr">
        <is>
          <t>Despesas com SST</t>
        </is>
      </c>
      <c r="D280" s="102" t="n">
        <v>41</v>
      </c>
      <c r="E280" s="103" t="n">
        <v>64.56999999999999</v>
      </c>
      <c r="F280" s="104">
        <f>IFERROR(D280*E280,0)</f>
        <v/>
      </c>
      <c r="G280" s="101">
        <f>INDEX(SETORES!$B:$B,MATCH(A280,SETORES!$A:$A,0))</f>
        <v/>
      </c>
      <c r="H280" s="101" t="inlineStr">
        <is>
          <t>Maio/2026</t>
        </is>
      </c>
    </row>
    <row r="281" hidden="1" ht="14.25" customHeight="1" s="64">
      <c r="A281" s="106" t="inlineStr">
        <is>
          <t>NRC</t>
        </is>
      </c>
      <c r="B281" s="106" t="inlineStr">
        <is>
          <t>Custo Fixo</t>
        </is>
      </c>
      <c r="C281" s="106" t="inlineStr">
        <is>
          <t>Despesas com RH</t>
        </is>
      </c>
      <c r="D281" s="107" t="n">
        <v>41</v>
      </c>
      <c r="E281" s="108" t="n">
        <v>28.31</v>
      </c>
      <c r="F281" s="109">
        <f>IFERROR(D281*E281,0)</f>
        <v/>
      </c>
      <c r="G281" s="106">
        <f>INDEX(SETORES!$B:$B,MATCH(A281,SETORES!$A:$A,0))</f>
        <v/>
      </c>
      <c r="H281" s="106" t="inlineStr">
        <is>
          <t>Maio/2026</t>
        </is>
      </c>
    </row>
    <row r="282" hidden="1" ht="14.25" customHeight="1" s="64">
      <c r="A282" s="101" t="inlineStr">
        <is>
          <t>NRC</t>
        </is>
      </c>
      <c r="B282" s="101" t="inlineStr">
        <is>
          <t>Custo Fixo</t>
        </is>
      </c>
      <c r="C282" s="101" t="inlineStr">
        <is>
          <t>Despesas com DP</t>
        </is>
      </c>
      <c r="D282" s="102" t="n">
        <v>41</v>
      </c>
      <c r="E282" s="103" t="n">
        <v>47.79</v>
      </c>
      <c r="F282" s="104">
        <f>IFERROR(D282*E282,0)</f>
        <v/>
      </c>
      <c r="G282" s="101">
        <f>INDEX(SETORES!$B:$B,MATCH(A282,SETORES!$A:$A,0))</f>
        <v/>
      </c>
      <c r="H282" s="101" t="inlineStr">
        <is>
          <t>Maio/2026</t>
        </is>
      </c>
    </row>
    <row r="283" hidden="1" ht="14.25" customHeight="1" s="64">
      <c r="A283" s="106" t="inlineStr">
        <is>
          <t>Obras</t>
        </is>
      </c>
      <c r="B283" s="106" t="inlineStr">
        <is>
          <t>Custo Fixo</t>
        </is>
      </c>
      <c r="C283" s="106" t="inlineStr">
        <is>
          <t>Material de escritório (suprimentos de informática)</t>
        </is>
      </c>
      <c r="D283" s="107" t="n"/>
      <c r="E283" s="108" t="n"/>
      <c r="F283" s="109" t="n">
        <v>0</v>
      </c>
      <c r="G283" s="106">
        <f>INDEX(SETORES!$B:$B,MATCH(A283,SETORES!$A:$A,0))</f>
        <v/>
      </c>
      <c r="H283" s="106" t="inlineStr">
        <is>
          <t>Maio/2026</t>
        </is>
      </c>
    </row>
    <row r="284" hidden="1" ht="14.25" customHeight="1" s="64">
      <c r="A284" s="101" t="inlineStr">
        <is>
          <t>Obras</t>
        </is>
      </c>
      <c r="B284" s="101" t="inlineStr">
        <is>
          <t>Custo Fixo</t>
        </is>
      </c>
      <c r="C284" s="101" t="inlineStr">
        <is>
          <t>Material de uso coletivo (copa/limpeza)</t>
        </is>
      </c>
      <c r="D284" s="102" t="n"/>
      <c r="E284" s="103" t="n"/>
      <c r="F284" s="104" t="n">
        <v>0</v>
      </c>
      <c r="G284" s="101">
        <f>INDEX(SETORES!$B:$B,MATCH(A284,SETORES!$A:$A,0))</f>
        <v/>
      </c>
      <c r="H284" s="101" t="inlineStr">
        <is>
          <t>Maio/2026</t>
        </is>
      </c>
    </row>
    <row r="285" hidden="1" ht="14.25" customHeight="1" s="64">
      <c r="A285" s="106" t="inlineStr">
        <is>
          <t>Obras</t>
        </is>
      </c>
      <c r="B285" s="106" t="inlineStr">
        <is>
          <t>Custo Fixo</t>
        </is>
      </c>
      <c r="C285" s="106" t="inlineStr">
        <is>
          <t>Água e esgoto (rateio)</t>
        </is>
      </c>
      <c r="D285" s="107" t="n"/>
      <c r="E285" s="108" t="n"/>
      <c r="F285" s="109">
        <f>IFERROR(D285*E285,0)</f>
        <v/>
      </c>
      <c r="G285" s="106">
        <f>INDEX(SETORES!$B:$B,MATCH(A285,SETORES!$A:$A,0))</f>
        <v/>
      </c>
      <c r="H285" s="106" t="inlineStr">
        <is>
          <t>Maio/2026</t>
        </is>
      </c>
    </row>
    <row r="286" hidden="1" ht="14.25" customHeight="1" s="64">
      <c r="A286" s="101" t="inlineStr">
        <is>
          <t>Obras</t>
        </is>
      </c>
      <c r="B286" s="101" t="inlineStr">
        <is>
          <t>Custo Fixo</t>
        </is>
      </c>
      <c r="C286" s="101" t="inlineStr">
        <is>
          <t>Telefonia móvel corporativa</t>
        </is>
      </c>
      <c r="D286" s="102" t="n"/>
      <c r="E286" s="103" t="n"/>
      <c r="F286" s="104">
        <f>IFERROR(D286*E286,0)</f>
        <v/>
      </c>
      <c r="G286" s="101">
        <f>INDEX(SETORES!$B:$B,MATCH(A286,SETORES!$A:$A,0))</f>
        <v/>
      </c>
      <c r="H286" s="101" t="inlineStr">
        <is>
          <t>Maio/2026</t>
        </is>
      </c>
    </row>
    <row r="287" hidden="1" ht="14.25" customHeight="1" s="64">
      <c r="A287" s="106" t="inlineStr">
        <is>
          <t>Obras</t>
        </is>
      </c>
      <c r="B287" s="106" t="inlineStr">
        <is>
          <t>Custo Fixo</t>
        </is>
      </c>
      <c r="C287" s="106" t="inlineStr">
        <is>
          <t>Folha de pagamento (salários)</t>
        </is>
      </c>
      <c r="D287" s="107" t="n">
        <v>1</v>
      </c>
      <c r="E287" s="108" t="n">
        <v>158228.71</v>
      </c>
      <c r="F287" s="109">
        <f>IFERROR(E287,0)</f>
        <v/>
      </c>
      <c r="G287" s="106">
        <f>INDEX(SETORES!$B:$B,MATCH(A287,SETORES!$A:$A,0))</f>
        <v/>
      </c>
      <c r="H287" s="106" t="inlineStr">
        <is>
          <t>Maio/2026</t>
        </is>
      </c>
    </row>
    <row r="288" hidden="1" ht="14.25" customHeight="1" s="64">
      <c r="A288" s="101" t="inlineStr">
        <is>
          <t>Obras</t>
        </is>
      </c>
      <c r="B288" s="101" t="inlineStr">
        <is>
          <t>Custo Variável</t>
        </is>
      </c>
      <c r="C288" s="101" t="inlineStr">
        <is>
          <t>Investimento de equipamentos (não patrimoniável)</t>
        </is>
      </c>
      <c r="D288" s="102" t="n"/>
      <c r="E288" s="103" t="n"/>
      <c r="F288" s="104">
        <f>IFERROR(D288*E288,0)</f>
        <v/>
      </c>
      <c r="G288" s="101">
        <f>INDEX(SETORES!$B:$B,MATCH(A288,SETORES!$A:$A,0))</f>
        <v/>
      </c>
      <c r="H288" s="101" t="inlineStr">
        <is>
          <t>Maio/2026</t>
        </is>
      </c>
    </row>
    <row r="289" hidden="1" ht="14.25" customHeight="1" s="64">
      <c r="A289" s="106" t="inlineStr">
        <is>
          <t>Obras</t>
        </is>
      </c>
      <c r="B289" s="106" t="inlineStr">
        <is>
          <t>Custo Variável</t>
        </is>
      </c>
      <c r="C289" s="106" t="inlineStr">
        <is>
          <t>EPIs - Equipamento de Proteção Individual</t>
        </is>
      </c>
      <c r="D289" s="107" t="n">
        <v>1</v>
      </c>
      <c r="E289" s="108" t="n">
        <v>4422.39</v>
      </c>
      <c r="F289" s="109">
        <f>IFERROR(D289*E289,0)</f>
        <v/>
      </c>
      <c r="G289" s="106">
        <f>INDEX(SETORES!$B:$B,MATCH(A289,SETORES!$A:$A,0))</f>
        <v/>
      </c>
      <c r="H289" s="106" t="inlineStr">
        <is>
          <t>Maio/2026</t>
        </is>
      </c>
    </row>
    <row r="290" hidden="1" ht="14.25" customHeight="1" s="64">
      <c r="A290" s="101" t="inlineStr">
        <is>
          <t>Obras</t>
        </is>
      </c>
      <c r="B290" s="101" t="inlineStr">
        <is>
          <t>Custo Fixo</t>
        </is>
      </c>
      <c r="C290" s="101" t="inlineStr">
        <is>
          <t>Licença de e-mail corporativo</t>
        </is>
      </c>
      <c r="D290" s="102" t="n"/>
      <c r="E290" s="103" t="n"/>
      <c r="F290" s="104">
        <f>IFERROR(D290*E290,0)</f>
        <v/>
      </c>
      <c r="G290" s="101">
        <f>INDEX(SETORES!$B:$B,MATCH(A290,SETORES!$A:$A,0))</f>
        <v/>
      </c>
      <c r="H290" s="101" t="inlineStr">
        <is>
          <t>Maio/2026</t>
        </is>
      </c>
    </row>
    <row r="291" hidden="1" ht="14.25" customHeight="1" s="64">
      <c r="A291" s="106" t="inlineStr">
        <is>
          <t>Obras</t>
        </is>
      </c>
      <c r="B291" s="106" t="inlineStr">
        <is>
          <t>Custo Variável</t>
        </is>
      </c>
      <c r="C291" s="106" t="inlineStr">
        <is>
          <t>Combustível de frota</t>
        </is>
      </c>
      <c r="D291" s="107" t="n">
        <v>1</v>
      </c>
      <c r="E291" s="108" t="n">
        <v>14279.2</v>
      </c>
      <c r="F291" s="109">
        <f>IFERROR(D291*E291,0)</f>
        <v/>
      </c>
      <c r="G291" s="106">
        <f>INDEX(SETORES!$B:$B,MATCH(A291,SETORES!$A:$A,0))</f>
        <v/>
      </c>
      <c r="H291" s="106" t="inlineStr">
        <is>
          <t>Maio/2026</t>
        </is>
      </c>
    </row>
    <row r="292" hidden="1" ht="14.25" customHeight="1" s="64">
      <c r="A292" s="101" t="inlineStr">
        <is>
          <t>Obras</t>
        </is>
      </c>
      <c r="B292" s="101" t="inlineStr">
        <is>
          <t>Custo Fixo</t>
        </is>
      </c>
      <c r="C292" s="101" t="inlineStr">
        <is>
          <t>Gympass</t>
        </is>
      </c>
      <c r="D292" s="102" t="n">
        <v>23</v>
      </c>
      <c r="E292" s="103" t="n">
        <v>10.05</v>
      </c>
      <c r="F292" s="104">
        <f>IFERROR(D292*E292,0)</f>
        <v/>
      </c>
      <c r="G292" s="101">
        <f>INDEX(SETORES!$B:$B,MATCH(A292,SETORES!$A:$A,0))</f>
        <v/>
      </c>
      <c r="H292" s="101" t="inlineStr">
        <is>
          <t>Maio/2026</t>
        </is>
      </c>
    </row>
    <row r="293" hidden="1" ht="14.25" customHeight="1" s="64">
      <c r="A293" s="106" t="inlineStr">
        <is>
          <t>Obras</t>
        </is>
      </c>
      <c r="B293" s="106" t="inlineStr">
        <is>
          <t>Custo Fixo</t>
        </is>
      </c>
      <c r="C293" s="106" t="inlineStr">
        <is>
          <t>Stargrid</t>
        </is>
      </c>
      <c r="D293" s="107" t="n">
        <v>23</v>
      </c>
      <c r="E293" s="108" t="n">
        <v>2.07</v>
      </c>
      <c r="F293" s="109">
        <f>IFERROR(D293*E293,0)</f>
        <v/>
      </c>
      <c r="G293" s="106">
        <f>INDEX(SETORES!$B:$B,MATCH(A293,SETORES!$A:$A,0))</f>
        <v/>
      </c>
      <c r="H293" s="106" t="inlineStr">
        <is>
          <t>Maio/2026</t>
        </is>
      </c>
    </row>
    <row r="294" hidden="1" ht="14.25" customHeight="1" s="64">
      <c r="A294" s="101" t="inlineStr">
        <is>
          <t>Obras</t>
        </is>
      </c>
      <c r="B294" s="101" t="inlineStr">
        <is>
          <t>Custo Fixo</t>
        </is>
      </c>
      <c r="C294" s="101" t="inlineStr">
        <is>
          <t>Despesas com SST</t>
        </is>
      </c>
      <c r="D294" s="102" t="n">
        <v>23</v>
      </c>
      <c r="E294" s="103" t="n">
        <v>64.56999999999999</v>
      </c>
      <c r="F294" s="104">
        <f>IFERROR(D294*E294,0)</f>
        <v/>
      </c>
      <c r="G294" s="101">
        <f>INDEX(SETORES!$B:$B,MATCH(A294,SETORES!$A:$A,0))</f>
        <v/>
      </c>
      <c r="H294" s="101" t="inlineStr">
        <is>
          <t>Maio/2026</t>
        </is>
      </c>
    </row>
    <row r="295" hidden="1" ht="14.25" customHeight="1" s="64">
      <c r="A295" s="106" t="inlineStr">
        <is>
          <t>Obras</t>
        </is>
      </c>
      <c r="B295" s="106" t="inlineStr">
        <is>
          <t>Custo Fixo</t>
        </is>
      </c>
      <c r="C295" s="106" t="inlineStr">
        <is>
          <t>Despesas com RH</t>
        </is>
      </c>
      <c r="D295" s="107" t="n">
        <v>23</v>
      </c>
      <c r="E295" s="108" t="n">
        <v>28.31</v>
      </c>
      <c r="F295" s="109">
        <f>IFERROR(D295*E295,0)</f>
        <v/>
      </c>
      <c r="G295" s="106">
        <f>INDEX(SETORES!$B:$B,MATCH(A295,SETORES!$A:$A,0))</f>
        <v/>
      </c>
      <c r="H295" s="106" t="inlineStr">
        <is>
          <t>Maio/2026</t>
        </is>
      </c>
    </row>
    <row r="296" hidden="1" ht="14.25" customHeight="1" s="64">
      <c r="A296" s="101" t="inlineStr">
        <is>
          <t>Obras</t>
        </is>
      </c>
      <c r="B296" s="101" t="inlineStr">
        <is>
          <t>Custo Fixo</t>
        </is>
      </c>
      <c r="C296" s="101" t="inlineStr">
        <is>
          <t>Despesas com DP</t>
        </is>
      </c>
      <c r="D296" s="102" t="n">
        <v>23</v>
      </c>
      <c r="E296" s="103" t="n">
        <v>47.79</v>
      </c>
      <c r="F296" s="104">
        <f>IFERROR(D296*E296,0)</f>
        <v/>
      </c>
      <c r="G296" s="101">
        <f>INDEX(SETORES!$B:$B,MATCH(A296,SETORES!$A:$A,0))</f>
        <v/>
      </c>
      <c r="H296" s="101" t="inlineStr">
        <is>
          <t>Maio/2026</t>
        </is>
      </c>
    </row>
    <row r="297" hidden="1" ht="14.25" customHeight="1" s="64">
      <c r="A297" s="106" t="inlineStr">
        <is>
          <t>Estoque</t>
        </is>
      </c>
      <c r="B297" s="106" t="inlineStr">
        <is>
          <t>Custo Fixo</t>
        </is>
      </c>
      <c r="C297" s="106" t="inlineStr">
        <is>
          <t>Água e esgoto (rateio)</t>
        </is>
      </c>
      <c r="D297" s="107" t="n">
        <v>12</v>
      </c>
      <c r="E297" s="108" t="n">
        <v>0.6343</v>
      </c>
      <c r="F297" s="109" t="n">
        <v>7.6116</v>
      </c>
      <c r="G297" s="106">
        <f>INDEX(SETORES!$B:$B,MATCH(A297,SETORES!$A:$A,0))</f>
        <v/>
      </c>
      <c r="H297" s="106" t="inlineStr">
        <is>
          <t>Maio/2026</t>
        </is>
      </c>
    </row>
    <row r="298" hidden="1" ht="14.25" customHeight="1" s="64">
      <c r="A298" s="101" t="inlineStr">
        <is>
          <t>Oficina</t>
        </is>
      </c>
      <c r="B298" s="101" t="inlineStr">
        <is>
          <t>Custo Fixo</t>
        </is>
      </c>
      <c r="C298" s="101" t="inlineStr">
        <is>
          <t>Material de escritório (suprimentos de informática)</t>
        </is>
      </c>
      <c r="D298" s="102" t="n"/>
      <c r="E298" s="103" t="n"/>
      <c r="F298" s="104" t="n">
        <v>0</v>
      </c>
      <c r="G298" s="101">
        <f>INDEX(SETORES!$B:$B,MATCH(A298,SETORES!$A:$A,0))</f>
        <v/>
      </c>
      <c r="H298" s="101" t="inlineStr">
        <is>
          <t>Maio/2026</t>
        </is>
      </c>
    </row>
    <row r="299" hidden="1" ht="14.25" customHeight="1" s="64">
      <c r="A299" s="106" t="inlineStr">
        <is>
          <t>Oficina</t>
        </is>
      </c>
      <c r="B299" s="106" t="inlineStr">
        <is>
          <t>Custo Fixo</t>
        </is>
      </c>
      <c r="C299" s="106" t="inlineStr">
        <is>
          <t>Material de uso coletivo (copa/limpeza)</t>
        </is>
      </c>
      <c r="D299" s="107" t="n"/>
      <c r="E299" s="108" t="n"/>
      <c r="F299" s="109" t="n">
        <v>0</v>
      </c>
      <c r="G299" s="106">
        <f>INDEX(SETORES!$B:$B,MATCH(A299,SETORES!$A:$A,0))</f>
        <v/>
      </c>
      <c r="H299" s="106" t="inlineStr">
        <is>
          <t>Maio/2026</t>
        </is>
      </c>
    </row>
    <row r="300" hidden="1" ht="14.25" customHeight="1" s="64">
      <c r="A300" s="101" t="inlineStr">
        <is>
          <t>Oficina</t>
        </is>
      </c>
      <c r="B300" s="101" t="inlineStr">
        <is>
          <t>Custo Fixo</t>
        </is>
      </c>
      <c r="C300" s="101" t="inlineStr">
        <is>
          <t>Energia elétrica (rateio)</t>
        </is>
      </c>
      <c r="D300" s="102" t="n">
        <v>4</v>
      </c>
      <c r="E300" s="103" t="n">
        <v>24.8613</v>
      </c>
      <c r="F300" s="104" t="n">
        <v>99.4452</v>
      </c>
      <c r="G300" s="101">
        <f>INDEX(SETORES!$B:$B,MATCH(A300,SETORES!$A:$A,0))</f>
        <v/>
      </c>
      <c r="H300" s="101" t="inlineStr">
        <is>
          <t>Maio/2026</t>
        </is>
      </c>
    </row>
    <row r="301" hidden="1" ht="14.25" customHeight="1" s="64">
      <c r="A301" s="106" t="inlineStr">
        <is>
          <t>Logística</t>
        </is>
      </c>
      <c r="B301" s="106" t="inlineStr">
        <is>
          <t>Custo Fixo</t>
        </is>
      </c>
      <c r="C301" s="106" t="inlineStr">
        <is>
          <t>Água e esgoto (rateio)</t>
        </is>
      </c>
      <c r="D301" s="107" t="n">
        <v>12</v>
      </c>
      <c r="E301" s="108" t="n">
        <v>0.6343</v>
      </c>
      <c r="F301" s="109" t="n">
        <v>7.6116</v>
      </c>
      <c r="G301" s="106">
        <f>INDEX(SETORES!$B:$B,MATCH(A301,SETORES!$A:$A,0))</f>
        <v/>
      </c>
      <c r="H301" s="106" t="inlineStr">
        <is>
          <t>Maio/2026</t>
        </is>
      </c>
    </row>
    <row r="302" hidden="1" ht="14.25" customHeight="1" s="64">
      <c r="A302" s="101" t="inlineStr">
        <is>
          <t>Oficina</t>
        </is>
      </c>
      <c r="B302" s="101" t="inlineStr">
        <is>
          <t>Custo Fixo</t>
        </is>
      </c>
      <c r="C302" s="101" t="inlineStr">
        <is>
          <t>Telefonia móvel corporativa</t>
        </is>
      </c>
      <c r="D302" s="102" t="n"/>
      <c r="E302" s="103" t="n"/>
      <c r="F302" s="104">
        <f>IFERROR(D302*E302,0)</f>
        <v/>
      </c>
      <c r="G302" s="101">
        <f>INDEX(SETORES!$B:$B,MATCH(A302,SETORES!$A:$A,0))</f>
        <v/>
      </c>
      <c r="H302" s="101" t="inlineStr">
        <is>
          <t>Maio/2026</t>
        </is>
      </c>
    </row>
    <row r="303" hidden="1" ht="14.25" customHeight="1" s="64">
      <c r="A303" s="106" t="inlineStr">
        <is>
          <t>Oficina</t>
        </is>
      </c>
      <c r="B303" s="106" t="inlineStr">
        <is>
          <t>Custo Fixo</t>
        </is>
      </c>
      <c r="C303" s="106" t="inlineStr">
        <is>
          <t>Folha de pagamento (salários)</t>
        </is>
      </c>
      <c r="D303" s="107" t="n">
        <v>1</v>
      </c>
      <c r="E303" s="108" t="n">
        <v>23497.04</v>
      </c>
      <c r="F303" s="109">
        <f>IFERROR(E303,0)</f>
        <v/>
      </c>
      <c r="G303" s="106">
        <f>INDEX(SETORES!$B:$B,MATCH(A303,SETORES!$A:$A,0))</f>
        <v/>
      </c>
      <c r="H303" s="106" t="inlineStr">
        <is>
          <t>Maio/2026</t>
        </is>
      </c>
    </row>
    <row r="304" hidden="1" ht="14.25" customHeight="1" s="64">
      <c r="A304" s="101" t="inlineStr">
        <is>
          <t>Oficina</t>
        </is>
      </c>
      <c r="B304" s="101" t="inlineStr">
        <is>
          <t>Custo Fixo</t>
        </is>
      </c>
      <c r="C304" s="101" t="inlineStr">
        <is>
          <t>Software da oficina (soutech soluções)</t>
        </is>
      </c>
      <c r="D304" s="102" t="n">
        <v>1</v>
      </c>
      <c r="E304" s="103" t="n">
        <v>1800</v>
      </c>
      <c r="F304" s="104">
        <f>IFERROR(D304*E304,0)</f>
        <v/>
      </c>
      <c r="G304" s="101">
        <f>INDEX(SETORES!$B:$B,MATCH(A304,SETORES!$A:$A,0))</f>
        <v/>
      </c>
      <c r="H304" s="101" t="inlineStr">
        <is>
          <t>Maio/2026</t>
        </is>
      </c>
    </row>
    <row r="305" hidden="1" ht="14.25" customHeight="1" s="64">
      <c r="A305" s="106" t="inlineStr">
        <is>
          <t>Oficina</t>
        </is>
      </c>
      <c r="B305" s="106" t="inlineStr">
        <is>
          <t>Custo Variável</t>
        </is>
      </c>
      <c r="C305" s="106" t="inlineStr">
        <is>
          <t>Combustível de frota</t>
        </is>
      </c>
      <c r="D305" s="107" t="n"/>
      <c r="E305" s="108" t="n"/>
      <c r="F305" s="109">
        <f>IFERROR(D305*E305,0)</f>
        <v/>
      </c>
      <c r="G305" s="106">
        <f>INDEX(SETORES!$B:$B,MATCH(A305,SETORES!$A:$A,0))</f>
        <v/>
      </c>
      <c r="H305" s="106" t="inlineStr">
        <is>
          <t>Maio/2026</t>
        </is>
      </c>
    </row>
    <row r="306" hidden="1" ht="14.25" customHeight="1" s="64">
      <c r="A306" s="101" t="inlineStr">
        <is>
          <t>Oficina</t>
        </is>
      </c>
      <c r="B306" s="101" t="inlineStr">
        <is>
          <t>Custo Variável</t>
        </is>
      </c>
      <c r="C306" s="101" t="inlineStr">
        <is>
          <t>Manutenção de veículos</t>
        </is>
      </c>
      <c r="D306" s="102" t="n"/>
      <c r="E306" s="103" t="n"/>
      <c r="F306" s="104">
        <f>IFERROR(D306*E306,0)</f>
        <v/>
      </c>
      <c r="G306" s="101">
        <f>INDEX(SETORES!$B:$B,MATCH(A306,SETORES!$A:$A,0))</f>
        <v/>
      </c>
      <c r="H306" s="101" t="inlineStr">
        <is>
          <t>Maio/2026</t>
        </is>
      </c>
    </row>
    <row r="307" hidden="1" ht="14.25" customHeight="1" s="64">
      <c r="A307" s="106" t="inlineStr">
        <is>
          <t>Oficina</t>
        </is>
      </c>
      <c r="B307" s="106" t="inlineStr">
        <is>
          <t>Custo Variável</t>
        </is>
      </c>
      <c r="C307" s="106" t="inlineStr">
        <is>
          <t>Rateio de transporte coletivo</t>
        </is>
      </c>
      <c r="D307" s="107" t="n">
        <v>4</v>
      </c>
      <c r="E307" s="108" t="n">
        <v>89.55</v>
      </c>
      <c r="F307" s="109">
        <f>IFERROR(D307*E307,0)</f>
        <v/>
      </c>
      <c r="G307" s="106">
        <f>INDEX(SETORES!$B:$B,MATCH(A307,SETORES!$A:$A,0))</f>
        <v/>
      </c>
      <c r="H307" s="106" t="inlineStr">
        <is>
          <t>Maio/2026</t>
        </is>
      </c>
    </row>
    <row r="308" hidden="1" ht="14.25" customHeight="1" s="64">
      <c r="A308" s="101" t="inlineStr">
        <is>
          <t>Oficina</t>
        </is>
      </c>
      <c r="B308" s="101" t="inlineStr">
        <is>
          <t>Custo Variável</t>
        </is>
      </c>
      <c r="C308" s="101" t="inlineStr">
        <is>
          <t>Exames médicos</t>
        </is>
      </c>
      <c r="D308" s="102" t="n">
        <v>1</v>
      </c>
      <c r="E308" s="103" t="n">
        <v>184</v>
      </c>
      <c r="F308" s="104">
        <f>IFERROR(D308*E308,0)</f>
        <v/>
      </c>
      <c r="G308" s="101">
        <f>INDEX(SETORES!$B:$B,MATCH(A308,SETORES!$A:$A,0))</f>
        <v/>
      </c>
      <c r="H308" s="101" t="inlineStr">
        <is>
          <t>Maio/2026</t>
        </is>
      </c>
    </row>
    <row r="309" hidden="1" ht="14.25" customHeight="1" s="64">
      <c r="A309" s="106" t="inlineStr">
        <is>
          <t>Oficina</t>
        </is>
      </c>
      <c r="B309" s="106" t="inlineStr">
        <is>
          <t>Custo Fixo</t>
        </is>
      </c>
      <c r="C309" s="106" t="inlineStr">
        <is>
          <t>Gympass</t>
        </is>
      </c>
      <c r="D309" s="107" t="n">
        <v>4</v>
      </c>
      <c r="E309" s="108" t="n">
        <v>10.05</v>
      </c>
      <c r="F309" s="109">
        <f>IFERROR(D309*E309,0)</f>
        <v/>
      </c>
      <c r="G309" s="106">
        <f>INDEX(SETORES!$B:$B,MATCH(A309,SETORES!$A:$A,0))</f>
        <v/>
      </c>
      <c r="H309" s="106" t="inlineStr">
        <is>
          <t>Maio/2026</t>
        </is>
      </c>
    </row>
    <row r="310" hidden="1" ht="14.25" customHeight="1" s="64">
      <c r="A310" s="101" t="inlineStr">
        <is>
          <t>Oficina</t>
        </is>
      </c>
      <c r="B310" s="101" t="inlineStr">
        <is>
          <t>Custo Fixo</t>
        </is>
      </c>
      <c r="C310" s="101" t="inlineStr">
        <is>
          <t>Stargrid</t>
        </is>
      </c>
      <c r="D310" s="102" t="n">
        <v>4</v>
      </c>
      <c r="E310" s="103" t="n">
        <v>2.07</v>
      </c>
      <c r="F310" s="104">
        <f>IFERROR(D310*E310,0)</f>
        <v/>
      </c>
      <c r="G310" s="101">
        <f>INDEX(SETORES!$B:$B,MATCH(A310,SETORES!$A:$A,0))</f>
        <v/>
      </c>
      <c r="H310" s="101" t="inlineStr">
        <is>
          <t>Maio/2026</t>
        </is>
      </c>
    </row>
    <row r="311" hidden="1" ht="14.25" customHeight="1" s="64">
      <c r="A311" s="106" t="inlineStr">
        <is>
          <t>Oficina</t>
        </is>
      </c>
      <c r="B311" s="106" t="inlineStr">
        <is>
          <t>Custo Fixo</t>
        </is>
      </c>
      <c r="C311" s="106" t="inlineStr">
        <is>
          <t>Despesas com SST</t>
        </is>
      </c>
      <c r="D311" s="107" t="n">
        <v>4</v>
      </c>
      <c r="E311" s="108" t="n">
        <v>64.56999999999999</v>
      </c>
      <c r="F311" s="109">
        <f>IFERROR(D311*E311,0)</f>
        <v/>
      </c>
      <c r="G311" s="106">
        <f>INDEX(SETORES!$B:$B,MATCH(A311,SETORES!$A:$A,0))</f>
        <v/>
      </c>
      <c r="H311" s="106" t="inlineStr">
        <is>
          <t>Maio/2026</t>
        </is>
      </c>
    </row>
    <row r="312" hidden="1" ht="14.25" customHeight="1" s="64">
      <c r="A312" s="101" t="inlineStr">
        <is>
          <t>Oficina</t>
        </is>
      </c>
      <c r="B312" s="101" t="inlineStr">
        <is>
          <t>Custo Fixo</t>
        </is>
      </c>
      <c r="C312" s="101" t="inlineStr">
        <is>
          <t>Despesas com RH</t>
        </is>
      </c>
      <c r="D312" s="102" t="n">
        <v>4</v>
      </c>
      <c r="E312" s="103" t="n">
        <v>28.31</v>
      </c>
      <c r="F312" s="104">
        <f>IFERROR(D312*E312,0)</f>
        <v/>
      </c>
      <c r="G312" s="101">
        <f>INDEX(SETORES!$B:$B,MATCH(A312,SETORES!$A:$A,0))</f>
        <v/>
      </c>
      <c r="H312" s="101" t="inlineStr">
        <is>
          <t>Maio/2026</t>
        </is>
      </c>
    </row>
    <row r="313" hidden="1" ht="14.25" customHeight="1" s="64">
      <c r="A313" s="106" t="inlineStr">
        <is>
          <t>Oficina</t>
        </is>
      </c>
      <c r="B313" s="106" t="inlineStr">
        <is>
          <t>Custo Fixo</t>
        </is>
      </c>
      <c r="C313" s="106" t="inlineStr">
        <is>
          <t>Despesas com DP</t>
        </is>
      </c>
      <c r="D313" s="107" t="n">
        <v>4</v>
      </c>
      <c r="E313" s="108" t="n">
        <v>47.79</v>
      </c>
      <c r="F313" s="109">
        <f>IFERROR(D313*E313,0)</f>
        <v/>
      </c>
      <c r="G313" s="106">
        <f>INDEX(SETORES!$B:$B,MATCH(A313,SETORES!$A:$A,0))</f>
        <v/>
      </c>
      <c r="H313" s="106" t="inlineStr">
        <is>
          <t>Maio/2026</t>
        </is>
      </c>
    </row>
    <row r="314" hidden="1" ht="14.25" customHeight="1" s="64">
      <c r="A314" s="101" t="inlineStr">
        <is>
          <t>RH</t>
        </is>
      </c>
      <c r="B314" s="101" t="inlineStr">
        <is>
          <t>Custo Fixo</t>
        </is>
      </c>
      <c r="C314" s="101" t="inlineStr">
        <is>
          <t>Material de escritório (suprimentos de informática)</t>
        </is>
      </c>
      <c r="D314" s="102" t="n"/>
      <c r="E314" s="103" t="n"/>
      <c r="F314" s="104" t="n">
        <v>0</v>
      </c>
      <c r="G314" s="101">
        <f>INDEX(SETORES!$B:$B,MATCH(A314,SETORES!$A:$A,0))</f>
        <v/>
      </c>
      <c r="H314" s="101" t="inlineStr">
        <is>
          <t>Maio/2026</t>
        </is>
      </c>
    </row>
    <row r="315" hidden="1" ht="14.25" customHeight="1" s="64">
      <c r="A315" s="106" t="inlineStr">
        <is>
          <t>RH</t>
        </is>
      </c>
      <c r="B315" s="106" t="inlineStr">
        <is>
          <t>Custo Fixo</t>
        </is>
      </c>
      <c r="C315" s="106" t="inlineStr">
        <is>
          <t>Material de uso coletivo (copa/limpeza)</t>
        </is>
      </c>
      <c r="D315" s="107" t="n">
        <v>1</v>
      </c>
      <c r="E315" s="108" t="n">
        <v>65.7</v>
      </c>
      <c r="F315" s="109" t="n">
        <v>65.7</v>
      </c>
      <c r="G315" s="106">
        <f>INDEX(SETORES!$B:$B,MATCH(A315,SETORES!$A:$A,0))</f>
        <v/>
      </c>
      <c r="H315" s="106" t="inlineStr">
        <is>
          <t>Maio/2026</t>
        </is>
      </c>
    </row>
    <row r="316" hidden="1" ht="14.25" customHeight="1" s="64">
      <c r="A316" s="101" t="inlineStr">
        <is>
          <t>RH</t>
        </is>
      </c>
      <c r="B316" s="101" t="inlineStr">
        <is>
          <t>Custo Fixo</t>
        </is>
      </c>
      <c r="C316" s="101" t="inlineStr">
        <is>
          <t>Energia elétrica (rateio)</t>
        </is>
      </c>
      <c r="D316" s="102" t="n">
        <v>1</v>
      </c>
      <c r="E316" s="103" t="n">
        <v>34.0432</v>
      </c>
      <c r="F316" s="104" t="n">
        <v>34.0432</v>
      </c>
      <c r="G316" s="101">
        <f>INDEX(SETORES!$B:$B,MATCH(A316,SETORES!$A:$A,0))</f>
        <v/>
      </c>
      <c r="H316" s="101" t="inlineStr">
        <is>
          <t>Maio/2026</t>
        </is>
      </c>
    </row>
    <row r="317" hidden="1" ht="14.25" customHeight="1" s="64">
      <c r="A317" s="106" t="inlineStr">
        <is>
          <t>RH</t>
        </is>
      </c>
      <c r="B317" s="106" t="inlineStr">
        <is>
          <t>Custo Fixo</t>
        </is>
      </c>
      <c r="C317" s="106" t="inlineStr">
        <is>
          <t>Água e esgoto (rateio)</t>
        </is>
      </c>
      <c r="D317" s="107" t="n">
        <v>1</v>
      </c>
      <c r="E317" s="108" t="n">
        <v>0</v>
      </c>
      <c r="F317" s="109" t="n">
        <v>0</v>
      </c>
      <c r="G317" s="106">
        <f>INDEX(SETORES!$B:$B,MATCH(A317,SETORES!$A:$A,0))</f>
        <v/>
      </c>
      <c r="H317" s="106" t="inlineStr">
        <is>
          <t>Maio/2026</t>
        </is>
      </c>
    </row>
    <row r="318" hidden="1" ht="14.25" customHeight="1" s="64">
      <c r="A318" s="101" t="inlineStr">
        <is>
          <t>RH</t>
        </is>
      </c>
      <c r="B318" s="101" t="inlineStr">
        <is>
          <t>Custo Fixo</t>
        </is>
      </c>
      <c r="C318" s="101" t="inlineStr">
        <is>
          <t>Telefonia móvel corporativa</t>
        </is>
      </c>
      <c r="D318" s="102" t="n"/>
      <c r="E318" s="103" t="n"/>
      <c r="F318" s="104">
        <f>IFERROR(D318*E318,0)</f>
        <v/>
      </c>
      <c r="G318" s="101">
        <f>INDEX(SETORES!$B:$B,MATCH(A318,SETORES!$A:$A,0))</f>
        <v/>
      </c>
      <c r="H318" s="101" t="inlineStr">
        <is>
          <t>Maio/2026</t>
        </is>
      </c>
    </row>
    <row r="319" hidden="1" ht="14.25" customHeight="1" s="64">
      <c r="A319" s="106" t="inlineStr">
        <is>
          <t>RH</t>
        </is>
      </c>
      <c r="B319" s="106" t="inlineStr">
        <is>
          <t>Custo Fixo</t>
        </is>
      </c>
      <c r="C319" s="106" t="inlineStr">
        <is>
          <t>Folha de pagamento (salários)</t>
        </is>
      </c>
      <c r="D319" s="107" t="n">
        <v>1</v>
      </c>
      <c r="E319" s="108" t="n">
        <v>21711.44</v>
      </c>
      <c r="F319" s="109">
        <f>IFERROR(E319,0)</f>
        <v/>
      </c>
      <c r="G319" s="106">
        <f>INDEX(SETORES!$B:$B,MATCH(A319,SETORES!$A:$A,0))</f>
        <v/>
      </c>
      <c r="H319" s="106" t="inlineStr">
        <is>
          <t>Maio/2026</t>
        </is>
      </c>
    </row>
    <row r="320" hidden="1" ht="14.25" customHeight="1" s="64">
      <c r="A320" s="101" t="inlineStr">
        <is>
          <t>RH</t>
        </is>
      </c>
      <c r="B320" s="101" t="inlineStr">
        <is>
          <t>Custo Variável</t>
        </is>
      </c>
      <c r="C320" s="101" t="inlineStr">
        <is>
          <t>Fardamento novo (compra corporativa)</t>
        </is>
      </c>
      <c r="D320" s="102" t="n"/>
      <c r="E320" s="103" t="n"/>
      <c r="F320" s="104">
        <f>IFERROR(D320*E320,0)</f>
        <v/>
      </c>
      <c r="G320" s="101">
        <f>INDEX(SETORES!$B:$B,MATCH(A320,SETORES!$A:$A,0))</f>
        <v/>
      </c>
      <c r="H320" s="101" t="inlineStr">
        <is>
          <t>Maio/2026</t>
        </is>
      </c>
    </row>
    <row r="321" hidden="1" ht="14.25" customHeight="1" s="64">
      <c r="A321" s="106" t="inlineStr">
        <is>
          <t>RH</t>
        </is>
      </c>
      <c r="B321" s="106" t="inlineStr">
        <is>
          <t>Custo Variável</t>
        </is>
      </c>
      <c r="C321" s="106" t="inlineStr">
        <is>
          <t>Fardamento substituição (compra corporativa)</t>
        </is>
      </c>
      <c r="D321" s="107" t="n"/>
      <c r="E321" s="108" t="n"/>
      <c r="F321" s="109">
        <f>IFERROR(D321*E321,0)</f>
        <v/>
      </c>
      <c r="G321" s="106">
        <f>INDEX(SETORES!$B:$B,MATCH(A321,SETORES!$A:$A,0))</f>
        <v/>
      </c>
      <c r="H321" s="106" t="inlineStr">
        <is>
          <t>Maio/2026</t>
        </is>
      </c>
    </row>
    <row r="322" hidden="1" ht="14.25" customHeight="1" s="64">
      <c r="A322" s="101" t="inlineStr">
        <is>
          <t>RH</t>
        </is>
      </c>
      <c r="B322" s="101" t="inlineStr">
        <is>
          <t>Custo Fixo</t>
        </is>
      </c>
      <c r="C322" s="101" t="inlineStr">
        <is>
          <t>Treinamento e capacitação</t>
        </is>
      </c>
      <c r="D322" s="102" t="n"/>
      <c r="E322" s="103" t="n"/>
      <c r="F322" s="104">
        <f>IFERROR(D322*E322,0)</f>
        <v/>
      </c>
      <c r="G322" s="101">
        <f>INDEX(SETORES!$B:$B,MATCH(A322,SETORES!$A:$A,0))</f>
        <v/>
      </c>
      <c r="H322" s="101" t="inlineStr">
        <is>
          <t>Maio/2026</t>
        </is>
      </c>
    </row>
    <row r="323" hidden="1" ht="14.25" customHeight="1" s="64">
      <c r="A323" s="106" t="inlineStr">
        <is>
          <t>RH</t>
        </is>
      </c>
      <c r="B323" s="106" t="inlineStr">
        <is>
          <t>Custo Variável</t>
        </is>
      </c>
      <c r="C323" s="106" t="inlineStr">
        <is>
          <t>Recrutamento e seleção</t>
        </is>
      </c>
      <c r="D323" s="107" t="n"/>
      <c r="E323" s="108" t="n"/>
      <c r="F323" s="109">
        <f>IFERROR(D323*E323,0)</f>
        <v/>
      </c>
      <c r="G323" s="106">
        <f>INDEX(SETORES!$B:$B,MATCH(A323,SETORES!$A:$A,0))</f>
        <v/>
      </c>
      <c r="H323" s="106" t="inlineStr">
        <is>
          <t>Maio/2026</t>
        </is>
      </c>
    </row>
    <row r="324" hidden="1" ht="14.25" customHeight="1" s="64">
      <c r="A324" s="101" t="inlineStr">
        <is>
          <t>RH</t>
        </is>
      </c>
      <c r="B324" s="101" t="inlineStr">
        <is>
          <t>Custo Fixo</t>
        </is>
      </c>
      <c r="C324" s="101" t="inlineStr">
        <is>
          <t>Ações de endomarketing</t>
        </is>
      </c>
      <c r="D324" s="102" t="n"/>
      <c r="E324" s="103" t="n"/>
      <c r="F324" s="104">
        <f>IFERROR(D324*E324,0)</f>
        <v/>
      </c>
      <c r="G324" s="101">
        <f>INDEX(SETORES!$B:$B,MATCH(A324,SETORES!$A:$A,0))</f>
        <v/>
      </c>
      <c r="H324" s="101" t="inlineStr">
        <is>
          <t>Maio/2026</t>
        </is>
      </c>
    </row>
    <row r="325" hidden="1" ht="14.25" customHeight="1" s="64">
      <c r="A325" s="106" t="inlineStr">
        <is>
          <t>RH</t>
        </is>
      </c>
      <c r="B325" s="106" t="inlineStr">
        <is>
          <t>Custo Fixo</t>
        </is>
      </c>
      <c r="C325" s="106" t="inlineStr">
        <is>
          <t>Pesquisa de clima organizacional</t>
        </is>
      </c>
      <c r="D325" s="107" t="n"/>
      <c r="E325" s="108" t="n"/>
      <c r="F325" s="109">
        <f>IFERROR(D325*E325,0)</f>
        <v/>
      </c>
      <c r="G325" s="106">
        <f>INDEX(SETORES!$B:$B,MATCH(A325,SETORES!$A:$A,0))</f>
        <v/>
      </c>
      <c r="H325" s="106" t="inlineStr">
        <is>
          <t>Maio/2026</t>
        </is>
      </c>
    </row>
    <row r="326" hidden="1" ht="14.25" customHeight="1" s="64">
      <c r="A326" s="101" t="inlineStr">
        <is>
          <t>RH</t>
        </is>
      </c>
      <c r="B326" s="101" t="inlineStr">
        <is>
          <t>Custo Fixo</t>
        </is>
      </c>
      <c r="C326" s="101" t="inlineStr">
        <is>
          <t>Licença de e-mail corporativo</t>
        </is>
      </c>
      <c r="D326" s="102" t="n">
        <v>4</v>
      </c>
      <c r="E326" s="103" t="n">
        <v>50</v>
      </c>
      <c r="F326" s="104">
        <f>IFERROR(D326*E326,0)</f>
        <v/>
      </c>
      <c r="G326" s="101">
        <f>INDEX(SETORES!$B:$B,MATCH(A326,SETORES!$A:$A,0))</f>
        <v/>
      </c>
      <c r="H326" s="101" t="inlineStr">
        <is>
          <t>Maio/2026</t>
        </is>
      </c>
    </row>
    <row r="327" hidden="1" ht="14.25" customHeight="1" s="64">
      <c r="A327" s="106" t="inlineStr">
        <is>
          <t>RH</t>
        </is>
      </c>
      <c r="B327" s="106" t="inlineStr">
        <is>
          <t>Custo Fixo</t>
        </is>
      </c>
      <c r="C327" s="106" t="inlineStr">
        <is>
          <t>Gympass</t>
        </is>
      </c>
      <c r="D327" s="107" t="n">
        <v>4</v>
      </c>
      <c r="E327" s="108" t="n">
        <v>10.05</v>
      </c>
      <c r="F327" s="109">
        <f>IFERROR(D327*E327,0)</f>
        <v/>
      </c>
      <c r="G327" s="106">
        <f>INDEX(SETORES!$B:$B,MATCH(A327,SETORES!$A:$A,0))</f>
        <v/>
      </c>
      <c r="H327" s="106" t="inlineStr">
        <is>
          <t>Maio/2026</t>
        </is>
      </c>
    </row>
    <row r="328" hidden="1" ht="14.25" customHeight="1" s="64">
      <c r="A328" s="101" t="inlineStr">
        <is>
          <t>RH</t>
        </is>
      </c>
      <c r="B328" s="101" t="inlineStr">
        <is>
          <t>Custo Fixo</t>
        </is>
      </c>
      <c r="C328" s="101" t="inlineStr">
        <is>
          <t>Stargrid</t>
        </is>
      </c>
      <c r="D328" s="102" t="n">
        <v>4</v>
      </c>
      <c r="E328" s="103" t="n">
        <v>2.07</v>
      </c>
      <c r="F328" s="104">
        <f>IFERROR(D328*E328,0)</f>
        <v/>
      </c>
      <c r="G328" s="101">
        <f>INDEX(SETORES!$B:$B,MATCH(A328,SETORES!$A:$A,0))</f>
        <v/>
      </c>
      <c r="H328" s="101" t="inlineStr">
        <is>
          <t>Maio/2026</t>
        </is>
      </c>
    </row>
    <row r="329" hidden="1" ht="14.25" customHeight="1" s="64">
      <c r="A329" s="106" t="inlineStr">
        <is>
          <t>RH</t>
        </is>
      </c>
      <c r="B329" s="106" t="inlineStr">
        <is>
          <t>Custo Fixo</t>
        </is>
      </c>
      <c r="C329" s="106" t="inlineStr">
        <is>
          <t>Despesas com SST</t>
        </is>
      </c>
      <c r="D329" s="107">
        <f>D49</f>
        <v/>
      </c>
      <c r="E329" s="108" t="n">
        <v>64.56999999999999</v>
      </c>
      <c r="F329" s="109">
        <f>IFERROR(D329*E329,0)</f>
        <v/>
      </c>
      <c r="G329" s="106">
        <f>INDEX(SETORES!$B:$B,MATCH(A329,SETORES!$A:$A,0))</f>
        <v/>
      </c>
      <c r="H329" s="106" t="inlineStr">
        <is>
          <t>Maio/2026</t>
        </is>
      </c>
    </row>
    <row r="330" hidden="1" ht="14.25" customHeight="1" s="64">
      <c r="A330" s="101" t="inlineStr">
        <is>
          <t>RH</t>
        </is>
      </c>
      <c r="B330" s="101" t="inlineStr">
        <is>
          <t>Custo Fixo</t>
        </is>
      </c>
      <c r="C330" s="101" t="inlineStr">
        <is>
          <t>Despesas com RH</t>
        </is>
      </c>
      <c r="D330" s="102" t="n">
        <v>4</v>
      </c>
      <c r="E330" s="103" t="n">
        <v>28.31</v>
      </c>
      <c r="F330" s="104">
        <f>IFERROR(D330*E330,0)</f>
        <v/>
      </c>
      <c r="G330" s="101">
        <f>INDEX(SETORES!$B:$B,MATCH(A330,SETORES!$A:$A,0))</f>
        <v/>
      </c>
      <c r="H330" s="101" t="inlineStr">
        <is>
          <t>Maio/2026</t>
        </is>
      </c>
    </row>
    <row r="331" hidden="1" ht="14.25" customHeight="1" s="64">
      <c r="A331" s="106" t="inlineStr">
        <is>
          <t>RH</t>
        </is>
      </c>
      <c r="B331" s="106" t="inlineStr">
        <is>
          <t>Custo Fixo</t>
        </is>
      </c>
      <c r="C331" s="106" t="inlineStr">
        <is>
          <t>Despesas com DP</t>
        </is>
      </c>
      <c r="D331" s="107" t="n">
        <v>4</v>
      </c>
      <c r="E331" s="108" t="n">
        <v>47.79</v>
      </c>
      <c r="F331" s="109">
        <f>IFERROR(D331*E331,0)</f>
        <v/>
      </c>
      <c r="G331" s="106">
        <f>INDEX(SETORES!$B:$B,MATCH(A331,SETORES!$A:$A,0))</f>
        <v/>
      </c>
      <c r="H331" s="106" t="inlineStr">
        <is>
          <t>Maio/2026</t>
        </is>
      </c>
    </row>
    <row r="332" hidden="1" ht="14.25" customHeight="1" s="64">
      <c r="A332" s="101" t="inlineStr">
        <is>
          <t>Retenção</t>
        </is>
      </c>
      <c r="B332" s="101" t="inlineStr">
        <is>
          <t>Custo Fixo</t>
        </is>
      </c>
      <c r="C332" s="101" t="inlineStr">
        <is>
          <t>Material de escritório (suprimentos de informática)</t>
        </is>
      </c>
      <c r="D332" s="102" t="n">
        <v>10</v>
      </c>
      <c r="E332" s="103" t="n">
        <v>0.3648</v>
      </c>
      <c r="F332" s="104" t="n">
        <v>3.648</v>
      </c>
      <c r="G332" s="101">
        <f>INDEX(SETORES!$B:$B,MATCH(A332,SETORES!$A:$A,0))</f>
        <v/>
      </c>
      <c r="H332" s="101" t="inlineStr">
        <is>
          <t>Maio/2026</t>
        </is>
      </c>
    </row>
    <row r="333" hidden="1" ht="14.25" customHeight="1" s="64">
      <c r="A333" s="106" t="inlineStr">
        <is>
          <t>Retenção</t>
        </is>
      </c>
      <c r="B333" s="106" t="inlineStr">
        <is>
          <t>Custo Fixo</t>
        </is>
      </c>
      <c r="C333" s="106" t="inlineStr">
        <is>
          <t>Material de uso coletivo (copa/limpeza)</t>
        </is>
      </c>
      <c r="D333" s="107" t="n">
        <v>1</v>
      </c>
      <c r="E333" s="108" t="n">
        <v>282.981034</v>
      </c>
      <c r="F333" s="109" t="n">
        <v>282.981034</v>
      </c>
      <c r="G333" s="106">
        <f>INDEX(SETORES!$B:$B,MATCH(A333,SETORES!$A:$A,0))</f>
        <v/>
      </c>
      <c r="H333" s="106" t="inlineStr">
        <is>
          <t>Maio/2026</t>
        </is>
      </c>
    </row>
    <row r="334" hidden="1" ht="14.25" customHeight="1" s="64">
      <c r="A334" s="101" t="inlineStr">
        <is>
          <t>Retenção</t>
        </is>
      </c>
      <c r="B334" s="101" t="inlineStr">
        <is>
          <t>Custo Fixo</t>
        </is>
      </c>
      <c r="C334" s="101" t="inlineStr">
        <is>
          <t>Energia elétrica (rateio)</t>
        </is>
      </c>
      <c r="D334" s="102" t="n">
        <v>1</v>
      </c>
      <c r="E334" s="103" t="n">
        <v>85.1079</v>
      </c>
      <c r="F334" s="104" t="n">
        <v>85.1079</v>
      </c>
      <c r="G334" s="101">
        <f>INDEX(SETORES!$B:$B,MATCH(A334,SETORES!$A:$A,0))</f>
        <v/>
      </c>
      <c r="H334" s="101" t="inlineStr">
        <is>
          <t>Maio/2026</t>
        </is>
      </c>
    </row>
    <row r="335" hidden="1" ht="14.25" customHeight="1" s="64">
      <c r="A335" s="106" t="inlineStr">
        <is>
          <t>Retenção</t>
        </is>
      </c>
      <c r="B335" s="106" t="inlineStr">
        <is>
          <t>Custo Fixo</t>
        </is>
      </c>
      <c r="C335" s="106" t="inlineStr">
        <is>
          <t>Água e esgoto (rateio)</t>
        </is>
      </c>
      <c r="D335" s="107" t="n">
        <v>1</v>
      </c>
      <c r="E335" s="108" t="n">
        <v>0</v>
      </c>
      <c r="F335" s="109" t="n">
        <v>0</v>
      </c>
      <c r="G335" s="106">
        <f>INDEX(SETORES!$B:$B,MATCH(A335,SETORES!$A:$A,0))</f>
        <v/>
      </c>
      <c r="H335" s="106" t="inlineStr">
        <is>
          <t>Maio/2026</t>
        </is>
      </c>
    </row>
    <row r="336" hidden="1" ht="14.25" customHeight="1" s="64">
      <c r="A336" s="101" t="inlineStr">
        <is>
          <t>Retenção</t>
        </is>
      </c>
      <c r="B336" s="101" t="inlineStr">
        <is>
          <t>Custo Fixo</t>
        </is>
      </c>
      <c r="C336" s="101" t="inlineStr">
        <is>
          <t>Telefonia móvel corporativa</t>
        </is>
      </c>
      <c r="D336" s="102" t="n"/>
      <c r="E336" s="103" t="n"/>
      <c r="F336" s="104">
        <f>IFERROR(D336*E336,0)</f>
        <v/>
      </c>
      <c r="G336" s="101">
        <f>INDEX(SETORES!$B:$B,MATCH(A336,SETORES!$A:$A,0))</f>
        <v/>
      </c>
      <c r="H336" s="101" t="inlineStr">
        <is>
          <t>Maio/2026</t>
        </is>
      </c>
    </row>
    <row r="337" hidden="1" ht="14.25" customHeight="1" s="64">
      <c r="A337" s="106" t="inlineStr">
        <is>
          <t>Retenção</t>
        </is>
      </c>
      <c r="B337" s="106" t="inlineStr">
        <is>
          <t>Custo Fixo</t>
        </is>
      </c>
      <c r="C337" s="106" t="inlineStr">
        <is>
          <t>Folha de pagamento (salários)</t>
        </is>
      </c>
      <c r="D337" s="107" t="n">
        <v>1</v>
      </c>
      <c r="E337" s="108" t="n">
        <v>30713.94</v>
      </c>
      <c r="F337" s="109">
        <f>IFERROR(E337,0)</f>
        <v/>
      </c>
      <c r="G337" s="106">
        <f>INDEX(SETORES!$B:$B,MATCH(A337,SETORES!$A:$A,0))</f>
        <v/>
      </c>
      <c r="H337" s="106" t="inlineStr">
        <is>
          <t>Maio/2026</t>
        </is>
      </c>
    </row>
    <row r="338" hidden="1" ht="14.25" customHeight="1" s="64">
      <c r="A338" s="101" t="inlineStr">
        <is>
          <t>Retenção</t>
        </is>
      </c>
      <c r="B338" s="101" t="inlineStr">
        <is>
          <t>Custo Fixo</t>
        </is>
      </c>
      <c r="C338" s="101" t="inlineStr">
        <is>
          <t>Licenças de software/sistemas corporativos</t>
        </is>
      </c>
      <c r="D338" s="102" t="n"/>
      <c r="E338" s="103" t="n"/>
      <c r="F338" s="104">
        <f>IFERROR(D338*E338,0)</f>
        <v/>
      </c>
      <c r="G338" s="101">
        <f>INDEX(SETORES!$B:$B,MATCH(A338,SETORES!$A:$A,0))</f>
        <v/>
      </c>
      <c r="H338" s="101" t="inlineStr">
        <is>
          <t>Maio/2026</t>
        </is>
      </c>
    </row>
    <row r="339" hidden="1" ht="14.25" customHeight="1" s="64">
      <c r="A339" s="106" t="inlineStr">
        <is>
          <t>Retenção</t>
        </is>
      </c>
      <c r="B339" s="106" t="inlineStr">
        <is>
          <t>Custo Variável</t>
        </is>
      </c>
      <c r="C339" s="106" t="inlineStr">
        <is>
          <t>Sistema de CRM de retenção</t>
        </is>
      </c>
      <c r="D339" s="107" t="n"/>
      <c r="E339" s="108" t="n"/>
      <c r="F339" s="109">
        <f>IFERROR(D339*E339,0)</f>
        <v/>
      </c>
      <c r="G339" s="106">
        <f>INDEX(SETORES!$B:$B,MATCH(A339,SETORES!$A:$A,0))</f>
        <v/>
      </c>
      <c r="H339" s="106" t="inlineStr">
        <is>
          <t>Maio/2026</t>
        </is>
      </c>
    </row>
    <row r="340" hidden="1" ht="14.25" customHeight="1" s="64">
      <c r="A340" s="101" t="inlineStr">
        <is>
          <t>Retenção</t>
        </is>
      </c>
      <c r="B340" s="101" t="inlineStr">
        <is>
          <t>Custo Variável</t>
        </is>
      </c>
      <c r="C340" s="101" t="inlineStr">
        <is>
          <t>Fardamento novo</t>
        </is>
      </c>
      <c r="D340" s="102" t="n">
        <v>1</v>
      </c>
      <c r="E340" s="103" t="n">
        <v>340</v>
      </c>
      <c r="F340" s="104">
        <f>IFERROR(D340*E340,0)</f>
        <v/>
      </c>
      <c r="G340" s="101">
        <f>INDEX(SETORES!$B:$B,MATCH(A340,SETORES!$A:$A,0))</f>
        <v/>
      </c>
      <c r="H340" s="101" t="inlineStr">
        <is>
          <t>Maio/2026</t>
        </is>
      </c>
    </row>
    <row r="341" hidden="1" ht="14.25" customHeight="1" s="64">
      <c r="A341" s="106" t="inlineStr">
        <is>
          <t>Retenção</t>
        </is>
      </c>
      <c r="B341" s="106" t="inlineStr">
        <is>
          <t>Custo Variável</t>
        </is>
      </c>
      <c r="C341" s="106" t="inlineStr">
        <is>
          <t>Fardamento substituição</t>
        </is>
      </c>
      <c r="D341" s="107" t="n">
        <v>1</v>
      </c>
      <c r="E341" s="108" t="n">
        <v>181.33</v>
      </c>
      <c r="F341" s="109">
        <f>IFERROR(D341*E341,0)</f>
        <v/>
      </c>
      <c r="G341" s="106">
        <f>INDEX(SETORES!$B:$B,MATCH(A341,SETORES!$A:$A,0))</f>
        <v/>
      </c>
      <c r="H341" s="106" t="inlineStr">
        <is>
          <t>Maio/2026</t>
        </is>
      </c>
    </row>
    <row r="342" hidden="1" ht="14.25" customHeight="1" s="64">
      <c r="A342" s="101" t="inlineStr">
        <is>
          <t>Retenção</t>
        </is>
      </c>
      <c r="B342" s="101" t="inlineStr">
        <is>
          <t>Custo Variável</t>
        </is>
      </c>
      <c r="C342" s="101" t="inlineStr">
        <is>
          <t>Exames médicos</t>
        </is>
      </c>
      <c r="D342" s="102" t="n">
        <v>1</v>
      </c>
      <c r="E342" s="103" t="n">
        <v>316.67</v>
      </c>
      <c r="F342" s="104">
        <f>IFERROR(D342*E342,0)</f>
        <v/>
      </c>
      <c r="G342" s="101">
        <f>INDEX(SETORES!$B:$B,MATCH(A342,SETORES!$A:$A,0))</f>
        <v/>
      </c>
      <c r="H342" s="101" t="inlineStr">
        <is>
          <t>Maio/2026</t>
        </is>
      </c>
    </row>
    <row r="343" hidden="1" ht="14.25" customHeight="1" s="64">
      <c r="A343" s="106" t="inlineStr">
        <is>
          <t>Retenção</t>
        </is>
      </c>
      <c r="B343" s="106" t="inlineStr">
        <is>
          <t>Custo Fixo</t>
        </is>
      </c>
      <c r="C343" s="106" t="inlineStr">
        <is>
          <t>Licença de e-mail corporativo</t>
        </is>
      </c>
      <c r="D343" s="107" t="n">
        <v>11</v>
      </c>
      <c r="E343" s="108" t="n">
        <v>50</v>
      </c>
      <c r="F343" s="109">
        <f>IFERROR(D343*E343,0)</f>
        <v/>
      </c>
      <c r="G343" s="106">
        <f>INDEX(SETORES!$B:$B,MATCH(A343,SETORES!$A:$A,0))</f>
        <v/>
      </c>
      <c r="H343" s="106" t="inlineStr">
        <is>
          <t>Maio/2026</t>
        </is>
      </c>
    </row>
    <row r="344" hidden="1" ht="14.25" customHeight="1" s="64">
      <c r="A344" s="101" t="inlineStr">
        <is>
          <t>Retenção</t>
        </is>
      </c>
      <c r="B344" s="101" t="inlineStr">
        <is>
          <t>Custo Fixo</t>
        </is>
      </c>
      <c r="C344" s="101" t="inlineStr">
        <is>
          <t>Software MATRIX (rateio equipe Relacionamento)</t>
        </is>
      </c>
      <c r="D344" s="102" t="n">
        <v>1</v>
      </c>
      <c r="E344" s="103" t="n">
        <v>458.41293</v>
      </c>
      <c r="F344" s="104">
        <f>IFERROR(D344*E344,0)</f>
        <v/>
      </c>
      <c r="G344" s="101">
        <f>INDEX(SETORES!$B:$B,MATCH(A344,SETORES!$A:$A,0))</f>
        <v/>
      </c>
      <c r="H344" s="101" t="inlineStr">
        <is>
          <t>Maio/2026</t>
        </is>
      </c>
    </row>
    <row r="345" hidden="1" ht="14.25" customHeight="1" s="64">
      <c r="A345" s="106" t="inlineStr">
        <is>
          <t>Retenção</t>
        </is>
      </c>
      <c r="B345" s="106" t="inlineStr">
        <is>
          <t>Custo Fixo</t>
        </is>
      </c>
      <c r="C345" s="106" t="inlineStr">
        <is>
          <t>Telefonia de entrada Algar</t>
        </is>
      </c>
      <c r="D345" s="107" t="n">
        <v>1</v>
      </c>
      <c r="E345" s="108" t="n">
        <v>1641.85</v>
      </c>
      <c r="F345" s="109">
        <f>IFERROR(D345*E345,0)</f>
        <v/>
      </c>
      <c r="G345" s="106">
        <f>INDEX(SETORES!$B:$B,MATCH(A345,SETORES!$A:$A,0))</f>
        <v/>
      </c>
      <c r="H345" s="106" t="inlineStr">
        <is>
          <t>Maio/2026</t>
        </is>
      </c>
    </row>
    <row r="346" hidden="1" ht="14.25" customHeight="1" s="64">
      <c r="A346" s="101" t="inlineStr">
        <is>
          <t>Retenção</t>
        </is>
      </c>
      <c r="B346" s="101" t="inlineStr">
        <is>
          <t>Custo Fixo</t>
        </is>
      </c>
      <c r="C346" s="101" t="inlineStr">
        <is>
          <t>Software Dlocal (trafego pago)</t>
        </is>
      </c>
      <c r="D346" s="102" t="n">
        <v>1</v>
      </c>
      <c r="E346" s="103" t="n">
        <v>215.51724</v>
      </c>
      <c r="F346" s="104">
        <f>IFERROR(D346*E346,0)</f>
        <v/>
      </c>
      <c r="G346" s="101">
        <f>INDEX(SETORES!$B:$B,MATCH(A346,SETORES!$A:$A,0))</f>
        <v/>
      </c>
      <c r="H346" s="101" t="inlineStr">
        <is>
          <t>Maio/2026</t>
        </is>
      </c>
    </row>
    <row r="347" hidden="1" ht="14.25" customHeight="1" s="64">
      <c r="A347" s="106" t="inlineStr">
        <is>
          <t>Retenção</t>
        </is>
      </c>
      <c r="B347" s="106" t="inlineStr">
        <is>
          <t>Custo Fixo</t>
        </is>
      </c>
      <c r="C347" s="106" t="inlineStr">
        <is>
          <t>Software Google brasil (trafego pago)</t>
        </is>
      </c>
      <c r="D347" s="107" t="n">
        <v>1</v>
      </c>
      <c r="E347" s="108" t="n">
        <v>28.73534</v>
      </c>
      <c r="F347" s="109">
        <f>IFERROR(D347*E347,0)</f>
        <v/>
      </c>
      <c r="G347" s="106">
        <f>INDEX(SETORES!$B:$B,MATCH(A347,SETORES!$A:$A,0))</f>
        <v/>
      </c>
      <c r="H347" s="106" t="inlineStr">
        <is>
          <t>Maio/2026</t>
        </is>
      </c>
    </row>
    <row r="348" hidden="1" ht="14.25" customHeight="1" s="64">
      <c r="A348" s="101" t="inlineStr">
        <is>
          <t>Retenção</t>
        </is>
      </c>
      <c r="B348" s="101" t="inlineStr">
        <is>
          <t>Custo Variável</t>
        </is>
      </c>
      <c r="C348" s="101" t="inlineStr">
        <is>
          <t>Software Lorensi marketing (f000987)</t>
        </is>
      </c>
      <c r="D348" s="102" t="n">
        <v>1</v>
      </c>
      <c r="E348" s="103" t="n">
        <v>79.64052</v>
      </c>
      <c r="F348" s="104">
        <f>IFERROR(D348*E348,0)</f>
        <v/>
      </c>
      <c r="G348" s="101">
        <f>INDEX(SETORES!$B:$B,MATCH(A348,SETORES!$A:$A,0))</f>
        <v/>
      </c>
      <c r="H348" s="101" t="inlineStr">
        <is>
          <t>Maio/2026</t>
        </is>
      </c>
    </row>
    <row r="349" hidden="1" ht="14.25" customHeight="1" s="64">
      <c r="A349" s="106" t="inlineStr">
        <is>
          <t>Retenção</t>
        </is>
      </c>
      <c r="B349" s="106" t="inlineStr">
        <is>
          <t>Custo Variável</t>
        </is>
      </c>
      <c r="C349" s="106" t="inlineStr">
        <is>
          <t>Disparos feito pela meta</t>
        </is>
      </c>
      <c r="D349" s="107" t="n">
        <v>1</v>
      </c>
      <c r="E349" s="108" t="n">
        <v>242.73</v>
      </c>
      <c r="F349" s="109">
        <f>IFERROR(D349*E349,0)</f>
        <v/>
      </c>
      <c r="G349" s="106">
        <f>INDEX(SETORES!$B:$B,MATCH(A349,SETORES!$A:$A,0))</f>
        <v/>
      </c>
      <c r="H349" s="106" t="inlineStr">
        <is>
          <t>Maio/2026</t>
        </is>
      </c>
    </row>
    <row r="350" hidden="1" ht="14.25" customHeight="1" s="64">
      <c r="A350" s="101" t="inlineStr">
        <is>
          <t>Retenção</t>
        </is>
      </c>
      <c r="B350" s="101" t="inlineStr">
        <is>
          <t>Custo Fixo</t>
        </is>
      </c>
      <c r="C350" s="101" t="inlineStr">
        <is>
          <t>Vexpenses</t>
        </is>
      </c>
      <c r="D350" s="102" t="n">
        <v>1</v>
      </c>
      <c r="E350" s="103" t="n">
        <v>52</v>
      </c>
      <c r="F350" s="104">
        <f>IFERROR(D350*E350,0)</f>
        <v/>
      </c>
      <c r="G350" s="101">
        <f>INDEX(SETORES!$B:$B,MATCH(A350,SETORES!$A:$A,0))</f>
        <v/>
      </c>
      <c r="H350" s="101" t="inlineStr">
        <is>
          <t>Maio/2026</t>
        </is>
      </c>
    </row>
    <row r="351" hidden="1" ht="14.25" customHeight="1" s="64">
      <c r="A351" s="106" t="inlineStr">
        <is>
          <t>Retenção</t>
        </is>
      </c>
      <c r="B351" s="106" t="inlineStr">
        <is>
          <t>Custo Variável</t>
        </is>
      </c>
      <c r="C351" s="106" t="inlineStr">
        <is>
          <t>Endomarketing</t>
        </is>
      </c>
      <c r="D351" s="107" t="n">
        <v>1</v>
      </c>
      <c r="E351" s="108" t="n">
        <v>23.5</v>
      </c>
      <c r="F351" s="109">
        <f>IFERROR(D351*E351,0)</f>
        <v/>
      </c>
      <c r="G351" s="106">
        <f>INDEX(SETORES!$B:$B,MATCH(A351,SETORES!$A:$A,0))</f>
        <v/>
      </c>
      <c r="H351" s="106" t="inlineStr">
        <is>
          <t>Maio/2026</t>
        </is>
      </c>
    </row>
    <row r="352" hidden="1" ht="14.25" customHeight="1" s="64">
      <c r="A352" s="101" t="inlineStr">
        <is>
          <t>Retenção</t>
        </is>
      </c>
      <c r="B352" s="101" t="inlineStr">
        <is>
          <t>Custo Fixo</t>
        </is>
      </c>
      <c r="C352" s="101" t="inlineStr">
        <is>
          <t>Gympass</t>
        </is>
      </c>
      <c r="D352" s="102" t="n">
        <v>10</v>
      </c>
      <c r="E352" s="103" t="n">
        <v>10.05</v>
      </c>
      <c r="F352" s="104">
        <f>IFERROR(D352*E352,0)</f>
        <v/>
      </c>
      <c r="G352" s="101">
        <f>INDEX(SETORES!$B:$B,MATCH(A352,SETORES!$A:$A,0))</f>
        <v/>
      </c>
      <c r="H352" s="101" t="inlineStr">
        <is>
          <t>Maio/2026</t>
        </is>
      </c>
    </row>
    <row r="353" hidden="1" ht="14.25" customHeight="1" s="64">
      <c r="A353" s="106" t="inlineStr">
        <is>
          <t>Retenção</t>
        </is>
      </c>
      <c r="B353" s="106" t="inlineStr">
        <is>
          <t>Custo Fixo</t>
        </is>
      </c>
      <c r="C353" s="106" t="inlineStr">
        <is>
          <t>Stargrid</t>
        </is>
      </c>
      <c r="D353" s="107" t="n">
        <v>10</v>
      </c>
      <c r="E353" s="108" t="n">
        <v>2.07</v>
      </c>
      <c r="F353" s="109">
        <f>IFERROR(D353*E353,0)</f>
        <v/>
      </c>
      <c r="G353" s="106">
        <f>INDEX(SETORES!$B:$B,MATCH(A353,SETORES!$A:$A,0))</f>
        <v/>
      </c>
      <c r="H353" s="106" t="inlineStr">
        <is>
          <t>Maio/2026</t>
        </is>
      </c>
    </row>
    <row r="354" hidden="1" ht="14.25" customHeight="1" s="64">
      <c r="A354" s="101" t="inlineStr">
        <is>
          <t>Retenção</t>
        </is>
      </c>
      <c r="B354" s="101" t="inlineStr">
        <is>
          <t>Custo Fixo</t>
        </is>
      </c>
      <c r="C354" s="101" t="inlineStr">
        <is>
          <t>Despesas com SST</t>
        </is>
      </c>
      <c r="D354" s="102" t="n">
        <v>10</v>
      </c>
      <c r="E354" s="103" t="n">
        <v>64.56999999999999</v>
      </c>
      <c r="F354" s="104">
        <f>IFERROR(D354*E354,0)</f>
        <v/>
      </c>
      <c r="G354" s="101">
        <f>INDEX(SETORES!$B:$B,MATCH(A354,SETORES!$A:$A,0))</f>
        <v/>
      </c>
      <c r="H354" s="101" t="inlineStr">
        <is>
          <t>Maio/2026</t>
        </is>
      </c>
    </row>
    <row r="355" hidden="1" ht="14.25" customHeight="1" s="64">
      <c r="A355" s="106" t="inlineStr">
        <is>
          <t>Retenção</t>
        </is>
      </c>
      <c r="B355" s="106" t="inlineStr">
        <is>
          <t>Custo Fixo</t>
        </is>
      </c>
      <c r="C355" s="106" t="inlineStr">
        <is>
          <t>Despesas com RH</t>
        </is>
      </c>
      <c r="D355" s="107" t="n">
        <v>10</v>
      </c>
      <c r="E355" s="108" t="n">
        <v>28.31</v>
      </c>
      <c r="F355" s="109">
        <f>IFERROR(D355*E355,0)</f>
        <v/>
      </c>
      <c r="G355" s="106">
        <f>INDEX(SETORES!$B:$B,MATCH(A355,SETORES!$A:$A,0))</f>
        <v/>
      </c>
      <c r="H355" s="106" t="inlineStr">
        <is>
          <t>Maio/2026</t>
        </is>
      </c>
    </row>
    <row r="356" hidden="1" ht="14.25" customHeight="1" s="64">
      <c r="A356" s="101" t="inlineStr">
        <is>
          <t>Retenção</t>
        </is>
      </c>
      <c r="B356" s="101" t="inlineStr">
        <is>
          <t>Custo Fixo</t>
        </is>
      </c>
      <c r="C356" s="101" t="inlineStr">
        <is>
          <t>Despesas com DP</t>
        </is>
      </c>
      <c r="D356" s="102" t="n">
        <v>10</v>
      </c>
      <c r="E356" s="103" t="n">
        <v>47.79</v>
      </c>
      <c r="F356" s="104">
        <f>IFERROR(D356*E356,0)</f>
        <v/>
      </c>
      <c r="G356" s="101">
        <f>INDEX(SETORES!$B:$B,MATCH(A356,SETORES!$A:$A,0))</f>
        <v/>
      </c>
      <c r="H356" s="101" t="inlineStr">
        <is>
          <t>Maio/2026</t>
        </is>
      </c>
    </row>
    <row r="357" hidden="1" ht="14.25" customHeight="1" s="64">
      <c r="A357" s="106" t="inlineStr">
        <is>
          <t>Oficina</t>
        </is>
      </c>
      <c r="B357" s="106" t="inlineStr">
        <is>
          <t>Custo Fixo</t>
        </is>
      </c>
      <c r="C357" s="106" t="inlineStr">
        <is>
          <t>Água e esgoto (rateio)</t>
        </is>
      </c>
      <c r="D357" s="107" t="n">
        <v>4</v>
      </c>
      <c r="E357" s="108" t="n">
        <v>0.6343</v>
      </c>
      <c r="F357" s="109" t="n">
        <v>2.5372</v>
      </c>
      <c r="G357" s="106">
        <f>INDEX(SETORES!$B:$B,MATCH(A357,SETORES!$A:$A,0))</f>
        <v/>
      </c>
      <c r="H357" s="106" t="inlineStr">
        <is>
          <t>Maio/2026</t>
        </is>
      </c>
    </row>
    <row r="358" hidden="1" ht="14.25" customHeight="1" s="64">
      <c r="A358" s="101" t="inlineStr">
        <is>
          <t>Segurança do Trabalho</t>
        </is>
      </c>
      <c r="B358" s="101" t="inlineStr">
        <is>
          <t>Custo Fixo</t>
        </is>
      </c>
      <c r="C358" s="101" t="inlineStr">
        <is>
          <t>Material de escritório (suprimentos de informática)</t>
        </is>
      </c>
      <c r="D358" s="102" t="n"/>
      <c r="E358" s="103" t="n"/>
      <c r="F358" s="104" t="n">
        <v>0</v>
      </c>
      <c r="G358" s="101">
        <f>INDEX(SETORES!$B:$B,MATCH(A358,SETORES!$A:$A,0))</f>
        <v/>
      </c>
      <c r="H358" s="101" t="inlineStr">
        <is>
          <t>Maio/2026</t>
        </is>
      </c>
    </row>
    <row r="359" hidden="1" ht="14.25" customHeight="1" s="64">
      <c r="A359" s="106" t="inlineStr">
        <is>
          <t>Segurança do Trabalho</t>
        </is>
      </c>
      <c r="B359" s="106" t="inlineStr">
        <is>
          <t>Custo Fixo</t>
        </is>
      </c>
      <c r="C359" s="106" t="inlineStr">
        <is>
          <t>Material de uso coletivo (copa/limpeza)</t>
        </is>
      </c>
      <c r="D359" s="107" t="n"/>
      <c r="E359" s="108" t="n"/>
      <c r="F359" s="109" t="n">
        <v>0</v>
      </c>
      <c r="G359" s="106">
        <f>INDEX(SETORES!$B:$B,MATCH(A359,SETORES!$A:$A,0))</f>
        <v/>
      </c>
      <c r="H359" s="106" t="inlineStr">
        <is>
          <t>Maio/2026</t>
        </is>
      </c>
    </row>
    <row r="360" hidden="1" ht="14.25" customHeight="1" s="64">
      <c r="A360" s="101" t="inlineStr">
        <is>
          <t>Segurança do Trabalho</t>
        </is>
      </c>
      <c r="B360" s="101" t="inlineStr">
        <is>
          <t>Custo Fixo</t>
        </is>
      </c>
      <c r="C360" s="101" t="inlineStr">
        <is>
          <t>Energia elétrica (rateio)</t>
        </is>
      </c>
      <c r="D360" s="102" t="n">
        <v>6</v>
      </c>
      <c r="E360" s="103" t="n">
        <v>24.8613</v>
      </c>
      <c r="F360" s="104" t="n">
        <v>149.1678</v>
      </c>
      <c r="G360" s="101">
        <f>INDEX(SETORES!$B:$B,MATCH(A360,SETORES!$A:$A,0))</f>
        <v/>
      </c>
      <c r="H360" s="101" t="inlineStr">
        <is>
          <t>Maio/2026</t>
        </is>
      </c>
    </row>
    <row r="361" hidden="1" ht="14.25" customHeight="1" s="64">
      <c r="A361" s="106" t="inlineStr">
        <is>
          <t>Segurança do Trabalho</t>
        </is>
      </c>
      <c r="B361" s="106" t="inlineStr">
        <is>
          <t>Custo Fixo</t>
        </is>
      </c>
      <c r="C361" s="106" t="inlineStr">
        <is>
          <t>Água e esgoto (rateio)</t>
        </is>
      </c>
      <c r="D361" s="107" t="n">
        <v>6</v>
      </c>
      <c r="E361" s="108" t="n">
        <v>0.6343</v>
      </c>
      <c r="F361" s="109" t="n">
        <v>3.8058</v>
      </c>
      <c r="G361" s="106">
        <f>INDEX(SETORES!$B:$B,MATCH(A361,SETORES!$A:$A,0))</f>
        <v/>
      </c>
      <c r="H361" s="106" t="inlineStr">
        <is>
          <t>Maio/2026</t>
        </is>
      </c>
    </row>
    <row r="362" hidden="1" ht="14.25" customHeight="1" s="64">
      <c r="A362" s="101" t="inlineStr">
        <is>
          <t>Segurança do Trabalho</t>
        </is>
      </c>
      <c r="B362" s="101" t="inlineStr">
        <is>
          <t>Custo Fixo</t>
        </is>
      </c>
      <c r="C362" s="101" t="inlineStr">
        <is>
          <t>Telefonia móvel corporativa</t>
        </is>
      </c>
      <c r="D362" s="102" t="n"/>
      <c r="E362" s="103" t="n"/>
      <c r="F362" s="104">
        <f>IFERROR(D362*E362,0)</f>
        <v/>
      </c>
      <c r="G362" s="101">
        <f>INDEX(SETORES!$B:$B,MATCH(A362,SETORES!$A:$A,0))</f>
        <v/>
      </c>
      <c r="H362" s="101" t="inlineStr">
        <is>
          <t>Maio/2026</t>
        </is>
      </c>
    </row>
    <row r="363" hidden="1" ht="14.25" customHeight="1" s="64">
      <c r="A363" s="106" t="inlineStr">
        <is>
          <t>Segurança do Trabalho</t>
        </is>
      </c>
      <c r="B363" s="106" t="inlineStr">
        <is>
          <t>Custo Fixo</t>
        </is>
      </c>
      <c r="C363" s="106" t="inlineStr">
        <is>
          <t>Folha de pagamento (salários)</t>
        </is>
      </c>
      <c r="D363" s="107" t="n">
        <v>1</v>
      </c>
      <c r="E363" s="108" t="n">
        <v>38002.07</v>
      </c>
      <c r="F363" s="109">
        <f>IFERROR(E363,0)</f>
        <v/>
      </c>
      <c r="G363" s="106">
        <f>INDEX(SETORES!$B:$B,MATCH(A363,SETORES!$A:$A,0))</f>
        <v/>
      </c>
      <c r="H363" s="106" t="inlineStr">
        <is>
          <t>Maio/2026</t>
        </is>
      </c>
    </row>
    <row r="364" hidden="1" ht="14.25" customHeight="1" s="64">
      <c r="A364" s="101" t="inlineStr">
        <is>
          <t>Segurança do Trabalho</t>
        </is>
      </c>
      <c r="B364" s="101" t="inlineStr">
        <is>
          <t>Custo Variável</t>
        </is>
      </c>
      <c r="C364" s="101" t="inlineStr">
        <is>
          <t>EPIs - Equipamento de Proteção Individual</t>
        </is>
      </c>
      <c r="D364" s="102" t="n"/>
      <c r="E364" s="103" t="n"/>
      <c r="F364" s="104">
        <f>IFERROR(D364*E364,0)</f>
        <v/>
      </c>
      <c r="G364" s="101">
        <f>INDEX(SETORES!$B:$B,MATCH(A364,SETORES!$A:$A,0))</f>
        <v/>
      </c>
      <c r="H364" s="101" t="inlineStr">
        <is>
          <t>Maio/2026</t>
        </is>
      </c>
    </row>
    <row r="365" hidden="1" ht="14.25" customHeight="1" s="64">
      <c r="A365" s="106" t="inlineStr">
        <is>
          <t>Segurança do Trabalho</t>
        </is>
      </c>
      <c r="B365" s="106" t="inlineStr">
        <is>
          <t>Custo Variável</t>
        </is>
      </c>
      <c r="C365" s="106" t="inlineStr">
        <is>
          <t>Exames médicos</t>
        </is>
      </c>
      <c r="D365" s="107" t="n"/>
      <c r="E365" s="108" t="n"/>
      <c r="F365" s="109">
        <f>IFERROR(D365*E365,0)</f>
        <v/>
      </c>
      <c r="G365" s="106">
        <f>INDEX(SETORES!$B:$B,MATCH(A365,SETORES!$A:$A,0))</f>
        <v/>
      </c>
      <c r="H365" s="106" t="inlineStr">
        <is>
          <t>Maio/2026</t>
        </is>
      </c>
    </row>
    <row r="366" hidden="1" ht="14.25" customHeight="1" s="64">
      <c r="A366" s="101" t="inlineStr">
        <is>
          <t>Segurança do Trabalho</t>
        </is>
      </c>
      <c r="B366" s="101" t="inlineStr">
        <is>
          <t>Custo Variável</t>
        </is>
      </c>
      <c r="C366" s="101" t="inlineStr">
        <is>
          <t>Fardamento novo</t>
        </is>
      </c>
      <c r="D366" s="102" t="n"/>
      <c r="E366" s="103" t="n"/>
      <c r="F366" s="104">
        <f>IFERROR(D366*E366,0)</f>
        <v/>
      </c>
      <c r="G366" s="101">
        <f>INDEX(SETORES!$B:$B,MATCH(A366,SETORES!$A:$A,0))</f>
        <v/>
      </c>
      <c r="H366" s="101" t="inlineStr">
        <is>
          <t>Maio/2026</t>
        </is>
      </c>
    </row>
    <row r="367" hidden="1" ht="14.25" customHeight="1" s="64">
      <c r="A367" s="106" t="inlineStr">
        <is>
          <t>Segurança do Trabalho</t>
        </is>
      </c>
      <c r="B367" s="106" t="inlineStr">
        <is>
          <t>Custo Variável</t>
        </is>
      </c>
      <c r="C367" s="106" t="inlineStr">
        <is>
          <t>Fardamento substituição</t>
        </is>
      </c>
      <c r="D367" s="107" t="n"/>
      <c r="E367" s="108" t="n"/>
      <c r="F367" s="109">
        <f>IFERROR(D367*E367,0)</f>
        <v/>
      </c>
      <c r="G367" s="106">
        <f>INDEX(SETORES!$B:$B,MATCH(A367,SETORES!$A:$A,0))</f>
        <v/>
      </c>
      <c r="H367" s="106" t="inlineStr">
        <is>
          <t>Maio/2026</t>
        </is>
      </c>
    </row>
    <row r="368" hidden="1" ht="14.25" customHeight="1" s="64">
      <c r="A368" s="101" t="inlineStr">
        <is>
          <t>Segurança do Trabalho</t>
        </is>
      </c>
      <c r="B368" s="101" t="inlineStr">
        <is>
          <t>Custo Variável</t>
        </is>
      </c>
      <c r="C368" s="101" t="inlineStr">
        <is>
          <t>Rateio de transporte coletivo</t>
        </is>
      </c>
      <c r="D368" s="102" t="n">
        <v>6</v>
      </c>
      <c r="E368" s="103" t="n">
        <v>89.55</v>
      </c>
      <c r="F368" s="104">
        <f>IFERROR(D368*E368,0)</f>
        <v/>
      </c>
      <c r="G368" s="101">
        <f>INDEX(SETORES!$B:$B,MATCH(A368,SETORES!$A:$A,0))</f>
        <v/>
      </c>
      <c r="H368" s="101" t="inlineStr">
        <is>
          <t>Maio/2026</t>
        </is>
      </c>
    </row>
    <row r="369" hidden="1" ht="14.25" customHeight="1" s="64">
      <c r="A369" s="106" t="inlineStr">
        <is>
          <t>Segurança do Trabalho</t>
        </is>
      </c>
      <c r="B369" s="106" t="inlineStr">
        <is>
          <t>Custo Variável</t>
        </is>
      </c>
      <c r="C369" s="106" t="inlineStr">
        <is>
          <t>Médico do trabalho</t>
        </is>
      </c>
      <c r="D369" s="107" t="n">
        <v>1</v>
      </c>
      <c r="E369" s="108" t="n">
        <v>7689.8</v>
      </c>
      <c r="F369" s="109">
        <f>IFERROR(D369*E369,0)</f>
        <v/>
      </c>
      <c r="G369" s="106">
        <f>INDEX(SETORES!$B:$B,MATCH(A369,SETORES!$A:$A,0))</f>
        <v/>
      </c>
      <c r="H369" s="106" t="inlineStr">
        <is>
          <t>Maio/2026</t>
        </is>
      </c>
    </row>
    <row r="370" hidden="1" ht="14.25" customHeight="1" s="64">
      <c r="A370" s="101" t="inlineStr">
        <is>
          <t>Segurança do Trabalho</t>
        </is>
      </c>
      <c r="B370" s="101" t="inlineStr">
        <is>
          <t>Custo Fixo</t>
        </is>
      </c>
      <c r="C370" s="101" t="inlineStr">
        <is>
          <t>Licença de e-mail corporativo</t>
        </is>
      </c>
      <c r="D370" s="102" t="n">
        <v>9</v>
      </c>
      <c r="E370" s="103" t="n">
        <v>50</v>
      </c>
      <c r="F370" s="104">
        <f>IFERROR(D370*E370,0)</f>
        <v/>
      </c>
      <c r="G370" s="101">
        <f>INDEX(SETORES!$B:$B,MATCH(A370,SETORES!$A:$A,0))</f>
        <v/>
      </c>
      <c r="H370" s="101" t="inlineStr">
        <is>
          <t>Maio/2026</t>
        </is>
      </c>
    </row>
    <row r="371" hidden="1" ht="14.25" customHeight="1" s="64">
      <c r="A371" s="106" t="inlineStr">
        <is>
          <t>Segurança do Trabalho</t>
        </is>
      </c>
      <c r="B371" s="106" t="inlineStr">
        <is>
          <t>Custo Variável</t>
        </is>
      </c>
      <c r="C371" s="106" t="inlineStr">
        <is>
          <t>Combustível de frota</t>
        </is>
      </c>
      <c r="D371" s="107" t="n">
        <v>1</v>
      </c>
      <c r="E371" s="108" t="n">
        <v>4445.72</v>
      </c>
      <c r="F371" s="109" t="n">
        <v>4445.72</v>
      </c>
      <c r="G371" s="106">
        <f>INDEX(SETORES!$B:$B,MATCH(A371,SETORES!$A:$A,0))</f>
        <v/>
      </c>
      <c r="H371" s="106" t="inlineStr">
        <is>
          <t>Maio/2026</t>
        </is>
      </c>
    </row>
    <row r="372" hidden="1" ht="14.25" customHeight="1" s="64">
      <c r="A372" s="101" t="inlineStr">
        <is>
          <t>Segurança do Trabalho</t>
        </is>
      </c>
      <c r="B372" s="101" t="inlineStr">
        <is>
          <t>Custo Fixo</t>
        </is>
      </c>
      <c r="C372" s="101" t="inlineStr">
        <is>
          <t>Gympass</t>
        </is>
      </c>
      <c r="D372" s="102" t="n">
        <v>6</v>
      </c>
      <c r="E372" s="103" t="n">
        <v>10.05</v>
      </c>
      <c r="F372" s="104">
        <f>IFERROR(D372*E372,0)</f>
        <v/>
      </c>
      <c r="G372" s="101">
        <f>INDEX(SETORES!$B:$B,MATCH(A372,SETORES!$A:$A,0))</f>
        <v/>
      </c>
      <c r="H372" s="101" t="inlineStr">
        <is>
          <t>Maio/2026</t>
        </is>
      </c>
    </row>
    <row r="373" hidden="1" ht="14.25" customHeight="1" s="64">
      <c r="A373" s="106" t="inlineStr">
        <is>
          <t>Segurança do Trabalho</t>
        </is>
      </c>
      <c r="B373" s="106" t="inlineStr">
        <is>
          <t>Custo Fixo</t>
        </is>
      </c>
      <c r="C373" s="106" t="inlineStr">
        <is>
          <t>Stargrid</t>
        </is>
      </c>
      <c r="D373" s="107" t="n">
        <v>6</v>
      </c>
      <c r="E373" s="108" t="n">
        <v>2.07</v>
      </c>
      <c r="F373" s="109">
        <f>IFERROR(D373*E373,0)</f>
        <v/>
      </c>
      <c r="G373" s="106">
        <f>INDEX(SETORES!$B:$B,MATCH(A373,SETORES!$A:$A,0))</f>
        <v/>
      </c>
      <c r="H373" s="106" t="inlineStr">
        <is>
          <t>Maio/2026</t>
        </is>
      </c>
    </row>
    <row r="374" hidden="1" ht="14.25" customHeight="1" s="64">
      <c r="A374" s="101" t="inlineStr">
        <is>
          <t>Segurança do Trabalho</t>
        </is>
      </c>
      <c r="B374" s="101" t="inlineStr">
        <is>
          <t>Custo Fixo</t>
        </is>
      </c>
      <c r="C374" s="101" t="inlineStr">
        <is>
          <t>Despesas com SST</t>
        </is>
      </c>
      <c r="D374" s="102" t="n">
        <v>6</v>
      </c>
      <c r="E374" s="103" t="n">
        <v>64.56999999999999</v>
      </c>
      <c r="F374" s="104">
        <f>IFERROR(D374*E374,0)</f>
        <v/>
      </c>
      <c r="G374" s="101">
        <f>INDEX(SETORES!$B:$B,MATCH(A374,SETORES!$A:$A,0))</f>
        <v/>
      </c>
      <c r="H374" s="101" t="inlineStr">
        <is>
          <t>Maio/2026</t>
        </is>
      </c>
    </row>
    <row r="375" hidden="1" ht="14.25" customHeight="1" s="64">
      <c r="A375" s="106" t="inlineStr">
        <is>
          <t>Segurança do Trabalho</t>
        </is>
      </c>
      <c r="B375" s="106" t="inlineStr">
        <is>
          <t>Custo Fixo</t>
        </is>
      </c>
      <c r="C375" s="106" t="inlineStr">
        <is>
          <t>Despesas com RH</t>
        </is>
      </c>
      <c r="D375" s="107" t="n">
        <v>6</v>
      </c>
      <c r="E375" s="108" t="n">
        <v>28.31</v>
      </c>
      <c r="F375" s="109">
        <f>IFERROR(D375*E375,0)</f>
        <v/>
      </c>
      <c r="G375" s="106">
        <f>INDEX(SETORES!$B:$B,MATCH(A375,SETORES!$A:$A,0))</f>
        <v/>
      </c>
      <c r="H375" s="106" t="inlineStr">
        <is>
          <t>Maio/2026</t>
        </is>
      </c>
    </row>
    <row r="376" hidden="1" ht="14.25" customHeight="1" s="64">
      <c r="A376" s="101" t="inlineStr">
        <is>
          <t>Segurança do Trabalho</t>
        </is>
      </c>
      <c r="B376" s="101" t="inlineStr">
        <is>
          <t>Custo Fixo</t>
        </is>
      </c>
      <c r="C376" s="101" t="inlineStr">
        <is>
          <t>Despesas com DP</t>
        </is>
      </c>
      <c r="D376" s="102" t="n">
        <v>6</v>
      </c>
      <c r="E376" s="103" t="n">
        <v>47.79</v>
      </c>
      <c r="F376" s="104">
        <f>IFERROR(D376*E376,0)</f>
        <v/>
      </c>
      <c r="G376" s="101">
        <f>INDEX(SETORES!$B:$B,MATCH(A376,SETORES!$A:$A,0))</f>
        <v/>
      </c>
      <c r="H376" s="101" t="inlineStr">
        <is>
          <t>Maio/2026</t>
        </is>
      </c>
    </row>
    <row r="377" hidden="1" ht="14.25" customHeight="1" s="64">
      <c r="A377" s="106" t="inlineStr">
        <is>
          <t>Suporte Orbix</t>
        </is>
      </c>
      <c r="B377" s="106" t="inlineStr">
        <is>
          <t>Custo Fixo</t>
        </is>
      </c>
      <c r="C377" s="106" t="inlineStr">
        <is>
          <t>Material de escritório (suprimentos de informática)</t>
        </is>
      </c>
      <c r="D377" s="107" t="n">
        <v>9</v>
      </c>
      <c r="E377" s="108" t="n">
        <v>0.3648</v>
      </c>
      <c r="F377" s="109" t="n">
        <v>3.2832</v>
      </c>
      <c r="G377" s="106">
        <f>INDEX(SETORES!$B:$B,MATCH(A377,SETORES!$A:$A,0))</f>
        <v/>
      </c>
      <c r="H377" s="106" t="inlineStr">
        <is>
          <t>Maio/2026</t>
        </is>
      </c>
    </row>
    <row r="378" hidden="1" ht="14.25" customHeight="1" s="64">
      <c r="A378" s="101" t="inlineStr">
        <is>
          <t>Suporte Orbix</t>
        </is>
      </c>
      <c r="B378" s="101" t="inlineStr">
        <is>
          <t>Custo Fixo</t>
        </is>
      </c>
      <c r="C378" s="101" t="inlineStr">
        <is>
          <t>Material de uso coletivo (copa/limpeza)</t>
        </is>
      </c>
      <c r="D378" s="102" t="n">
        <v>1</v>
      </c>
      <c r="E378" s="103" t="n">
        <v>254.682931</v>
      </c>
      <c r="F378" s="104" t="n">
        <v>254.682931</v>
      </c>
      <c r="G378" s="101">
        <f>INDEX(SETORES!$B:$B,MATCH(A378,SETORES!$A:$A,0))</f>
        <v/>
      </c>
      <c r="H378" s="101" t="inlineStr">
        <is>
          <t>Maio/2026</t>
        </is>
      </c>
    </row>
    <row r="379" hidden="1" ht="14.25" customHeight="1" s="64">
      <c r="A379" s="106" t="inlineStr">
        <is>
          <t>Suporte Orbix</t>
        </is>
      </c>
      <c r="B379" s="106" t="inlineStr">
        <is>
          <t>Custo Fixo</t>
        </is>
      </c>
      <c r="C379" s="106" t="inlineStr">
        <is>
          <t>Energia elétrica (rateio)</t>
        </is>
      </c>
      <c r="D379" s="107" t="n">
        <v>1</v>
      </c>
      <c r="E379" s="108" t="n">
        <v>76.5971</v>
      </c>
      <c r="F379" s="109" t="n">
        <v>76.5971</v>
      </c>
      <c r="G379" s="106">
        <f>INDEX(SETORES!$B:$B,MATCH(A379,SETORES!$A:$A,0))</f>
        <v/>
      </c>
      <c r="H379" s="106" t="inlineStr">
        <is>
          <t>Maio/2026</t>
        </is>
      </c>
    </row>
    <row r="380" hidden="1" ht="14.25" customHeight="1" s="64">
      <c r="A380" s="101" t="inlineStr">
        <is>
          <t>Suporte Orbix</t>
        </is>
      </c>
      <c r="B380" s="101" t="inlineStr">
        <is>
          <t>Custo Fixo</t>
        </is>
      </c>
      <c r="C380" s="101" t="inlineStr">
        <is>
          <t>Água e esgoto (rateio)</t>
        </is>
      </c>
      <c r="D380" s="102" t="n">
        <v>1</v>
      </c>
      <c r="E380" s="103" t="n">
        <v>0</v>
      </c>
      <c r="F380" s="104" t="n">
        <v>0</v>
      </c>
      <c r="G380" s="101">
        <f>INDEX(SETORES!$B:$B,MATCH(A380,SETORES!$A:$A,0))</f>
        <v/>
      </c>
      <c r="H380" s="101" t="inlineStr">
        <is>
          <t>Maio/2026</t>
        </is>
      </c>
    </row>
    <row r="381" hidden="1" ht="14.25" customHeight="1" s="64">
      <c r="A381" s="106" t="inlineStr">
        <is>
          <t>Suporte Orbix</t>
        </is>
      </c>
      <c r="B381" s="106" t="inlineStr">
        <is>
          <t>Custo Fixo</t>
        </is>
      </c>
      <c r="C381" s="106" t="inlineStr">
        <is>
          <t>Telefonia móvel corporativa</t>
        </is>
      </c>
      <c r="D381" s="107" t="n"/>
      <c r="E381" s="108" t="n"/>
      <c r="F381" s="109">
        <f>IFERROR(D381*E381,0)</f>
        <v/>
      </c>
      <c r="G381" s="106">
        <f>INDEX(SETORES!$B:$B,MATCH(A381,SETORES!$A:$A,0))</f>
        <v/>
      </c>
      <c r="H381" s="106" t="inlineStr">
        <is>
          <t>Maio/2026</t>
        </is>
      </c>
    </row>
    <row r="382" hidden="1" ht="14.25" customHeight="1" s="64">
      <c r="A382" s="101" t="inlineStr">
        <is>
          <t>Suporte Orbix</t>
        </is>
      </c>
      <c r="B382" s="101" t="inlineStr">
        <is>
          <t>Custo Fixo</t>
        </is>
      </c>
      <c r="C382" s="101" t="inlineStr">
        <is>
          <t>Folha de pagamento (salários)</t>
        </is>
      </c>
      <c r="D382" s="102" t="n">
        <v>1</v>
      </c>
      <c r="E382" s="103" t="n">
        <v>29920.5</v>
      </c>
      <c r="F382" s="104">
        <f>IFERROR(E382,0)</f>
        <v/>
      </c>
      <c r="G382" s="101">
        <f>INDEX(SETORES!$B:$B,MATCH(A382,SETORES!$A:$A,0))</f>
        <v/>
      </c>
      <c r="H382" s="101" t="inlineStr">
        <is>
          <t>Maio/2026</t>
        </is>
      </c>
    </row>
    <row r="383" hidden="1" ht="14.25" customHeight="1" s="64">
      <c r="A383" s="106" t="inlineStr">
        <is>
          <t>Suporte Orbix</t>
        </is>
      </c>
      <c r="B383" s="106" t="inlineStr">
        <is>
          <t>Custo Fixo</t>
        </is>
      </c>
      <c r="C383" s="106" t="inlineStr">
        <is>
          <t>Licença de e-mail corporativo</t>
        </is>
      </c>
      <c r="D383" s="107" t="n">
        <v>8</v>
      </c>
      <c r="E383" s="108" t="n">
        <v>50</v>
      </c>
      <c r="F383" s="109">
        <f>IFERROR(D383*E383,0)</f>
        <v/>
      </c>
      <c r="G383" s="106">
        <f>INDEX(SETORES!$B:$B,MATCH(A383,SETORES!$A:$A,0))</f>
        <v/>
      </c>
      <c r="H383" s="106" t="inlineStr">
        <is>
          <t>Maio/2026</t>
        </is>
      </c>
    </row>
    <row r="384" hidden="1" ht="14.25" customHeight="1" s="64">
      <c r="A384" s="101" t="inlineStr">
        <is>
          <t>Suporte Orbix</t>
        </is>
      </c>
      <c r="B384" s="101" t="inlineStr">
        <is>
          <t>Custo Fixo</t>
        </is>
      </c>
      <c r="C384" s="101" t="inlineStr">
        <is>
          <t>Suporte técnico - links dedicados (Orbix - operação interna Dtel)</t>
        </is>
      </c>
      <c r="D384" s="102" t="n"/>
      <c r="E384" s="103" t="n"/>
      <c r="F384" s="104">
        <f>IFERROR(D384*E384,0)</f>
        <v/>
      </c>
      <c r="G384" s="101">
        <f>INDEX(SETORES!$B:$B,MATCH(A384,SETORES!$A:$A,0))</f>
        <v/>
      </c>
      <c r="H384" s="101" t="inlineStr">
        <is>
          <t>Maio/2026</t>
        </is>
      </c>
    </row>
    <row r="385" hidden="1" ht="14.25" customHeight="1" s="64">
      <c r="A385" s="106" t="inlineStr">
        <is>
          <t>Suporte Orbix</t>
        </is>
      </c>
      <c r="B385" s="106" t="inlineStr">
        <is>
          <t>Custo Fixo</t>
        </is>
      </c>
      <c r="C385" s="106" t="inlineStr">
        <is>
          <t>Software MATRIX (rateio equipe Relacionamento)</t>
        </is>
      </c>
      <c r="D385" s="107" t="n">
        <v>1</v>
      </c>
      <c r="E385" s="108" t="n">
        <v>412.571637</v>
      </c>
      <c r="F385" s="109">
        <f>IFERROR(D385*E385,0)</f>
        <v/>
      </c>
      <c r="G385" s="106">
        <f>INDEX(SETORES!$B:$B,MATCH(A385,SETORES!$A:$A,0))</f>
        <v/>
      </c>
      <c r="H385" s="106" t="inlineStr">
        <is>
          <t>Maio/2026</t>
        </is>
      </c>
    </row>
    <row r="386" hidden="1" ht="14.25" customHeight="1" s="64">
      <c r="A386" s="101" t="inlineStr">
        <is>
          <t>Suporte Orbix</t>
        </is>
      </c>
      <c r="B386" s="101" t="inlineStr">
        <is>
          <t>Custo Fixo</t>
        </is>
      </c>
      <c r="C386" s="101" t="inlineStr">
        <is>
          <t>Telefonia de entrada Algar</t>
        </is>
      </c>
      <c r="D386" s="102" t="n">
        <v>1</v>
      </c>
      <c r="E386" s="103" t="n">
        <v>1641.85</v>
      </c>
      <c r="F386" s="104">
        <f>IFERROR(D386*E386,0)</f>
        <v/>
      </c>
      <c r="G386" s="101">
        <f>INDEX(SETORES!$B:$B,MATCH(A386,SETORES!$A:$A,0))</f>
        <v/>
      </c>
      <c r="H386" s="101" t="inlineStr">
        <is>
          <t>Maio/2026</t>
        </is>
      </c>
    </row>
    <row r="387" hidden="1" ht="14.25" customHeight="1" s="64">
      <c r="A387" s="106" t="inlineStr">
        <is>
          <t>Suporte Orbix</t>
        </is>
      </c>
      <c r="B387" s="106" t="inlineStr">
        <is>
          <t>Custo Fixo</t>
        </is>
      </c>
      <c r="C387" s="106" t="inlineStr">
        <is>
          <t>Software Dlocal (trafego pago)</t>
        </is>
      </c>
      <c r="D387" s="107" t="n">
        <v>1</v>
      </c>
      <c r="E387" s="108" t="n">
        <v>193.965516</v>
      </c>
      <c r="F387" s="109">
        <f>IFERROR(D387*E387,0)</f>
        <v/>
      </c>
      <c r="G387" s="106">
        <f>INDEX(SETORES!$B:$B,MATCH(A387,SETORES!$A:$A,0))</f>
        <v/>
      </c>
      <c r="H387" s="106" t="inlineStr">
        <is>
          <t>Maio/2026</t>
        </is>
      </c>
    </row>
    <row r="388" hidden="1" ht="14.25" customHeight="1" s="64">
      <c r="A388" s="101" t="inlineStr">
        <is>
          <t>Suporte Orbix</t>
        </is>
      </c>
      <c r="B388" s="101" t="inlineStr">
        <is>
          <t>Custo Fixo</t>
        </is>
      </c>
      <c r="C388" s="101" t="inlineStr">
        <is>
          <t>Software Google brasil (trafego pago)</t>
        </is>
      </c>
      <c r="D388" s="102" t="n">
        <v>1</v>
      </c>
      <c r="E388" s="103" t="n">
        <v>25.861806</v>
      </c>
      <c r="F388" s="104">
        <f>IFERROR(D388*E388,0)</f>
        <v/>
      </c>
      <c r="G388" s="101">
        <f>INDEX(SETORES!$B:$B,MATCH(A388,SETORES!$A:$A,0))</f>
        <v/>
      </c>
      <c r="H388" s="101" t="inlineStr">
        <is>
          <t>Maio/2026</t>
        </is>
      </c>
    </row>
    <row r="389" hidden="1" ht="14.25" customHeight="1" s="64">
      <c r="A389" s="106" t="inlineStr">
        <is>
          <t>Suporte Orbix</t>
        </is>
      </c>
      <c r="B389" s="106" t="inlineStr">
        <is>
          <t>Custo Variável</t>
        </is>
      </c>
      <c r="C389" s="106" t="inlineStr">
        <is>
          <t>Software Lorensi marketing (f000987)</t>
        </is>
      </c>
      <c r="D389" s="107" t="n">
        <v>1</v>
      </c>
      <c r="E389" s="108" t="n">
        <v>71.676468</v>
      </c>
      <c r="F389" s="109">
        <f>IFERROR(D389*E389,0)</f>
        <v/>
      </c>
      <c r="G389" s="106">
        <f>INDEX(SETORES!$B:$B,MATCH(A389,SETORES!$A:$A,0))</f>
        <v/>
      </c>
      <c r="H389" s="106" t="inlineStr">
        <is>
          <t>Maio/2026</t>
        </is>
      </c>
    </row>
    <row r="390" hidden="1" ht="14.25" customHeight="1" s="64">
      <c r="A390" s="101" t="inlineStr">
        <is>
          <t>Suporte Orbix</t>
        </is>
      </c>
      <c r="B390" s="101" t="inlineStr">
        <is>
          <t>Custo Variável</t>
        </is>
      </c>
      <c r="C390" s="101" t="inlineStr">
        <is>
          <t>Disparos feito pela meta</t>
        </is>
      </c>
      <c r="D390" s="102" t="n">
        <v>1</v>
      </c>
      <c r="E390" s="103" t="n">
        <v>242.73</v>
      </c>
      <c r="F390" s="104">
        <f>IFERROR(D390*E390,0)</f>
        <v/>
      </c>
      <c r="G390" s="101">
        <f>INDEX(SETORES!$B:$B,MATCH(A390,SETORES!$A:$A,0))</f>
        <v/>
      </c>
      <c r="H390" s="101" t="inlineStr">
        <is>
          <t>Maio/2026</t>
        </is>
      </c>
    </row>
    <row r="391" hidden="1" ht="14.25" customHeight="1" s="64">
      <c r="A391" s="106" t="inlineStr">
        <is>
          <t>Suporte Orbix</t>
        </is>
      </c>
      <c r="B391" s="106" t="inlineStr">
        <is>
          <t>Custo Fixo</t>
        </is>
      </c>
      <c r="C391" s="106" t="inlineStr">
        <is>
          <t>Vexpenses</t>
        </is>
      </c>
      <c r="D391" s="107" t="n">
        <v>1</v>
      </c>
      <c r="E391" s="108" t="n">
        <v>52</v>
      </c>
      <c r="F391" s="109">
        <f>IFERROR(D391*E391,0)</f>
        <v/>
      </c>
      <c r="G391" s="106">
        <f>INDEX(SETORES!$B:$B,MATCH(A391,SETORES!$A:$A,0))</f>
        <v/>
      </c>
      <c r="H391" s="106" t="inlineStr">
        <is>
          <t>Maio/2026</t>
        </is>
      </c>
    </row>
    <row r="392" hidden="1" ht="14.25" customHeight="1" s="64">
      <c r="A392" s="101" t="inlineStr">
        <is>
          <t>Suporte Orbix</t>
        </is>
      </c>
      <c r="B392" s="101" t="inlineStr">
        <is>
          <t>Custo Variável</t>
        </is>
      </c>
      <c r="C392" s="101" t="inlineStr">
        <is>
          <t>Endomarketing</t>
        </is>
      </c>
      <c r="D392" s="102" t="n">
        <v>1</v>
      </c>
      <c r="E392" s="103" t="n">
        <v>23.5</v>
      </c>
      <c r="F392" s="104">
        <f>IFERROR(D392*E392,0)</f>
        <v/>
      </c>
      <c r="G392" s="101">
        <f>INDEX(SETORES!$B:$B,MATCH(A392,SETORES!$A:$A,0))</f>
        <v/>
      </c>
      <c r="H392" s="101" t="inlineStr">
        <is>
          <t>Maio/2026</t>
        </is>
      </c>
    </row>
    <row r="393" hidden="1" ht="14.25" customHeight="1" s="64">
      <c r="A393" s="106" t="inlineStr">
        <is>
          <t>Suporte Orbix</t>
        </is>
      </c>
      <c r="B393" s="106" t="inlineStr">
        <is>
          <t>Custo Fixo</t>
        </is>
      </c>
      <c r="C393" s="106" t="inlineStr">
        <is>
          <t>Gympass</t>
        </is>
      </c>
      <c r="D393" s="107" t="n">
        <v>9</v>
      </c>
      <c r="E393" s="108" t="n">
        <v>10.05</v>
      </c>
      <c r="F393" s="109">
        <f>IFERROR(D393*E393,0)</f>
        <v/>
      </c>
      <c r="G393" s="106">
        <f>INDEX(SETORES!$B:$B,MATCH(A393,SETORES!$A:$A,0))</f>
        <v/>
      </c>
      <c r="H393" s="106" t="inlineStr">
        <is>
          <t>Maio/2026</t>
        </is>
      </c>
    </row>
    <row r="394" hidden="1" ht="14.25" customHeight="1" s="64">
      <c r="A394" s="101" t="inlineStr">
        <is>
          <t>Suporte Orbix</t>
        </is>
      </c>
      <c r="B394" s="101" t="inlineStr">
        <is>
          <t>Custo Fixo</t>
        </is>
      </c>
      <c r="C394" s="101" t="inlineStr">
        <is>
          <t>Stargrid</t>
        </is>
      </c>
      <c r="D394" s="102" t="n">
        <v>9</v>
      </c>
      <c r="E394" s="103" t="n">
        <v>2.07</v>
      </c>
      <c r="F394" s="104">
        <f>IFERROR(D394*E394,0)</f>
        <v/>
      </c>
      <c r="G394" s="101">
        <f>INDEX(SETORES!$B:$B,MATCH(A394,SETORES!$A:$A,0))</f>
        <v/>
      </c>
      <c r="H394" s="101" t="inlineStr">
        <is>
          <t>Maio/2026</t>
        </is>
      </c>
    </row>
    <row r="395" hidden="1" ht="14.25" customHeight="1" s="64">
      <c r="A395" s="106" t="inlineStr">
        <is>
          <t>Suporte Orbix</t>
        </is>
      </c>
      <c r="B395" s="106" t="inlineStr">
        <is>
          <t>Custo Fixo</t>
        </is>
      </c>
      <c r="C395" s="106" t="inlineStr">
        <is>
          <t>Despesas com SST</t>
        </is>
      </c>
      <c r="D395" s="107" t="n">
        <v>9</v>
      </c>
      <c r="E395" s="108" t="n">
        <v>64.56999999999999</v>
      </c>
      <c r="F395" s="109">
        <f>IFERROR(D395*E395,0)</f>
        <v/>
      </c>
      <c r="G395" s="106">
        <f>INDEX(SETORES!$B:$B,MATCH(A395,SETORES!$A:$A,0))</f>
        <v/>
      </c>
      <c r="H395" s="106" t="inlineStr">
        <is>
          <t>Maio/2026</t>
        </is>
      </c>
    </row>
    <row r="396" hidden="1" ht="14.25" customHeight="1" s="64">
      <c r="A396" s="101" t="inlineStr">
        <is>
          <t>Suporte Orbix</t>
        </is>
      </c>
      <c r="B396" s="101" t="inlineStr">
        <is>
          <t>Custo Fixo</t>
        </is>
      </c>
      <c r="C396" s="101" t="inlineStr">
        <is>
          <t>Despesas com RH</t>
        </is>
      </c>
      <c r="D396" s="102" t="n">
        <v>9</v>
      </c>
      <c r="E396" s="103" t="n">
        <v>28.31</v>
      </c>
      <c r="F396" s="104">
        <f>IFERROR(D396*E396,0)</f>
        <v/>
      </c>
      <c r="G396" s="101">
        <f>INDEX(SETORES!$B:$B,MATCH(A396,SETORES!$A:$A,0))</f>
        <v/>
      </c>
      <c r="H396" s="101" t="inlineStr">
        <is>
          <t>Maio/2026</t>
        </is>
      </c>
    </row>
    <row r="397" hidden="1" ht="14.25" customHeight="1" s="64">
      <c r="A397" s="106" t="inlineStr">
        <is>
          <t>Suporte Orbix</t>
        </is>
      </c>
      <c r="B397" s="106" t="inlineStr">
        <is>
          <t>Custo Fixo</t>
        </is>
      </c>
      <c r="C397" s="106" t="inlineStr">
        <is>
          <t>Despesas com DP</t>
        </is>
      </c>
      <c r="D397" s="107" t="n">
        <v>9</v>
      </c>
      <c r="E397" s="108" t="n">
        <v>47.79</v>
      </c>
      <c r="F397" s="109">
        <f>IFERROR(D397*E397,0)</f>
        <v/>
      </c>
      <c r="G397" s="106">
        <f>INDEX(SETORES!$B:$B,MATCH(A397,SETORES!$A:$A,0))</f>
        <v/>
      </c>
      <c r="H397" s="106" t="inlineStr">
        <is>
          <t>Maio/2026</t>
        </is>
      </c>
    </row>
    <row r="398" hidden="1" ht="14.25" customHeight="1" s="64">
      <c r="A398" s="101" t="inlineStr">
        <is>
          <t>Suporte da Central</t>
        </is>
      </c>
      <c r="B398" s="101" t="inlineStr">
        <is>
          <t>Custo Fixo</t>
        </is>
      </c>
      <c r="C398" s="101" t="inlineStr">
        <is>
          <t>Material de escritório (suprimentos de informática)</t>
        </is>
      </c>
      <c r="D398" s="102" t="n">
        <v>31</v>
      </c>
      <c r="E398" s="103" t="n">
        <v>0.3648</v>
      </c>
      <c r="F398" s="104" t="n">
        <v>11.3088</v>
      </c>
      <c r="G398" s="101">
        <f>INDEX(SETORES!$B:$B,MATCH(A398,SETORES!$A:$A,0))</f>
        <v/>
      </c>
      <c r="H398" s="101" t="inlineStr">
        <is>
          <t>Maio/2026</t>
        </is>
      </c>
    </row>
    <row r="399" hidden="1" ht="14.25" customHeight="1" s="64">
      <c r="A399" s="106" t="inlineStr">
        <is>
          <t>Suporte da Central</t>
        </is>
      </c>
      <c r="B399" s="106" t="inlineStr">
        <is>
          <t>Custo Fixo</t>
        </is>
      </c>
      <c r="C399" s="106" t="inlineStr">
        <is>
          <t>Material de uso coletivo (copa/limpeza)</t>
        </is>
      </c>
      <c r="D399" s="107" t="n">
        <v>1</v>
      </c>
      <c r="E399" s="108" t="n">
        <v>877.241207</v>
      </c>
      <c r="F399" s="109" t="n">
        <v>877.241207</v>
      </c>
      <c r="G399" s="106">
        <f>INDEX(SETORES!$B:$B,MATCH(A399,SETORES!$A:$A,0))</f>
        <v/>
      </c>
      <c r="H399" s="106" t="inlineStr">
        <is>
          <t>Maio/2026</t>
        </is>
      </c>
    </row>
    <row r="400" hidden="1" ht="14.25" customHeight="1" s="64">
      <c r="A400" s="101" t="inlineStr">
        <is>
          <t>Suporte da Central</t>
        </is>
      </c>
      <c r="B400" s="101" t="inlineStr">
        <is>
          <t>Custo Fixo</t>
        </is>
      </c>
      <c r="C400" s="101" t="inlineStr">
        <is>
          <t>Energia elétrica (rateio)</t>
        </is>
      </c>
      <c r="D400" s="102" t="n">
        <v>1</v>
      </c>
      <c r="E400" s="103" t="n">
        <v>263.8346</v>
      </c>
      <c r="F400" s="104" t="n">
        <v>263.8346</v>
      </c>
      <c r="G400" s="101">
        <f>INDEX(SETORES!$B:$B,MATCH(A400,SETORES!$A:$A,0))</f>
        <v/>
      </c>
      <c r="H400" s="101" t="inlineStr">
        <is>
          <t>Maio/2026</t>
        </is>
      </c>
    </row>
    <row r="401" hidden="1" ht="14.25" customHeight="1" s="64">
      <c r="A401" s="106" t="inlineStr">
        <is>
          <t>Suporte da Central</t>
        </is>
      </c>
      <c r="B401" s="106" t="inlineStr">
        <is>
          <t>Custo Fixo</t>
        </is>
      </c>
      <c r="C401" s="106" t="inlineStr">
        <is>
          <t>Água e esgoto (rateio)</t>
        </is>
      </c>
      <c r="D401" s="107" t="n">
        <v>1</v>
      </c>
      <c r="E401" s="108" t="n">
        <v>0</v>
      </c>
      <c r="F401" s="109" t="n">
        <v>0</v>
      </c>
      <c r="G401" s="106">
        <f>INDEX(SETORES!$B:$B,MATCH(A401,SETORES!$A:$A,0))</f>
        <v/>
      </c>
      <c r="H401" s="106" t="inlineStr">
        <is>
          <t>Maio/2026</t>
        </is>
      </c>
    </row>
    <row r="402" hidden="1" ht="14.25" customHeight="1" s="64">
      <c r="A402" s="101" t="inlineStr">
        <is>
          <t>Suporte da Central</t>
        </is>
      </c>
      <c r="B402" s="101" t="inlineStr">
        <is>
          <t>Custo Fixo</t>
        </is>
      </c>
      <c r="C402" s="101" t="inlineStr">
        <is>
          <t>Telefonia móvel corporativa</t>
        </is>
      </c>
      <c r="D402" s="102" t="n"/>
      <c r="E402" s="103" t="n"/>
      <c r="F402" s="104">
        <f>IFERROR(D402*E402,0)</f>
        <v/>
      </c>
      <c r="G402" s="101">
        <f>INDEX(SETORES!$B:$B,MATCH(A402,SETORES!$A:$A,0))</f>
        <v/>
      </c>
      <c r="H402" s="101" t="inlineStr">
        <is>
          <t>Maio/2026</t>
        </is>
      </c>
    </row>
    <row r="403" hidden="1" ht="14.25" customHeight="1" s="64">
      <c r="A403" s="106" t="inlineStr">
        <is>
          <t>Suporte da Central</t>
        </is>
      </c>
      <c r="B403" s="106" t="inlineStr">
        <is>
          <t>Custo Fixo</t>
        </is>
      </c>
      <c r="C403" s="106" t="inlineStr">
        <is>
          <t>Folha de pagamento (salários)</t>
        </is>
      </c>
      <c r="D403" s="107" t="n">
        <v>1</v>
      </c>
      <c r="E403" s="108" t="n">
        <v>92773.57000000001</v>
      </c>
      <c r="F403" s="109">
        <f>IFERROR(E403,0)</f>
        <v/>
      </c>
      <c r="G403" s="106">
        <f>INDEX(SETORES!$B:$B,MATCH(A403,SETORES!$A:$A,0))</f>
        <v/>
      </c>
      <c r="H403" s="106" t="inlineStr">
        <is>
          <t>Maio/2026</t>
        </is>
      </c>
    </row>
    <row r="404" hidden="1" ht="14.25" customHeight="1" s="64">
      <c r="A404" s="101" t="inlineStr">
        <is>
          <t>Suporte da Central</t>
        </is>
      </c>
      <c r="B404" s="101" t="inlineStr">
        <is>
          <t>Custo Fixo</t>
        </is>
      </c>
      <c r="C404" s="101" t="inlineStr">
        <is>
          <t>Licença de e-mail corporativo</t>
        </is>
      </c>
      <c r="D404" s="102" t="n">
        <v>31</v>
      </c>
      <c r="E404" s="103" t="n"/>
      <c r="F404" s="104">
        <f>IFERROR(D404*E404,0)</f>
        <v/>
      </c>
      <c r="G404" s="101">
        <f>INDEX(SETORES!$B:$B,MATCH(A404,SETORES!$A:$A,0))</f>
        <v/>
      </c>
      <c r="H404" s="101" t="inlineStr">
        <is>
          <t>Maio/2026</t>
        </is>
      </c>
    </row>
    <row r="405" hidden="1" ht="14.25" customHeight="1" s="64">
      <c r="A405" s="106" t="inlineStr">
        <is>
          <t>Suporte da Central</t>
        </is>
      </c>
      <c r="B405" s="106" t="inlineStr">
        <is>
          <t>Custo Fixo</t>
        </is>
      </c>
      <c r="C405" s="106" t="inlineStr">
        <is>
          <t>Software MATRIX (rateio equipe Relacionamento)</t>
        </is>
      </c>
      <c r="D405" s="107" t="n">
        <v>1</v>
      </c>
      <c r="E405" s="108" t="n">
        <v>1421.080083</v>
      </c>
      <c r="F405" s="109">
        <f>IFERROR(D405*E405,0)</f>
        <v/>
      </c>
      <c r="G405" s="106">
        <f>INDEX(SETORES!$B:$B,MATCH(A405,SETORES!$A:$A,0))</f>
        <v/>
      </c>
      <c r="H405" s="106" t="inlineStr">
        <is>
          <t>Maio/2026</t>
        </is>
      </c>
    </row>
    <row r="406" hidden="1" ht="14.25" customHeight="1" s="64">
      <c r="A406" s="101" t="inlineStr">
        <is>
          <t>Suporte da Central</t>
        </is>
      </c>
      <c r="B406" s="101" t="inlineStr">
        <is>
          <t>Custo Fixo</t>
        </is>
      </c>
      <c r="C406" s="101" t="inlineStr">
        <is>
          <t>Telefonia de entrada Algar</t>
        </is>
      </c>
      <c r="D406" s="102" t="n">
        <v>1</v>
      </c>
      <c r="E406" s="103" t="n">
        <v>1641.85</v>
      </c>
      <c r="F406" s="104">
        <f>IFERROR(D406*E406,0)</f>
        <v/>
      </c>
      <c r="G406" s="101">
        <f>INDEX(SETORES!$B:$B,MATCH(A406,SETORES!$A:$A,0))</f>
        <v/>
      </c>
      <c r="H406" s="101" t="inlineStr">
        <is>
          <t>Maio/2026</t>
        </is>
      </c>
    </row>
    <row r="407" hidden="1" ht="14.25" customHeight="1" s="64">
      <c r="A407" s="106" t="inlineStr">
        <is>
          <t>Suporte da Central</t>
        </is>
      </c>
      <c r="B407" s="106" t="inlineStr">
        <is>
          <t>Custo Fixo</t>
        </is>
      </c>
      <c r="C407" s="106" t="inlineStr">
        <is>
          <t>Software Dlocal (trafego pago)</t>
        </is>
      </c>
      <c r="D407" s="107" t="n">
        <v>1</v>
      </c>
      <c r="E407" s="108" t="n">
        <v>668.103444</v>
      </c>
      <c r="F407" s="109">
        <f>IFERROR(D407*E407,0)</f>
        <v/>
      </c>
      <c r="G407" s="106">
        <f>INDEX(SETORES!$B:$B,MATCH(A407,SETORES!$A:$A,0))</f>
        <v/>
      </c>
      <c r="H407" s="106" t="inlineStr">
        <is>
          <t>Maio/2026</t>
        </is>
      </c>
    </row>
    <row r="408" hidden="1" ht="14.25" customHeight="1" s="64">
      <c r="A408" s="101" t="inlineStr">
        <is>
          <t>Suporte da Central</t>
        </is>
      </c>
      <c r="B408" s="101" t="inlineStr">
        <is>
          <t>Custo Fixo</t>
        </is>
      </c>
      <c r="C408" s="101" t="inlineStr">
        <is>
          <t>Software Google brasil (trafego pago)</t>
        </is>
      </c>
      <c r="D408" s="102" t="n">
        <v>1</v>
      </c>
      <c r="E408" s="103" t="n">
        <v>89.079554</v>
      </c>
      <c r="F408" s="104">
        <f>IFERROR(D408*E408,0)</f>
        <v/>
      </c>
      <c r="G408" s="101">
        <f>INDEX(SETORES!$B:$B,MATCH(A408,SETORES!$A:$A,0))</f>
        <v/>
      </c>
      <c r="H408" s="101" t="inlineStr">
        <is>
          <t>Maio/2026</t>
        </is>
      </c>
    </row>
    <row r="409" hidden="1" ht="14.25" customHeight="1" s="64">
      <c r="A409" s="106" t="inlineStr">
        <is>
          <t>Suporte da Central</t>
        </is>
      </c>
      <c r="B409" s="106" t="inlineStr">
        <is>
          <t>Custo Variável</t>
        </is>
      </c>
      <c r="C409" s="106" t="inlineStr">
        <is>
          <t>Software Lorensi marketing (f000987)</t>
        </is>
      </c>
      <c r="D409" s="107" t="n">
        <v>1</v>
      </c>
      <c r="E409" s="108" t="n">
        <v>246.885612</v>
      </c>
      <c r="F409" s="109">
        <f>IFERROR(D409*E409,0)</f>
        <v/>
      </c>
      <c r="G409" s="106">
        <f>INDEX(SETORES!$B:$B,MATCH(A409,SETORES!$A:$A,0))</f>
        <v/>
      </c>
      <c r="H409" s="106" t="inlineStr">
        <is>
          <t>Maio/2026</t>
        </is>
      </c>
    </row>
    <row r="410" hidden="1" ht="14.25" customHeight="1" s="64">
      <c r="A410" s="101" t="inlineStr">
        <is>
          <t>Suporte da Central</t>
        </is>
      </c>
      <c r="B410" s="101" t="inlineStr">
        <is>
          <t>Custo Variável</t>
        </is>
      </c>
      <c r="C410" s="101" t="inlineStr">
        <is>
          <t>Disparos feito pela meta</t>
        </is>
      </c>
      <c r="D410" s="102" t="n">
        <v>1</v>
      </c>
      <c r="E410" s="103" t="n">
        <v>242.73</v>
      </c>
      <c r="F410" s="104">
        <f>IFERROR(D410*E410,0)</f>
        <v/>
      </c>
      <c r="G410" s="101">
        <f>INDEX(SETORES!$B:$B,MATCH(A410,SETORES!$A:$A,0))</f>
        <v/>
      </c>
      <c r="H410" s="101" t="inlineStr">
        <is>
          <t>Maio/2026</t>
        </is>
      </c>
    </row>
    <row r="411" hidden="1" ht="14.25" customHeight="1" s="64">
      <c r="A411" s="106" t="inlineStr">
        <is>
          <t>Suporte da Central</t>
        </is>
      </c>
      <c r="B411" s="106" t="inlineStr">
        <is>
          <t>Custo Fixo</t>
        </is>
      </c>
      <c r="C411" s="106" t="inlineStr">
        <is>
          <t>Vexpenses</t>
        </is>
      </c>
      <c r="D411" s="107" t="n">
        <v>1</v>
      </c>
      <c r="E411" s="108" t="n">
        <v>52</v>
      </c>
      <c r="F411" s="109">
        <f>IFERROR(D411*E411,0)</f>
        <v/>
      </c>
      <c r="G411" s="106">
        <f>INDEX(SETORES!$B:$B,MATCH(A411,SETORES!$A:$A,0))</f>
        <v/>
      </c>
      <c r="H411" s="106" t="inlineStr">
        <is>
          <t>Maio/2026</t>
        </is>
      </c>
    </row>
    <row r="412" hidden="1" ht="14.25" customHeight="1" s="64">
      <c r="A412" s="101" t="inlineStr">
        <is>
          <t>Suporte da Central</t>
        </is>
      </c>
      <c r="B412" s="101" t="inlineStr">
        <is>
          <t>Custo Variável</t>
        </is>
      </c>
      <c r="C412" s="101" t="inlineStr">
        <is>
          <t>Endomarketing</t>
        </is>
      </c>
      <c r="D412" s="102" t="n">
        <v>1</v>
      </c>
      <c r="E412" s="103" t="n">
        <v>23.5</v>
      </c>
      <c r="F412" s="104">
        <f>IFERROR(D412*E412,0)</f>
        <v/>
      </c>
      <c r="G412" s="101">
        <f>INDEX(SETORES!$B:$B,MATCH(A412,SETORES!$A:$A,0))</f>
        <v/>
      </c>
      <c r="H412" s="101" t="inlineStr">
        <is>
          <t>Maio/2026</t>
        </is>
      </c>
    </row>
    <row r="413" hidden="1" ht="14.25" customHeight="1" s="64">
      <c r="A413" s="106" t="inlineStr">
        <is>
          <t>Suporte da Central</t>
        </is>
      </c>
      <c r="B413" s="106" t="inlineStr">
        <is>
          <t>Custo Fixo</t>
        </is>
      </c>
      <c r="C413" s="106" t="inlineStr">
        <is>
          <t>Gympass</t>
        </is>
      </c>
      <c r="D413" s="107" t="n">
        <v>31</v>
      </c>
      <c r="E413" s="108" t="n">
        <v>10.05</v>
      </c>
      <c r="F413" s="109">
        <f>IFERROR(D413*E413,0)</f>
        <v/>
      </c>
      <c r="G413" s="106">
        <f>INDEX(SETORES!$B:$B,MATCH(A413,SETORES!$A:$A,0))</f>
        <v/>
      </c>
      <c r="H413" s="106" t="inlineStr">
        <is>
          <t>Maio/2026</t>
        </is>
      </c>
    </row>
    <row r="414" hidden="1" ht="14.25" customHeight="1" s="64">
      <c r="A414" s="101" t="inlineStr">
        <is>
          <t>Suporte da Central</t>
        </is>
      </c>
      <c r="B414" s="101" t="inlineStr">
        <is>
          <t>Custo Fixo</t>
        </is>
      </c>
      <c r="C414" s="101" t="inlineStr">
        <is>
          <t>Stargrid</t>
        </is>
      </c>
      <c r="D414" s="102" t="n">
        <v>31</v>
      </c>
      <c r="E414" s="103" t="n">
        <v>2.07</v>
      </c>
      <c r="F414" s="104">
        <f>IFERROR(D414*E414,0)</f>
        <v/>
      </c>
      <c r="G414" s="101">
        <f>INDEX(SETORES!$B:$B,MATCH(A414,SETORES!$A:$A,0))</f>
        <v/>
      </c>
      <c r="H414" s="101" t="inlineStr">
        <is>
          <t>Maio/2026</t>
        </is>
      </c>
    </row>
    <row r="415" hidden="1" ht="14.25" customHeight="1" s="64">
      <c r="A415" s="106" t="inlineStr">
        <is>
          <t>Suporte da Central</t>
        </is>
      </c>
      <c r="B415" s="106" t="inlineStr">
        <is>
          <t>Custo Fixo</t>
        </is>
      </c>
      <c r="C415" s="106" t="inlineStr">
        <is>
          <t>Despesas com SST</t>
        </is>
      </c>
      <c r="D415" s="107" t="n">
        <v>31</v>
      </c>
      <c r="E415" s="108" t="n">
        <v>64.56999999999999</v>
      </c>
      <c r="F415" s="109">
        <f>IFERROR(D415*E415,0)</f>
        <v/>
      </c>
      <c r="G415" s="106">
        <f>INDEX(SETORES!$B:$B,MATCH(A415,SETORES!$A:$A,0))</f>
        <v/>
      </c>
      <c r="H415" s="106" t="inlineStr">
        <is>
          <t>Maio/2026</t>
        </is>
      </c>
    </row>
    <row r="416" hidden="1" ht="14.25" customHeight="1" s="64">
      <c r="A416" s="101" t="inlineStr">
        <is>
          <t>Suporte da Central</t>
        </is>
      </c>
      <c r="B416" s="101" t="inlineStr">
        <is>
          <t>Custo Fixo</t>
        </is>
      </c>
      <c r="C416" s="101" t="inlineStr">
        <is>
          <t>Despesas com RH</t>
        </is>
      </c>
      <c r="D416" s="102" t="n">
        <v>31</v>
      </c>
      <c r="E416" s="103" t="n">
        <v>28.31</v>
      </c>
      <c r="F416" s="104">
        <f>IFERROR(D416*E416,0)</f>
        <v/>
      </c>
      <c r="G416" s="101">
        <f>INDEX(SETORES!$B:$B,MATCH(A416,SETORES!$A:$A,0))</f>
        <v/>
      </c>
      <c r="H416" s="101" t="inlineStr">
        <is>
          <t>Maio/2026</t>
        </is>
      </c>
    </row>
    <row r="417" hidden="1" ht="14.25" customHeight="1" s="64">
      <c r="A417" s="106" t="inlineStr">
        <is>
          <t>Suporte da Central</t>
        </is>
      </c>
      <c r="B417" s="106" t="inlineStr">
        <is>
          <t>Custo Fixo</t>
        </is>
      </c>
      <c r="C417" s="106" t="inlineStr">
        <is>
          <t>Despesas com DP</t>
        </is>
      </c>
      <c r="D417" s="107" t="n">
        <v>31</v>
      </c>
      <c r="E417" s="108" t="n">
        <v>47.79</v>
      </c>
      <c r="F417" s="109">
        <f>IFERROR(D417*E417,0)</f>
        <v/>
      </c>
      <c r="G417" s="106">
        <f>INDEX(SETORES!$B:$B,MATCH(A417,SETORES!$A:$A,0))</f>
        <v/>
      </c>
      <c r="H417" s="106" t="inlineStr">
        <is>
          <t>Maio/2026</t>
        </is>
      </c>
    </row>
    <row r="418" hidden="1" ht="14.25" customHeight="1" s="64">
      <c r="A418" s="101" t="inlineStr">
        <is>
          <t>Televendas</t>
        </is>
      </c>
      <c r="B418" s="101" t="inlineStr">
        <is>
          <t>Custo Fixo</t>
        </is>
      </c>
      <c r="C418" s="101" t="inlineStr">
        <is>
          <t>Material de escritório (suprimentos de informática)</t>
        </is>
      </c>
      <c r="D418" s="102" t="n">
        <v>13</v>
      </c>
      <c r="E418" s="103" t="n">
        <v>0.3648</v>
      </c>
      <c r="F418" s="104" t="n">
        <v>4.7424</v>
      </c>
      <c r="G418" s="101">
        <f>INDEX(SETORES!$B:$B,MATCH(A418,SETORES!$A:$A,0))</f>
        <v/>
      </c>
      <c r="H418" s="101" t="inlineStr">
        <is>
          <t>Maio/2026</t>
        </is>
      </c>
    </row>
    <row r="419" hidden="1" ht="14.25" customHeight="1" s="64">
      <c r="A419" s="106" t="inlineStr">
        <is>
          <t>Televendas</t>
        </is>
      </c>
      <c r="B419" s="106" t="inlineStr">
        <is>
          <t>Custo Fixo</t>
        </is>
      </c>
      <c r="C419" s="106" t="inlineStr">
        <is>
          <t>Material de uso coletivo (copa/limpeza)</t>
        </is>
      </c>
      <c r="D419" s="107" t="n">
        <v>1</v>
      </c>
      <c r="E419" s="108" t="n">
        <v>367.875345</v>
      </c>
      <c r="F419" s="109" t="n">
        <v>367.875345</v>
      </c>
      <c r="G419" s="106">
        <f>INDEX(SETORES!$B:$B,MATCH(A419,SETORES!$A:$A,0))</f>
        <v/>
      </c>
      <c r="H419" s="106" t="inlineStr">
        <is>
          <t>Maio/2026</t>
        </is>
      </c>
    </row>
    <row r="420" hidden="1" ht="14.25" customHeight="1" s="64">
      <c r="A420" s="101" t="inlineStr">
        <is>
          <t>Televendas</t>
        </is>
      </c>
      <c r="B420" s="101" t="inlineStr">
        <is>
          <t>Custo Fixo</t>
        </is>
      </c>
      <c r="C420" s="101" t="inlineStr">
        <is>
          <t>Energia elétrica (rateio)</t>
        </is>
      </c>
      <c r="D420" s="102" t="n">
        <v>1</v>
      </c>
      <c r="E420" s="103" t="n">
        <v>110.6403</v>
      </c>
      <c r="F420" s="104" t="n">
        <v>110.6403</v>
      </c>
      <c r="G420" s="101">
        <f>INDEX(SETORES!$B:$B,MATCH(A420,SETORES!$A:$A,0))</f>
        <v/>
      </c>
      <c r="H420" s="101" t="inlineStr">
        <is>
          <t>Maio/2026</t>
        </is>
      </c>
    </row>
    <row r="421" hidden="1" ht="14.25" customHeight="1" s="64">
      <c r="A421" s="106" t="inlineStr">
        <is>
          <t>Televendas</t>
        </is>
      </c>
      <c r="B421" s="106" t="inlineStr">
        <is>
          <t>Custo Fixo</t>
        </is>
      </c>
      <c r="C421" s="106" t="inlineStr">
        <is>
          <t>Água e esgoto (rateio)</t>
        </is>
      </c>
      <c r="D421" s="107" t="n">
        <v>1</v>
      </c>
      <c r="E421" s="108" t="n">
        <v>0</v>
      </c>
      <c r="F421" s="109" t="n">
        <v>0</v>
      </c>
      <c r="G421" s="106">
        <f>INDEX(SETORES!$B:$B,MATCH(A421,SETORES!$A:$A,0))</f>
        <v/>
      </c>
      <c r="H421" s="106" t="inlineStr">
        <is>
          <t>Maio/2026</t>
        </is>
      </c>
    </row>
    <row r="422" hidden="1" ht="14.25" customHeight="1" s="64">
      <c r="A422" s="101" t="inlineStr">
        <is>
          <t>Televendas</t>
        </is>
      </c>
      <c r="B422" s="101" t="inlineStr">
        <is>
          <t>Custo Fixo</t>
        </is>
      </c>
      <c r="C422" s="101" t="inlineStr">
        <is>
          <t>Telefonia móvel corporativa</t>
        </is>
      </c>
      <c r="D422" s="102" t="n"/>
      <c r="E422" s="103" t="n"/>
      <c r="F422" s="104">
        <f>IFERROR(D422*E422,0)</f>
        <v/>
      </c>
      <c r="G422" s="101">
        <f>INDEX(SETORES!$B:$B,MATCH(A422,SETORES!$A:$A,0))</f>
        <v/>
      </c>
      <c r="H422" s="101" t="inlineStr">
        <is>
          <t>Maio/2026</t>
        </is>
      </c>
    </row>
    <row r="423" hidden="1" ht="14.25" customHeight="1" s="64">
      <c r="A423" s="106" t="inlineStr">
        <is>
          <t>Televendas</t>
        </is>
      </c>
      <c r="B423" s="106" t="inlineStr">
        <is>
          <t>Custo Fixo</t>
        </is>
      </c>
      <c r="C423" s="106" t="inlineStr">
        <is>
          <t>Folha de pagamento (salários)</t>
        </is>
      </c>
      <c r="D423" s="107" t="n">
        <v>1</v>
      </c>
      <c r="E423" s="108" t="n">
        <v>56398.2299555556</v>
      </c>
      <c r="F423" s="109" t="n">
        <v>56398.2299555556</v>
      </c>
      <c r="G423" s="106">
        <f>INDEX(SETORES!$B:$B,MATCH(A423,SETORES!$A:$A,0))</f>
        <v/>
      </c>
      <c r="H423" s="106" t="inlineStr">
        <is>
          <t>Maio/2026</t>
        </is>
      </c>
    </row>
    <row r="424" hidden="1" ht="14.25" customHeight="1" s="64">
      <c r="A424" s="101" t="inlineStr">
        <is>
          <t>Televendas</t>
        </is>
      </c>
      <c r="B424" s="101" t="inlineStr">
        <is>
          <t>Custo Fixo</t>
        </is>
      </c>
      <c r="C424" s="101" t="inlineStr">
        <is>
          <t>Licença de e-mail corporativo</t>
        </is>
      </c>
      <c r="D424" s="102" t="n">
        <v>14</v>
      </c>
      <c r="E424" s="103" t="n">
        <v>50</v>
      </c>
      <c r="F424" s="104">
        <f>IFERROR(D424*E424,0)</f>
        <v/>
      </c>
      <c r="G424" s="101">
        <f>INDEX(SETORES!$B:$B,MATCH(A424,SETORES!$A:$A,0))</f>
        <v/>
      </c>
      <c r="H424" s="101" t="inlineStr">
        <is>
          <t>Maio/2026</t>
        </is>
      </c>
    </row>
    <row r="425" hidden="1" ht="14.25" customHeight="1" s="64">
      <c r="A425" s="106" t="inlineStr">
        <is>
          <t>Televendas</t>
        </is>
      </c>
      <c r="B425" s="106" t="inlineStr">
        <is>
          <t>Custo Variável</t>
        </is>
      </c>
      <c r="C425" s="106" t="inlineStr">
        <is>
          <t>Televendas - comissão/incentivo</t>
        </is>
      </c>
      <c r="D425" s="107" t="n"/>
      <c r="E425" s="108" t="n"/>
      <c r="F425" s="109">
        <f>IFERROR(D425*E425,0)</f>
        <v/>
      </c>
      <c r="G425" s="106">
        <f>INDEX(SETORES!$B:$B,MATCH(A425,SETORES!$A:$A,0))</f>
        <v/>
      </c>
      <c r="H425" s="106" t="inlineStr">
        <is>
          <t>Maio/2026</t>
        </is>
      </c>
    </row>
    <row r="426" hidden="1" ht="14.25" customHeight="1" s="64">
      <c r="A426" s="101" t="inlineStr">
        <is>
          <t>Televendas</t>
        </is>
      </c>
      <c r="B426" s="101" t="inlineStr">
        <is>
          <t>Custo Fixo</t>
        </is>
      </c>
      <c r="C426" s="101" t="inlineStr">
        <is>
          <t>Software MATRIX (f000892)</t>
        </is>
      </c>
      <c r="D426" s="102" t="n">
        <v>1</v>
      </c>
      <c r="E426" s="103" t="n">
        <v>595.936809</v>
      </c>
      <c r="F426" s="104">
        <f>IFERROR(D426*E426,0)</f>
        <v/>
      </c>
      <c r="G426" s="101">
        <f>INDEX(SETORES!$B:$B,MATCH(A426,SETORES!$A:$A,0))</f>
        <v/>
      </c>
      <c r="H426" s="101" t="inlineStr">
        <is>
          <t>Maio/2026</t>
        </is>
      </c>
    </row>
    <row r="427" hidden="1" ht="14.25" customHeight="1" s="64">
      <c r="A427" s="106" t="inlineStr">
        <is>
          <t>Televendas</t>
        </is>
      </c>
      <c r="B427" s="106" t="inlineStr">
        <is>
          <t>Custo Fixo</t>
        </is>
      </c>
      <c r="C427" s="106" t="inlineStr">
        <is>
          <t>Telefonia de entrada Algar</t>
        </is>
      </c>
      <c r="D427" s="107" t="n">
        <v>1</v>
      </c>
      <c r="E427" s="108" t="n">
        <v>1641.85</v>
      </c>
      <c r="F427" s="109">
        <f>IFERROR(D427*E427,0)</f>
        <v/>
      </c>
      <c r="G427" s="106">
        <f>INDEX(SETORES!$B:$B,MATCH(A427,SETORES!$A:$A,0))</f>
        <v/>
      </c>
      <c r="H427" s="106" t="inlineStr">
        <is>
          <t>Maio/2026</t>
        </is>
      </c>
    </row>
    <row r="428" hidden="1" ht="14.25" customHeight="1" s="64">
      <c r="A428" s="101" t="inlineStr">
        <is>
          <t>Televendas</t>
        </is>
      </c>
      <c r="B428" s="101" t="inlineStr">
        <is>
          <t>Custo Fixo</t>
        </is>
      </c>
      <c r="C428" s="101" t="inlineStr">
        <is>
          <t>Software Dlocal (trafego pago)</t>
        </is>
      </c>
      <c r="D428" s="102" t="n">
        <v>1</v>
      </c>
      <c r="E428" s="103" t="n">
        <v>280.172412</v>
      </c>
      <c r="F428" s="104">
        <f>IFERROR(D428*E428,0)</f>
        <v/>
      </c>
      <c r="G428" s="101">
        <f>INDEX(SETORES!$B:$B,MATCH(A428,SETORES!$A:$A,0))</f>
        <v/>
      </c>
      <c r="H428" s="101" t="inlineStr">
        <is>
          <t>Maio/2026</t>
        </is>
      </c>
    </row>
    <row r="429" hidden="1" ht="14.25" customHeight="1" s="64">
      <c r="A429" s="106" t="inlineStr">
        <is>
          <t>Televendas</t>
        </is>
      </c>
      <c r="B429" s="106" t="inlineStr">
        <is>
          <t>Custo Fixo</t>
        </is>
      </c>
      <c r="C429" s="106" t="inlineStr">
        <is>
          <t>Software Google brasil (trafego pago)</t>
        </is>
      </c>
      <c r="D429" s="107" t="n">
        <v>1</v>
      </c>
      <c r="E429" s="108" t="n">
        <v>37.355942</v>
      </c>
      <c r="F429" s="109">
        <f>IFERROR(D429*E429,0)</f>
        <v/>
      </c>
      <c r="G429" s="106">
        <f>INDEX(SETORES!$B:$B,MATCH(A429,SETORES!$A:$A,0))</f>
        <v/>
      </c>
      <c r="H429" s="106" t="inlineStr">
        <is>
          <t>Maio/2026</t>
        </is>
      </c>
    </row>
    <row r="430" hidden="1" ht="14.25" customHeight="1" s="64">
      <c r="A430" s="101" t="inlineStr">
        <is>
          <t>Televendas</t>
        </is>
      </c>
      <c r="B430" s="101" t="inlineStr">
        <is>
          <t>Custo Variável</t>
        </is>
      </c>
      <c r="C430" s="101" t="inlineStr">
        <is>
          <t>Software Lorensi marketing (f000987)</t>
        </is>
      </c>
      <c r="D430" s="102" t="n">
        <v>1</v>
      </c>
      <c r="E430" s="103" t="n">
        <v>103.532676</v>
      </c>
      <c r="F430" s="104">
        <f>IFERROR(D430*E430,0)</f>
        <v/>
      </c>
      <c r="G430" s="101">
        <f>INDEX(SETORES!$B:$B,MATCH(A430,SETORES!$A:$A,0))</f>
        <v/>
      </c>
      <c r="H430" s="101" t="inlineStr">
        <is>
          <t>Maio/2026</t>
        </is>
      </c>
    </row>
    <row r="431" hidden="1" ht="14.25" customHeight="1" s="64">
      <c r="A431" s="106" t="inlineStr">
        <is>
          <t>Televendas</t>
        </is>
      </c>
      <c r="B431" s="106" t="inlineStr">
        <is>
          <t>Custo Variável</t>
        </is>
      </c>
      <c r="C431" s="106" t="inlineStr">
        <is>
          <t>Disparos feito pela meta</t>
        </is>
      </c>
      <c r="D431" s="107" t="n">
        <v>1</v>
      </c>
      <c r="E431" s="108" t="n">
        <v>242.73</v>
      </c>
      <c r="F431" s="109">
        <f>IFERROR(D431*E431,0)</f>
        <v/>
      </c>
      <c r="G431" s="106">
        <f>INDEX(SETORES!$B:$B,MATCH(A431,SETORES!$A:$A,0))</f>
        <v/>
      </c>
      <c r="H431" s="106" t="inlineStr">
        <is>
          <t>Maio/2026</t>
        </is>
      </c>
    </row>
    <row r="432" hidden="1" ht="14.25" customHeight="1" s="64">
      <c r="A432" s="101" t="inlineStr">
        <is>
          <t>Televendas</t>
        </is>
      </c>
      <c r="B432" s="101" t="inlineStr">
        <is>
          <t>Custo Fixo</t>
        </is>
      </c>
      <c r="C432" s="101" t="inlineStr">
        <is>
          <t>Vexpenses</t>
        </is>
      </c>
      <c r="D432" s="102" t="n">
        <v>1</v>
      </c>
      <c r="E432" s="103" t="n">
        <v>52</v>
      </c>
      <c r="F432" s="104">
        <f>IFERROR(D432*E432,0)</f>
        <v/>
      </c>
      <c r="G432" s="101">
        <f>INDEX(SETORES!$B:$B,MATCH(A432,SETORES!$A:$A,0))</f>
        <v/>
      </c>
      <c r="H432" s="101" t="inlineStr">
        <is>
          <t>Maio/2026</t>
        </is>
      </c>
    </row>
    <row r="433" hidden="1" ht="14.25" customHeight="1" s="64">
      <c r="A433" s="106" t="inlineStr">
        <is>
          <t>Televendas</t>
        </is>
      </c>
      <c r="B433" s="106" t="inlineStr">
        <is>
          <t>Custo Variável</t>
        </is>
      </c>
      <c r="C433" s="106" t="inlineStr">
        <is>
          <t>Endomarketing</t>
        </is>
      </c>
      <c r="D433" s="107" t="n">
        <v>1</v>
      </c>
      <c r="E433" s="108" t="n">
        <v>23.5</v>
      </c>
      <c r="F433" s="109">
        <f>IFERROR(D433*E433,0)</f>
        <v/>
      </c>
      <c r="G433" s="106">
        <f>INDEX(SETORES!$B:$B,MATCH(A433,SETORES!$A:$A,0))</f>
        <v/>
      </c>
      <c r="H433" s="106" t="inlineStr">
        <is>
          <t>Maio/2026</t>
        </is>
      </c>
    </row>
    <row r="434" hidden="1" ht="14.25" customHeight="1" s="64">
      <c r="A434" s="101" t="inlineStr">
        <is>
          <t>Televendas</t>
        </is>
      </c>
      <c r="B434" s="101" t="inlineStr">
        <is>
          <t>Custo Fixo</t>
        </is>
      </c>
      <c r="C434" s="101" t="inlineStr">
        <is>
          <t>Gympass</t>
        </is>
      </c>
      <c r="D434" s="102" t="n">
        <v>13</v>
      </c>
      <c r="E434" s="103" t="n">
        <v>10.05</v>
      </c>
      <c r="F434" s="104" t="n">
        <v>130.65</v>
      </c>
      <c r="G434" s="101">
        <f>INDEX(SETORES!$B:$B,MATCH(A434,SETORES!$A:$A,0))</f>
        <v/>
      </c>
      <c r="H434" s="101" t="inlineStr">
        <is>
          <t>Maio/2026</t>
        </is>
      </c>
    </row>
    <row r="435" hidden="1" ht="14.25" customHeight="1" s="64">
      <c r="A435" s="106" t="inlineStr">
        <is>
          <t>Televendas</t>
        </is>
      </c>
      <c r="B435" s="106" t="inlineStr">
        <is>
          <t>Custo Fixo</t>
        </is>
      </c>
      <c r="C435" s="106" t="inlineStr">
        <is>
          <t>Stargrid</t>
        </is>
      </c>
      <c r="D435" s="107" t="n">
        <v>13</v>
      </c>
      <c r="E435" s="108" t="n">
        <v>2.07</v>
      </c>
      <c r="F435" s="109" t="n">
        <v>26.91</v>
      </c>
      <c r="G435" s="106">
        <f>INDEX(SETORES!$B:$B,MATCH(A435,SETORES!$A:$A,0))</f>
        <v/>
      </c>
      <c r="H435" s="106" t="inlineStr">
        <is>
          <t>Maio/2026</t>
        </is>
      </c>
    </row>
    <row r="436" hidden="1" ht="14.25" customHeight="1" s="64">
      <c r="A436" s="101" t="inlineStr">
        <is>
          <t>Televendas</t>
        </is>
      </c>
      <c r="B436" s="101" t="inlineStr">
        <is>
          <t>Custo Fixo</t>
        </is>
      </c>
      <c r="C436" s="101" t="inlineStr">
        <is>
          <t>Despesas com SST</t>
        </is>
      </c>
      <c r="D436" s="102" t="n">
        <v>13</v>
      </c>
      <c r="E436" s="103" t="n">
        <v>64.56999999999999</v>
      </c>
      <c r="F436" s="104" t="n">
        <v>839.41</v>
      </c>
      <c r="G436" s="101">
        <f>INDEX(SETORES!$B:$B,MATCH(A436,SETORES!$A:$A,0))</f>
        <v/>
      </c>
      <c r="H436" s="101" t="inlineStr">
        <is>
          <t>Maio/2026</t>
        </is>
      </c>
    </row>
    <row r="437" hidden="1" ht="14.25" customHeight="1" s="64">
      <c r="A437" s="106" t="inlineStr">
        <is>
          <t>Televendas</t>
        </is>
      </c>
      <c r="B437" s="106" t="inlineStr">
        <is>
          <t>Custo Fixo</t>
        </is>
      </c>
      <c r="C437" s="106" t="inlineStr">
        <is>
          <t>Despesas com RH</t>
        </is>
      </c>
      <c r="D437" s="107" t="n">
        <v>13</v>
      </c>
      <c r="E437" s="108" t="n">
        <v>28.31</v>
      </c>
      <c r="F437" s="109" t="n">
        <v>368.03</v>
      </c>
      <c r="G437" s="106">
        <f>INDEX(SETORES!$B:$B,MATCH(A437,SETORES!$A:$A,0))</f>
        <v/>
      </c>
      <c r="H437" s="106" t="inlineStr">
        <is>
          <t>Maio/2026</t>
        </is>
      </c>
    </row>
    <row r="438" hidden="1" ht="14.25" customHeight="1" s="64">
      <c r="A438" s="101" t="inlineStr">
        <is>
          <t>Televendas</t>
        </is>
      </c>
      <c r="B438" s="101" t="inlineStr">
        <is>
          <t>Custo Fixo</t>
        </is>
      </c>
      <c r="C438" s="101" t="inlineStr">
        <is>
          <t>Despesas com DP</t>
        </is>
      </c>
      <c r="D438" s="102" t="n">
        <v>13</v>
      </c>
      <c r="E438" s="103" t="n">
        <v>47.79</v>
      </c>
      <c r="F438" s="104" t="n">
        <v>621.27</v>
      </c>
      <c r="G438" s="101">
        <f>INDEX(SETORES!$B:$B,MATCH(A438,SETORES!$A:$A,0))</f>
        <v/>
      </c>
      <c r="H438" s="101" t="inlineStr">
        <is>
          <t>Maio/2026</t>
        </is>
      </c>
    </row>
    <row r="439" hidden="1" ht="14.25" customHeight="1" s="64">
      <c r="A439" s="106" t="inlineStr">
        <is>
          <t>Suporte da Central</t>
        </is>
      </c>
      <c r="B439" s="106" t="inlineStr">
        <is>
          <t>Custo Variável</t>
        </is>
      </c>
      <c r="C439" s="106" t="inlineStr">
        <is>
          <t>Combustível de frota</t>
        </is>
      </c>
      <c r="D439" s="107" t="n"/>
      <c r="E439" s="108" t="n"/>
      <c r="F439" s="109">
        <f>IFERROR(D439*E439,0)</f>
        <v/>
      </c>
      <c r="G439" s="106">
        <f>INDEX(SETORES!$B:$B,MATCH(A439,SETORES!$A:$A,0))</f>
        <v/>
      </c>
      <c r="H439" s="106" t="inlineStr">
        <is>
          <t>Maio/2026</t>
        </is>
      </c>
    </row>
    <row r="440" hidden="1" ht="14.25" customHeight="1" s="64">
      <c r="A440" s="101" t="inlineStr">
        <is>
          <t>Televendas</t>
        </is>
      </c>
      <c r="B440" s="101" t="inlineStr">
        <is>
          <t>Custo Variável</t>
        </is>
      </c>
      <c r="C440" s="101" t="inlineStr">
        <is>
          <t>Combustível de frota</t>
        </is>
      </c>
      <c r="D440" s="102" t="n"/>
      <c r="E440" s="103" t="n"/>
      <c r="F440" s="104">
        <f>IFERROR(D440*E440,0)</f>
        <v/>
      </c>
      <c r="G440" s="101">
        <f>INDEX(SETORES!$B:$B,MATCH(A440,SETORES!$A:$A,0))</f>
        <v/>
      </c>
      <c r="H440" s="101" t="inlineStr">
        <is>
          <t>Maio/2026</t>
        </is>
      </c>
    </row>
    <row r="441" hidden="1" ht="14.25" customHeight="1" s="64">
      <c r="A441" s="106" t="inlineStr">
        <is>
          <t>Comercial Corporativo</t>
        </is>
      </c>
      <c r="B441" s="106" t="inlineStr">
        <is>
          <t>Custo Variável</t>
        </is>
      </c>
      <c r="C441" s="106" t="inlineStr">
        <is>
          <t>Combustível de frota</t>
        </is>
      </c>
      <c r="D441" s="107" t="n"/>
      <c r="E441" s="108" t="n"/>
      <c r="F441" s="109">
        <f>IFERROR(D441*E441,0)</f>
        <v/>
      </c>
      <c r="G441" s="106">
        <f>INDEX(SETORES!$B:$B,MATCH(A441,SETORES!$A:$A,0))</f>
        <v/>
      </c>
      <c r="H441" s="106" t="inlineStr">
        <is>
          <t>Maio/2026</t>
        </is>
      </c>
    </row>
    <row r="442" hidden="1" ht="14.25" customHeight="1" s="64">
      <c r="A442" s="101" t="inlineStr">
        <is>
          <t>Suporte da Central</t>
        </is>
      </c>
      <c r="B442" s="101" t="inlineStr">
        <is>
          <t>Custo Variável</t>
        </is>
      </c>
      <c r="C442" s="101" t="inlineStr">
        <is>
          <t>Exames médicos</t>
        </is>
      </c>
      <c r="D442" s="102" t="n">
        <v>1</v>
      </c>
      <c r="E442" s="103" t="n">
        <v>9622.9</v>
      </c>
      <c r="F442" s="104">
        <f>IFERROR(D442*E442,0)</f>
        <v/>
      </c>
      <c r="G442" s="101">
        <f>INDEX(SETORES!$B:$B,MATCH(A442,SETORES!$A:$A,0))</f>
        <v/>
      </c>
      <c r="H442" s="101" t="inlineStr">
        <is>
          <t>Maio/2026</t>
        </is>
      </c>
    </row>
    <row r="443" hidden="1" ht="14.25" customHeight="1" s="64">
      <c r="A443" s="106" t="inlineStr">
        <is>
          <t>Suporte da Central</t>
        </is>
      </c>
      <c r="B443" s="106" t="inlineStr">
        <is>
          <t>Custo Variável</t>
        </is>
      </c>
      <c r="C443" s="106" t="inlineStr">
        <is>
          <t>Rescisões trabalhistas</t>
        </is>
      </c>
      <c r="D443" s="107" t="n"/>
      <c r="E443" s="108" t="n"/>
      <c r="F443" s="109">
        <f>IFERROR(D443*E443,0)</f>
        <v/>
      </c>
      <c r="G443" s="106">
        <f>INDEX(SETORES!$B:$B,MATCH(A443,SETORES!$A:$A,0))</f>
        <v/>
      </c>
      <c r="H443" s="106" t="inlineStr">
        <is>
          <t>Maio/2026</t>
        </is>
      </c>
    </row>
    <row r="444" hidden="1" ht="14.25" customHeight="1" s="64">
      <c r="A444" s="101" t="inlineStr">
        <is>
          <t>Televendas</t>
        </is>
      </c>
      <c r="B444" s="101" t="inlineStr">
        <is>
          <t>Custo Variável</t>
        </is>
      </c>
      <c r="C444" s="101" t="inlineStr">
        <is>
          <t>Rescisões trabalhistas</t>
        </is>
      </c>
      <c r="D444" s="102" t="n"/>
      <c r="E444" s="103" t="n"/>
      <c r="F444" s="104">
        <f>IFERROR(D444*E444,0)</f>
        <v/>
      </c>
      <c r="G444" s="101">
        <f>INDEX(SETORES!$B:$B,MATCH(A444,SETORES!$A:$A,0))</f>
        <v/>
      </c>
      <c r="H444" s="101" t="inlineStr">
        <is>
          <t>Maio/2026</t>
        </is>
      </c>
    </row>
    <row r="445" ht="14.25" customHeight="1" s="64">
      <c r="A445" s="106" t="inlineStr">
        <is>
          <t>Administrativo</t>
        </is>
      </c>
      <c r="B445" s="106" t="inlineStr">
        <is>
          <t>Custo Fixo</t>
        </is>
      </c>
      <c r="C445" s="106" t="inlineStr">
        <is>
          <t>Licença Google Workspace</t>
        </is>
      </c>
      <c r="D445" s="107" t="n">
        <v>1</v>
      </c>
      <c r="E445" s="108" t="n">
        <v>21454</v>
      </c>
      <c r="F445" s="109">
        <f>IFERROR(D445*E445,0)</f>
        <v/>
      </c>
      <c r="G445" s="106">
        <f>INDEX(SETORES!$B:$B,MATCH(A445,SETORES!$A:$A,0))</f>
        <v/>
      </c>
      <c r="H445" s="106" t="inlineStr">
        <is>
          <t>Maio/2026</t>
        </is>
      </c>
    </row>
    <row r="446" hidden="1" ht="14.25" customHeight="1" s="64">
      <c r="A446" s="101" t="inlineStr">
        <is>
          <t>Qualidade</t>
        </is>
      </c>
      <c r="B446" s="101" t="inlineStr">
        <is>
          <t>Custo Fixo</t>
        </is>
      </c>
      <c r="C446" s="101" t="inlineStr">
        <is>
          <t>Folha de pagamento (salários)</t>
        </is>
      </c>
      <c r="D446" s="102" t="n">
        <v>1</v>
      </c>
      <c r="E446" s="103" t="n">
        <v>24142.91</v>
      </c>
      <c r="F446" s="104">
        <f>IFERROR(E446,0)</f>
        <v/>
      </c>
      <c r="G446" s="101">
        <f>INDEX(SETORES!$B:$B,MATCH(A446,SETORES!$A:$A,0))</f>
        <v/>
      </c>
      <c r="H446" s="101" t="inlineStr">
        <is>
          <t>Maio/2026</t>
        </is>
      </c>
    </row>
    <row r="447" hidden="1" ht="14.25" customHeight="1" s="64">
      <c r="A447" s="106" t="inlineStr">
        <is>
          <t>Qualidade</t>
        </is>
      </c>
      <c r="B447" s="106" t="inlineStr">
        <is>
          <t>Custo Fixo</t>
        </is>
      </c>
      <c r="C447" s="106" t="inlineStr">
        <is>
          <t>Material de uso coletivo (copa/limpeza)</t>
        </is>
      </c>
      <c r="D447" s="107" t="n">
        <v>1</v>
      </c>
      <c r="E447" s="108" t="n">
        <v>160.86</v>
      </c>
      <c r="F447" s="109" t="n">
        <v>160.86</v>
      </c>
      <c r="G447" s="106">
        <f>INDEX(SETORES!$B:$B,MATCH(A447,SETORES!$A:$A,0))</f>
        <v/>
      </c>
      <c r="H447" s="106" t="inlineStr">
        <is>
          <t>Maio/2026</t>
        </is>
      </c>
    </row>
    <row r="448" hidden="1" ht="14.25" customHeight="1" s="64">
      <c r="A448" s="101" t="inlineStr">
        <is>
          <t>Jurídico</t>
        </is>
      </c>
      <c r="B448" s="101" t="inlineStr">
        <is>
          <t>Custo Fixo</t>
        </is>
      </c>
      <c r="C448" s="101" t="inlineStr">
        <is>
          <t>Folha de pagamento (salários)</t>
        </is>
      </c>
      <c r="D448" s="102" t="n">
        <v>1</v>
      </c>
      <c r="E448" s="103" t="n">
        <v>4665.95</v>
      </c>
      <c r="F448" s="104">
        <f>IFERROR(E448,0)</f>
        <v/>
      </c>
      <c r="G448" s="101">
        <f>INDEX(SETORES!$B:$B,MATCH(A448,SETORES!$A:$A,0))</f>
        <v/>
      </c>
      <c r="H448" s="101" t="inlineStr">
        <is>
          <t>Maio/2026</t>
        </is>
      </c>
    </row>
    <row r="449" hidden="1" ht="14.25" customHeight="1" s="64">
      <c r="A449" s="106" t="inlineStr">
        <is>
          <t>Marketing</t>
        </is>
      </c>
      <c r="B449" s="106" t="inlineStr">
        <is>
          <t>Custo Fixo</t>
        </is>
      </c>
      <c r="C449" s="106" t="inlineStr">
        <is>
          <t>Folha de pagamento (salários)</t>
        </is>
      </c>
      <c r="D449" s="107" t="n">
        <v>1</v>
      </c>
      <c r="E449" s="108" t="n">
        <v>55569.77</v>
      </c>
      <c r="F449" s="109">
        <f>IFERROR(E449,0)</f>
        <v/>
      </c>
      <c r="G449" s="106">
        <f>INDEX(SETORES!$B:$B,MATCH(A449,SETORES!$A:$A,0))</f>
        <v/>
      </c>
      <c r="H449" s="106" t="inlineStr">
        <is>
          <t>Maio/2026</t>
        </is>
      </c>
    </row>
    <row r="450" hidden="1" ht="14.25" customHeight="1" s="64">
      <c r="A450" s="101" t="inlineStr">
        <is>
          <t>Marketing</t>
        </is>
      </c>
      <c r="B450" s="101" t="inlineStr">
        <is>
          <t>Custo Variável</t>
        </is>
      </c>
      <c r="C450" s="101" t="inlineStr">
        <is>
          <t>Combustível de frota</t>
        </is>
      </c>
      <c r="D450" s="102" t="n">
        <v>1</v>
      </c>
      <c r="E450" s="103" t="n">
        <v>2716.71</v>
      </c>
      <c r="F450" s="104">
        <f>IFERROR(D450*E450,0)</f>
        <v/>
      </c>
      <c r="G450" s="101">
        <f>INDEX(SETORES!$B:$B,MATCH(A450,SETORES!$A:$A,0))</f>
        <v/>
      </c>
      <c r="H450" s="101" t="inlineStr">
        <is>
          <t>Maio/2026</t>
        </is>
      </c>
    </row>
    <row r="451" hidden="1" ht="14.25" customHeight="1" s="64">
      <c r="A451" s="106" t="inlineStr">
        <is>
          <t>TIC</t>
        </is>
      </c>
      <c r="B451" s="106" t="inlineStr">
        <is>
          <t>Custo Fixo</t>
        </is>
      </c>
      <c r="C451" s="106" t="inlineStr">
        <is>
          <t>Folha de pagamento (salários)</t>
        </is>
      </c>
      <c r="D451" s="107" t="n">
        <v>1</v>
      </c>
      <c r="E451" s="108" t="n">
        <v>26750.76</v>
      </c>
      <c r="F451" s="109">
        <f>IFERROR(E451,0)</f>
        <v/>
      </c>
      <c r="G451" s="106">
        <f>INDEX(SETORES!$B:$B,MATCH(A451,SETORES!$A:$A,0))</f>
        <v/>
      </c>
      <c r="H451" s="106" t="inlineStr">
        <is>
          <t>Maio/2026</t>
        </is>
      </c>
    </row>
    <row r="452" hidden="1" ht="14.25" customHeight="1" s="64">
      <c r="A452" s="101" t="inlineStr">
        <is>
          <t>COE</t>
        </is>
      </c>
      <c r="B452" s="101" t="inlineStr">
        <is>
          <t>Custo Fixo</t>
        </is>
      </c>
      <c r="C452" s="101" t="inlineStr">
        <is>
          <t>Folha de pagamento (salários)</t>
        </is>
      </c>
      <c r="D452" s="102" t="n">
        <v>1</v>
      </c>
      <c r="E452" s="103" t="n">
        <v>78365.14999999999</v>
      </c>
      <c r="F452" s="104">
        <f>IFERROR(E452,0)</f>
        <v/>
      </c>
      <c r="G452" s="101">
        <f>INDEX(SETORES!$B:$B,MATCH(A452,SETORES!$A:$A,0))</f>
        <v/>
      </c>
      <c r="H452" s="101" t="inlineStr">
        <is>
          <t>Maio/2026</t>
        </is>
      </c>
    </row>
    <row r="453" hidden="1" ht="14.25" customHeight="1" s="64">
      <c r="A453" s="106" t="inlineStr">
        <is>
          <t>Fique Móvel</t>
        </is>
      </c>
      <c r="B453" s="106" t="inlineStr">
        <is>
          <t>Custo Fixo</t>
        </is>
      </c>
      <c r="C453" s="106" t="inlineStr">
        <is>
          <t>Folha de pagamento (salários)</t>
        </is>
      </c>
      <c r="D453" s="107" t="n">
        <v>1</v>
      </c>
      <c r="E453" s="108" t="n">
        <v>9414.74</v>
      </c>
      <c r="F453" s="109">
        <f>IFERROR(E453,0)</f>
        <v/>
      </c>
      <c r="G453" s="106">
        <f>INDEX(SETORES!$B:$B,MATCH(A453,SETORES!$A:$A,0))</f>
        <v/>
      </c>
      <c r="H453" s="106" t="inlineStr">
        <is>
          <t>Maio/2026</t>
        </is>
      </c>
    </row>
    <row r="454" hidden="1" ht="14.25" customHeight="1" s="64">
      <c r="A454" s="101" t="inlineStr">
        <is>
          <t>Lançamento</t>
        </is>
      </c>
      <c r="B454" s="101" t="inlineStr">
        <is>
          <t>Custo Fixo</t>
        </is>
      </c>
      <c r="C454" s="101" t="inlineStr">
        <is>
          <t>Folha de pagamento (salários)</t>
        </is>
      </c>
      <c r="D454" s="102" t="n">
        <v>1</v>
      </c>
      <c r="E454" s="103" t="n">
        <v>107136.79</v>
      </c>
      <c r="F454" s="104">
        <f>IFERROR(E454,0)</f>
        <v/>
      </c>
      <c r="G454" s="101">
        <f>INDEX(SETORES!$B:$B,MATCH(A454,SETORES!$A:$A,0))</f>
        <v/>
      </c>
      <c r="H454" s="101" t="inlineStr">
        <is>
          <t>Maio/2026</t>
        </is>
      </c>
    </row>
    <row r="455" hidden="1" ht="14.25" customHeight="1" s="64">
      <c r="A455" s="106" t="inlineStr">
        <is>
          <t>Lançamento</t>
        </is>
      </c>
      <c r="B455" s="106" t="inlineStr">
        <is>
          <t>Custo Variável</t>
        </is>
      </c>
      <c r="C455" s="106" t="inlineStr">
        <is>
          <t>Combustível de frota</t>
        </is>
      </c>
      <c r="D455" s="107" t="n">
        <v>1</v>
      </c>
      <c r="E455" s="108" t="n">
        <v>13697.37</v>
      </c>
      <c r="F455" s="109">
        <f>IFERROR(D455*E455,0)</f>
        <v/>
      </c>
      <c r="G455" s="106">
        <f>INDEX(SETORES!$B:$B,MATCH(A455,SETORES!$A:$A,0))</f>
        <v/>
      </c>
      <c r="H455" s="106" t="inlineStr">
        <is>
          <t>Maio/2026</t>
        </is>
      </c>
    </row>
    <row r="456" hidden="1" ht="14.25" customHeight="1" s="64">
      <c r="A456" s="101" t="inlineStr">
        <is>
          <t>Lançamento</t>
        </is>
      </c>
      <c r="B456" s="101" t="inlineStr">
        <is>
          <t>Custo Variável</t>
        </is>
      </c>
      <c r="C456" s="101" t="inlineStr">
        <is>
          <t>EPIs - Equipamento de Proteção Individual</t>
        </is>
      </c>
      <c r="D456" s="102" t="n">
        <v>1</v>
      </c>
      <c r="E456" s="103" t="n">
        <v>7221.35</v>
      </c>
      <c r="F456" s="104">
        <f>IFERROR(D456*E456,0)</f>
        <v/>
      </c>
      <c r="G456" s="101">
        <f>INDEX(SETORES!$B:$B,MATCH(A456,SETORES!$A:$A,0))</f>
        <v/>
      </c>
      <c r="H456" s="101" t="inlineStr">
        <is>
          <t>Maio/2026</t>
        </is>
      </c>
    </row>
    <row r="457" hidden="1" ht="14.25" customHeight="1" s="64">
      <c r="A457" s="106" t="inlineStr">
        <is>
          <t>Lançamento</t>
        </is>
      </c>
      <c r="B457" s="106" t="inlineStr">
        <is>
          <t>Custo Variável</t>
        </is>
      </c>
      <c r="C457" s="106" t="inlineStr">
        <is>
          <t>Rescisões trabalhistas</t>
        </is>
      </c>
      <c r="D457" s="107" t="n">
        <v>1</v>
      </c>
      <c r="E457" s="108" t="n">
        <v>1746.63</v>
      </c>
      <c r="F457" s="109">
        <f>IFERROR(D457*E457,0)</f>
        <v/>
      </c>
      <c r="G457" s="106">
        <f>INDEX(SETORES!$B:$B,MATCH(A457,SETORES!$A:$A,0))</f>
        <v/>
      </c>
      <c r="H457" s="106" t="inlineStr">
        <is>
          <t>Maio/2026</t>
        </is>
      </c>
    </row>
    <row r="458" hidden="1" ht="14.25" customHeight="1" s="64">
      <c r="A458" s="101" t="inlineStr">
        <is>
          <t>Fusão</t>
        </is>
      </c>
      <c r="B458" s="101" t="inlineStr">
        <is>
          <t>Custo Fixo</t>
        </is>
      </c>
      <c r="C458" s="101" t="inlineStr">
        <is>
          <t>Folha de pagamento (salários)</t>
        </is>
      </c>
      <c r="D458" s="102" t="n">
        <v>1</v>
      </c>
      <c r="E458" s="103" t="n">
        <v>51299.35</v>
      </c>
      <c r="F458" s="104">
        <f>IFERROR(E458,0)</f>
        <v/>
      </c>
      <c r="G458" s="101">
        <f>INDEX(SETORES!$B:$B,MATCH(A458,SETORES!$A:$A,0))</f>
        <v/>
      </c>
      <c r="H458" s="101" t="inlineStr">
        <is>
          <t>Maio/2026</t>
        </is>
      </c>
    </row>
    <row r="459" hidden="1" ht="14.25" customHeight="1" s="64">
      <c r="A459" s="106" t="inlineStr">
        <is>
          <t>Fusão</t>
        </is>
      </c>
      <c r="B459" s="106" t="inlineStr">
        <is>
          <t>Custo Variável</t>
        </is>
      </c>
      <c r="C459" s="106" t="inlineStr">
        <is>
          <t>Combustível de frota</t>
        </is>
      </c>
      <c r="D459" s="107" t="n">
        <v>1</v>
      </c>
      <c r="E459" s="108" t="n">
        <v>14428.61</v>
      </c>
      <c r="F459" s="109">
        <f>IFERROR(D459*E459,0)</f>
        <v/>
      </c>
      <c r="G459" s="106">
        <f>INDEX(SETORES!$B:$B,MATCH(A459,SETORES!$A:$A,0))</f>
        <v/>
      </c>
      <c r="H459" s="106" t="inlineStr">
        <is>
          <t>Maio/2026</t>
        </is>
      </c>
    </row>
    <row r="460" hidden="1" ht="14.25" customHeight="1" s="64">
      <c r="A460" s="101" t="inlineStr">
        <is>
          <t>Fusão</t>
        </is>
      </c>
      <c r="B460" s="101" t="inlineStr">
        <is>
          <t>Custo Variável</t>
        </is>
      </c>
      <c r="C460" s="101" t="inlineStr">
        <is>
          <t>EPIs - Equipamento de Proteção Individual</t>
        </is>
      </c>
      <c r="D460" s="102" t="n">
        <v>1</v>
      </c>
      <c r="E460" s="103" t="n">
        <v>1397</v>
      </c>
      <c r="F460" s="104">
        <f>IFERROR(D460*E460,0)</f>
        <v/>
      </c>
      <c r="G460" s="101">
        <f>INDEX(SETORES!$B:$B,MATCH(A460,SETORES!$A:$A,0))</f>
        <v/>
      </c>
      <c r="H460" s="101" t="inlineStr">
        <is>
          <t>Maio/2026</t>
        </is>
      </c>
    </row>
    <row r="461" hidden="1" ht="14.25" customHeight="1" s="64">
      <c r="A461" s="106" t="inlineStr">
        <is>
          <t>Diretoria Adm</t>
        </is>
      </c>
      <c r="B461" s="106" t="inlineStr">
        <is>
          <t>Custo Fixo</t>
        </is>
      </c>
      <c r="C461" s="106" t="inlineStr">
        <is>
          <t>Folha de pagamento (salários)</t>
        </is>
      </c>
      <c r="D461" s="107" t="n">
        <v>1</v>
      </c>
      <c r="E461" s="108" t="n">
        <v>28931.13</v>
      </c>
      <c r="F461" s="109">
        <f>IFERROR(E461,0)</f>
        <v/>
      </c>
      <c r="G461" s="106">
        <f>INDEX(SETORES!$B:$B,MATCH(A461,SETORES!$A:$A,0))</f>
        <v/>
      </c>
      <c r="H461" s="106" t="inlineStr">
        <is>
          <t>Maio/2026</t>
        </is>
      </c>
    </row>
    <row r="462" hidden="1" ht="14.25" customHeight="1" s="64">
      <c r="A462" s="101" t="inlineStr">
        <is>
          <t>Qualidade</t>
        </is>
      </c>
      <c r="B462" s="101" t="inlineStr">
        <is>
          <t>Custo Fixo</t>
        </is>
      </c>
      <c r="C462" s="101" t="inlineStr">
        <is>
          <t>Gympass</t>
        </is>
      </c>
      <c r="D462" s="102" t="n">
        <v>7</v>
      </c>
      <c r="E462" s="103" t="n">
        <v>10.05</v>
      </c>
      <c r="F462" s="104">
        <f>IFERROR(D462*E462,0)</f>
        <v/>
      </c>
      <c r="G462" s="101">
        <f>INDEX(SETORES!$B:$B,MATCH(A462,SETORES!$A:$A,0))</f>
        <v/>
      </c>
      <c r="H462" s="101" t="inlineStr">
        <is>
          <t>Maio/2026</t>
        </is>
      </c>
    </row>
    <row r="463" hidden="1" ht="14.25" customHeight="1" s="64">
      <c r="A463" s="106" t="inlineStr">
        <is>
          <t>Qualidade</t>
        </is>
      </c>
      <c r="B463" s="106" t="inlineStr">
        <is>
          <t>Custo Fixo</t>
        </is>
      </c>
      <c r="C463" s="106" t="inlineStr">
        <is>
          <t>Stargrid</t>
        </is>
      </c>
      <c r="D463" s="107" t="n">
        <v>7</v>
      </c>
      <c r="E463" s="108" t="n">
        <v>2.07</v>
      </c>
      <c r="F463" s="109">
        <f>IFERROR(D463*E463,0)</f>
        <v/>
      </c>
      <c r="G463" s="106">
        <f>INDEX(SETORES!$B:$B,MATCH(A463,SETORES!$A:$A,0))</f>
        <v/>
      </c>
      <c r="H463" s="106" t="inlineStr">
        <is>
          <t>Maio/2026</t>
        </is>
      </c>
    </row>
    <row r="464" hidden="1" ht="14.25" customHeight="1" s="64">
      <c r="A464" s="101" t="inlineStr">
        <is>
          <t>Qualidade</t>
        </is>
      </c>
      <c r="B464" s="101" t="inlineStr">
        <is>
          <t>Custo Fixo</t>
        </is>
      </c>
      <c r="C464" s="101" t="inlineStr">
        <is>
          <t>Licença de e-mail corporativo</t>
        </is>
      </c>
      <c r="D464" s="102" t="n">
        <v>8</v>
      </c>
      <c r="E464" s="103" t="n">
        <v>50</v>
      </c>
      <c r="F464" s="104">
        <f>IFERROR(D464*E464,0)</f>
        <v/>
      </c>
      <c r="G464" s="101">
        <f>INDEX(SETORES!$B:$B,MATCH(A464,SETORES!$A:$A,0))</f>
        <v/>
      </c>
      <c r="H464" s="101" t="inlineStr">
        <is>
          <t>Maio/2026</t>
        </is>
      </c>
    </row>
    <row r="465" hidden="1" ht="14.25" customHeight="1" s="64">
      <c r="A465" s="106" t="inlineStr">
        <is>
          <t>Qualidade</t>
        </is>
      </c>
      <c r="B465" s="106" t="inlineStr">
        <is>
          <t>Custo Fixo</t>
        </is>
      </c>
      <c r="C465" s="106" t="inlineStr">
        <is>
          <t>Despesas com RH</t>
        </is>
      </c>
      <c r="D465" s="107" t="n">
        <v>7</v>
      </c>
      <c r="E465" s="108" t="n">
        <v>28.31</v>
      </c>
      <c r="F465" s="109">
        <f>IFERROR(D465*E465,0)</f>
        <v/>
      </c>
      <c r="G465" s="106">
        <f>INDEX(SETORES!$B:$B,MATCH(A465,SETORES!$A:$A,0))</f>
        <v/>
      </c>
      <c r="H465" s="106" t="inlineStr">
        <is>
          <t>Maio/2026</t>
        </is>
      </c>
    </row>
    <row r="466" hidden="1" ht="14.25" customHeight="1" s="64">
      <c r="A466" s="101" t="inlineStr">
        <is>
          <t>Qualidade</t>
        </is>
      </c>
      <c r="B466" s="101" t="inlineStr">
        <is>
          <t>Custo Fixo</t>
        </is>
      </c>
      <c r="C466" s="101" t="inlineStr">
        <is>
          <t>Despesas com DP</t>
        </is>
      </c>
      <c r="D466" s="102" t="n">
        <v>7</v>
      </c>
      <c r="E466" s="103" t="n">
        <v>47.79</v>
      </c>
      <c r="F466" s="104">
        <f>IFERROR(D466*E466,0)</f>
        <v/>
      </c>
      <c r="G466" s="101">
        <f>INDEX(SETORES!$B:$B,MATCH(A466,SETORES!$A:$A,0))</f>
        <v/>
      </c>
      <c r="H466" s="101" t="inlineStr">
        <is>
          <t>Maio/2026</t>
        </is>
      </c>
    </row>
    <row r="467" hidden="1" ht="14.25" customHeight="1" s="64">
      <c r="A467" s="106" t="inlineStr">
        <is>
          <t>Qualidade</t>
        </is>
      </c>
      <c r="B467" s="106" t="inlineStr">
        <is>
          <t>Custo Fixo</t>
        </is>
      </c>
      <c r="C467" s="106" t="inlineStr">
        <is>
          <t>Despesas com SST</t>
        </is>
      </c>
      <c r="D467" s="107" t="n">
        <v>7</v>
      </c>
      <c r="E467" s="108" t="n">
        <v>64.56999999999999</v>
      </c>
      <c r="F467" s="109">
        <f>IFERROR(D467*E467,0)</f>
        <v/>
      </c>
      <c r="G467" s="106">
        <f>INDEX(SETORES!$B:$B,MATCH(A467,SETORES!$A:$A,0))</f>
        <v/>
      </c>
      <c r="H467" s="106" t="inlineStr">
        <is>
          <t>Maio/2026</t>
        </is>
      </c>
    </row>
    <row r="468" hidden="1" ht="14.25" customHeight="1" s="64">
      <c r="A468" s="101" t="inlineStr">
        <is>
          <t>Jurídico</t>
        </is>
      </c>
      <c r="B468" s="101" t="inlineStr">
        <is>
          <t>Custo Fixo</t>
        </is>
      </c>
      <c r="C468" s="101" t="inlineStr">
        <is>
          <t>Gympass</t>
        </is>
      </c>
      <c r="D468" s="102" t="n">
        <v>2</v>
      </c>
      <c r="E468" s="103" t="n">
        <v>10.05</v>
      </c>
      <c r="F468" s="104">
        <f>IFERROR(D468*E468,0)</f>
        <v/>
      </c>
      <c r="G468" s="101">
        <f>INDEX(SETORES!$B:$B,MATCH(A468,SETORES!$A:$A,0))</f>
        <v/>
      </c>
      <c r="H468" s="101" t="inlineStr">
        <is>
          <t>Maio/2026</t>
        </is>
      </c>
    </row>
    <row r="469" hidden="1" ht="14.25" customHeight="1" s="64">
      <c r="A469" s="106" t="inlineStr">
        <is>
          <t>Jurídico</t>
        </is>
      </c>
      <c r="B469" s="106" t="inlineStr">
        <is>
          <t>Custo Fixo</t>
        </is>
      </c>
      <c r="C469" s="106" t="inlineStr">
        <is>
          <t>Stargrid</t>
        </is>
      </c>
      <c r="D469" s="107" t="n">
        <v>2</v>
      </c>
      <c r="E469" s="108" t="n">
        <v>2.07</v>
      </c>
      <c r="F469" s="109">
        <f>IFERROR(D469*E469,0)</f>
        <v/>
      </c>
      <c r="G469" s="106">
        <f>INDEX(SETORES!$B:$B,MATCH(A469,SETORES!$A:$A,0))</f>
        <v/>
      </c>
      <c r="H469" s="106" t="inlineStr">
        <is>
          <t>Maio/2026</t>
        </is>
      </c>
    </row>
    <row r="470" hidden="1" ht="14.25" customHeight="1" s="64">
      <c r="A470" s="101" t="inlineStr">
        <is>
          <t>Jurídico</t>
        </is>
      </c>
      <c r="B470" s="101" t="inlineStr">
        <is>
          <t>Custo Fixo</t>
        </is>
      </c>
      <c r="C470" s="101" t="inlineStr">
        <is>
          <t>Licença de e-mail corporativo</t>
        </is>
      </c>
      <c r="D470" s="102" t="n">
        <v>2</v>
      </c>
      <c r="E470" s="103" t="n">
        <v>50</v>
      </c>
      <c r="F470" s="104">
        <f>IFERROR(D470*E470,0)</f>
        <v/>
      </c>
      <c r="G470" s="101">
        <f>INDEX(SETORES!$B:$B,MATCH(A470,SETORES!$A:$A,0))</f>
        <v/>
      </c>
      <c r="H470" s="101" t="inlineStr">
        <is>
          <t>Maio/2026</t>
        </is>
      </c>
    </row>
    <row r="471" hidden="1" ht="14.25" customHeight="1" s="64">
      <c r="A471" s="106" t="inlineStr">
        <is>
          <t>Jurídico</t>
        </is>
      </c>
      <c r="B471" s="106" t="inlineStr">
        <is>
          <t>Custo Fixo</t>
        </is>
      </c>
      <c r="C471" s="106" t="inlineStr">
        <is>
          <t>Despesas com RH</t>
        </is>
      </c>
      <c r="D471" s="107" t="n">
        <v>2</v>
      </c>
      <c r="E471" s="108" t="n">
        <v>28.31</v>
      </c>
      <c r="F471" s="109">
        <f>IFERROR(D471*E471,0)</f>
        <v/>
      </c>
      <c r="G471" s="106">
        <f>INDEX(SETORES!$B:$B,MATCH(A471,SETORES!$A:$A,0))</f>
        <v/>
      </c>
      <c r="H471" s="106" t="inlineStr">
        <is>
          <t>Maio/2026</t>
        </is>
      </c>
    </row>
    <row r="472" hidden="1" ht="14.25" customHeight="1" s="64">
      <c r="A472" s="101" t="inlineStr">
        <is>
          <t>Jurídico</t>
        </is>
      </c>
      <c r="B472" s="101" t="inlineStr">
        <is>
          <t>Custo Fixo</t>
        </is>
      </c>
      <c r="C472" s="101" t="inlineStr">
        <is>
          <t>Despesas com DP</t>
        </is>
      </c>
      <c r="D472" s="102" t="n">
        <v>2</v>
      </c>
      <c r="E472" s="103" t="n">
        <v>47.79</v>
      </c>
      <c r="F472" s="104">
        <f>IFERROR(D472*E472,0)</f>
        <v/>
      </c>
      <c r="G472" s="101">
        <f>INDEX(SETORES!$B:$B,MATCH(A472,SETORES!$A:$A,0))</f>
        <v/>
      </c>
      <c r="H472" s="101" t="inlineStr">
        <is>
          <t>Maio/2026</t>
        </is>
      </c>
    </row>
    <row r="473" hidden="1" ht="14.25" customHeight="1" s="64">
      <c r="A473" s="106" t="inlineStr">
        <is>
          <t>Jurídico</t>
        </is>
      </c>
      <c r="B473" s="106" t="inlineStr">
        <is>
          <t>Custo Fixo</t>
        </is>
      </c>
      <c r="C473" s="106" t="inlineStr">
        <is>
          <t>Despesas com SST</t>
        </is>
      </c>
      <c r="D473" s="107" t="n">
        <v>2</v>
      </c>
      <c r="E473" s="108" t="n">
        <v>64.56999999999999</v>
      </c>
      <c r="F473" s="109">
        <f>IFERROR(D473*E473,0)</f>
        <v/>
      </c>
      <c r="G473" s="106">
        <f>INDEX(SETORES!$B:$B,MATCH(A473,SETORES!$A:$A,0))</f>
        <v/>
      </c>
      <c r="H473" s="106" t="inlineStr">
        <is>
          <t>Maio/2026</t>
        </is>
      </c>
    </row>
    <row r="474" hidden="1" ht="14.25" customHeight="1" s="64">
      <c r="A474" s="101" t="inlineStr">
        <is>
          <t>Marketing</t>
        </is>
      </c>
      <c r="B474" s="101" t="inlineStr">
        <is>
          <t>Custo Fixo</t>
        </is>
      </c>
      <c r="C474" s="101" t="inlineStr">
        <is>
          <t>Gympass</t>
        </is>
      </c>
      <c r="D474" s="102" t="n">
        <v>12</v>
      </c>
      <c r="E474" s="103" t="n">
        <v>10.05</v>
      </c>
      <c r="F474" s="104">
        <f>IFERROR(D474*E474,0)</f>
        <v/>
      </c>
      <c r="G474" s="101">
        <f>INDEX(SETORES!$B:$B,MATCH(A474,SETORES!$A:$A,0))</f>
        <v/>
      </c>
      <c r="H474" s="101" t="inlineStr">
        <is>
          <t>Maio/2026</t>
        </is>
      </c>
    </row>
    <row r="475" hidden="1" ht="14.25" customHeight="1" s="64">
      <c r="A475" s="106" t="inlineStr">
        <is>
          <t>Marketing</t>
        </is>
      </c>
      <c r="B475" s="106" t="inlineStr">
        <is>
          <t>Custo Fixo</t>
        </is>
      </c>
      <c r="C475" s="106" t="inlineStr">
        <is>
          <t>Stargrid</t>
        </is>
      </c>
      <c r="D475" s="107" t="n">
        <v>12</v>
      </c>
      <c r="E475" s="108" t="n">
        <v>2.07</v>
      </c>
      <c r="F475" s="109">
        <f>IFERROR(D475*E475,0)</f>
        <v/>
      </c>
      <c r="G475" s="106">
        <f>INDEX(SETORES!$B:$B,MATCH(A475,SETORES!$A:$A,0))</f>
        <v/>
      </c>
      <c r="H475" s="106" t="inlineStr">
        <is>
          <t>Maio/2026</t>
        </is>
      </c>
    </row>
    <row r="476" hidden="1" ht="14.25" customHeight="1" s="64">
      <c r="A476" s="101" t="inlineStr">
        <is>
          <t>Marketing</t>
        </is>
      </c>
      <c r="B476" s="101" t="inlineStr">
        <is>
          <t>Custo Fixo</t>
        </is>
      </c>
      <c r="C476" s="101" t="inlineStr">
        <is>
          <t>Licença de e-mail corporativo</t>
        </is>
      </c>
      <c r="D476" s="102" t="n">
        <v>12</v>
      </c>
      <c r="E476" s="103" t="n">
        <v>50</v>
      </c>
      <c r="F476" s="104">
        <f>IFERROR(D476*E476,0)</f>
        <v/>
      </c>
      <c r="G476" s="101">
        <f>INDEX(SETORES!$B:$B,MATCH(A476,SETORES!$A:$A,0))</f>
        <v/>
      </c>
      <c r="H476" s="101" t="inlineStr">
        <is>
          <t>Maio/2026</t>
        </is>
      </c>
    </row>
    <row r="477" hidden="1" ht="14.25" customHeight="1" s="64">
      <c r="A477" s="106" t="inlineStr">
        <is>
          <t>Marketing</t>
        </is>
      </c>
      <c r="B477" s="106" t="inlineStr">
        <is>
          <t>Custo Fixo</t>
        </is>
      </c>
      <c r="C477" s="106" t="inlineStr">
        <is>
          <t>Despesas com RH</t>
        </is>
      </c>
      <c r="D477" s="107" t="n">
        <v>12</v>
      </c>
      <c r="E477" s="108" t="n">
        <v>28.31</v>
      </c>
      <c r="F477" s="109">
        <f>IFERROR(D477*E477,0)</f>
        <v/>
      </c>
      <c r="G477" s="106">
        <f>INDEX(SETORES!$B:$B,MATCH(A477,SETORES!$A:$A,0))</f>
        <v/>
      </c>
      <c r="H477" s="106" t="inlineStr">
        <is>
          <t>Maio/2026</t>
        </is>
      </c>
    </row>
    <row r="478" hidden="1" ht="14.25" customHeight="1" s="64">
      <c r="A478" s="101" t="inlineStr">
        <is>
          <t>Marketing</t>
        </is>
      </c>
      <c r="B478" s="101" t="inlineStr">
        <is>
          <t>Custo Fixo</t>
        </is>
      </c>
      <c r="C478" s="101" t="inlineStr">
        <is>
          <t>Despesas com DP</t>
        </is>
      </c>
      <c r="D478" s="102" t="n">
        <v>12</v>
      </c>
      <c r="E478" s="103" t="n">
        <v>47.79</v>
      </c>
      <c r="F478" s="104">
        <f>IFERROR(D478*E478,0)</f>
        <v/>
      </c>
      <c r="G478" s="101">
        <f>INDEX(SETORES!$B:$B,MATCH(A478,SETORES!$A:$A,0))</f>
        <v/>
      </c>
      <c r="H478" s="101" t="inlineStr">
        <is>
          <t>Maio/2026</t>
        </is>
      </c>
    </row>
    <row r="479" hidden="1" ht="14.25" customHeight="1" s="64">
      <c r="A479" s="106" t="inlineStr">
        <is>
          <t>Marketing</t>
        </is>
      </c>
      <c r="B479" s="106" t="inlineStr">
        <is>
          <t>Custo Fixo</t>
        </is>
      </c>
      <c r="C479" s="106" t="inlineStr">
        <is>
          <t>Despesas com SST</t>
        </is>
      </c>
      <c r="D479" s="107" t="n">
        <v>12</v>
      </c>
      <c r="E479" s="108" t="n">
        <v>64.56999999999999</v>
      </c>
      <c r="F479" s="109">
        <f>IFERROR(D479*E479,0)</f>
        <v/>
      </c>
      <c r="G479" s="106">
        <f>INDEX(SETORES!$B:$B,MATCH(A479,SETORES!$A:$A,0))</f>
        <v/>
      </c>
      <c r="H479" s="106" t="inlineStr">
        <is>
          <t>Maio/2026</t>
        </is>
      </c>
    </row>
    <row r="480" hidden="1" ht="14.25" customHeight="1" s="64">
      <c r="A480" s="101" t="inlineStr">
        <is>
          <t>TIC</t>
        </is>
      </c>
      <c r="B480" s="101" t="inlineStr">
        <is>
          <t>Custo Fixo</t>
        </is>
      </c>
      <c r="C480" s="101" t="inlineStr">
        <is>
          <t>Gympass</t>
        </is>
      </c>
      <c r="D480" s="102" t="n">
        <v>6</v>
      </c>
      <c r="E480" s="103" t="n">
        <v>10.05</v>
      </c>
      <c r="F480" s="104">
        <f>IFERROR(D480*E480,0)</f>
        <v/>
      </c>
      <c r="G480" s="101">
        <f>INDEX(SETORES!$B:$B,MATCH(A480,SETORES!$A:$A,0))</f>
        <v/>
      </c>
      <c r="H480" s="101" t="inlineStr">
        <is>
          <t>Maio/2026</t>
        </is>
      </c>
    </row>
    <row r="481" hidden="1" ht="14.25" customHeight="1" s="64">
      <c r="A481" s="106" t="inlineStr">
        <is>
          <t>TIC</t>
        </is>
      </c>
      <c r="B481" s="106" t="inlineStr">
        <is>
          <t>Custo Fixo</t>
        </is>
      </c>
      <c r="C481" s="106" t="inlineStr">
        <is>
          <t>Stargrid</t>
        </is>
      </c>
      <c r="D481" s="107" t="n">
        <v>6</v>
      </c>
      <c r="E481" s="108" t="n">
        <v>2.07</v>
      </c>
      <c r="F481" s="109">
        <f>IFERROR(D481*E481,0)</f>
        <v/>
      </c>
      <c r="G481" s="106">
        <f>INDEX(SETORES!$B:$B,MATCH(A481,SETORES!$A:$A,0))</f>
        <v/>
      </c>
      <c r="H481" s="106" t="inlineStr">
        <is>
          <t>Maio/2026</t>
        </is>
      </c>
    </row>
    <row r="482" hidden="1" ht="14.25" customHeight="1" s="64">
      <c r="A482" s="101" t="inlineStr">
        <is>
          <t>TIC</t>
        </is>
      </c>
      <c r="B482" s="101" t="inlineStr">
        <is>
          <t>Custo Fixo</t>
        </is>
      </c>
      <c r="C482" s="101" t="inlineStr">
        <is>
          <t>Licença de e-mail corporativo</t>
        </is>
      </c>
      <c r="D482" s="102" t="n">
        <v>6</v>
      </c>
      <c r="E482" s="103" t="n">
        <v>100</v>
      </c>
      <c r="F482" s="104">
        <f>IFERROR(D482*E482,0)</f>
        <v/>
      </c>
      <c r="G482" s="101">
        <f>INDEX(SETORES!$B:$B,MATCH(A482,SETORES!$A:$A,0))</f>
        <v/>
      </c>
      <c r="H482" s="101" t="inlineStr">
        <is>
          <t>Maio/2026</t>
        </is>
      </c>
    </row>
    <row r="483" hidden="1" ht="14.25" customHeight="1" s="64">
      <c r="A483" s="106" t="inlineStr">
        <is>
          <t>TIC</t>
        </is>
      </c>
      <c r="B483" s="106" t="inlineStr">
        <is>
          <t>Custo Fixo</t>
        </is>
      </c>
      <c r="C483" s="106" t="inlineStr">
        <is>
          <t>Despesas com RH</t>
        </is>
      </c>
      <c r="D483" s="107" t="n">
        <v>6</v>
      </c>
      <c r="E483" s="108" t="n">
        <v>28.31</v>
      </c>
      <c r="F483" s="109">
        <f>IFERROR(D483*E483,0)</f>
        <v/>
      </c>
      <c r="G483" s="106">
        <f>INDEX(SETORES!$B:$B,MATCH(A483,SETORES!$A:$A,0))</f>
        <v/>
      </c>
      <c r="H483" s="106" t="inlineStr">
        <is>
          <t>Maio/2026</t>
        </is>
      </c>
    </row>
    <row r="484" hidden="1" ht="14.25" customHeight="1" s="64">
      <c r="A484" s="101" t="inlineStr">
        <is>
          <t>TIC</t>
        </is>
      </c>
      <c r="B484" s="101" t="inlineStr">
        <is>
          <t>Custo Fixo</t>
        </is>
      </c>
      <c r="C484" s="101" t="inlineStr">
        <is>
          <t>Despesas com DP</t>
        </is>
      </c>
      <c r="D484" s="102" t="n">
        <v>6</v>
      </c>
      <c r="E484" s="103" t="n">
        <v>47.79</v>
      </c>
      <c r="F484" s="104">
        <f>IFERROR(D484*E484,0)</f>
        <v/>
      </c>
      <c r="G484" s="101">
        <f>INDEX(SETORES!$B:$B,MATCH(A484,SETORES!$A:$A,0))</f>
        <v/>
      </c>
      <c r="H484" s="101" t="inlineStr">
        <is>
          <t>Maio/2026</t>
        </is>
      </c>
    </row>
    <row r="485" hidden="1" ht="14.25" customHeight="1" s="64">
      <c r="A485" s="106" t="inlineStr">
        <is>
          <t>TIC</t>
        </is>
      </c>
      <c r="B485" s="106" t="inlineStr">
        <is>
          <t>Custo Fixo</t>
        </is>
      </c>
      <c r="C485" s="106" t="inlineStr">
        <is>
          <t>Despesas com SST</t>
        </is>
      </c>
      <c r="D485" s="107" t="n">
        <v>6</v>
      </c>
      <c r="E485" s="108" t="n">
        <v>64.56999999999999</v>
      </c>
      <c r="F485" s="109">
        <f>IFERROR(D485*E485,0)</f>
        <v/>
      </c>
      <c r="G485" s="106">
        <f>INDEX(SETORES!$B:$B,MATCH(A485,SETORES!$A:$A,0))</f>
        <v/>
      </c>
      <c r="H485" s="106" t="inlineStr">
        <is>
          <t>Maio/2026</t>
        </is>
      </c>
    </row>
    <row r="486" hidden="1" ht="14.25" customHeight="1" s="64">
      <c r="A486" s="101" t="inlineStr">
        <is>
          <t>COE</t>
        </is>
      </c>
      <c r="B486" s="101" t="inlineStr">
        <is>
          <t>Custo Fixo</t>
        </is>
      </c>
      <c r="C486" s="101" t="inlineStr">
        <is>
          <t>Gympass</t>
        </is>
      </c>
      <c r="D486" s="102" t="n">
        <v>14</v>
      </c>
      <c r="E486" s="103" t="n">
        <v>10.05</v>
      </c>
      <c r="F486" s="104">
        <f>IFERROR(D486*E486,0)</f>
        <v/>
      </c>
      <c r="G486" s="101">
        <f>INDEX(SETORES!$B:$B,MATCH(A486,SETORES!$A:$A,0))</f>
        <v/>
      </c>
      <c r="H486" s="101" t="inlineStr">
        <is>
          <t>Maio/2026</t>
        </is>
      </c>
    </row>
    <row r="487" hidden="1" ht="14.25" customHeight="1" s="64">
      <c r="A487" s="106" t="inlineStr">
        <is>
          <t>COE</t>
        </is>
      </c>
      <c r="B487" s="106" t="inlineStr">
        <is>
          <t>Custo Fixo</t>
        </is>
      </c>
      <c r="C487" s="106" t="inlineStr">
        <is>
          <t>Stargrid</t>
        </is>
      </c>
      <c r="D487" s="107" t="n">
        <v>14</v>
      </c>
      <c r="E487" s="108" t="n">
        <v>2.07</v>
      </c>
      <c r="F487" s="109">
        <f>IFERROR(D487*E487,0)</f>
        <v/>
      </c>
      <c r="G487" s="106">
        <f>INDEX(SETORES!$B:$B,MATCH(A487,SETORES!$A:$A,0))</f>
        <v/>
      </c>
      <c r="H487" s="106" t="inlineStr">
        <is>
          <t>Maio/2026</t>
        </is>
      </c>
    </row>
    <row r="488" hidden="1" ht="14.25" customHeight="1" s="64">
      <c r="A488" s="101" t="inlineStr">
        <is>
          <t>COE</t>
        </is>
      </c>
      <c r="B488" s="101" t="inlineStr">
        <is>
          <t>Custo Fixo</t>
        </is>
      </c>
      <c r="C488" s="101" t="inlineStr">
        <is>
          <t>Licença de e-mail corporativo</t>
        </is>
      </c>
      <c r="D488" s="102" t="n">
        <v>14</v>
      </c>
      <c r="E488" s="103" t="n">
        <v>50</v>
      </c>
      <c r="F488" s="104">
        <f>IFERROR(D488*E488,0)</f>
        <v/>
      </c>
      <c r="G488" s="101">
        <f>INDEX(SETORES!$B:$B,MATCH(A488,SETORES!$A:$A,0))</f>
        <v/>
      </c>
      <c r="H488" s="101" t="inlineStr">
        <is>
          <t>Maio/2026</t>
        </is>
      </c>
    </row>
    <row r="489" hidden="1" ht="14.25" customHeight="1" s="64">
      <c r="A489" s="106" t="inlineStr">
        <is>
          <t>COE</t>
        </is>
      </c>
      <c r="B489" s="106" t="inlineStr">
        <is>
          <t>Custo Fixo</t>
        </is>
      </c>
      <c r="C489" s="106" t="inlineStr">
        <is>
          <t>Despesas com RH</t>
        </is>
      </c>
      <c r="D489" s="107" t="n">
        <v>14</v>
      </c>
      <c r="E489" s="108" t="n">
        <v>28.31</v>
      </c>
      <c r="F489" s="109">
        <f>IFERROR(D489*E489,0)</f>
        <v/>
      </c>
      <c r="G489" s="106">
        <f>INDEX(SETORES!$B:$B,MATCH(A489,SETORES!$A:$A,0))</f>
        <v/>
      </c>
      <c r="H489" s="106" t="inlineStr">
        <is>
          <t>Maio/2026</t>
        </is>
      </c>
    </row>
    <row r="490" hidden="1" ht="14.25" customHeight="1" s="64">
      <c r="A490" s="101" t="inlineStr">
        <is>
          <t>COE</t>
        </is>
      </c>
      <c r="B490" s="101" t="inlineStr">
        <is>
          <t>Custo Fixo</t>
        </is>
      </c>
      <c r="C490" s="101" t="inlineStr">
        <is>
          <t>Despesas com DP</t>
        </is>
      </c>
      <c r="D490" s="102" t="n">
        <v>14</v>
      </c>
      <c r="E490" s="103" t="n">
        <v>47.79</v>
      </c>
      <c r="F490" s="104">
        <f>IFERROR(D490*E490,0)</f>
        <v/>
      </c>
      <c r="G490" s="101">
        <f>INDEX(SETORES!$B:$B,MATCH(A490,SETORES!$A:$A,0))</f>
        <v/>
      </c>
      <c r="H490" s="101" t="inlineStr">
        <is>
          <t>Maio/2026</t>
        </is>
      </c>
    </row>
    <row r="491" hidden="1" ht="14.25" customHeight="1" s="64">
      <c r="A491" s="106" t="inlineStr">
        <is>
          <t>COE</t>
        </is>
      </c>
      <c r="B491" s="106" t="inlineStr">
        <is>
          <t>Custo Fixo</t>
        </is>
      </c>
      <c r="C491" s="106" t="inlineStr">
        <is>
          <t>Despesas com SST</t>
        </is>
      </c>
      <c r="D491" s="107" t="n">
        <v>14</v>
      </c>
      <c r="E491" s="108" t="n">
        <v>64.56999999999999</v>
      </c>
      <c r="F491" s="109">
        <f>IFERROR(D491*E491,0)</f>
        <v/>
      </c>
      <c r="G491" s="106">
        <f>INDEX(SETORES!$B:$B,MATCH(A491,SETORES!$A:$A,0))</f>
        <v/>
      </c>
      <c r="H491" s="106" t="inlineStr">
        <is>
          <t>Maio/2026</t>
        </is>
      </c>
    </row>
    <row r="492" hidden="1" ht="14.25" customHeight="1" s="64">
      <c r="A492" s="101" t="inlineStr">
        <is>
          <t>Fique Móvel</t>
        </is>
      </c>
      <c r="B492" s="101" t="inlineStr">
        <is>
          <t>Custo Fixo</t>
        </is>
      </c>
      <c r="C492" s="101" t="inlineStr">
        <is>
          <t>Gympass</t>
        </is>
      </c>
      <c r="D492" s="102" t="n">
        <v>2</v>
      </c>
      <c r="E492" s="103" t="n">
        <v>10.05</v>
      </c>
      <c r="F492" s="104">
        <f>IFERROR(D492*E492,0)</f>
        <v/>
      </c>
      <c r="G492" s="101">
        <f>INDEX(SETORES!$B:$B,MATCH(A492,SETORES!$A:$A,0))</f>
        <v/>
      </c>
      <c r="H492" s="101" t="inlineStr">
        <is>
          <t>Maio/2026</t>
        </is>
      </c>
    </row>
    <row r="493" hidden="1" ht="14.25" customHeight="1" s="64">
      <c r="A493" s="106" t="inlineStr">
        <is>
          <t>Fique Móvel</t>
        </is>
      </c>
      <c r="B493" s="106" t="inlineStr">
        <is>
          <t>Custo Fixo</t>
        </is>
      </c>
      <c r="C493" s="106" t="inlineStr">
        <is>
          <t>Stargrid</t>
        </is>
      </c>
      <c r="D493" s="107" t="n">
        <v>2</v>
      </c>
      <c r="E493" s="108" t="n">
        <v>2.07</v>
      </c>
      <c r="F493" s="109">
        <f>IFERROR(D493*E493,0)</f>
        <v/>
      </c>
      <c r="G493" s="106">
        <f>INDEX(SETORES!$B:$B,MATCH(A493,SETORES!$A:$A,0))</f>
        <v/>
      </c>
      <c r="H493" s="106" t="inlineStr">
        <is>
          <t>Maio/2026</t>
        </is>
      </c>
    </row>
    <row r="494" hidden="1" ht="14.25" customHeight="1" s="64">
      <c r="A494" s="101" t="inlineStr">
        <is>
          <t>Fique Móvel</t>
        </is>
      </c>
      <c r="B494" s="101" t="inlineStr">
        <is>
          <t>Custo Fixo</t>
        </is>
      </c>
      <c r="C494" s="101" t="inlineStr">
        <is>
          <t>Licença de e-mail corporativo</t>
        </is>
      </c>
      <c r="D494" s="102" t="n">
        <v>2</v>
      </c>
      <c r="E494" s="103" t="n">
        <v>50</v>
      </c>
      <c r="F494" s="104">
        <f>IFERROR(D494*E494,0)</f>
        <v/>
      </c>
      <c r="G494" s="101">
        <f>INDEX(SETORES!$B:$B,MATCH(A494,SETORES!$A:$A,0))</f>
        <v/>
      </c>
      <c r="H494" s="101" t="inlineStr">
        <is>
          <t>Maio/2026</t>
        </is>
      </c>
    </row>
    <row r="495" hidden="1" ht="14.25" customHeight="1" s="64">
      <c r="A495" s="106" t="inlineStr">
        <is>
          <t>Fique Móvel</t>
        </is>
      </c>
      <c r="B495" s="106" t="inlineStr">
        <is>
          <t>Custo Fixo</t>
        </is>
      </c>
      <c r="C495" s="106" t="inlineStr">
        <is>
          <t>Despesas com RH</t>
        </is>
      </c>
      <c r="D495" s="107" t="n">
        <v>2</v>
      </c>
      <c r="E495" s="108" t="n">
        <v>28.31</v>
      </c>
      <c r="F495" s="109">
        <f>IFERROR(D495*E495,0)</f>
        <v/>
      </c>
      <c r="G495" s="106">
        <f>INDEX(SETORES!$B:$B,MATCH(A495,SETORES!$A:$A,0))</f>
        <v/>
      </c>
      <c r="H495" s="106" t="inlineStr">
        <is>
          <t>Maio/2026</t>
        </is>
      </c>
    </row>
    <row r="496" hidden="1" ht="14.25" customHeight="1" s="64">
      <c r="A496" s="101" t="inlineStr">
        <is>
          <t>Fique Móvel</t>
        </is>
      </c>
      <c r="B496" s="101" t="inlineStr">
        <is>
          <t>Custo Fixo</t>
        </is>
      </c>
      <c r="C496" s="101" t="inlineStr">
        <is>
          <t>Despesas com DP</t>
        </is>
      </c>
      <c r="D496" s="102" t="n">
        <v>2</v>
      </c>
      <c r="E496" s="103" t="n">
        <v>47.79</v>
      </c>
      <c r="F496" s="104">
        <f>IFERROR(D496*E496,0)</f>
        <v/>
      </c>
      <c r="G496" s="101">
        <f>INDEX(SETORES!$B:$B,MATCH(A496,SETORES!$A:$A,0))</f>
        <v/>
      </c>
      <c r="H496" s="101" t="inlineStr">
        <is>
          <t>Maio/2026</t>
        </is>
      </c>
    </row>
    <row r="497" hidden="1" ht="14.25" customHeight="1" s="64">
      <c r="A497" s="106" t="inlineStr">
        <is>
          <t>Fique Móvel</t>
        </is>
      </c>
      <c r="B497" s="106" t="inlineStr">
        <is>
          <t>Custo Fixo</t>
        </is>
      </c>
      <c r="C497" s="106" t="inlineStr">
        <is>
          <t>Despesas com SST</t>
        </is>
      </c>
      <c r="D497" s="107" t="n">
        <v>2</v>
      </c>
      <c r="E497" s="108" t="n">
        <v>64.56999999999999</v>
      </c>
      <c r="F497" s="109">
        <f>IFERROR(D497*E497,0)</f>
        <v/>
      </c>
      <c r="G497" s="106">
        <f>INDEX(SETORES!$B:$B,MATCH(A497,SETORES!$A:$A,0))</f>
        <v/>
      </c>
      <c r="H497" s="106" t="inlineStr">
        <is>
          <t>Maio/2026</t>
        </is>
      </c>
    </row>
    <row r="498" hidden="1" ht="14.25" customHeight="1" s="64">
      <c r="A498" s="101" t="inlineStr">
        <is>
          <t>Lançamento</t>
        </is>
      </c>
      <c r="B498" s="101" t="inlineStr">
        <is>
          <t>Custo Fixo</t>
        </is>
      </c>
      <c r="C498" s="101" t="inlineStr">
        <is>
          <t>Gympass</t>
        </is>
      </c>
      <c r="D498" s="102" t="n">
        <v>22</v>
      </c>
      <c r="E498" s="103" t="n">
        <v>10.05</v>
      </c>
      <c r="F498" s="104">
        <f>IFERROR(D498*E498,0)</f>
        <v/>
      </c>
      <c r="G498" s="101">
        <f>INDEX(SETORES!$B:$B,MATCH(A498,SETORES!$A:$A,0))</f>
        <v/>
      </c>
      <c r="H498" s="101" t="inlineStr">
        <is>
          <t>Maio/2026</t>
        </is>
      </c>
    </row>
    <row r="499" hidden="1" ht="14.25" customHeight="1" s="64">
      <c r="A499" s="106" t="inlineStr">
        <is>
          <t>Lançamento</t>
        </is>
      </c>
      <c r="B499" s="106" t="inlineStr">
        <is>
          <t>Custo Fixo</t>
        </is>
      </c>
      <c r="C499" s="106" t="inlineStr">
        <is>
          <t>Stargrid</t>
        </is>
      </c>
      <c r="D499" s="107" t="n">
        <v>22</v>
      </c>
      <c r="E499" s="108" t="n">
        <v>2.07</v>
      </c>
      <c r="F499" s="109">
        <f>IFERROR(D499*E499,0)</f>
        <v/>
      </c>
      <c r="G499" s="106">
        <f>INDEX(SETORES!$B:$B,MATCH(A499,SETORES!$A:$A,0))</f>
        <v/>
      </c>
      <c r="H499" s="106" t="inlineStr">
        <is>
          <t>Maio/2026</t>
        </is>
      </c>
    </row>
    <row r="500" hidden="1" ht="14.25" customHeight="1" s="64">
      <c r="A500" s="101" t="inlineStr">
        <is>
          <t>Lançamento</t>
        </is>
      </c>
      <c r="B500" s="101" t="inlineStr">
        <is>
          <t>Custo Fixo</t>
        </is>
      </c>
      <c r="C500" s="101" t="inlineStr">
        <is>
          <t>Licença de e-mail corporativo</t>
        </is>
      </c>
      <c r="D500" s="102" t="n">
        <v>22</v>
      </c>
      <c r="E500" s="103" t="n">
        <v>50</v>
      </c>
      <c r="F500" s="104">
        <f>IFERROR(D500*E500,0)</f>
        <v/>
      </c>
      <c r="G500" s="101">
        <f>INDEX(SETORES!$B:$B,MATCH(A500,SETORES!$A:$A,0))</f>
        <v/>
      </c>
      <c r="H500" s="101" t="inlineStr">
        <is>
          <t>Maio/2026</t>
        </is>
      </c>
    </row>
    <row r="501" hidden="1" ht="14.25" customHeight="1" s="64">
      <c r="A501" s="106" t="inlineStr">
        <is>
          <t>Lançamento</t>
        </is>
      </c>
      <c r="B501" s="106" t="inlineStr">
        <is>
          <t>Custo Fixo</t>
        </is>
      </c>
      <c r="C501" s="106" t="inlineStr">
        <is>
          <t>Despesas com RH</t>
        </is>
      </c>
      <c r="D501" s="107" t="n">
        <v>22</v>
      </c>
      <c r="E501" s="108" t="n">
        <v>28.31</v>
      </c>
      <c r="F501" s="109">
        <f>IFERROR(D501*E501,0)</f>
        <v/>
      </c>
      <c r="G501" s="106">
        <f>INDEX(SETORES!$B:$B,MATCH(A501,SETORES!$A:$A,0))</f>
        <v/>
      </c>
      <c r="H501" s="106" t="inlineStr">
        <is>
          <t>Maio/2026</t>
        </is>
      </c>
    </row>
    <row r="502" hidden="1" ht="14.25" customHeight="1" s="64">
      <c r="A502" s="101" t="inlineStr">
        <is>
          <t>Lançamento</t>
        </is>
      </c>
      <c r="B502" s="101" t="inlineStr">
        <is>
          <t>Custo Fixo</t>
        </is>
      </c>
      <c r="C502" s="101" t="inlineStr">
        <is>
          <t>Despesas com DP</t>
        </is>
      </c>
      <c r="D502" s="102" t="n">
        <v>22</v>
      </c>
      <c r="E502" s="103" t="n">
        <v>47.79</v>
      </c>
      <c r="F502" s="104">
        <f>IFERROR(D502*E502,0)</f>
        <v/>
      </c>
      <c r="G502" s="101">
        <f>INDEX(SETORES!$B:$B,MATCH(A502,SETORES!$A:$A,0))</f>
        <v/>
      </c>
      <c r="H502" s="101" t="inlineStr">
        <is>
          <t>Maio/2026</t>
        </is>
      </c>
    </row>
    <row r="503" hidden="1" ht="14.25" customHeight="1" s="64">
      <c r="A503" s="106" t="inlineStr">
        <is>
          <t>Lançamento</t>
        </is>
      </c>
      <c r="B503" s="106" t="inlineStr">
        <is>
          <t>Custo Fixo</t>
        </is>
      </c>
      <c r="C503" s="106" t="inlineStr">
        <is>
          <t>Despesas com SST</t>
        </is>
      </c>
      <c r="D503" s="107" t="n">
        <v>22</v>
      </c>
      <c r="E503" s="108" t="n">
        <v>64.56999999999999</v>
      </c>
      <c r="F503" s="109">
        <f>IFERROR(D503*E503,0)</f>
        <v/>
      </c>
      <c r="G503" s="106">
        <f>INDEX(SETORES!$B:$B,MATCH(A503,SETORES!$A:$A,0))</f>
        <v/>
      </c>
      <c r="H503" s="106" t="inlineStr">
        <is>
          <t>Maio/2026</t>
        </is>
      </c>
    </row>
    <row r="504" hidden="1" ht="14.25" customHeight="1" s="64">
      <c r="A504" s="101" t="inlineStr">
        <is>
          <t>Fusão</t>
        </is>
      </c>
      <c r="B504" s="101" t="inlineStr">
        <is>
          <t>Custo Fixo</t>
        </is>
      </c>
      <c r="C504" s="101" t="inlineStr">
        <is>
          <t>Gympass</t>
        </is>
      </c>
      <c r="D504" s="102" t="n">
        <v>9</v>
      </c>
      <c r="E504" s="103" t="n">
        <v>10.05</v>
      </c>
      <c r="F504" s="104">
        <f>IFERROR(D504*E504,0)</f>
        <v/>
      </c>
      <c r="G504" s="101">
        <f>INDEX(SETORES!$B:$B,MATCH(A504,SETORES!$A:$A,0))</f>
        <v/>
      </c>
      <c r="H504" s="101" t="inlineStr">
        <is>
          <t>Maio/2026</t>
        </is>
      </c>
    </row>
    <row r="505" hidden="1" ht="14.25" customHeight="1" s="64">
      <c r="A505" s="106" t="inlineStr">
        <is>
          <t>Fusão</t>
        </is>
      </c>
      <c r="B505" s="106" t="inlineStr">
        <is>
          <t>Custo Fixo</t>
        </is>
      </c>
      <c r="C505" s="106" t="inlineStr">
        <is>
          <t>Stargrid</t>
        </is>
      </c>
      <c r="D505" s="107" t="n">
        <v>9</v>
      </c>
      <c r="E505" s="108" t="n">
        <v>2.07</v>
      </c>
      <c r="F505" s="109">
        <f>IFERROR(D505*E505,0)</f>
        <v/>
      </c>
      <c r="G505" s="106">
        <f>INDEX(SETORES!$B:$B,MATCH(A505,SETORES!$A:$A,0))</f>
        <v/>
      </c>
      <c r="H505" s="106" t="inlineStr">
        <is>
          <t>Maio/2026</t>
        </is>
      </c>
    </row>
    <row r="506" hidden="1" ht="14.25" customHeight="1" s="64">
      <c r="A506" s="101" t="inlineStr">
        <is>
          <t>Fusão</t>
        </is>
      </c>
      <c r="B506" s="101" t="inlineStr">
        <is>
          <t>Custo Fixo</t>
        </is>
      </c>
      <c r="C506" s="101" t="inlineStr">
        <is>
          <t>Licença de e-mail corporativo</t>
        </is>
      </c>
      <c r="D506" s="102" t="n">
        <v>10</v>
      </c>
      <c r="E506" s="103" t="n">
        <v>50</v>
      </c>
      <c r="F506" s="104">
        <f>IFERROR(D506*E506,0)</f>
        <v/>
      </c>
      <c r="G506" s="101">
        <f>INDEX(SETORES!$B:$B,MATCH(A506,SETORES!$A:$A,0))</f>
        <v/>
      </c>
      <c r="H506" s="101" t="inlineStr">
        <is>
          <t>Maio/2026</t>
        </is>
      </c>
    </row>
    <row r="507" hidden="1" ht="14.25" customHeight="1" s="64">
      <c r="A507" s="106" t="inlineStr">
        <is>
          <t>Fusão</t>
        </is>
      </c>
      <c r="B507" s="106" t="inlineStr">
        <is>
          <t>Custo Fixo</t>
        </is>
      </c>
      <c r="C507" s="106" t="inlineStr">
        <is>
          <t>Despesas com RH</t>
        </is>
      </c>
      <c r="D507" s="107" t="n">
        <v>9</v>
      </c>
      <c r="E507" s="108" t="n">
        <v>28.31</v>
      </c>
      <c r="F507" s="109">
        <f>IFERROR(D507*E507,0)</f>
        <v/>
      </c>
      <c r="G507" s="106">
        <f>INDEX(SETORES!$B:$B,MATCH(A507,SETORES!$A:$A,0))</f>
        <v/>
      </c>
      <c r="H507" s="106" t="inlineStr">
        <is>
          <t>Maio/2026</t>
        </is>
      </c>
    </row>
    <row r="508" hidden="1" ht="14.25" customHeight="1" s="64">
      <c r="A508" s="101" t="inlineStr">
        <is>
          <t>Fusão</t>
        </is>
      </c>
      <c r="B508" s="101" t="inlineStr">
        <is>
          <t>Custo Fixo</t>
        </is>
      </c>
      <c r="C508" s="101" t="inlineStr">
        <is>
          <t>Despesas com DP</t>
        </is>
      </c>
      <c r="D508" s="102" t="n">
        <v>9</v>
      </c>
      <c r="E508" s="103" t="n">
        <v>47.79</v>
      </c>
      <c r="F508" s="104">
        <f>IFERROR(D508*E508,0)</f>
        <v/>
      </c>
      <c r="G508" s="101">
        <f>INDEX(SETORES!$B:$B,MATCH(A508,SETORES!$A:$A,0))</f>
        <v/>
      </c>
      <c r="H508" s="101" t="inlineStr">
        <is>
          <t>Maio/2026</t>
        </is>
      </c>
    </row>
    <row r="509" hidden="1" ht="14.25" customHeight="1" s="64">
      <c r="A509" s="106" t="inlineStr">
        <is>
          <t>Fusão</t>
        </is>
      </c>
      <c r="B509" s="106" t="inlineStr">
        <is>
          <t>Custo Fixo</t>
        </is>
      </c>
      <c r="C509" s="106" t="inlineStr">
        <is>
          <t>Despesas com SST</t>
        </is>
      </c>
      <c r="D509" s="107" t="n">
        <v>9</v>
      </c>
      <c r="E509" s="108" t="n">
        <v>64.56999999999999</v>
      </c>
      <c r="F509" s="109">
        <f>IFERROR(D509*E509,0)</f>
        <v/>
      </c>
      <c r="G509" s="106">
        <f>INDEX(SETORES!$B:$B,MATCH(A509,SETORES!$A:$A,0))</f>
        <v/>
      </c>
      <c r="H509" s="106" t="inlineStr">
        <is>
          <t>Maio/2026</t>
        </is>
      </c>
    </row>
    <row r="510" hidden="1" ht="14.25" customHeight="1" s="64">
      <c r="A510" s="101" t="inlineStr">
        <is>
          <t>Diretoria Adm</t>
        </is>
      </c>
      <c r="B510" s="101" t="inlineStr">
        <is>
          <t>Custo Fixo</t>
        </is>
      </c>
      <c r="C510" s="101" t="inlineStr">
        <is>
          <t>Gympass</t>
        </is>
      </c>
      <c r="D510" s="102" t="n">
        <v>3</v>
      </c>
      <c r="E510" s="103" t="n">
        <v>10.05</v>
      </c>
      <c r="F510" s="104">
        <f>IFERROR(D510*E510,0)</f>
        <v/>
      </c>
      <c r="G510" s="101">
        <f>INDEX(SETORES!$B:$B,MATCH(A510,SETORES!$A:$A,0))</f>
        <v/>
      </c>
      <c r="H510" s="101" t="inlineStr">
        <is>
          <t>Maio/2026</t>
        </is>
      </c>
    </row>
    <row r="511" hidden="1" ht="14.25" customHeight="1" s="64">
      <c r="A511" s="106" t="inlineStr">
        <is>
          <t>Diretoria Adm</t>
        </is>
      </c>
      <c r="B511" s="106" t="inlineStr">
        <is>
          <t>Custo Fixo</t>
        </is>
      </c>
      <c r="C511" s="106" t="inlineStr">
        <is>
          <t>Stargrid</t>
        </is>
      </c>
      <c r="D511" s="107" t="n">
        <v>3</v>
      </c>
      <c r="E511" s="108" t="n">
        <v>2.07</v>
      </c>
      <c r="F511" s="109">
        <f>IFERROR(D511*E511,0)</f>
        <v/>
      </c>
      <c r="G511" s="106">
        <f>INDEX(SETORES!$B:$B,MATCH(A511,SETORES!$A:$A,0))</f>
        <v/>
      </c>
      <c r="H511" s="106" t="inlineStr">
        <is>
          <t>Maio/2026</t>
        </is>
      </c>
    </row>
    <row r="512" hidden="1" ht="14.25" customHeight="1" s="64">
      <c r="A512" s="101" t="inlineStr">
        <is>
          <t>Diretoria Adm</t>
        </is>
      </c>
      <c r="B512" s="101" t="inlineStr">
        <is>
          <t>Custo Fixo</t>
        </is>
      </c>
      <c r="C512" s="101" t="inlineStr">
        <is>
          <t>Licença de e-mail corporativo</t>
        </is>
      </c>
      <c r="D512" s="102" t="n">
        <v>3</v>
      </c>
      <c r="E512" s="103" t="n">
        <v>50</v>
      </c>
      <c r="F512" s="104">
        <f>IFERROR(D512*E512,0)</f>
        <v/>
      </c>
      <c r="G512" s="101">
        <f>INDEX(SETORES!$B:$B,MATCH(A512,SETORES!$A:$A,0))</f>
        <v/>
      </c>
      <c r="H512" s="101" t="inlineStr">
        <is>
          <t>Maio/2026</t>
        </is>
      </c>
    </row>
    <row r="513" hidden="1" ht="14.25" customHeight="1" s="64">
      <c r="A513" s="106" t="inlineStr">
        <is>
          <t>Diretoria Adm</t>
        </is>
      </c>
      <c r="B513" s="106" t="inlineStr">
        <is>
          <t>Custo Fixo</t>
        </is>
      </c>
      <c r="C513" s="106" t="inlineStr">
        <is>
          <t>Despesas com RH</t>
        </is>
      </c>
      <c r="D513" s="107" t="n">
        <v>3</v>
      </c>
      <c r="E513" s="108" t="n">
        <v>28.31</v>
      </c>
      <c r="F513" s="109">
        <f>IFERROR(D513*E513,0)</f>
        <v/>
      </c>
      <c r="G513" s="106">
        <f>INDEX(SETORES!$B:$B,MATCH(A513,SETORES!$A:$A,0))</f>
        <v/>
      </c>
      <c r="H513" s="106" t="inlineStr">
        <is>
          <t>Maio/2026</t>
        </is>
      </c>
    </row>
    <row r="514" hidden="1" ht="14.25" customHeight="1" s="64">
      <c r="A514" s="101" t="inlineStr">
        <is>
          <t>Diretoria Adm</t>
        </is>
      </c>
      <c r="B514" s="101" t="inlineStr">
        <is>
          <t>Custo Fixo</t>
        </is>
      </c>
      <c r="C514" s="101" t="inlineStr">
        <is>
          <t>Despesas com DP</t>
        </is>
      </c>
      <c r="D514" s="102" t="n">
        <v>3</v>
      </c>
      <c r="E514" s="103" t="n">
        <v>47.79</v>
      </c>
      <c r="F514" s="104">
        <f>IFERROR(D514*E514,0)</f>
        <v/>
      </c>
      <c r="G514" s="101">
        <f>INDEX(SETORES!$B:$B,MATCH(A514,SETORES!$A:$A,0))</f>
        <v/>
      </c>
      <c r="H514" s="101" t="inlineStr">
        <is>
          <t>Maio/2026</t>
        </is>
      </c>
    </row>
    <row r="515" hidden="1" ht="14.25" customHeight="1" s="64">
      <c r="A515" s="106" t="inlineStr">
        <is>
          <t>Diretoria Adm</t>
        </is>
      </c>
      <c r="B515" s="106" t="inlineStr">
        <is>
          <t>Custo Fixo</t>
        </is>
      </c>
      <c r="C515" s="106" t="inlineStr">
        <is>
          <t>Despesas com SST</t>
        </is>
      </c>
      <c r="D515" s="107" t="n">
        <v>3</v>
      </c>
      <c r="E515" s="108" t="n">
        <v>64.56999999999999</v>
      </c>
      <c r="F515" s="109">
        <f>IFERROR(D515*E515,0)</f>
        <v/>
      </c>
      <c r="G515" s="106">
        <f>INDEX(SETORES!$B:$B,MATCH(A515,SETORES!$A:$A,0))</f>
        <v/>
      </c>
      <c r="H515" s="106" t="inlineStr">
        <is>
          <t>Maio/2026</t>
        </is>
      </c>
    </row>
    <row r="516" hidden="1" ht="14.25" customHeight="1" s="64">
      <c r="A516" s="101" t="inlineStr">
        <is>
          <t>Jurídico</t>
        </is>
      </c>
      <c r="B516" s="101" t="inlineStr">
        <is>
          <t>Custo Fixo</t>
        </is>
      </c>
      <c r="C516" s="101" t="inlineStr">
        <is>
          <t>Consultoria Jurídica</t>
        </is>
      </c>
      <c r="D516" s="102" t="n">
        <v>1</v>
      </c>
      <c r="E516" s="103" t="n">
        <v>7500</v>
      </c>
      <c r="F516" s="104">
        <f>IFERROR(D516*E516,0)</f>
        <v/>
      </c>
      <c r="G516" s="101">
        <f>INDEX(SETORES!$B:$B,MATCH(A516,SETORES!$A:$A,0))</f>
        <v/>
      </c>
      <c r="H516" s="101" t="inlineStr">
        <is>
          <t>Maio/2026</t>
        </is>
      </c>
    </row>
    <row r="517" hidden="1" ht="14.25" customHeight="1" s="64">
      <c r="A517" s="106" t="inlineStr">
        <is>
          <t>Cozinha</t>
        </is>
      </c>
      <c r="B517" s="106" t="inlineStr">
        <is>
          <t>Custo Fixo</t>
        </is>
      </c>
      <c r="C517" s="106" t="inlineStr">
        <is>
          <t>Folha de pagamento (salários)</t>
        </is>
      </c>
      <c r="D517" s="107" t="n">
        <v>1</v>
      </c>
      <c r="E517" s="108" t="n">
        <v>25113.77</v>
      </c>
      <c r="F517" s="109" t="n">
        <v>25113.77</v>
      </c>
      <c r="G517" s="106">
        <f>INDEX(SETORES!$B:$B,MATCH(A517,SETORES!$A:$A,0))</f>
        <v/>
      </c>
      <c r="H517" s="106" t="inlineStr">
        <is>
          <t>Maio/2026</t>
        </is>
      </c>
    </row>
    <row r="518" hidden="1" ht="14.25" customHeight="1" s="64">
      <c r="A518" s="101" t="inlineStr">
        <is>
          <t>COE</t>
        </is>
      </c>
      <c r="B518" s="101" t="inlineStr">
        <is>
          <t>Custo Variável</t>
        </is>
      </c>
      <c r="C518" s="101" t="inlineStr">
        <is>
          <t>Rateio de transporte coletivo</t>
        </is>
      </c>
      <c r="D518" s="102" t="n">
        <v>14</v>
      </c>
      <c r="E518" s="103" t="n">
        <v>89.55</v>
      </c>
      <c r="F518" s="104">
        <f>IFERROR(D518*E518,0)</f>
        <v/>
      </c>
      <c r="G518" s="101">
        <f>INDEX(SETORES!$B:$B,MATCH(A518,SETORES!$A:$A,0))</f>
        <v/>
      </c>
      <c r="H518" s="101" t="inlineStr">
        <is>
          <t>Maio/2026</t>
        </is>
      </c>
    </row>
    <row r="519" hidden="1" ht="14.25" customHeight="1" s="64">
      <c r="A519" s="106" t="inlineStr">
        <is>
          <t>Cozinha</t>
        </is>
      </c>
      <c r="B519" s="106" t="inlineStr">
        <is>
          <t>Custo Variável</t>
        </is>
      </c>
      <c r="C519" s="106" t="inlineStr">
        <is>
          <t>Rateio de transporte coletivo</t>
        </is>
      </c>
      <c r="D519" s="107" t="n">
        <v>7</v>
      </c>
      <c r="E519" s="108" t="n">
        <v>89.55</v>
      </c>
      <c r="F519" s="109">
        <f>IFERROR(D519*E519,0)</f>
        <v/>
      </c>
      <c r="G519" s="106">
        <f>INDEX(SETORES!$B:$B,MATCH(A519,SETORES!$A:$A,0))</f>
        <v/>
      </c>
      <c r="H519" s="106" t="inlineStr">
        <is>
          <t>Maio/2026</t>
        </is>
      </c>
    </row>
    <row r="520" hidden="1" ht="14.25" customHeight="1" s="64">
      <c r="A520" s="101" t="inlineStr">
        <is>
          <t>COE</t>
        </is>
      </c>
      <c r="B520" s="101" t="inlineStr">
        <is>
          <t>Custo Fixo</t>
        </is>
      </c>
      <c r="C520" s="101" t="inlineStr">
        <is>
          <t>Energia elétrica (rateio)</t>
        </is>
      </c>
      <c r="D520" s="102" t="n">
        <v>14</v>
      </c>
      <c r="E520" s="103" t="n">
        <v>24.8613</v>
      </c>
      <c r="F520" s="104" t="n">
        <v>348.0582</v>
      </c>
      <c r="G520" s="101">
        <f>INDEX(SETORES!$B:$B,MATCH(A520,SETORES!$A:$A,0))</f>
        <v/>
      </c>
      <c r="H520" s="101" t="inlineStr">
        <is>
          <t>Maio/2026</t>
        </is>
      </c>
    </row>
    <row r="521" hidden="1" ht="14.25" customHeight="1" s="64">
      <c r="A521" s="106" t="inlineStr">
        <is>
          <t>COE</t>
        </is>
      </c>
      <c r="B521" s="106" t="inlineStr">
        <is>
          <t>Custo Fixo</t>
        </is>
      </c>
      <c r="C521" s="106" t="inlineStr">
        <is>
          <t>Água e esgoto (rateio)</t>
        </is>
      </c>
      <c r="D521" s="107" t="n">
        <v>14</v>
      </c>
      <c r="E521" s="108" t="n">
        <v>0.6343</v>
      </c>
      <c r="F521" s="109" t="n">
        <v>8.8802</v>
      </c>
      <c r="G521" s="106">
        <f>INDEX(SETORES!$B:$B,MATCH(A521,SETORES!$A:$A,0))</f>
        <v/>
      </c>
      <c r="H521" s="106" t="inlineStr">
        <is>
          <t>Maio/2026</t>
        </is>
      </c>
    </row>
    <row r="522" hidden="1" ht="14.25" customHeight="1" s="64">
      <c r="A522" s="101" t="inlineStr">
        <is>
          <t>Cozinha</t>
        </is>
      </c>
      <c r="B522" s="101" t="inlineStr">
        <is>
          <t>Custo Fixo</t>
        </is>
      </c>
      <c r="C522" s="101" t="inlineStr">
        <is>
          <t>Energia elétrica (rateio)</t>
        </is>
      </c>
      <c r="D522" s="102" t="n">
        <v>7</v>
      </c>
      <c r="E522" s="103" t="n">
        <v>24.8613</v>
      </c>
      <c r="F522" s="104" t="n">
        <v>174.0291</v>
      </c>
      <c r="G522" s="101">
        <f>INDEX(SETORES!$B:$B,MATCH(A522,SETORES!$A:$A,0))</f>
        <v/>
      </c>
      <c r="H522" s="101" t="inlineStr">
        <is>
          <t>Maio/2026</t>
        </is>
      </c>
    </row>
    <row r="523" hidden="1" ht="14.25" customHeight="1" s="64">
      <c r="A523" s="106" t="inlineStr">
        <is>
          <t>Cozinha</t>
        </is>
      </c>
      <c r="B523" s="106" t="inlineStr">
        <is>
          <t>Custo Fixo</t>
        </is>
      </c>
      <c r="C523" s="106" t="inlineStr">
        <is>
          <t>Água e esgoto (rateio)</t>
        </is>
      </c>
      <c r="D523" s="107" t="n">
        <v>7</v>
      </c>
      <c r="E523" s="108" t="n">
        <v>0.6343</v>
      </c>
      <c r="F523" s="109" t="n">
        <v>4.4401</v>
      </c>
      <c r="G523" s="106">
        <f>INDEX(SETORES!$B:$B,MATCH(A523,SETORES!$A:$A,0))</f>
        <v/>
      </c>
      <c r="H523" s="106" t="inlineStr">
        <is>
          <t>Maio/2026</t>
        </is>
      </c>
    </row>
    <row r="524" hidden="1" ht="14.25" customHeight="1" s="64">
      <c r="A524" s="101" t="inlineStr">
        <is>
          <t>COE</t>
        </is>
      </c>
      <c r="B524" s="101" t="inlineStr">
        <is>
          <t>Custo Variável</t>
        </is>
      </c>
      <c r="C524" s="101" t="inlineStr">
        <is>
          <t>Rescisões trabalhistas</t>
        </is>
      </c>
      <c r="D524" s="102" t="n"/>
      <c r="E524" s="103" t="n"/>
      <c r="F524" s="104">
        <f>IFERROR(D524*E524,0)</f>
        <v/>
      </c>
      <c r="G524" s="101">
        <f>INDEX(SETORES!$B:$B,MATCH(A524,SETORES!$A:$A,0))</f>
        <v/>
      </c>
      <c r="H524" s="101" t="inlineStr">
        <is>
          <t>Maio/2026</t>
        </is>
      </c>
    </row>
    <row r="525" hidden="1" ht="14.25" customHeight="1" s="64">
      <c r="A525" s="106" t="inlineStr">
        <is>
          <t>Compras</t>
        </is>
      </c>
      <c r="B525" s="106" t="inlineStr">
        <is>
          <t>Custo Variável</t>
        </is>
      </c>
      <c r="C525" s="106" t="inlineStr">
        <is>
          <t>Rescisões trabalhistas</t>
        </is>
      </c>
      <c r="D525" s="107" t="n"/>
      <c r="E525" s="108" t="n"/>
      <c r="F525" s="109">
        <f>IFERROR(D525*E525,0)</f>
        <v/>
      </c>
      <c r="G525" s="106">
        <f>INDEX(SETORES!$B:$B,MATCH(A525,SETORES!$A:$A,0))</f>
        <v/>
      </c>
      <c r="H525" s="106" t="inlineStr">
        <is>
          <t>Maio/2026</t>
        </is>
      </c>
    </row>
    <row r="526" hidden="1" ht="14.25" customHeight="1" s="64">
      <c r="A526" s="101" t="inlineStr">
        <is>
          <t>Controladoria</t>
        </is>
      </c>
      <c r="B526" s="101" t="inlineStr">
        <is>
          <t>Custo Variável</t>
        </is>
      </c>
      <c r="C526" s="101" t="inlineStr">
        <is>
          <t>Rescisões trabalhistas</t>
        </is>
      </c>
      <c r="D526" s="102" t="n"/>
      <c r="E526" s="103" t="n"/>
      <c r="F526" s="104">
        <f>IFERROR(D526*E526,0)</f>
        <v/>
      </c>
      <c r="G526" s="101">
        <f>INDEX(SETORES!$B:$B,MATCH(A526,SETORES!$A:$A,0))</f>
        <v/>
      </c>
      <c r="H526" s="101" t="inlineStr">
        <is>
          <t>Maio/2026</t>
        </is>
      </c>
    </row>
    <row r="527" hidden="1" ht="14.25" customHeight="1" s="64">
      <c r="A527" s="106" t="inlineStr">
        <is>
          <t>Cozinha</t>
        </is>
      </c>
      <c r="B527" s="106" t="inlineStr">
        <is>
          <t>Custo Variável</t>
        </is>
      </c>
      <c r="C527" s="106" t="inlineStr">
        <is>
          <t>Rescisões trabalhistas</t>
        </is>
      </c>
      <c r="D527" s="107" t="n"/>
      <c r="E527" s="108" t="n"/>
      <c r="F527" s="109">
        <f>IFERROR(D527*E527,0)</f>
        <v/>
      </c>
      <c r="G527" s="106">
        <f>INDEX(SETORES!$B:$B,MATCH(A527,SETORES!$A:$A,0))</f>
        <v/>
      </c>
      <c r="H527" s="106" t="inlineStr">
        <is>
          <t>Maio/2026</t>
        </is>
      </c>
    </row>
    <row r="528" hidden="1" ht="14.25" customHeight="1" s="64">
      <c r="A528" s="101" t="inlineStr">
        <is>
          <t>Diretoria Adm</t>
        </is>
      </c>
      <c r="B528" s="101" t="inlineStr">
        <is>
          <t>Custo Variável</t>
        </is>
      </c>
      <c r="C528" s="101" t="inlineStr">
        <is>
          <t>Rescisões trabalhistas</t>
        </is>
      </c>
      <c r="D528" s="102" t="n"/>
      <c r="E528" s="103" t="n"/>
      <c r="F528" s="104">
        <f>IFERROR(D528*E528,0)</f>
        <v/>
      </c>
      <c r="G528" s="101">
        <f>INDEX(SETORES!$B:$B,MATCH(A528,SETORES!$A:$A,0))</f>
        <v/>
      </c>
      <c r="H528" s="101" t="inlineStr">
        <is>
          <t>Maio/2026</t>
        </is>
      </c>
    </row>
    <row r="529" hidden="1" ht="14.25" customHeight="1" s="64">
      <c r="A529" s="106" t="inlineStr">
        <is>
          <t>Diretoria Operacional</t>
        </is>
      </c>
      <c r="B529" s="106" t="inlineStr">
        <is>
          <t>Custo Variável</t>
        </is>
      </c>
      <c r="C529" s="106" t="inlineStr">
        <is>
          <t>Rescisões trabalhistas</t>
        </is>
      </c>
      <c r="D529" s="107" t="n"/>
      <c r="E529" s="108" t="n"/>
      <c r="F529" s="109">
        <f>IFERROR(D529*E529,0)</f>
        <v/>
      </c>
      <c r="G529" s="106">
        <f>INDEX(SETORES!$B:$B,MATCH(A529,SETORES!$A:$A,0))</f>
        <v/>
      </c>
      <c r="H529" s="106" t="inlineStr">
        <is>
          <t>Maio/2026</t>
        </is>
      </c>
    </row>
    <row r="530" hidden="1" ht="14.25" customHeight="1" s="64">
      <c r="A530" s="101" t="inlineStr">
        <is>
          <t>Financeiro</t>
        </is>
      </c>
      <c r="B530" s="101" t="inlineStr">
        <is>
          <t>Custo Variável</t>
        </is>
      </c>
      <c r="C530" s="101" t="inlineStr">
        <is>
          <t>Rescisões trabalhistas</t>
        </is>
      </c>
      <c r="D530" s="102" t="n"/>
      <c r="E530" s="103" t="n"/>
      <c r="F530" s="104">
        <f>IFERROR(D530*E530,0)</f>
        <v/>
      </c>
      <c r="G530" s="101">
        <f>INDEX(SETORES!$B:$B,MATCH(A530,SETORES!$A:$A,0))</f>
        <v/>
      </c>
      <c r="H530" s="101" t="inlineStr">
        <is>
          <t>Maio/2026</t>
        </is>
      </c>
    </row>
    <row r="531" hidden="1" ht="14.25" customHeight="1" s="64">
      <c r="A531" s="106" t="inlineStr">
        <is>
          <t>Fique Móvel</t>
        </is>
      </c>
      <c r="B531" s="106" t="inlineStr">
        <is>
          <t>Custo Variável</t>
        </is>
      </c>
      <c r="C531" s="106" t="inlineStr">
        <is>
          <t>Rescisões trabalhistas</t>
        </is>
      </c>
      <c r="D531" s="107" t="n"/>
      <c r="E531" s="108" t="n"/>
      <c r="F531" s="109">
        <f>IFERROR(D531*E531,0)</f>
        <v/>
      </c>
      <c r="G531" s="106">
        <f>INDEX(SETORES!$B:$B,MATCH(A531,SETORES!$A:$A,0))</f>
        <v/>
      </c>
      <c r="H531" s="106" t="inlineStr">
        <is>
          <t>Maio/2026</t>
        </is>
      </c>
    </row>
    <row r="532" hidden="1" ht="14.25" customHeight="1" s="64">
      <c r="A532" s="101" t="inlineStr">
        <is>
          <t>Fusão</t>
        </is>
      </c>
      <c r="B532" s="101" t="inlineStr">
        <is>
          <t>Custo Variável</t>
        </is>
      </c>
      <c r="C532" s="101" t="inlineStr">
        <is>
          <t>Rescisões trabalhistas</t>
        </is>
      </c>
      <c r="D532" s="102" t="n"/>
      <c r="E532" s="103" t="n"/>
      <c r="F532" s="104">
        <f>IFERROR(D532*E532,0)</f>
        <v/>
      </c>
      <c r="G532" s="101">
        <f>INDEX(SETORES!$B:$B,MATCH(A532,SETORES!$A:$A,0))</f>
        <v/>
      </c>
      <c r="H532" s="101" t="inlineStr">
        <is>
          <t>Maio/2026</t>
        </is>
      </c>
    </row>
    <row r="533" hidden="1" ht="14.25" customHeight="1" s="64">
      <c r="A533" s="106" t="inlineStr">
        <is>
          <t>Gestão de Atendimento</t>
        </is>
      </c>
      <c r="B533" s="106" t="inlineStr">
        <is>
          <t>Custo Variável</t>
        </is>
      </c>
      <c r="C533" s="106" t="inlineStr">
        <is>
          <t>Rescisões trabalhistas</t>
        </is>
      </c>
      <c r="D533" s="107" t="n"/>
      <c r="E533" s="108" t="n"/>
      <c r="F533" s="109">
        <f>IFERROR(D533*E533,0)</f>
        <v/>
      </c>
      <c r="G533" s="106">
        <f>INDEX(SETORES!$B:$B,MATCH(A533,SETORES!$A:$A,0))</f>
        <v/>
      </c>
      <c r="H533" s="106" t="inlineStr">
        <is>
          <t>Maio/2026</t>
        </is>
      </c>
    </row>
    <row r="534" hidden="1" ht="14.25" customHeight="1" s="64">
      <c r="A534" s="101" t="inlineStr">
        <is>
          <t>Jurídico</t>
        </is>
      </c>
      <c r="B534" s="101" t="inlineStr">
        <is>
          <t>Custo Variável</t>
        </is>
      </c>
      <c r="C534" s="101" t="inlineStr">
        <is>
          <t>Rescisões trabalhistas</t>
        </is>
      </c>
      <c r="D534" s="102" t="n"/>
      <c r="E534" s="103" t="n"/>
      <c r="F534" s="104">
        <f>IFERROR(D534*E534,0)</f>
        <v/>
      </c>
      <c r="G534" s="101">
        <f>INDEX(SETORES!$B:$B,MATCH(A534,SETORES!$A:$A,0))</f>
        <v/>
      </c>
      <c r="H534" s="101" t="inlineStr">
        <is>
          <t>Maio/2026</t>
        </is>
      </c>
    </row>
    <row r="535" hidden="1" ht="14.25" customHeight="1" s="64">
      <c r="A535" s="106" t="inlineStr">
        <is>
          <t>Logística</t>
        </is>
      </c>
      <c r="B535" s="106" t="inlineStr">
        <is>
          <t>Custo Variável</t>
        </is>
      </c>
      <c r="C535" s="106" t="inlineStr">
        <is>
          <t>Rescisões trabalhistas</t>
        </is>
      </c>
      <c r="D535" s="107" t="n"/>
      <c r="E535" s="108" t="n"/>
      <c r="F535" s="109">
        <f>IFERROR(D535*E535,0)</f>
        <v/>
      </c>
      <c r="G535" s="106">
        <f>INDEX(SETORES!$B:$B,MATCH(A535,SETORES!$A:$A,0))</f>
        <v/>
      </c>
      <c r="H535" s="106" t="inlineStr">
        <is>
          <t>Maio/2026</t>
        </is>
      </c>
    </row>
    <row r="536" hidden="1" ht="14.25" customHeight="1" s="64">
      <c r="A536" s="101" t="inlineStr">
        <is>
          <t>Marketing</t>
        </is>
      </c>
      <c r="B536" s="101" t="inlineStr">
        <is>
          <t>Custo Variável</t>
        </is>
      </c>
      <c r="C536" s="101" t="inlineStr">
        <is>
          <t>Rescisões trabalhistas</t>
        </is>
      </c>
      <c r="D536" s="102" t="n"/>
      <c r="E536" s="103" t="n"/>
      <c r="F536" s="104">
        <f>IFERROR(D536*E536,0)</f>
        <v/>
      </c>
      <c r="G536" s="101">
        <f>INDEX(SETORES!$B:$B,MATCH(A536,SETORES!$A:$A,0))</f>
        <v/>
      </c>
      <c r="H536" s="101" t="inlineStr">
        <is>
          <t>Maio/2026</t>
        </is>
      </c>
    </row>
    <row r="537" hidden="1" ht="14.25" customHeight="1" s="64">
      <c r="A537" s="106" t="inlineStr">
        <is>
          <t>Oficina</t>
        </is>
      </c>
      <c r="B537" s="106" t="inlineStr">
        <is>
          <t>Custo Variável</t>
        </is>
      </c>
      <c r="C537" s="106" t="inlineStr">
        <is>
          <t>Rescisões trabalhistas</t>
        </is>
      </c>
      <c r="D537" s="107" t="n"/>
      <c r="E537" s="108" t="n"/>
      <c r="F537" s="109">
        <f>IFERROR(D537*E537,0)</f>
        <v/>
      </c>
      <c r="G537" s="106">
        <f>INDEX(SETORES!$B:$B,MATCH(A537,SETORES!$A:$A,0))</f>
        <v/>
      </c>
      <c r="H537" s="106" t="inlineStr">
        <is>
          <t>Maio/2026</t>
        </is>
      </c>
    </row>
    <row r="538" hidden="1" ht="14.25" customHeight="1" s="64">
      <c r="A538" s="101" t="inlineStr">
        <is>
          <t>Qualidade</t>
        </is>
      </c>
      <c r="B538" s="101" t="inlineStr">
        <is>
          <t>Custo Variável</t>
        </is>
      </c>
      <c r="C538" s="101" t="inlineStr">
        <is>
          <t>Rescisões trabalhistas</t>
        </is>
      </c>
      <c r="D538" s="102" t="n"/>
      <c r="E538" s="103" t="n"/>
      <c r="F538" s="104">
        <f>IFERROR(D538*E538,0)</f>
        <v/>
      </c>
      <c r="G538" s="101">
        <f>INDEX(SETORES!$B:$B,MATCH(A538,SETORES!$A:$A,0))</f>
        <v/>
      </c>
      <c r="H538" s="101" t="inlineStr">
        <is>
          <t>Maio/2026</t>
        </is>
      </c>
    </row>
    <row r="539" hidden="1" ht="14.25" customHeight="1" s="64">
      <c r="A539" s="106" t="inlineStr">
        <is>
          <t>RH</t>
        </is>
      </c>
      <c r="B539" s="106" t="inlineStr">
        <is>
          <t>Custo Variável</t>
        </is>
      </c>
      <c r="C539" s="106" t="inlineStr">
        <is>
          <t>Rescisões trabalhistas</t>
        </is>
      </c>
      <c r="D539" s="107" t="n"/>
      <c r="E539" s="108" t="n"/>
      <c r="F539" s="109">
        <f>IFERROR(D539*E539,0)</f>
        <v/>
      </c>
      <c r="G539" s="106">
        <f>INDEX(SETORES!$B:$B,MATCH(A539,SETORES!$A:$A,0))</f>
        <v/>
      </c>
      <c r="H539" s="106" t="inlineStr">
        <is>
          <t>Maio/2026</t>
        </is>
      </c>
    </row>
    <row r="540" hidden="1" ht="14.25" customHeight="1" s="64">
      <c r="A540" s="101" t="inlineStr">
        <is>
          <t>Fique Móvel</t>
        </is>
      </c>
      <c r="B540" s="101" t="inlineStr">
        <is>
          <t>Custo Fixo</t>
        </is>
      </c>
      <c r="C540" s="101" t="inlineStr">
        <is>
          <t>Impressora</t>
        </is>
      </c>
      <c r="D540" s="102" t="n">
        <v>1</v>
      </c>
      <c r="E540" s="103" t="n">
        <v>2.222222</v>
      </c>
      <c r="F540" s="104">
        <f>IFERROR(D540*E540,0)</f>
        <v/>
      </c>
      <c r="G540" s="101">
        <f>INDEX(SETORES!$B:$B,MATCH(A540,SETORES!$A:$A,0))</f>
        <v/>
      </c>
      <c r="H540" s="101" t="inlineStr">
        <is>
          <t>Maio/2026</t>
        </is>
      </c>
    </row>
    <row r="541" hidden="1" ht="14.25" customHeight="1" s="64">
      <c r="A541" s="106" t="inlineStr">
        <is>
          <t>TIC</t>
        </is>
      </c>
      <c r="B541" s="106" t="inlineStr">
        <is>
          <t>Custo Fixo</t>
        </is>
      </c>
      <c r="C541" s="106" t="inlineStr">
        <is>
          <t>Impressora</t>
        </is>
      </c>
      <c r="D541" s="107" t="n">
        <v>1</v>
      </c>
      <c r="E541" s="108" t="n">
        <v>6.666666</v>
      </c>
      <c r="F541" s="109">
        <f>IFERROR(D541*E541,0)</f>
        <v/>
      </c>
      <c r="G541" s="106">
        <f>INDEX(SETORES!$B:$B,MATCH(A541,SETORES!$A:$A,0))</f>
        <v/>
      </c>
      <c r="H541" s="106" t="inlineStr">
        <is>
          <t>Maio/2026</t>
        </is>
      </c>
    </row>
    <row r="542" hidden="1" ht="14.25" customHeight="1" s="64">
      <c r="A542" s="101" t="inlineStr">
        <is>
          <t>Comercial Corporativo</t>
        </is>
      </c>
      <c r="B542" s="101" t="inlineStr">
        <is>
          <t>Custo Fixo</t>
        </is>
      </c>
      <c r="C542" s="101" t="inlineStr">
        <is>
          <t>Impressora</t>
        </is>
      </c>
      <c r="D542" s="102" t="n">
        <v>1</v>
      </c>
      <c r="E542" s="103" t="n">
        <v>11.11111</v>
      </c>
      <c r="F542" s="104">
        <f>IFERROR(D542*E542,0)</f>
        <v/>
      </c>
      <c r="G542" s="101">
        <f>INDEX(SETORES!$B:$B,MATCH(A542,SETORES!$A:$A,0))</f>
        <v/>
      </c>
      <c r="H542" s="101" t="inlineStr">
        <is>
          <t>Maio/2026</t>
        </is>
      </c>
    </row>
    <row r="543" hidden="1" ht="14.25" customHeight="1" s="64">
      <c r="A543" s="106" t="inlineStr">
        <is>
          <t>Contabilidade</t>
        </is>
      </c>
      <c r="B543" s="106" t="inlineStr">
        <is>
          <t>Custo Fixo</t>
        </is>
      </c>
      <c r="C543" s="106" t="inlineStr">
        <is>
          <t>Impressora</t>
        </is>
      </c>
      <c r="D543" s="107" t="n">
        <v>1</v>
      </c>
      <c r="E543" s="108" t="n">
        <v>5.555555</v>
      </c>
      <c r="F543" s="109">
        <f>IFERROR(D543*E543,0)</f>
        <v/>
      </c>
      <c r="G543" s="106">
        <f>INDEX(SETORES!$B:$B,MATCH(A543,SETORES!$A:$A,0))</f>
        <v/>
      </c>
      <c r="H543" s="106" t="inlineStr">
        <is>
          <t>Maio/2026</t>
        </is>
      </c>
    </row>
    <row r="544" hidden="1" ht="14.25" customHeight="1" s="64">
      <c r="A544" s="101" t="inlineStr">
        <is>
          <t>Qualidade</t>
        </is>
      </c>
      <c r="B544" s="101" t="inlineStr">
        <is>
          <t>Custo Fixo</t>
        </is>
      </c>
      <c r="C544" s="101" t="inlineStr">
        <is>
          <t>Impressora</t>
        </is>
      </c>
      <c r="D544" s="102" t="n">
        <v>1</v>
      </c>
      <c r="E544" s="103" t="n">
        <v>7.777777</v>
      </c>
      <c r="F544" s="104">
        <f>IFERROR(D544*E544,0)</f>
        <v/>
      </c>
      <c r="G544" s="101">
        <f>INDEX(SETORES!$B:$B,MATCH(A544,SETORES!$A:$A,0))</f>
        <v/>
      </c>
      <c r="H544" s="101" t="inlineStr">
        <is>
          <t>Maio/2026</t>
        </is>
      </c>
    </row>
    <row r="545" hidden="1" ht="14.25" customHeight="1" s="64">
      <c r="A545" s="106" t="inlineStr">
        <is>
          <t>RH</t>
        </is>
      </c>
      <c r="B545" s="106" t="inlineStr">
        <is>
          <t>Custo Fixo</t>
        </is>
      </c>
      <c r="C545" s="106" t="inlineStr">
        <is>
          <t>Impressora</t>
        </is>
      </c>
      <c r="D545" s="107" t="n">
        <v>1</v>
      </c>
      <c r="E545" s="108" t="n">
        <v>4.444444</v>
      </c>
      <c r="F545" s="109">
        <f>IFERROR(D545*E545,0)</f>
        <v/>
      </c>
      <c r="G545" s="106">
        <f>INDEX(SETORES!$B:$B,MATCH(A545,SETORES!$A:$A,0))</f>
        <v/>
      </c>
      <c r="H545" s="106" t="inlineStr">
        <is>
          <t>Maio/2026</t>
        </is>
      </c>
    </row>
    <row r="546" hidden="1" ht="14.25" customHeight="1" s="64">
      <c r="A546" s="101" t="inlineStr">
        <is>
          <t>Diretoria Adm</t>
        </is>
      </c>
      <c r="B546" s="101" t="inlineStr">
        <is>
          <t>Custo Fixo</t>
        </is>
      </c>
      <c r="C546" s="101" t="inlineStr">
        <is>
          <t>Impressora</t>
        </is>
      </c>
      <c r="D546" s="102" t="n">
        <v>1</v>
      </c>
      <c r="E546" s="103" t="n">
        <v>3.333333</v>
      </c>
      <c r="F546" s="104">
        <f>IFERROR(D546*E546,0)</f>
        <v/>
      </c>
      <c r="G546" s="101">
        <f>INDEX(SETORES!$B:$B,MATCH(A546,SETORES!$A:$A,0))</f>
        <v/>
      </c>
      <c r="H546" s="101" t="inlineStr">
        <is>
          <t>Maio/2026</t>
        </is>
      </c>
    </row>
    <row r="547" hidden="1" ht="14.25" customHeight="1" s="64">
      <c r="A547" s="106" t="inlineStr">
        <is>
          <t>Diretoria Operacional</t>
        </is>
      </c>
      <c r="B547" s="106" t="inlineStr">
        <is>
          <t>Custo Fixo</t>
        </is>
      </c>
      <c r="C547" s="106" t="inlineStr">
        <is>
          <t>Impressora</t>
        </is>
      </c>
      <c r="D547" s="107" t="n">
        <v>1</v>
      </c>
      <c r="E547" s="108" t="n">
        <v>2.222222</v>
      </c>
      <c r="F547" s="109">
        <f>IFERROR(D547*E547,0)</f>
        <v/>
      </c>
      <c r="G547" s="106">
        <f>INDEX(SETORES!$B:$B,MATCH(A547,SETORES!$A:$A,0))</f>
        <v/>
      </c>
      <c r="H547" s="106" t="inlineStr">
        <is>
          <t>Maio/2026</t>
        </is>
      </c>
    </row>
    <row r="548" hidden="1" ht="14.25" customHeight="1" s="64">
      <c r="A548" s="101" t="inlineStr">
        <is>
          <t>Gestão de Atendimento</t>
        </is>
      </c>
      <c r="B548" s="101" t="inlineStr">
        <is>
          <t>Custo Fixo</t>
        </is>
      </c>
      <c r="C548" s="101" t="inlineStr">
        <is>
          <t>Impressora</t>
        </is>
      </c>
      <c r="D548" s="102" t="n">
        <v>1</v>
      </c>
      <c r="E548" s="103" t="n">
        <v>5.555555</v>
      </c>
      <c r="F548" s="104">
        <f>IFERROR(D548*E548,0)</f>
        <v/>
      </c>
      <c r="G548" s="101">
        <f>INDEX(SETORES!$B:$B,MATCH(A548,SETORES!$A:$A,0))</f>
        <v/>
      </c>
      <c r="H548" s="101" t="inlineStr">
        <is>
          <t>Maio/2026</t>
        </is>
      </c>
    </row>
    <row r="549" hidden="1" ht="14.25" customHeight="1" s="64">
      <c r="A549" s="106" t="inlineStr">
        <is>
          <t>Controladoria</t>
        </is>
      </c>
      <c r="B549" s="106" t="inlineStr">
        <is>
          <t>Custo Fixo</t>
        </is>
      </c>
      <c r="C549" s="106" t="inlineStr">
        <is>
          <t>Impressora</t>
        </is>
      </c>
      <c r="D549" s="107" t="n">
        <v>1</v>
      </c>
      <c r="E549" s="108" t="n">
        <v>1.111111</v>
      </c>
      <c r="F549" s="109">
        <f>IFERROR(D549*E549,0)</f>
        <v/>
      </c>
      <c r="G549" s="106">
        <f>INDEX(SETORES!$B:$B,MATCH(A549,SETORES!$A:$A,0))</f>
        <v/>
      </c>
      <c r="H549" s="106" t="inlineStr">
        <is>
          <t>Maio/2026</t>
        </is>
      </c>
    </row>
    <row r="550" hidden="1" ht="14.25" customHeight="1" s="64">
      <c r="A550" s="101" t="inlineStr">
        <is>
          <t>CAC</t>
        </is>
      </c>
      <c r="B550" s="101" t="inlineStr">
        <is>
          <t>Custo Fixo</t>
        </is>
      </c>
      <c r="C550" s="101" t="inlineStr">
        <is>
          <t>Chip móvel corporativo</t>
        </is>
      </c>
      <c r="D550" s="102" t="n">
        <v>1</v>
      </c>
      <c r="E550" s="103" t="n">
        <v>30</v>
      </c>
      <c r="F550" s="104">
        <f>IFERROR(D550*E550,0)</f>
        <v/>
      </c>
      <c r="G550" s="101">
        <f>INDEX(SETORES!$B:$B,MATCH(A550,SETORES!$A:$A,0))</f>
        <v/>
      </c>
      <c r="H550" s="101" t="inlineStr">
        <is>
          <t>Maio/2026</t>
        </is>
      </c>
    </row>
    <row r="551" hidden="1" ht="14.25" customHeight="1" s="64">
      <c r="A551" s="106" t="inlineStr">
        <is>
          <t>COE</t>
        </is>
      </c>
      <c r="B551" s="106" t="inlineStr">
        <is>
          <t>Custo Fixo</t>
        </is>
      </c>
      <c r="C551" s="106" t="inlineStr">
        <is>
          <t>Chip móvel corporativo</t>
        </is>
      </c>
      <c r="D551" s="107" t="n">
        <v>12</v>
      </c>
      <c r="E551" s="108" t="n">
        <v>30</v>
      </c>
      <c r="F551" s="109">
        <f>IFERROR(D551*E551,0)</f>
        <v/>
      </c>
      <c r="G551" s="106">
        <f>INDEX(SETORES!$B:$B,MATCH(A551,SETORES!$A:$A,0))</f>
        <v/>
      </c>
      <c r="H551" s="106" t="inlineStr">
        <is>
          <t>Maio/2026</t>
        </is>
      </c>
    </row>
    <row r="552" hidden="1" ht="14.25" customHeight="1" s="64">
      <c r="A552" s="101" t="inlineStr">
        <is>
          <t>Compras</t>
        </is>
      </c>
      <c r="B552" s="101" t="inlineStr">
        <is>
          <t>Custo Fixo</t>
        </is>
      </c>
      <c r="C552" s="101" t="inlineStr">
        <is>
          <t>Chip móvel corporativo</t>
        </is>
      </c>
      <c r="D552" s="102" t="n">
        <v>2</v>
      </c>
      <c r="E552" s="103" t="n">
        <v>30</v>
      </c>
      <c r="F552" s="104">
        <f>IFERROR(D552*E552,0)</f>
        <v/>
      </c>
      <c r="G552" s="101">
        <f>INDEX(SETORES!$B:$B,MATCH(A552,SETORES!$A:$A,0))</f>
        <v/>
      </c>
      <c r="H552" s="101" t="inlineStr">
        <is>
          <t>Maio/2026</t>
        </is>
      </c>
    </row>
    <row r="553" hidden="1" ht="14.25" customHeight="1" s="64">
      <c r="A553" s="106" t="inlineStr">
        <is>
          <t>Contabilidade</t>
        </is>
      </c>
      <c r="B553" s="106" t="inlineStr">
        <is>
          <t>Custo Fixo</t>
        </is>
      </c>
      <c r="C553" s="106" t="inlineStr">
        <is>
          <t>Chip móvel corporativo</t>
        </is>
      </c>
      <c r="D553" s="107" t="n">
        <v>2</v>
      </c>
      <c r="E553" s="108" t="n">
        <v>30</v>
      </c>
      <c r="F553" s="109">
        <f>IFERROR(D553*E553,0)</f>
        <v/>
      </c>
      <c r="G553" s="106">
        <f>INDEX(SETORES!$B:$B,MATCH(A553,SETORES!$A:$A,0))</f>
        <v/>
      </c>
      <c r="H553" s="106" t="inlineStr">
        <is>
          <t>Maio/2026</t>
        </is>
      </c>
    </row>
    <row r="554" hidden="1" ht="14.25" customHeight="1" s="64">
      <c r="A554" s="101" t="inlineStr">
        <is>
          <t>DP</t>
        </is>
      </c>
      <c r="B554" s="101" t="inlineStr">
        <is>
          <t>Custo Fixo</t>
        </is>
      </c>
      <c r="C554" s="101" t="inlineStr">
        <is>
          <t>Chip móvel corporativo</t>
        </is>
      </c>
      <c r="D554" s="102" t="n">
        <v>2</v>
      </c>
      <c r="E554" s="103" t="n">
        <v>30</v>
      </c>
      <c r="F554" s="104">
        <f>IFERROR(D554*E554,0)</f>
        <v/>
      </c>
      <c r="G554" s="101">
        <f>INDEX(SETORES!$B:$B,MATCH(A554,SETORES!$A:$A,0))</f>
        <v/>
      </c>
      <c r="H554" s="101" t="inlineStr">
        <is>
          <t>Maio/2026</t>
        </is>
      </c>
    </row>
    <row r="555" hidden="1" ht="14.25" customHeight="1" s="64">
      <c r="A555" s="106" t="inlineStr">
        <is>
          <t>Engenharia</t>
        </is>
      </c>
      <c r="B555" s="106" t="inlineStr">
        <is>
          <t>Custo Fixo</t>
        </is>
      </c>
      <c r="C555" s="106" t="inlineStr">
        <is>
          <t>Chip móvel corporativo</t>
        </is>
      </c>
      <c r="D555" s="107" t="n">
        <v>8</v>
      </c>
      <c r="E555" s="108" t="n">
        <v>30</v>
      </c>
      <c r="F555" s="109">
        <f>IFERROR(D555*E555,0)</f>
        <v/>
      </c>
      <c r="G555" s="106">
        <f>INDEX(SETORES!$B:$B,MATCH(A555,SETORES!$A:$A,0))</f>
        <v/>
      </c>
      <c r="H555" s="106" t="inlineStr">
        <is>
          <t>Maio/2026</t>
        </is>
      </c>
    </row>
    <row r="556" hidden="1" ht="14.25" customHeight="1" s="64">
      <c r="A556" s="101" t="inlineStr">
        <is>
          <t>Financeiro</t>
        </is>
      </c>
      <c r="B556" s="101" t="inlineStr">
        <is>
          <t>Custo Fixo</t>
        </is>
      </c>
      <c r="C556" s="101" t="inlineStr">
        <is>
          <t>Chip móvel corporativo</t>
        </is>
      </c>
      <c r="D556" s="102" t="n">
        <v>2</v>
      </c>
      <c r="E556" s="103" t="n">
        <v>30</v>
      </c>
      <c r="F556" s="104">
        <f>IFERROR(D556*E556,0)</f>
        <v/>
      </c>
      <c r="G556" s="101">
        <f>INDEX(SETORES!$B:$B,MATCH(A556,SETORES!$A:$A,0))</f>
        <v/>
      </c>
      <c r="H556" s="101" t="inlineStr">
        <is>
          <t>Maio/2026</t>
        </is>
      </c>
    </row>
    <row r="557" hidden="1" ht="14.25" customHeight="1" s="64">
      <c r="A557" s="106" t="inlineStr">
        <is>
          <t>Fique Móvel</t>
        </is>
      </c>
      <c r="B557" s="106" t="inlineStr">
        <is>
          <t>Custo Fixo</t>
        </is>
      </c>
      <c r="C557" s="106" t="inlineStr">
        <is>
          <t>Chip móvel corporativo</t>
        </is>
      </c>
      <c r="D557" s="107" t="n">
        <v>2</v>
      </c>
      <c r="E557" s="108" t="n">
        <v>30</v>
      </c>
      <c r="F557" s="109">
        <f>IFERROR(D557*E557,0)</f>
        <v/>
      </c>
      <c r="G557" s="106">
        <f>INDEX(SETORES!$B:$B,MATCH(A557,SETORES!$A:$A,0))</f>
        <v/>
      </c>
      <c r="H557" s="106" t="inlineStr">
        <is>
          <t>Maio/2026</t>
        </is>
      </c>
    </row>
    <row r="558" hidden="1" ht="14.25" customHeight="1" s="64">
      <c r="A558" s="101" t="inlineStr">
        <is>
          <t>Gestão de Atendimento</t>
        </is>
      </c>
      <c r="B558" s="101" t="inlineStr">
        <is>
          <t>Custo Fixo</t>
        </is>
      </c>
      <c r="C558" s="101" t="inlineStr">
        <is>
          <t>Chip móvel corporativo</t>
        </is>
      </c>
      <c r="D558" s="102" t="n">
        <v>2</v>
      </c>
      <c r="E558" s="103" t="n">
        <v>30</v>
      </c>
      <c r="F558" s="104">
        <f>IFERROR(D558*E558,0)</f>
        <v/>
      </c>
      <c r="G558" s="101">
        <f>INDEX(SETORES!$B:$B,MATCH(A558,SETORES!$A:$A,0))</f>
        <v/>
      </c>
      <c r="H558" s="101" t="inlineStr">
        <is>
          <t>Maio/2026</t>
        </is>
      </c>
    </row>
    <row r="559" hidden="1" ht="14.25" customHeight="1" s="64">
      <c r="A559" s="106" t="inlineStr">
        <is>
          <t>Jurídico</t>
        </is>
      </c>
      <c r="B559" s="106" t="inlineStr">
        <is>
          <t>Custo Fixo</t>
        </is>
      </c>
      <c r="C559" s="106" t="inlineStr">
        <is>
          <t>Chip móvel corporativo</t>
        </is>
      </c>
      <c r="D559" s="107" t="n">
        <v>2</v>
      </c>
      <c r="E559" s="108" t="n">
        <v>30</v>
      </c>
      <c r="F559" s="109">
        <f>IFERROR(D559*E559,0)</f>
        <v/>
      </c>
      <c r="G559" s="106">
        <f>INDEX(SETORES!$B:$B,MATCH(A559,SETORES!$A:$A,0))</f>
        <v/>
      </c>
      <c r="H559" s="106" t="inlineStr">
        <is>
          <t>Maio/2026</t>
        </is>
      </c>
    </row>
    <row r="560" hidden="1" ht="14.25" customHeight="1" s="64">
      <c r="A560" s="101" t="inlineStr">
        <is>
          <t>Logística</t>
        </is>
      </c>
      <c r="B560" s="101" t="inlineStr">
        <is>
          <t>Custo Fixo</t>
        </is>
      </c>
      <c r="C560" s="101" t="inlineStr">
        <is>
          <t>Chip móvel corporativo</t>
        </is>
      </c>
      <c r="D560" s="102" t="n">
        <v>7</v>
      </c>
      <c r="E560" s="103" t="n">
        <v>30</v>
      </c>
      <c r="F560" s="104">
        <f>IFERROR(D560*E560,0)</f>
        <v/>
      </c>
      <c r="G560" s="101">
        <f>INDEX(SETORES!$B:$B,MATCH(A560,SETORES!$A:$A,0))</f>
        <v/>
      </c>
      <c r="H560" s="101" t="inlineStr">
        <is>
          <t>Maio/2026</t>
        </is>
      </c>
    </row>
    <row r="561" hidden="1" ht="14.25" customHeight="1" s="64">
      <c r="A561" s="106" t="inlineStr">
        <is>
          <t>Manutenção Predial</t>
        </is>
      </c>
      <c r="B561" s="106" t="inlineStr">
        <is>
          <t>Custo Fixo</t>
        </is>
      </c>
      <c r="C561" s="106" t="inlineStr">
        <is>
          <t>Chip móvel corporativo</t>
        </is>
      </c>
      <c r="D561" s="107" t="n">
        <v>7</v>
      </c>
      <c r="E561" s="108" t="n">
        <v>30</v>
      </c>
      <c r="F561" s="109">
        <f>IFERROR(D561*E561,0)</f>
        <v/>
      </c>
      <c r="G561" s="106">
        <f>INDEX(SETORES!$B:$B,MATCH(A561,SETORES!$A:$A,0))</f>
        <v/>
      </c>
      <c r="H561" s="106" t="inlineStr">
        <is>
          <t>Maio/2026</t>
        </is>
      </c>
    </row>
    <row r="562" hidden="1" ht="14.25" customHeight="1" s="64">
      <c r="A562" s="101" t="inlineStr">
        <is>
          <t>Marketing</t>
        </is>
      </c>
      <c r="B562" s="101" t="inlineStr">
        <is>
          <t>Custo Fixo</t>
        </is>
      </c>
      <c r="C562" s="101" t="inlineStr">
        <is>
          <t>Chip móvel corporativo</t>
        </is>
      </c>
      <c r="D562" s="102" t="n">
        <v>10</v>
      </c>
      <c r="E562" s="103" t="n">
        <v>30</v>
      </c>
      <c r="F562" s="104">
        <f>IFERROR(D562*E562,0)</f>
        <v/>
      </c>
      <c r="G562" s="101">
        <f>INDEX(SETORES!$B:$B,MATCH(A562,SETORES!$A:$A,0))</f>
        <v/>
      </c>
      <c r="H562" s="101" t="inlineStr">
        <is>
          <t>Maio/2026</t>
        </is>
      </c>
    </row>
    <row r="563" hidden="1" ht="14.25" customHeight="1" s="64">
      <c r="A563" s="106" t="inlineStr">
        <is>
          <t>NOC</t>
        </is>
      </c>
      <c r="B563" s="106" t="inlineStr">
        <is>
          <t>Custo Fixo</t>
        </is>
      </c>
      <c r="C563" s="106" t="inlineStr">
        <is>
          <t>Chip móvel corporativo</t>
        </is>
      </c>
      <c r="D563" s="107" t="n">
        <v>3</v>
      </c>
      <c r="E563" s="108" t="n">
        <v>30</v>
      </c>
      <c r="F563" s="109">
        <f>IFERROR(D563*E563,0)</f>
        <v/>
      </c>
      <c r="G563" s="106">
        <f>INDEX(SETORES!$B:$B,MATCH(A563,SETORES!$A:$A,0))</f>
        <v/>
      </c>
      <c r="H563" s="106" t="inlineStr">
        <is>
          <t>Maio/2026</t>
        </is>
      </c>
    </row>
    <row r="564" hidden="1" ht="14.25" customHeight="1" s="64">
      <c r="A564" s="101" t="inlineStr">
        <is>
          <t>Obras</t>
        </is>
      </c>
      <c r="B564" s="101" t="inlineStr">
        <is>
          <t>Custo Fixo</t>
        </is>
      </c>
      <c r="C564" s="101" t="inlineStr">
        <is>
          <t>Chip móvel corporativo</t>
        </is>
      </c>
      <c r="D564" s="102" t="n">
        <v>4</v>
      </c>
      <c r="E564" s="103" t="n">
        <v>30</v>
      </c>
      <c r="F564" s="104">
        <f>IFERROR(D564*E564,0)</f>
        <v/>
      </c>
      <c r="G564" s="101">
        <f>INDEX(SETORES!$B:$B,MATCH(A564,SETORES!$A:$A,0))</f>
        <v/>
      </c>
      <c r="H564" s="101" t="inlineStr">
        <is>
          <t>Maio/2026</t>
        </is>
      </c>
    </row>
    <row r="565" hidden="1" ht="14.25" customHeight="1" s="64">
      <c r="A565" s="106" t="inlineStr">
        <is>
          <t>Qualidade</t>
        </is>
      </c>
      <c r="B565" s="106" t="inlineStr">
        <is>
          <t>Custo Fixo</t>
        </is>
      </c>
      <c r="C565" s="106" t="inlineStr">
        <is>
          <t>Chip móvel corporativo</t>
        </is>
      </c>
      <c r="D565" s="107" t="n">
        <v>4</v>
      </c>
      <c r="E565" s="108" t="n">
        <v>30</v>
      </c>
      <c r="F565" s="109">
        <f>IFERROR(D565*E565,0)</f>
        <v/>
      </c>
      <c r="G565" s="106">
        <f>INDEX(SETORES!$B:$B,MATCH(A565,SETORES!$A:$A,0))</f>
        <v/>
      </c>
      <c r="H565" s="106" t="inlineStr">
        <is>
          <t>Maio/2026</t>
        </is>
      </c>
    </row>
    <row r="566" hidden="1" ht="14.25" customHeight="1" s="64">
      <c r="A566" s="101" t="inlineStr">
        <is>
          <t>RH</t>
        </is>
      </c>
      <c r="B566" s="101" t="inlineStr">
        <is>
          <t>Custo Fixo</t>
        </is>
      </c>
      <c r="C566" s="101" t="inlineStr">
        <is>
          <t>Chip móvel corporativo</t>
        </is>
      </c>
      <c r="D566" s="102" t="n">
        <v>3</v>
      </c>
      <c r="E566" s="103" t="n">
        <v>30</v>
      </c>
      <c r="F566" s="104">
        <f>IFERROR(D566*E566,0)</f>
        <v/>
      </c>
      <c r="G566" s="101">
        <f>INDEX(SETORES!$B:$B,MATCH(A566,SETORES!$A:$A,0))</f>
        <v/>
      </c>
      <c r="H566" s="101" t="inlineStr">
        <is>
          <t>Maio/2026</t>
        </is>
      </c>
    </row>
    <row r="567" hidden="1" ht="14.25" customHeight="1" s="64">
      <c r="A567" s="106" t="inlineStr">
        <is>
          <t>Segurança do Trabalho</t>
        </is>
      </c>
      <c r="B567" s="106" t="inlineStr">
        <is>
          <t>Custo Fixo</t>
        </is>
      </c>
      <c r="C567" s="106" t="inlineStr">
        <is>
          <t>Chip móvel corporativo</t>
        </is>
      </c>
      <c r="D567" s="107" t="n">
        <v>4</v>
      </c>
      <c r="E567" s="108" t="n">
        <v>30</v>
      </c>
      <c r="F567" s="109" t="n">
        <v>120</v>
      </c>
      <c r="G567" s="106">
        <f>INDEX(SETORES!$B:$B,MATCH(A567,SETORES!$A:$A,0))</f>
        <v/>
      </c>
      <c r="H567" s="106" t="inlineStr">
        <is>
          <t>Maio/2026</t>
        </is>
      </c>
    </row>
    <row r="568" hidden="1" ht="14.25" customHeight="1" s="64">
      <c r="A568" s="101" t="inlineStr">
        <is>
          <t>TIC</t>
        </is>
      </c>
      <c r="B568" s="101" t="inlineStr">
        <is>
          <t>Custo Fixo</t>
        </is>
      </c>
      <c r="C568" s="101" t="inlineStr">
        <is>
          <t>Chip móvel corporativo</t>
        </is>
      </c>
      <c r="D568" s="102" t="n">
        <v>5</v>
      </c>
      <c r="E568" s="103" t="n">
        <v>30</v>
      </c>
      <c r="F568" s="104">
        <f>IFERROR(D568*E568,0)</f>
        <v/>
      </c>
      <c r="G568" s="101">
        <f>INDEX(SETORES!$B:$B,MATCH(A568,SETORES!$A:$A,0))</f>
        <v/>
      </c>
      <c r="H568" s="101" t="inlineStr">
        <is>
          <t>Maio/2026</t>
        </is>
      </c>
    </row>
    <row r="569" hidden="1" ht="14.25" customHeight="1" s="64">
      <c r="A569" s="101" t="inlineStr">
        <is>
          <t>Gestão de Atendimento</t>
        </is>
      </c>
      <c r="B569" s="101" t="inlineStr">
        <is>
          <t>Custo Fixo</t>
        </is>
      </c>
      <c r="C569" s="101" t="inlineStr">
        <is>
          <t>Material de escritório (suprimentos de informática)</t>
        </is>
      </c>
      <c r="D569" s="102" t="n">
        <v>5</v>
      </c>
      <c r="E569" s="103" t="n">
        <v>28</v>
      </c>
      <c r="F569" s="104" t="n">
        <v>140</v>
      </c>
      <c r="G569" s="101">
        <f>INDEX(SETORES!$B:$B,MATCH(A569,SETORES!$A:$A,0))</f>
        <v/>
      </c>
      <c r="H569" s="101" t="inlineStr">
        <is>
          <t>Junho/2026</t>
        </is>
      </c>
    </row>
    <row r="570" hidden="1" ht="14.25" customHeight="1" s="64">
      <c r="A570" s="106" t="inlineStr">
        <is>
          <t>Gestão de Atendimento</t>
        </is>
      </c>
      <c r="B570" s="106" t="inlineStr">
        <is>
          <t>Custo Fixo</t>
        </is>
      </c>
      <c r="C570" s="106" t="inlineStr">
        <is>
          <t>Material de uso coletivo (copa/limpeza)</t>
        </is>
      </c>
      <c r="D570" s="107" t="n">
        <v>1</v>
      </c>
      <c r="E570" s="108" t="n">
        <v>184.6</v>
      </c>
      <c r="F570" s="109" t="n">
        <v>184.6</v>
      </c>
      <c r="G570" s="106">
        <f>INDEX(SETORES!$B:$B,MATCH(A570,SETORES!$A:$A,0))</f>
        <v/>
      </c>
      <c r="H570" s="106" t="inlineStr">
        <is>
          <t>Junho/2026</t>
        </is>
      </c>
    </row>
    <row r="571" hidden="1" ht="14.25" customHeight="1" s="64">
      <c r="A571" s="101" t="inlineStr">
        <is>
          <t>Gestão de Atendimento</t>
        </is>
      </c>
      <c r="B571" s="101" t="inlineStr">
        <is>
          <t>Custo Fixo</t>
        </is>
      </c>
      <c r="C571" s="101" t="inlineStr">
        <is>
          <t>Energia elétrica (rateio)</t>
        </is>
      </c>
      <c r="D571" s="102" t="n">
        <v>1</v>
      </c>
      <c r="E571" s="103" t="n">
        <v>43.7861</v>
      </c>
      <c r="F571" s="104" t="n">
        <v>43.7861</v>
      </c>
      <c r="G571" s="101">
        <f>INDEX(SETORES!$B:$B,MATCH(A571,SETORES!$A:$A,0))</f>
        <v/>
      </c>
      <c r="H571" s="101" t="inlineStr">
        <is>
          <t>Junho/2026</t>
        </is>
      </c>
    </row>
    <row r="572" hidden="1" ht="14.25" customHeight="1" s="64">
      <c r="A572" s="106" t="inlineStr">
        <is>
          <t>Gestão de Atendimento</t>
        </is>
      </c>
      <c r="B572" s="106" t="inlineStr">
        <is>
          <t>Custo Fixo</t>
        </is>
      </c>
      <c r="C572" s="106" t="inlineStr">
        <is>
          <t>Água e esgoto (rateio)</t>
        </is>
      </c>
      <c r="D572" s="107" t="n">
        <v>1</v>
      </c>
      <c r="E572" s="108" t="n">
        <v>0.125</v>
      </c>
      <c r="F572" s="109" t="n">
        <v>0.125</v>
      </c>
      <c r="G572" s="106">
        <f>INDEX(SETORES!$B:$B,MATCH(A572,SETORES!$A:$A,0))</f>
        <v/>
      </c>
      <c r="H572" s="106" t="inlineStr">
        <is>
          <t>Junho/2026</t>
        </is>
      </c>
    </row>
    <row r="573" hidden="1" ht="14.25" customHeight="1" s="64">
      <c r="A573" s="101" t="inlineStr">
        <is>
          <t>Gestão de Atendimento</t>
        </is>
      </c>
      <c r="B573" s="101" t="inlineStr">
        <is>
          <t>Custo Fixo</t>
        </is>
      </c>
      <c r="C573" s="101" t="inlineStr">
        <is>
          <t>Telefonia móvel corporativa</t>
        </is>
      </c>
      <c r="D573" s="102" t="n"/>
      <c r="E573" s="103" t="n"/>
      <c r="F573" s="104">
        <f>IFERROR(D573*E573,0)</f>
        <v/>
      </c>
      <c r="G573" s="101">
        <f>INDEX(SETORES!$B:$B,MATCH(A573,SETORES!$A:$A,0))</f>
        <v/>
      </c>
      <c r="H573" s="101" t="inlineStr">
        <is>
          <t>Junho/2026</t>
        </is>
      </c>
    </row>
    <row r="574" hidden="1" ht="14.25" customHeight="1" s="64">
      <c r="A574" s="106" t="inlineStr">
        <is>
          <t>Gestão de Atendimento</t>
        </is>
      </c>
      <c r="B574" s="106" t="inlineStr">
        <is>
          <t>Custo Fixo</t>
        </is>
      </c>
      <c r="C574" s="106" t="inlineStr">
        <is>
          <t>Folha de pagamento (salários)</t>
        </is>
      </c>
      <c r="D574" s="107" t="n">
        <v>1</v>
      </c>
      <c r="E574" s="108" t="n">
        <v>19835.21</v>
      </c>
      <c r="F574" s="109">
        <f>IFERROR(E574,0)</f>
        <v/>
      </c>
      <c r="G574" s="106">
        <f>INDEX(SETORES!$B:$B,MATCH(A574,SETORES!$A:$A,0))</f>
        <v/>
      </c>
      <c r="H574" s="106" t="inlineStr">
        <is>
          <t>Junho/2026</t>
        </is>
      </c>
    </row>
    <row r="575" hidden="1" ht="14.25" customHeight="1" s="64">
      <c r="A575" s="101" t="inlineStr">
        <is>
          <t>Gestão de Atendimento</t>
        </is>
      </c>
      <c r="B575" s="101" t="inlineStr">
        <is>
          <t>Custo Variável</t>
        </is>
      </c>
      <c r="C575" s="101" t="inlineStr">
        <is>
          <t>Fardamento novo</t>
        </is>
      </c>
      <c r="D575" s="102" t="n"/>
      <c r="E575" s="103" t="n"/>
      <c r="F575" s="104">
        <f>IFERROR(D575*E575,0)</f>
        <v/>
      </c>
      <c r="G575" s="101">
        <f>INDEX(SETORES!$B:$B,MATCH(A575,SETORES!$A:$A,0))</f>
        <v/>
      </c>
      <c r="H575" s="101" t="inlineStr">
        <is>
          <t>Junho/2026</t>
        </is>
      </c>
    </row>
    <row r="576" hidden="1" ht="14.25" customHeight="1" s="64">
      <c r="A576" s="106" t="inlineStr">
        <is>
          <t>Gestão de Atendimento</t>
        </is>
      </c>
      <c r="B576" s="106" t="inlineStr">
        <is>
          <t>Custo Variável</t>
        </is>
      </c>
      <c r="C576" s="106" t="inlineStr">
        <is>
          <t>Fardamento substituição</t>
        </is>
      </c>
      <c r="D576" s="107" t="n">
        <v>1</v>
      </c>
      <c r="E576" s="108" t="n">
        <v>38</v>
      </c>
      <c r="F576" s="109">
        <f>IFERROR(D576*E576,0)</f>
        <v/>
      </c>
      <c r="G576" s="106">
        <f>INDEX(SETORES!$B:$B,MATCH(A576,SETORES!$A:$A,0))</f>
        <v/>
      </c>
      <c r="H576" s="106" t="inlineStr">
        <is>
          <t>Junho/2026</t>
        </is>
      </c>
    </row>
    <row r="577" hidden="1" ht="14.25" customHeight="1" s="64">
      <c r="A577" s="101" t="inlineStr">
        <is>
          <t>Gestão de Atendimento</t>
        </is>
      </c>
      <c r="B577" s="101" t="inlineStr">
        <is>
          <t>Custo Variável</t>
        </is>
      </c>
      <c r="C577" s="101" t="inlineStr">
        <is>
          <t>Exames médicos</t>
        </is>
      </c>
      <c r="D577" s="102" t="n"/>
      <c r="E577" s="103" t="n"/>
      <c r="F577" s="104">
        <f>IFERROR(D577*E577,0)</f>
        <v/>
      </c>
      <c r="G577" s="101">
        <f>INDEX(SETORES!$B:$B,MATCH(A577,SETORES!$A:$A,0))</f>
        <v/>
      </c>
      <c r="H577" s="101" t="inlineStr">
        <is>
          <t>Junho/2026</t>
        </is>
      </c>
    </row>
    <row r="578" hidden="1" ht="14.25" customHeight="1" s="64">
      <c r="A578" s="106" t="inlineStr">
        <is>
          <t>Gestão de Atendimento</t>
        </is>
      </c>
      <c r="B578" s="106" t="inlineStr">
        <is>
          <t>Custo Fixo</t>
        </is>
      </c>
      <c r="C578" s="106" t="inlineStr">
        <is>
          <t>Licença de e-mail corporativo</t>
        </is>
      </c>
      <c r="D578" s="107" t="n">
        <v>8</v>
      </c>
      <c r="E578" s="108" t="n">
        <v>50</v>
      </c>
      <c r="F578" s="109">
        <f>IFERROR(D578*E578,0)</f>
        <v/>
      </c>
      <c r="G578" s="106">
        <f>INDEX(SETORES!$B:$B,MATCH(A578,SETORES!$A:$A,0))</f>
        <v/>
      </c>
      <c r="H578" s="106" t="inlineStr">
        <is>
          <t>Junho/2026</t>
        </is>
      </c>
    </row>
    <row r="579" hidden="1" ht="14.25" customHeight="1" s="64">
      <c r="A579" s="101" t="inlineStr">
        <is>
          <t>Gestão de Atendimento</t>
        </is>
      </c>
      <c r="B579" s="101" t="inlineStr">
        <is>
          <t>Custo Fixo</t>
        </is>
      </c>
      <c r="C579" s="101" t="inlineStr">
        <is>
          <t>Gympass</t>
        </is>
      </c>
      <c r="D579" s="102" t="n">
        <v>5</v>
      </c>
      <c r="E579" s="103" t="n">
        <v>9.85</v>
      </c>
      <c r="F579" s="104">
        <f>IFERROR(D579*E579,0)</f>
        <v/>
      </c>
      <c r="G579" s="101">
        <f>INDEX(SETORES!$B:$B,MATCH(A579,SETORES!$A:$A,0))</f>
        <v/>
      </c>
      <c r="H579" s="101" t="inlineStr">
        <is>
          <t>Junho/2026</t>
        </is>
      </c>
    </row>
    <row r="580" hidden="1" ht="14.25" customHeight="1" s="64">
      <c r="A580" s="106" t="inlineStr">
        <is>
          <t>Gestão de Atendimento</t>
        </is>
      </c>
      <c r="B580" s="106" t="inlineStr">
        <is>
          <t>Custo Fixo</t>
        </is>
      </c>
      <c r="C580" s="106" t="inlineStr">
        <is>
          <t>Stargrid</t>
        </is>
      </c>
      <c r="D580" s="107" t="n">
        <v>5</v>
      </c>
      <c r="E580" s="108" t="n">
        <v>2.04</v>
      </c>
      <c r="F580" s="109">
        <f>IFERROR(D580*E580,0)</f>
        <v/>
      </c>
      <c r="G580" s="106">
        <f>INDEX(SETORES!$B:$B,MATCH(A580,SETORES!$A:$A,0))</f>
        <v/>
      </c>
      <c r="H580" s="106" t="inlineStr">
        <is>
          <t>Junho/2026</t>
        </is>
      </c>
    </row>
    <row r="581" hidden="1" ht="14.25" customHeight="1" s="64">
      <c r="A581" s="101" t="inlineStr">
        <is>
          <t>NOC</t>
        </is>
      </c>
      <c r="B581" s="101" t="inlineStr">
        <is>
          <t>Custo Fixo</t>
        </is>
      </c>
      <c r="C581" s="101" t="inlineStr">
        <is>
          <t>Licenças de software/sistemas corporativos (NOC)</t>
        </is>
      </c>
      <c r="D581" s="102" t="n"/>
      <c r="E581" s="103" t="n"/>
      <c r="F581" s="104">
        <f>IFERROR(D581*E581,0)</f>
        <v/>
      </c>
      <c r="G581" s="101">
        <f>INDEX(SETORES!$B:$B,MATCH(A581,SETORES!$A:$A,0))</f>
        <v/>
      </c>
      <c r="H581" s="101" t="inlineStr">
        <is>
          <t>Junho/2026</t>
        </is>
      </c>
    </row>
    <row r="582" hidden="1" ht="14.25" customHeight="1" s="64">
      <c r="A582" s="106" t="inlineStr">
        <is>
          <t>RH</t>
        </is>
      </c>
      <c r="B582" s="106" t="inlineStr">
        <is>
          <t>Custo Fixo</t>
        </is>
      </c>
      <c r="C582" s="106" t="inlineStr">
        <is>
          <t>Software exclusivo fiberschool (RH)</t>
        </is>
      </c>
      <c r="D582" s="107" t="n">
        <v>1</v>
      </c>
      <c r="E582" s="108" t="n">
        <v>2500</v>
      </c>
      <c r="F582" s="109">
        <f>IFERROR(D582*E582,0)</f>
        <v/>
      </c>
      <c r="G582" s="106">
        <f>INDEX(SETORES!$B:$B,MATCH(A582,SETORES!$A:$A,0))</f>
        <v/>
      </c>
      <c r="H582" s="106" t="inlineStr">
        <is>
          <t>Junho/2026</t>
        </is>
      </c>
    </row>
    <row r="583" hidden="1" ht="14.25" customHeight="1" s="64">
      <c r="A583" s="101" t="inlineStr">
        <is>
          <t>RH</t>
        </is>
      </c>
      <c r="B583" s="101" t="inlineStr">
        <is>
          <t>Custo Fixo</t>
        </is>
      </c>
      <c r="C583" s="101" t="inlineStr">
        <is>
          <t>Software RH1000 (RH)</t>
        </is>
      </c>
      <c r="D583" s="102" t="n">
        <v>1</v>
      </c>
      <c r="E583" s="103" t="n">
        <v>2612.9</v>
      </c>
      <c r="F583" s="104">
        <f>IFERROR(D583*E583,0)</f>
        <v/>
      </c>
      <c r="G583" s="101">
        <f>INDEX(SETORES!$B:$B,MATCH(A583,SETORES!$A:$A,0))</f>
        <v/>
      </c>
      <c r="H583" s="101" t="inlineStr">
        <is>
          <t>Junho/2026</t>
        </is>
      </c>
    </row>
    <row r="584" ht="14.25" customHeight="1" s="64">
      <c r="A584" s="106" t="inlineStr">
        <is>
          <t>Administrativo</t>
        </is>
      </c>
      <c r="B584" s="106" t="inlineStr">
        <is>
          <t>Custo Fixo</t>
        </is>
      </c>
      <c r="C584" s="106" t="inlineStr">
        <is>
          <t>Sistema de assinatura eletronica (autentique) (TIC)</t>
        </is>
      </c>
      <c r="D584" s="107" t="n">
        <v>1</v>
      </c>
      <c r="E584" s="108" t="n">
        <v>99</v>
      </c>
      <c r="F584" s="109">
        <f>IFERROR(D584*E584,0)</f>
        <v/>
      </c>
      <c r="G584" s="106">
        <f>INDEX(SETORES!$B:$B,MATCH(A584,SETORES!$A:$A,0))</f>
        <v/>
      </c>
      <c r="H584" s="106" t="inlineStr">
        <is>
          <t>Junho/2026</t>
        </is>
      </c>
    </row>
    <row r="585" hidden="1" ht="14.25" customHeight="1" s="64">
      <c r="A585" s="101" t="inlineStr">
        <is>
          <t>Financeiro</t>
        </is>
      </c>
      <c r="B585" s="101" t="inlineStr">
        <is>
          <t>Custo Fixo</t>
        </is>
      </c>
      <c r="C585" s="101" t="inlineStr">
        <is>
          <t>Plataforma do aplicativo Vexpenses</t>
        </is>
      </c>
      <c r="D585" s="102" t="n">
        <v>1</v>
      </c>
      <c r="E585" s="103" t="n">
        <v>1649.77</v>
      </c>
      <c r="F585" s="104">
        <f>IFERROR(D585*E585,0)</f>
        <v/>
      </c>
      <c r="G585" s="101">
        <f>INDEX(SETORES!$B:$B,MATCH(A585,SETORES!$A:$A,0))</f>
        <v/>
      </c>
      <c r="H585" s="101" t="inlineStr">
        <is>
          <t>Junho/2026</t>
        </is>
      </c>
    </row>
    <row r="586" hidden="1" ht="14.25" customHeight="1" s="64">
      <c r="A586" s="106" t="inlineStr">
        <is>
          <t>DP</t>
        </is>
      </c>
      <c r="B586" s="106" t="inlineStr">
        <is>
          <t>Custo Fixo</t>
        </is>
      </c>
      <c r="C586" s="106" t="inlineStr">
        <is>
          <t>Licenças de software/sistemas corporativos (DP)</t>
        </is>
      </c>
      <c r="D586" s="107" t="n">
        <v>1</v>
      </c>
      <c r="E586" s="108" t="n">
        <v>2559.44</v>
      </c>
      <c r="F586" s="109">
        <f>IFERROR(D586*E586,0)</f>
        <v/>
      </c>
      <c r="G586" s="106">
        <f>INDEX(SETORES!$B:$B,MATCH(A586,SETORES!$A:$A,0))</f>
        <v/>
      </c>
      <c r="H586" s="106" t="inlineStr">
        <is>
          <t>Junho/2026</t>
        </is>
      </c>
    </row>
    <row r="587" hidden="1" ht="14.25" customHeight="1" s="64">
      <c r="A587" s="101" t="inlineStr">
        <is>
          <t>DP</t>
        </is>
      </c>
      <c r="B587" s="101" t="inlineStr">
        <is>
          <t>Custo Fixo</t>
        </is>
      </c>
      <c r="C587" s="101" t="inlineStr">
        <is>
          <t>Sistema de ponto eletrônico (KAIROS) (DP)</t>
        </is>
      </c>
      <c r="D587" s="102" t="n">
        <v>1</v>
      </c>
      <c r="E587" s="103" t="n">
        <v>4226.8</v>
      </c>
      <c r="F587" s="104">
        <f>IFERROR(D587*E587,0)</f>
        <v/>
      </c>
      <c r="G587" s="101">
        <f>INDEX(SETORES!$B:$B,MATCH(A587,SETORES!$A:$A,0))</f>
        <v/>
      </c>
      <c r="H587" s="101" t="inlineStr">
        <is>
          <t>Junho/2026</t>
        </is>
      </c>
    </row>
    <row r="588" hidden="1" ht="14.25" customHeight="1" s="64">
      <c r="A588" s="106" t="inlineStr">
        <is>
          <t>RH</t>
        </is>
      </c>
      <c r="B588" s="106" t="inlineStr">
        <is>
          <t>Custo Fixo</t>
        </is>
      </c>
      <c r="C588" s="106" t="inlineStr">
        <is>
          <t>Plataforma de comunicação interna (Useflow) (RH)</t>
        </is>
      </c>
      <c r="D588" s="107" t="n">
        <v>1</v>
      </c>
      <c r="E588" s="108" t="n">
        <v>2000</v>
      </c>
      <c r="F588" s="109">
        <f>IFERROR(D588*E588,0)</f>
        <v/>
      </c>
      <c r="G588" s="106">
        <f>INDEX(SETORES!$B:$B,MATCH(A588,SETORES!$A:$A,0))</f>
        <v/>
      </c>
      <c r="H588" s="106" t="inlineStr">
        <is>
          <t>Junho/2026</t>
        </is>
      </c>
    </row>
    <row r="589" hidden="1" ht="14.25" customHeight="1" s="64">
      <c r="A589" s="101" t="inlineStr">
        <is>
          <t>DP</t>
        </is>
      </c>
      <c r="B589" s="101" t="inlineStr">
        <is>
          <t>Custo Fixo</t>
        </is>
      </c>
      <c r="C589" s="101" t="inlineStr">
        <is>
          <t>Software exclusivo B2D (Arquivar) (DP)</t>
        </is>
      </c>
      <c r="D589" s="102" t="n">
        <v>1</v>
      </c>
      <c r="E589" s="103" t="n">
        <v>1099.93</v>
      </c>
      <c r="F589" s="104">
        <f>IFERROR(D589*E589,0)</f>
        <v/>
      </c>
      <c r="G589" s="101">
        <f>INDEX(SETORES!$B:$B,MATCH(A589,SETORES!$A:$A,0))</f>
        <v/>
      </c>
      <c r="H589" s="101" t="inlineStr">
        <is>
          <t>Junho/2026</t>
        </is>
      </c>
    </row>
    <row r="590" hidden="1" ht="14.25" customHeight="1" s="64">
      <c r="A590" s="106" t="inlineStr">
        <is>
          <t>DP</t>
        </is>
      </c>
      <c r="B590" s="106" t="inlineStr">
        <is>
          <t>Custo Fixo</t>
        </is>
      </c>
      <c r="C590" s="106" t="inlineStr">
        <is>
          <t>Software Dominio portal do empregado (DP)</t>
        </is>
      </c>
      <c r="D590" s="107" t="n">
        <v>1</v>
      </c>
      <c r="E590" s="108" t="n">
        <v>3714.01</v>
      </c>
      <c r="F590" s="109">
        <f>IFERROR(D590*E590,0)</f>
        <v/>
      </c>
      <c r="G590" s="106">
        <f>INDEX(SETORES!$B:$B,MATCH(A590,SETORES!$A:$A,0))</f>
        <v/>
      </c>
      <c r="H590" s="106" t="inlineStr">
        <is>
          <t>Junho/2026</t>
        </is>
      </c>
    </row>
    <row r="591" hidden="1" ht="14.25" customHeight="1" s="64">
      <c r="A591" s="101" t="inlineStr">
        <is>
          <t>Contabilidade</t>
        </is>
      </c>
      <c r="B591" s="101" t="inlineStr">
        <is>
          <t>Custo Fixo</t>
        </is>
      </c>
      <c r="C591" s="101" t="inlineStr">
        <is>
          <t>Licenças de software/sistemas corporativos (Contabilidade)</t>
        </is>
      </c>
      <c r="D591" s="102" t="n">
        <v>1</v>
      </c>
      <c r="E591" s="103" t="n">
        <v>2559.45</v>
      </c>
      <c r="F591" s="104">
        <f>IFERROR(D591*E591,0)</f>
        <v/>
      </c>
      <c r="G591" s="101">
        <f>INDEX(SETORES!$B:$B,MATCH(A591,SETORES!$A:$A,0))</f>
        <v/>
      </c>
      <c r="H591" s="101" t="inlineStr">
        <is>
          <t>Junho/2026</t>
        </is>
      </c>
    </row>
    <row r="592" hidden="1" ht="14.25" customHeight="1" s="64">
      <c r="A592" s="106" t="inlineStr">
        <is>
          <t>Contabilidade</t>
        </is>
      </c>
      <c r="B592" s="106" t="inlineStr">
        <is>
          <t>Custo Fixo</t>
        </is>
      </c>
      <c r="C592" s="106" t="inlineStr">
        <is>
          <t>Sistema de emissão de notas fiscais (Contabilidade)</t>
        </is>
      </c>
      <c r="D592" s="107" t="n"/>
      <c r="E592" s="108" t="n"/>
      <c r="F592" s="109">
        <f>IFERROR(D592*E592,0)</f>
        <v/>
      </c>
      <c r="G592" s="106">
        <f>INDEX(SETORES!$B:$B,MATCH(A592,SETORES!$A:$A,0))</f>
        <v/>
      </c>
      <c r="H592" s="106" t="inlineStr">
        <is>
          <t>Junho/2026</t>
        </is>
      </c>
    </row>
    <row r="593" hidden="1" ht="14.25" customHeight="1" s="64">
      <c r="A593" s="101" t="inlineStr">
        <is>
          <t>Engenharia</t>
        </is>
      </c>
      <c r="B593" s="101" t="inlineStr">
        <is>
          <t>Custo Fixo</t>
        </is>
      </c>
      <c r="C593" s="101" t="inlineStr">
        <is>
          <t>Licenças de software/sistemas corporativos (Engenharia)</t>
        </is>
      </c>
      <c r="D593" s="102" t="n">
        <v>1</v>
      </c>
      <c r="E593" s="103" t="n">
        <v>666.2</v>
      </c>
      <c r="F593" s="104">
        <f>IFERROR(D593*E593,0)</f>
        <v/>
      </c>
      <c r="G593" s="101">
        <f>INDEX(SETORES!$B:$B,MATCH(A593,SETORES!$A:$A,0))</f>
        <v/>
      </c>
      <c r="H593" s="101" t="inlineStr">
        <is>
          <t>Junho/2026</t>
        </is>
      </c>
    </row>
    <row r="594" hidden="1" ht="14.25" customHeight="1" s="64">
      <c r="A594" s="106" t="inlineStr">
        <is>
          <t>Logística</t>
        </is>
      </c>
      <c r="B594" s="106" t="inlineStr">
        <is>
          <t>Custo Fixo</t>
        </is>
      </c>
      <c r="C594" s="106" t="inlineStr">
        <is>
          <t>Software Full time (Logística)</t>
        </is>
      </c>
      <c r="D594" s="107" t="n">
        <v>1</v>
      </c>
      <c r="E594" s="108" t="n">
        <v>2638.1</v>
      </c>
      <c r="F594" s="109">
        <f>IFERROR(D594*E594,0)</f>
        <v/>
      </c>
      <c r="G594" s="106">
        <f>INDEX(SETORES!$B:$B,MATCH(A594,SETORES!$A:$A,0))</f>
        <v/>
      </c>
      <c r="H594" s="106" t="inlineStr">
        <is>
          <t>Junho/2026</t>
        </is>
      </c>
    </row>
    <row r="595" hidden="1" ht="14.25" customHeight="1" s="64">
      <c r="A595" s="101" t="inlineStr">
        <is>
          <t>CAC</t>
        </is>
      </c>
      <c r="B595" s="101" t="inlineStr">
        <is>
          <t>Custo Fixo</t>
        </is>
      </c>
      <c r="C595" s="101" t="inlineStr">
        <is>
          <t>Material de escritório (suprimentos de informática)</t>
        </is>
      </c>
      <c r="D595" s="102" t="n">
        <v>4</v>
      </c>
      <c r="E595" s="103" t="n">
        <v>4.375</v>
      </c>
      <c r="F595" s="104" t="n">
        <v>17.5</v>
      </c>
      <c r="G595" s="101">
        <f>INDEX(SETORES!$B:$B,MATCH(A595,SETORES!$A:$A,0))</f>
        <v/>
      </c>
      <c r="H595" s="101" t="inlineStr">
        <is>
          <t>Junho/2026</t>
        </is>
      </c>
    </row>
    <row r="596" hidden="1" ht="14.25" customHeight="1" s="64">
      <c r="A596" s="106" t="inlineStr">
        <is>
          <t>CAC</t>
        </is>
      </c>
      <c r="B596" s="106" t="inlineStr">
        <is>
          <t>Custo Fixo</t>
        </is>
      </c>
      <c r="C596" s="106" t="inlineStr">
        <is>
          <t>Material de uso coletivo (copa/limpeza)</t>
        </is>
      </c>
      <c r="D596" s="107" t="n">
        <v>1</v>
      </c>
      <c r="E596" s="108" t="n">
        <v>74.8</v>
      </c>
      <c r="F596" s="109" t="n">
        <v>74.8</v>
      </c>
      <c r="G596" s="106">
        <f>INDEX(SETORES!$B:$B,MATCH(A596,SETORES!$A:$A,0))</f>
        <v/>
      </c>
      <c r="H596" s="106" t="inlineStr">
        <is>
          <t>Junho/2026</t>
        </is>
      </c>
    </row>
    <row r="597" hidden="1" ht="14.25" customHeight="1" s="64">
      <c r="A597" s="101" t="inlineStr">
        <is>
          <t>CAC</t>
        </is>
      </c>
      <c r="B597" s="101" t="inlineStr">
        <is>
          <t>Custo Fixo</t>
        </is>
      </c>
      <c r="C597" s="101" t="inlineStr">
        <is>
          <t>Energia elétrica (rateio)</t>
        </is>
      </c>
      <c r="D597" s="102" t="n">
        <v>1</v>
      </c>
      <c r="E597" s="103" t="n">
        <v>35.0289</v>
      </c>
      <c r="F597" s="104" t="n">
        <v>35.0289</v>
      </c>
      <c r="G597" s="101">
        <f>INDEX(SETORES!$B:$B,MATCH(A597,SETORES!$A:$A,0))</f>
        <v/>
      </c>
      <c r="H597" s="101" t="inlineStr">
        <is>
          <t>Junho/2026</t>
        </is>
      </c>
    </row>
    <row r="598" hidden="1" ht="14.25" customHeight="1" s="64">
      <c r="A598" s="106" t="inlineStr">
        <is>
          <t>CAC</t>
        </is>
      </c>
      <c r="B598" s="106" t="inlineStr">
        <is>
          <t>Custo Fixo</t>
        </is>
      </c>
      <c r="C598" s="106" t="inlineStr">
        <is>
          <t>Água e esgoto (rateio)</t>
        </is>
      </c>
      <c r="D598" s="107" t="n">
        <v>1</v>
      </c>
      <c r="E598" s="108" t="n">
        <v>0.1</v>
      </c>
      <c r="F598" s="109" t="n">
        <v>0.1</v>
      </c>
      <c r="G598" s="106">
        <f>INDEX(SETORES!$B:$B,MATCH(A598,SETORES!$A:$A,0))</f>
        <v/>
      </c>
      <c r="H598" s="106" t="inlineStr">
        <is>
          <t>Junho/2026</t>
        </is>
      </c>
    </row>
    <row r="599" hidden="1" ht="14.25" customHeight="1" s="64">
      <c r="A599" s="101" t="inlineStr">
        <is>
          <t>CAC</t>
        </is>
      </c>
      <c r="B599" s="101" t="inlineStr">
        <is>
          <t>Custo Fixo</t>
        </is>
      </c>
      <c r="C599" s="101" t="inlineStr">
        <is>
          <t>Telefonia móvel corporativa</t>
        </is>
      </c>
      <c r="D599" s="102" t="n"/>
      <c r="E599" s="103" t="n"/>
      <c r="F599" s="104">
        <f>IFERROR(D599*E599,0)</f>
        <v/>
      </c>
      <c r="G599" s="101">
        <f>INDEX(SETORES!$B:$B,MATCH(A599,SETORES!$A:$A,0))</f>
        <v/>
      </c>
      <c r="H599" s="101" t="inlineStr">
        <is>
          <t>Junho/2026</t>
        </is>
      </c>
    </row>
    <row r="600" hidden="1" ht="14.25" customHeight="1" s="64">
      <c r="A600" s="106" t="inlineStr">
        <is>
          <t>CAC</t>
        </is>
      </c>
      <c r="B600" s="106" t="inlineStr">
        <is>
          <t>Custo Fixo</t>
        </is>
      </c>
      <c r="C600" s="106" t="inlineStr">
        <is>
          <t>Folha de pagamento (salários)</t>
        </is>
      </c>
      <c r="D600" s="107" t="n">
        <v>1</v>
      </c>
      <c r="E600" s="108" t="n">
        <v>14018.17</v>
      </c>
      <c r="F600" s="109">
        <f>IFERROR(E600,0)</f>
        <v/>
      </c>
      <c r="G600" s="106">
        <f>INDEX(SETORES!$B:$B,MATCH(A600,SETORES!$A:$A,0))</f>
        <v/>
      </c>
      <c r="H600" s="106" t="inlineStr">
        <is>
          <t>Junho/2026</t>
        </is>
      </c>
    </row>
    <row r="601" hidden="1" ht="14.25" customHeight="1" s="64">
      <c r="A601" s="101" t="inlineStr">
        <is>
          <t>CAC</t>
        </is>
      </c>
      <c r="B601" s="101" t="inlineStr">
        <is>
          <t>Custo Variável</t>
        </is>
      </c>
      <c r="C601" s="101" t="inlineStr">
        <is>
          <t>Fardamento novo</t>
        </is>
      </c>
      <c r="D601" s="102" t="n"/>
      <c r="E601" s="103" t="n"/>
      <c r="F601" s="104">
        <f>IFERROR(D601*E601,0)</f>
        <v/>
      </c>
      <c r="G601" s="101">
        <f>INDEX(SETORES!$B:$B,MATCH(A601,SETORES!$A:$A,0))</f>
        <v/>
      </c>
      <c r="H601" s="101" t="inlineStr">
        <is>
          <t>Junho/2026</t>
        </is>
      </c>
    </row>
    <row r="602" hidden="1" ht="14.25" customHeight="1" s="64">
      <c r="A602" s="106" t="inlineStr">
        <is>
          <t>CAC</t>
        </is>
      </c>
      <c r="B602" s="106" t="inlineStr">
        <is>
          <t>Custo Variável</t>
        </is>
      </c>
      <c r="C602" s="106" t="inlineStr">
        <is>
          <t>Fardamento substituição</t>
        </is>
      </c>
      <c r="D602" s="107" t="n">
        <v>1</v>
      </c>
      <c r="E602" s="108" t="n">
        <v>38</v>
      </c>
      <c r="F602" s="109">
        <f>IFERROR(D602*E602,0)</f>
        <v/>
      </c>
      <c r="G602" s="106">
        <f>INDEX(SETORES!$B:$B,MATCH(A602,SETORES!$A:$A,0))</f>
        <v/>
      </c>
      <c r="H602" s="106" t="inlineStr">
        <is>
          <t>Junho/2026</t>
        </is>
      </c>
    </row>
    <row r="603" hidden="1" ht="14.25" customHeight="1" s="64">
      <c r="A603" s="101" t="inlineStr">
        <is>
          <t>CAC</t>
        </is>
      </c>
      <c r="B603" s="101" t="inlineStr">
        <is>
          <t>Custo Variável</t>
        </is>
      </c>
      <c r="C603" s="101" t="inlineStr">
        <is>
          <t>Exames médicos</t>
        </is>
      </c>
      <c r="D603" s="102" t="n"/>
      <c r="E603" s="103" t="n"/>
      <c r="F603" s="104">
        <f>IFERROR(D603*E603,0)</f>
        <v/>
      </c>
      <c r="G603" s="101">
        <f>INDEX(SETORES!$B:$B,MATCH(A603,SETORES!$A:$A,0))</f>
        <v/>
      </c>
      <c r="H603" s="101" t="inlineStr">
        <is>
          <t>Junho/2026</t>
        </is>
      </c>
    </row>
    <row r="604" hidden="1" ht="14.25" customHeight="1" s="64">
      <c r="A604" s="106" t="inlineStr">
        <is>
          <t>CAC</t>
        </is>
      </c>
      <c r="B604" s="106" t="inlineStr">
        <is>
          <t>Custo Fixo</t>
        </is>
      </c>
      <c r="C604" s="106" t="inlineStr">
        <is>
          <t>Licença de e-mail corporativo</t>
        </is>
      </c>
      <c r="D604" s="107" t="n">
        <v>3</v>
      </c>
      <c r="E604" s="108" t="n">
        <v>50</v>
      </c>
      <c r="F604" s="109">
        <f>IFERROR(D604*E604,0)</f>
        <v/>
      </c>
      <c r="G604" s="106">
        <f>INDEX(SETORES!$B:$B,MATCH(A604,SETORES!$A:$A,0))</f>
        <v/>
      </c>
      <c r="H604" s="106" t="inlineStr">
        <is>
          <t>Junho/2026</t>
        </is>
      </c>
    </row>
    <row r="605" hidden="1" ht="14.25" customHeight="1" s="64">
      <c r="A605" s="101" t="inlineStr">
        <is>
          <t>CAC</t>
        </is>
      </c>
      <c r="B605" s="101" t="inlineStr">
        <is>
          <t>Custo Fixo</t>
        </is>
      </c>
      <c r="C605" s="101" t="inlineStr">
        <is>
          <t>Gympass</t>
        </is>
      </c>
      <c r="D605" s="102" t="n">
        <v>4</v>
      </c>
      <c r="E605" s="103" t="n">
        <v>9.85</v>
      </c>
      <c r="F605" s="104">
        <f>IFERROR(D605*E605,0)</f>
        <v/>
      </c>
      <c r="G605" s="101">
        <f>INDEX(SETORES!$B:$B,MATCH(A605,SETORES!$A:$A,0))</f>
        <v/>
      </c>
      <c r="H605" s="101" t="inlineStr">
        <is>
          <t>Junho/2026</t>
        </is>
      </c>
    </row>
    <row r="606" hidden="1" ht="14.25" customHeight="1" s="64">
      <c r="A606" s="106" t="inlineStr">
        <is>
          <t>CAC</t>
        </is>
      </c>
      <c r="B606" s="106" t="inlineStr">
        <is>
          <t>Custo Fixo</t>
        </is>
      </c>
      <c r="C606" s="106" t="inlineStr">
        <is>
          <t>Stargrid</t>
        </is>
      </c>
      <c r="D606" s="107" t="n">
        <v>4</v>
      </c>
      <c r="E606" s="108" t="n">
        <v>2.04</v>
      </c>
      <c r="F606" s="109">
        <f>IFERROR(D606*E606,0)</f>
        <v/>
      </c>
      <c r="G606" s="106">
        <f>INDEX(SETORES!$B:$B,MATCH(A606,SETORES!$A:$A,0))</f>
        <v/>
      </c>
      <c r="H606" s="106" t="inlineStr">
        <is>
          <t>Junho/2026</t>
        </is>
      </c>
    </row>
    <row r="607" hidden="1" ht="14.25" customHeight="1" s="64">
      <c r="A607" s="101" t="inlineStr">
        <is>
          <t>Cobrança</t>
        </is>
      </c>
      <c r="B607" s="101" t="inlineStr">
        <is>
          <t>Custo Fixo</t>
        </is>
      </c>
      <c r="C607" s="101" t="inlineStr">
        <is>
          <t>Material de escritório (suprimentos de informática)</t>
        </is>
      </c>
      <c r="D607" s="102" t="n">
        <v>11</v>
      </c>
      <c r="E607" s="103" t="n">
        <v>0.2641</v>
      </c>
      <c r="F607" s="104" t="n">
        <v>2.9051</v>
      </c>
      <c r="G607" s="101">
        <f>INDEX(SETORES!$B:$B,MATCH(A607,SETORES!$A:$A,0))</f>
        <v/>
      </c>
      <c r="H607" s="101" t="inlineStr">
        <is>
          <t>Junho/2026</t>
        </is>
      </c>
    </row>
    <row r="608" hidden="1" ht="14.25" customHeight="1" s="64">
      <c r="A608" s="106" t="inlineStr">
        <is>
          <t>Cobrança</t>
        </is>
      </c>
      <c r="B608" s="106" t="inlineStr">
        <is>
          <t>Custo Fixo</t>
        </is>
      </c>
      <c r="C608" s="106" t="inlineStr">
        <is>
          <t>Material de uso coletivo (copa/limpeza)</t>
        </is>
      </c>
      <c r="D608" s="107" t="n">
        <v>1</v>
      </c>
      <c r="E608" s="108" t="n">
        <v>677.233934</v>
      </c>
      <c r="F608" s="109" t="n">
        <v>677.233934</v>
      </c>
      <c r="G608" s="106">
        <f>INDEX(SETORES!$B:$B,MATCH(A608,SETORES!$A:$A,0))</f>
        <v/>
      </c>
      <c r="H608" s="106" t="inlineStr">
        <is>
          <t>Junho/2026</t>
        </is>
      </c>
    </row>
    <row r="609" hidden="1" ht="14.25" customHeight="1" s="64">
      <c r="A609" s="101" t="inlineStr">
        <is>
          <t>Cobrança</t>
        </is>
      </c>
      <c r="B609" s="101" t="inlineStr">
        <is>
          <t>Custo Fixo</t>
        </is>
      </c>
      <c r="C609" s="101" t="inlineStr">
        <is>
          <t>Energia elétrica (rateio)</t>
        </is>
      </c>
      <c r="D609" s="102" t="n">
        <v>1</v>
      </c>
      <c r="E609" s="103" t="n">
        <v>96.32940000000001</v>
      </c>
      <c r="F609" s="104" t="n">
        <v>96.32940000000001</v>
      </c>
      <c r="G609" s="101">
        <f>INDEX(SETORES!$B:$B,MATCH(A609,SETORES!$A:$A,0))</f>
        <v/>
      </c>
      <c r="H609" s="101" t="inlineStr">
        <is>
          <t>Junho/2026</t>
        </is>
      </c>
    </row>
    <row r="610" hidden="1" ht="14.25" customHeight="1" s="64">
      <c r="A610" s="106" t="inlineStr">
        <is>
          <t>Cobrança</t>
        </is>
      </c>
      <c r="B610" s="106" t="inlineStr">
        <is>
          <t>Custo Fixo</t>
        </is>
      </c>
      <c r="C610" s="106" t="inlineStr">
        <is>
          <t>Água e esgoto (rateio)</t>
        </is>
      </c>
      <c r="D610" s="107" t="n">
        <v>1</v>
      </c>
      <c r="E610" s="108" t="n">
        <v>0.275</v>
      </c>
      <c r="F610" s="109" t="n">
        <v>0.275</v>
      </c>
      <c r="G610" s="106">
        <f>INDEX(SETORES!$B:$B,MATCH(A610,SETORES!$A:$A,0))</f>
        <v/>
      </c>
      <c r="H610" s="106" t="inlineStr">
        <is>
          <t>Junho/2026</t>
        </is>
      </c>
    </row>
    <row r="611" hidden="1" ht="14.25" customHeight="1" s="64">
      <c r="A611" s="101" t="inlineStr">
        <is>
          <t>Cobrança</t>
        </is>
      </c>
      <c r="B611" s="101" t="inlineStr">
        <is>
          <t>Custo Fixo</t>
        </is>
      </c>
      <c r="C611" s="101" t="inlineStr">
        <is>
          <t>Telefonia móvel corporativa</t>
        </is>
      </c>
      <c r="D611" s="102" t="n"/>
      <c r="E611" s="103" t="n"/>
      <c r="F611" s="104">
        <f>IFERROR(D611*E611,0)</f>
        <v/>
      </c>
      <c r="G611" s="101">
        <f>INDEX(SETORES!$B:$B,MATCH(A611,SETORES!$A:$A,0))</f>
        <v/>
      </c>
      <c r="H611" s="101" t="inlineStr">
        <is>
          <t>Junho/2026</t>
        </is>
      </c>
    </row>
    <row r="612" hidden="1" ht="14.25" customHeight="1" s="64">
      <c r="A612" s="106" t="inlineStr">
        <is>
          <t>Cobrança</t>
        </is>
      </c>
      <c r="B612" s="106" t="inlineStr">
        <is>
          <t>Custo Fixo</t>
        </is>
      </c>
      <c r="C612" s="106" t="inlineStr">
        <is>
          <t>Folha de pagamento (salários)</t>
        </is>
      </c>
      <c r="D612" s="107" t="n">
        <v>1</v>
      </c>
      <c r="E612" s="108" t="n">
        <v>35079.61</v>
      </c>
      <c r="F612" s="109">
        <f>IFERROR(E612,0)</f>
        <v/>
      </c>
      <c r="G612" s="106">
        <f>INDEX(SETORES!$B:$B,MATCH(A612,SETORES!$A:$A,0))</f>
        <v/>
      </c>
      <c r="H612" s="106" t="inlineStr">
        <is>
          <t>Junho/2026</t>
        </is>
      </c>
    </row>
    <row r="613" hidden="1" ht="14.25" customHeight="1" s="64">
      <c r="A613" s="101" t="inlineStr">
        <is>
          <t>Cobrança</t>
        </is>
      </c>
      <c r="B613" s="101" t="inlineStr">
        <is>
          <t>Custo Variável</t>
        </is>
      </c>
      <c r="C613" s="101" t="inlineStr">
        <is>
          <t>Fardamento novo</t>
        </is>
      </c>
      <c r="D613" s="102" t="n">
        <v>1</v>
      </c>
      <c r="E613" s="103" t="n">
        <v>496</v>
      </c>
      <c r="F613" s="104">
        <f>IFERROR(D613*E613,0)</f>
        <v/>
      </c>
      <c r="G613" s="101">
        <f>INDEX(SETORES!$B:$B,MATCH(A613,SETORES!$A:$A,0))</f>
        <v/>
      </c>
      <c r="H613" s="101" t="inlineStr">
        <is>
          <t>Junho/2026</t>
        </is>
      </c>
    </row>
    <row r="614" hidden="1" ht="14.25" customHeight="1" s="64">
      <c r="A614" s="106" t="inlineStr">
        <is>
          <t>Cobrança</t>
        </is>
      </c>
      <c r="B614" s="106" t="inlineStr">
        <is>
          <t>Custo Variável</t>
        </is>
      </c>
      <c r="C614" s="106" t="inlineStr">
        <is>
          <t>Fardamento substituição</t>
        </is>
      </c>
      <c r="D614" s="107" t="n">
        <v>1</v>
      </c>
      <c r="E614" s="108" t="n">
        <v>65.33</v>
      </c>
      <c r="F614" s="109">
        <f>IFERROR(D614*E614,0)</f>
        <v/>
      </c>
      <c r="G614" s="106">
        <f>INDEX(SETORES!$B:$B,MATCH(A614,SETORES!$A:$A,0))</f>
        <v/>
      </c>
      <c r="H614" s="106" t="inlineStr">
        <is>
          <t>Junho/2026</t>
        </is>
      </c>
    </row>
    <row r="615" hidden="1" ht="14.25" customHeight="1" s="64">
      <c r="A615" s="101" t="inlineStr">
        <is>
          <t>Cobrança</t>
        </is>
      </c>
      <c r="B615" s="101" t="inlineStr">
        <is>
          <t>Custo Variável</t>
        </is>
      </c>
      <c r="C615" s="101" t="inlineStr">
        <is>
          <t>Rescisões trabalhistas</t>
        </is>
      </c>
      <c r="D615" s="102" t="n">
        <v>1</v>
      </c>
      <c r="E615" s="103" t="n">
        <v>2340.76</v>
      </c>
      <c r="F615" s="104">
        <f>IFERROR(D615*E615,0)</f>
        <v/>
      </c>
      <c r="G615" s="101">
        <f>INDEX(SETORES!$B:$B,MATCH(A615,SETORES!$A:$A,0))</f>
        <v/>
      </c>
      <c r="H615" s="101" t="inlineStr">
        <is>
          <t>Junho/2026</t>
        </is>
      </c>
    </row>
    <row r="616" hidden="1" ht="14.25" customHeight="1" s="64">
      <c r="A616" s="106" t="inlineStr">
        <is>
          <t>Cobrança</t>
        </is>
      </c>
      <c r="B616" s="106" t="inlineStr">
        <is>
          <t>Custo Fixo</t>
        </is>
      </c>
      <c r="C616" s="106" t="inlineStr">
        <is>
          <t>Licença de e-mail corporativo</t>
        </is>
      </c>
      <c r="D616" s="107" t="n">
        <v>13</v>
      </c>
      <c r="E616" s="108" t="n">
        <v>50</v>
      </c>
      <c r="F616" s="109">
        <f>IFERROR(D616*E616,0)</f>
        <v/>
      </c>
      <c r="G616" s="106">
        <f>INDEX(SETORES!$B:$B,MATCH(A616,SETORES!$A:$A,0))</f>
        <v/>
      </c>
      <c r="H616" s="106" t="inlineStr">
        <is>
          <t>Junho/2026</t>
        </is>
      </c>
    </row>
    <row r="617" hidden="1" ht="14.25" customHeight="1" s="64">
      <c r="A617" s="101" t="inlineStr">
        <is>
          <t>Cobrança</t>
        </is>
      </c>
      <c r="B617" s="101" t="inlineStr">
        <is>
          <t>Custo Fixo</t>
        </is>
      </c>
      <c r="C617" s="101" t="inlineStr">
        <is>
          <t>Software MATRIX (rateio equipe Relacionamento)</t>
        </is>
      </c>
      <c r="D617" s="102" t="n">
        <v>1</v>
      </c>
      <c r="E617" s="103" t="n">
        <v>608.770657</v>
      </c>
      <c r="F617" s="104">
        <f>IFERROR(D617*E617,0)</f>
        <v/>
      </c>
      <c r="G617" s="101">
        <f>INDEX(SETORES!$B:$B,MATCH(A617,SETORES!$A:$A,0))</f>
        <v/>
      </c>
      <c r="H617" s="101" t="inlineStr">
        <is>
          <t>Junho/2026</t>
        </is>
      </c>
    </row>
    <row r="618" hidden="1" ht="14.25" customHeight="1" s="64">
      <c r="A618" s="106" t="inlineStr">
        <is>
          <t>Cobrança</t>
        </is>
      </c>
      <c r="B618" s="106" t="inlineStr">
        <is>
          <t>Custo Fixo</t>
        </is>
      </c>
      <c r="C618" s="106" t="inlineStr">
        <is>
          <t>Impressora (rateio equipe Relacionamento)</t>
        </is>
      </c>
      <c r="D618" s="107" t="n">
        <v>1</v>
      </c>
      <c r="E618" s="108" t="n">
        <v>2.308196</v>
      </c>
      <c r="F618" s="109">
        <f>IFERROR(D618*E618,0)</f>
        <v/>
      </c>
      <c r="G618" s="106">
        <f>INDEX(SETORES!$B:$B,MATCH(A618,SETORES!$A:$A,0))</f>
        <v/>
      </c>
      <c r="H618" s="106" t="inlineStr">
        <is>
          <t>Junho/2026</t>
        </is>
      </c>
    </row>
    <row r="619" hidden="1" ht="14.25" customHeight="1" s="64">
      <c r="A619" s="101" t="inlineStr">
        <is>
          <t>Cobrança</t>
        </is>
      </c>
      <c r="B619" s="101" t="inlineStr">
        <is>
          <t>Custo Fixo</t>
        </is>
      </c>
      <c r="C619" s="101" t="inlineStr">
        <is>
          <t>Gympass</t>
        </is>
      </c>
      <c r="D619" s="102" t="n">
        <v>11</v>
      </c>
      <c r="E619" s="103" t="n">
        <v>9.85</v>
      </c>
      <c r="F619" s="104">
        <f>IFERROR(D619*E619,0)</f>
        <v/>
      </c>
      <c r="G619" s="101">
        <f>INDEX(SETORES!$B:$B,MATCH(A619,SETORES!$A:$A,0))</f>
        <v/>
      </c>
      <c r="H619" s="101" t="inlineStr">
        <is>
          <t>Junho/2026</t>
        </is>
      </c>
    </row>
    <row r="620" hidden="1" ht="14.25" customHeight="1" s="64">
      <c r="A620" s="106" t="inlineStr">
        <is>
          <t>Cobrança</t>
        </is>
      </c>
      <c r="B620" s="106" t="inlineStr">
        <is>
          <t>Custo Fixo</t>
        </is>
      </c>
      <c r="C620" s="106" t="inlineStr">
        <is>
          <t>Stargrid</t>
        </is>
      </c>
      <c r="D620" s="107" t="n">
        <v>11</v>
      </c>
      <c r="E620" s="108" t="n">
        <v>2.04</v>
      </c>
      <c r="F620" s="109">
        <f>IFERROR(D620*E620,0)</f>
        <v/>
      </c>
      <c r="G620" s="106">
        <f>INDEX(SETORES!$B:$B,MATCH(A620,SETORES!$A:$A,0))</f>
        <v/>
      </c>
      <c r="H620" s="106" t="inlineStr">
        <is>
          <t>Junho/2026</t>
        </is>
      </c>
    </row>
    <row r="621" hidden="1" ht="14.25" customHeight="1" s="64">
      <c r="A621" s="101" t="inlineStr">
        <is>
          <t>Comercial Corporativo</t>
        </is>
      </c>
      <c r="B621" s="101" t="inlineStr">
        <is>
          <t>Custo Variável</t>
        </is>
      </c>
      <c r="C621" s="101" t="inlineStr">
        <is>
          <t>Endomarketing</t>
        </is>
      </c>
      <c r="D621" s="102" t="n"/>
      <c r="E621" s="103" t="n"/>
      <c r="F621" s="104">
        <f>IFERROR(D621*E621,0)</f>
        <v/>
      </c>
      <c r="G621" s="101">
        <f>INDEX(SETORES!$B:$B,MATCH(A621,SETORES!$A:$A,0))</f>
        <v/>
      </c>
      <c r="H621" s="101" t="inlineStr">
        <is>
          <t>Junho/2026</t>
        </is>
      </c>
    </row>
    <row r="622" hidden="1" ht="14.25" customHeight="1" s="64">
      <c r="A622" s="106" t="inlineStr">
        <is>
          <t>Comercial Corporativo</t>
        </is>
      </c>
      <c r="B622" s="106" t="inlineStr">
        <is>
          <t>Custo Variável</t>
        </is>
      </c>
      <c r="C622" s="106" t="inlineStr">
        <is>
          <t>Marketing direto</t>
        </is>
      </c>
      <c r="D622" s="107" t="n"/>
      <c r="E622" s="108" t="n"/>
      <c r="F622" s="109">
        <f>IFERROR(D622*E622,0)</f>
        <v/>
      </c>
      <c r="G622" s="106">
        <f>INDEX(SETORES!$B:$B,MATCH(A622,SETORES!$A:$A,0))</f>
        <v/>
      </c>
      <c r="H622" s="106" t="inlineStr">
        <is>
          <t>Junho/2026</t>
        </is>
      </c>
    </row>
    <row r="623" hidden="1" ht="14.25" customHeight="1" s="64">
      <c r="A623" s="101" t="inlineStr">
        <is>
          <t>Comercial Corporativo</t>
        </is>
      </c>
      <c r="B623" s="101" t="inlineStr">
        <is>
          <t>Custo Fixo</t>
        </is>
      </c>
      <c r="C623" s="101" t="inlineStr">
        <is>
          <t>E-mail do departamento</t>
        </is>
      </c>
      <c r="D623" s="102" t="n">
        <v>10</v>
      </c>
      <c r="E623" s="103" t="n">
        <v>50</v>
      </c>
      <c r="F623" s="104">
        <f>IFERROR(D623*E623,0)</f>
        <v/>
      </c>
      <c r="G623" s="101">
        <f>INDEX(SETORES!$B:$B,MATCH(A623,SETORES!$A:$A,0))</f>
        <v/>
      </c>
      <c r="H623" s="101" t="inlineStr">
        <is>
          <t>Junho/2026</t>
        </is>
      </c>
    </row>
    <row r="624" hidden="1" ht="14.25" customHeight="1" s="64">
      <c r="A624" s="106" t="inlineStr">
        <is>
          <t>Comercial Corporativo</t>
        </is>
      </c>
      <c r="B624" s="106" t="inlineStr">
        <is>
          <t>Custo Fixo</t>
        </is>
      </c>
      <c r="C624" s="106" t="inlineStr">
        <is>
          <t>Folha Trabalhista com impostos do mês</t>
        </is>
      </c>
      <c r="D624" s="107" t="n">
        <v>10</v>
      </c>
      <c r="E624" s="108" t="n">
        <v>128551.32</v>
      </c>
      <c r="F624" s="109">
        <f>IFERROR(E624,0)</f>
        <v/>
      </c>
      <c r="G624" s="106">
        <f>INDEX(SETORES!$B:$B,MATCH(A624,SETORES!$A:$A,0))</f>
        <v/>
      </c>
      <c r="H624" s="106" t="inlineStr">
        <is>
          <t>Junho/2026</t>
        </is>
      </c>
    </row>
    <row r="625" hidden="1" ht="14.25" customHeight="1" s="64">
      <c r="A625" s="101" t="inlineStr">
        <is>
          <t>Comercial Corporativo</t>
        </is>
      </c>
      <c r="B625" s="101" t="inlineStr">
        <is>
          <t>Custo Fixo</t>
        </is>
      </c>
      <c r="C625" s="101" t="inlineStr">
        <is>
          <t>Linhas moveis (FIQUE MÓVEL)</t>
        </is>
      </c>
      <c r="D625" s="102" t="n">
        <v>7</v>
      </c>
      <c r="E625" s="103" t="n">
        <v>30</v>
      </c>
      <c r="F625" s="104">
        <f>IFERROR(D625*E625,0)</f>
        <v/>
      </c>
      <c r="G625" s="101">
        <f>INDEX(SETORES!$B:$B,MATCH(A625,SETORES!$A:$A,0))</f>
        <v/>
      </c>
      <c r="H625" s="101" t="inlineStr">
        <is>
          <t>Junho/2026</t>
        </is>
      </c>
    </row>
    <row r="626" hidden="1" ht="14.25" customHeight="1" s="64">
      <c r="A626" s="106" t="inlineStr">
        <is>
          <t>Comercial Corporativo</t>
        </is>
      </c>
      <c r="B626" s="106" t="inlineStr">
        <is>
          <t>Custo Fixo</t>
        </is>
      </c>
      <c r="C626" s="106" t="inlineStr">
        <is>
          <t>Despesas com RH</t>
        </is>
      </c>
      <c r="D626" s="107" t="n">
        <v>10</v>
      </c>
      <c r="E626" s="108" t="n">
        <v>28.31</v>
      </c>
      <c r="F626" s="109">
        <f>IFERROR(D626*E626,0)</f>
        <v/>
      </c>
      <c r="G626" s="106">
        <f>INDEX(SETORES!$B:$B,MATCH(A626,SETORES!$A:$A,0))</f>
        <v/>
      </c>
      <c r="H626" s="106" t="inlineStr">
        <is>
          <t>Junho/2026</t>
        </is>
      </c>
    </row>
    <row r="627" hidden="1" ht="14.25" customHeight="1" s="64">
      <c r="A627" s="101" t="inlineStr">
        <is>
          <t>Comercial Corporativo</t>
        </is>
      </c>
      <c r="B627" s="101" t="inlineStr">
        <is>
          <t>Custo Fixo</t>
        </is>
      </c>
      <c r="C627" s="101" t="inlineStr">
        <is>
          <t>Despesas com DP</t>
        </is>
      </c>
      <c r="D627" s="102" t="n">
        <v>10</v>
      </c>
      <c r="E627" s="103" t="n">
        <v>47.79</v>
      </c>
      <c r="F627" s="104">
        <f>IFERROR(D627*E627,0)</f>
        <v/>
      </c>
      <c r="G627" s="101">
        <f>INDEX(SETORES!$B:$B,MATCH(A627,SETORES!$A:$A,0))</f>
        <v/>
      </c>
      <c r="H627" s="101" t="inlineStr">
        <is>
          <t>Junho/2026</t>
        </is>
      </c>
    </row>
    <row r="628" hidden="1" ht="14.25" customHeight="1" s="64">
      <c r="A628" s="106" t="inlineStr">
        <is>
          <t>Comercial Corporativo</t>
        </is>
      </c>
      <c r="B628" s="106" t="inlineStr">
        <is>
          <t>Custo Fixo</t>
        </is>
      </c>
      <c r="C628" s="106" t="inlineStr">
        <is>
          <t>Despesas com SST</t>
        </is>
      </c>
      <c r="D628" s="107" t="n">
        <v>11</v>
      </c>
      <c r="E628" s="108" t="n">
        <v>64.54000000000001</v>
      </c>
      <c r="F628" s="109">
        <f>IFERROR(D628*E628,0)</f>
        <v/>
      </c>
      <c r="G628" s="106">
        <f>INDEX(SETORES!$B:$B,MATCH(A628,SETORES!$A:$A,0))</f>
        <v/>
      </c>
      <c r="H628" s="106" t="inlineStr">
        <is>
          <t>Junho/2026</t>
        </is>
      </c>
    </row>
    <row r="629" hidden="1" ht="14.25" customHeight="1" s="64">
      <c r="A629" s="101" t="inlineStr">
        <is>
          <t>Comercial Corporativo</t>
        </is>
      </c>
      <c r="B629" s="101" t="inlineStr">
        <is>
          <t>Custo Variável</t>
        </is>
      </c>
      <c r="C629" s="101" t="inlineStr">
        <is>
          <t>Despesas SST exames</t>
        </is>
      </c>
      <c r="D629" s="102" t="n"/>
      <c r="E629" s="103" t="n"/>
      <c r="F629" s="104">
        <f>IFERROR(D629*E629,0)</f>
        <v/>
      </c>
      <c r="G629" s="101">
        <f>INDEX(SETORES!$B:$B,MATCH(A629,SETORES!$A:$A,0))</f>
        <v/>
      </c>
      <c r="H629" s="101" t="inlineStr">
        <is>
          <t>Junho/2026</t>
        </is>
      </c>
    </row>
    <row r="630" hidden="1" ht="14.25" customHeight="1" s="64">
      <c r="A630" s="106" t="inlineStr">
        <is>
          <t>Comercial Corporativo</t>
        </is>
      </c>
      <c r="B630" s="106" t="inlineStr">
        <is>
          <t>Custo Variável</t>
        </is>
      </c>
      <c r="C630" s="106" t="inlineStr">
        <is>
          <t>Novo Fardamento</t>
        </is>
      </c>
      <c r="D630" s="107" t="n"/>
      <c r="E630" s="108" t="n"/>
      <c r="F630" s="109">
        <f>IFERROR(D630*E630,0)</f>
        <v/>
      </c>
      <c r="G630" s="106">
        <f>INDEX(SETORES!$B:$B,MATCH(A630,SETORES!$A:$A,0))</f>
        <v/>
      </c>
      <c r="H630" s="106" t="inlineStr">
        <is>
          <t>Junho/2026</t>
        </is>
      </c>
    </row>
    <row r="631" hidden="1" ht="14.25" customHeight="1" s="64">
      <c r="A631" s="101" t="inlineStr">
        <is>
          <t>Comercial Corporativo</t>
        </is>
      </c>
      <c r="B631" s="101" t="inlineStr">
        <is>
          <t>Custo Variável</t>
        </is>
      </c>
      <c r="C631" s="101" t="inlineStr">
        <is>
          <t>Devolução de fardamento</t>
        </is>
      </c>
      <c r="D631" s="102" t="n"/>
      <c r="E631" s="103" t="n"/>
      <c r="F631" s="104">
        <f>IFERROR(D631*E631,0)</f>
        <v/>
      </c>
      <c r="G631" s="101">
        <f>INDEX(SETORES!$B:$B,MATCH(A631,SETORES!$A:$A,0))</f>
        <v/>
      </c>
      <c r="H631" s="101" t="inlineStr">
        <is>
          <t>Junho/2026</t>
        </is>
      </c>
    </row>
    <row r="632" hidden="1" ht="14.25" customHeight="1" s="64">
      <c r="A632" s="106" t="inlineStr">
        <is>
          <t>Comercial Corporativo</t>
        </is>
      </c>
      <c r="B632" s="106" t="inlineStr">
        <is>
          <t>Custo Variável</t>
        </is>
      </c>
      <c r="C632" s="106" t="inlineStr">
        <is>
          <t>Substituição extra de Fardamento</t>
        </is>
      </c>
      <c r="D632" s="107" t="n"/>
      <c r="E632" s="108" t="n"/>
      <c r="F632" s="109">
        <f>IFERROR(D632*E632,0)</f>
        <v/>
      </c>
      <c r="G632" s="106">
        <f>INDEX(SETORES!$B:$B,MATCH(A632,SETORES!$A:$A,0))</f>
        <v/>
      </c>
      <c r="H632" s="106" t="inlineStr">
        <is>
          <t>Junho/2026</t>
        </is>
      </c>
    </row>
    <row r="633" hidden="1" ht="14.25" customHeight="1" s="64">
      <c r="A633" s="101" t="inlineStr">
        <is>
          <t>Comercial Corporativo</t>
        </is>
      </c>
      <c r="B633" s="101" t="inlineStr">
        <is>
          <t>Custo Variável</t>
        </is>
      </c>
      <c r="C633" s="101" t="inlineStr">
        <is>
          <t>Consumo de combustível</t>
        </is>
      </c>
      <c r="D633" s="102" t="n">
        <v>1</v>
      </c>
      <c r="E633" s="103" t="n">
        <v>2950.58</v>
      </c>
      <c r="F633" s="104">
        <f>IFERROR(D633*E633,0)</f>
        <v/>
      </c>
      <c r="G633" s="101">
        <f>INDEX(SETORES!$B:$B,MATCH(A633,SETORES!$A:$A,0))</f>
        <v/>
      </c>
      <c r="H633" s="101" t="inlineStr">
        <is>
          <t>Junho/2026</t>
        </is>
      </c>
    </row>
    <row r="634" hidden="1" ht="14.25" customHeight="1" s="64">
      <c r="A634" s="106" t="inlineStr">
        <is>
          <t>Comercial Corporativo</t>
        </is>
      </c>
      <c r="B634" s="106" t="inlineStr">
        <is>
          <t>Custo Fixo</t>
        </is>
      </c>
      <c r="C634" s="106" t="inlineStr">
        <is>
          <t>Gympass</t>
        </is>
      </c>
      <c r="D634" s="107" t="n">
        <v>10</v>
      </c>
      <c r="E634" s="108" t="n">
        <v>9.85</v>
      </c>
      <c r="F634" s="109">
        <f>IFERROR(D634*E634,0)</f>
        <v/>
      </c>
      <c r="G634" s="106">
        <f>INDEX(SETORES!$B:$B,MATCH(A634,SETORES!$A:$A,0))</f>
        <v/>
      </c>
      <c r="H634" s="106" t="inlineStr">
        <is>
          <t>Junho/2026</t>
        </is>
      </c>
    </row>
    <row r="635" hidden="1" ht="14.25" customHeight="1" s="64">
      <c r="A635" s="101" t="inlineStr">
        <is>
          <t>Comercial Corporativo</t>
        </is>
      </c>
      <c r="B635" s="101" t="inlineStr">
        <is>
          <t>Custo Fixo</t>
        </is>
      </c>
      <c r="C635" s="101" t="inlineStr">
        <is>
          <t>Stargrid</t>
        </is>
      </c>
      <c r="D635" s="102" t="n">
        <v>10</v>
      </c>
      <c r="E635" s="103" t="n">
        <v>2.04</v>
      </c>
      <c r="F635" s="104">
        <f>IFERROR(D635*E635,0)</f>
        <v/>
      </c>
      <c r="G635" s="101">
        <f>INDEX(SETORES!$B:$B,MATCH(A635,SETORES!$A:$A,0))</f>
        <v/>
      </c>
      <c r="H635" s="101" t="inlineStr">
        <is>
          <t>Junho/2026</t>
        </is>
      </c>
    </row>
    <row r="636" hidden="1" ht="14.25" customHeight="1" s="64">
      <c r="A636" s="106" t="inlineStr">
        <is>
          <t>Comercial Corporativo</t>
        </is>
      </c>
      <c r="B636" s="106" t="inlineStr">
        <is>
          <t>Custo Variável</t>
        </is>
      </c>
      <c r="C636" s="106" t="inlineStr">
        <is>
          <t>Rescisões/Despesas Trabalhistas extra folha</t>
        </is>
      </c>
      <c r="D636" s="107" t="n">
        <v>1</v>
      </c>
      <c r="E636" s="108" t="n">
        <v>3022.47</v>
      </c>
      <c r="F636" s="109">
        <f>IFERROR(D636*E636,0)</f>
        <v/>
      </c>
      <c r="G636" s="106">
        <f>INDEX(SETORES!$B:$B,MATCH(A636,SETORES!$A:$A,0))</f>
        <v/>
      </c>
      <c r="H636" s="106" t="inlineStr">
        <is>
          <t>Junho/2026</t>
        </is>
      </c>
    </row>
    <row r="637" hidden="1" ht="14.25" customHeight="1" s="64">
      <c r="A637" s="101" t="inlineStr">
        <is>
          <t>Comercial Corporativo</t>
        </is>
      </c>
      <c r="B637" s="101" t="inlineStr">
        <is>
          <t>Custo Fixo</t>
        </is>
      </c>
      <c r="C637" s="101" t="inlineStr">
        <is>
          <t>Datlo</t>
        </is>
      </c>
      <c r="D637" s="102" t="n">
        <v>1</v>
      </c>
      <c r="E637" s="103" t="n">
        <v>2997</v>
      </c>
      <c r="F637" s="104">
        <f>IFERROR(D637*E637,0)</f>
        <v/>
      </c>
      <c r="G637" s="101">
        <f>INDEX(SETORES!$B:$B,MATCH(A637,SETORES!$A:$A,0))</f>
        <v/>
      </c>
      <c r="H637" s="101" t="inlineStr">
        <is>
          <t>Junho/2026</t>
        </is>
      </c>
    </row>
    <row r="638" hidden="1" ht="14.25" customHeight="1" s="64">
      <c r="A638" s="106" t="inlineStr">
        <is>
          <t>Comercial Corporativo</t>
        </is>
      </c>
      <c r="B638" s="106" t="inlineStr">
        <is>
          <t>Custo Fixo</t>
        </is>
      </c>
      <c r="C638" s="106" t="inlineStr">
        <is>
          <t>Agendor (válido por 3 meses)</t>
        </is>
      </c>
      <c r="D638" s="107" t="n">
        <v>1</v>
      </c>
      <c r="E638" s="108" t="n">
        <v>545.99</v>
      </c>
      <c r="F638" s="109">
        <f>IFERROR(D638*E638,0)</f>
        <v/>
      </c>
      <c r="G638" s="106">
        <f>INDEX(SETORES!$B:$B,MATCH(A638,SETORES!$A:$A,0))</f>
        <v/>
      </c>
      <c r="H638" s="106" t="inlineStr">
        <is>
          <t>Junho/2026</t>
        </is>
      </c>
    </row>
    <row r="639" hidden="1" ht="14.25" customHeight="1" s="64">
      <c r="A639" s="101" t="inlineStr">
        <is>
          <t>Comercial Corporativo</t>
        </is>
      </c>
      <c r="B639" s="101" t="inlineStr">
        <is>
          <t>Custo Fixo</t>
        </is>
      </c>
      <c r="C639" s="101" t="inlineStr">
        <is>
          <t>Dynamics (f001796)</t>
        </is>
      </c>
      <c r="D639" s="102" t="n"/>
      <c r="E639" s="103" t="n"/>
      <c r="F639" s="104">
        <f>IFERROR(D639*E639,0)</f>
        <v/>
      </c>
      <c r="G639" s="101">
        <f>INDEX(SETORES!$B:$B,MATCH(A639,SETORES!$A:$A,0))</f>
        <v/>
      </c>
      <c r="H639" s="101" t="inlineStr">
        <is>
          <t>Junho/2026</t>
        </is>
      </c>
    </row>
    <row r="640" hidden="1" ht="14.25" customHeight="1" s="64">
      <c r="A640" s="106" t="inlineStr">
        <is>
          <t>Comercial Corporativo</t>
        </is>
      </c>
      <c r="B640" s="106" t="inlineStr">
        <is>
          <t>Custo Fixo</t>
        </is>
      </c>
      <c r="C640" s="106" t="inlineStr">
        <is>
          <t>Salesforce</t>
        </is>
      </c>
      <c r="D640" s="107" t="n">
        <v>1</v>
      </c>
      <c r="E640" s="108" t="n">
        <v>3042.34</v>
      </c>
      <c r="F640" s="109">
        <f>IFERROR(D640*E640,0)</f>
        <v/>
      </c>
      <c r="G640" s="106">
        <f>INDEX(SETORES!$B:$B,MATCH(A640,SETORES!$A:$A,0))</f>
        <v/>
      </c>
      <c r="H640" s="106" t="inlineStr">
        <is>
          <t>Junho/2026</t>
        </is>
      </c>
    </row>
    <row r="641" hidden="1" ht="14.25" customHeight="1" s="64">
      <c r="A641" s="101" t="inlineStr">
        <is>
          <t>Compras</t>
        </is>
      </c>
      <c r="B641" s="101" t="inlineStr">
        <is>
          <t>Custo Fixo</t>
        </is>
      </c>
      <c r="C641" s="101" t="inlineStr">
        <is>
          <t>Material de escritório (suprimentos de informática)</t>
        </is>
      </c>
      <c r="D641" s="102" t="n"/>
      <c r="E641" s="103" t="n"/>
      <c r="F641" s="104" t="n">
        <v>0</v>
      </c>
      <c r="G641" s="101">
        <f>INDEX(SETORES!$B:$B,MATCH(A641,SETORES!$A:$A,0))</f>
        <v/>
      </c>
      <c r="H641" s="101" t="inlineStr">
        <is>
          <t>Junho/2026</t>
        </is>
      </c>
    </row>
    <row r="642" hidden="1" ht="14.25" customHeight="1" s="64">
      <c r="A642" s="106" t="inlineStr">
        <is>
          <t>Compras</t>
        </is>
      </c>
      <c r="B642" s="106" t="inlineStr">
        <is>
          <t>Custo Fixo</t>
        </is>
      </c>
      <c r="C642" s="106" t="inlineStr">
        <is>
          <t>Material de uso coletivo (copa/limpeza)</t>
        </is>
      </c>
      <c r="D642" s="107" t="n"/>
      <c r="E642" s="108" t="n"/>
      <c r="F642" s="109" t="n">
        <v>0</v>
      </c>
      <c r="G642" s="106">
        <f>INDEX(SETORES!$B:$B,MATCH(A642,SETORES!$A:$A,0))</f>
        <v/>
      </c>
      <c r="H642" s="106" t="inlineStr">
        <is>
          <t>Junho/2026</t>
        </is>
      </c>
    </row>
    <row r="643" hidden="1" ht="14.25" customHeight="1" s="64">
      <c r="A643" s="101" t="inlineStr">
        <is>
          <t>Compras</t>
        </is>
      </c>
      <c r="B643" s="101" t="inlineStr">
        <is>
          <t>Custo Fixo</t>
        </is>
      </c>
      <c r="C643" s="101" t="inlineStr">
        <is>
          <t>Energia elétrica (rateio)</t>
        </is>
      </c>
      <c r="D643" s="102" t="n">
        <v>4</v>
      </c>
      <c r="E643" s="103" t="n">
        <v>23.6877</v>
      </c>
      <c r="F643" s="104" t="n">
        <v>94.7508</v>
      </c>
      <c r="G643" s="101">
        <f>INDEX(SETORES!$B:$B,MATCH(A643,SETORES!$A:$A,0))</f>
        <v/>
      </c>
      <c r="H643" s="101" t="inlineStr">
        <is>
          <t>Junho/2026</t>
        </is>
      </c>
    </row>
    <row r="644" hidden="1" ht="14.25" customHeight="1" s="64">
      <c r="A644" s="106" t="inlineStr">
        <is>
          <t>Compras</t>
        </is>
      </c>
      <c r="B644" s="106" t="inlineStr">
        <is>
          <t>Custo Fixo</t>
        </is>
      </c>
      <c r="C644" s="106" t="inlineStr">
        <is>
          <t>Água e esgoto (rateio)</t>
        </is>
      </c>
      <c r="D644" s="107" t="n">
        <v>4</v>
      </c>
      <c r="E644" s="108" t="n">
        <v>0.3124</v>
      </c>
      <c r="F644" s="109" t="n">
        <v>1.2496</v>
      </c>
      <c r="G644" s="106">
        <f>INDEX(SETORES!$B:$B,MATCH(A644,SETORES!$A:$A,0))</f>
        <v/>
      </c>
      <c r="H644" s="106" t="inlineStr">
        <is>
          <t>Junho/2026</t>
        </is>
      </c>
    </row>
    <row r="645" hidden="1" ht="14.25" customHeight="1" s="64">
      <c r="A645" s="101" t="inlineStr">
        <is>
          <t>Compras</t>
        </is>
      </c>
      <c r="B645" s="101" t="inlineStr">
        <is>
          <t>Custo Fixo</t>
        </is>
      </c>
      <c r="C645" s="101" t="inlineStr">
        <is>
          <t>Telefonia móvel corporativa</t>
        </is>
      </c>
      <c r="D645" s="102" t="n"/>
      <c r="E645" s="103" t="n"/>
      <c r="F645" s="104">
        <f>IFERROR(D645*E645,0)</f>
        <v/>
      </c>
      <c r="G645" s="101">
        <f>INDEX(SETORES!$B:$B,MATCH(A645,SETORES!$A:$A,0))</f>
        <v/>
      </c>
      <c r="H645" s="101" t="inlineStr">
        <is>
          <t>Junho/2026</t>
        </is>
      </c>
    </row>
    <row r="646" hidden="1" ht="14.25" customHeight="1" s="64">
      <c r="A646" s="106" t="inlineStr">
        <is>
          <t>Compras</t>
        </is>
      </c>
      <c r="B646" s="106" t="inlineStr">
        <is>
          <t>Custo Fixo</t>
        </is>
      </c>
      <c r="C646" s="106" t="inlineStr">
        <is>
          <t>Folha de pagamento (salários)</t>
        </is>
      </c>
      <c r="D646" s="107" t="n">
        <v>1</v>
      </c>
      <c r="E646" s="108" t="n">
        <v>23138.39</v>
      </c>
      <c r="F646" s="109">
        <f>IFERROR(E646,0)</f>
        <v/>
      </c>
      <c r="G646" s="106">
        <f>INDEX(SETORES!$B:$B,MATCH(A646,SETORES!$A:$A,0))</f>
        <v/>
      </c>
      <c r="H646" s="106" t="inlineStr">
        <is>
          <t>Junho/2026</t>
        </is>
      </c>
    </row>
    <row r="647" hidden="1" ht="14.25" customHeight="1" s="64">
      <c r="A647" s="101" t="inlineStr">
        <is>
          <t>Compras</t>
        </is>
      </c>
      <c r="B647" s="101" t="inlineStr">
        <is>
          <t>Custo Variável</t>
        </is>
      </c>
      <c r="C647" s="101" t="inlineStr">
        <is>
          <t>Rateio de transporte coletivo</t>
        </is>
      </c>
      <c r="D647" s="102" t="n">
        <v>4</v>
      </c>
      <c r="E647" s="103" t="n">
        <v>85.70999999999999</v>
      </c>
      <c r="F647" s="104">
        <f>IFERROR(D647*E647,0)</f>
        <v/>
      </c>
      <c r="G647" s="101">
        <f>INDEX(SETORES!$B:$B,MATCH(A647,SETORES!$A:$A,0))</f>
        <v/>
      </c>
      <c r="H647" s="101" t="inlineStr">
        <is>
          <t>Junho/2026</t>
        </is>
      </c>
    </row>
    <row r="648" hidden="1" ht="14.25" customHeight="1" s="64">
      <c r="A648" s="106" t="inlineStr">
        <is>
          <t>Compras</t>
        </is>
      </c>
      <c r="B648" s="106" t="inlineStr">
        <is>
          <t>Custo Fixo</t>
        </is>
      </c>
      <c r="C648" s="106" t="inlineStr">
        <is>
          <t>Licença de e-mail corporativo</t>
        </is>
      </c>
      <c r="D648" s="107" t="n">
        <v>4</v>
      </c>
      <c r="E648" s="108" t="n">
        <v>50</v>
      </c>
      <c r="F648" s="109">
        <f>IFERROR(D648*E648,0)</f>
        <v/>
      </c>
      <c r="G648" s="106">
        <f>INDEX(SETORES!$B:$B,MATCH(A648,SETORES!$A:$A,0))</f>
        <v/>
      </c>
      <c r="H648" s="106" t="inlineStr">
        <is>
          <t>Junho/2026</t>
        </is>
      </c>
    </row>
    <row r="649" hidden="1" ht="14.25" customHeight="1" s="64">
      <c r="A649" s="101" t="inlineStr">
        <is>
          <t>Compras</t>
        </is>
      </c>
      <c r="B649" s="101" t="inlineStr">
        <is>
          <t>Custo Fixo</t>
        </is>
      </c>
      <c r="C649" s="101" t="inlineStr">
        <is>
          <t>Impressora</t>
        </is>
      </c>
      <c r="D649" s="102" t="n">
        <v>1</v>
      </c>
      <c r="E649" s="103" t="n">
        <v>25.6</v>
      </c>
      <c r="F649" s="104">
        <f>IFERROR(D649*E649,0)</f>
        <v/>
      </c>
      <c r="G649" s="101">
        <f>INDEX(SETORES!$B:$B,MATCH(A649,SETORES!$A:$A,0))</f>
        <v/>
      </c>
      <c r="H649" s="101" t="inlineStr">
        <is>
          <t>Junho/2026</t>
        </is>
      </c>
    </row>
    <row r="650" hidden="1" ht="14.25" customHeight="1" s="64">
      <c r="A650" s="106" t="inlineStr">
        <is>
          <t>Compras</t>
        </is>
      </c>
      <c r="B650" s="106" t="inlineStr">
        <is>
          <t>Custo Fixo</t>
        </is>
      </c>
      <c r="C650" s="106" t="inlineStr">
        <is>
          <t>Gympass</t>
        </is>
      </c>
      <c r="D650" s="107" t="n">
        <v>4</v>
      </c>
      <c r="E650" s="108" t="n">
        <v>9.85</v>
      </c>
      <c r="F650" s="109">
        <f>IFERROR(D650*E650,0)</f>
        <v/>
      </c>
      <c r="G650" s="106">
        <f>INDEX(SETORES!$B:$B,MATCH(A650,SETORES!$A:$A,0))</f>
        <v/>
      </c>
      <c r="H650" s="106" t="inlineStr">
        <is>
          <t>Junho/2026</t>
        </is>
      </c>
    </row>
    <row r="651" hidden="1" ht="14.25" customHeight="1" s="64">
      <c r="A651" s="101" t="inlineStr">
        <is>
          <t>Compras</t>
        </is>
      </c>
      <c r="B651" s="101" t="inlineStr">
        <is>
          <t>Custo Fixo</t>
        </is>
      </c>
      <c r="C651" s="101" t="inlineStr">
        <is>
          <t>Stargrid</t>
        </is>
      </c>
      <c r="D651" s="102" t="n">
        <v>4</v>
      </c>
      <c r="E651" s="103" t="n">
        <v>2.04</v>
      </c>
      <c r="F651" s="104">
        <f>IFERROR(D651*E651,0)</f>
        <v/>
      </c>
      <c r="G651" s="101">
        <f>INDEX(SETORES!$B:$B,MATCH(A651,SETORES!$A:$A,0))</f>
        <v/>
      </c>
      <c r="H651" s="101" t="inlineStr">
        <is>
          <t>Junho/2026</t>
        </is>
      </c>
    </row>
    <row r="652" hidden="1" ht="14.25" customHeight="1" s="64">
      <c r="A652" s="106" t="inlineStr">
        <is>
          <t>Engenharia</t>
        </is>
      </c>
      <c r="B652" s="106" t="inlineStr">
        <is>
          <t>Custo Fixo</t>
        </is>
      </c>
      <c r="C652" s="106" t="inlineStr">
        <is>
          <t>Água e esgoto (rateio)</t>
        </is>
      </c>
      <c r="D652" s="107" t="n">
        <v>7</v>
      </c>
      <c r="E652" s="108" t="n">
        <v>0.3124</v>
      </c>
      <c r="F652" s="109" t="n">
        <v>2.1868</v>
      </c>
      <c r="G652" s="106">
        <f>INDEX(SETORES!$B:$B,MATCH(A652,SETORES!$A:$A,0))</f>
        <v/>
      </c>
      <c r="H652" s="106" t="inlineStr">
        <is>
          <t>Junho/2026</t>
        </is>
      </c>
    </row>
    <row r="653" hidden="1" ht="14.25" customHeight="1" s="64">
      <c r="A653" s="101" t="inlineStr">
        <is>
          <t>Contabilidade</t>
        </is>
      </c>
      <c r="B653" s="101" t="inlineStr">
        <is>
          <t>Custo Fixo</t>
        </is>
      </c>
      <c r="C653" s="101" t="inlineStr">
        <is>
          <t>Material de escritório (suprimentos de informática)</t>
        </is>
      </c>
      <c r="D653" s="102" t="n"/>
      <c r="E653" s="103" t="n"/>
      <c r="F653" s="104" t="n">
        <v>0</v>
      </c>
      <c r="G653" s="101">
        <f>INDEX(SETORES!$B:$B,MATCH(A653,SETORES!$A:$A,0))</f>
        <v/>
      </c>
      <c r="H653" s="101" t="inlineStr">
        <is>
          <t>Junho/2026</t>
        </is>
      </c>
    </row>
    <row r="654" hidden="1" ht="14.25" customHeight="1" s="64">
      <c r="A654" s="106" t="inlineStr">
        <is>
          <t>Contabilidade</t>
        </is>
      </c>
      <c r="B654" s="106" t="inlineStr">
        <is>
          <t>Custo Fixo</t>
        </is>
      </c>
      <c r="C654" s="106" t="inlineStr">
        <is>
          <t>Material de uso coletivo (copa/limpeza)</t>
        </is>
      </c>
      <c r="D654" s="107" t="n">
        <v>1</v>
      </c>
      <c r="E654" s="108" t="n">
        <v>63.95</v>
      </c>
      <c r="F654" s="109" t="n">
        <v>63.95</v>
      </c>
      <c r="G654" s="106">
        <f>INDEX(SETORES!$B:$B,MATCH(A654,SETORES!$A:$A,0))</f>
        <v/>
      </c>
      <c r="H654" s="106" t="inlineStr">
        <is>
          <t>Junho/2026</t>
        </is>
      </c>
    </row>
    <row r="655" hidden="1" ht="14.25" customHeight="1" s="64">
      <c r="A655" s="101" t="inlineStr">
        <is>
          <t>Contabilidade</t>
        </is>
      </c>
      <c r="B655" s="101" t="inlineStr">
        <is>
          <t>Custo Fixo</t>
        </is>
      </c>
      <c r="C655" s="101" t="inlineStr">
        <is>
          <t>Energia elétrica (rateio)</t>
        </is>
      </c>
      <c r="D655" s="102" t="n">
        <v>1</v>
      </c>
      <c r="E655" s="103" t="n">
        <v>35.0289</v>
      </c>
      <c r="F655" s="104" t="n">
        <v>35.0289</v>
      </c>
      <c r="G655" s="101">
        <f>INDEX(SETORES!$B:$B,MATCH(A655,SETORES!$A:$A,0))</f>
        <v/>
      </c>
      <c r="H655" s="101" t="inlineStr">
        <is>
          <t>Junho/2026</t>
        </is>
      </c>
    </row>
    <row r="656" hidden="1" ht="14.25" customHeight="1" s="64">
      <c r="A656" s="106" t="inlineStr">
        <is>
          <t>Contabilidade</t>
        </is>
      </c>
      <c r="B656" s="106" t="inlineStr">
        <is>
          <t>Custo Fixo</t>
        </is>
      </c>
      <c r="C656" s="106" t="inlineStr">
        <is>
          <t>Água e esgoto (rateio)</t>
        </is>
      </c>
      <c r="D656" s="107" t="n">
        <v>1</v>
      </c>
      <c r="E656" s="108" t="n">
        <v>0.1</v>
      </c>
      <c r="F656" s="109" t="n">
        <v>0.1</v>
      </c>
      <c r="G656" s="106">
        <f>INDEX(SETORES!$B:$B,MATCH(A656,SETORES!$A:$A,0))</f>
        <v/>
      </c>
      <c r="H656" s="106" t="inlineStr">
        <is>
          <t>Junho/2026</t>
        </is>
      </c>
    </row>
    <row r="657" hidden="1" ht="14.25" customHeight="1" s="64">
      <c r="A657" s="101" t="inlineStr">
        <is>
          <t>Contabilidade</t>
        </is>
      </c>
      <c r="B657" s="101" t="inlineStr">
        <is>
          <t>Custo Fixo</t>
        </is>
      </c>
      <c r="C657" s="101" t="inlineStr">
        <is>
          <t>Telefonia móvel corporativa</t>
        </is>
      </c>
      <c r="D657" s="102" t="n"/>
      <c r="E657" s="103" t="n"/>
      <c r="F657" s="104">
        <f>IFERROR(D657*E657,0)</f>
        <v/>
      </c>
      <c r="G657" s="101">
        <f>INDEX(SETORES!$B:$B,MATCH(A657,SETORES!$A:$A,0))</f>
        <v/>
      </c>
      <c r="H657" s="101" t="inlineStr">
        <is>
          <t>Junho/2026</t>
        </is>
      </c>
    </row>
    <row r="658" hidden="1" ht="14.25" customHeight="1" s="64">
      <c r="A658" s="106" t="inlineStr">
        <is>
          <t>Contabilidade</t>
        </is>
      </c>
      <c r="B658" s="106" t="inlineStr">
        <is>
          <t>Custo Fixo</t>
        </is>
      </c>
      <c r="C658" s="106" t="inlineStr">
        <is>
          <t>Folha de pagamento (salários)</t>
        </is>
      </c>
      <c r="D658" s="107" t="n">
        <v>1</v>
      </c>
      <c r="E658" s="108" t="n">
        <v>13442.74</v>
      </c>
      <c r="F658" s="109">
        <f>IFERROR(E658,0)</f>
        <v/>
      </c>
      <c r="G658" s="106">
        <f>INDEX(SETORES!$B:$B,MATCH(A658,SETORES!$A:$A,0))</f>
        <v/>
      </c>
      <c r="H658" s="106" t="inlineStr">
        <is>
          <t>Junho/2026</t>
        </is>
      </c>
    </row>
    <row r="659" hidden="1" ht="14.25" customHeight="1" s="64">
      <c r="A659" s="101" t="inlineStr">
        <is>
          <t>Contabilidade</t>
        </is>
      </c>
      <c r="B659" s="101" t="inlineStr">
        <is>
          <t>Custo Variável</t>
        </is>
      </c>
      <c r="C659" s="101" t="inlineStr">
        <is>
          <t>Auditoria contábil externa (fiber finance)</t>
        </is>
      </c>
      <c r="D659" s="102" t="n">
        <v>1</v>
      </c>
      <c r="E659" s="103" t="n">
        <v>6000</v>
      </c>
      <c r="F659" s="104">
        <f>IFERROR(D659*E659,0)</f>
        <v/>
      </c>
      <c r="G659" s="101">
        <f>INDEX(SETORES!$B:$B,MATCH(A659,SETORES!$A:$A,0))</f>
        <v/>
      </c>
      <c r="H659" s="101" t="inlineStr">
        <is>
          <t>Junho/2026</t>
        </is>
      </c>
    </row>
    <row r="660" hidden="1" ht="14.25" customHeight="1" s="64">
      <c r="A660" s="106" t="inlineStr">
        <is>
          <t>Contabilidade</t>
        </is>
      </c>
      <c r="B660" s="106" t="inlineStr">
        <is>
          <t>Custo Variável</t>
        </is>
      </c>
      <c r="C660" s="106" t="inlineStr">
        <is>
          <t>Fardamento novo</t>
        </is>
      </c>
      <c r="D660" s="107" t="n">
        <v>1</v>
      </c>
      <c r="E660" s="108" t="n">
        <v>136</v>
      </c>
      <c r="F660" s="109">
        <f>IFERROR(D660*E660,0)</f>
        <v/>
      </c>
      <c r="G660" s="106">
        <f>INDEX(SETORES!$B:$B,MATCH(A660,SETORES!$A:$A,0))</f>
        <v/>
      </c>
      <c r="H660" s="106" t="inlineStr">
        <is>
          <t>Junho/2026</t>
        </is>
      </c>
    </row>
    <row r="661" hidden="1" ht="14.25" customHeight="1" s="64">
      <c r="A661" s="101" t="inlineStr">
        <is>
          <t>Contabilidade</t>
        </is>
      </c>
      <c r="B661" s="101" t="inlineStr">
        <is>
          <t>Custo Variável</t>
        </is>
      </c>
      <c r="C661" s="101" t="inlineStr">
        <is>
          <t>Fardamento substituição</t>
        </is>
      </c>
      <c r="D661" s="102" t="n">
        <v>1</v>
      </c>
      <c r="E661" s="103" t="n">
        <v>68</v>
      </c>
      <c r="F661" s="104">
        <f>IFERROR(D661*E661,0)</f>
        <v/>
      </c>
      <c r="G661" s="101">
        <f>INDEX(SETORES!$B:$B,MATCH(A661,SETORES!$A:$A,0))</f>
        <v/>
      </c>
      <c r="H661" s="101" t="inlineStr">
        <is>
          <t>Junho/2026</t>
        </is>
      </c>
    </row>
    <row r="662" hidden="1" ht="14.25" customHeight="1" s="64">
      <c r="A662" s="106" t="inlineStr">
        <is>
          <t>Contabilidade</t>
        </is>
      </c>
      <c r="B662" s="106" t="inlineStr">
        <is>
          <t>Custo Variável</t>
        </is>
      </c>
      <c r="C662" s="106" t="inlineStr">
        <is>
          <t>Rescisões trabalhistas</t>
        </is>
      </c>
      <c r="D662" s="107" t="n">
        <v>1</v>
      </c>
      <c r="E662" s="108" t="n">
        <v>3112.37</v>
      </c>
      <c r="F662" s="109">
        <f>IFERROR(D662*E662,0)</f>
        <v/>
      </c>
      <c r="G662" s="106">
        <f>INDEX(SETORES!$B:$B,MATCH(A662,SETORES!$A:$A,0))</f>
        <v/>
      </c>
      <c r="H662" s="106" t="inlineStr">
        <is>
          <t>Junho/2026</t>
        </is>
      </c>
    </row>
    <row r="663" hidden="1" ht="14.25" customHeight="1" s="64">
      <c r="A663" s="101" t="inlineStr">
        <is>
          <t>Contabilidade</t>
        </is>
      </c>
      <c r="B663" s="101" t="inlineStr">
        <is>
          <t>Custo Fixo</t>
        </is>
      </c>
      <c r="C663" s="101" t="inlineStr">
        <is>
          <t>Licença de e-mail corporativo</t>
        </is>
      </c>
      <c r="D663" s="102" t="n">
        <v>4</v>
      </c>
      <c r="E663" s="103" t="n">
        <v>50</v>
      </c>
      <c r="F663" s="104">
        <f>IFERROR(D663*E663,0)</f>
        <v/>
      </c>
      <c r="G663" s="101">
        <f>INDEX(SETORES!$B:$B,MATCH(A663,SETORES!$A:$A,0))</f>
        <v/>
      </c>
      <c r="H663" s="101" t="inlineStr">
        <is>
          <t>Junho/2026</t>
        </is>
      </c>
    </row>
    <row r="664" hidden="1" ht="14.25" customHeight="1" s="64">
      <c r="A664" s="106" t="inlineStr">
        <is>
          <t>Contabilidade</t>
        </is>
      </c>
      <c r="B664" s="106" t="inlineStr">
        <is>
          <t>Custo Fixo</t>
        </is>
      </c>
      <c r="C664" s="106" t="inlineStr">
        <is>
          <t>Gympass</t>
        </is>
      </c>
      <c r="D664" s="107" t="n">
        <v>4</v>
      </c>
      <c r="E664" s="108" t="n">
        <v>9.85</v>
      </c>
      <c r="F664" s="109">
        <f>IFERROR(D664*E664,0)</f>
        <v/>
      </c>
      <c r="G664" s="106">
        <f>INDEX(SETORES!$B:$B,MATCH(A664,SETORES!$A:$A,0))</f>
        <v/>
      </c>
      <c r="H664" s="106" t="inlineStr">
        <is>
          <t>Junho/2026</t>
        </is>
      </c>
    </row>
    <row r="665" hidden="1" ht="14.25" customHeight="1" s="64">
      <c r="A665" s="101" t="inlineStr">
        <is>
          <t>Contabilidade</t>
        </is>
      </c>
      <c r="B665" s="101" t="inlineStr">
        <is>
          <t>Custo Fixo</t>
        </is>
      </c>
      <c r="C665" s="101" t="inlineStr">
        <is>
          <t>Stargrid</t>
        </is>
      </c>
      <c r="D665" s="102" t="n">
        <v>4</v>
      </c>
      <c r="E665" s="103" t="n">
        <v>2.04</v>
      </c>
      <c r="F665" s="104">
        <f>IFERROR(D665*E665,0)</f>
        <v/>
      </c>
      <c r="G665" s="101">
        <f>INDEX(SETORES!$B:$B,MATCH(A665,SETORES!$A:$A,0))</f>
        <v/>
      </c>
      <c r="H665" s="101" t="inlineStr">
        <is>
          <t>Junho/2026</t>
        </is>
      </c>
    </row>
    <row r="666" hidden="1" ht="14.25" customHeight="1" s="64">
      <c r="A666" s="106" t="inlineStr">
        <is>
          <t>Contabilidade</t>
        </is>
      </c>
      <c r="B666" s="106" t="inlineStr">
        <is>
          <t>Custo Variável</t>
        </is>
      </c>
      <c r="C666" s="106" t="inlineStr">
        <is>
          <t>Consultoria contábil PJ (Wadson Genuíno)</t>
        </is>
      </c>
      <c r="D666" s="107" t="n">
        <v>1</v>
      </c>
      <c r="E666" s="108" t="n">
        <v>12000</v>
      </c>
      <c r="F666" s="109">
        <f>IFERROR(D666*E666,0)</f>
        <v/>
      </c>
      <c r="G666" s="106">
        <f>INDEX(SETORES!$B:$B,MATCH(A666,SETORES!$A:$A,0))</f>
        <v/>
      </c>
      <c r="H666" s="106" t="inlineStr">
        <is>
          <t>Junho/2026</t>
        </is>
      </c>
    </row>
    <row r="667" hidden="1" ht="14.25" customHeight="1" s="64">
      <c r="A667" s="101" t="inlineStr">
        <is>
          <t>Controladoria</t>
        </is>
      </c>
      <c r="B667" s="101" t="inlineStr">
        <is>
          <t>Custo Fixo</t>
        </is>
      </c>
      <c r="C667" s="101" t="inlineStr">
        <is>
          <t>Material de escritório (suprimentos de informática)</t>
        </is>
      </c>
      <c r="D667" s="102" t="n"/>
      <c r="E667" s="103" t="n"/>
      <c r="F667" s="104" t="n">
        <v>0</v>
      </c>
      <c r="G667" s="101">
        <f>INDEX(SETORES!$B:$B,MATCH(A667,SETORES!$A:$A,0))</f>
        <v/>
      </c>
      <c r="H667" s="101" t="inlineStr">
        <is>
          <t>Junho/2026</t>
        </is>
      </c>
    </row>
    <row r="668" hidden="1" ht="14.25" customHeight="1" s="64">
      <c r="A668" s="106" t="inlineStr">
        <is>
          <t>Controladoria</t>
        </is>
      </c>
      <c r="B668" s="106" t="inlineStr">
        <is>
          <t>Custo Fixo</t>
        </is>
      </c>
      <c r="C668" s="106" t="inlineStr">
        <is>
          <t>Material de uso coletivo (copa/limpeza)</t>
        </is>
      </c>
      <c r="D668" s="107" t="n"/>
      <c r="E668" s="108" t="n"/>
      <c r="F668" s="109" t="n">
        <v>0</v>
      </c>
      <c r="G668" s="106">
        <f>INDEX(SETORES!$B:$B,MATCH(A668,SETORES!$A:$A,0))</f>
        <v/>
      </c>
      <c r="H668" s="106" t="inlineStr">
        <is>
          <t>Junho/2026</t>
        </is>
      </c>
    </row>
    <row r="669" hidden="1" ht="14.25" customHeight="1" s="64">
      <c r="A669" s="101" t="inlineStr">
        <is>
          <t>Controladoria</t>
        </is>
      </c>
      <c r="B669" s="101" t="inlineStr">
        <is>
          <t>Custo Fixo</t>
        </is>
      </c>
      <c r="C669" s="101" t="inlineStr">
        <is>
          <t>Energia elétrica (rateio)</t>
        </is>
      </c>
      <c r="D669" s="102" t="n">
        <v>1</v>
      </c>
      <c r="E669" s="103" t="n">
        <v>8.757199999999999</v>
      </c>
      <c r="F669" s="104" t="n">
        <v>8.757199999999999</v>
      </c>
      <c r="G669" s="101">
        <f>INDEX(SETORES!$B:$B,MATCH(A669,SETORES!$A:$A,0))</f>
        <v/>
      </c>
      <c r="H669" s="101" t="inlineStr">
        <is>
          <t>Junho/2026</t>
        </is>
      </c>
    </row>
    <row r="670" hidden="1" ht="14.25" customHeight="1" s="64">
      <c r="A670" s="106" t="inlineStr">
        <is>
          <t>Controladoria</t>
        </is>
      </c>
      <c r="B670" s="106" t="inlineStr">
        <is>
          <t>Custo Fixo</t>
        </is>
      </c>
      <c r="C670" s="106" t="inlineStr">
        <is>
          <t>Água e esgoto (rateio)</t>
        </is>
      </c>
      <c r="D670" s="107" t="n">
        <v>1</v>
      </c>
      <c r="E670" s="108" t="n">
        <v>0.025</v>
      </c>
      <c r="F670" s="109" t="n">
        <v>0.025</v>
      </c>
      <c r="G670" s="106">
        <f>INDEX(SETORES!$B:$B,MATCH(A670,SETORES!$A:$A,0))</f>
        <v/>
      </c>
      <c r="H670" s="106" t="inlineStr">
        <is>
          <t>Junho/2026</t>
        </is>
      </c>
    </row>
    <row r="671" hidden="1" ht="14.25" customHeight="1" s="64">
      <c r="A671" s="101" t="inlineStr">
        <is>
          <t>Controladoria</t>
        </is>
      </c>
      <c r="B671" s="101" t="inlineStr">
        <is>
          <t>Custo Fixo</t>
        </is>
      </c>
      <c r="C671" s="101" t="inlineStr">
        <is>
          <t>Chip móvel corporativo</t>
        </is>
      </c>
      <c r="D671" s="102" t="n">
        <v>1</v>
      </c>
      <c r="E671" s="103" t="n">
        <v>30</v>
      </c>
      <c r="F671" s="104">
        <f>IFERROR(D671*E671,0)</f>
        <v/>
      </c>
      <c r="G671" s="101">
        <f>INDEX(SETORES!$B:$B,MATCH(A671,SETORES!$A:$A,0))</f>
        <v/>
      </c>
      <c r="H671" s="101" t="inlineStr">
        <is>
          <t>Junho/2026</t>
        </is>
      </c>
    </row>
    <row r="672" hidden="1" ht="14.25" customHeight="1" s="64">
      <c r="A672" s="106" t="inlineStr">
        <is>
          <t>Controladoria</t>
        </is>
      </c>
      <c r="B672" s="106" t="inlineStr">
        <is>
          <t>Custo Fixo</t>
        </is>
      </c>
      <c r="C672" s="106" t="inlineStr">
        <is>
          <t>Folha de pagamento (salários)</t>
        </is>
      </c>
      <c r="D672" s="107" t="n">
        <v>1</v>
      </c>
      <c r="E672" s="108" t="n">
        <v>18000</v>
      </c>
      <c r="F672" s="109">
        <f>IFERROR(E672,0)</f>
        <v/>
      </c>
      <c r="G672" s="106">
        <f>INDEX(SETORES!$B:$B,MATCH(A672,SETORES!$A:$A,0))</f>
        <v/>
      </c>
      <c r="H672" s="106" t="inlineStr">
        <is>
          <t>Junho/2026</t>
        </is>
      </c>
    </row>
    <row r="673" hidden="1" ht="14.25" customHeight="1" s="64">
      <c r="A673" s="101" t="inlineStr">
        <is>
          <t>Controladoria</t>
        </is>
      </c>
      <c r="B673" s="101" t="inlineStr">
        <is>
          <t>Custo Fixo</t>
        </is>
      </c>
      <c r="C673" s="101" t="inlineStr">
        <is>
          <t>Gympass</t>
        </is>
      </c>
      <c r="D673" s="102" t="n">
        <v>1</v>
      </c>
      <c r="E673" s="103" t="n">
        <v>9.85</v>
      </c>
      <c r="F673" s="104">
        <f>IFERROR(D673*E673,0)</f>
        <v/>
      </c>
      <c r="G673" s="101">
        <f>INDEX(SETORES!$B:$B,MATCH(A673,SETORES!$A:$A,0))</f>
        <v/>
      </c>
      <c r="H673" s="101" t="inlineStr">
        <is>
          <t>Junho/2026</t>
        </is>
      </c>
    </row>
    <row r="674" hidden="1" ht="14.25" customHeight="1" s="64">
      <c r="A674" s="106" t="inlineStr">
        <is>
          <t>Controladoria</t>
        </is>
      </c>
      <c r="B674" s="106" t="inlineStr">
        <is>
          <t>Custo Fixo</t>
        </is>
      </c>
      <c r="C674" s="106" t="inlineStr">
        <is>
          <t>Stargrid</t>
        </is>
      </c>
      <c r="D674" s="107" t="n">
        <v>1</v>
      </c>
      <c r="E674" s="108" t="n">
        <v>2.04</v>
      </c>
      <c r="F674" s="109">
        <f>IFERROR(D674*E674,0)</f>
        <v/>
      </c>
      <c r="G674" s="106">
        <f>INDEX(SETORES!$B:$B,MATCH(A674,SETORES!$A:$A,0))</f>
        <v/>
      </c>
      <c r="H674" s="106" t="inlineStr">
        <is>
          <t>Junho/2026</t>
        </is>
      </c>
    </row>
    <row r="675" hidden="1" ht="14.25" customHeight="1" s="64">
      <c r="A675" s="101" t="inlineStr">
        <is>
          <t>DP</t>
        </is>
      </c>
      <c r="B675" s="101" t="inlineStr">
        <is>
          <t>Custo Fixo</t>
        </is>
      </c>
      <c r="C675" s="101" t="inlineStr">
        <is>
          <t>Material de escritório (suprimentos de informática)</t>
        </is>
      </c>
      <c r="D675" s="102" t="n">
        <v>7</v>
      </c>
      <c r="E675" s="103" t="n">
        <v>1</v>
      </c>
      <c r="F675" s="104" t="n">
        <v>7</v>
      </c>
      <c r="G675" s="101">
        <f>INDEX(SETORES!$B:$B,MATCH(A675,SETORES!$A:$A,0))</f>
        <v/>
      </c>
      <c r="H675" s="101" t="inlineStr">
        <is>
          <t>Junho/2026</t>
        </is>
      </c>
    </row>
    <row r="676" hidden="1" ht="14.25" customHeight="1" s="64">
      <c r="A676" s="106" t="inlineStr">
        <is>
          <t>DP</t>
        </is>
      </c>
      <c r="B676" s="106" t="inlineStr">
        <is>
          <t>Custo Fixo</t>
        </is>
      </c>
      <c r="C676" s="106" t="inlineStr">
        <is>
          <t>Material de uso coletivo (copa/limpeza)</t>
        </is>
      </c>
      <c r="D676" s="107" t="n">
        <v>1</v>
      </c>
      <c r="E676" s="108" t="n">
        <v>60.8</v>
      </c>
      <c r="F676" s="109" t="n">
        <v>60.8</v>
      </c>
      <c r="G676" s="106">
        <f>INDEX(SETORES!$B:$B,MATCH(A676,SETORES!$A:$A,0))</f>
        <v/>
      </c>
      <c r="H676" s="106" t="inlineStr">
        <is>
          <t>Junho/2026</t>
        </is>
      </c>
    </row>
    <row r="677" hidden="1" ht="14.25" customHeight="1" s="64">
      <c r="A677" s="101" t="inlineStr">
        <is>
          <t>DP</t>
        </is>
      </c>
      <c r="B677" s="101" t="inlineStr">
        <is>
          <t>Custo Fixo</t>
        </is>
      </c>
      <c r="C677" s="101" t="inlineStr">
        <is>
          <t>Energia elétrica (rateio)</t>
        </is>
      </c>
      <c r="D677" s="102" t="n">
        <v>1</v>
      </c>
      <c r="E677" s="103" t="n">
        <v>61.3005</v>
      </c>
      <c r="F677" s="104" t="n">
        <v>61.3005</v>
      </c>
      <c r="G677" s="101">
        <f>INDEX(SETORES!$B:$B,MATCH(A677,SETORES!$A:$A,0))</f>
        <v/>
      </c>
      <c r="H677" s="101" t="inlineStr">
        <is>
          <t>Junho/2026</t>
        </is>
      </c>
    </row>
    <row r="678" hidden="1" ht="14.25" customHeight="1" s="64">
      <c r="A678" s="106" t="inlineStr">
        <is>
          <t>DP</t>
        </is>
      </c>
      <c r="B678" s="106" t="inlineStr">
        <is>
          <t>Custo Fixo</t>
        </is>
      </c>
      <c r="C678" s="106" t="inlineStr">
        <is>
          <t>Água e esgoto (rateio)</t>
        </is>
      </c>
      <c r="D678" s="107" t="n">
        <v>1</v>
      </c>
      <c r="E678" s="108" t="n">
        <v>0.175</v>
      </c>
      <c r="F678" s="109" t="n">
        <v>0.175</v>
      </c>
      <c r="G678" s="106">
        <f>INDEX(SETORES!$B:$B,MATCH(A678,SETORES!$A:$A,0))</f>
        <v/>
      </c>
      <c r="H678" s="106" t="inlineStr">
        <is>
          <t>Junho/2026</t>
        </is>
      </c>
    </row>
    <row r="679" hidden="1" ht="14.25" customHeight="1" s="64">
      <c r="A679" s="101" t="inlineStr">
        <is>
          <t>DP</t>
        </is>
      </c>
      <c r="B679" s="101" t="inlineStr">
        <is>
          <t>Custo Fixo</t>
        </is>
      </c>
      <c r="C679" s="101" t="inlineStr">
        <is>
          <t>Telefonia móvel corporativa</t>
        </is>
      </c>
      <c r="D679" s="102" t="n"/>
      <c r="E679" s="103" t="n"/>
      <c r="F679" s="104">
        <f>IFERROR(D679*E679,0)</f>
        <v/>
      </c>
      <c r="G679" s="101">
        <f>INDEX(SETORES!$B:$B,MATCH(A679,SETORES!$A:$A,0))</f>
        <v/>
      </c>
      <c r="H679" s="101" t="inlineStr">
        <is>
          <t>Junho/2026</t>
        </is>
      </c>
    </row>
    <row r="680" hidden="1" ht="14.25" customHeight="1" s="64">
      <c r="A680" s="106" t="inlineStr">
        <is>
          <t>DP</t>
        </is>
      </c>
      <c r="B680" s="106" t="inlineStr">
        <is>
          <t>Custo Fixo</t>
        </is>
      </c>
      <c r="C680" s="106" t="inlineStr">
        <is>
          <t>Folha de pagamento (salários)</t>
        </is>
      </c>
      <c r="D680" s="107" t="n">
        <v>1</v>
      </c>
      <c r="E680" s="108" t="n">
        <v>41967.61</v>
      </c>
      <c r="F680" s="109">
        <f>IFERROR(E680,0)</f>
        <v/>
      </c>
      <c r="G680" s="106">
        <f>INDEX(SETORES!$B:$B,MATCH(A680,SETORES!$A:$A,0))</f>
        <v/>
      </c>
      <c r="H680" s="106" t="inlineStr">
        <is>
          <t>Junho/2026</t>
        </is>
      </c>
    </row>
    <row r="681" hidden="1" ht="14.25" customHeight="1" s="64">
      <c r="A681" s="101" t="inlineStr">
        <is>
          <t>DP</t>
        </is>
      </c>
      <c r="B681" s="101" t="inlineStr">
        <is>
          <t>Custo Variável</t>
        </is>
      </c>
      <c r="C681" s="101" t="inlineStr">
        <is>
          <t>Exames admissionais/demissionais</t>
        </is>
      </c>
      <c r="D681" s="102" t="n"/>
      <c r="E681" s="103" t="n"/>
      <c r="F681" s="104">
        <f>IFERROR(D681*E681,0)</f>
        <v/>
      </c>
      <c r="G681" s="101">
        <f>INDEX(SETORES!$B:$B,MATCH(A681,SETORES!$A:$A,0))</f>
        <v/>
      </c>
      <c r="H681" s="101" t="inlineStr">
        <is>
          <t>Junho/2026</t>
        </is>
      </c>
    </row>
    <row r="682" hidden="1" ht="14.25" customHeight="1" s="64">
      <c r="A682" s="106" t="inlineStr">
        <is>
          <t>DP</t>
        </is>
      </c>
      <c r="B682" s="106" t="inlineStr">
        <is>
          <t>Custo Variável</t>
        </is>
      </c>
      <c r="C682" s="106" t="inlineStr">
        <is>
          <t>Homologações e rescisões</t>
        </is>
      </c>
      <c r="D682" s="107" t="n"/>
      <c r="E682" s="108" t="n"/>
      <c r="F682" s="109">
        <f>IFERROR(D682*E682,0)</f>
        <v/>
      </c>
      <c r="G682" s="106">
        <f>INDEX(SETORES!$B:$B,MATCH(A682,SETORES!$A:$A,0))</f>
        <v/>
      </c>
      <c r="H682" s="106" t="inlineStr">
        <is>
          <t>Junho/2026</t>
        </is>
      </c>
    </row>
    <row r="683" hidden="1" ht="14.25" customHeight="1" s="64">
      <c r="A683" s="101" t="inlineStr">
        <is>
          <t>DP</t>
        </is>
      </c>
      <c r="B683" s="101" t="inlineStr">
        <is>
          <t>Custo Variável</t>
        </is>
      </c>
      <c r="C683" s="101" t="inlineStr">
        <is>
          <t>Fardamento novo</t>
        </is>
      </c>
      <c r="D683" s="102" t="n">
        <v>1</v>
      </c>
      <c r="E683" s="103" t="n">
        <v>272</v>
      </c>
      <c r="F683" s="104">
        <f>IFERROR(D683*E683,0)</f>
        <v/>
      </c>
      <c r="G683" s="101">
        <f>INDEX(SETORES!$B:$B,MATCH(A683,SETORES!$A:$A,0))</f>
        <v/>
      </c>
      <c r="H683" s="101" t="inlineStr">
        <is>
          <t>Junho/2026</t>
        </is>
      </c>
    </row>
    <row r="684" hidden="1" ht="14.25" customHeight="1" s="64">
      <c r="A684" s="106" t="inlineStr">
        <is>
          <t>DP</t>
        </is>
      </c>
      <c r="B684" s="106" t="inlineStr">
        <is>
          <t>Custo Variável</t>
        </is>
      </c>
      <c r="C684" s="106" t="inlineStr">
        <is>
          <t>Fardamento substituição</t>
        </is>
      </c>
      <c r="D684" s="107" t="n"/>
      <c r="E684" s="108" t="n"/>
      <c r="F684" s="109">
        <f>IFERROR(D684*E684,0)</f>
        <v/>
      </c>
      <c r="G684" s="106">
        <f>INDEX(SETORES!$B:$B,MATCH(A684,SETORES!$A:$A,0))</f>
        <v/>
      </c>
      <c r="H684" s="106" t="inlineStr">
        <is>
          <t>Junho/2026</t>
        </is>
      </c>
    </row>
    <row r="685" hidden="1" ht="14.25" customHeight="1" s="64">
      <c r="A685" s="101" t="inlineStr">
        <is>
          <t>DP</t>
        </is>
      </c>
      <c r="B685" s="101" t="inlineStr">
        <is>
          <t>Custo Fixo</t>
        </is>
      </c>
      <c r="C685" s="101" t="inlineStr">
        <is>
          <t>Licença de e-mail corporativo</t>
        </is>
      </c>
      <c r="D685" s="102" t="n">
        <v>7</v>
      </c>
      <c r="E685" s="103" t="n">
        <v>50</v>
      </c>
      <c r="F685" s="104">
        <f>IFERROR(D685*E685,0)</f>
        <v/>
      </c>
      <c r="G685" s="101">
        <f>INDEX(SETORES!$B:$B,MATCH(A685,SETORES!$A:$A,0))</f>
        <v/>
      </c>
      <c r="H685" s="101" t="inlineStr">
        <is>
          <t>Junho/2026</t>
        </is>
      </c>
    </row>
    <row r="686" hidden="1" ht="14.25" customHeight="1" s="64">
      <c r="A686" s="106" t="inlineStr">
        <is>
          <t>DP</t>
        </is>
      </c>
      <c r="B686" s="106" t="inlineStr">
        <is>
          <t>Custo Fixo</t>
        </is>
      </c>
      <c r="C686" s="106" t="inlineStr">
        <is>
          <t>Impressora</t>
        </is>
      </c>
      <c r="D686" s="107" t="n">
        <v>1</v>
      </c>
      <c r="E686" s="108" t="n">
        <v>153.58</v>
      </c>
      <c r="F686" s="109">
        <f>IFERROR(D686*E686,0)</f>
        <v/>
      </c>
      <c r="G686" s="106">
        <f>INDEX(SETORES!$B:$B,MATCH(A686,SETORES!$A:$A,0))</f>
        <v/>
      </c>
      <c r="H686" s="106" t="inlineStr">
        <is>
          <t>Junho/2026</t>
        </is>
      </c>
    </row>
    <row r="687" hidden="1" ht="14.25" customHeight="1" s="64">
      <c r="A687" s="101" t="inlineStr">
        <is>
          <t>DP</t>
        </is>
      </c>
      <c r="B687" s="101" t="inlineStr">
        <is>
          <t>Custo Fixo</t>
        </is>
      </c>
      <c r="C687" s="101" t="inlineStr">
        <is>
          <t>Gympass</t>
        </is>
      </c>
      <c r="D687" s="102" t="n">
        <v>7</v>
      </c>
      <c r="E687" s="103" t="n">
        <v>9.85</v>
      </c>
      <c r="F687" s="104">
        <f>IFERROR(D687*E687,0)</f>
        <v/>
      </c>
      <c r="G687" s="101">
        <f>INDEX(SETORES!$B:$B,MATCH(A687,SETORES!$A:$A,0))</f>
        <v/>
      </c>
      <c r="H687" s="101" t="inlineStr">
        <is>
          <t>Junho/2026</t>
        </is>
      </c>
    </row>
    <row r="688" hidden="1" ht="14.25" customHeight="1" s="64">
      <c r="A688" s="106" t="inlineStr">
        <is>
          <t>DP</t>
        </is>
      </c>
      <c r="B688" s="106" t="inlineStr">
        <is>
          <t>Custo Fixo</t>
        </is>
      </c>
      <c r="C688" s="106" t="inlineStr">
        <is>
          <t>Stargrid</t>
        </is>
      </c>
      <c r="D688" s="107" t="n">
        <v>7</v>
      </c>
      <c r="E688" s="108" t="n">
        <v>2.04</v>
      </c>
      <c r="F688" s="109">
        <f>IFERROR(D688*E688,0)</f>
        <v/>
      </c>
      <c r="G688" s="106">
        <f>INDEX(SETORES!$B:$B,MATCH(A688,SETORES!$A:$A,0))</f>
        <v/>
      </c>
      <c r="H688" s="106" t="inlineStr">
        <is>
          <t>Junho/2026</t>
        </is>
      </c>
    </row>
    <row r="689" hidden="1" ht="14.25" customHeight="1" s="64">
      <c r="A689" s="101" t="inlineStr">
        <is>
          <t>Diretoria Operacional</t>
        </is>
      </c>
      <c r="B689" s="101" t="inlineStr">
        <is>
          <t>Custo Fixo</t>
        </is>
      </c>
      <c r="C689" s="101" t="inlineStr">
        <is>
          <t>Material de escritório (suprimentos de informática)</t>
        </is>
      </c>
      <c r="D689" s="102" t="n">
        <v>2</v>
      </c>
      <c r="E689" s="103" t="n">
        <v>5</v>
      </c>
      <c r="F689" s="104" t="n">
        <v>10</v>
      </c>
      <c r="G689" s="101">
        <f>INDEX(SETORES!$B:$B,MATCH(A689,SETORES!$A:$A,0))</f>
        <v/>
      </c>
      <c r="H689" s="101" t="inlineStr">
        <is>
          <t>Junho/2026</t>
        </is>
      </c>
    </row>
    <row r="690" hidden="1" ht="14.25" customHeight="1" s="64">
      <c r="A690" s="106" t="inlineStr">
        <is>
          <t>Diretoria Operacional</t>
        </is>
      </c>
      <c r="B690" s="106" t="inlineStr">
        <is>
          <t>Custo Fixo</t>
        </is>
      </c>
      <c r="C690" s="106" t="inlineStr">
        <is>
          <t>Material de uso coletivo (copa/limpeza)</t>
        </is>
      </c>
      <c r="D690" s="107" t="n">
        <v>1</v>
      </c>
      <c r="E690" s="108" t="n">
        <v>70.8</v>
      </c>
      <c r="F690" s="109" t="n">
        <v>70.8</v>
      </c>
      <c r="G690" s="106">
        <f>INDEX(SETORES!$B:$B,MATCH(A690,SETORES!$A:$A,0))</f>
        <v/>
      </c>
      <c r="H690" s="106" t="inlineStr">
        <is>
          <t>Junho/2026</t>
        </is>
      </c>
    </row>
    <row r="691" hidden="1" ht="14.25" customHeight="1" s="64">
      <c r="A691" s="101" t="inlineStr">
        <is>
          <t>Diretoria Operacional</t>
        </is>
      </c>
      <c r="B691" s="101" t="inlineStr">
        <is>
          <t>Custo Fixo</t>
        </is>
      </c>
      <c r="C691" s="101" t="inlineStr">
        <is>
          <t>Energia elétrica (rateio)</t>
        </is>
      </c>
      <c r="D691" s="102" t="n">
        <v>1</v>
      </c>
      <c r="E691" s="103" t="n">
        <v>17.5144</v>
      </c>
      <c r="F691" s="104" t="n">
        <v>17.5144</v>
      </c>
      <c r="G691" s="101">
        <f>INDEX(SETORES!$B:$B,MATCH(A691,SETORES!$A:$A,0))</f>
        <v/>
      </c>
      <c r="H691" s="101" t="inlineStr">
        <is>
          <t>Junho/2026</t>
        </is>
      </c>
    </row>
    <row r="692" hidden="1" ht="14.25" customHeight="1" s="64">
      <c r="A692" s="106" t="inlineStr">
        <is>
          <t>Diretoria Operacional</t>
        </is>
      </c>
      <c r="B692" s="106" t="inlineStr">
        <is>
          <t>Custo Fixo</t>
        </is>
      </c>
      <c r="C692" s="106" t="inlineStr">
        <is>
          <t>Água e esgoto (rateio)</t>
        </is>
      </c>
      <c r="D692" s="107" t="n">
        <v>1</v>
      </c>
      <c r="E692" s="108" t="n">
        <v>0.05</v>
      </c>
      <c r="F692" s="109" t="n">
        <v>0.05</v>
      </c>
      <c r="G692" s="106">
        <f>INDEX(SETORES!$B:$B,MATCH(A692,SETORES!$A:$A,0))</f>
        <v/>
      </c>
      <c r="H692" s="106" t="inlineStr">
        <is>
          <t>Junho/2026</t>
        </is>
      </c>
    </row>
    <row r="693" hidden="1" ht="14.25" customHeight="1" s="64">
      <c r="A693" s="101" t="inlineStr">
        <is>
          <t>Diretoria Operacional</t>
        </is>
      </c>
      <c r="B693" s="101" t="inlineStr">
        <is>
          <t>Custo Fixo</t>
        </is>
      </c>
      <c r="C693" s="101" t="inlineStr">
        <is>
          <t>Telefonia móvel corporativa</t>
        </is>
      </c>
      <c r="D693" s="102" t="n"/>
      <c r="E693" s="103" t="n"/>
      <c r="F693" s="104">
        <f>IFERROR(D693*E693,0)</f>
        <v/>
      </c>
      <c r="G693" s="101">
        <f>INDEX(SETORES!$B:$B,MATCH(A693,SETORES!$A:$A,0))</f>
        <v/>
      </c>
      <c r="H693" s="101" t="inlineStr">
        <is>
          <t>Junho/2026</t>
        </is>
      </c>
    </row>
    <row r="694" hidden="1" ht="14.25" customHeight="1" s="64">
      <c r="A694" s="106" t="inlineStr">
        <is>
          <t>Diretoria Operacional</t>
        </is>
      </c>
      <c r="B694" s="106" t="inlineStr">
        <is>
          <t>Custo Fixo</t>
        </is>
      </c>
      <c r="C694" s="106" t="inlineStr">
        <is>
          <t>Folha de pagamento (salários)</t>
        </is>
      </c>
      <c r="D694" s="107" t="n">
        <v>1</v>
      </c>
      <c r="E694" s="108" t="n">
        <v>28225.1106607408</v>
      </c>
      <c r="F694" s="109">
        <f>IFERROR(E694,0)</f>
        <v/>
      </c>
      <c r="G694" s="106">
        <f>INDEX(SETORES!$B:$B,MATCH(A694,SETORES!$A:$A,0))</f>
        <v/>
      </c>
      <c r="H694" s="106" t="inlineStr">
        <is>
          <t>Junho/2026</t>
        </is>
      </c>
    </row>
    <row r="695" hidden="1" ht="14.25" customHeight="1" s="64">
      <c r="A695" s="101" t="inlineStr">
        <is>
          <t>Diretoria Operacional</t>
        </is>
      </c>
      <c r="B695" s="101" t="inlineStr">
        <is>
          <t>Custo Variável</t>
        </is>
      </c>
      <c r="C695" s="101" t="inlineStr">
        <is>
          <t>Viagens e hospedagem corporativas</t>
        </is>
      </c>
      <c r="D695" s="102" t="n"/>
      <c r="E695" s="103" t="n"/>
      <c r="F695" s="104">
        <f>IFERROR(D695*E695,0)</f>
        <v/>
      </c>
      <c r="G695" s="101">
        <f>INDEX(SETORES!$B:$B,MATCH(A695,SETORES!$A:$A,0))</f>
        <v/>
      </c>
      <c r="H695" s="101" t="inlineStr">
        <is>
          <t>Junho/2026</t>
        </is>
      </c>
    </row>
    <row r="696" hidden="1" ht="14.25" customHeight="1" s="64">
      <c r="A696" s="106" t="inlineStr">
        <is>
          <t>Diretoria Operacional</t>
        </is>
      </c>
      <c r="B696" s="106" t="inlineStr">
        <is>
          <t>Custo Variável</t>
        </is>
      </c>
      <c r="C696" s="106" t="inlineStr">
        <is>
          <t>Fardamento novo</t>
        </is>
      </c>
      <c r="D696" s="107" t="n"/>
      <c r="E696" s="108" t="n"/>
      <c r="F696" s="109">
        <f>IFERROR(D696*E696,0)</f>
        <v/>
      </c>
      <c r="G696" s="106">
        <f>INDEX(SETORES!$B:$B,MATCH(A696,SETORES!$A:$A,0))</f>
        <v/>
      </c>
      <c r="H696" s="106" t="inlineStr">
        <is>
          <t>Junho/2026</t>
        </is>
      </c>
    </row>
    <row r="697" hidden="1" ht="14.25" customHeight="1" s="64">
      <c r="A697" s="101" t="inlineStr">
        <is>
          <t>Diretoria Operacional</t>
        </is>
      </c>
      <c r="B697" s="101" t="inlineStr">
        <is>
          <t>Custo Variável</t>
        </is>
      </c>
      <c r="C697" s="101" t="inlineStr">
        <is>
          <t>Fardamento substituição</t>
        </is>
      </c>
      <c r="D697" s="102" t="n"/>
      <c r="E697" s="103" t="n"/>
      <c r="F697" s="104">
        <f>IFERROR(D697*E697,0)</f>
        <v/>
      </c>
      <c r="G697" s="101">
        <f>INDEX(SETORES!$B:$B,MATCH(A697,SETORES!$A:$A,0))</f>
        <v/>
      </c>
      <c r="H697" s="101" t="inlineStr">
        <is>
          <t>Junho/2026</t>
        </is>
      </c>
    </row>
    <row r="698" hidden="1" ht="14.25" customHeight="1" s="64">
      <c r="A698" s="106" t="inlineStr">
        <is>
          <t>Diretoria Operacional</t>
        </is>
      </c>
      <c r="B698" s="106" t="inlineStr">
        <is>
          <t>Custo Fixo</t>
        </is>
      </c>
      <c r="C698" s="106" t="inlineStr">
        <is>
          <t>Licença de e-mail corporativo</t>
        </is>
      </c>
      <c r="D698" s="107" t="n">
        <v>5</v>
      </c>
      <c r="E698" s="108" t="n">
        <v>50</v>
      </c>
      <c r="F698" s="109">
        <f>IFERROR(D698*E698,0)</f>
        <v/>
      </c>
      <c r="G698" s="106">
        <f>INDEX(SETORES!$B:$B,MATCH(A698,SETORES!$A:$A,0))</f>
        <v/>
      </c>
      <c r="H698" s="106" t="inlineStr">
        <is>
          <t>Junho/2026</t>
        </is>
      </c>
    </row>
    <row r="699" hidden="1" ht="14.25" customHeight="1" s="64">
      <c r="A699" s="101" t="inlineStr">
        <is>
          <t>Diretoria Operacional</t>
        </is>
      </c>
      <c r="B699" s="101" t="inlineStr">
        <is>
          <t>Custo Fixo</t>
        </is>
      </c>
      <c r="C699" s="101" t="inlineStr">
        <is>
          <t>Gympass</t>
        </is>
      </c>
      <c r="D699" s="102" t="n">
        <v>2</v>
      </c>
      <c r="E699" s="103" t="n">
        <v>9.85</v>
      </c>
      <c r="F699" s="104">
        <f>IFERROR(D699*E699,0)</f>
        <v/>
      </c>
      <c r="G699" s="101">
        <f>INDEX(SETORES!$B:$B,MATCH(A699,SETORES!$A:$A,0))</f>
        <v/>
      </c>
      <c r="H699" s="101" t="inlineStr">
        <is>
          <t>Junho/2026</t>
        </is>
      </c>
    </row>
    <row r="700" hidden="1" ht="14.25" customHeight="1" s="64">
      <c r="A700" s="106" t="inlineStr">
        <is>
          <t>Diretoria Operacional</t>
        </is>
      </c>
      <c r="B700" s="106" t="inlineStr">
        <is>
          <t>Custo Fixo</t>
        </is>
      </c>
      <c r="C700" s="106" t="inlineStr">
        <is>
          <t>Stargrid</t>
        </is>
      </c>
      <c r="D700" s="107" t="n">
        <v>2</v>
      </c>
      <c r="E700" s="108" t="n">
        <v>2.04</v>
      </c>
      <c r="F700" s="109">
        <f>IFERROR(D700*E700,0)</f>
        <v/>
      </c>
      <c r="G700" s="106">
        <f>INDEX(SETORES!$B:$B,MATCH(A700,SETORES!$A:$A,0))</f>
        <v/>
      </c>
      <c r="H700" s="106" t="inlineStr">
        <is>
          <t>Junho/2026</t>
        </is>
      </c>
    </row>
    <row r="701" hidden="1" ht="14.25" customHeight="1" s="64">
      <c r="A701" s="101" t="inlineStr">
        <is>
          <t>Engenharia</t>
        </is>
      </c>
      <c r="B701" s="101" t="inlineStr">
        <is>
          <t>Custo Fixo</t>
        </is>
      </c>
      <c r="C701" s="101" t="inlineStr">
        <is>
          <t>Material de escritório (suprimentos de informática)</t>
        </is>
      </c>
      <c r="D701" s="102" t="n">
        <v>1</v>
      </c>
      <c r="E701" s="103" t="n">
        <v>22.5</v>
      </c>
      <c r="F701" s="104" t="n">
        <v>45</v>
      </c>
      <c r="G701" s="101">
        <f>INDEX(SETORES!$B:$B,MATCH(A701,SETORES!$A:$A,0))</f>
        <v/>
      </c>
      <c r="H701" s="101" t="inlineStr">
        <is>
          <t>Junho/2026</t>
        </is>
      </c>
    </row>
    <row r="702" hidden="1" ht="14.25" customHeight="1" s="64">
      <c r="A702" s="106" t="inlineStr">
        <is>
          <t>Engenharia</t>
        </is>
      </c>
      <c r="B702" s="106" t="inlineStr">
        <is>
          <t>Custo Fixo</t>
        </is>
      </c>
      <c r="C702" s="106" t="inlineStr">
        <is>
          <t>Material de uso coletivo (copa/limpeza)</t>
        </is>
      </c>
      <c r="D702" s="107" t="n">
        <v>1</v>
      </c>
      <c r="E702" s="108" t="n">
        <v>22.5</v>
      </c>
      <c r="F702" s="109" t="n">
        <v>22.5</v>
      </c>
      <c r="G702" s="106">
        <f>INDEX(SETORES!$B:$B,MATCH(A702,SETORES!$A:$A,0))</f>
        <v/>
      </c>
      <c r="H702" s="106" t="inlineStr">
        <is>
          <t>Junho/2026</t>
        </is>
      </c>
    </row>
    <row r="703" hidden="1" ht="14.25" customHeight="1" s="64">
      <c r="A703" s="101" t="inlineStr">
        <is>
          <t>Engenharia</t>
        </is>
      </c>
      <c r="B703" s="101" t="inlineStr">
        <is>
          <t>Custo Variável</t>
        </is>
      </c>
      <c r="C703" s="101" t="inlineStr">
        <is>
          <t>Endomarketing</t>
        </is>
      </c>
      <c r="D703" s="102" t="n">
        <v>1</v>
      </c>
      <c r="E703" s="103" t="n">
        <v>700</v>
      </c>
      <c r="F703" s="104">
        <f>IFERROR(D703*E703,0)</f>
        <v/>
      </c>
      <c r="G703" s="101">
        <f>INDEX(SETORES!$B:$B,MATCH(A703,SETORES!$A:$A,0))</f>
        <v/>
      </c>
      <c r="H703" s="101" t="inlineStr">
        <is>
          <t>Junho/2026</t>
        </is>
      </c>
    </row>
    <row r="704" hidden="1" ht="14.25" customHeight="1" s="64">
      <c r="A704" s="106" t="inlineStr">
        <is>
          <t>Engenharia</t>
        </is>
      </c>
      <c r="B704" s="106" t="inlineStr">
        <is>
          <t>Custo Fixo</t>
        </is>
      </c>
      <c r="C704" s="106" t="inlineStr">
        <is>
          <t>Energia elétrica (rateio)</t>
        </is>
      </c>
      <c r="D704" s="107" t="n">
        <v>7</v>
      </c>
      <c r="E704" s="108" t="n">
        <v>23.6877</v>
      </c>
      <c r="F704" s="109" t="n">
        <v>165.8139</v>
      </c>
      <c r="G704" s="106">
        <f>INDEX(SETORES!$B:$B,MATCH(A704,SETORES!$A:$A,0))</f>
        <v/>
      </c>
      <c r="H704" s="106" t="inlineStr">
        <is>
          <t>Junho/2026</t>
        </is>
      </c>
    </row>
    <row r="705" hidden="1" ht="14.25" customHeight="1" s="64">
      <c r="A705" s="101" t="inlineStr">
        <is>
          <t>Estoque</t>
        </is>
      </c>
      <c r="B705" s="101" t="inlineStr">
        <is>
          <t>Custo Fixo</t>
        </is>
      </c>
      <c r="C705" s="101" t="inlineStr">
        <is>
          <t>Água e esgoto (rateio)</t>
        </is>
      </c>
      <c r="D705" s="102" t="n">
        <v>12</v>
      </c>
      <c r="E705" s="103" t="n">
        <v>0.3124</v>
      </c>
      <c r="F705" s="104" t="n">
        <v>3.7488</v>
      </c>
      <c r="G705" s="101">
        <f>INDEX(SETORES!$B:$B,MATCH(A705,SETORES!$A:$A,0))</f>
        <v/>
      </c>
      <c r="H705" s="101" t="inlineStr">
        <is>
          <t>Junho/2026</t>
        </is>
      </c>
    </row>
    <row r="706" hidden="1" ht="14.25" customHeight="1" s="64">
      <c r="A706" s="106" t="inlineStr">
        <is>
          <t>Engenharia</t>
        </is>
      </c>
      <c r="B706" s="106" t="inlineStr">
        <is>
          <t>Custo Fixo</t>
        </is>
      </c>
      <c r="C706" s="106" t="inlineStr">
        <is>
          <t>Telefonia móvel corporativa</t>
        </is>
      </c>
      <c r="D706" s="107" t="n"/>
      <c r="E706" s="108" t="n"/>
      <c r="F706" s="109">
        <f>IFERROR(D706*E706,0)</f>
        <v/>
      </c>
      <c r="G706" s="106">
        <f>INDEX(SETORES!$B:$B,MATCH(A706,SETORES!$A:$A,0))</f>
        <v/>
      </c>
      <c r="H706" s="106" t="inlineStr">
        <is>
          <t>Junho/2026</t>
        </is>
      </c>
    </row>
    <row r="707" hidden="1" ht="14.25" customHeight="1" s="64">
      <c r="A707" s="101" t="inlineStr">
        <is>
          <t>Engenharia</t>
        </is>
      </c>
      <c r="B707" s="101" t="inlineStr">
        <is>
          <t>Custo Fixo</t>
        </is>
      </c>
      <c r="C707" s="101" t="inlineStr">
        <is>
          <t>Folha de pagamento (salários)</t>
        </is>
      </c>
      <c r="D707" s="102" t="n">
        <v>1</v>
      </c>
      <c r="E707" s="103" t="n">
        <v>60198.19</v>
      </c>
      <c r="F707" s="104">
        <f>IFERROR(E707,0)</f>
        <v/>
      </c>
      <c r="G707" s="101">
        <f>INDEX(SETORES!$B:$B,MATCH(A707,SETORES!$A:$A,0))</f>
        <v/>
      </c>
      <c r="H707" s="101" t="inlineStr">
        <is>
          <t>Junho/2026</t>
        </is>
      </c>
    </row>
    <row r="708" hidden="1" ht="14.25" customHeight="1" s="64">
      <c r="A708" s="106" t="inlineStr">
        <is>
          <t>Engenharia</t>
        </is>
      </c>
      <c r="B708" s="106" t="inlineStr">
        <is>
          <t>Custo Variável</t>
        </is>
      </c>
      <c r="C708" s="106" t="inlineStr">
        <is>
          <t>Fardamento novo</t>
        </is>
      </c>
      <c r="D708" s="107" t="n"/>
      <c r="E708" s="108" t="n"/>
      <c r="F708" s="109">
        <f>IFERROR(D708*E708,0)</f>
        <v/>
      </c>
      <c r="G708" s="106">
        <f>INDEX(SETORES!$B:$B,MATCH(A708,SETORES!$A:$A,0))</f>
        <v/>
      </c>
      <c r="H708" s="106" t="inlineStr">
        <is>
          <t>Junho/2026</t>
        </is>
      </c>
    </row>
    <row r="709" hidden="1" ht="14.25" customHeight="1" s="64">
      <c r="A709" s="101" t="inlineStr">
        <is>
          <t>Engenharia</t>
        </is>
      </c>
      <c r="B709" s="101" t="inlineStr">
        <is>
          <t>Custo Variável</t>
        </is>
      </c>
      <c r="C709" s="101" t="inlineStr">
        <is>
          <t>Fardamento substituição</t>
        </is>
      </c>
      <c r="D709" s="102" t="n"/>
      <c r="E709" s="103" t="n"/>
      <c r="F709" s="104">
        <f>IFERROR(D709*E709,0)</f>
        <v/>
      </c>
      <c r="G709" s="101">
        <f>INDEX(SETORES!$B:$B,MATCH(A709,SETORES!$A:$A,0))</f>
        <v/>
      </c>
      <c r="H709" s="101" t="inlineStr">
        <is>
          <t>Junho/2026</t>
        </is>
      </c>
    </row>
    <row r="710" hidden="1" ht="14.25" customHeight="1" s="64">
      <c r="A710" s="106" t="inlineStr">
        <is>
          <t>Engenharia</t>
        </is>
      </c>
      <c r="B710" s="106" t="inlineStr">
        <is>
          <t>Custo Variável</t>
        </is>
      </c>
      <c r="C710" s="106" t="inlineStr">
        <is>
          <t>Rateio de transporte coletivo</t>
        </is>
      </c>
      <c r="D710" s="107" t="n">
        <v>7</v>
      </c>
      <c r="E710" s="108" t="n">
        <v>85.70999999999999</v>
      </c>
      <c r="F710" s="109">
        <f>IFERROR(D710*E710,0)</f>
        <v/>
      </c>
      <c r="G710" s="106">
        <f>INDEX(SETORES!$B:$B,MATCH(A710,SETORES!$A:$A,0))</f>
        <v/>
      </c>
      <c r="H710" s="106" t="inlineStr">
        <is>
          <t>Junho/2026</t>
        </is>
      </c>
    </row>
    <row r="711" hidden="1" ht="14.25" customHeight="1" s="64">
      <c r="A711" s="101" t="inlineStr">
        <is>
          <t>Engenharia</t>
        </is>
      </c>
      <c r="B711" s="101" t="inlineStr">
        <is>
          <t>Custo Variável</t>
        </is>
      </c>
      <c r="C711" s="101" t="inlineStr">
        <is>
          <t>Rescisões trabalhistas</t>
        </is>
      </c>
      <c r="D711" s="102" t="n">
        <v>1</v>
      </c>
      <c r="E711" s="103" t="n">
        <v>3121.37</v>
      </c>
      <c r="F711" s="104">
        <f>IFERROR(D711*E711,0)</f>
        <v/>
      </c>
      <c r="G711" s="101">
        <f>INDEX(SETORES!$B:$B,MATCH(A711,SETORES!$A:$A,0))</f>
        <v/>
      </c>
      <c r="H711" s="101" t="inlineStr">
        <is>
          <t>Junho/2026</t>
        </is>
      </c>
    </row>
    <row r="712" hidden="1" ht="14.25" customHeight="1" s="64">
      <c r="A712" s="106" t="inlineStr">
        <is>
          <t>Engenharia</t>
        </is>
      </c>
      <c r="B712" s="106" t="inlineStr">
        <is>
          <t>Custo Fixo</t>
        </is>
      </c>
      <c r="C712" s="106" t="inlineStr">
        <is>
          <t>Licença de e-mail corporativo</t>
        </is>
      </c>
      <c r="D712" s="107" t="n">
        <v>10</v>
      </c>
      <c r="E712" s="108" t="n">
        <v>50</v>
      </c>
      <c r="F712" s="109">
        <f>IFERROR(D712*E712,0)</f>
        <v/>
      </c>
      <c r="G712" s="106">
        <f>INDEX(SETORES!$B:$B,MATCH(A712,SETORES!$A:$A,0))</f>
        <v/>
      </c>
      <c r="H712" s="106" t="inlineStr">
        <is>
          <t>Junho/2026</t>
        </is>
      </c>
    </row>
    <row r="713" hidden="1" ht="14.25" customHeight="1" s="64">
      <c r="A713" s="101" t="inlineStr">
        <is>
          <t>Engenharia</t>
        </is>
      </c>
      <c r="B713" s="101" t="inlineStr">
        <is>
          <t>Custo Variável</t>
        </is>
      </c>
      <c r="C713" s="101" t="inlineStr">
        <is>
          <t>Combustível de frota</t>
        </is>
      </c>
      <c r="D713" s="102" t="n">
        <v>1</v>
      </c>
      <c r="E713" s="103" t="n">
        <v>5735.95</v>
      </c>
      <c r="F713" s="104">
        <f>IFERROR(D713*E713,0)</f>
        <v/>
      </c>
      <c r="G713" s="101">
        <f>INDEX(SETORES!$B:$B,MATCH(A713,SETORES!$A:$A,0))</f>
        <v/>
      </c>
      <c r="H713" s="101" t="inlineStr">
        <is>
          <t>Junho/2026</t>
        </is>
      </c>
    </row>
    <row r="714" hidden="1" ht="14.25" customHeight="1" s="64">
      <c r="A714" s="106" t="inlineStr">
        <is>
          <t>Engenharia</t>
        </is>
      </c>
      <c r="B714" s="106" t="inlineStr">
        <is>
          <t>Custo Fixo</t>
        </is>
      </c>
      <c r="C714" s="106" t="inlineStr">
        <is>
          <t>Impressora</t>
        </is>
      </c>
      <c r="D714" s="107" t="n">
        <v>1</v>
      </c>
      <c r="E714" s="108" t="n">
        <v>128.68</v>
      </c>
      <c r="F714" s="109">
        <f>IFERROR(D714*E714,0)</f>
        <v/>
      </c>
      <c r="G714" s="106">
        <f>INDEX(SETORES!$B:$B,MATCH(A714,SETORES!$A:$A,0))</f>
        <v/>
      </c>
      <c r="H714" s="106" t="inlineStr">
        <is>
          <t>Junho/2026</t>
        </is>
      </c>
    </row>
    <row r="715" hidden="1" ht="14.25" customHeight="1" s="64">
      <c r="A715" s="101" t="inlineStr">
        <is>
          <t>Engenharia</t>
        </is>
      </c>
      <c r="B715" s="101" t="inlineStr">
        <is>
          <t>Custo Fixo</t>
        </is>
      </c>
      <c r="C715" s="101" t="inlineStr">
        <is>
          <t>Gympass</t>
        </is>
      </c>
      <c r="D715" s="102" t="n">
        <v>7</v>
      </c>
      <c r="E715" s="103" t="n">
        <v>9.85</v>
      </c>
      <c r="F715" s="104">
        <f>IFERROR(D715*E715,0)</f>
        <v/>
      </c>
      <c r="G715" s="101">
        <f>INDEX(SETORES!$B:$B,MATCH(A715,SETORES!$A:$A,0))</f>
        <v/>
      </c>
      <c r="H715" s="101" t="inlineStr">
        <is>
          <t>Junho/2026</t>
        </is>
      </c>
    </row>
    <row r="716" hidden="1" ht="14.25" customHeight="1" s="64">
      <c r="A716" s="106" t="inlineStr">
        <is>
          <t>Engenharia</t>
        </is>
      </c>
      <c r="B716" s="106" t="inlineStr">
        <is>
          <t>Custo Fixo</t>
        </is>
      </c>
      <c r="C716" s="106" t="inlineStr">
        <is>
          <t>Stargrid</t>
        </is>
      </c>
      <c r="D716" s="107" t="n">
        <v>7</v>
      </c>
      <c r="E716" s="108" t="n">
        <v>2.04</v>
      </c>
      <c r="F716" s="109">
        <f>IFERROR(D716*E716,0)</f>
        <v/>
      </c>
      <c r="G716" s="106">
        <f>INDEX(SETORES!$B:$B,MATCH(A716,SETORES!$A:$A,0))</f>
        <v/>
      </c>
      <c r="H716" s="106" t="inlineStr">
        <is>
          <t>Junho/2026</t>
        </is>
      </c>
    </row>
    <row r="717" hidden="1" ht="14.25" customHeight="1" s="64">
      <c r="A717" s="101" t="inlineStr">
        <is>
          <t>Logística</t>
        </is>
      </c>
      <c r="B717" s="101" t="inlineStr">
        <is>
          <t>Custo Fixo</t>
        </is>
      </c>
      <c r="C717" s="101" t="inlineStr">
        <is>
          <t>Água e esgoto (rateio)</t>
        </is>
      </c>
      <c r="D717" s="102" t="n">
        <v>14</v>
      </c>
      <c r="E717" s="103" t="n">
        <v>0.3124</v>
      </c>
      <c r="F717" s="104" t="n">
        <v>4.3736</v>
      </c>
      <c r="G717" s="101">
        <f>INDEX(SETORES!$B:$B,MATCH(A717,SETORES!$A:$A,0))</f>
        <v/>
      </c>
      <c r="H717" s="101" t="inlineStr">
        <is>
          <t>Junho/2026</t>
        </is>
      </c>
    </row>
    <row r="718" hidden="1" ht="14.25" customHeight="1" s="64">
      <c r="A718" s="106" t="inlineStr">
        <is>
          <t>Estoque</t>
        </is>
      </c>
      <c r="B718" s="106" t="inlineStr">
        <is>
          <t>Custo Fixo</t>
        </is>
      </c>
      <c r="C718" s="106" t="inlineStr">
        <is>
          <t>Material de escritório (suprimentos de informática)</t>
        </is>
      </c>
      <c r="D718" s="107" t="n"/>
      <c r="E718" s="108" t="n"/>
      <c r="F718" s="109" t="n">
        <v>0</v>
      </c>
      <c r="G718" s="106">
        <f>INDEX(SETORES!$B:$B,MATCH(A718,SETORES!$A:$A,0))</f>
        <v/>
      </c>
      <c r="H718" s="106" t="inlineStr">
        <is>
          <t>Junho/2026</t>
        </is>
      </c>
    </row>
    <row r="719" hidden="1" ht="14.25" customHeight="1" s="64">
      <c r="A719" s="101" t="inlineStr">
        <is>
          <t>Estoque</t>
        </is>
      </c>
      <c r="B719" s="101" t="inlineStr">
        <is>
          <t>Custo Fixo</t>
        </is>
      </c>
      <c r="C719" s="101" t="inlineStr">
        <is>
          <t>Material de uso coletivo (copa/limpeza)</t>
        </is>
      </c>
      <c r="D719" s="102" t="n">
        <v>1</v>
      </c>
      <c r="E719" s="103" t="n">
        <v>624.39</v>
      </c>
      <c r="F719" s="104" t="n">
        <v>624.39</v>
      </c>
      <c r="G719" s="101">
        <f>INDEX(SETORES!$B:$B,MATCH(A719,SETORES!$A:$A,0))</f>
        <v/>
      </c>
      <c r="H719" s="101" t="inlineStr">
        <is>
          <t>Junho/2026</t>
        </is>
      </c>
    </row>
    <row r="720" hidden="1" ht="14.25" customHeight="1" s="64">
      <c r="A720" s="106" t="inlineStr">
        <is>
          <t>Estoque</t>
        </is>
      </c>
      <c r="B720" s="106" t="inlineStr">
        <is>
          <t>Custo Fixo</t>
        </is>
      </c>
      <c r="C720" s="106" t="inlineStr">
        <is>
          <t>Energia elétrica (rateio)</t>
        </is>
      </c>
      <c r="D720" s="107" t="n">
        <v>12</v>
      </c>
      <c r="E720" s="108" t="n">
        <v>23.6877</v>
      </c>
      <c r="F720" s="109" t="n">
        <v>284.2524</v>
      </c>
      <c r="G720" s="106">
        <f>INDEX(SETORES!$B:$B,MATCH(A720,SETORES!$A:$A,0))</f>
        <v/>
      </c>
      <c r="H720" s="106" t="inlineStr">
        <is>
          <t>Junho/2026</t>
        </is>
      </c>
    </row>
    <row r="721" hidden="1" ht="14.25" customHeight="1" s="64">
      <c r="A721" s="101" t="inlineStr">
        <is>
          <t>Oficina</t>
        </is>
      </c>
      <c r="B721" s="101" t="inlineStr">
        <is>
          <t>Custo Fixo</t>
        </is>
      </c>
      <c r="C721" s="101" t="inlineStr">
        <is>
          <t>Água e esgoto (rateio)</t>
        </is>
      </c>
      <c r="D721" s="102" t="n">
        <v>4</v>
      </c>
      <c r="E721" s="103" t="n">
        <v>0.3124</v>
      </c>
      <c r="F721" s="104" t="n">
        <v>1.2496</v>
      </c>
      <c r="G721" s="101">
        <f>INDEX(SETORES!$B:$B,MATCH(A721,SETORES!$A:$A,0))</f>
        <v/>
      </c>
      <c r="H721" s="101" t="inlineStr">
        <is>
          <t>Junho/2026</t>
        </is>
      </c>
    </row>
    <row r="722" hidden="1" ht="14.25" customHeight="1" s="64">
      <c r="A722" s="106" t="inlineStr">
        <is>
          <t>Estoque</t>
        </is>
      </c>
      <c r="B722" s="106" t="inlineStr">
        <is>
          <t>Custo Fixo</t>
        </is>
      </c>
      <c r="C722" s="106" t="inlineStr">
        <is>
          <t>Telefonia móvel corporativa</t>
        </is>
      </c>
      <c r="D722" s="107" t="n"/>
      <c r="E722" s="108" t="n"/>
      <c r="F722" s="109">
        <f>IFERROR(D722*E722,0)</f>
        <v/>
      </c>
      <c r="G722" s="106">
        <f>INDEX(SETORES!$B:$B,MATCH(A722,SETORES!$A:$A,0))</f>
        <v/>
      </c>
      <c r="H722" s="106" t="inlineStr">
        <is>
          <t>Junho/2026</t>
        </is>
      </c>
    </row>
    <row r="723" hidden="1" ht="14.25" customHeight="1" s="64">
      <c r="A723" s="101" t="inlineStr">
        <is>
          <t>Estoque</t>
        </is>
      </c>
      <c r="B723" s="101" t="inlineStr">
        <is>
          <t>Custo Fixo</t>
        </is>
      </c>
      <c r="C723" s="101" t="inlineStr">
        <is>
          <t>Folha de pagamento (salários)</t>
        </is>
      </c>
      <c r="D723" s="102" t="n">
        <v>1</v>
      </c>
      <c r="E723" s="103" t="n">
        <v>60103.48</v>
      </c>
      <c r="F723" s="104">
        <f>IFERROR(E723,0)</f>
        <v/>
      </c>
      <c r="G723" s="101">
        <f>INDEX(SETORES!$B:$B,MATCH(A723,SETORES!$A:$A,0))</f>
        <v/>
      </c>
      <c r="H723" s="101" t="inlineStr">
        <is>
          <t>Junho/2026</t>
        </is>
      </c>
    </row>
    <row r="724" hidden="1" ht="14.25" customHeight="1" s="64">
      <c r="A724" s="106" t="inlineStr">
        <is>
          <t>Estoque</t>
        </is>
      </c>
      <c r="B724" s="106" t="inlineStr">
        <is>
          <t>Custo Variável</t>
        </is>
      </c>
      <c r="C724" s="106" t="inlineStr">
        <is>
          <t>Investimento de equipamentos (não patrimoniável)</t>
        </is>
      </c>
      <c r="D724" s="107" t="n"/>
      <c r="E724" s="108" t="n"/>
      <c r="F724" s="109">
        <f>IFERROR(D724*E724,0)</f>
        <v/>
      </c>
      <c r="G724" s="106">
        <f>INDEX(SETORES!$B:$B,MATCH(A724,SETORES!$A:$A,0))</f>
        <v/>
      </c>
      <c r="H724" s="106" t="inlineStr">
        <is>
          <t>Junho/2026</t>
        </is>
      </c>
    </row>
    <row r="725" hidden="1" ht="14.25" customHeight="1" s="64">
      <c r="A725" s="101" t="inlineStr">
        <is>
          <t>Estoque</t>
        </is>
      </c>
      <c r="B725" s="101" t="inlineStr">
        <is>
          <t>Custo Variável</t>
        </is>
      </c>
      <c r="C725" s="101" t="inlineStr">
        <is>
          <t>Fardamento novo</t>
        </is>
      </c>
      <c r="D725" s="102" t="n"/>
      <c r="E725" s="103" t="n"/>
      <c r="F725" s="104">
        <f>IFERROR(D725*E725,0)</f>
        <v/>
      </c>
      <c r="G725" s="101">
        <f>INDEX(SETORES!$B:$B,MATCH(A725,SETORES!$A:$A,0))</f>
        <v/>
      </c>
      <c r="H725" s="101" t="inlineStr">
        <is>
          <t>Junho/2026</t>
        </is>
      </c>
    </row>
    <row r="726" hidden="1" ht="14.25" customHeight="1" s="64">
      <c r="A726" s="106" t="inlineStr">
        <is>
          <t>Estoque</t>
        </is>
      </c>
      <c r="B726" s="106" t="inlineStr">
        <is>
          <t>Custo Variável</t>
        </is>
      </c>
      <c r="C726" s="106" t="inlineStr">
        <is>
          <t>Fardamento substituição</t>
        </is>
      </c>
      <c r="D726" s="107" t="n"/>
      <c r="E726" s="108" t="n"/>
      <c r="F726" s="109">
        <f>IFERROR(D726*E726,0)</f>
        <v/>
      </c>
      <c r="G726" s="106">
        <f>INDEX(SETORES!$B:$B,MATCH(A726,SETORES!$A:$A,0))</f>
        <v/>
      </c>
      <c r="H726" s="106" t="inlineStr">
        <is>
          <t>Junho/2026</t>
        </is>
      </c>
    </row>
    <row r="727" hidden="1" ht="14.25" customHeight="1" s="64">
      <c r="A727" s="101" t="inlineStr">
        <is>
          <t>Estoque</t>
        </is>
      </c>
      <c r="B727" s="101" t="inlineStr">
        <is>
          <t>Custo Variável</t>
        </is>
      </c>
      <c r="C727" s="101" t="inlineStr">
        <is>
          <t>Rateio de transporte coletivo</t>
        </is>
      </c>
      <c r="D727" s="102" t="n">
        <v>12</v>
      </c>
      <c r="E727" s="103" t="n">
        <v>85.70999999999999</v>
      </c>
      <c r="F727" s="104">
        <f>IFERROR(D727*E727,0)</f>
        <v/>
      </c>
      <c r="G727" s="101">
        <f>INDEX(SETORES!$B:$B,MATCH(A727,SETORES!$A:$A,0))</f>
        <v/>
      </c>
      <c r="H727" s="101" t="inlineStr">
        <is>
          <t>Junho/2026</t>
        </is>
      </c>
    </row>
    <row r="728" hidden="1" ht="14.25" customHeight="1" s="64">
      <c r="A728" s="106" t="inlineStr">
        <is>
          <t>Estoque</t>
        </is>
      </c>
      <c r="B728" s="106" t="inlineStr">
        <is>
          <t>Custo Variável</t>
        </is>
      </c>
      <c r="C728" s="106" t="inlineStr">
        <is>
          <t>Rescisões trabalhistas</t>
        </is>
      </c>
      <c r="D728" s="107" t="n">
        <v>1</v>
      </c>
      <c r="E728" s="108" t="n">
        <v>3112.37</v>
      </c>
      <c r="F728" s="109">
        <f>IFERROR(D728*E728,0)</f>
        <v/>
      </c>
      <c r="G728" s="106">
        <f>INDEX(SETORES!$B:$B,MATCH(A728,SETORES!$A:$A,0))</f>
        <v/>
      </c>
      <c r="H728" s="106" t="inlineStr">
        <is>
          <t>Junho/2026</t>
        </is>
      </c>
    </row>
    <row r="729" hidden="1" ht="14.25" customHeight="1" s="64">
      <c r="A729" s="101" t="inlineStr">
        <is>
          <t>Estoque</t>
        </is>
      </c>
      <c r="B729" s="101" t="inlineStr">
        <is>
          <t>Custo Variável</t>
        </is>
      </c>
      <c r="C729" s="101" t="inlineStr">
        <is>
          <t>Exames médicos</t>
        </is>
      </c>
      <c r="D729" s="102" t="n">
        <v>1</v>
      </c>
      <c r="E729" s="103" t="n">
        <v>50</v>
      </c>
      <c r="F729" s="104">
        <f>IFERROR(D729*E729,0)</f>
        <v/>
      </c>
      <c r="G729" s="101">
        <f>INDEX(SETORES!$B:$B,MATCH(A729,SETORES!$A:$A,0))</f>
        <v/>
      </c>
      <c r="H729" s="101" t="inlineStr">
        <is>
          <t>Junho/2026</t>
        </is>
      </c>
    </row>
    <row r="730" hidden="1" ht="14.25" customHeight="1" s="64">
      <c r="A730" s="106" t="inlineStr">
        <is>
          <t>Estoque</t>
        </is>
      </c>
      <c r="B730" s="106" t="inlineStr">
        <is>
          <t>Custo Fixo</t>
        </is>
      </c>
      <c r="C730" s="106" t="inlineStr">
        <is>
          <t>Licença de e-mail corporativo</t>
        </is>
      </c>
      <c r="D730" s="107" t="n">
        <v>16</v>
      </c>
      <c r="E730" s="108" t="n">
        <v>50</v>
      </c>
      <c r="F730" s="109">
        <f>IFERROR(D730*E730,0)</f>
        <v/>
      </c>
      <c r="G730" s="106">
        <f>INDEX(SETORES!$B:$B,MATCH(A730,SETORES!$A:$A,0))</f>
        <v/>
      </c>
      <c r="H730" s="106" t="inlineStr">
        <is>
          <t>Junho/2026</t>
        </is>
      </c>
    </row>
    <row r="731" hidden="1" ht="14.25" customHeight="1" s="64">
      <c r="A731" s="101" t="inlineStr">
        <is>
          <t>Estoque</t>
        </is>
      </c>
      <c r="B731" s="101" t="inlineStr">
        <is>
          <t>Custo Fixo</t>
        </is>
      </c>
      <c r="C731" s="101" t="inlineStr">
        <is>
          <t>Impressora</t>
        </is>
      </c>
      <c r="D731" s="102" t="n">
        <v>1</v>
      </c>
      <c r="E731" s="103" t="n">
        <v>153.58</v>
      </c>
      <c r="F731" s="104">
        <f>IFERROR(D731*E731,0)</f>
        <v/>
      </c>
      <c r="G731" s="101">
        <f>INDEX(SETORES!$B:$B,MATCH(A731,SETORES!$A:$A,0))</f>
        <v/>
      </c>
      <c r="H731" s="101" t="inlineStr">
        <is>
          <t>Junho/2026</t>
        </is>
      </c>
    </row>
    <row r="732" hidden="1" ht="14.25" customHeight="1" s="64">
      <c r="A732" s="106" t="inlineStr">
        <is>
          <t>Estoque</t>
        </is>
      </c>
      <c r="B732" s="106" t="inlineStr">
        <is>
          <t>Custo Fixo</t>
        </is>
      </c>
      <c r="C732" s="106" t="inlineStr">
        <is>
          <t>Gympass</t>
        </is>
      </c>
      <c r="D732" s="107" t="n">
        <v>12</v>
      </c>
      <c r="E732" s="108" t="n">
        <v>9.85</v>
      </c>
      <c r="F732" s="109">
        <f>IFERROR(D732*E732,0)</f>
        <v/>
      </c>
      <c r="G732" s="106">
        <f>INDEX(SETORES!$B:$B,MATCH(A732,SETORES!$A:$A,0))</f>
        <v/>
      </c>
      <c r="H732" s="106" t="inlineStr">
        <is>
          <t>Junho/2026</t>
        </is>
      </c>
    </row>
    <row r="733" hidden="1" ht="14.25" customHeight="1" s="64">
      <c r="A733" s="101" t="inlineStr">
        <is>
          <t>Estoque</t>
        </is>
      </c>
      <c r="B733" s="101" t="inlineStr">
        <is>
          <t>Custo Fixo</t>
        </is>
      </c>
      <c r="C733" s="101" t="inlineStr">
        <is>
          <t>Stargrid</t>
        </is>
      </c>
      <c r="D733" s="102" t="n">
        <v>12</v>
      </c>
      <c r="E733" s="103" t="n">
        <v>2.04</v>
      </c>
      <c r="F733" s="104">
        <f>IFERROR(D733*E733,0)</f>
        <v/>
      </c>
      <c r="G733" s="101">
        <f>INDEX(SETORES!$B:$B,MATCH(A733,SETORES!$A:$A,0))</f>
        <v/>
      </c>
      <c r="H733" s="101" t="inlineStr">
        <is>
          <t>Junho/2026</t>
        </is>
      </c>
    </row>
    <row r="734" hidden="1" ht="14.25" customHeight="1" s="64">
      <c r="A734" s="106" t="inlineStr">
        <is>
          <t>Segurança do Trabalho</t>
        </is>
      </c>
      <c r="B734" s="106" t="inlineStr">
        <is>
          <t>Custo Fixo</t>
        </is>
      </c>
      <c r="C734" s="106" t="inlineStr">
        <is>
          <t>Água e esgoto (rateio)</t>
        </is>
      </c>
      <c r="D734" s="107" t="n">
        <v>6</v>
      </c>
      <c r="E734" s="108" t="n">
        <v>0.3124</v>
      </c>
      <c r="F734" s="109" t="n">
        <v>1.8744</v>
      </c>
      <c r="G734" s="106">
        <f>INDEX(SETORES!$B:$B,MATCH(A734,SETORES!$A:$A,0))</f>
        <v/>
      </c>
      <c r="H734" s="106" t="inlineStr">
        <is>
          <t>Junho/2026</t>
        </is>
      </c>
    </row>
    <row r="735" hidden="1" ht="14.25" customHeight="1" s="64">
      <c r="A735" s="101" t="inlineStr">
        <is>
          <t>Financeiro</t>
        </is>
      </c>
      <c r="B735" s="101" t="inlineStr">
        <is>
          <t>Custo Fixo</t>
        </is>
      </c>
      <c r="C735" s="101" t="inlineStr">
        <is>
          <t>Material de escritório (suprimentos de informática)</t>
        </is>
      </c>
      <c r="D735" s="102" t="n">
        <v>8</v>
      </c>
      <c r="E735" s="103" t="n">
        <v>2.75</v>
      </c>
      <c r="F735" s="104" t="n">
        <v>22</v>
      </c>
      <c r="G735" s="101">
        <f>INDEX(SETORES!$B:$B,MATCH(A735,SETORES!$A:$A,0))</f>
        <v/>
      </c>
      <c r="H735" s="101" t="inlineStr">
        <is>
          <t>Junho/2026</t>
        </is>
      </c>
    </row>
    <row r="736" hidden="1" ht="14.25" customHeight="1" s="64">
      <c r="A736" s="106" t="inlineStr">
        <is>
          <t>Financeiro</t>
        </is>
      </c>
      <c r="B736" s="106" t="inlineStr">
        <is>
          <t>Custo Fixo</t>
        </is>
      </c>
      <c r="C736" s="106" t="inlineStr">
        <is>
          <t>Material de uso coletivo (copa/limpeza)</t>
        </is>
      </c>
      <c r="D736" s="107" t="n">
        <v>1</v>
      </c>
      <c r="E736" s="108" t="n">
        <v>138.53</v>
      </c>
      <c r="F736" s="109" t="n">
        <v>138.53</v>
      </c>
      <c r="G736" s="106">
        <f>INDEX(SETORES!$B:$B,MATCH(A736,SETORES!$A:$A,0))</f>
        <v/>
      </c>
      <c r="H736" s="106" t="inlineStr">
        <is>
          <t>Junho/2026</t>
        </is>
      </c>
    </row>
    <row r="737" hidden="1" ht="14.25" customHeight="1" s="64">
      <c r="A737" s="101" t="inlineStr">
        <is>
          <t>Financeiro</t>
        </is>
      </c>
      <c r="B737" s="101" t="inlineStr">
        <is>
          <t>Custo Fixo</t>
        </is>
      </c>
      <c r="C737" s="101" t="inlineStr">
        <is>
          <t>Energia elétrica (rateio)</t>
        </is>
      </c>
      <c r="D737" s="102" t="n">
        <v>1</v>
      </c>
      <c r="E737" s="103" t="n">
        <v>61.3005</v>
      </c>
      <c r="F737" s="104" t="n">
        <v>61.3005</v>
      </c>
      <c r="G737" s="101">
        <f>INDEX(SETORES!$B:$B,MATCH(A737,SETORES!$A:$A,0))</f>
        <v/>
      </c>
      <c r="H737" s="101" t="inlineStr">
        <is>
          <t>Junho/2026</t>
        </is>
      </c>
    </row>
    <row r="738" hidden="1" ht="14.25" customHeight="1" s="64">
      <c r="A738" s="106" t="inlineStr">
        <is>
          <t>Financeiro</t>
        </is>
      </c>
      <c r="B738" s="106" t="inlineStr">
        <is>
          <t>Custo Fixo</t>
        </is>
      </c>
      <c r="C738" s="106" t="inlineStr">
        <is>
          <t>Água e esgoto (rateio)</t>
        </is>
      </c>
      <c r="D738" s="107" t="n">
        <v>1</v>
      </c>
      <c r="E738" s="108" t="n">
        <v>0.175</v>
      </c>
      <c r="F738" s="109" t="n">
        <v>0.175</v>
      </c>
      <c r="G738" s="106">
        <f>INDEX(SETORES!$B:$B,MATCH(A738,SETORES!$A:$A,0))</f>
        <v/>
      </c>
      <c r="H738" s="106" t="inlineStr">
        <is>
          <t>Junho/2026</t>
        </is>
      </c>
    </row>
    <row r="739" hidden="1" ht="14.25" customHeight="1" s="64">
      <c r="A739" s="101" t="inlineStr">
        <is>
          <t>Financeiro</t>
        </is>
      </c>
      <c r="B739" s="101" t="inlineStr">
        <is>
          <t>Custo Fixo</t>
        </is>
      </c>
      <c r="C739" s="101" t="inlineStr">
        <is>
          <t>Telefonia móvel corporativa</t>
        </is>
      </c>
      <c r="D739" s="102" t="n"/>
      <c r="E739" s="103" t="n"/>
      <c r="F739" s="104">
        <f>IFERROR(D739*E739,0)</f>
        <v/>
      </c>
      <c r="G739" s="101">
        <f>INDEX(SETORES!$B:$B,MATCH(A739,SETORES!$A:$A,0))</f>
        <v/>
      </c>
      <c r="H739" s="101" t="inlineStr">
        <is>
          <t>Junho/2026</t>
        </is>
      </c>
    </row>
    <row r="740" hidden="1" ht="14.25" customHeight="1" s="64">
      <c r="A740" s="106" t="inlineStr">
        <is>
          <t>Financeiro</t>
        </is>
      </c>
      <c r="B740" s="106" t="inlineStr">
        <is>
          <t>Custo Fixo</t>
        </is>
      </c>
      <c r="C740" s="106" t="inlineStr">
        <is>
          <t>Folha de pagamento (salários)</t>
        </is>
      </c>
      <c r="D740" s="107" t="n">
        <v>1</v>
      </c>
      <c r="E740" s="108" t="n">
        <v>38865.14</v>
      </c>
      <c r="F740" s="109">
        <f>IFERROR(E740,0)</f>
        <v/>
      </c>
      <c r="G740" s="106">
        <f>INDEX(SETORES!$B:$B,MATCH(A740,SETORES!$A:$A,0))</f>
        <v/>
      </c>
      <c r="H740" s="106" t="inlineStr">
        <is>
          <t>Junho/2026</t>
        </is>
      </c>
    </row>
    <row r="741" hidden="1" ht="14.25" customHeight="1" s="64">
      <c r="A741" s="101" t="inlineStr">
        <is>
          <t>Financeiro</t>
        </is>
      </c>
      <c r="B741" s="101" t="inlineStr">
        <is>
          <t>Custo Fixo</t>
        </is>
      </c>
      <c r="C741" s="101" t="inlineStr">
        <is>
          <t>Licenças de software/sistemas corporativos (Financeiro)</t>
        </is>
      </c>
      <c r="D741" s="102" t="n">
        <v>1</v>
      </c>
      <c r="E741" s="103" t="n">
        <v>29185.01</v>
      </c>
      <c r="F741" s="104">
        <f>IFERROR(D741*E741,0)</f>
        <v/>
      </c>
      <c r="G741" s="101">
        <f>INDEX(SETORES!$B:$B,MATCH(A741,SETORES!$A:$A,0))</f>
        <v/>
      </c>
      <c r="H741" s="101" t="inlineStr">
        <is>
          <t>Junho/2026</t>
        </is>
      </c>
    </row>
    <row r="742" hidden="1" ht="14.25" customHeight="1" s="64">
      <c r="A742" s="106" t="inlineStr">
        <is>
          <t>Financeiro</t>
        </is>
      </c>
      <c r="B742" s="106" t="inlineStr">
        <is>
          <t>Custo Variável</t>
        </is>
      </c>
      <c r="C742" s="106" t="inlineStr">
        <is>
          <t>Fardamento novo</t>
        </is>
      </c>
      <c r="D742" s="107" t="n"/>
      <c r="E742" s="108" t="n"/>
      <c r="F742" s="109">
        <f>IFERROR(D742*E742,0)</f>
        <v/>
      </c>
      <c r="G742" s="106">
        <f>INDEX(SETORES!$B:$B,MATCH(A742,SETORES!$A:$A,0))</f>
        <v/>
      </c>
      <c r="H742" s="106" t="inlineStr">
        <is>
          <t>Junho/2026</t>
        </is>
      </c>
    </row>
    <row r="743" hidden="1" ht="14.25" customHeight="1" s="64">
      <c r="A743" s="101" t="inlineStr">
        <is>
          <t>Financeiro</t>
        </is>
      </c>
      <c r="B743" s="101" t="inlineStr">
        <is>
          <t>Custo Variável</t>
        </is>
      </c>
      <c r="C743" s="101" t="inlineStr">
        <is>
          <t>Fardamento substituição</t>
        </is>
      </c>
      <c r="D743" s="102" t="n"/>
      <c r="E743" s="103" t="n"/>
      <c r="F743" s="104">
        <f>IFERROR(D743*E743,0)</f>
        <v/>
      </c>
      <c r="G743" s="101">
        <f>INDEX(SETORES!$B:$B,MATCH(A743,SETORES!$A:$A,0))</f>
        <v/>
      </c>
      <c r="H743" s="101" t="inlineStr">
        <is>
          <t>Junho/2026</t>
        </is>
      </c>
    </row>
    <row r="744" hidden="1" ht="14.25" customHeight="1" s="64">
      <c r="A744" s="106" t="inlineStr">
        <is>
          <t>Financeiro</t>
        </is>
      </c>
      <c r="B744" s="106" t="inlineStr">
        <is>
          <t>Custo Fixo</t>
        </is>
      </c>
      <c r="C744" s="106" t="inlineStr">
        <is>
          <t>Licença de e-mail corporativo</t>
        </is>
      </c>
      <c r="D744" s="107" t="n">
        <v>8</v>
      </c>
      <c r="E744" s="108" t="n">
        <v>50</v>
      </c>
      <c r="F744" s="109">
        <f>IFERROR(D744*E744,0)</f>
        <v/>
      </c>
      <c r="G744" s="106">
        <f>INDEX(SETORES!$B:$B,MATCH(A744,SETORES!$A:$A,0))</f>
        <v/>
      </c>
      <c r="H744" s="106" t="inlineStr">
        <is>
          <t>Junho/2026</t>
        </is>
      </c>
    </row>
    <row r="745" hidden="1" ht="14.25" customHeight="1" s="64">
      <c r="A745" s="101" t="inlineStr">
        <is>
          <t>Financeiro</t>
        </is>
      </c>
      <c r="B745" s="101" t="inlineStr">
        <is>
          <t>Custo Fixo</t>
        </is>
      </c>
      <c r="C745" s="101" t="inlineStr">
        <is>
          <t>Impressora</t>
        </is>
      </c>
      <c r="D745" s="102" t="n">
        <v>1</v>
      </c>
      <c r="E745" s="103" t="n">
        <v>153.58</v>
      </c>
      <c r="F745" s="104">
        <f>IFERROR(D745*E745,0)</f>
        <v/>
      </c>
      <c r="G745" s="101">
        <f>INDEX(SETORES!$B:$B,MATCH(A745,SETORES!$A:$A,0))</f>
        <v/>
      </c>
      <c r="H745" s="101" t="inlineStr">
        <is>
          <t>Junho/2026</t>
        </is>
      </c>
    </row>
    <row r="746" hidden="1" ht="14.25" customHeight="1" s="64">
      <c r="A746" s="106" t="inlineStr">
        <is>
          <t>Financeiro</t>
        </is>
      </c>
      <c r="B746" s="106" t="inlineStr">
        <is>
          <t>Custo Fixo</t>
        </is>
      </c>
      <c r="C746" s="106" t="inlineStr">
        <is>
          <t>Gympass</t>
        </is>
      </c>
      <c r="D746" s="107" t="n">
        <v>8</v>
      </c>
      <c r="E746" s="108" t="n">
        <v>9.85</v>
      </c>
      <c r="F746" s="109">
        <f>IFERROR(D746*E746,0)</f>
        <v/>
      </c>
      <c r="G746" s="106">
        <f>INDEX(SETORES!$B:$B,MATCH(A746,SETORES!$A:$A,0))</f>
        <v/>
      </c>
      <c r="H746" s="106" t="inlineStr">
        <is>
          <t>Junho/2026</t>
        </is>
      </c>
    </row>
    <row r="747" hidden="1" ht="14.25" customHeight="1" s="64">
      <c r="A747" s="101" t="inlineStr">
        <is>
          <t>Financeiro</t>
        </is>
      </c>
      <c r="B747" s="101" t="inlineStr">
        <is>
          <t>Custo Fixo</t>
        </is>
      </c>
      <c r="C747" s="101" t="inlineStr">
        <is>
          <t>Stargrid</t>
        </is>
      </c>
      <c r="D747" s="102" t="n">
        <v>8</v>
      </c>
      <c r="E747" s="103" t="n">
        <v>2.04</v>
      </c>
      <c r="F747" s="104">
        <f>IFERROR(D747*E747,0)</f>
        <v/>
      </c>
      <c r="G747" s="101">
        <f>INDEX(SETORES!$B:$B,MATCH(A747,SETORES!$A:$A,0))</f>
        <v/>
      </c>
      <c r="H747" s="101" t="inlineStr">
        <is>
          <t>Junho/2026</t>
        </is>
      </c>
    </row>
    <row r="748" hidden="1" ht="14.25" customHeight="1" s="64">
      <c r="A748" s="106" t="inlineStr">
        <is>
          <t>Logística</t>
        </is>
      </c>
      <c r="B748" s="106" t="inlineStr">
        <is>
          <t>Custo Fixo</t>
        </is>
      </c>
      <c r="C748" s="106" t="inlineStr">
        <is>
          <t>Material de escritório (suprimentos de informática)</t>
        </is>
      </c>
      <c r="D748" s="107" t="n"/>
      <c r="E748" s="108" t="n"/>
      <c r="F748" s="109" t="n">
        <v>0</v>
      </c>
      <c r="G748" s="106">
        <f>INDEX(SETORES!$B:$B,MATCH(A748,SETORES!$A:$A,0))</f>
        <v/>
      </c>
      <c r="H748" s="106" t="inlineStr">
        <is>
          <t>Junho/2026</t>
        </is>
      </c>
    </row>
    <row r="749" hidden="1" ht="14.25" customHeight="1" s="64">
      <c r="A749" s="101" t="inlineStr">
        <is>
          <t>Logística</t>
        </is>
      </c>
      <c r="B749" s="101" t="inlineStr">
        <is>
          <t>Custo Fixo</t>
        </is>
      </c>
      <c r="C749" s="101" t="inlineStr">
        <is>
          <t>Material de uso coletivo (copa/limpeza)</t>
        </is>
      </c>
      <c r="D749" s="102" t="n"/>
      <c r="E749" s="103" t="n"/>
      <c r="F749" s="104" t="n">
        <v>0</v>
      </c>
      <c r="G749" s="101">
        <f>INDEX(SETORES!$B:$B,MATCH(A749,SETORES!$A:$A,0))</f>
        <v/>
      </c>
      <c r="H749" s="101" t="inlineStr">
        <is>
          <t>Junho/2026</t>
        </is>
      </c>
    </row>
    <row r="750" hidden="1" ht="14.25" customHeight="1" s="64">
      <c r="A750" s="106" t="inlineStr">
        <is>
          <t>Logística</t>
        </is>
      </c>
      <c r="B750" s="106" t="inlineStr">
        <is>
          <t>Custo Fixo</t>
        </is>
      </c>
      <c r="C750" s="106" t="inlineStr">
        <is>
          <t>Energia elétrica (rateio)</t>
        </is>
      </c>
      <c r="D750" s="107" t="n">
        <v>14</v>
      </c>
      <c r="E750" s="108" t="n">
        <v>23.6877</v>
      </c>
      <c r="F750" s="109" t="n">
        <v>331.6278</v>
      </c>
      <c r="G750" s="106">
        <f>INDEX(SETORES!$B:$B,MATCH(A750,SETORES!$A:$A,0))</f>
        <v/>
      </c>
      <c r="H750" s="106" t="inlineStr">
        <is>
          <t>Junho/2026</t>
        </is>
      </c>
    </row>
    <row r="751" hidden="1" ht="14.25" customHeight="1" s="64">
      <c r="A751" s="101" t="inlineStr">
        <is>
          <t>Logística</t>
        </is>
      </c>
      <c r="B751" s="101" t="inlineStr">
        <is>
          <t>Custo Fixo</t>
        </is>
      </c>
      <c r="C751" s="101" t="inlineStr">
        <is>
          <t>Telefonia móvel corporativa</t>
        </is>
      </c>
      <c r="D751" s="102" t="n"/>
      <c r="E751" s="103" t="n"/>
      <c r="F751" s="104">
        <f>IFERROR(D751*E751,0)</f>
        <v/>
      </c>
      <c r="G751" s="101">
        <f>INDEX(SETORES!$B:$B,MATCH(A751,SETORES!$A:$A,0))</f>
        <v/>
      </c>
      <c r="H751" s="101" t="inlineStr">
        <is>
          <t>Junho/2026</t>
        </is>
      </c>
    </row>
    <row r="752" hidden="1" ht="14.25" customHeight="1" s="64">
      <c r="A752" s="106" t="inlineStr">
        <is>
          <t>Logística</t>
        </is>
      </c>
      <c r="B752" s="106" t="inlineStr">
        <is>
          <t>Custo Fixo</t>
        </is>
      </c>
      <c r="C752" s="106" t="inlineStr">
        <is>
          <t>Folha de pagamento (salários)</t>
        </is>
      </c>
      <c r="D752" s="107" t="n">
        <v>1</v>
      </c>
      <c r="E752" s="108" t="n">
        <v>72779.04410699999</v>
      </c>
      <c r="F752" s="109" t="n">
        <v>72779.04410699999</v>
      </c>
      <c r="G752" s="106">
        <f>INDEX(SETORES!$B:$B,MATCH(A752,SETORES!$A:$A,0))</f>
        <v/>
      </c>
      <c r="H752" s="106" t="inlineStr">
        <is>
          <t>Junho/2026</t>
        </is>
      </c>
    </row>
    <row r="753" hidden="1" ht="14.25" customHeight="1" s="64">
      <c r="A753" s="101" t="inlineStr">
        <is>
          <t>Logística</t>
        </is>
      </c>
      <c r="B753" s="101" t="inlineStr">
        <is>
          <t>Custo Variável</t>
        </is>
      </c>
      <c r="C753" s="101" t="inlineStr">
        <is>
          <t>Combustível de frota</t>
        </is>
      </c>
      <c r="D753" s="102" t="n">
        <v>1</v>
      </c>
      <c r="E753" s="103" t="n">
        <v>41144.77</v>
      </c>
      <c r="F753" s="104">
        <f>IFERROR(D753*E753,0)</f>
        <v/>
      </c>
      <c r="G753" s="101">
        <f>INDEX(SETORES!$B:$B,MATCH(A753,SETORES!$A:$A,0))</f>
        <v/>
      </c>
      <c r="H753" s="101" t="inlineStr">
        <is>
          <t>Junho/2026</t>
        </is>
      </c>
    </row>
    <row r="754" hidden="1" ht="14.25" customHeight="1" s="64">
      <c r="A754" s="106" t="inlineStr">
        <is>
          <t>Logística</t>
        </is>
      </c>
      <c r="B754" s="106" t="inlineStr">
        <is>
          <t>Custo Variável</t>
        </is>
      </c>
      <c r="C754" s="106" t="inlineStr">
        <is>
          <t>Manutenção de veículos</t>
        </is>
      </c>
      <c r="D754" s="107" t="n"/>
      <c r="E754" s="108" t="n"/>
      <c r="F754" s="109">
        <f>IFERROR(D754*E754,0)</f>
        <v/>
      </c>
      <c r="G754" s="106">
        <f>INDEX(SETORES!$B:$B,MATCH(A754,SETORES!$A:$A,0))</f>
        <v/>
      </c>
      <c r="H754" s="106" t="inlineStr">
        <is>
          <t>Junho/2026</t>
        </is>
      </c>
    </row>
    <row r="755" hidden="1" ht="14.25" customHeight="1" s="64">
      <c r="A755" s="101" t="inlineStr">
        <is>
          <t>Logística</t>
        </is>
      </c>
      <c r="B755" s="101" t="inlineStr">
        <is>
          <t>Custo Variável</t>
        </is>
      </c>
      <c r="C755" s="101" t="inlineStr">
        <is>
          <t>Fardamento novo</t>
        </is>
      </c>
      <c r="D755" s="102" t="n">
        <v>1</v>
      </c>
      <c r="E755" s="103" t="n">
        <v>136</v>
      </c>
      <c r="F755" s="104">
        <f>IFERROR(D755*E755,0)</f>
        <v/>
      </c>
      <c r="G755" s="101">
        <f>INDEX(SETORES!$B:$B,MATCH(A755,SETORES!$A:$A,0))</f>
        <v/>
      </c>
      <c r="H755" s="101" t="inlineStr">
        <is>
          <t>Junho/2026</t>
        </is>
      </c>
    </row>
    <row r="756" hidden="1" ht="14.25" customHeight="1" s="64">
      <c r="A756" s="106" t="inlineStr">
        <is>
          <t>Logística</t>
        </is>
      </c>
      <c r="B756" s="106" t="inlineStr">
        <is>
          <t>Custo Variável</t>
        </is>
      </c>
      <c r="C756" s="106" t="inlineStr">
        <is>
          <t>Fardamento substituição</t>
        </is>
      </c>
      <c r="D756" s="107" t="n"/>
      <c r="E756" s="108" t="n"/>
      <c r="F756" s="109">
        <f>IFERROR(D756*E756,0)</f>
        <v/>
      </c>
      <c r="G756" s="106">
        <f>INDEX(SETORES!$B:$B,MATCH(A756,SETORES!$A:$A,0))</f>
        <v/>
      </c>
      <c r="H756" s="106" t="inlineStr">
        <is>
          <t>Junho/2026</t>
        </is>
      </c>
    </row>
    <row r="757" hidden="1" ht="14.25" customHeight="1" s="64">
      <c r="A757" s="101" t="inlineStr">
        <is>
          <t>Logística</t>
        </is>
      </c>
      <c r="B757" s="101" t="inlineStr">
        <is>
          <t>Custo Variável</t>
        </is>
      </c>
      <c r="C757" s="101" t="inlineStr">
        <is>
          <t>EPIs - Equipamento de Proteção Individual</t>
        </is>
      </c>
      <c r="D757" s="102" t="n"/>
      <c r="E757" s="103" t="n"/>
      <c r="F757" s="104">
        <f>IFERROR(D757*E757,0)</f>
        <v/>
      </c>
      <c r="G757" s="101">
        <f>INDEX(SETORES!$B:$B,MATCH(A757,SETORES!$A:$A,0))</f>
        <v/>
      </c>
      <c r="H757" s="101" t="inlineStr">
        <is>
          <t>Junho/2026</t>
        </is>
      </c>
    </row>
    <row r="758" hidden="1" ht="14.25" customHeight="1" s="64">
      <c r="A758" s="106" t="inlineStr">
        <is>
          <t>Logística</t>
        </is>
      </c>
      <c r="B758" s="106" t="inlineStr">
        <is>
          <t>Custo Variável</t>
        </is>
      </c>
      <c r="C758" s="106" t="inlineStr">
        <is>
          <t>Rateio de transporte coletivo</t>
        </is>
      </c>
      <c r="D758" s="107" t="n">
        <v>14</v>
      </c>
      <c r="E758" s="108" t="n">
        <v>85.70999999999999</v>
      </c>
      <c r="F758" s="109" t="n">
        <v>1199.94</v>
      </c>
      <c r="G758" s="106">
        <f>INDEX(SETORES!$B:$B,MATCH(A758,SETORES!$A:$A,0))</f>
        <v/>
      </c>
      <c r="H758" s="106" t="inlineStr">
        <is>
          <t>Junho/2026</t>
        </is>
      </c>
    </row>
    <row r="759" hidden="1" ht="14.25" customHeight="1" s="64">
      <c r="A759" s="101" t="inlineStr">
        <is>
          <t>Logística</t>
        </is>
      </c>
      <c r="B759" s="101" t="inlineStr">
        <is>
          <t>Custo Fixo</t>
        </is>
      </c>
      <c r="C759" s="101" t="inlineStr">
        <is>
          <t>Licença de e-mail corporativo</t>
        </is>
      </c>
      <c r="D759" s="102" t="n">
        <v>19</v>
      </c>
      <c r="E759" s="103" t="n">
        <v>50</v>
      </c>
      <c r="F759" s="104">
        <f>IFERROR(D759*E759,0)</f>
        <v/>
      </c>
      <c r="G759" s="101">
        <f>INDEX(SETORES!$B:$B,MATCH(A759,SETORES!$A:$A,0))</f>
        <v/>
      </c>
      <c r="H759" s="101" t="inlineStr">
        <is>
          <t>Junho/2026</t>
        </is>
      </c>
    </row>
    <row r="760" hidden="1" ht="14.25" customHeight="1" s="64">
      <c r="A760" s="106" t="inlineStr">
        <is>
          <t>Logística</t>
        </is>
      </c>
      <c r="B760" s="106" t="inlineStr">
        <is>
          <t>Custo Fixo</t>
        </is>
      </c>
      <c r="C760" s="106" t="inlineStr">
        <is>
          <t>Impressora</t>
        </is>
      </c>
      <c r="D760" s="107" t="n">
        <v>1</v>
      </c>
      <c r="E760" s="108" t="n">
        <v>153.58</v>
      </c>
      <c r="F760" s="109">
        <f>IFERROR(D760*E760,0)</f>
        <v/>
      </c>
      <c r="G760" s="106">
        <f>INDEX(SETORES!$B:$B,MATCH(A760,SETORES!$A:$A,0))</f>
        <v/>
      </c>
      <c r="H760" s="106" t="inlineStr">
        <is>
          <t>Junho/2026</t>
        </is>
      </c>
    </row>
    <row r="761" hidden="1" ht="14.25" customHeight="1" s="64">
      <c r="A761" s="101" t="inlineStr">
        <is>
          <t>Logística</t>
        </is>
      </c>
      <c r="B761" s="101" t="inlineStr">
        <is>
          <t>Custo Fixo</t>
        </is>
      </c>
      <c r="C761" s="101" t="inlineStr">
        <is>
          <t>Gympass</t>
        </is>
      </c>
      <c r="D761" s="102" t="n">
        <v>14</v>
      </c>
      <c r="E761" s="103" t="n">
        <v>9.85</v>
      </c>
      <c r="F761" s="104" t="n">
        <v>137.9</v>
      </c>
      <c r="G761" s="101">
        <f>INDEX(SETORES!$B:$B,MATCH(A761,SETORES!$A:$A,0))</f>
        <v/>
      </c>
      <c r="H761" s="101" t="inlineStr">
        <is>
          <t>Junho/2026</t>
        </is>
      </c>
    </row>
    <row r="762" hidden="1" ht="14.25" customHeight="1" s="64">
      <c r="A762" s="106" t="inlineStr">
        <is>
          <t>Logística</t>
        </is>
      </c>
      <c r="B762" s="106" t="inlineStr">
        <is>
          <t>Custo Fixo</t>
        </is>
      </c>
      <c r="C762" s="106" t="inlineStr">
        <is>
          <t>Stargrid</t>
        </is>
      </c>
      <c r="D762" s="107" t="n">
        <v>14</v>
      </c>
      <c r="E762" s="108" t="n">
        <v>2.04</v>
      </c>
      <c r="F762" s="109" t="n">
        <v>28.56</v>
      </c>
      <c r="G762" s="106">
        <f>INDEX(SETORES!$B:$B,MATCH(A762,SETORES!$A:$A,0))</f>
        <v/>
      </c>
      <c r="H762" s="106" t="inlineStr">
        <is>
          <t>Junho/2026</t>
        </is>
      </c>
    </row>
    <row r="763" hidden="1" ht="14.25" customHeight="1" s="64">
      <c r="A763" s="101" t="inlineStr">
        <is>
          <t>Manutenção Predial</t>
        </is>
      </c>
      <c r="B763" s="101" t="inlineStr">
        <is>
          <t>Custo Fixo</t>
        </is>
      </c>
      <c r="C763" s="101" t="inlineStr">
        <is>
          <t>Material de escritório (suprimentos de informática)</t>
        </is>
      </c>
      <c r="D763" s="102" t="n"/>
      <c r="E763" s="103" t="n"/>
      <c r="F763" s="104" t="n">
        <v>0</v>
      </c>
      <c r="G763" s="101">
        <f>INDEX(SETORES!$B:$B,MATCH(A763,SETORES!$A:$A,0))</f>
        <v/>
      </c>
      <c r="H763" s="101" t="inlineStr">
        <is>
          <t>Junho/2026</t>
        </is>
      </c>
    </row>
    <row r="764" hidden="1" ht="14.25" customHeight="1" s="64">
      <c r="A764" s="106" t="inlineStr">
        <is>
          <t>Manutenção Predial</t>
        </is>
      </c>
      <c r="B764" s="106" t="inlineStr">
        <is>
          <t>Custo Fixo</t>
        </is>
      </c>
      <c r="C764" s="106" t="inlineStr">
        <is>
          <t>Material de uso coletivo (copa/limpeza)</t>
        </is>
      </c>
      <c r="D764" s="107" t="n"/>
      <c r="E764" s="108" t="n"/>
      <c r="F764" s="109" t="n">
        <v>0</v>
      </c>
      <c r="G764" s="106">
        <f>INDEX(SETORES!$B:$B,MATCH(A764,SETORES!$A:$A,0))</f>
        <v/>
      </c>
      <c r="H764" s="106" t="inlineStr">
        <is>
          <t>Junho/2026</t>
        </is>
      </c>
    </row>
    <row r="765" hidden="1" ht="14.25" customHeight="1" s="64">
      <c r="A765" s="101" t="inlineStr">
        <is>
          <t>Manutenção Predial</t>
        </is>
      </c>
      <c r="B765" s="101" t="inlineStr">
        <is>
          <t>Custo Fixo</t>
        </is>
      </c>
      <c r="C765" s="101" t="inlineStr">
        <is>
          <t>Telefonia móvel corporativa</t>
        </is>
      </c>
      <c r="D765" s="102" t="n"/>
      <c r="E765" s="103" t="n"/>
      <c r="F765" s="104">
        <f>IFERROR(D765*E765,0)</f>
        <v/>
      </c>
      <c r="G765" s="101">
        <f>INDEX(SETORES!$B:$B,MATCH(A765,SETORES!$A:$A,0))</f>
        <v/>
      </c>
      <c r="H765" s="101" t="inlineStr">
        <is>
          <t>Junho/2026</t>
        </is>
      </c>
    </row>
    <row r="766" hidden="1" ht="14.25" customHeight="1" s="64">
      <c r="A766" s="106" t="inlineStr">
        <is>
          <t>Manutenção Predial</t>
        </is>
      </c>
      <c r="B766" s="106" t="inlineStr">
        <is>
          <t>Custo Fixo</t>
        </is>
      </c>
      <c r="C766" s="106" t="inlineStr">
        <is>
          <t>Folha de pagamento (salários)</t>
        </is>
      </c>
      <c r="D766" s="107" t="n">
        <v>1</v>
      </c>
      <c r="E766" s="108" t="n">
        <v>112868.09</v>
      </c>
      <c r="F766" s="109">
        <f>IFERROR(E766,0)</f>
        <v/>
      </c>
      <c r="G766" s="106">
        <f>INDEX(SETORES!$B:$B,MATCH(A766,SETORES!$A:$A,0))</f>
        <v/>
      </c>
      <c r="H766" s="106" t="inlineStr">
        <is>
          <t>Junho/2026</t>
        </is>
      </c>
    </row>
    <row r="767" hidden="1" ht="14.25" customHeight="1" s="64">
      <c r="A767" s="101" t="inlineStr">
        <is>
          <t>Manutenção Predial</t>
        </is>
      </c>
      <c r="B767" s="101" t="inlineStr">
        <is>
          <t>Custo Variável</t>
        </is>
      </c>
      <c r="C767" s="101" t="inlineStr">
        <is>
          <t>Investimento de equipamentos (não patrimoniável)</t>
        </is>
      </c>
      <c r="D767" s="102" t="n"/>
      <c r="E767" s="103" t="n"/>
      <c r="F767" s="104">
        <f>IFERROR(D767*E767,0)</f>
        <v/>
      </c>
      <c r="G767" s="101">
        <f>INDEX(SETORES!$B:$B,MATCH(A767,SETORES!$A:$A,0))</f>
        <v/>
      </c>
      <c r="H767" s="101" t="inlineStr">
        <is>
          <t>Junho/2026</t>
        </is>
      </c>
    </row>
    <row r="768" hidden="1" ht="14.25" customHeight="1" s="64">
      <c r="A768" s="106" t="inlineStr">
        <is>
          <t>Manutenção Predial</t>
        </is>
      </c>
      <c r="B768" s="106" t="inlineStr">
        <is>
          <t>Custo Variável</t>
        </is>
      </c>
      <c r="C768" s="106" t="inlineStr">
        <is>
          <t>EPIs - Equipamento de Proteção Individual</t>
        </is>
      </c>
      <c r="D768" s="107" t="n">
        <v>1</v>
      </c>
      <c r="E768" s="108" t="n">
        <v>250</v>
      </c>
      <c r="F768" s="109">
        <f>IFERROR(D768*E768,0)</f>
        <v/>
      </c>
      <c r="G768" s="106">
        <f>INDEX(SETORES!$B:$B,MATCH(A768,SETORES!$A:$A,0))</f>
        <v/>
      </c>
      <c r="H768" s="106" t="inlineStr">
        <is>
          <t>Junho/2026</t>
        </is>
      </c>
    </row>
    <row r="769" hidden="1" ht="14.25" customHeight="1" s="64">
      <c r="A769" s="101" t="inlineStr">
        <is>
          <t>Manutenção Predial</t>
        </is>
      </c>
      <c r="B769" s="101" t="inlineStr">
        <is>
          <t>Custo Fixo</t>
        </is>
      </c>
      <c r="C769" s="101" t="inlineStr">
        <is>
          <t>Licença de e-mail corporativo</t>
        </is>
      </c>
      <c r="D769" s="102" t="n">
        <v>1</v>
      </c>
      <c r="E769" s="103" t="n">
        <v>50</v>
      </c>
      <c r="F769" s="104">
        <f>IFERROR(D769*E769,0)</f>
        <v/>
      </c>
      <c r="G769" s="101">
        <f>INDEX(SETORES!$B:$B,MATCH(A769,SETORES!$A:$A,0))</f>
        <v/>
      </c>
      <c r="H769" s="101" t="inlineStr">
        <is>
          <t>Junho/2026</t>
        </is>
      </c>
    </row>
    <row r="770" hidden="1" ht="14.25" customHeight="1" s="64">
      <c r="A770" s="106" t="inlineStr">
        <is>
          <t>Manutenção Predial</t>
        </is>
      </c>
      <c r="B770" s="106" t="inlineStr">
        <is>
          <t>Custo Variável</t>
        </is>
      </c>
      <c r="C770" s="106" t="inlineStr">
        <is>
          <t>Combustível de frota</t>
        </is>
      </c>
      <c r="D770" s="107" t="n">
        <v>1</v>
      </c>
      <c r="E770" s="108" t="n">
        <v>11996.86</v>
      </c>
      <c r="F770" s="109">
        <f>IFERROR(D770*E770,0)</f>
        <v/>
      </c>
      <c r="G770" s="106">
        <f>INDEX(SETORES!$B:$B,MATCH(A770,SETORES!$A:$A,0))</f>
        <v/>
      </c>
      <c r="H770" s="106" t="inlineStr">
        <is>
          <t>Junho/2026</t>
        </is>
      </c>
    </row>
    <row r="771" hidden="1" ht="14.25" customHeight="1" s="64">
      <c r="A771" s="101" t="inlineStr">
        <is>
          <t>Manutenção Predial</t>
        </is>
      </c>
      <c r="B771" s="101" t="inlineStr">
        <is>
          <t>Custo Fixo</t>
        </is>
      </c>
      <c r="C771" s="101" t="inlineStr">
        <is>
          <t>Gympass</t>
        </is>
      </c>
      <c r="D771" s="102" t="n">
        <v>12</v>
      </c>
      <c r="E771" s="103" t="n">
        <v>9.85</v>
      </c>
      <c r="F771" s="104">
        <f>IFERROR(D771*E771,0)</f>
        <v/>
      </c>
      <c r="G771" s="101">
        <f>INDEX(SETORES!$B:$B,MATCH(A771,SETORES!$A:$A,0))</f>
        <v/>
      </c>
      <c r="H771" s="101" t="inlineStr">
        <is>
          <t>Junho/2026</t>
        </is>
      </c>
    </row>
    <row r="772" hidden="1" ht="14.25" customHeight="1" s="64">
      <c r="A772" s="106" t="inlineStr">
        <is>
          <t>Manutenção Predial</t>
        </is>
      </c>
      <c r="B772" s="106" t="inlineStr">
        <is>
          <t>Custo Fixo</t>
        </is>
      </c>
      <c r="C772" s="106" t="inlineStr">
        <is>
          <t>Stargrid</t>
        </is>
      </c>
      <c r="D772" s="107" t="n">
        <v>12</v>
      </c>
      <c r="E772" s="108" t="n">
        <v>2.04</v>
      </c>
      <c r="F772" s="109">
        <f>IFERROR(D772*E772,0)</f>
        <v/>
      </c>
      <c r="G772" s="106">
        <f>INDEX(SETORES!$B:$B,MATCH(A772,SETORES!$A:$A,0))</f>
        <v/>
      </c>
      <c r="H772" s="106" t="inlineStr">
        <is>
          <t>Junho/2026</t>
        </is>
      </c>
    </row>
    <row r="773" hidden="1" ht="14.25" customHeight="1" s="64">
      <c r="A773" s="101" t="inlineStr">
        <is>
          <t>NOC</t>
        </is>
      </c>
      <c r="B773" s="101" t="inlineStr">
        <is>
          <t>Custo Fixo</t>
        </is>
      </c>
      <c r="C773" s="101" t="inlineStr">
        <is>
          <t>Material de escritório (suprimentos de informática)</t>
        </is>
      </c>
      <c r="D773" s="102" t="n">
        <v>1</v>
      </c>
      <c r="E773" s="103" t="n">
        <v>14</v>
      </c>
      <c r="F773" s="104" t="n">
        <v>14</v>
      </c>
      <c r="G773" s="101">
        <f>INDEX(SETORES!$B:$B,MATCH(A773,SETORES!$A:$A,0))</f>
        <v/>
      </c>
      <c r="H773" s="101" t="inlineStr">
        <is>
          <t>Junho/2026</t>
        </is>
      </c>
    </row>
    <row r="774" hidden="1" ht="14.25" customHeight="1" s="64">
      <c r="A774" s="106" t="inlineStr">
        <is>
          <t>NOC</t>
        </is>
      </c>
      <c r="B774" s="106" t="inlineStr">
        <is>
          <t>Custo Fixo</t>
        </is>
      </c>
      <c r="C774" s="106" t="inlineStr">
        <is>
          <t>Material de uso coletivo (copa/limpeza)</t>
        </is>
      </c>
      <c r="D774" s="107" t="n">
        <v>1</v>
      </c>
      <c r="E774" s="108" t="n">
        <v>190.78</v>
      </c>
      <c r="F774" s="109" t="n">
        <v>190.78</v>
      </c>
      <c r="G774" s="106">
        <f>INDEX(SETORES!$B:$B,MATCH(A774,SETORES!$A:$A,0))</f>
        <v/>
      </c>
      <c r="H774" s="106" t="inlineStr">
        <is>
          <t>Junho/2026</t>
        </is>
      </c>
    </row>
    <row r="775" hidden="1" ht="14.25" customHeight="1" s="64">
      <c r="A775" s="101" t="inlineStr">
        <is>
          <t>NOC</t>
        </is>
      </c>
      <c r="B775" s="101" t="inlineStr">
        <is>
          <t>Custo Fixo</t>
        </is>
      </c>
      <c r="C775" s="101" t="inlineStr">
        <is>
          <t>Energia elétrica (rateio)</t>
        </is>
      </c>
      <c r="D775" s="102" t="n">
        <v>1</v>
      </c>
      <c r="E775" s="103" t="n">
        <v>43.7861</v>
      </c>
      <c r="F775" s="104" t="n">
        <v>43.7861</v>
      </c>
      <c r="G775" s="101">
        <f>INDEX(SETORES!$B:$B,MATCH(A775,SETORES!$A:$A,0))</f>
        <v/>
      </c>
      <c r="H775" s="101" t="inlineStr">
        <is>
          <t>Junho/2026</t>
        </is>
      </c>
    </row>
    <row r="776" hidden="1" ht="14.25" customHeight="1" s="64">
      <c r="A776" s="106" t="inlineStr">
        <is>
          <t>NOC</t>
        </is>
      </c>
      <c r="B776" s="106" t="inlineStr">
        <is>
          <t>Custo Fixo</t>
        </is>
      </c>
      <c r="C776" s="106" t="inlineStr">
        <is>
          <t>Água e esgoto (rateio)</t>
        </is>
      </c>
      <c r="D776" s="107" t="n">
        <v>1</v>
      </c>
      <c r="E776" s="108" t="n">
        <v>0.125</v>
      </c>
      <c r="F776" s="109" t="n">
        <v>0.125</v>
      </c>
      <c r="G776" s="106">
        <f>INDEX(SETORES!$B:$B,MATCH(A776,SETORES!$A:$A,0))</f>
        <v/>
      </c>
      <c r="H776" s="106" t="inlineStr">
        <is>
          <t>Junho/2026</t>
        </is>
      </c>
    </row>
    <row r="777" hidden="1" ht="14.25" customHeight="1" s="64">
      <c r="A777" s="101" t="inlineStr">
        <is>
          <t>NOC</t>
        </is>
      </c>
      <c r="B777" s="101" t="inlineStr">
        <is>
          <t>Custo Fixo</t>
        </is>
      </c>
      <c r="C777" s="101" t="inlineStr">
        <is>
          <t>Telefonia móvel corporativa</t>
        </is>
      </c>
      <c r="D777" s="102" t="n"/>
      <c r="E777" s="103" t="n"/>
      <c r="F777" s="104">
        <f>IFERROR(D777*E777,0)</f>
        <v/>
      </c>
      <c r="G777" s="101">
        <f>INDEX(SETORES!$B:$B,MATCH(A777,SETORES!$A:$A,0))</f>
        <v/>
      </c>
      <c r="H777" s="101" t="inlineStr">
        <is>
          <t>Junho/2026</t>
        </is>
      </c>
    </row>
    <row r="778" hidden="1" ht="14.25" customHeight="1" s="64">
      <c r="A778" s="106" t="inlineStr">
        <is>
          <t>NOC</t>
        </is>
      </c>
      <c r="B778" s="106" t="inlineStr">
        <is>
          <t>Custo Fixo</t>
        </is>
      </c>
      <c r="C778" s="106" t="inlineStr">
        <is>
          <t>Folha de pagamento (salários)</t>
        </is>
      </c>
      <c r="D778" s="107" t="n">
        <v>1</v>
      </c>
      <c r="E778" s="108" t="n">
        <v>61181.18</v>
      </c>
      <c r="F778" s="109">
        <f>IFERROR(E778,0)</f>
        <v/>
      </c>
      <c r="G778" s="106">
        <f>INDEX(SETORES!$B:$B,MATCH(A778,SETORES!$A:$A,0))</f>
        <v/>
      </c>
      <c r="H778" s="106" t="inlineStr">
        <is>
          <t>Junho/2026</t>
        </is>
      </c>
    </row>
    <row r="779" hidden="1" ht="14.25" customHeight="1" s="64">
      <c r="A779" s="101" t="inlineStr">
        <is>
          <t>NOC</t>
        </is>
      </c>
      <c r="B779" s="101" t="inlineStr">
        <is>
          <t>Custo Fixo</t>
        </is>
      </c>
      <c r="C779" s="101" t="inlineStr">
        <is>
          <t>Licença de e-mail corporativo</t>
        </is>
      </c>
      <c r="D779" s="102" t="n">
        <v>5</v>
      </c>
      <c r="E779" s="103" t="n">
        <v>50</v>
      </c>
      <c r="F779" s="104">
        <f>IFERROR(D779*E779,0)</f>
        <v/>
      </c>
      <c r="G779" s="101">
        <f>INDEX(SETORES!$B:$B,MATCH(A779,SETORES!$A:$A,0))</f>
        <v/>
      </c>
      <c r="H779" s="101" t="inlineStr">
        <is>
          <t>Junho/2026</t>
        </is>
      </c>
    </row>
    <row r="780" hidden="1" ht="14.25" customHeight="1" s="64">
      <c r="A780" s="106" t="inlineStr">
        <is>
          <t>NOC</t>
        </is>
      </c>
      <c r="B780" s="106" t="inlineStr">
        <is>
          <t>Custo Variável</t>
        </is>
      </c>
      <c r="C780" s="106" t="inlineStr">
        <is>
          <t>Combustível de frota</t>
        </is>
      </c>
      <c r="D780" s="107" t="n">
        <v>1</v>
      </c>
      <c r="E780" s="108" t="n">
        <v>1905.53</v>
      </c>
      <c r="F780" s="109">
        <f>IFERROR(D780*E780,0)</f>
        <v/>
      </c>
      <c r="G780" s="106">
        <f>INDEX(SETORES!$B:$B,MATCH(A780,SETORES!$A:$A,0))</f>
        <v/>
      </c>
      <c r="H780" s="106" t="inlineStr">
        <is>
          <t>Junho/2026</t>
        </is>
      </c>
    </row>
    <row r="781" hidden="1" ht="14.25" customHeight="1" s="64">
      <c r="A781" s="101" t="inlineStr">
        <is>
          <t>NOC</t>
        </is>
      </c>
      <c r="B781" s="101" t="inlineStr">
        <is>
          <t>Custo Fixo</t>
        </is>
      </c>
      <c r="C781" s="101" t="inlineStr">
        <is>
          <t>Gympass</t>
        </is>
      </c>
      <c r="D781" s="102" t="n">
        <v>5</v>
      </c>
      <c r="E781" s="103" t="n">
        <v>9.85</v>
      </c>
      <c r="F781" s="104">
        <f>IFERROR(D781*E781,0)</f>
        <v/>
      </c>
      <c r="G781" s="101">
        <f>INDEX(SETORES!$B:$B,MATCH(A781,SETORES!$A:$A,0))</f>
        <v/>
      </c>
      <c r="H781" s="101" t="inlineStr">
        <is>
          <t>Junho/2026</t>
        </is>
      </c>
    </row>
    <row r="782" hidden="1" ht="14.25" customHeight="1" s="64">
      <c r="A782" s="106" t="inlineStr">
        <is>
          <t>NOC</t>
        </is>
      </c>
      <c r="B782" s="106" t="inlineStr">
        <is>
          <t>Custo Fixo</t>
        </is>
      </c>
      <c r="C782" s="106" t="inlineStr">
        <is>
          <t>Stargrid</t>
        </is>
      </c>
      <c r="D782" s="107" t="n">
        <v>5</v>
      </c>
      <c r="E782" s="108" t="n">
        <v>2.04</v>
      </c>
      <c r="F782" s="109">
        <f>IFERROR(D782*E782,0)</f>
        <v/>
      </c>
      <c r="G782" s="106">
        <f>INDEX(SETORES!$B:$B,MATCH(A782,SETORES!$A:$A,0))</f>
        <v/>
      </c>
      <c r="H782" s="106" t="inlineStr">
        <is>
          <t>Junho/2026</t>
        </is>
      </c>
    </row>
    <row r="783" hidden="1" ht="14.25" customHeight="1" s="64">
      <c r="A783" s="101" t="inlineStr">
        <is>
          <t>NRC</t>
        </is>
      </c>
      <c r="B783" s="101" t="inlineStr">
        <is>
          <t>Custo Fixo</t>
        </is>
      </c>
      <c r="C783" s="101" t="inlineStr">
        <is>
          <t>Material de escritório (suprimentos de informática)</t>
        </is>
      </c>
      <c r="D783" s="102" t="n">
        <v>44</v>
      </c>
      <c r="E783" s="103" t="n">
        <v>0.2641</v>
      </c>
      <c r="F783" s="104" t="n">
        <v>11.6204</v>
      </c>
      <c r="G783" s="101">
        <f>INDEX(SETORES!$B:$B,MATCH(A783,SETORES!$A:$A,0))</f>
        <v/>
      </c>
      <c r="H783" s="101" t="inlineStr">
        <is>
          <t>Junho/2026</t>
        </is>
      </c>
    </row>
    <row r="784" hidden="1" ht="14.25" customHeight="1" s="64">
      <c r="A784" s="106" t="inlineStr">
        <is>
          <t>NRC</t>
        </is>
      </c>
      <c r="B784" s="106" t="inlineStr">
        <is>
          <t>Custo Fixo</t>
        </is>
      </c>
      <c r="C784" s="106" t="inlineStr">
        <is>
          <t>Material de uso coletivo (copa/limpeza)</t>
        </is>
      </c>
      <c r="D784" s="107" t="n">
        <v>1</v>
      </c>
      <c r="E784" s="108" t="n">
        <v>2708.935738</v>
      </c>
      <c r="F784" s="109" t="n">
        <v>2708.935738</v>
      </c>
      <c r="G784" s="106">
        <f>INDEX(SETORES!$B:$B,MATCH(A784,SETORES!$A:$A,0))</f>
        <v/>
      </c>
      <c r="H784" s="106" t="inlineStr">
        <is>
          <t>Junho/2026</t>
        </is>
      </c>
    </row>
    <row r="785" hidden="1" ht="14.25" customHeight="1" s="64">
      <c r="A785" s="101" t="inlineStr">
        <is>
          <t>NRC</t>
        </is>
      </c>
      <c r="B785" s="101" t="inlineStr">
        <is>
          <t>Custo Fixo</t>
        </is>
      </c>
      <c r="C785" s="101" t="inlineStr">
        <is>
          <t>Energia elétrica (rateio)</t>
        </is>
      </c>
      <c r="D785" s="102" t="n">
        <v>1</v>
      </c>
      <c r="E785" s="103" t="n">
        <v>385.3175</v>
      </c>
      <c r="F785" s="104" t="n">
        <v>385.3175</v>
      </c>
      <c r="G785" s="101">
        <f>INDEX(SETORES!$B:$B,MATCH(A785,SETORES!$A:$A,0))</f>
        <v/>
      </c>
      <c r="H785" s="101" t="inlineStr">
        <is>
          <t>Junho/2026</t>
        </is>
      </c>
    </row>
    <row r="786" hidden="1" ht="14.25" customHeight="1" s="64">
      <c r="A786" s="106" t="inlineStr">
        <is>
          <t>NRC</t>
        </is>
      </c>
      <c r="B786" s="106" t="inlineStr">
        <is>
          <t>Custo Fixo</t>
        </is>
      </c>
      <c r="C786" s="106" t="inlineStr">
        <is>
          <t>Água e esgoto (rateio)</t>
        </is>
      </c>
      <c r="D786" s="107" t="n">
        <v>1</v>
      </c>
      <c r="E786" s="108" t="n">
        <v>1.1</v>
      </c>
      <c r="F786" s="109" t="n">
        <v>1.1</v>
      </c>
      <c r="G786" s="106">
        <f>INDEX(SETORES!$B:$B,MATCH(A786,SETORES!$A:$A,0))</f>
        <v/>
      </c>
      <c r="H786" s="106" t="inlineStr">
        <is>
          <t>Junho/2026</t>
        </is>
      </c>
    </row>
    <row r="787" hidden="1" ht="14.25" customHeight="1" s="64">
      <c r="A787" s="101" t="inlineStr">
        <is>
          <t>NRC</t>
        </is>
      </c>
      <c r="B787" s="101" t="inlineStr">
        <is>
          <t>Custo Fixo</t>
        </is>
      </c>
      <c r="C787" s="101" t="inlineStr">
        <is>
          <t>Telefonia móvel corporativa</t>
        </is>
      </c>
      <c r="D787" s="102" t="n"/>
      <c r="E787" s="103" t="n"/>
      <c r="F787" s="104">
        <f>IFERROR(D787*E787,0)</f>
        <v/>
      </c>
      <c r="G787" s="101">
        <f>INDEX(SETORES!$B:$B,MATCH(A787,SETORES!$A:$A,0))</f>
        <v/>
      </c>
      <c r="H787" s="101" t="inlineStr">
        <is>
          <t>Junho/2026</t>
        </is>
      </c>
    </row>
    <row r="788" hidden="1" ht="14.25" customHeight="1" s="64">
      <c r="A788" s="106" t="inlineStr">
        <is>
          <t>NRC</t>
        </is>
      </c>
      <c r="B788" s="106" t="inlineStr">
        <is>
          <t>Custo Fixo</t>
        </is>
      </c>
      <c r="C788" s="106" t="inlineStr">
        <is>
          <t>Folha de pagamento (salários)</t>
        </is>
      </c>
      <c r="D788" s="107" t="n">
        <v>1</v>
      </c>
      <c r="E788" s="108" t="n">
        <v>151070.37</v>
      </c>
      <c r="F788" s="109">
        <f>IFERROR(E788,0)</f>
        <v/>
      </c>
      <c r="G788" s="106">
        <f>INDEX(SETORES!$B:$B,MATCH(A788,SETORES!$A:$A,0))</f>
        <v/>
      </c>
      <c r="H788" s="106" t="inlineStr">
        <is>
          <t>Junho/2026</t>
        </is>
      </c>
    </row>
    <row r="789" hidden="1" ht="14.25" customHeight="1" s="64">
      <c r="A789" s="101" t="inlineStr">
        <is>
          <t>NRC</t>
        </is>
      </c>
      <c r="B789" s="101" t="inlineStr">
        <is>
          <t>Custo Fixo</t>
        </is>
      </c>
      <c r="C789" s="101" t="inlineStr">
        <is>
          <t>Licenças de software/sistemas corporativos</t>
        </is>
      </c>
      <c r="D789" s="102" t="n"/>
      <c r="E789" s="103" t="n"/>
      <c r="F789" s="104">
        <f>IFERROR(D789*E789,0)</f>
        <v/>
      </c>
      <c r="G789" s="101">
        <f>INDEX(SETORES!$B:$B,MATCH(A789,SETORES!$A:$A,0))</f>
        <v/>
      </c>
      <c r="H789" s="101" t="inlineStr">
        <is>
          <t>Junho/2026</t>
        </is>
      </c>
    </row>
    <row r="790" hidden="1" ht="14.25" customHeight="1" s="64">
      <c r="A790" s="106" t="inlineStr">
        <is>
          <t>NRC</t>
        </is>
      </c>
      <c r="B790" s="106" t="inlineStr">
        <is>
          <t>Custo Variável</t>
        </is>
      </c>
      <c r="C790" s="106" t="inlineStr">
        <is>
          <t>Fardamento novo</t>
        </is>
      </c>
      <c r="D790" s="107" t="n">
        <v>1</v>
      </c>
      <c r="E790" s="108" t="n">
        <v>496</v>
      </c>
      <c r="F790" s="109">
        <f>IFERROR(D790*E790,0)</f>
        <v/>
      </c>
      <c r="G790" s="106">
        <f>INDEX(SETORES!$B:$B,MATCH(A790,SETORES!$A:$A,0))</f>
        <v/>
      </c>
      <c r="H790" s="106" t="inlineStr">
        <is>
          <t>Junho/2026</t>
        </is>
      </c>
    </row>
    <row r="791" hidden="1" ht="14.25" customHeight="1" s="64">
      <c r="A791" s="101" t="inlineStr">
        <is>
          <t>NRC</t>
        </is>
      </c>
      <c r="B791" s="101" t="inlineStr">
        <is>
          <t>Custo Variável</t>
        </is>
      </c>
      <c r="C791" s="101" t="inlineStr">
        <is>
          <t>Fardamento substituição</t>
        </is>
      </c>
      <c r="D791" s="102" t="n">
        <v>1</v>
      </c>
      <c r="E791" s="103" t="n">
        <v>65.33</v>
      </c>
      <c r="F791" s="104">
        <f>IFERROR(D791*E791,0)</f>
        <v/>
      </c>
      <c r="G791" s="101">
        <f>INDEX(SETORES!$B:$B,MATCH(A791,SETORES!$A:$A,0))</f>
        <v/>
      </c>
      <c r="H791" s="101" t="inlineStr">
        <is>
          <t>Junho/2026</t>
        </is>
      </c>
    </row>
    <row r="792" hidden="1" ht="14.25" customHeight="1" s="64">
      <c r="A792" s="106" t="inlineStr">
        <is>
          <t>NRC</t>
        </is>
      </c>
      <c r="B792" s="106" t="inlineStr">
        <is>
          <t>Custo Variável</t>
        </is>
      </c>
      <c r="C792" s="106" t="inlineStr">
        <is>
          <t>Rescisões trabalhistas</t>
        </is>
      </c>
      <c r="D792" s="107" t="n">
        <v>1</v>
      </c>
      <c r="E792" s="108" t="n">
        <v>3112.37</v>
      </c>
      <c r="F792" s="109">
        <f>IFERROR(D792*E792,0)</f>
        <v/>
      </c>
      <c r="G792" s="106">
        <f>INDEX(SETORES!$B:$B,MATCH(A792,SETORES!$A:$A,0))</f>
        <v/>
      </c>
      <c r="H792" s="106" t="inlineStr">
        <is>
          <t>Junho/2026</t>
        </is>
      </c>
    </row>
    <row r="793" hidden="1" ht="14.25" customHeight="1" s="64">
      <c r="A793" s="101" t="inlineStr">
        <is>
          <t>NRC</t>
        </is>
      </c>
      <c r="B793" s="101" t="inlineStr">
        <is>
          <t>Custo Fixo</t>
        </is>
      </c>
      <c r="C793" s="101" t="inlineStr">
        <is>
          <t>Licença de e-mail corporativo</t>
        </is>
      </c>
      <c r="D793" s="102" t="n">
        <v>47</v>
      </c>
      <c r="E793" s="103" t="n">
        <v>50</v>
      </c>
      <c r="F793" s="104">
        <f>IFERROR(D793*E793,0)</f>
        <v/>
      </c>
      <c r="G793" s="101">
        <f>INDEX(SETORES!$B:$B,MATCH(A793,SETORES!$A:$A,0))</f>
        <v/>
      </c>
      <c r="H793" s="101" t="inlineStr">
        <is>
          <t>Junho/2026</t>
        </is>
      </c>
    </row>
    <row r="794" hidden="1" ht="14.25" customHeight="1" s="64">
      <c r="A794" s="106" t="inlineStr">
        <is>
          <t>NRC</t>
        </is>
      </c>
      <c r="B794" s="106" t="inlineStr">
        <is>
          <t>Custo Fixo</t>
        </is>
      </c>
      <c r="C794" s="106" t="inlineStr">
        <is>
          <t>Software MATRIX (rateio equipe Relacionamento)</t>
        </is>
      </c>
      <c r="D794" s="107" t="n">
        <v>1</v>
      </c>
      <c r="E794" s="108" t="n">
        <v>2435.082628</v>
      </c>
      <c r="F794" s="109">
        <f>IFERROR(D794*E794,0)</f>
        <v/>
      </c>
      <c r="G794" s="106">
        <f>INDEX(SETORES!$B:$B,MATCH(A794,SETORES!$A:$A,0))</f>
        <v/>
      </c>
      <c r="H794" s="106" t="inlineStr">
        <is>
          <t>Junho/2026</t>
        </is>
      </c>
    </row>
    <row r="795" hidden="1" ht="14.25" customHeight="1" s="64">
      <c r="A795" s="101" t="inlineStr">
        <is>
          <t>NRC</t>
        </is>
      </c>
      <c r="B795" s="101" t="inlineStr">
        <is>
          <t>Custo Fixo</t>
        </is>
      </c>
      <c r="C795" s="101" t="inlineStr">
        <is>
          <t>Impressora (rateio equipe Relacionamento)</t>
        </is>
      </c>
      <c r="D795" s="102" t="n">
        <v>1</v>
      </c>
      <c r="E795" s="103" t="n">
        <v>9.232784000000001</v>
      </c>
      <c r="F795" s="104">
        <f>IFERROR(D795*E795,0)</f>
        <v/>
      </c>
      <c r="G795" s="101">
        <f>INDEX(SETORES!$B:$B,MATCH(A795,SETORES!$A:$A,0))</f>
        <v/>
      </c>
      <c r="H795" s="101" t="inlineStr">
        <is>
          <t>Junho/2026</t>
        </is>
      </c>
    </row>
    <row r="796" hidden="1" ht="14.25" customHeight="1" s="64">
      <c r="A796" s="106" t="inlineStr">
        <is>
          <t>NRC</t>
        </is>
      </c>
      <c r="B796" s="106" t="inlineStr">
        <is>
          <t>Custo Fixo</t>
        </is>
      </c>
      <c r="C796" s="106" t="inlineStr">
        <is>
          <t>Gympass</t>
        </is>
      </c>
      <c r="D796" s="107" t="n">
        <v>44</v>
      </c>
      <c r="E796" s="108" t="n">
        <v>9.85</v>
      </c>
      <c r="F796" s="109">
        <f>IFERROR(D796*E796,0)</f>
        <v/>
      </c>
      <c r="G796" s="106">
        <f>INDEX(SETORES!$B:$B,MATCH(A796,SETORES!$A:$A,0))</f>
        <v/>
      </c>
      <c r="H796" s="106" t="inlineStr">
        <is>
          <t>Junho/2026</t>
        </is>
      </c>
    </row>
    <row r="797" hidden="1" ht="14.25" customHeight="1" s="64">
      <c r="A797" s="101" t="inlineStr">
        <is>
          <t>NRC</t>
        </is>
      </c>
      <c r="B797" s="101" t="inlineStr">
        <is>
          <t>Custo Fixo</t>
        </is>
      </c>
      <c r="C797" s="101" t="inlineStr">
        <is>
          <t>Stargrid</t>
        </is>
      </c>
      <c r="D797" s="102" t="n">
        <v>44</v>
      </c>
      <c r="E797" s="103" t="n">
        <v>2.04</v>
      </c>
      <c r="F797" s="104">
        <f>IFERROR(D797*E797,0)</f>
        <v/>
      </c>
      <c r="G797" s="101">
        <f>INDEX(SETORES!$B:$B,MATCH(A797,SETORES!$A:$A,0))</f>
        <v/>
      </c>
      <c r="H797" s="101" t="inlineStr">
        <is>
          <t>Junho/2026</t>
        </is>
      </c>
    </row>
    <row r="798" hidden="1" ht="14.25" customHeight="1" s="64">
      <c r="A798" s="106" t="inlineStr">
        <is>
          <t>Obras</t>
        </is>
      </c>
      <c r="B798" s="106" t="inlineStr">
        <is>
          <t>Custo Fixo</t>
        </is>
      </c>
      <c r="C798" s="106" t="inlineStr">
        <is>
          <t>Material de escritório (suprimentos de informática)</t>
        </is>
      </c>
      <c r="D798" s="107" t="n"/>
      <c r="E798" s="108" t="n"/>
      <c r="F798" s="109" t="n">
        <v>0</v>
      </c>
      <c r="G798" s="106">
        <f>INDEX(SETORES!$B:$B,MATCH(A798,SETORES!$A:$A,0))</f>
        <v/>
      </c>
      <c r="H798" s="106" t="inlineStr">
        <is>
          <t>Junho/2026</t>
        </is>
      </c>
    </row>
    <row r="799" hidden="1" ht="14.25" customHeight="1" s="64">
      <c r="A799" s="101" t="inlineStr">
        <is>
          <t>Obras</t>
        </is>
      </c>
      <c r="B799" s="101" t="inlineStr">
        <is>
          <t>Custo Fixo</t>
        </is>
      </c>
      <c r="C799" s="101" t="inlineStr">
        <is>
          <t>Material de uso coletivo (copa/limpeza)</t>
        </is>
      </c>
      <c r="D799" s="102" t="n"/>
      <c r="E799" s="103" t="n"/>
      <c r="F799" s="104" t="n">
        <v>0</v>
      </c>
      <c r="G799" s="101">
        <f>INDEX(SETORES!$B:$B,MATCH(A799,SETORES!$A:$A,0))</f>
        <v/>
      </c>
      <c r="H799" s="101" t="inlineStr">
        <is>
          <t>Junho/2026</t>
        </is>
      </c>
    </row>
    <row r="800" hidden="1" ht="14.25" customHeight="1" s="64">
      <c r="A800" s="106" t="inlineStr">
        <is>
          <t>Obras</t>
        </is>
      </c>
      <c r="B800" s="106" t="inlineStr">
        <is>
          <t>Custo Fixo</t>
        </is>
      </c>
      <c r="C800" s="106" t="inlineStr">
        <is>
          <t>Telefonia móvel corporativa</t>
        </is>
      </c>
      <c r="D800" s="107" t="n"/>
      <c r="E800" s="108" t="n"/>
      <c r="F800" s="109">
        <f>IFERROR(D800*E800,0)</f>
        <v/>
      </c>
      <c r="G800" s="106">
        <f>INDEX(SETORES!$B:$B,MATCH(A800,SETORES!$A:$A,0))</f>
        <v/>
      </c>
      <c r="H800" s="106" t="inlineStr">
        <is>
          <t>Junho/2026</t>
        </is>
      </c>
    </row>
    <row r="801" hidden="1" ht="14.25" customHeight="1" s="64">
      <c r="A801" s="101" t="inlineStr">
        <is>
          <t>Obras</t>
        </is>
      </c>
      <c r="B801" s="101" t="inlineStr">
        <is>
          <t>Custo Fixo</t>
        </is>
      </c>
      <c r="C801" s="101" t="inlineStr">
        <is>
          <t>Folha de pagamento (salários)</t>
        </is>
      </c>
      <c r="D801" s="102" t="n">
        <v>1</v>
      </c>
      <c r="E801" s="103" t="n">
        <v>162051.25</v>
      </c>
      <c r="F801" s="104">
        <f>IFERROR(E801,0)</f>
        <v/>
      </c>
      <c r="G801" s="101">
        <f>INDEX(SETORES!$B:$B,MATCH(A801,SETORES!$A:$A,0))</f>
        <v/>
      </c>
      <c r="H801" s="101" t="inlineStr">
        <is>
          <t>Junho/2026</t>
        </is>
      </c>
    </row>
    <row r="802" hidden="1" ht="14.25" customHeight="1" s="64">
      <c r="A802" s="106" t="inlineStr">
        <is>
          <t>Obras</t>
        </is>
      </c>
      <c r="B802" s="106" t="inlineStr">
        <is>
          <t>Custo Variável</t>
        </is>
      </c>
      <c r="C802" s="106" t="inlineStr">
        <is>
          <t>Investimento de equipamentos (não patrimoniável)</t>
        </is>
      </c>
      <c r="D802" s="107" t="n"/>
      <c r="E802" s="108" t="n"/>
      <c r="F802" s="109">
        <f>IFERROR(D802*E802,0)</f>
        <v/>
      </c>
      <c r="G802" s="106">
        <f>INDEX(SETORES!$B:$B,MATCH(A802,SETORES!$A:$A,0))</f>
        <v/>
      </c>
      <c r="H802" s="106" t="inlineStr">
        <is>
          <t>Junho/2026</t>
        </is>
      </c>
    </row>
    <row r="803" hidden="1" ht="14.25" customHeight="1" s="64">
      <c r="A803" s="101" t="inlineStr">
        <is>
          <t>Obras</t>
        </is>
      </c>
      <c r="B803" s="101" t="inlineStr">
        <is>
          <t>Custo Variável</t>
        </is>
      </c>
      <c r="C803" s="101" t="inlineStr">
        <is>
          <t>EPIs - Equipamento de Proteção Individual</t>
        </is>
      </c>
      <c r="D803" s="102" t="n">
        <v>1</v>
      </c>
      <c r="E803" s="103" t="n">
        <v>160</v>
      </c>
      <c r="F803" s="104">
        <f>IFERROR(D803*E803,0)</f>
        <v/>
      </c>
      <c r="G803" s="101">
        <f>INDEX(SETORES!$B:$B,MATCH(A803,SETORES!$A:$A,0))</f>
        <v/>
      </c>
      <c r="H803" s="101" t="inlineStr">
        <is>
          <t>Junho/2026</t>
        </is>
      </c>
    </row>
    <row r="804" hidden="1" ht="14.25" customHeight="1" s="64">
      <c r="A804" s="106" t="inlineStr">
        <is>
          <t>Obras</t>
        </is>
      </c>
      <c r="B804" s="106" t="inlineStr">
        <is>
          <t>Custo Variável</t>
        </is>
      </c>
      <c r="C804" s="106" t="inlineStr">
        <is>
          <t>Rescisões trabalhistas</t>
        </is>
      </c>
      <c r="D804" s="107" t="n">
        <v>1</v>
      </c>
      <c r="E804" s="108" t="n">
        <v>7468.78</v>
      </c>
      <c r="F804" s="109">
        <f>IFERROR(D804*E804,0)</f>
        <v/>
      </c>
      <c r="G804" s="106">
        <f>INDEX(SETORES!$B:$B,MATCH(A804,SETORES!$A:$A,0))</f>
        <v/>
      </c>
      <c r="H804" s="106" t="inlineStr">
        <is>
          <t>Junho/2026</t>
        </is>
      </c>
    </row>
    <row r="805" hidden="1" ht="14.25" customHeight="1" s="64">
      <c r="A805" s="101" t="inlineStr">
        <is>
          <t>Obras</t>
        </is>
      </c>
      <c r="B805" s="101" t="inlineStr">
        <is>
          <t>Custo Fixo</t>
        </is>
      </c>
      <c r="C805" s="101" t="inlineStr">
        <is>
          <t>Licença de e-mail corporativo</t>
        </is>
      </c>
      <c r="D805" s="102" t="n"/>
      <c r="E805" s="103" t="n"/>
      <c r="F805" s="104">
        <f>IFERROR(D805*E805,0)</f>
        <v/>
      </c>
      <c r="G805" s="101">
        <f>INDEX(SETORES!$B:$B,MATCH(A805,SETORES!$A:$A,0))</f>
        <v/>
      </c>
      <c r="H805" s="101" t="inlineStr">
        <is>
          <t>Junho/2026</t>
        </is>
      </c>
    </row>
    <row r="806" hidden="1" ht="14.25" customHeight="1" s="64">
      <c r="A806" s="106" t="inlineStr">
        <is>
          <t>Obras</t>
        </is>
      </c>
      <c r="B806" s="106" t="inlineStr">
        <is>
          <t>Custo Variável</t>
        </is>
      </c>
      <c r="C806" s="106" t="inlineStr">
        <is>
          <t>Combustível de frota</t>
        </is>
      </c>
      <c r="D806" s="107" t="n">
        <v>1</v>
      </c>
      <c r="E806" s="108" t="n">
        <v>10448.85</v>
      </c>
      <c r="F806" s="109">
        <f>IFERROR(D806*E806,0)</f>
        <v/>
      </c>
      <c r="G806" s="106">
        <f>INDEX(SETORES!$B:$B,MATCH(A806,SETORES!$A:$A,0))</f>
        <v/>
      </c>
      <c r="H806" s="106" t="inlineStr">
        <is>
          <t>Junho/2026</t>
        </is>
      </c>
    </row>
    <row r="807" hidden="1" ht="14.25" customHeight="1" s="64">
      <c r="A807" s="101" t="inlineStr">
        <is>
          <t>Obras</t>
        </is>
      </c>
      <c r="B807" s="101" t="inlineStr">
        <is>
          <t>Custo Fixo</t>
        </is>
      </c>
      <c r="C807" s="101" t="inlineStr">
        <is>
          <t>Gympass</t>
        </is>
      </c>
      <c r="D807" s="102" t="n">
        <v>24</v>
      </c>
      <c r="E807" s="103" t="n">
        <v>9.85</v>
      </c>
      <c r="F807" s="104">
        <f>IFERROR(D807*E807,0)</f>
        <v/>
      </c>
      <c r="G807" s="101">
        <f>INDEX(SETORES!$B:$B,MATCH(A807,SETORES!$A:$A,0))</f>
        <v/>
      </c>
      <c r="H807" s="101" t="inlineStr">
        <is>
          <t>Junho/2026</t>
        </is>
      </c>
    </row>
    <row r="808" hidden="1" ht="14.25" customHeight="1" s="64">
      <c r="A808" s="106" t="inlineStr">
        <is>
          <t>Obras</t>
        </is>
      </c>
      <c r="B808" s="106" t="inlineStr">
        <is>
          <t>Custo Fixo</t>
        </is>
      </c>
      <c r="C808" s="106" t="inlineStr">
        <is>
          <t>Stargrid</t>
        </is>
      </c>
      <c r="D808" s="107" t="n">
        <v>24</v>
      </c>
      <c r="E808" s="108" t="n">
        <v>2.04</v>
      </c>
      <c r="F808" s="109">
        <f>IFERROR(D808*E808,0)</f>
        <v/>
      </c>
      <c r="G808" s="106">
        <f>INDEX(SETORES!$B:$B,MATCH(A808,SETORES!$A:$A,0))</f>
        <v/>
      </c>
      <c r="H808" s="106" t="inlineStr">
        <is>
          <t>Junho/2026</t>
        </is>
      </c>
    </row>
    <row r="809" hidden="1" ht="14.25" customHeight="1" s="64">
      <c r="A809" s="101" t="inlineStr">
        <is>
          <t>Oficina</t>
        </is>
      </c>
      <c r="B809" s="101" t="inlineStr">
        <is>
          <t>Custo Fixo</t>
        </is>
      </c>
      <c r="C809" s="101" t="inlineStr">
        <is>
          <t>Material de escritório (suprimentos de informática)</t>
        </is>
      </c>
      <c r="D809" s="102" t="n"/>
      <c r="E809" s="103" t="n"/>
      <c r="F809" s="104" t="n">
        <v>0</v>
      </c>
      <c r="G809" s="101">
        <f>INDEX(SETORES!$B:$B,MATCH(A809,SETORES!$A:$A,0))</f>
        <v/>
      </c>
      <c r="H809" s="101" t="inlineStr">
        <is>
          <t>Junho/2026</t>
        </is>
      </c>
    </row>
    <row r="810" hidden="1" ht="14.25" customHeight="1" s="64">
      <c r="A810" s="106" t="inlineStr">
        <is>
          <t>Oficina</t>
        </is>
      </c>
      <c r="B810" s="106" t="inlineStr">
        <is>
          <t>Custo Fixo</t>
        </is>
      </c>
      <c r="C810" s="106" t="inlineStr">
        <is>
          <t>Material de uso coletivo (copa/limpeza)</t>
        </is>
      </c>
      <c r="D810" s="107" t="n">
        <v>1</v>
      </c>
      <c r="E810" s="108" t="n">
        <v>710.95</v>
      </c>
      <c r="F810" s="109" t="n">
        <v>710.95</v>
      </c>
      <c r="G810" s="106">
        <f>INDEX(SETORES!$B:$B,MATCH(A810,SETORES!$A:$A,0))</f>
        <v/>
      </c>
      <c r="H810" s="106" t="inlineStr">
        <is>
          <t>Junho/2026</t>
        </is>
      </c>
    </row>
    <row r="811" hidden="1" ht="14.25" customHeight="1" s="64">
      <c r="A811" s="101" t="inlineStr">
        <is>
          <t>Oficina</t>
        </is>
      </c>
      <c r="B811" s="101" t="inlineStr">
        <is>
          <t>Custo Fixo</t>
        </is>
      </c>
      <c r="C811" s="101" t="inlineStr">
        <is>
          <t>Software da oficina (soutech soluções)</t>
        </is>
      </c>
      <c r="D811" s="102" t="n">
        <v>1</v>
      </c>
      <c r="E811" s="103" t="n">
        <v>1800</v>
      </c>
      <c r="F811" s="104">
        <f>IFERROR(D811*E811,0)</f>
        <v/>
      </c>
      <c r="G811" s="101">
        <f>INDEX(SETORES!$B:$B,MATCH(A811,SETORES!$A:$A,0))</f>
        <v/>
      </c>
      <c r="H811" s="101" t="inlineStr">
        <is>
          <t>Junho/2026</t>
        </is>
      </c>
    </row>
    <row r="812" hidden="1" ht="14.25" customHeight="1" s="64">
      <c r="A812" s="106" t="inlineStr">
        <is>
          <t>Oficina</t>
        </is>
      </c>
      <c r="B812" s="106" t="inlineStr">
        <is>
          <t>Custo Fixo</t>
        </is>
      </c>
      <c r="C812" s="106" t="inlineStr">
        <is>
          <t>Energia elétrica (rateio)</t>
        </is>
      </c>
      <c r="D812" s="107" t="n">
        <v>4</v>
      </c>
      <c r="E812" s="108" t="n">
        <v>23.6877</v>
      </c>
      <c r="F812" s="109" t="n">
        <v>94.7508</v>
      </c>
      <c r="G812" s="106">
        <f>INDEX(SETORES!$B:$B,MATCH(A812,SETORES!$A:$A,0))</f>
        <v/>
      </c>
      <c r="H812" s="106" t="inlineStr">
        <is>
          <t>Junho/2026</t>
        </is>
      </c>
    </row>
    <row r="813" hidden="1" ht="14.25" customHeight="1" s="64">
      <c r="A813" s="101" t="inlineStr">
        <is>
          <t>Oficina</t>
        </is>
      </c>
      <c r="B813" s="101" t="inlineStr">
        <is>
          <t>Custo Fixo</t>
        </is>
      </c>
      <c r="C813" s="101" t="inlineStr">
        <is>
          <t>Telefonia móvel corporativa</t>
        </is>
      </c>
      <c r="D813" s="102" t="n"/>
      <c r="E813" s="103" t="n"/>
      <c r="F813" s="104">
        <f>IFERROR(D813*E813,0)</f>
        <v/>
      </c>
      <c r="G813" s="101">
        <f>INDEX(SETORES!$B:$B,MATCH(A813,SETORES!$A:$A,0))</f>
        <v/>
      </c>
      <c r="H813" s="101" t="inlineStr">
        <is>
          <t>Junho/2026</t>
        </is>
      </c>
    </row>
    <row r="814" hidden="1" ht="14.25" customHeight="1" s="64">
      <c r="A814" s="106" t="inlineStr">
        <is>
          <t>Oficina</t>
        </is>
      </c>
      <c r="B814" s="106" t="inlineStr">
        <is>
          <t>Custo Fixo</t>
        </is>
      </c>
      <c r="C814" s="106" t="inlineStr">
        <is>
          <t>Folha de pagamento (salários)</t>
        </is>
      </c>
      <c r="D814" s="107" t="n">
        <v>1</v>
      </c>
      <c r="E814" s="108" t="n">
        <v>26444.83</v>
      </c>
      <c r="F814" s="109">
        <f>IFERROR(E814,0)</f>
        <v/>
      </c>
      <c r="G814" s="106">
        <f>INDEX(SETORES!$B:$B,MATCH(A814,SETORES!$A:$A,0))</f>
        <v/>
      </c>
      <c r="H814" s="106" t="inlineStr">
        <is>
          <t>Junho/2026</t>
        </is>
      </c>
    </row>
    <row r="815" hidden="1" ht="14.25" customHeight="1" s="64">
      <c r="A815" s="101" t="inlineStr">
        <is>
          <t>Oficina</t>
        </is>
      </c>
      <c r="B815" s="101" t="inlineStr">
        <is>
          <t>Custo Variável</t>
        </is>
      </c>
      <c r="C815" s="101" t="inlineStr">
        <is>
          <t>Combustível de frota</t>
        </is>
      </c>
      <c r="D815" s="102" t="n"/>
      <c r="E815" s="103" t="n"/>
      <c r="F815" s="104">
        <f>IFERROR(D815*E815,0)</f>
        <v/>
      </c>
      <c r="G815" s="101">
        <f>INDEX(SETORES!$B:$B,MATCH(A815,SETORES!$A:$A,0))</f>
        <v/>
      </c>
      <c r="H815" s="101" t="inlineStr">
        <is>
          <t>Junho/2026</t>
        </is>
      </c>
    </row>
    <row r="816" hidden="1" ht="14.25" customHeight="1" s="64">
      <c r="A816" s="106" t="inlineStr">
        <is>
          <t>Oficina</t>
        </is>
      </c>
      <c r="B816" s="106" t="inlineStr">
        <is>
          <t>Custo Variável</t>
        </is>
      </c>
      <c r="C816" s="106" t="inlineStr">
        <is>
          <t>Manutenção de veículos</t>
        </is>
      </c>
      <c r="D816" s="107" t="n"/>
      <c r="E816" s="108" t="n"/>
      <c r="F816" s="109">
        <f>IFERROR(D816*E816,0)</f>
        <v/>
      </c>
      <c r="G816" s="106">
        <f>INDEX(SETORES!$B:$B,MATCH(A816,SETORES!$A:$A,0))</f>
        <v/>
      </c>
      <c r="H816" s="106" t="inlineStr">
        <is>
          <t>Junho/2026</t>
        </is>
      </c>
    </row>
    <row r="817" hidden="1" ht="14.25" customHeight="1" s="64">
      <c r="A817" s="101" t="inlineStr">
        <is>
          <t>Oficina</t>
        </is>
      </c>
      <c r="B817" s="101" t="inlineStr">
        <is>
          <t>Custo Variável</t>
        </is>
      </c>
      <c r="C817" s="101" t="inlineStr">
        <is>
          <t>Rateio de transporte coletivo</t>
        </is>
      </c>
      <c r="D817" s="102" t="n">
        <v>4</v>
      </c>
      <c r="E817" s="103" t="n">
        <v>85.70999999999999</v>
      </c>
      <c r="F817" s="104">
        <f>IFERROR(D817*E817,0)</f>
        <v/>
      </c>
      <c r="G817" s="101">
        <f>INDEX(SETORES!$B:$B,MATCH(A817,SETORES!$A:$A,0))</f>
        <v/>
      </c>
      <c r="H817" s="101" t="inlineStr">
        <is>
          <t>Junho/2026</t>
        </is>
      </c>
    </row>
    <row r="818" hidden="1" ht="14.25" customHeight="1" s="64">
      <c r="A818" s="106" t="inlineStr">
        <is>
          <t>Oficina</t>
        </is>
      </c>
      <c r="B818" s="106" t="inlineStr">
        <is>
          <t>Custo Fixo</t>
        </is>
      </c>
      <c r="C818" s="106" t="inlineStr">
        <is>
          <t>Gympass</t>
        </is>
      </c>
      <c r="D818" s="107" t="n">
        <v>4</v>
      </c>
      <c r="E818" s="108" t="n">
        <v>9.85</v>
      </c>
      <c r="F818" s="109">
        <f>IFERROR(D818*E818,0)</f>
        <v/>
      </c>
      <c r="G818" s="106">
        <f>INDEX(SETORES!$B:$B,MATCH(A818,SETORES!$A:$A,0))</f>
        <v/>
      </c>
      <c r="H818" s="106" t="inlineStr">
        <is>
          <t>Junho/2026</t>
        </is>
      </c>
    </row>
    <row r="819" hidden="1" ht="14.25" customHeight="1" s="64">
      <c r="A819" s="101" t="inlineStr">
        <is>
          <t>Oficina</t>
        </is>
      </c>
      <c r="B819" s="101" t="inlineStr">
        <is>
          <t>Custo Fixo</t>
        </is>
      </c>
      <c r="C819" s="101" t="inlineStr">
        <is>
          <t>Stargrid</t>
        </is>
      </c>
      <c r="D819" s="102" t="n">
        <v>4</v>
      </c>
      <c r="E819" s="103" t="n">
        <v>2.04</v>
      </c>
      <c r="F819" s="104">
        <f>IFERROR(D819*E819,0)</f>
        <v/>
      </c>
      <c r="G819" s="101">
        <f>INDEX(SETORES!$B:$B,MATCH(A819,SETORES!$A:$A,0))</f>
        <v/>
      </c>
      <c r="H819" s="101" t="inlineStr">
        <is>
          <t>Junho/2026</t>
        </is>
      </c>
    </row>
    <row r="820" hidden="1" ht="14.25" customHeight="1" s="64">
      <c r="A820" s="106" t="inlineStr">
        <is>
          <t>RH</t>
        </is>
      </c>
      <c r="B820" s="106" t="inlineStr">
        <is>
          <t>Custo Fixo</t>
        </is>
      </c>
      <c r="C820" s="106" t="inlineStr">
        <is>
          <t>Material de escritório (suprimentos de informática)</t>
        </is>
      </c>
      <c r="D820" s="107" t="n"/>
      <c r="E820" s="108" t="n"/>
      <c r="F820" s="109" t="n">
        <v>0</v>
      </c>
      <c r="G820" s="106">
        <f>INDEX(SETORES!$B:$B,MATCH(A820,SETORES!$A:$A,0))</f>
        <v/>
      </c>
      <c r="H820" s="106" t="inlineStr">
        <is>
          <t>Junho/2026</t>
        </is>
      </c>
    </row>
    <row r="821" hidden="1" ht="14.25" customHeight="1" s="64">
      <c r="A821" s="101" t="inlineStr">
        <is>
          <t>RH</t>
        </is>
      </c>
      <c r="B821" s="101" t="inlineStr">
        <is>
          <t>Custo Fixo</t>
        </is>
      </c>
      <c r="C821" s="101" t="inlineStr">
        <is>
          <t>Material de uso coletivo (copa/limpeza)</t>
        </is>
      </c>
      <c r="D821" s="102" t="n">
        <v>1</v>
      </c>
      <c r="E821" s="103" t="n">
        <v>52.2</v>
      </c>
      <c r="F821" s="104" t="n">
        <v>52.2</v>
      </c>
      <c r="G821" s="101">
        <f>INDEX(SETORES!$B:$B,MATCH(A821,SETORES!$A:$A,0))</f>
        <v/>
      </c>
      <c r="H821" s="101" t="inlineStr">
        <is>
          <t>Junho/2026</t>
        </is>
      </c>
    </row>
    <row r="822" hidden="1" ht="14.25" customHeight="1" s="64">
      <c r="A822" s="106" t="inlineStr">
        <is>
          <t>RH</t>
        </is>
      </c>
      <c r="B822" s="106" t="inlineStr">
        <is>
          <t>Custo Fixo</t>
        </is>
      </c>
      <c r="C822" s="106" t="inlineStr">
        <is>
          <t>Energia elétrica (rateio)</t>
        </is>
      </c>
      <c r="D822" s="107" t="n">
        <v>1</v>
      </c>
      <c r="E822" s="108" t="n">
        <v>35.0289</v>
      </c>
      <c r="F822" s="109" t="n">
        <v>35.0289</v>
      </c>
      <c r="G822" s="106">
        <f>INDEX(SETORES!$B:$B,MATCH(A822,SETORES!$A:$A,0))</f>
        <v/>
      </c>
      <c r="H822" s="106" t="inlineStr">
        <is>
          <t>Junho/2026</t>
        </is>
      </c>
    </row>
    <row r="823" hidden="1" ht="14.25" customHeight="1" s="64">
      <c r="A823" s="101" t="inlineStr">
        <is>
          <t>RH</t>
        </is>
      </c>
      <c r="B823" s="101" t="inlineStr">
        <is>
          <t>Custo Fixo</t>
        </is>
      </c>
      <c r="C823" s="101" t="inlineStr">
        <is>
          <t>Água e esgoto (rateio)</t>
        </is>
      </c>
      <c r="D823" s="102" t="n">
        <v>1</v>
      </c>
      <c r="E823" s="103" t="n">
        <v>0.1</v>
      </c>
      <c r="F823" s="104" t="n">
        <v>0.1</v>
      </c>
      <c r="G823" s="101">
        <f>INDEX(SETORES!$B:$B,MATCH(A823,SETORES!$A:$A,0))</f>
        <v/>
      </c>
      <c r="H823" s="101" t="inlineStr">
        <is>
          <t>Junho/2026</t>
        </is>
      </c>
    </row>
    <row r="824" hidden="1" ht="14.25" customHeight="1" s="64">
      <c r="A824" s="106" t="inlineStr">
        <is>
          <t>RH</t>
        </is>
      </c>
      <c r="B824" s="106" t="inlineStr">
        <is>
          <t>Custo Fixo</t>
        </is>
      </c>
      <c r="C824" s="106" t="inlineStr">
        <is>
          <t>Telefonia móvel corporativa</t>
        </is>
      </c>
      <c r="D824" s="107" t="n"/>
      <c r="E824" s="108" t="n"/>
      <c r="F824" s="109">
        <f>IFERROR(D824*E824,0)</f>
        <v/>
      </c>
      <c r="G824" s="106">
        <f>INDEX(SETORES!$B:$B,MATCH(A824,SETORES!$A:$A,0))</f>
        <v/>
      </c>
      <c r="H824" s="106" t="inlineStr">
        <is>
          <t>Junho/2026</t>
        </is>
      </c>
    </row>
    <row r="825" hidden="1" ht="14.25" customHeight="1" s="64">
      <c r="A825" s="101" t="inlineStr">
        <is>
          <t>RH</t>
        </is>
      </c>
      <c r="B825" s="101" t="inlineStr">
        <is>
          <t>Custo Fixo</t>
        </is>
      </c>
      <c r="C825" s="101" t="inlineStr">
        <is>
          <t>Folha de pagamento (salários)</t>
        </is>
      </c>
      <c r="D825" s="102" t="n">
        <v>1</v>
      </c>
      <c r="E825" s="103" t="n">
        <v>26729.08</v>
      </c>
      <c r="F825" s="104">
        <f>IFERROR(E825,0)</f>
        <v/>
      </c>
      <c r="G825" s="101">
        <f>INDEX(SETORES!$B:$B,MATCH(A825,SETORES!$A:$A,0))</f>
        <v/>
      </c>
      <c r="H825" s="101" t="inlineStr">
        <is>
          <t>Junho/2026</t>
        </is>
      </c>
    </row>
    <row r="826" hidden="1" ht="14.25" customHeight="1" s="64">
      <c r="A826" s="106" t="inlineStr">
        <is>
          <t>RH</t>
        </is>
      </c>
      <c r="B826" s="106" t="inlineStr">
        <is>
          <t>Custo Variável</t>
        </is>
      </c>
      <c r="C826" s="106" t="inlineStr">
        <is>
          <t>Fardamento novo (compra corporativa)</t>
        </is>
      </c>
      <c r="D826" s="107" t="n"/>
      <c r="E826" s="108" t="n"/>
      <c r="F826" s="109">
        <f>IFERROR(D826*E826,0)</f>
        <v/>
      </c>
      <c r="G826" s="106">
        <f>INDEX(SETORES!$B:$B,MATCH(A826,SETORES!$A:$A,0))</f>
        <v/>
      </c>
      <c r="H826" s="106" t="inlineStr">
        <is>
          <t>Junho/2026</t>
        </is>
      </c>
    </row>
    <row r="827" hidden="1" ht="14.25" customHeight="1" s="64">
      <c r="A827" s="101" t="inlineStr">
        <is>
          <t>RH</t>
        </is>
      </c>
      <c r="B827" s="101" t="inlineStr">
        <is>
          <t>Custo Variável</t>
        </is>
      </c>
      <c r="C827" s="101" t="inlineStr">
        <is>
          <t>Fardamento substituição (compra corporativa)</t>
        </is>
      </c>
      <c r="D827" s="102" t="n"/>
      <c r="E827" s="103" t="n"/>
      <c r="F827" s="104">
        <f>IFERROR(D827*E827,0)</f>
        <v/>
      </c>
      <c r="G827" s="101">
        <f>INDEX(SETORES!$B:$B,MATCH(A827,SETORES!$A:$A,0))</f>
        <v/>
      </c>
      <c r="H827" s="101" t="inlineStr">
        <is>
          <t>Junho/2026</t>
        </is>
      </c>
    </row>
    <row r="828" hidden="1" ht="14.25" customHeight="1" s="64">
      <c r="A828" s="106" t="inlineStr">
        <is>
          <t>RH</t>
        </is>
      </c>
      <c r="B828" s="106" t="inlineStr">
        <is>
          <t>Custo Fixo</t>
        </is>
      </c>
      <c r="C828" s="106" t="inlineStr">
        <is>
          <t>Treinamento e capacitação</t>
        </is>
      </c>
      <c r="D828" s="107" t="n">
        <v>1</v>
      </c>
      <c r="E828" s="108" t="n">
        <v>1776.46</v>
      </c>
      <c r="F828" s="109">
        <f>IFERROR(D828*E828,0)</f>
        <v/>
      </c>
      <c r="G828" s="106">
        <f>INDEX(SETORES!$B:$B,MATCH(A828,SETORES!$A:$A,0))</f>
        <v/>
      </c>
      <c r="H828" s="106" t="inlineStr">
        <is>
          <t>Junho/2026</t>
        </is>
      </c>
    </row>
    <row r="829" hidden="1" ht="14.25" customHeight="1" s="64">
      <c r="A829" s="101" t="inlineStr">
        <is>
          <t>RH</t>
        </is>
      </c>
      <c r="B829" s="101" t="inlineStr">
        <is>
          <t>Custo Variável</t>
        </is>
      </c>
      <c r="C829" s="101" t="inlineStr">
        <is>
          <t>Recrutamento e seleção</t>
        </is>
      </c>
      <c r="D829" s="102" t="n"/>
      <c r="E829" s="103" t="n"/>
      <c r="F829" s="104">
        <f>IFERROR(D829*E829,0)</f>
        <v/>
      </c>
      <c r="G829" s="101">
        <f>INDEX(SETORES!$B:$B,MATCH(A829,SETORES!$A:$A,0))</f>
        <v/>
      </c>
      <c r="H829" s="101" t="inlineStr">
        <is>
          <t>Junho/2026</t>
        </is>
      </c>
    </row>
    <row r="830" hidden="1" ht="14.25" customHeight="1" s="64">
      <c r="A830" s="106" t="inlineStr">
        <is>
          <t>RH</t>
        </is>
      </c>
      <c r="B830" s="106" t="inlineStr">
        <is>
          <t>Custo Fixo</t>
        </is>
      </c>
      <c r="C830" s="106" t="inlineStr">
        <is>
          <t>Ações de endomarketing</t>
        </is>
      </c>
      <c r="D830" s="107" t="n"/>
      <c r="E830" s="108" t="n"/>
      <c r="F830" s="109">
        <f>IFERROR(D830*E830,0)</f>
        <v/>
      </c>
      <c r="G830" s="106">
        <f>INDEX(SETORES!$B:$B,MATCH(A830,SETORES!$A:$A,0))</f>
        <v/>
      </c>
      <c r="H830" s="106" t="inlineStr">
        <is>
          <t>Junho/2026</t>
        </is>
      </c>
    </row>
    <row r="831" hidden="1" ht="14.25" customHeight="1" s="64">
      <c r="A831" s="101" t="inlineStr">
        <is>
          <t>RH</t>
        </is>
      </c>
      <c r="B831" s="101" t="inlineStr">
        <is>
          <t>Custo Fixo</t>
        </is>
      </c>
      <c r="C831" s="101" t="inlineStr">
        <is>
          <t>Pesquisa de clima organizacional</t>
        </is>
      </c>
      <c r="D831" s="102" t="n"/>
      <c r="E831" s="103" t="n"/>
      <c r="F831" s="104">
        <f>IFERROR(D831*E831,0)</f>
        <v/>
      </c>
      <c r="G831" s="101">
        <f>INDEX(SETORES!$B:$B,MATCH(A831,SETORES!$A:$A,0))</f>
        <v/>
      </c>
      <c r="H831" s="101" t="inlineStr">
        <is>
          <t>Junho/2026</t>
        </is>
      </c>
    </row>
    <row r="832" hidden="1" ht="14.25" customHeight="1" s="64">
      <c r="A832" s="106" t="inlineStr">
        <is>
          <t>RH</t>
        </is>
      </c>
      <c r="B832" s="106" t="inlineStr">
        <is>
          <t>Custo Fixo</t>
        </is>
      </c>
      <c r="C832" s="106" t="inlineStr">
        <is>
          <t>Licença de e-mail corporativo</t>
        </is>
      </c>
      <c r="D832" s="107" t="n">
        <v>4</v>
      </c>
      <c r="E832" s="108" t="n">
        <v>50</v>
      </c>
      <c r="F832" s="109">
        <f>IFERROR(D832*E832,0)</f>
        <v/>
      </c>
      <c r="G832" s="106">
        <f>INDEX(SETORES!$B:$B,MATCH(A832,SETORES!$A:$A,0))</f>
        <v/>
      </c>
      <c r="H832" s="106" t="inlineStr">
        <is>
          <t>Junho/2026</t>
        </is>
      </c>
    </row>
    <row r="833" hidden="1" ht="14.25" customHeight="1" s="64">
      <c r="A833" s="101" t="inlineStr">
        <is>
          <t>RH</t>
        </is>
      </c>
      <c r="B833" s="101" t="inlineStr">
        <is>
          <t>Custo Fixo</t>
        </is>
      </c>
      <c r="C833" s="101" t="inlineStr">
        <is>
          <t>Impressora</t>
        </is>
      </c>
      <c r="D833" s="102" t="n">
        <v>1</v>
      </c>
      <c r="E833" s="103" t="n">
        <v>4.545456</v>
      </c>
      <c r="F833" s="104">
        <f>IFERROR(D833*E833,0)</f>
        <v/>
      </c>
      <c r="G833" s="101">
        <f>INDEX(SETORES!$B:$B,MATCH(A833,SETORES!$A:$A,0))</f>
        <v/>
      </c>
      <c r="H833" s="101" t="inlineStr">
        <is>
          <t>Junho/2026</t>
        </is>
      </c>
    </row>
    <row r="834" hidden="1" ht="14.25" customHeight="1" s="64">
      <c r="A834" s="106" t="inlineStr">
        <is>
          <t>RH</t>
        </is>
      </c>
      <c r="B834" s="106" t="inlineStr">
        <is>
          <t>Custo Fixo</t>
        </is>
      </c>
      <c r="C834" s="106" t="inlineStr">
        <is>
          <t>Gympass</t>
        </is>
      </c>
      <c r="D834" s="107" t="n">
        <v>4</v>
      </c>
      <c r="E834" s="108" t="n">
        <v>9.85</v>
      </c>
      <c r="F834" s="109">
        <f>IFERROR(D834*E834,0)</f>
        <v/>
      </c>
      <c r="G834" s="106">
        <f>INDEX(SETORES!$B:$B,MATCH(A834,SETORES!$A:$A,0))</f>
        <v/>
      </c>
      <c r="H834" s="106" t="inlineStr">
        <is>
          <t>Junho/2026</t>
        </is>
      </c>
    </row>
    <row r="835" hidden="1" ht="14.25" customHeight="1" s="64">
      <c r="A835" s="101" t="inlineStr">
        <is>
          <t>RH</t>
        </is>
      </c>
      <c r="B835" s="101" t="inlineStr">
        <is>
          <t>Custo Fixo</t>
        </is>
      </c>
      <c r="C835" s="101" t="inlineStr">
        <is>
          <t>Stargrid</t>
        </is>
      </c>
      <c r="D835" s="102" t="n">
        <v>4</v>
      </c>
      <c r="E835" s="103" t="n">
        <v>2.04</v>
      </c>
      <c r="F835" s="104">
        <f>IFERROR(D835*E835,0)</f>
        <v/>
      </c>
      <c r="G835" s="101">
        <f>INDEX(SETORES!$B:$B,MATCH(A835,SETORES!$A:$A,0))</f>
        <v/>
      </c>
      <c r="H835" s="101" t="inlineStr">
        <is>
          <t>Junho/2026</t>
        </is>
      </c>
    </row>
    <row r="836" hidden="1" ht="14.25" customHeight="1" s="64">
      <c r="A836" s="106" t="inlineStr">
        <is>
          <t>Retenção</t>
        </is>
      </c>
      <c r="B836" s="106" t="inlineStr">
        <is>
          <t>Custo Fixo</t>
        </is>
      </c>
      <c r="C836" s="106" t="inlineStr">
        <is>
          <t>Material de escritório (suprimentos de informática)</t>
        </is>
      </c>
      <c r="D836" s="107" t="n">
        <v>14</v>
      </c>
      <c r="E836" s="108" t="n">
        <v>0.2641</v>
      </c>
      <c r="F836" s="109" t="n">
        <v>3.6974</v>
      </c>
      <c r="G836" s="106">
        <f>INDEX(SETORES!$B:$B,MATCH(A836,SETORES!$A:$A,0))</f>
        <v/>
      </c>
      <c r="H836" s="106" t="inlineStr">
        <is>
          <t>Junho/2026</t>
        </is>
      </c>
    </row>
    <row r="837" hidden="1" ht="14.25" customHeight="1" s="64">
      <c r="A837" s="101" t="inlineStr">
        <is>
          <t>Retenção</t>
        </is>
      </c>
      <c r="B837" s="101" t="inlineStr">
        <is>
          <t>Custo Fixo</t>
        </is>
      </c>
      <c r="C837" s="101" t="inlineStr">
        <is>
          <t>Material de uso coletivo (copa/limpeza)</t>
        </is>
      </c>
      <c r="D837" s="102" t="n">
        <v>1</v>
      </c>
      <c r="E837" s="103" t="n">
        <v>861.9340979999999</v>
      </c>
      <c r="F837" s="104" t="n">
        <v>861.9340979999999</v>
      </c>
      <c r="G837" s="101">
        <f>INDEX(SETORES!$B:$B,MATCH(A837,SETORES!$A:$A,0))</f>
        <v/>
      </c>
      <c r="H837" s="101" t="inlineStr">
        <is>
          <t>Junho/2026</t>
        </is>
      </c>
    </row>
    <row r="838" hidden="1" ht="14.25" customHeight="1" s="64">
      <c r="A838" s="106" t="inlineStr">
        <is>
          <t>Retenção</t>
        </is>
      </c>
      <c r="B838" s="106" t="inlineStr">
        <is>
          <t>Custo Fixo</t>
        </is>
      </c>
      <c r="C838" s="106" t="inlineStr">
        <is>
          <t>Energia elétrica (rateio)</t>
        </is>
      </c>
      <c r="D838" s="107" t="n">
        <v>1</v>
      </c>
      <c r="E838" s="108" t="n">
        <v>122.601</v>
      </c>
      <c r="F838" s="109" t="n">
        <v>122.601</v>
      </c>
      <c r="G838" s="106">
        <f>INDEX(SETORES!$B:$B,MATCH(A838,SETORES!$A:$A,0))</f>
        <v/>
      </c>
      <c r="H838" s="106" t="inlineStr">
        <is>
          <t>Junho/2026</t>
        </is>
      </c>
    </row>
    <row r="839" hidden="1" ht="14.25" customHeight="1" s="64">
      <c r="A839" s="101" t="inlineStr">
        <is>
          <t>Retenção</t>
        </is>
      </c>
      <c r="B839" s="101" t="inlineStr">
        <is>
          <t>Custo Fixo</t>
        </is>
      </c>
      <c r="C839" s="101" t="inlineStr">
        <is>
          <t>Água e esgoto (rateio)</t>
        </is>
      </c>
      <c r="D839" s="102" t="n">
        <v>1</v>
      </c>
      <c r="E839" s="103" t="n">
        <v>0.35</v>
      </c>
      <c r="F839" s="104" t="n">
        <v>0.35</v>
      </c>
      <c r="G839" s="101">
        <f>INDEX(SETORES!$B:$B,MATCH(A839,SETORES!$A:$A,0))</f>
        <v/>
      </c>
      <c r="H839" s="101" t="inlineStr">
        <is>
          <t>Junho/2026</t>
        </is>
      </c>
    </row>
    <row r="840" hidden="1" ht="14.25" customHeight="1" s="64">
      <c r="A840" s="106" t="inlineStr">
        <is>
          <t>Retenção</t>
        </is>
      </c>
      <c r="B840" s="106" t="inlineStr">
        <is>
          <t>Custo Fixo</t>
        </is>
      </c>
      <c r="C840" s="106" t="inlineStr">
        <is>
          <t>Telefonia móvel corporativa</t>
        </is>
      </c>
      <c r="D840" s="107" t="n"/>
      <c r="E840" s="108" t="n"/>
      <c r="F840" s="109">
        <f>IFERROR(D840*E840,0)</f>
        <v/>
      </c>
      <c r="G840" s="106">
        <f>INDEX(SETORES!$B:$B,MATCH(A840,SETORES!$A:$A,0))</f>
        <v/>
      </c>
      <c r="H840" s="106" t="inlineStr">
        <is>
          <t>Junho/2026</t>
        </is>
      </c>
    </row>
    <row r="841" hidden="1" ht="14.25" customHeight="1" s="64">
      <c r="A841" s="101" t="inlineStr">
        <is>
          <t>Retenção</t>
        </is>
      </c>
      <c r="B841" s="101" t="inlineStr">
        <is>
          <t>Custo Fixo</t>
        </is>
      </c>
      <c r="C841" s="101" t="inlineStr">
        <is>
          <t>Folha de pagamento (salários)</t>
        </is>
      </c>
      <c r="D841" s="102" t="n">
        <v>1</v>
      </c>
      <c r="E841" s="103" t="n">
        <v>44761.3</v>
      </c>
      <c r="F841" s="104">
        <f>IFERROR(E841,0)</f>
        <v/>
      </c>
      <c r="G841" s="101">
        <f>INDEX(SETORES!$B:$B,MATCH(A841,SETORES!$A:$A,0))</f>
        <v/>
      </c>
      <c r="H841" s="101" t="inlineStr">
        <is>
          <t>Junho/2026</t>
        </is>
      </c>
    </row>
    <row r="842" hidden="1" ht="14.25" customHeight="1" s="64">
      <c r="A842" s="106" t="inlineStr">
        <is>
          <t>Retenção</t>
        </is>
      </c>
      <c r="B842" s="106" t="inlineStr">
        <is>
          <t>Custo Variável</t>
        </is>
      </c>
      <c r="C842" s="106" t="inlineStr">
        <is>
          <t>Fardamento novo</t>
        </is>
      </c>
      <c r="D842" s="107" t="n">
        <v>1</v>
      </c>
      <c r="E842" s="108" t="n">
        <v>496</v>
      </c>
      <c r="F842" s="109">
        <f>IFERROR(D842*E842,0)</f>
        <v/>
      </c>
      <c r="G842" s="106">
        <f>INDEX(SETORES!$B:$B,MATCH(A842,SETORES!$A:$A,0))</f>
        <v/>
      </c>
      <c r="H842" s="106" t="inlineStr">
        <is>
          <t>Junho/2026</t>
        </is>
      </c>
    </row>
    <row r="843" hidden="1" ht="14.25" customHeight="1" s="64">
      <c r="A843" s="101" t="inlineStr">
        <is>
          <t>Retenção</t>
        </is>
      </c>
      <c r="B843" s="101" t="inlineStr">
        <is>
          <t>Custo Variável</t>
        </is>
      </c>
      <c r="C843" s="101" t="inlineStr">
        <is>
          <t>Fardamento substituição</t>
        </is>
      </c>
      <c r="D843" s="102" t="n">
        <v>1</v>
      </c>
      <c r="E843" s="103" t="n">
        <v>65.33</v>
      </c>
      <c r="F843" s="104">
        <f>IFERROR(D843*E843,0)</f>
        <v/>
      </c>
      <c r="G843" s="101">
        <f>INDEX(SETORES!$B:$B,MATCH(A843,SETORES!$A:$A,0))</f>
        <v/>
      </c>
      <c r="H843" s="101" t="inlineStr">
        <is>
          <t>Junho/2026</t>
        </is>
      </c>
    </row>
    <row r="844" hidden="1" ht="14.25" customHeight="1" s="64">
      <c r="A844" s="106" t="inlineStr">
        <is>
          <t>Retenção</t>
        </is>
      </c>
      <c r="B844" s="106" t="inlineStr">
        <is>
          <t>Custo Variável</t>
        </is>
      </c>
      <c r="C844" s="106" t="inlineStr">
        <is>
          <t>Rescisões trabalhistas</t>
        </is>
      </c>
      <c r="D844" s="107" t="n"/>
      <c r="E844" s="108" t="n"/>
      <c r="F844" s="109">
        <f>IFERROR(D844*E844,0)</f>
        <v/>
      </c>
      <c r="G844" s="106">
        <f>INDEX(SETORES!$B:$B,MATCH(A844,SETORES!$A:$A,0))</f>
        <v/>
      </c>
      <c r="H844" s="106" t="inlineStr">
        <is>
          <t>Junho/2026</t>
        </is>
      </c>
    </row>
    <row r="845" hidden="1" ht="14.25" customHeight="1" s="64">
      <c r="A845" s="101" t="inlineStr">
        <is>
          <t>Retenção</t>
        </is>
      </c>
      <c r="B845" s="101" t="inlineStr">
        <is>
          <t>Custo Fixo</t>
        </is>
      </c>
      <c r="C845" s="101" t="inlineStr">
        <is>
          <t>Licença de e-mail corporativo</t>
        </is>
      </c>
      <c r="D845" s="102" t="n">
        <v>11</v>
      </c>
      <c r="E845" s="103" t="n">
        <v>50</v>
      </c>
      <c r="F845" s="104">
        <f>IFERROR(D845*E845,0)</f>
        <v/>
      </c>
      <c r="G845" s="101">
        <f>INDEX(SETORES!$B:$B,MATCH(A845,SETORES!$A:$A,0))</f>
        <v/>
      </c>
      <c r="H845" s="101" t="inlineStr">
        <is>
          <t>Junho/2026</t>
        </is>
      </c>
    </row>
    <row r="846" hidden="1" ht="14.25" customHeight="1" s="64">
      <c r="A846" s="106" t="inlineStr">
        <is>
          <t>Retenção</t>
        </is>
      </c>
      <c r="B846" s="106" t="inlineStr">
        <is>
          <t>Custo Fixo</t>
        </is>
      </c>
      <c r="C846" s="106" t="inlineStr">
        <is>
          <t>Software MATRIX (rateio equipe Relacionamento)</t>
        </is>
      </c>
      <c r="D846" s="107" t="n">
        <v>1</v>
      </c>
      <c r="E846" s="108" t="n">
        <v>774.799018</v>
      </c>
      <c r="F846" s="109">
        <f>IFERROR(D846*E846,0)</f>
        <v/>
      </c>
      <c r="G846" s="106">
        <f>INDEX(SETORES!$B:$B,MATCH(A846,SETORES!$A:$A,0))</f>
        <v/>
      </c>
      <c r="H846" s="106" t="inlineStr">
        <is>
          <t>Junho/2026</t>
        </is>
      </c>
    </row>
    <row r="847" hidden="1" ht="14.25" customHeight="1" s="64">
      <c r="A847" s="101" t="inlineStr">
        <is>
          <t>Retenção</t>
        </is>
      </c>
      <c r="B847" s="101" t="inlineStr">
        <is>
          <t>Custo Fixo</t>
        </is>
      </c>
      <c r="C847" s="101" t="inlineStr">
        <is>
          <t>Impressora (rateio equipe Relacionamento)</t>
        </is>
      </c>
      <c r="D847" s="102" t="n">
        <v>1</v>
      </c>
      <c r="E847" s="103" t="n">
        <v>2.937704</v>
      </c>
      <c r="F847" s="104">
        <f>IFERROR(D847*E847,0)</f>
        <v/>
      </c>
      <c r="G847" s="101">
        <f>INDEX(SETORES!$B:$B,MATCH(A847,SETORES!$A:$A,0))</f>
        <v/>
      </c>
      <c r="H847" s="101" t="inlineStr">
        <is>
          <t>Junho/2026</t>
        </is>
      </c>
    </row>
    <row r="848" hidden="1" ht="14.25" customHeight="1" s="64">
      <c r="A848" s="106" t="inlineStr">
        <is>
          <t>Retenção</t>
        </is>
      </c>
      <c r="B848" s="106" t="inlineStr">
        <is>
          <t>Custo Fixo</t>
        </is>
      </c>
      <c r="C848" s="106" t="inlineStr">
        <is>
          <t>Gympass</t>
        </is>
      </c>
      <c r="D848" s="107" t="n">
        <v>14</v>
      </c>
      <c r="E848" s="108" t="n">
        <v>9.85</v>
      </c>
      <c r="F848" s="109">
        <f>IFERROR(D848*E848,0)</f>
        <v/>
      </c>
      <c r="G848" s="106">
        <f>INDEX(SETORES!$B:$B,MATCH(A848,SETORES!$A:$A,0))</f>
        <v/>
      </c>
      <c r="H848" s="106" t="inlineStr">
        <is>
          <t>Junho/2026</t>
        </is>
      </c>
    </row>
    <row r="849" hidden="1" ht="14.25" customHeight="1" s="64">
      <c r="A849" s="101" t="inlineStr">
        <is>
          <t>Retenção</t>
        </is>
      </c>
      <c r="B849" s="101" t="inlineStr">
        <is>
          <t>Custo Fixo</t>
        </is>
      </c>
      <c r="C849" s="101" t="inlineStr">
        <is>
          <t>Stargrid</t>
        </is>
      </c>
      <c r="D849" s="102" t="n">
        <v>14</v>
      </c>
      <c r="E849" s="103" t="n">
        <v>2.04</v>
      </c>
      <c r="F849" s="104">
        <f>IFERROR(D849*E849,0)</f>
        <v/>
      </c>
      <c r="G849" s="101">
        <f>INDEX(SETORES!$B:$B,MATCH(A849,SETORES!$A:$A,0))</f>
        <v/>
      </c>
      <c r="H849" s="101" t="inlineStr">
        <is>
          <t>Junho/2026</t>
        </is>
      </c>
    </row>
    <row r="850" hidden="1" ht="14.25" customHeight="1" s="64">
      <c r="A850" s="106" t="inlineStr">
        <is>
          <t>Segurança do Trabalho</t>
        </is>
      </c>
      <c r="B850" s="106" t="inlineStr">
        <is>
          <t>Custo Fixo</t>
        </is>
      </c>
      <c r="C850" s="106" t="inlineStr">
        <is>
          <t>Material de escritório (suprimentos de informática)</t>
        </is>
      </c>
      <c r="D850" s="107" t="n"/>
      <c r="E850" s="108" t="n"/>
      <c r="F850" s="109" t="n">
        <v>0</v>
      </c>
      <c r="G850" s="106">
        <f>INDEX(SETORES!$B:$B,MATCH(A850,SETORES!$A:$A,0))</f>
        <v/>
      </c>
      <c r="H850" s="106" t="inlineStr">
        <is>
          <t>Junho/2026</t>
        </is>
      </c>
    </row>
    <row r="851" hidden="1" ht="14.25" customHeight="1" s="64">
      <c r="A851" s="101" t="inlineStr">
        <is>
          <t>Segurança do Trabalho</t>
        </is>
      </c>
      <c r="B851" s="101" t="inlineStr">
        <is>
          <t>Custo Fixo</t>
        </is>
      </c>
      <c r="C851" s="101" t="inlineStr">
        <is>
          <t>Material de uso coletivo (copa/limpeza)</t>
        </is>
      </c>
      <c r="D851" s="102" t="n"/>
      <c r="E851" s="103" t="n"/>
      <c r="F851" s="104" t="n">
        <v>0</v>
      </c>
      <c r="G851" s="101">
        <f>INDEX(SETORES!$B:$B,MATCH(A851,SETORES!$A:$A,0))</f>
        <v/>
      </c>
      <c r="H851" s="101" t="inlineStr">
        <is>
          <t>Junho/2026</t>
        </is>
      </c>
    </row>
    <row r="852" hidden="1" ht="14.25" customHeight="1" s="64">
      <c r="A852" s="106" t="inlineStr">
        <is>
          <t>Segurança do Trabalho</t>
        </is>
      </c>
      <c r="B852" s="106" t="inlineStr">
        <is>
          <t>Custo Fixo</t>
        </is>
      </c>
      <c r="C852" s="106" t="inlineStr">
        <is>
          <t>Energia elétrica (rateio)</t>
        </is>
      </c>
      <c r="D852" s="107" t="n">
        <v>6</v>
      </c>
      <c r="E852" s="108" t="n">
        <v>23.6877</v>
      </c>
      <c r="F852" s="109" t="n">
        <v>142.1262</v>
      </c>
      <c r="G852" s="106">
        <f>INDEX(SETORES!$B:$B,MATCH(A852,SETORES!$A:$A,0))</f>
        <v/>
      </c>
      <c r="H852" s="106" t="inlineStr">
        <is>
          <t>Junho/2026</t>
        </is>
      </c>
    </row>
    <row r="853" hidden="1" ht="14.25" customHeight="1" s="64">
      <c r="A853" s="101" t="inlineStr">
        <is>
          <t>Segurança do Trabalho</t>
        </is>
      </c>
      <c r="B853" s="101" t="inlineStr">
        <is>
          <t>Custo Fixo</t>
        </is>
      </c>
      <c r="C853" s="101" t="inlineStr">
        <is>
          <t>Telefonia móvel corporativa</t>
        </is>
      </c>
      <c r="D853" s="102" t="n"/>
      <c r="E853" s="103" t="n"/>
      <c r="F853" s="104">
        <f>IFERROR(D853*E853,0)</f>
        <v/>
      </c>
      <c r="G853" s="101">
        <f>INDEX(SETORES!$B:$B,MATCH(A853,SETORES!$A:$A,0))</f>
        <v/>
      </c>
      <c r="H853" s="101" t="inlineStr">
        <is>
          <t>Junho/2026</t>
        </is>
      </c>
    </row>
    <row r="854" hidden="1" ht="14.25" customHeight="1" s="64">
      <c r="A854" s="106" t="inlineStr">
        <is>
          <t>Segurança do Trabalho</t>
        </is>
      </c>
      <c r="B854" s="106" t="inlineStr">
        <is>
          <t>Custo Fixo</t>
        </is>
      </c>
      <c r="C854" s="106" t="inlineStr">
        <is>
          <t>Folha de pagamento (salários)</t>
        </is>
      </c>
      <c r="D854" s="107" t="n">
        <v>1</v>
      </c>
      <c r="E854" s="108" t="n">
        <v>37889.97</v>
      </c>
      <c r="F854" s="109">
        <f>IFERROR(E854,0)</f>
        <v/>
      </c>
      <c r="G854" s="106">
        <f>INDEX(SETORES!$B:$B,MATCH(A854,SETORES!$A:$A,0))</f>
        <v/>
      </c>
      <c r="H854" s="106" t="inlineStr">
        <is>
          <t>Junho/2026</t>
        </is>
      </c>
    </row>
    <row r="855" hidden="1" ht="14.25" customHeight="1" s="64">
      <c r="A855" s="101" t="inlineStr">
        <is>
          <t>Segurança do Trabalho</t>
        </is>
      </c>
      <c r="B855" s="101" t="inlineStr">
        <is>
          <t>Custo Variável</t>
        </is>
      </c>
      <c r="C855" s="101" t="inlineStr">
        <is>
          <t>EPIs - Equipamento de Proteção Individual</t>
        </is>
      </c>
      <c r="D855" s="102" t="n"/>
      <c r="E855" s="103" t="n"/>
      <c r="F855" s="104">
        <f>IFERROR(D855*E855,0)</f>
        <v/>
      </c>
      <c r="G855" s="101">
        <f>INDEX(SETORES!$B:$B,MATCH(A855,SETORES!$A:$A,0))</f>
        <v/>
      </c>
      <c r="H855" s="101" t="inlineStr">
        <is>
          <t>Junho/2026</t>
        </is>
      </c>
    </row>
    <row r="856" hidden="1" ht="14.25" customHeight="1" s="64">
      <c r="A856" s="106" t="inlineStr">
        <is>
          <t>Segurança do Trabalho</t>
        </is>
      </c>
      <c r="B856" s="106" t="inlineStr">
        <is>
          <t>Custo Variável</t>
        </is>
      </c>
      <c r="C856" s="106" t="inlineStr">
        <is>
          <t>Exames médicos</t>
        </is>
      </c>
      <c r="D856" s="107" t="n"/>
      <c r="E856" s="108" t="n"/>
      <c r="F856" s="109" t="n">
        <v>0</v>
      </c>
      <c r="G856" s="106">
        <f>INDEX(SETORES!$B:$B,MATCH(A856,SETORES!$A:$A,0))</f>
        <v/>
      </c>
      <c r="H856" s="106" t="inlineStr">
        <is>
          <t>Junho/2026</t>
        </is>
      </c>
    </row>
    <row r="857" hidden="1" ht="14.25" customHeight="1" s="64">
      <c r="A857" s="101" t="inlineStr">
        <is>
          <t>Segurança do Trabalho</t>
        </is>
      </c>
      <c r="B857" s="101" t="inlineStr">
        <is>
          <t>Custo Variável</t>
        </is>
      </c>
      <c r="C857" s="101" t="inlineStr">
        <is>
          <t>Fardamento novo</t>
        </is>
      </c>
      <c r="D857" s="102" t="n">
        <v>1</v>
      </c>
      <c r="E857" s="103" t="n">
        <v>328</v>
      </c>
      <c r="F857" s="104">
        <f>IFERROR(D857*E857,0)</f>
        <v/>
      </c>
      <c r="G857" s="101">
        <f>INDEX(SETORES!$B:$B,MATCH(A857,SETORES!$A:$A,0))</f>
        <v/>
      </c>
      <c r="H857" s="101" t="inlineStr">
        <is>
          <t>Junho/2026</t>
        </is>
      </c>
    </row>
    <row r="858" hidden="1" ht="14.25" customHeight="1" s="64">
      <c r="A858" s="106" t="inlineStr">
        <is>
          <t>Segurança do Trabalho</t>
        </is>
      </c>
      <c r="B858" s="106" t="inlineStr">
        <is>
          <t>Custo Variável</t>
        </is>
      </c>
      <c r="C858" s="106" t="inlineStr">
        <is>
          <t>Fardamento substituição</t>
        </is>
      </c>
      <c r="D858" s="107" t="n"/>
      <c r="E858" s="108" t="n"/>
      <c r="F858" s="109">
        <f>IFERROR(D858*E858,0)</f>
        <v/>
      </c>
      <c r="G858" s="106">
        <f>INDEX(SETORES!$B:$B,MATCH(A858,SETORES!$A:$A,0))</f>
        <v/>
      </c>
      <c r="H858" s="106" t="inlineStr">
        <is>
          <t>Junho/2026</t>
        </is>
      </c>
    </row>
    <row r="859" hidden="1" ht="14.25" customHeight="1" s="64">
      <c r="A859" s="101" t="inlineStr">
        <is>
          <t>Segurança do Trabalho</t>
        </is>
      </c>
      <c r="B859" s="101" t="inlineStr">
        <is>
          <t>Custo Variável</t>
        </is>
      </c>
      <c r="C859" s="101" t="inlineStr">
        <is>
          <t>Rateio de transporte coletivo</t>
        </is>
      </c>
      <c r="D859" s="102" t="n">
        <v>6</v>
      </c>
      <c r="E859" s="103" t="n">
        <v>85.70999999999999</v>
      </c>
      <c r="F859" s="104">
        <f>IFERROR(D859*E859,0)</f>
        <v/>
      </c>
      <c r="G859" s="101">
        <f>INDEX(SETORES!$B:$B,MATCH(A859,SETORES!$A:$A,0))</f>
        <v/>
      </c>
      <c r="H859" s="101" t="inlineStr">
        <is>
          <t>Junho/2026</t>
        </is>
      </c>
    </row>
    <row r="860" hidden="1" ht="14.25" customHeight="1" s="64">
      <c r="A860" s="106" t="inlineStr">
        <is>
          <t>Segurança do Trabalho</t>
        </is>
      </c>
      <c r="B860" s="106" t="inlineStr">
        <is>
          <t>Custo Variável</t>
        </is>
      </c>
      <c r="C860" s="106" t="inlineStr">
        <is>
          <t>Médico do trabalho</t>
        </is>
      </c>
      <c r="D860" s="107" t="n">
        <v>1</v>
      </c>
      <c r="E860" s="108" t="n">
        <v>7689.5</v>
      </c>
      <c r="F860" s="109">
        <f>IFERROR(D860*E860,0)</f>
        <v/>
      </c>
      <c r="G860" s="106">
        <f>INDEX(SETORES!$B:$B,MATCH(A860,SETORES!$A:$A,0))</f>
        <v/>
      </c>
      <c r="H860" s="106" t="inlineStr">
        <is>
          <t>Junho/2026</t>
        </is>
      </c>
    </row>
    <row r="861" hidden="1" ht="14.25" customHeight="1" s="64">
      <c r="A861" s="101" t="inlineStr">
        <is>
          <t>Segurança do Trabalho</t>
        </is>
      </c>
      <c r="B861" s="101" t="inlineStr">
        <is>
          <t>Custo Fixo</t>
        </is>
      </c>
      <c r="C861" s="101" t="inlineStr">
        <is>
          <t>Licença de e-mail corporativo</t>
        </is>
      </c>
      <c r="D861" s="102" t="n">
        <v>9</v>
      </c>
      <c r="E861" s="103" t="n">
        <v>50</v>
      </c>
      <c r="F861" s="104">
        <f>IFERROR(D861*E861,0)</f>
        <v/>
      </c>
      <c r="G861" s="101">
        <f>INDEX(SETORES!$B:$B,MATCH(A861,SETORES!$A:$A,0))</f>
        <v/>
      </c>
      <c r="H861" s="101" t="inlineStr">
        <is>
          <t>Junho/2026</t>
        </is>
      </c>
    </row>
    <row r="862" hidden="1" ht="14.25" customHeight="1" s="64">
      <c r="A862" s="106" t="inlineStr">
        <is>
          <t>Segurança do Trabalho</t>
        </is>
      </c>
      <c r="B862" s="106" t="inlineStr">
        <is>
          <t>Custo Variável</t>
        </is>
      </c>
      <c r="C862" s="106" t="inlineStr">
        <is>
          <t>Combustível de frota</t>
        </is>
      </c>
      <c r="D862" s="107" t="n">
        <v>1</v>
      </c>
      <c r="E862" s="108" t="n">
        <v>3191.63</v>
      </c>
      <c r="F862" s="109" t="n">
        <v>3191.63</v>
      </c>
      <c r="G862" s="106">
        <f>INDEX(SETORES!$B:$B,MATCH(A862,SETORES!$A:$A,0))</f>
        <v/>
      </c>
      <c r="H862" s="106" t="inlineStr">
        <is>
          <t>Junho/2026</t>
        </is>
      </c>
    </row>
    <row r="863" hidden="1" ht="14.25" customHeight="1" s="64">
      <c r="A863" s="101" t="inlineStr">
        <is>
          <t>Segurança do Trabalho</t>
        </is>
      </c>
      <c r="B863" s="101" t="inlineStr">
        <is>
          <t>Custo Fixo</t>
        </is>
      </c>
      <c r="C863" s="101" t="inlineStr">
        <is>
          <t>Impressora</t>
        </is>
      </c>
      <c r="D863" s="102" t="n">
        <v>1</v>
      </c>
      <c r="E863" s="103" t="n">
        <v>76.79000000000001</v>
      </c>
      <c r="F863" s="104">
        <f>IFERROR(D863*E863,0)</f>
        <v/>
      </c>
      <c r="G863" s="101">
        <f>INDEX(SETORES!$B:$B,MATCH(A863,SETORES!$A:$A,0))</f>
        <v/>
      </c>
      <c r="H863" s="101" t="inlineStr">
        <is>
          <t>Junho/2026</t>
        </is>
      </c>
    </row>
    <row r="864" hidden="1" ht="14.25" customHeight="1" s="64">
      <c r="A864" s="106" t="inlineStr">
        <is>
          <t>Segurança do Trabalho</t>
        </is>
      </c>
      <c r="B864" s="106" t="inlineStr">
        <is>
          <t>Custo Fixo</t>
        </is>
      </c>
      <c r="C864" s="106" t="inlineStr">
        <is>
          <t>Gympass</t>
        </is>
      </c>
      <c r="D864" s="107" t="n">
        <v>6</v>
      </c>
      <c r="E864" s="108" t="n">
        <v>9.85</v>
      </c>
      <c r="F864" s="109">
        <f>IFERROR(D864*E864,0)</f>
        <v/>
      </c>
      <c r="G864" s="106">
        <f>INDEX(SETORES!$B:$B,MATCH(A864,SETORES!$A:$A,0))</f>
        <v/>
      </c>
      <c r="H864" s="106" t="inlineStr">
        <is>
          <t>Junho/2026</t>
        </is>
      </c>
    </row>
    <row r="865" hidden="1" ht="14.25" customHeight="1" s="64">
      <c r="A865" s="101" t="inlineStr">
        <is>
          <t>Segurança do Trabalho</t>
        </is>
      </c>
      <c r="B865" s="101" t="inlineStr">
        <is>
          <t>Custo Fixo</t>
        </is>
      </c>
      <c r="C865" s="101" t="inlineStr">
        <is>
          <t>Stargrid</t>
        </is>
      </c>
      <c r="D865" s="102" t="n">
        <v>6</v>
      </c>
      <c r="E865" s="103" t="n">
        <v>2.04</v>
      </c>
      <c r="F865" s="104">
        <f>IFERROR(D865*E865,0)</f>
        <v/>
      </c>
      <c r="G865" s="101">
        <f>INDEX(SETORES!$B:$B,MATCH(A865,SETORES!$A:$A,0))</f>
        <v/>
      </c>
      <c r="H865" s="101" t="inlineStr">
        <is>
          <t>Junho/2026</t>
        </is>
      </c>
    </row>
    <row r="866" hidden="1" ht="14.25" customHeight="1" s="64">
      <c r="A866" s="106" t="inlineStr">
        <is>
          <t>Suporte Orbix</t>
        </is>
      </c>
      <c r="B866" s="106" t="inlineStr">
        <is>
          <t>Custo Fixo</t>
        </is>
      </c>
      <c r="C866" s="106" t="inlineStr">
        <is>
          <t>Material de escritório (suprimentos de informática)</t>
        </is>
      </c>
      <c r="D866" s="107" t="n">
        <v>8</v>
      </c>
      <c r="E866" s="108" t="n">
        <v>0.2641</v>
      </c>
      <c r="F866" s="109" t="n">
        <v>2.1128</v>
      </c>
      <c r="G866" s="106">
        <f>INDEX(SETORES!$B:$B,MATCH(A866,SETORES!$A:$A,0))</f>
        <v/>
      </c>
      <c r="H866" s="106" t="inlineStr">
        <is>
          <t>Junho/2026</t>
        </is>
      </c>
    </row>
    <row r="867" hidden="1" ht="14.25" customHeight="1" s="64">
      <c r="A867" s="101" t="inlineStr">
        <is>
          <t>Suporte Orbix</t>
        </is>
      </c>
      <c r="B867" s="101" t="inlineStr">
        <is>
          <t>Custo Fixo</t>
        </is>
      </c>
      <c r="C867" s="101" t="inlineStr">
        <is>
          <t>Material de uso coletivo (copa/limpeza)</t>
        </is>
      </c>
      <c r="D867" s="102" t="n">
        <v>1</v>
      </c>
      <c r="E867" s="103" t="n">
        <v>492.53377</v>
      </c>
      <c r="F867" s="104" t="n">
        <v>492.53377</v>
      </c>
      <c r="G867" s="101">
        <f>INDEX(SETORES!$B:$B,MATCH(A867,SETORES!$A:$A,0))</f>
        <v/>
      </c>
      <c r="H867" s="101" t="inlineStr">
        <is>
          <t>Junho/2026</t>
        </is>
      </c>
    </row>
    <row r="868" hidden="1" ht="14.25" customHeight="1" s="64">
      <c r="A868" s="106" t="inlineStr">
        <is>
          <t>Suporte Orbix</t>
        </is>
      </c>
      <c r="B868" s="106" t="inlineStr">
        <is>
          <t>Custo Fixo</t>
        </is>
      </c>
      <c r="C868" s="106" t="inlineStr">
        <is>
          <t>Energia elétrica (rateio)</t>
        </is>
      </c>
      <c r="D868" s="107" t="n">
        <v>1</v>
      </c>
      <c r="E868" s="108" t="n">
        <v>70.0577</v>
      </c>
      <c r="F868" s="109" t="n">
        <v>70.0577</v>
      </c>
      <c r="G868" s="106">
        <f>INDEX(SETORES!$B:$B,MATCH(A868,SETORES!$A:$A,0))</f>
        <v/>
      </c>
      <c r="H868" s="106" t="inlineStr">
        <is>
          <t>Junho/2026</t>
        </is>
      </c>
    </row>
    <row r="869" hidden="1" ht="14.25" customHeight="1" s="64">
      <c r="A869" s="101" t="inlineStr">
        <is>
          <t>Suporte Orbix</t>
        </is>
      </c>
      <c r="B869" s="101" t="inlineStr">
        <is>
          <t>Custo Fixo</t>
        </is>
      </c>
      <c r="C869" s="101" t="inlineStr">
        <is>
          <t>Água e esgoto (rateio)</t>
        </is>
      </c>
      <c r="D869" s="102" t="n">
        <v>1</v>
      </c>
      <c r="E869" s="103" t="n">
        <v>0.2</v>
      </c>
      <c r="F869" s="104" t="n">
        <v>0.2</v>
      </c>
      <c r="G869" s="101">
        <f>INDEX(SETORES!$B:$B,MATCH(A869,SETORES!$A:$A,0))</f>
        <v/>
      </c>
      <c r="H869" s="101" t="inlineStr">
        <is>
          <t>Junho/2026</t>
        </is>
      </c>
    </row>
    <row r="870" hidden="1" ht="14.25" customHeight="1" s="64">
      <c r="A870" s="106" t="inlineStr">
        <is>
          <t>Suporte Orbix</t>
        </is>
      </c>
      <c r="B870" s="106" t="inlineStr">
        <is>
          <t>Custo Fixo</t>
        </is>
      </c>
      <c r="C870" s="106" t="inlineStr">
        <is>
          <t>Telefonia móvel corporativa</t>
        </is>
      </c>
      <c r="D870" s="107" t="n"/>
      <c r="E870" s="108" t="n"/>
      <c r="F870" s="109">
        <f>IFERROR(D870*E870,0)</f>
        <v/>
      </c>
      <c r="G870" s="106">
        <f>INDEX(SETORES!$B:$B,MATCH(A870,SETORES!$A:$A,0))</f>
        <v/>
      </c>
      <c r="H870" s="106" t="inlineStr">
        <is>
          <t>Junho/2026</t>
        </is>
      </c>
    </row>
    <row r="871" hidden="1" ht="14.25" customHeight="1" s="64">
      <c r="A871" s="101" t="inlineStr">
        <is>
          <t>Suporte Orbix</t>
        </is>
      </c>
      <c r="B871" s="101" t="inlineStr">
        <is>
          <t>Custo Fixo</t>
        </is>
      </c>
      <c r="C871" s="101" t="inlineStr">
        <is>
          <t>Folha de pagamento (salários)</t>
        </is>
      </c>
      <c r="D871" s="102" t="n">
        <v>1</v>
      </c>
      <c r="E871" s="103" t="n">
        <v>31846.16</v>
      </c>
      <c r="F871" s="104">
        <f>IFERROR(E871,0)</f>
        <v/>
      </c>
      <c r="G871" s="101">
        <f>INDEX(SETORES!$B:$B,MATCH(A871,SETORES!$A:$A,0))</f>
        <v/>
      </c>
      <c r="H871" s="101" t="inlineStr">
        <is>
          <t>Junho/2026</t>
        </is>
      </c>
    </row>
    <row r="872" hidden="1" ht="14.25" customHeight="1" s="64">
      <c r="A872" s="106" t="inlineStr">
        <is>
          <t>Suporte Orbix</t>
        </is>
      </c>
      <c r="B872" s="106" t="inlineStr">
        <is>
          <t>Custo Fixo</t>
        </is>
      </c>
      <c r="C872" s="106" t="inlineStr">
        <is>
          <t>Licença de e-mail corporativo</t>
        </is>
      </c>
      <c r="D872" s="107" t="n">
        <v>8</v>
      </c>
      <c r="E872" s="108" t="n">
        <v>50</v>
      </c>
      <c r="F872" s="109">
        <f>IFERROR(D872*E872,0)</f>
        <v/>
      </c>
      <c r="G872" s="106">
        <f>INDEX(SETORES!$B:$B,MATCH(A872,SETORES!$A:$A,0))</f>
        <v/>
      </c>
      <c r="H872" s="106" t="inlineStr">
        <is>
          <t>Junho/2026</t>
        </is>
      </c>
    </row>
    <row r="873" hidden="1" ht="14.25" customHeight="1" s="64">
      <c r="A873" s="101" t="inlineStr">
        <is>
          <t>Suporte Orbix</t>
        </is>
      </c>
      <c r="B873" s="101" t="inlineStr">
        <is>
          <t>Custo Fixo</t>
        </is>
      </c>
      <c r="C873" s="101" t="inlineStr">
        <is>
          <t>Software MATRIX (rateio equipe Relacionamento)</t>
        </is>
      </c>
      <c r="D873" s="102" t="n">
        <v>1</v>
      </c>
      <c r="E873" s="103" t="n">
        <v>442.742296</v>
      </c>
      <c r="F873" s="104">
        <f>IFERROR(D873*E873,0)</f>
        <v/>
      </c>
      <c r="G873" s="101">
        <f>INDEX(SETORES!$B:$B,MATCH(A873,SETORES!$A:$A,0))</f>
        <v/>
      </c>
      <c r="H873" s="101" t="inlineStr">
        <is>
          <t>Junho/2026</t>
        </is>
      </c>
    </row>
    <row r="874" hidden="1" ht="14.25" customHeight="1" s="64">
      <c r="A874" s="106" t="inlineStr">
        <is>
          <t>Suporte Orbix</t>
        </is>
      </c>
      <c r="B874" s="106" t="inlineStr">
        <is>
          <t>Custo Fixo</t>
        </is>
      </c>
      <c r="C874" s="106" t="inlineStr">
        <is>
          <t>Impressora (rateio equipe Relacionamento)</t>
        </is>
      </c>
      <c r="D874" s="107" t="n">
        <v>1</v>
      </c>
      <c r="E874" s="108" t="n">
        <v>1.678688</v>
      </c>
      <c r="F874" s="109">
        <f>IFERROR(D874*E874,0)</f>
        <v/>
      </c>
      <c r="G874" s="106">
        <f>INDEX(SETORES!$B:$B,MATCH(A874,SETORES!$A:$A,0))</f>
        <v/>
      </c>
      <c r="H874" s="106" t="inlineStr">
        <is>
          <t>Junho/2026</t>
        </is>
      </c>
    </row>
    <row r="875" hidden="1" ht="14.25" customHeight="1" s="64">
      <c r="A875" s="101" t="inlineStr">
        <is>
          <t>Suporte Orbix</t>
        </is>
      </c>
      <c r="B875" s="101" t="inlineStr">
        <is>
          <t>Custo Fixo</t>
        </is>
      </c>
      <c r="C875" s="101" t="inlineStr">
        <is>
          <t>Gympass</t>
        </is>
      </c>
      <c r="D875" s="102" t="n">
        <v>8</v>
      </c>
      <c r="E875" s="103" t="n">
        <v>9.85</v>
      </c>
      <c r="F875" s="104">
        <f>IFERROR(D875*E875,0)</f>
        <v/>
      </c>
      <c r="G875" s="101">
        <f>INDEX(SETORES!$B:$B,MATCH(A875,SETORES!$A:$A,0))</f>
        <v/>
      </c>
      <c r="H875" s="101" t="inlineStr">
        <is>
          <t>Junho/2026</t>
        </is>
      </c>
    </row>
    <row r="876" hidden="1" ht="14.25" customHeight="1" s="64">
      <c r="A876" s="106" t="inlineStr">
        <is>
          <t>Suporte Orbix</t>
        </is>
      </c>
      <c r="B876" s="106" t="inlineStr">
        <is>
          <t>Custo Fixo</t>
        </is>
      </c>
      <c r="C876" s="106" t="inlineStr">
        <is>
          <t>Stargrid</t>
        </is>
      </c>
      <c r="D876" s="107" t="n">
        <v>8</v>
      </c>
      <c r="E876" s="108" t="n">
        <v>2.04</v>
      </c>
      <c r="F876" s="109">
        <f>IFERROR(D876*E876,0)</f>
        <v/>
      </c>
      <c r="G876" s="106">
        <f>INDEX(SETORES!$B:$B,MATCH(A876,SETORES!$A:$A,0))</f>
        <v/>
      </c>
      <c r="H876" s="106" t="inlineStr">
        <is>
          <t>Junho/2026</t>
        </is>
      </c>
    </row>
    <row r="877" hidden="1" ht="14.25" customHeight="1" s="64">
      <c r="A877" s="101" t="inlineStr">
        <is>
          <t>Suporte da Central</t>
        </is>
      </c>
      <c r="B877" s="101" t="inlineStr">
        <is>
          <t>Custo Fixo</t>
        </is>
      </c>
      <c r="C877" s="101" t="inlineStr">
        <is>
          <t>Material de escritório (suprimentos de informática)</t>
        </is>
      </c>
      <c r="D877" s="102" t="n">
        <v>32</v>
      </c>
      <c r="E877" s="103" t="n">
        <v>0.2641</v>
      </c>
      <c r="F877" s="104" t="n">
        <v>8.4512</v>
      </c>
      <c r="G877" s="101">
        <f>INDEX(SETORES!$B:$B,MATCH(A877,SETORES!$A:$A,0))</f>
        <v/>
      </c>
      <c r="H877" s="101" t="inlineStr">
        <is>
          <t>Junho/2026</t>
        </is>
      </c>
    </row>
    <row r="878" hidden="1" ht="14.25" customHeight="1" s="64">
      <c r="A878" s="106" t="inlineStr">
        <is>
          <t>Suporte da Central</t>
        </is>
      </c>
      <c r="B878" s="106" t="inlineStr">
        <is>
          <t>Custo Fixo</t>
        </is>
      </c>
      <c r="C878" s="106" t="inlineStr">
        <is>
          <t>Material de uso coletivo (copa/limpeza)</t>
        </is>
      </c>
      <c r="D878" s="107" t="n">
        <v>1</v>
      </c>
      <c r="E878" s="108" t="n">
        <v>1970.135082</v>
      </c>
      <c r="F878" s="109" t="n">
        <v>1970.135082</v>
      </c>
      <c r="G878" s="106">
        <f>INDEX(SETORES!$B:$B,MATCH(A878,SETORES!$A:$A,0))</f>
        <v/>
      </c>
      <c r="H878" s="106" t="inlineStr">
        <is>
          <t>Junho/2026</t>
        </is>
      </c>
    </row>
    <row r="879" hidden="1" ht="14.25" customHeight="1" s="64">
      <c r="A879" s="101" t="inlineStr">
        <is>
          <t>Suporte da Central</t>
        </is>
      </c>
      <c r="B879" s="101" t="inlineStr">
        <is>
          <t>Custo Fixo</t>
        </is>
      </c>
      <c r="C879" s="101" t="inlineStr">
        <is>
          <t>Energia elétrica (rateio)</t>
        </is>
      </c>
      <c r="D879" s="102" t="n">
        <v>1</v>
      </c>
      <c r="E879" s="103" t="n">
        <v>280.2309</v>
      </c>
      <c r="F879" s="104" t="n">
        <v>280.2309</v>
      </c>
      <c r="G879" s="101">
        <f>INDEX(SETORES!$B:$B,MATCH(A879,SETORES!$A:$A,0))</f>
        <v/>
      </c>
      <c r="H879" s="101" t="inlineStr">
        <is>
          <t>Junho/2026</t>
        </is>
      </c>
    </row>
    <row r="880" hidden="1" ht="14.25" customHeight="1" s="64">
      <c r="A880" s="106" t="inlineStr">
        <is>
          <t>Suporte da Central</t>
        </is>
      </c>
      <c r="B880" s="106" t="inlineStr">
        <is>
          <t>Custo Fixo</t>
        </is>
      </c>
      <c r="C880" s="106" t="inlineStr">
        <is>
          <t>Água e esgoto (rateio)</t>
        </is>
      </c>
      <c r="D880" s="107" t="n">
        <v>1</v>
      </c>
      <c r="E880" s="108" t="n">
        <v>0.8</v>
      </c>
      <c r="F880" s="109" t="n">
        <v>0.8</v>
      </c>
      <c r="G880" s="106">
        <f>INDEX(SETORES!$B:$B,MATCH(A880,SETORES!$A:$A,0))</f>
        <v/>
      </c>
      <c r="H880" s="106" t="inlineStr">
        <is>
          <t>Junho/2026</t>
        </is>
      </c>
    </row>
    <row r="881" hidden="1" ht="14.25" customHeight="1" s="64">
      <c r="A881" s="101" t="inlineStr">
        <is>
          <t>Suporte da Central</t>
        </is>
      </c>
      <c r="B881" s="101" t="inlineStr">
        <is>
          <t>Custo Fixo</t>
        </is>
      </c>
      <c r="C881" s="101" t="inlineStr">
        <is>
          <t>Telefonia móvel corporativa</t>
        </is>
      </c>
      <c r="D881" s="102" t="n"/>
      <c r="E881" s="103" t="n"/>
      <c r="F881" s="104">
        <f>IFERROR(D881*E881,0)</f>
        <v/>
      </c>
      <c r="G881" s="101">
        <f>INDEX(SETORES!$B:$B,MATCH(A881,SETORES!$A:$A,0))</f>
        <v/>
      </c>
      <c r="H881" s="101" t="inlineStr">
        <is>
          <t>Junho/2026</t>
        </is>
      </c>
    </row>
    <row r="882" hidden="1" ht="14.25" customHeight="1" s="64">
      <c r="A882" s="106" t="inlineStr">
        <is>
          <t>Suporte da Central</t>
        </is>
      </c>
      <c r="B882" s="106" t="inlineStr">
        <is>
          <t>Custo Fixo</t>
        </is>
      </c>
      <c r="C882" s="106" t="inlineStr">
        <is>
          <t>Folha de pagamento (salários)</t>
        </is>
      </c>
      <c r="D882" s="107" t="n">
        <v>1</v>
      </c>
      <c r="E882" s="108" t="n">
        <v>101577.79</v>
      </c>
      <c r="F882" s="109">
        <f>IFERROR(E882,0)</f>
        <v/>
      </c>
      <c r="G882" s="106">
        <f>INDEX(SETORES!$B:$B,MATCH(A882,SETORES!$A:$A,0))</f>
        <v/>
      </c>
      <c r="H882" s="106" t="inlineStr">
        <is>
          <t>Junho/2026</t>
        </is>
      </c>
    </row>
    <row r="883" hidden="1" ht="14.25" customHeight="1" s="64">
      <c r="A883" s="101" t="inlineStr">
        <is>
          <t>Suporte da Central</t>
        </is>
      </c>
      <c r="B883" s="101" t="inlineStr">
        <is>
          <t>Custo Fixo</t>
        </is>
      </c>
      <c r="C883" s="101" t="inlineStr">
        <is>
          <t>Licença de e-mail corporativo</t>
        </is>
      </c>
      <c r="D883" s="102" t="n">
        <v>33</v>
      </c>
      <c r="E883" s="103" t="n">
        <v>50</v>
      </c>
      <c r="F883" s="104">
        <f>IFERROR(D883*E883,0)</f>
        <v/>
      </c>
      <c r="G883" s="101">
        <f>INDEX(SETORES!$B:$B,MATCH(A883,SETORES!$A:$A,0))</f>
        <v/>
      </c>
      <c r="H883" s="101" t="inlineStr">
        <is>
          <t>Junho/2026</t>
        </is>
      </c>
    </row>
    <row r="884" hidden="1" ht="14.25" customHeight="1" s="64">
      <c r="A884" s="106" t="inlineStr">
        <is>
          <t>Suporte da Central</t>
        </is>
      </c>
      <c r="B884" s="106" t="inlineStr">
        <is>
          <t>Custo Fixo</t>
        </is>
      </c>
      <c r="C884" s="106" t="inlineStr">
        <is>
          <t>Software MATRIX (rateio equipe Relacionamento)</t>
        </is>
      </c>
      <c r="D884" s="107" t="n">
        <v>1</v>
      </c>
      <c r="E884" s="108" t="n">
        <v>1770.969184</v>
      </c>
      <c r="F884" s="109">
        <f>IFERROR(D884*E884,0)</f>
        <v/>
      </c>
      <c r="G884" s="106">
        <f>INDEX(SETORES!$B:$B,MATCH(A884,SETORES!$A:$A,0))</f>
        <v/>
      </c>
      <c r="H884" s="106" t="inlineStr">
        <is>
          <t>Junho/2026</t>
        </is>
      </c>
    </row>
    <row r="885" hidden="1" ht="14.25" customHeight="1" s="64">
      <c r="A885" s="101" t="inlineStr">
        <is>
          <t>Suporte da Central</t>
        </is>
      </c>
      <c r="B885" s="101" t="inlineStr">
        <is>
          <t>Custo Fixo</t>
        </is>
      </c>
      <c r="C885" s="101" t="inlineStr">
        <is>
          <t>Impressora (rateio equipe Relacionamento)</t>
        </is>
      </c>
      <c r="D885" s="102" t="n">
        <v>1</v>
      </c>
      <c r="E885" s="103" t="n">
        <v>6.714752</v>
      </c>
      <c r="F885" s="104">
        <f>IFERROR(D885*E885,0)</f>
        <v/>
      </c>
      <c r="G885" s="101">
        <f>INDEX(SETORES!$B:$B,MATCH(A885,SETORES!$A:$A,0))</f>
        <v/>
      </c>
      <c r="H885" s="101" t="inlineStr">
        <is>
          <t>Junho/2026</t>
        </is>
      </c>
    </row>
    <row r="886" hidden="1" ht="14.25" customHeight="1" s="64">
      <c r="A886" s="106" t="inlineStr">
        <is>
          <t>Suporte da Central</t>
        </is>
      </c>
      <c r="B886" s="106" t="inlineStr">
        <is>
          <t>Custo Fixo</t>
        </is>
      </c>
      <c r="C886" s="106" t="inlineStr">
        <is>
          <t>Gympass</t>
        </is>
      </c>
      <c r="D886" s="107" t="n">
        <v>32</v>
      </c>
      <c r="E886" s="108" t="n">
        <v>9.85</v>
      </c>
      <c r="F886" s="109">
        <f>IFERROR(D886*E886,0)</f>
        <v/>
      </c>
      <c r="G886" s="106">
        <f>INDEX(SETORES!$B:$B,MATCH(A886,SETORES!$A:$A,0))</f>
        <v/>
      </c>
      <c r="H886" s="106" t="inlineStr">
        <is>
          <t>Junho/2026</t>
        </is>
      </c>
    </row>
    <row r="887" hidden="1" ht="14.25" customHeight="1" s="64">
      <c r="A887" s="101" t="inlineStr">
        <is>
          <t>Suporte da Central</t>
        </is>
      </c>
      <c r="B887" s="101" t="inlineStr">
        <is>
          <t>Custo Fixo</t>
        </is>
      </c>
      <c r="C887" s="101" t="inlineStr">
        <is>
          <t>Stargrid</t>
        </is>
      </c>
      <c r="D887" s="102" t="n">
        <v>32</v>
      </c>
      <c r="E887" s="103" t="n">
        <v>2.04</v>
      </c>
      <c r="F887" s="104">
        <f>IFERROR(D887*E887,0)</f>
        <v/>
      </c>
      <c r="G887" s="101">
        <f>INDEX(SETORES!$B:$B,MATCH(A887,SETORES!$A:$A,0))</f>
        <v/>
      </c>
      <c r="H887" s="101" t="inlineStr">
        <is>
          <t>Junho/2026</t>
        </is>
      </c>
    </row>
    <row r="888" hidden="1" ht="14.25" customHeight="1" s="64">
      <c r="A888" s="106" t="inlineStr">
        <is>
          <t>Televendas</t>
        </is>
      </c>
      <c r="B888" s="106" t="inlineStr">
        <is>
          <t>Custo Fixo</t>
        </is>
      </c>
      <c r="C888" s="106" t="inlineStr">
        <is>
          <t>Material de escritório (suprimentos de informática)</t>
        </is>
      </c>
      <c r="D888" s="107" t="n">
        <v>13</v>
      </c>
      <c r="E888" s="108" t="n">
        <v>0.2641</v>
      </c>
      <c r="F888" s="109" t="n">
        <v>3.4333</v>
      </c>
      <c r="G888" s="106">
        <f>INDEX(SETORES!$B:$B,MATCH(A888,SETORES!$A:$A,0))</f>
        <v/>
      </c>
      <c r="H888" s="106" t="inlineStr">
        <is>
          <t>Junho/2026</t>
        </is>
      </c>
    </row>
    <row r="889" hidden="1" ht="14.25" customHeight="1" s="64">
      <c r="A889" s="101" t="inlineStr">
        <is>
          <t>Televendas</t>
        </is>
      </c>
      <c r="B889" s="101" t="inlineStr">
        <is>
          <t>Custo Fixo</t>
        </is>
      </c>
      <c r="C889" s="101" t="inlineStr">
        <is>
          <t>Material de uso coletivo (copa/limpeza)</t>
        </is>
      </c>
      <c r="D889" s="102" t="n">
        <v>1</v>
      </c>
      <c r="E889" s="103" t="n">
        <v>800.367377</v>
      </c>
      <c r="F889" s="104" t="n">
        <v>800.367377</v>
      </c>
      <c r="G889" s="101">
        <f>INDEX(SETORES!$B:$B,MATCH(A889,SETORES!$A:$A,0))</f>
        <v/>
      </c>
      <c r="H889" s="101" t="inlineStr">
        <is>
          <t>Junho/2026</t>
        </is>
      </c>
    </row>
    <row r="890" hidden="1" ht="14.25" customHeight="1" s="64">
      <c r="A890" s="106" t="inlineStr">
        <is>
          <t>Televendas</t>
        </is>
      </c>
      <c r="B890" s="106" t="inlineStr">
        <is>
          <t>Custo Fixo</t>
        </is>
      </c>
      <c r="C890" s="106" t="inlineStr">
        <is>
          <t>Energia elétrica (rateio)</t>
        </is>
      </c>
      <c r="D890" s="107" t="n">
        <v>1</v>
      </c>
      <c r="E890" s="108" t="n">
        <v>113.8438</v>
      </c>
      <c r="F890" s="109" t="n">
        <v>113.8438</v>
      </c>
      <c r="G890" s="106">
        <f>INDEX(SETORES!$B:$B,MATCH(A890,SETORES!$A:$A,0))</f>
        <v/>
      </c>
      <c r="H890" s="106" t="inlineStr">
        <is>
          <t>Junho/2026</t>
        </is>
      </c>
    </row>
    <row r="891" hidden="1" ht="14.25" customHeight="1" s="64">
      <c r="A891" s="101" t="inlineStr">
        <is>
          <t>Televendas</t>
        </is>
      </c>
      <c r="B891" s="101" t="inlineStr">
        <is>
          <t>Custo Fixo</t>
        </is>
      </c>
      <c r="C891" s="101" t="inlineStr">
        <is>
          <t>Água e esgoto (rateio)</t>
        </is>
      </c>
      <c r="D891" s="102" t="n">
        <v>1</v>
      </c>
      <c r="E891" s="103" t="n">
        <v>0.325</v>
      </c>
      <c r="F891" s="104" t="n">
        <v>0.325</v>
      </c>
      <c r="G891" s="101">
        <f>INDEX(SETORES!$B:$B,MATCH(A891,SETORES!$A:$A,0))</f>
        <v/>
      </c>
      <c r="H891" s="101" t="inlineStr">
        <is>
          <t>Junho/2026</t>
        </is>
      </c>
    </row>
    <row r="892" hidden="1" ht="14.25" customHeight="1" s="64">
      <c r="A892" s="106" t="inlineStr">
        <is>
          <t>Televendas</t>
        </is>
      </c>
      <c r="B892" s="106" t="inlineStr">
        <is>
          <t>Custo Fixo</t>
        </is>
      </c>
      <c r="C892" s="106" t="inlineStr">
        <is>
          <t>Telefonia móvel corporativa</t>
        </is>
      </c>
      <c r="D892" s="107" t="n"/>
      <c r="E892" s="108" t="n"/>
      <c r="F892" s="109">
        <f>IFERROR(D892*E892,0)</f>
        <v/>
      </c>
      <c r="G892" s="106">
        <f>INDEX(SETORES!$B:$B,MATCH(A892,SETORES!$A:$A,0))</f>
        <v/>
      </c>
      <c r="H892" s="106" t="inlineStr">
        <is>
          <t>Junho/2026</t>
        </is>
      </c>
    </row>
    <row r="893" hidden="1" ht="14.25" customHeight="1" s="64">
      <c r="A893" s="101" t="inlineStr">
        <is>
          <t>Televendas</t>
        </is>
      </c>
      <c r="B893" s="101" t="inlineStr">
        <is>
          <t>Custo Fixo</t>
        </is>
      </c>
      <c r="C893" s="101" t="inlineStr">
        <is>
          <t>Folha de pagamento (salários)</t>
        </is>
      </c>
      <c r="D893" s="102" t="n">
        <v>1</v>
      </c>
      <c r="E893" s="103" t="n">
        <v>150112.883730445</v>
      </c>
      <c r="F893" s="104" t="n">
        <v>150112.883730445</v>
      </c>
      <c r="G893" s="101">
        <f>INDEX(SETORES!$B:$B,MATCH(A893,SETORES!$A:$A,0))</f>
        <v/>
      </c>
      <c r="H893" s="101" t="inlineStr">
        <is>
          <t>Junho/2026</t>
        </is>
      </c>
    </row>
    <row r="894" hidden="1" ht="14.25" customHeight="1" s="64">
      <c r="A894" s="106" t="inlineStr">
        <is>
          <t>Televendas</t>
        </is>
      </c>
      <c r="B894" s="106" t="inlineStr">
        <is>
          <t>Custo Fixo</t>
        </is>
      </c>
      <c r="C894" s="106" t="inlineStr">
        <is>
          <t>Licença de e-mail corporativo</t>
        </is>
      </c>
      <c r="D894" s="107" t="n">
        <v>14</v>
      </c>
      <c r="E894" s="108" t="n">
        <v>50</v>
      </c>
      <c r="F894" s="109">
        <f>IFERROR(D894*E894,0)</f>
        <v/>
      </c>
      <c r="G894" s="106">
        <f>INDEX(SETORES!$B:$B,MATCH(A894,SETORES!$A:$A,0))</f>
        <v/>
      </c>
      <c r="H894" s="106" t="inlineStr">
        <is>
          <t>Junho/2026</t>
        </is>
      </c>
    </row>
    <row r="895" hidden="1" ht="14.25" customHeight="1" s="64">
      <c r="A895" s="101" t="inlineStr">
        <is>
          <t>Televendas</t>
        </is>
      </c>
      <c r="B895" s="101" t="inlineStr">
        <is>
          <t>Custo Fixo</t>
        </is>
      </c>
      <c r="C895" s="101" t="inlineStr">
        <is>
          <t>Gympass</t>
        </is>
      </c>
      <c r="D895" s="102" t="n">
        <v>13</v>
      </c>
      <c r="E895" s="103" t="n">
        <v>9.85</v>
      </c>
      <c r="F895" s="104" t="n">
        <v>128.05</v>
      </c>
      <c r="G895" s="101">
        <f>INDEX(SETORES!$B:$B,MATCH(A895,SETORES!$A:$A,0))</f>
        <v/>
      </c>
      <c r="H895" s="101" t="inlineStr">
        <is>
          <t>Junho/2026</t>
        </is>
      </c>
    </row>
    <row r="896" hidden="1" ht="14.25" customHeight="1" s="64">
      <c r="A896" s="106" t="inlineStr">
        <is>
          <t>Televendas</t>
        </is>
      </c>
      <c r="B896" s="106" t="inlineStr">
        <is>
          <t>Custo Fixo</t>
        </is>
      </c>
      <c r="C896" s="106" t="inlineStr">
        <is>
          <t>Stargrid</t>
        </is>
      </c>
      <c r="D896" s="107" t="n">
        <v>13</v>
      </c>
      <c r="E896" s="108" t="n">
        <v>2.04</v>
      </c>
      <c r="F896" s="109" t="n">
        <v>26.52</v>
      </c>
      <c r="G896" s="106">
        <f>INDEX(SETORES!$B:$B,MATCH(A896,SETORES!$A:$A,0))</f>
        <v/>
      </c>
      <c r="H896" s="106" t="inlineStr">
        <is>
          <t>Junho/2026</t>
        </is>
      </c>
    </row>
    <row r="897" hidden="1" ht="14.25" customHeight="1" s="64">
      <c r="A897" s="101" t="inlineStr">
        <is>
          <t>Suporte da Central</t>
        </is>
      </c>
      <c r="B897" s="101" t="inlineStr">
        <is>
          <t>Custo Variável</t>
        </is>
      </c>
      <c r="C897" s="101" t="inlineStr">
        <is>
          <t>Combustível de frota</t>
        </is>
      </c>
      <c r="D897" s="102" t="n"/>
      <c r="E897" s="103" t="n"/>
      <c r="F897" s="104">
        <f>IFERROR(D897*E897,0)</f>
        <v/>
      </c>
      <c r="G897" s="101">
        <f>INDEX(SETORES!$B:$B,MATCH(A897,SETORES!$A:$A,0))</f>
        <v/>
      </c>
      <c r="H897" s="101" t="inlineStr">
        <is>
          <t>Junho/2026</t>
        </is>
      </c>
    </row>
    <row r="898" hidden="1" ht="14.25" customHeight="1" s="64">
      <c r="A898" s="106" t="inlineStr">
        <is>
          <t>Televendas</t>
        </is>
      </c>
      <c r="B898" s="106" t="inlineStr">
        <is>
          <t>Custo Variável</t>
        </is>
      </c>
      <c r="C898" s="106" t="inlineStr">
        <is>
          <t>Combustível de frota</t>
        </is>
      </c>
      <c r="D898" s="107" t="n"/>
      <c r="E898" s="108" t="n"/>
      <c r="F898" s="109">
        <f>IFERROR(D898*E898,0)</f>
        <v/>
      </c>
      <c r="G898" s="106">
        <f>INDEX(SETORES!$B:$B,MATCH(A898,SETORES!$A:$A,0))</f>
        <v/>
      </c>
      <c r="H898" s="106" t="inlineStr">
        <is>
          <t>Junho/2026</t>
        </is>
      </c>
    </row>
    <row r="899" hidden="1" ht="14.25" customHeight="1" s="64">
      <c r="A899" s="101" t="inlineStr">
        <is>
          <t>Comercial Corporativo</t>
        </is>
      </c>
      <c r="B899" s="101" t="inlineStr">
        <is>
          <t>Custo Variável</t>
        </is>
      </c>
      <c r="C899" s="101" t="inlineStr">
        <is>
          <t>Combustível de frota</t>
        </is>
      </c>
      <c r="D899" s="102" t="n"/>
      <c r="E899" s="103" t="n"/>
      <c r="F899" s="104">
        <f>IFERROR(D899*E899,0)</f>
        <v/>
      </c>
      <c r="G899" s="101">
        <f>INDEX(SETORES!$B:$B,MATCH(A899,SETORES!$A:$A,0))</f>
        <v/>
      </c>
      <c r="H899" s="101" t="inlineStr">
        <is>
          <t>Junho/2026</t>
        </is>
      </c>
    </row>
    <row r="900" hidden="1" ht="14.25" customHeight="1" s="64">
      <c r="A900" s="106" t="inlineStr">
        <is>
          <t>Suporte da Central</t>
        </is>
      </c>
      <c r="B900" s="106" t="inlineStr">
        <is>
          <t>Custo Variável</t>
        </is>
      </c>
      <c r="C900" s="106" t="inlineStr">
        <is>
          <t>Exames médicos</t>
        </is>
      </c>
      <c r="D900" s="107" t="n">
        <v>1</v>
      </c>
      <c r="E900" s="108" t="n">
        <v>6245.8</v>
      </c>
      <c r="F900" s="109">
        <f>IFERROR(D900*E900,0)</f>
        <v/>
      </c>
      <c r="G900" s="106">
        <f>INDEX(SETORES!$B:$B,MATCH(A900,SETORES!$A:$A,0))</f>
        <v/>
      </c>
      <c r="H900" s="106" t="inlineStr">
        <is>
          <t>Junho/2026</t>
        </is>
      </c>
    </row>
    <row r="901" hidden="1" ht="14.25" customHeight="1" s="64">
      <c r="A901" s="101" t="inlineStr">
        <is>
          <t>Televendas</t>
        </is>
      </c>
      <c r="B901" s="101" t="inlineStr">
        <is>
          <t>Custo Variável</t>
        </is>
      </c>
      <c r="C901" s="101" t="inlineStr">
        <is>
          <t>Rescisões trabalhistas</t>
        </is>
      </c>
      <c r="D901" s="102" t="n"/>
      <c r="E901" s="103" t="n"/>
      <c r="F901" s="104">
        <f>IFERROR(D901*E901,0)</f>
        <v/>
      </c>
      <c r="G901" s="101">
        <f>INDEX(SETORES!$B:$B,MATCH(A901,SETORES!$A:$A,0))</f>
        <v/>
      </c>
      <c r="H901" s="101" t="inlineStr">
        <is>
          <t>Junho/2026</t>
        </is>
      </c>
    </row>
    <row r="902" hidden="1" ht="14.25" customHeight="1" s="64">
      <c r="A902" s="106" t="inlineStr">
        <is>
          <t>CAC</t>
        </is>
      </c>
      <c r="B902" s="106" t="inlineStr">
        <is>
          <t>Custo Variável</t>
        </is>
      </c>
      <c r="C902" s="106" t="inlineStr">
        <is>
          <t>Rescisões trabalhistas</t>
        </is>
      </c>
      <c r="D902" s="107" t="n"/>
      <c r="E902" s="108" t="n"/>
      <c r="F902" s="109">
        <f>IFERROR(D902*E902,0)</f>
        <v/>
      </c>
      <c r="G902" s="106">
        <f>INDEX(SETORES!$B:$B,MATCH(A902,SETORES!$A:$A,0))</f>
        <v/>
      </c>
      <c r="H902" s="106" t="inlineStr">
        <is>
          <t>Junho/2026</t>
        </is>
      </c>
    </row>
    <row r="903" hidden="1" ht="14.25" customHeight="1" s="64">
      <c r="A903" s="101" t="inlineStr">
        <is>
          <t>NOC</t>
        </is>
      </c>
      <c r="B903" s="101" t="inlineStr">
        <is>
          <t>Custo Variável</t>
        </is>
      </c>
      <c r="C903" s="101" t="inlineStr">
        <is>
          <t>Rescisões trabalhistas</t>
        </is>
      </c>
      <c r="D903" s="102" t="n">
        <v>1</v>
      </c>
      <c r="E903" s="103" t="n">
        <v>6209</v>
      </c>
      <c r="F903" s="104">
        <f>IFERROR(D903*E903,0)</f>
        <v/>
      </c>
      <c r="G903" s="101">
        <f>INDEX(SETORES!$B:$B,MATCH(A903,SETORES!$A:$A,0))</f>
        <v/>
      </c>
      <c r="H903" s="101" t="inlineStr">
        <is>
          <t>Junho/2026</t>
        </is>
      </c>
    </row>
    <row r="904" hidden="1" ht="14.25" customHeight="1" s="64">
      <c r="A904" s="106" t="inlineStr">
        <is>
          <t>Suporte da Central</t>
        </is>
      </c>
      <c r="B904" s="106" t="inlineStr">
        <is>
          <t>Custo Variável</t>
        </is>
      </c>
      <c r="C904" s="106" t="inlineStr">
        <is>
          <t>Rescisões trabalhistas</t>
        </is>
      </c>
      <c r="D904" s="107" t="n">
        <v>1</v>
      </c>
      <c r="E904" s="108" t="n">
        <v>5707.48</v>
      </c>
      <c r="F904" s="109">
        <f>IFERROR(D904*E904,0)</f>
        <v/>
      </c>
      <c r="G904" s="106">
        <f>INDEX(SETORES!$B:$B,MATCH(A904,SETORES!$A:$A,0))</f>
        <v/>
      </c>
      <c r="H904" s="106" t="inlineStr">
        <is>
          <t>Junho/2026</t>
        </is>
      </c>
    </row>
    <row r="905" hidden="1" ht="14.25" customHeight="1" s="64">
      <c r="A905" s="101" t="inlineStr">
        <is>
          <t>Comercial Corporativo</t>
        </is>
      </c>
      <c r="B905" s="101" t="inlineStr">
        <is>
          <t>Custo Variável</t>
        </is>
      </c>
      <c r="C905" s="101" t="inlineStr">
        <is>
          <t>Rescisões trabalhistas</t>
        </is>
      </c>
      <c r="D905" s="102" t="n"/>
      <c r="E905" s="103" t="n"/>
      <c r="F905" s="104">
        <f>IFERROR(D905*E905,0)</f>
        <v/>
      </c>
      <c r="G905" s="101">
        <f>INDEX(SETORES!$B:$B,MATCH(A905,SETORES!$A:$A,0))</f>
        <v/>
      </c>
      <c r="H905" s="101" t="inlineStr">
        <is>
          <t>Junho/2026</t>
        </is>
      </c>
    </row>
    <row r="906" ht="14.25" customHeight="1" s="64">
      <c r="A906" s="106" t="inlineStr">
        <is>
          <t>Administrativo</t>
        </is>
      </c>
      <c r="B906" s="106" t="inlineStr">
        <is>
          <t>Custo Fixo</t>
        </is>
      </c>
      <c r="C906" s="106" t="inlineStr">
        <is>
          <t>Licença Google Workspace</t>
        </is>
      </c>
      <c r="D906" s="107" t="n">
        <v>1</v>
      </c>
      <c r="E906" s="108" t="n">
        <v>21454</v>
      </c>
      <c r="F906" s="109">
        <f>IFERROR(D906*E906,0)</f>
        <v/>
      </c>
      <c r="G906" s="106">
        <f>INDEX(SETORES!$B:$B,MATCH(A906,SETORES!$A:$A,0))</f>
        <v/>
      </c>
      <c r="H906" s="106" t="inlineStr">
        <is>
          <t>Junho/2026</t>
        </is>
      </c>
    </row>
    <row r="907" hidden="1" ht="14.25" customHeight="1" s="64">
      <c r="A907" s="101" t="inlineStr">
        <is>
          <t>Suporte Orbix</t>
        </is>
      </c>
      <c r="B907" s="101" t="inlineStr">
        <is>
          <t>Custo Variável</t>
        </is>
      </c>
      <c r="C907" s="101" t="inlineStr">
        <is>
          <t>Rescisões trabalhistas</t>
        </is>
      </c>
      <c r="D907" s="102" t="n"/>
      <c r="E907" s="103" t="n"/>
      <c r="F907" s="104">
        <f>IFERROR(D907*E907,0)</f>
        <v/>
      </c>
      <c r="G907" s="101">
        <f>INDEX(SETORES!$B:$B,MATCH(A907,SETORES!$A:$A,0))</f>
        <v/>
      </c>
      <c r="H907" s="101" t="inlineStr">
        <is>
          <t>Junho/2026</t>
        </is>
      </c>
    </row>
    <row r="908" hidden="1" ht="14.25" customHeight="1" s="64">
      <c r="A908" s="106" t="inlineStr">
        <is>
          <t>Qualidade</t>
        </is>
      </c>
      <c r="B908" s="106" t="inlineStr">
        <is>
          <t>Custo Fixo</t>
        </is>
      </c>
      <c r="C908" s="106" t="inlineStr">
        <is>
          <t>Folha de pagamento (salários)</t>
        </is>
      </c>
      <c r="D908" s="107" t="n">
        <v>1</v>
      </c>
      <c r="E908" s="108" t="n">
        <v>33078.39</v>
      </c>
      <c r="F908" s="109">
        <f>IFERROR(E908,0)</f>
        <v/>
      </c>
      <c r="G908" s="106">
        <f>INDEX(SETORES!$B:$B,MATCH(A908,SETORES!$A:$A,0))</f>
        <v/>
      </c>
      <c r="H908" s="106" t="inlineStr">
        <is>
          <t>Junho/2026</t>
        </is>
      </c>
    </row>
    <row r="909" hidden="1" ht="14.25" customHeight="1" s="64">
      <c r="A909" s="101" t="inlineStr">
        <is>
          <t>Qualidade</t>
        </is>
      </c>
      <c r="B909" s="101" t="inlineStr">
        <is>
          <t>Custo Fixo</t>
        </is>
      </c>
      <c r="C909" s="101" t="inlineStr">
        <is>
          <t>Material de uso coletivo (copa/limpeza)</t>
        </is>
      </c>
      <c r="D909" s="102" t="n">
        <v>1</v>
      </c>
      <c r="E909" s="103" t="n">
        <v>114.65</v>
      </c>
      <c r="F909" s="104" t="n">
        <v>114.65</v>
      </c>
      <c r="G909" s="101">
        <f>INDEX(SETORES!$B:$B,MATCH(A909,SETORES!$A:$A,0))</f>
        <v/>
      </c>
      <c r="H909" s="101" t="inlineStr">
        <is>
          <t>Junho/2026</t>
        </is>
      </c>
    </row>
    <row r="910" hidden="1" ht="14.25" customHeight="1" s="64">
      <c r="A910" s="106" t="inlineStr">
        <is>
          <t>Jurídico</t>
        </is>
      </c>
      <c r="B910" s="106" t="inlineStr">
        <is>
          <t>Custo Fixo</t>
        </is>
      </c>
      <c r="C910" s="106" t="inlineStr">
        <is>
          <t>Folha de pagamento (salários)</t>
        </is>
      </c>
      <c r="D910" s="107" t="n">
        <v>1</v>
      </c>
      <c r="E910" s="108" t="n">
        <v>6068.32</v>
      </c>
      <c r="F910" s="109">
        <f>IFERROR(E910,0)</f>
        <v/>
      </c>
      <c r="G910" s="106">
        <f>INDEX(SETORES!$B:$B,MATCH(A910,SETORES!$A:$A,0))</f>
        <v/>
      </c>
      <c r="H910" s="106" t="inlineStr">
        <is>
          <t>Junho/2026</t>
        </is>
      </c>
    </row>
    <row r="911" hidden="1" ht="14.25" customHeight="1" s="64">
      <c r="A911" s="101" t="inlineStr">
        <is>
          <t>Jurídico</t>
        </is>
      </c>
      <c r="B911" s="101" t="inlineStr">
        <is>
          <t>Custo Fixo</t>
        </is>
      </c>
      <c r="C911" s="101" t="inlineStr">
        <is>
          <t>Material de uso coletivo (copa/limpeza)</t>
        </is>
      </c>
      <c r="D911" s="102" t="n">
        <v>1</v>
      </c>
      <c r="E911" s="103" t="n">
        <v>151.2</v>
      </c>
      <c r="F911" s="104" t="n">
        <v>151.2</v>
      </c>
      <c r="G911" s="101">
        <f>INDEX(SETORES!$B:$B,MATCH(A911,SETORES!$A:$A,0))</f>
        <v/>
      </c>
      <c r="H911" s="101" t="inlineStr">
        <is>
          <t>Junho/2026</t>
        </is>
      </c>
    </row>
    <row r="912" hidden="1" ht="14.25" customHeight="1" s="64">
      <c r="A912" s="106" t="inlineStr">
        <is>
          <t>Jurídico</t>
        </is>
      </c>
      <c r="B912" s="106" t="inlineStr">
        <is>
          <t>Custo Variável</t>
        </is>
      </c>
      <c r="C912" s="106" t="inlineStr">
        <is>
          <t>Combustível de frota</t>
        </is>
      </c>
      <c r="D912" s="107" t="n">
        <v>1</v>
      </c>
      <c r="E912" s="108" t="n">
        <v>1362.25</v>
      </c>
      <c r="F912" s="109">
        <f>IFERROR(D912*E912,0)</f>
        <v/>
      </c>
      <c r="G912" s="106">
        <f>INDEX(SETORES!$B:$B,MATCH(A912,SETORES!$A:$A,0))</f>
        <v/>
      </c>
      <c r="H912" s="106" t="inlineStr">
        <is>
          <t>Junho/2026</t>
        </is>
      </c>
    </row>
    <row r="913" hidden="1" ht="14.25" customHeight="1" s="64">
      <c r="A913" s="101" t="inlineStr">
        <is>
          <t>Marketing</t>
        </is>
      </c>
      <c r="B913" s="101" t="inlineStr">
        <is>
          <t>Custo Fixo</t>
        </is>
      </c>
      <c r="C913" s="101" t="inlineStr">
        <is>
          <t>Folha de pagamento (salários)</t>
        </is>
      </c>
      <c r="D913" s="102" t="n">
        <v>1</v>
      </c>
      <c r="E913" s="103" t="n">
        <v>52829.79</v>
      </c>
      <c r="F913" s="104">
        <f>IFERROR(E913,0)</f>
        <v/>
      </c>
      <c r="G913" s="101">
        <f>INDEX(SETORES!$B:$B,MATCH(A913,SETORES!$A:$A,0))</f>
        <v/>
      </c>
      <c r="H913" s="101" t="inlineStr">
        <is>
          <t>Junho/2026</t>
        </is>
      </c>
    </row>
    <row r="914" hidden="1" ht="14.25" customHeight="1" s="64">
      <c r="A914" s="106" t="inlineStr">
        <is>
          <t>Marketing</t>
        </is>
      </c>
      <c r="B914" s="106" t="inlineStr">
        <is>
          <t>Custo Fixo</t>
        </is>
      </c>
      <c r="C914" s="106" t="inlineStr">
        <is>
          <t>Material de uso coletivo (copa/limpeza)</t>
        </is>
      </c>
      <c r="D914" s="107" t="n">
        <v>1</v>
      </c>
      <c r="E914" s="108" t="n">
        <v>136.5</v>
      </c>
      <c r="F914" s="109" t="n">
        <v>136.5</v>
      </c>
      <c r="G914" s="106">
        <f>INDEX(SETORES!$B:$B,MATCH(A914,SETORES!$A:$A,0))</f>
        <v/>
      </c>
      <c r="H914" s="106" t="inlineStr">
        <is>
          <t>Junho/2026</t>
        </is>
      </c>
    </row>
    <row r="915" hidden="1" ht="14.25" customHeight="1" s="64">
      <c r="A915" s="101" t="inlineStr">
        <is>
          <t>Marketing</t>
        </is>
      </c>
      <c r="B915" s="101" t="inlineStr">
        <is>
          <t>Custo Variável</t>
        </is>
      </c>
      <c r="C915" s="101" t="inlineStr">
        <is>
          <t>Combustível de frota</t>
        </is>
      </c>
      <c r="D915" s="102" t="n">
        <v>1</v>
      </c>
      <c r="E915" s="103" t="n">
        <v>1306.39</v>
      </c>
      <c r="F915" s="104">
        <f>IFERROR(D915*E915,0)</f>
        <v/>
      </c>
      <c r="G915" s="101">
        <f>INDEX(SETORES!$B:$B,MATCH(A915,SETORES!$A:$A,0))</f>
        <v/>
      </c>
      <c r="H915" s="101" t="inlineStr">
        <is>
          <t>Junho/2026</t>
        </is>
      </c>
    </row>
    <row r="916" hidden="1" ht="14.25" customHeight="1" s="64">
      <c r="A916" s="106" t="inlineStr">
        <is>
          <t>TIC</t>
        </is>
      </c>
      <c r="B916" s="106" t="inlineStr">
        <is>
          <t>Custo Fixo</t>
        </is>
      </c>
      <c r="C916" s="106" t="inlineStr">
        <is>
          <t>Folha de pagamento (salários)</t>
        </is>
      </c>
      <c r="D916" s="107" t="n">
        <v>1</v>
      </c>
      <c r="E916" s="108" t="n">
        <v>24319.74</v>
      </c>
      <c r="F916" s="109">
        <f>IFERROR(E916,0)</f>
        <v/>
      </c>
      <c r="G916" s="106">
        <f>INDEX(SETORES!$B:$B,MATCH(A916,SETORES!$A:$A,0))</f>
        <v/>
      </c>
      <c r="H916" s="106" t="inlineStr">
        <is>
          <t>Junho/2026</t>
        </is>
      </c>
    </row>
    <row r="917" hidden="1" ht="14.25" customHeight="1" s="64">
      <c r="A917" s="101" t="inlineStr">
        <is>
          <t>TIC</t>
        </is>
      </c>
      <c r="B917" s="101" t="inlineStr">
        <is>
          <t>Custo Fixo</t>
        </is>
      </c>
      <c r="C917" s="101" t="inlineStr">
        <is>
          <t>Material de uso coletivo (copa/limpeza)</t>
        </is>
      </c>
      <c r="D917" s="102" t="n">
        <v>1</v>
      </c>
      <c r="E917" s="103" t="n">
        <v>106.53</v>
      </c>
      <c r="F917" s="104" t="n">
        <v>106.53</v>
      </c>
      <c r="G917" s="101">
        <f>INDEX(SETORES!$B:$B,MATCH(A917,SETORES!$A:$A,0))</f>
        <v/>
      </c>
      <c r="H917" s="101" t="inlineStr">
        <is>
          <t>Junho/2026</t>
        </is>
      </c>
    </row>
    <row r="918" hidden="1" ht="14.25" customHeight="1" s="64">
      <c r="A918" s="106" t="inlineStr">
        <is>
          <t>TIC</t>
        </is>
      </c>
      <c r="B918" s="106" t="inlineStr">
        <is>
          <t>Custo Variável</t>
        </is>
      </c>
      <c r="C918" s="106" t="inlineStr">
        <is>
          <t>Rescisões trabalhistas</t>
        </is>
      </c>
      <c r="D918" s="107" t="n">
        <v>1</v>
      </c>
      <c r="E918" s="108" t="n">
        <v>6209</v>
      </c>
      <c r="F918" s="109">
        <f>IFERROR(D918*E918,0)</f>
        <v/>
      </c>
      <c r="G918" s="106">
        <f>INDEX(SETORES!$B:$B,MATCH(A918,SETORES!$A:$A,0))</f>
        <v/>
      </c>
      <c r="H918" s="106" t="inlineStr">
        <is>
          <t>Junho/2026</t>
        </is>
      </c>
    </row>
    <row r="919" hidden="1" ht="14.25" customHeight="1" s="64">
      <c r="A919" s="101" t="inlineStr">
        <is>
          <t>COE</t>
        </is>
      </c>
      <c r="B919" s="101" t="inlineStr">
        <is>
          <t>Custo Fixo</t>
        </is>
      </c>
      <c r="C919" s="101" t="inlineStr">
        <is>
          <t>Folha de pagamento (salários)</t>
        </is>
      </c>
      <c r="D919" s="102" t="n">
        <v>1</v>
      </c>
      <c r="E919" s="103" t="n">
        <v>89682.63</v>
      </c>
      <c r="F919" s="104">
        <f>IFERROR(E919,0)</f>
        <v/>
      </c>
      <c r="G919" s="101">
        <f>INDEX(SETORES!$B:$B,MATCH(A919,SETORES!$A:$A,0))</f>
        <v/>
      </c>
      <c r="H919" s="101" t="inlineStr">
        <is>
          <t>Junho/2026</t>
        </is>
      </c>
    </row>
    <row r="920" hidden="1" ht="14.25" customHeight="1" s="64">
      <c r="A920" s="106" t="inlineStr">
        <is>
          <t>Fique Móvel</t>
        </is>
      </c>
      <c r="B920" s="106" t="inlineStr">
        <is>
          <t>Custo Fixo</t>
        </is>
      </c>
      <c r="C920" s="106" t="inlineStr">
        <is>
          <t>Folha de pagamento (salários)</t>
        </is>
      </c>
      <c r="D920" s="107" t="n">
        <v>1</v>
      </c>
      <c r="E920" s="108" t="n">
        <v>12859.26</v>
      </c>
      <c r="F920" s="109">
        <f>IFERROR(E920,0)</f>
        <v/>
      </c>
      <c r="G920" s="106">
        <f>INDEX(SETORES!$B:$B,MATCH(A920,SETORES!$A:$A,0))</f>
        <v/>
      </c>
      <c r="H920" s="106" t="inlineStr">
        <is>
          <t>Junho/2026</t>
        </is>
      </c>
    </row>
    <row r="921" hidden="1" ht="14.25" customHeight="1" s="64">
      <c r="A921" s="101" t="inlineStr">
        <is>
          <t>Lançamento</t>
        </is>
      </c>
      <c r="B921" s="101" t="inlineStr">
        <is>
          <t>Custo Fixo</t>
        </is>
      </c>
      <c r="C921" s="101" t="inlineStr">
        <is>
          <t>Folha de pagamento (salários)</t>
        </is>
      </c>
      <c r="D921" s="102" t="n">
        <v>1</v>
      </c>
      <c r="E921" s="103" t="n">
        <v>131034.59</v>
      </c>
      <c r="F921" s="104">
        <f>IFERROR(E921,0)</f>
        <v/>
      </c>
      <c r="G921" s="101">
        <f>INDEX(SETORES!$B:$B,MATCH(A921,SETORES!$A:$A,0))</f>
        <v/>
      </c>
      <c r="H921" s="101" t="inlineStr">
        <is>
          <t>Junho/2026</t>
        </is>
      </c>
    </row>
    <row r="922" hidden="1" ht="14.25" customHeight="1" s="64">
      <c r="A922" s="106" t="inlineStr">
        <is>
          <t>Lançamento</t>
        </is>
      </c>
      <c r="B922" s="106" t="inlineStr">
        <is>
          <t>Custo Variável</t>
        </is>
      </c>
      <c r="C922" s="106" t="inlineStr">
        <is>
          <t>Combustível de frota</t>
        </is>
      </c>
      <c r="D922" s="107" t="n">
        <v>1</v>
      </c>
      <c r="E922" s="108" t="n">
        <v>12957.78</v>
      </c>
      <c r="F922" s="109">
        <f>IFERROR(D922*E922,0)</f>
        <v/>
      </c>
      <c r="G922" s="106">
        <f>INDEX(SETORES!$B:$B,MATCH(A922,SETORES!$A:$A,0))</f>
        <v/>
      </c>
      <c r="H922" s="106" t="inlineStr">
        <is>
          <t>Junho/2026</t>
        </is>
      </c>
    </row>
    <row r="923" hidden="1" ht="14.25" customHeight="1" s="64">
      <c r="A923" s="101" t="inlineStr">
        <is>
          <t>Lançamento</t>
        </is>
      </c>
      <c r="B923" s="101" t="inlineStr">
        <is>
          <t>Custo Variável</t>
        </is>
      </c>
      <c r="C923" s="101" t="inlineStr">
        <is>
          <t>EPIs - Equipamento de Proteção Individual</t>
        </is>
      </c>
      <c r="D923" s="102" t="n">
        <v>1</v>
      </c>
      <c r="E923" s="103" t="n">
        <v>2874.98</v>
      </c>
      <c r="F923" s="104">
        <f>IFERROR(D923*E923,0)</f>
        <v/>
      </c>
      <c r="G923" s="101">
        <f>INDEX(SETORES!$B:$B,MATCH(A923,SETORES!$A:$A,0))</f>
        <v/>
      </c>
      <c r="H923" s="101" t="inlineStr">
        <is>
          <t>Junho/2026</t>
        </is>
      </c>
    </row>
    <row r="924" hidden="1" ht="14.25" customHeight="1" s="64">
      <c r="A924" s="106" t="inlineStr">
        <is>
          <t>Fusão</t>
        </is>
      </c>
      <c r="B924" s="106" t="inlineStr">
        <is>
          <t>Custo Fixo</t>
        </is>
      </c>
      <c r="C924" s="106" t="inlineStr">
        <is>
          <t>Folha de pagamento (salários)</t>
        </is>
      </c>
      <c r="D924" s="107" t="n">
        <v>1</v>
      </c>
      <c r="E924" s="108" t="n">
        <v>86186.53</v>
      </c>
      <c r="F924" s="109">
        <f>IFERROR(E924,0)</f>
        <v/>
      </c>
      <c r="G924" s="106">
        <f>INDEX(SETORES!$B:$B,MATCH(A924,SETORES!$A:$A,0))</f>
        <v/>
      </c>
      <c r="H924" s="106" t="inlineStr">
        <is>
          <t>Junho/2026</t>
        </is>
      </c>
    </row>
    <row r="925" hidden="1" ht="14.25" customHeight="1" s="64">
      <c r="A925" s="101" t="inlineStr">
        <is>
          <t>Fusão</t>
        </is>
      </c>
      <c r="B925" s="101" t="inlineStr">
        <is>
          <t>Custo Variável</t>
        </is>
      </c>
      <c r="C925" s="101" t="inlineStr">
        <is>
          <t>Combustível de frota</t>
        </is>
      </c>
      <c r="D925" s="102" t="n">
        <v>1</v>
      </c>
      <c r="E925" s="103" t="n">
        <v>10705.67</v>
      </c>
      <c r="F925" s="104">
        <f>IFERROR(D925*E925,0)</f>
        <v/>
      </c>
      <c r="G925" s="101">
        <f>INDEX(SETORES!$B:$B,MATCH(A925,SETORES!$A:$A,0))</f>
        <v/>
      </c>
      <c r="H925" s="101" t="inlineStr">
        <is>
          <t>Junho/2026</t>
        </is>
      </c>
    </row>
    <row r="926" hidden="1" ht="14.25" customHeight="1" s="64">
      <c r="A926" s="106" t="inlineStr">
        <is>
          <t>Fusão</t>
        </is>
      </c>
      <c r="B926" s="106" t="inlineStr">
        <is>
          <t>Custo Variável</t>
        </is>
      </c>
      <c r="C926" s="106" t="inlineStr">
        <is>
          <t>EPIs - Equipamento de Proteção Individual</t>
        </is>
      </c>
      <c r="D926" s="107" t="n">
        <v>1</v>
      </c>
      <c r="E926" s="108" t="n">
        <v>2848.49</v>
      </c>
      <c r="F926" s="109">
        <f>IFERROR(D926*E926,0)</f>
        <v/>
      </c>
      <c r="G926" s="106">
        <f>INDEX(SETORES!$B:$B,MATCH(A926,SETORES!$A:$A,0))</f>
        <v/>
      </c>
      <c r="H926" s="106" t="inlineStr">
        <is>
          <t>Junho/2026</t>
        </is>
      </c>
    </row>
    <row r="927" hidden="1" ht="14.25" customHeight="1" s="64">
      <c r="A927" s="101" t="inlineStr">
        <is>
          <t>Diretoria Adm</t>
        </is>
      </c>
      <c r="B927" s="101" t="inlineStr">
        <is>
          <t>Custo Fixo</t>
        </is>
      </c>
      <c r="C927" s="101" t="inlineStr">
        <is>
          <t>Folha de pagamento (salários)</t>
        </is>
      </c>
      <c r="D927" s="102" t="n">
        <v>1</v>
      </c>
      <c r="E927" s="103" t="n">
        <v>28674.49</v>
      </c>
      <c r="F927" s="104">
        <f>IFERROR(E927,0)</f>
        <v/>
      </c>
      <c r="G927" s="101">
        <f>INDEX(SETORES!$B:$B,MATCH(A927,SETORES!$A:$A,0))</f>
        <v/>
      </c>
      <c r="H927" s="101" t="inlineStr">
        <is>
          <t>Junho/2026</t>
        </is>
      </c>
    </row>
    <row r="928" hidden="1" ht="14.25" customHeight="1" s="64">
      <c r="A928" s="106" t="inlineStr">
        <is>
          <t>Diretoria Adm</t>
        </is>
      </c>
      <c r="B928" s="106" t="inlineStr">
        <is>
          <t>Custo Fixo</t>
        </is>
      </c>
      <c r="C928" s="106" t="inlineStr">
        <is>
          <t>Material de uso coletivo (copa/limpeza)</t>
        </is>
      </c>
      <c r="D928" s="107" t="n">
        <v>1</v>
      </c>
      <c r="E928" s="108" t="n">
        <v>46.45</v>
      </c>
      <c r="F928" s="109" t="n">
        <v>46.45</v>
      </c>
      <c r="G928" s="106">
        <f>INDEX(SETORES!$B:$B,MATCH(A928,SETORES!$A:$A,0))</f>
        <v/>
      </c>
      <c r="H928" s="106" t="inlineStr">
        <is>
          <t>Junho/2026</t>
        </is>
      </c>
    </row>
    <row r="929" hidden="1" ht="14.25" customHeight="1" s="64">
      <c r="A929" s="101" t="inlineStr">
        <is>
          <t>Comercial Corporativo</t>
        </is>
      </c>
      <c r="B929" s="101" t="inlineStr">
        <is>
          <t>Custo Fixo</t>
        </is>
      </c>
      <c r="C929" s="101" t="inlineStr">
        <is>
          <t>Material de uso coletivo (copa/limpeza)</t>
        </is>
      </c>
      <c r="D929" s="102" t="n">
        <v>1</v>
      </c>
      <c r="E929" s="103" t="n">
        <v>97.45</v>
      </c>
      <c r="F929" s="104" t="n">
        <v>97.45</v>
      </c>
      <c r="G929" s="101">
        <f>INDEX(SETORES!$B:$B,MATCH(A929,SETORES!$A:$A,0))</f>
        <v/>
      </c>
      <c r="H929" s="101" t="inlineStr">
        <is>
          <t>Junho/2026</t>
        </is>
      </c>
    </row>
    <row r="930" hidden="1" ht="14.25" customHeight="1" s="64">
      <c r="A930" s="106" t="inlineStr">
        <is>
          <t>Fique Móvel</t>
        </is>
      </c>
      <c r="B930" s="106" t="inlineStr">
        <is>
          <t>Custo Fixo</t>
        </is>
      </c>
      <c r="C930" s="106" t="inlineStr">
        <is>
          <t>Material de uso coletivo (copa/limpeza)</t>
        </is>
      </c>
      <c r="D930" s="107" t="n">
        <v>1</v>
      </c>
      <c r="E930" s="108" t="n">
        <v>50.68</v>
      </c>
      <c r="F930" s="109" t="n">
        <v>50.68</v>
      </c>
      <c r="G930" s="106">
        <f>INDEX(SETORES!$B:$B,MATCH(A930,SETORES!$A:$A,0))</f>
        <v/>
      </c>
      <c r="H930" s="106" t="inlineStr">
        <is>
          <t>Junho/2026</t>
        </is>
      </c>
    </row>
    <row r="931" hidden="1" ht="14.25" customHeight="1" s="64">
      <c r="A931" s="101" t="inlineStr">
        <is>
          <t>Qualidade</t>
        </is>
      </c>
      <c r="B931" s="101" t="inlineStr">
        <is>
          <t>Custo Fixo</t>
        </is>
      </c>
      <c r="C931" s="101" t="inlineStr">
        <is>
          <t>Gympass</t>
        </is>
      </c>
      <c r="D931" s="102" t="n">
        <v>8</v>
      </c>
      <c r="E931" s="103" t="n">
        <v>9.85</v>
      </c>
      <c r="F931" s="104">
        <f>IFERROR(D931*E931,0)</f>
        <v/>
      </c>
      <c r="G931" s="101">
        <f>INDEX(SETORES!$B:$B,MATCH(A931,SETORES!$A:$A,0))</f>
        <v/>
      </c>
      <c r="H931" s="101" t="inlineStr">
        <is>
          <t>Junho/2026</t>
        </is>
      </c>
    </row>
    <row r="932" hidden="1" ht="14.25" customHeight="1" s="64">
      <c r="A932" s="106" t="inlineStr">
        <is>
          <t>Qualidade</t>
        </is>
      </c>
      <c r="B932" s="106" t="inlineStr">
        <is>
          <t>Custo Fixo</t>
        </is>
      </c>
      <c r="C932" s="106" t="inlineStr">
        <is>
          <t>Stargrid</t>
        </is>
      </c>
      <c r="D932" s="107" t="n">
        <v>8</v>
      </c>
      <c r="E932" s="108" t="n">
        <v>2.04</v>
      </c>
      <c r="F932" s="109">
        <f>IFERROR(D932*E932,0)</f>
        <v/>
      </c>
      <c r="G932" s="106">
        <f>INDEX(SETORES!$B:$B,MATCH(A932,SETORES!$A:$A,0))</f>
        <v/>
      </c>
      <c r="H932" s="106" t="inlineStr">
        <is>
          <t>Junho/2026</t>
        </is>
      </c>
    </row>
    <row r="933" hidden="1" ht="14.25" customHeight="1" s="64">
      <c r="A933" s="101" t="inlineStr">
        <is>
          <t>Qualidade</t>
        </is>
      </c>
      <c r="B933" s="101" t="inlineStr">
        <is>
          <t>Custo Fixo</t>
        </is>
      </c>
      <c r="C933" s="101" t="inlineStr">
        <is>
          <t>Licença de e-mail corporativo</t>
        </is>
      </c>
      <c r="D933" s="102" t="n">
        <v>9</v>
      </c>
      <c r="E933" s="103" t="n">
        <v>50</v>
      </c>
      <c r="F933" s="104">
        <f>IFERROR(D933*E933,0)</f>
        <v/>
      </c>
      <c r="G933" s="101">
        <f>INDEX(SETORES!$B:$B,MATCH(A933,SETORES!$A:$A,0))</f>
        <v/>
      </c>
      <c r="H933" s="101" t="inlineStr">
        <is>
          <t>Junho/2026</t>
        </is>
      </c>
    </row>
    <row r="934" hidden="1" ht="14.25" customHeight="1" s="64">
      <c r="A934" s="106" t="inlineStr">
        <is>
          <t>Qualidade</t>
        </is>
      </c>
      <c r="B934" s="106" t="inlineStr">
        <is>
          <t>Custo Fixo</t>
        </is>
      </c>
      <c r="C934" s="106" t="inlineStr">
        <is>
          <t>Despesas com RH</t>
        </is>
      </c>
      <c r="D934" s="107" t="n">
        <v>8</v>
      </c>
      <c r="E934" s="108" t="n">
        <v>28.31</v>
      </c>
      <c r="F934" s="109">
        <f>IFERROR(D934*E934,0)</f>
        <v/>
      </c>
      <c r="G934" s="106">
        <f>INDEX(SETORES!$B:$B,MATCH(A934,SETORES!$A:$A,0))</f>
        <v/>
      </c>
      <c r="H934" s="106" t="inlineStr">
        <is>
          <t>Junho/2026</t>
        </is>
      </c>
    </row>
    <row r="935" hidden="1" ht="14.25" customHeight="1" s="64">
      <c r="A935" s="101" t="inlineStr">
        <is>
          <t>Qualidade</t>
        </is>
      </c>
      <c r="B935" s="101" t="inlineStr">
        <is>
          <t>Custo Fixo</t>
        </is>
      </c>
      <c r="C935" s="101" t="inlineStr">
        <is>
          <t>Despesas com DP</t>
        </is>
      </c>
      <c r="D935" s="102" t="n">
        <v>8</v>
      </c>
      <c r="E935" s="103" t="n">
        <v>47.79</v>
      </c>
      <c r="F935" s="104">
        <f>IFERROR(D935*E935,0)</f>
        <v/>
      </c>
      <c r="G935" s="101">
        <f>INDEX(SETORES!$B:$B,MATCH(A935,SETORES!$A:$A,0))</f>
        <v/>
      </c>
      <c r="H935" s="101" t="inlineStr">
        <is>
          <t>Junho/2026</t>
        </is>
      </c>
    </row>
    <row r="936" hidden="1" ht="14.25" customHeight="1" s="64">
      <c r="A936" s="106" t="inlineStr">
        <is>
          <t>Qualidade</t>
        </is>
      </c>
      <c r="B936" s="106" t="inlineStr">
        <is>
          <t>Custo Fixo</t>
        </is>
      </c>
      <c r="C936" s="106" t="inlineStr">
        <is>
          <t>Despesas com SST</t>
        </is>
      </c>
      <c r="D936" s="107" t="n">
        <v>8</v>
      </c>
      <c r="E936" s="108" t="n">
        <v>64.54000000000001</v>
      </c>
      <c r="F936" s="109">
        <f>IFERROR(D936*E936,0)</f>
        <v/>
      </c>
      <c r="G936" s="106">
        <f>INDEX(SETORES!$B:$B,MATCH(A936,SETORES!$A:$A,0))</f>
        <v/>
      </c>
      <c r="H936" s="106" t="inlineStr">
        <is>
          <t>Junho/2026</t>
        </is>
      </c>
    </row>
    <row r="937" hidden="1" ht="14.25" customHeight="1" s="64">
      <c r="A937" s="101" t="inlineStr">
        <is>
          <t>Jurídico</t>
        </is>
      </c>
      <c r="B937" s="101" t="inlineStr">
        <is>
          <t>Custo Fixo</t>
        </is>
      </c>
      <c r="C937" s="101" t="inlineStr">
        <is>
          <t>Gympass</t>
        </is>
      </c>
      <c r="D937" s="102" t="n">
        <v>2</v>
      </c>
      <c r="E937" s="103" t="n">
        <v>9.85</v>
      </c>
      <c r="F937" s="104">
        <f>IFERROR(D937*E937,0)</f>
        <v/>
      </c>
      <c r="G937" s="101">
        <f>INDEX(SETORES!$B:$B,MATCH(A937,SETORES!$A:$A,0))</f>
        <v/>
      </c>
      <c r="H937" s="101" t="inlineStr">
        <is>
          <t>Junho/2026</t>
        </is>
      </c>
    </row>
    <row r="938" hidden="1" ht="14.25" customHeight="1" s="64">
      <c r="A938" s="106" t="inlineStr">
        <is>
          <t>Jurídico</t>
        </is>
      </c>
      <c r="B938" s="106" t="inlineStr">
        <is>
          <t>Custo Fixo</t>
        </is>
      </c>
      <c r="C938" s="106" t="inlineStr">
        <is>
          <t>Stargrid</t>
        </is>
      </c>
      <c r="D938" s="107" t="n">
        <v>2</v>
      </c>
      <c r="E938" s="108" t="n">
        <v>2.04</v>
      </c>
      <c r="F938" s="109">
        <f>IFERROR(D938*E938,0)</f>
        <v/>
      </c>
      <c r="G938" s="106">
        <f>INDEX(SETORES!$B:$B,MATCH(A938,SETORES!$A:$A,0))</f>
        <v/>
      </c>
      <c r="H938" s="106" t="inlineStr">
        <is>
          <t>Junho/2026</t>
        </is>
      </c>
    </row>
    <row r="939" hidden="1" ht="14.25" customHeight="1" s="64">
      <c r="A939" s="101" t="inlineStr">
        <is>
          <t>Jurídico</t>
        </is>
      </c>
      <c r="B939" s="101" t="inlineStr">
        <is>
          <t>Custo Fixo</t>
        </is>
      </c>
      <c r="C939" s="101" t="inlineStr">
        <is>
          <t>Licença de e-mail corporativo</t>
        </is>
      </c>
      <c r="D939" s="102" t="n">
        <v>2</v>
      </c>
      <c r="E939" s="103" t="n">
        <v>50</v>
      </c>
      <c r="F939" s="104">
        <f>IFERROR(D939*E939,0)</f>
        <v/>
      </c>
      <c r="G939" s="101">
        <f>INDEX(SETORES!$B:$B,MATCH(A939,SETORES!$A:$A,0))</f>
        <v/>
      </c>
      <c r="H939" s="101" t="inlineStr">
        <is>
          <t>Junho/2026</t>
        </is>
      </c>
    </row>
    <row r="940" hidden="1" ht="14.25" customHeight="1" s="64">
      <c r="A940" s="106" t="inlineStr">
        <is>
          <t>Jurídico</t>
        </is>
      </c>
      <c r="B940" s="106" t="inlineStr">
        <is>
          <t>Custo Fixo</t>
        </is>
      </c>
      <c r="C940" s="106" t="inlineStr">
        <is>
          <t>Despesas com RH</t>
        </is>
      </c>
      <c r="D940" s="107" t="n">
        <v>2</v>
      </c>
      <c r="E940" s="108" t="n">
        <v>28.31</v>
      </c>
      <c r="F940" s="109">
        <f>IFERROR(D940*E940,0)</f>
        <v/>
      </c>
      <c r="G940" s="106">
        <f>INDEX(SETORES!$B:$B,MATCH(A940,SETORES!$A:$A,0))</f>
        <v/>
      </c>
      <c r="H940" s="106" t="inlineStr">
        <is>
          <t>Junho/2026</t>
        </is>
      </c>
    </row>
    <row r="941" hidden="1" ht="14.25" customHeight="1" s="64">
      <c r="A941" s="101" t="inlineStr">
        <is>
          <t>Jurídico</t>
        </is>
      </c>
      <c r="B941" s="101" t="inlineStr">
        <is>
          <t>Custo Fixo</t>
        </is>
      </c>
      <c r="C941" s="101" t="inlineStr">
        <is>
          <t>Despesas com DP</t>
        </is>
      </c>
      <c r="D941" s="102" t="n">
        <v>2</v>
      </c>
      <c r="E941" s="103" t="n">
        <v>47.79</v>
      </c>
      <c r="F941" s="104">
        <f>IFERROR(D941*E941,0)</f>
        <v/>
      </c>
      <c r="G941" s="101">
        <f>INDEX(SETORES!$B:$B,MATCH(A941,SETORES!$A:$A,0))</f>
        <v/>
      </c>
      <c r="H941" s="101" t="inlineStr">
        <is>
          <t>Junho/2026</t>
        </is>
      </c>
    </row>
    <row r="942" hidden="1" ht="14.25" customHeight="1" s="64">
      <c r="A942" s="106" t="inlineStr">
        <is>
          <t>Jurídico</t>
        </is>
      </c>
      <c r="B942" s="106" t="inlineStr">
        <is>
          <t>Custo Fixo</t>
        </is>
      </c>
      <c r="C942" s="106" t="inlineStr">
        <is>
          <t>Despesas com SST</t>
        </is>
      </c>
      <c r="D942" s="107" t="n">
        <v>2</v>
      </c>
      <c r="E942" s="108" t="n">
        <v>64.54000000000001</v>
      </c>
      <c r="F942" s="109">
        <f>IFERROR(D942*E942,0)</f>
        <v/>
      </c>
      <c r="G942" s="106">
        <f>INDEX(SETORES!$B:$B,MATCH(A942,SETORES!$A:$A,0))</f>
        <v/>
      </c>
      <c r="H942" s="106" t="inlineStr">
        <is>
          <t>Junho/2026</t>
        </is>
      </c>
    </row>
    <row r="943" hidden="1" ht="14.25" customHeight="1" s="64">
      <c r="A943" s="101" t="inlineStr">
        <is>
          <t>Marketing</t>
        </is>
      </c>
      <c r="B943" s="101" t="inlineStr">
        <is>
          <t>Custo Fixo</t>
        </is>
      </c>
      <c r="C943" s="101" t="inlineStr">
        <is>
          <t>Gympass</t>
        </is>
      </c>
      <c r="D943" s="102" t="n">
        <v>12</v>
      </c>
      <c r="E943" s="103" t="n">
        <v>9.85</v>
      </c>
      <c r="F943" s="104">
        <f>IFERROR(D943*E943,0)</f>
        <v/>
      </c>
      <c r="G943" s="101">
        <f>INDEX(SETORES!$B:$B,MATCH(A943,SETORES!$A:$A,0))</f>
        <v/>
      </c>
      <c r="H943" s="101" t="inlineStr">
        <is>
          <t>Junho/2026</t>
        </is>
      </c>
    </row>
    <row r="944" hidden="1" ht="14.25" customHeight="1" s="64">
      <c r="A944" s="106" t="inlineStr">
        <is>
          <t>Marketing</t>
        </is>
      </c>
      <c r="B944" s="106" t="inlineStr">
        <is>
          <t>Custo Fixo</t>
        </is>
      </c>
      <c r="C944" s="106" t="inlineStr">
        <is>
          <t>Stargrid</t>
        </is>
      </c>
      <c r="D944" s="107" t="n">
        <v>12</v>
      </c>
      <c r="E944" s="108" t="n">
        <v>2.04</v>
      </c>
      <c r="F944" s="109">
        <f>IFERROR(D944*E944,0)</f>
        <v/>
      </c>
      <c r="G944" s="106">
        <f>INDEX(SETORES!$B:$B,MATCH(A944,SETORES!$A:$A,0))</f>
        <v/>
      </c>
      <c r="H944" s="106" t="inlineStr">
        <is>
          <t>Junho/2026</t>
        </is>
      </c>
    </row>
    <row r="945" hidden="1" ht="14.25" customHeight="1" s="64">
      <c r="A945" s="101" t="inlineStr">
        <is>
          <t>Marketing</t>
        </is>
      </c>
      <c r="B945" s="101" t="inlineStr">
        <is>
          <t>Custo Fixo</t>
        </is>
      </c>
      <c r="C945" s="101" t="inlineStr">
        <is>
          <t>Licença de e-mail corporativo</t>
        </is>
      </c>
      <c r="D945" s="102" t="n">
        <v>12</v>
      </c>
      <c r="E945" s="103" t="n">
        <v>50</v>
      </c>
      <c r="F945" s="104">
        <f>IFERROR(D945*E945,0)</f>
        <v/>
      </c>
      <c r="G945" s="101">
        <f>INDEX(SETORES!$B:$B,MATCH(A945,SETORES!$A:$A,0))</f>
        <v/>
      </c>
      <c r="H945" s="101" t="inlineStr">
        <is>
          <t>Junho/2026</t>
        </is>
      </c>
    </row>
    <row r="946" hidden="1" ht="14.25" customHeight="1" s="64">
      <c r="A946" s="106" t="inlineStr">
        <is>
          <t>Marketing</t>
        </is>
      </c>
      <c r="B946" s="106" t="inlineStr">
        <is>
          <t>Custo Fixo</t>
        </is>
      </c>
      <c r="C946" s="106" t="inlineStr">
        <is>
          <t>Despesas com RH</t>
        </is>
      </c>
      <c r="D946" s="107" t="n">
        <v>12</v>
      </c>
      <c r="E946" s="108" t="n">
        <v>28.31</v>
      </c>
      <c r="F946" s="109">
        <f>IFERROR(D946*E946,0)</f>
        <v/>
      </c>
      <c r="G946" s="106">
        <f>INDEX(SETORES!$B:$B,MATCH(A946,SETORES!$A:$A,0))</f>
        <v/>
      </c>
      <c r="H946" s="106" t="inlineStr">
        <is>
          <t>Junho/2026</t>
        </is>
      </c>
    </row>
    <row r="947" hidden="1" ht="14.25" customHeight="1" s="64">
      <c r="A947" s="101" t="inlineStr">
        <is>
          <t>Marketing</t>
        </is>
      </c>
      <c r="B947" s="101" t="inlineStr">
        <is>
          <t>Custo Fixo</t>
        </is>
      </c>
      <c r="C947" s="101" t="inlineStr">
        <is>
          <t>Despesas com DP</t>
        </is>
      </c>
      <c r="D947" s="102" t="n">
        <v>12</v>
      </c>
      <c r="E947" s="103" t="n">
        <v>47.79</v>
      </c>
      <c r="F947" s="104">
        <f>IFERROR(D947*E947,0)</f>
        <v/>
      </c>
      <c r="G947" s="101">
        <f>INDEX(SETORES!$B:$B,MATCH(A947,SETORES!$A:$A,0))</f>
        <v/>
      </c>
      <c r="H947" s="101" t="inlineStr">
        <is>
          <t>Junho/2026</t>
        </is>
      </c>
    </row>
    <row r="948" hidden="1" ht="14.25" customHeight="1" s="64">
      <c r="A948" s="106" t="inlineStr">
        <is>
          <t>Marketing</t>
        </is>
      </c>
      <c r="B948" s="106" t="inlineStr">
        <is>
          <t>Custo Fixo</t>
        </is>
      </c>
      <c r="C948" s="106" t="inlineStr">
        <is>
          <t>Despesas com SST</t>
        </is>
      </c>
      <c r="D948" s="107" t="n">
        <v>12</v>
      </c>
      <c r="E948" s="108" t="n">
        <v>64.54000000000001</v>
      </c>
      <c r="F948" s="109">
        <f>IFERROR(D948*E948,0)</f>
        <v/>
      </c>
      <c r="G948" s="106">
        <f>INDEX(SETORES!$B:$B,MATCH(A948,SETORES!$A:$A,0))</f>
        <v/>
      </c>
      <c r="H948" s="106" t="inlineStr">
        <is>
          <t>Junho/2026</t>
        </is>
      </c>
    </row>
    <row r="949" hidden="1" ht="14.25" customHeight="1" s="64">
      <c r="A949" s="101" t="inlineStr">
        <is>
          <t>TIC</t>
        </is>
      </c>
      <c r="B949" s="101" t="inlineStr">
        <is>
          <t>Custo Fixo</t>
        </is>
      </c>
      <c r="C949" s="101" t="inlineStr">
        <is>
          <t>Gympass</t>
        </is>
      </c>
      <c r="D949" s="102" t="n">
        <v>5</v>
      </c>
      <c r="E949" s="103" t="n">
        <v>9.85</v>
      </c>
      <c r="F949" s="104">
        <f>IFERROR(D949*E949,0)</f>
        <v/>
      </c>
      <c r="G949" s="101">
        <f>INDEX(SETORES!$B:$B,MATCH(A949,SETORES!$A:$A,0))</f>
        <v/>
      </c>
      <c r="H949" s="101" t="inlineStr">
        <is>
          <t>Junho/2026</t>
        </is>
      </c>
    </row>
    <row r="950" hidden="1" ht="14.25" customHeight="1" s="64">
      <c r="A950" s="106" t="inlineStr">
        <is>
          <t>TIC</t>
        </is>
      </c>
      <c r="B950" s="106" t="inlineStr">
        <is>
          <t>Custo Fixo</t>
        </is>
      </c>
      <c r="C950" s="106" t="inlineStr">
        <is>
          <t>Stargrid</t>
        </is>
      </c>
      <c r="D950" s="107" t="n">
        <v>5</v>
      </c>
      <c r="E950" s="108" t="n">
        <v>2.04</v>
      </c>
      <c r="F950" s="109">
        <f>IFERROR(D950*E950,0)</f>
        <v/>
      </c>
      <c r="G950" s="106">
        <f>INDEX(SETORES!$B:$B,MATCH(A950,SETORES!$A:$A,0))</f>
        <v/>
      </c>
      <c r="H950" s="106" t="inlineStr">
        <is>
          <t>Junho/2026</t>
        </is>
      </c>
    </row>
    <row r="951" hidden="1" ht="14.25" customHeight="1" s="64">
      <c r="A951" s="101" t="inlineStr">
        <is>
          <t>TIC</t>
        </is>
      </c>
      <c r="B951" s="101" t="inlineStr">
        <is>
          <t>Custo Fixo</t>
        </is>
      </c>
      <c r="C951" s="101" t="inlineStr">
        <is>
          <t>Licença de e-mail corporativo</t>
        </is>
      </c>
      <c r="D951" s="102" t="n">
        <v>7</v>
      </c>
      <c r="E951" s="103" t="n">
        <v>92.85714299999999</v>
      </c>
      <c r="F951" s="104">
        <f>IFERROR(D951*E951,0)</f>
        <v/>
      </c>
      <c r="G951" s="101">
        <f>INDEX(SETORES!$B:$B,MATCH(A951,SETORES!$A:$A,0))</f>
        <v/>
      </c>
      <c r="H951" s="101" t="inlineStr">
        <is>
          <t>Junho/2026</t>
        </is>
      </c>
    </row>
    <row r="952" hidden="1" ht="14.25" customHeight="1" s="64">
      <c r="A952" s="106" t="inlineStr">
        <is>
          <t>TIC</t>
        </is>
      </c>
      <c r="B952" s="106" t="inlineStr">
        <is>
          <t>Custo Fixo</t>
        </is>
      </c>
      <c r="C952" s="106" t="inlineStr">
        <is>
          <t>Despesas com RH</t>
        </is>
      </c>
      <c r="D952" s="107" t="n">
        <v>5</v>
      </c>
      <c r="E952" s="108" t="n">
        <v>28.31</v>
      </c>
      <c r="F952" s="109">
        <f>IFERROR(D952*E952,0)</f>
        <v/>
      </c>
      <c r="G952" s="106">
        <f>INDEX(SETORES!$B:$B,MATCH(A952,SETORES!$A:$A,0))</f>
        <v/>
      </c>
      <c r="H952" s="106" t="inlineStr">
        <is>
          <t>Junho/2026</t>
        </is>
      </c>
    </row>
    <row r="953" hidden="1" ht="14.25" customHeight="1" s="64">
      <c r="A953" s="101" t="inlineStr">
        <is>
          <t>TIC</t>
        </is>
      </c>
      <c r="B953" s="101" t="inlineStr">
        <is>
          <t>Custo Fixo</t>
        </is>
      </c>
      <c r="C953" s="101" t="inlineStr">
        <is>
          <t>Despesas com DP</t>
        </is>
      </c>
      <c r="D953" s="102" t="n">
        <v>5</v>
      </c>
      <c r="E953" s="103" t="n">
        <v>47.79</v>
      </c>
      <c r="F953" s="104">
        <f>IFERROR(D953*E953,0)</f>
        <v/>
      </c>
      <c r="G953" s="101">
        <f>INDEX(SETORES!$B:$B,MATCH(A953,SETORES!$A:$A,0))</f>
        <v/>
      </c>
      <c r="H953" s="101" t="inlineStr">
        <is>
          <t>Junho/2026</t>
        </is>
      </c>
    </row>
    <row r="954" hidden="1" ht="14.25" customHeight="1" s="64">
      <c r="A954" s="106" t="inlineStr">
        <is>
          <t>TIC</t>
        </is>
      </c>
      <c r="B954" s="106" t="inlineStr">
        <is>
          <t>Custo Fixo</t>
        </is>
      </c>
      <c r="C954" s="106" t="inlineStr">
        <is>
          <t>Despesas com SST</t>
        </is>
      </c>
      <c r="D954" s="107" t="n">
        <v>5</v>
      </c>
      <c r="E954" s="108" t="n">
        <v>64.54000000000001</v>
      </c>
      <c r="F954" s="109">
        <f>IFERROR(D954*E954,0)</f>
        <v/>
      </c>
      <c r="G954" s="106">
        <f>INDEX(SETORES!$B:$B,MATCH(A954,SETORES!$A:$A,0))</f>
        <v/>
      </c>
      <c r="H954" s="106" t="inlineStr">
        <is>
          <t>Junho/2026</t>
        </is>
      </c>
    </row>
    <row r="955" hidden="1" ht="14.25" customHeight="1" s="64">
      <c r="A955" s="101" t="inlineStr">
        <is>
          <t>COE</t>
        </is>
      </c>
      <c r="B955" s="101" t="inlineStr">
        <is>
          <t>Custo Fixo</t>
        </is>
      </c>
      <c r="C955" s="101" t="inlineStr">
        <is>
          <t>Gympass</t>
        </is>
      </c>
      <c r="D955" s="102" t="n">
        <v>15</v>
      </c>
      <c r="E955" s="103" t="n">
        <v>9.85</v>
      </c>
      <c r="F955" s="104">
        <f>IFERROR(D955*E955,0)</f>
        <v/>
      </c>
      <c r="G955" s="101">
        <f>INDEX(SETORES!$B:$B,MATCH(A955,SETORES!$A:$A,0))</f>
        <v/>
      </c>
      <c r="H955" s="101" t="inlineStr">
        <is>
          <t>Junho/2026</t>
        </is>
      </c>
    </row>
    <row r="956" hidden="1" ht="14.25" customHeight="1" s="64">
      <c r="A956" s="106" t="inlineStr">
        <is>
          <t>COE</t>
        </is>
      </c>
      <c r="B956" s="106" t="inlineStr">
        <is>
          <t>Custo Fixo</t>
        </is>
      </c>
      <c r="C956" s="106" t="inlineStr">
        <is>
          <t>Stargrid</t>
        </is>
      </c>
      <c r="D956" s="107" t="n">
        <v>15</v>
      </c>
      <c r="E956" s="108" t="n">
        <v>2.04</v>
      </c>
      <c r="F956" s="109">
        <f>IFERROR(D956*E956,0)</f>
        <v/>
      </c>
      <c r="G956" s="106">
        <f>INDEX(SETORES!$B:$B,MATCH(A956,SETORES!$A:$A,0))</f>
        <v/>
      </c>
      <c r="H956" s="106" t="inlineStr">
        <is>
          <t>Junho/2026</t>
        </is>
      </c>
    </row>
    <row r="957" hidden="1" ht="14.25" customHeight="1" s="64">
      <c r="A957" s="101" t="inlineStr">
        <is>
          <t>COE</t>
        </is>
      </c>
      <c r="B957" s="101" t="inlineStr">
        <is>
          <t>Custo Fixo</t>
        </is>
      </c>
      <c r="C957" s="101" t="inlineStr">
        <is>
          <t>Licença de e-mail corporativo</t>
        </is>
      </c>
      <c r="D957" s="102" t="n">
        <v>15</v>
      </c>
      <c r="E957" s="103" t="n">
        <v>50</v>
      </c>
      <c r="F957" s="104">
        <f>IFERROR(D957*E957,0)</f>
        <v/>
      </c>
      <c r="G957" s="101">
        <f>INDEX(SETORES!$B:$B,MATCH(A957,SETORES!$A:$A,0))</f>
        <v/>
      </c>
      <c r="H957" s="101" t="inlineStr">
        <is>
          <t>Junho/2026</t>
        </is>
      </c>
    </row>
    <row r="958" hidden="1" ht="14.25" customHeight="1" s="64">
      <c r="A958" s="106" t="inlineStr">
        <is>
          <t>COE</t>
        </is>
      </c>
      <c r="B958" s="106" t="inlineStr">
        <is>
          <t>Custo Fixo</t>
        </is>
      </c>
      <c r="C958" s="106" t="inlineStr">
        <is>
          <t>Despesas com RH</t>
        </is>
      </c>
      <c r="D958" s="107" t="n">
        <v>15</v>
      </c>
      <c r="E958" s="108" t="n">
        <v>28.31</v>
      </c>
      <c r="F958" s="109">
        <f>IFERROR(D958*E958,0)</f>
        <v/>
      </c>
      <c r="G958" s="106">
        <f>INDEX(SETORES!$B:$B,MATCH(A958,SETORES!$A:$A,0))</f>
        <v/>
      </c>
      <c r="H958" s="106" t="inlineStr">
        <is>
          <t>Junho/2026</t>
        </is>
      </c>
    </row>
    <row r="959" hidden="1" ht="14.25" customHeight="1" s="64">
      <c r="A959" s="101" t="inlineStr">
        <is>
          <t>COE</t>
        </is>
      </c>
      <c r="B959" s="101" t="inlineStr">
        <is>
          <t>Custo Fixo</t>
        </is>
      </c>
      <c r="C959" s="101" t="inlineStr">
        <is>
          <t>Despesas com DP</t>
        </is>
      </c>
      <c r="D959" s="102" t="n">
        <v>15</v>
      </c>
      <c r="E959" s="103" t="n">
        <v>47.79</v>
      </c>
      <c r="F959" s="104">
        <f>IFERROR(D959*E959,0)</f>
        <v/>
      </c>
      <c r="G959" s="101">
        <f>INDEX(SETORES!$B:$B,MATCH(A959,SETORES!$A:$A,0))</f>
        <v/>
      </c>
      <c r="H959" s="101" t="inlineStr">
        <is>
          <t>Junho/2026</t>
        </is>
      </c>
    </row>
    <row r="960" hidden="1" ht="14.25" customHeight="1" s="64">
      <c r="A960" s="106" t="inlineStr">
        <is>
          <t>COE</t>
        </is>
      </c>
      <c r="B960" s="106" t="inlineStr">
        <is>
          <t>Custo Fixo</t>
        </is>
      </c>
      <c r="C960" s="106" t="inlineStr">
        <is>
          <t>Despesas com SST</t>
        </is>
      </c>
      <c r="D960" s="107" t="n">
        <v>15</v>
      </c>
      <c r="E960" s="108" t="n">
        <v>64.54000000000001</v>
      </c>
      <c r="F960" s="109">
        <f>IFERROR(D960*E960,0)</f>
        <v/>
      </c>
      <c r="G960" s="106">
        <f>INDEX(SETORES!$B:$B,MATCH(A960,SETORES!$A:$A,0))</f>
        <v/>
      </c>
      <c r="H960" s="106" t="inlineStr">
        <is>
          <t>Junho/2026</t>
        </is>
      </c>
    </row>
    <row r="961" hidden="1" ht="14.25" customHeight="1" s="64">
      <c r="A961" s="101" t="inlineStr">
        <is>
          <t>Fique Móvel</t>
        </is>
      </c>
      <c r="B961" s="101" t="inlineStr">
        <is>
          <t>Custo Fixo</t>
        </is>
      </c>
      <c r="C961" s="101" t="inlineStr">
        <is>
          <t>Gympass</t>
        </is>
      </c>
      <c r="D961" s="102" t="n">
        <v>2</v>
      </c>
      <c r="E961" s="103" t="n">
        <v>9.85</v>
      </c>
      <c r="F961" s="104">
        <f>IFERROR(D961*E961,0)</f>
        <v/>
      </c>
      <c r="G961" s="101">
        <f>INDEX(SETORES!$B:$B,MATCH(A961,SETORES!$A:$A,0))</f>
        <v/>
      </c>
      <c r="H961" s="101" t="inlineStr">
        <is>
          <t>Junho/2026</t>
        </is>
      </c>
    </row>
    <row r="962" hidden="1" ht="14.25" customHeight="1" s="64">
      <c r="A962" s="106" t="inlineStr">
        <is>
          <t>Fique Móvel</t>
        </is>
      </c>
      <c r="B962" s="106" t="inlineStr">
        <is>
          <t>Custo Fixo</t>
        </is>
      </c>
      <c r="C962" s="106" t="inlineStr">
        <is>
          <t>Stargrid</t>
        </is>
      </c>
      <c r="D962" s="107" t="n">
        <v>2</v>
      </c>
      <c r="E962" s="108" t="n">
        <v>2.04</v>
      </c>
      <c r="F962" s="109">
        <f>IFERROR(D962*E962,0)</f>
        <v/>
      </c>
      <c r="G962" s="106">
        <f>INDEX(SETORES!$B:$B,MATCH(A962,SETORES!$A:$A,0))</f>
        <v/>
      </c>
      <c r="H962" s="106" t="inlineStr">
        <is>
          <t>Junho/2026</t>
        </is>
      </c>
    </row>
    <row r="963" hidden="1" ht="14.25" customHeight="1" s="64">
      <c r="A963" s="101" t="inlineStr">
        <is>
          <t>Fique Móvel</t>
        </is>
      </c>
      <c r="B963" s="101" t="inlineStr">
        <is>
          <t>Custo Fixo</t>
        </is>
      </c>
      <c r="C963" s="101" t="inlineStr">
        <is>
          <t>Licença de e-mail corporativo</t>
        </is>
      </c>
      <c r="D963" s="102" t="n">
        <v>2</v>
      </c>
      <c r="E963" s="103" t="n">
        <v>50</v>
      </c>
      <c r="F963" s="104">
        <f>IFERROR(D963*E963,0)</f>
        <v/>
      </c>
      <c r="G963" s="101">
        <f>INDEX(SETORES!$B:$B,MATCH(A963,SETORES!$A:$A,0))</f>
        <v/>
      </c>
      <c r="H963" s="101" t="inlineStr">
        <is>
          <t>Junho/2026</t>
        </is>
      </c>
    </row>
    <row r="964" hidden="1" ht="14.25" customHeight="1" s="64">
      <c r="A964" s="106" t="inlineStr">
        <is>
          <t>Fique Móvel</t>
        </is>
      </c>
      <c r="B964" s="106" t="inlineStr">
        <is>
          <t>Custo Fixo</t>
        </is>
      </c>
      <c r="C964" s="106" t="inlineStr">
        <is>
          <t>Despesas com RH</t>
        </is>
      </c>
      <c r="D964" s="107" t="n">
        <v>2</v>
      </c>
      <c r="E964" s="108" t="n">
        <v>28.31</v>
      </c>
      <c r="F964" s="109">
        <f>IFERROR(D964*E964,0)</f>
        <v/>
      </c>
      <c r="G964" s="106">
        <f>INDEX(SETORES!$B:$B,MATCH(A964,SETORES!$A:$A,0))</f>
        <v/>
      </c>
      <c r="H964" s="106" t="inlineStr">
        <is>
          <t>Junho/2026</t>
        </is>
      </c>
    </row>
    <row r="965" hidden="1" ht="14.25" customHeight="1" s="64">
      <c r="A965" s="101" t="inlineStr">
        <is>
          <t>Fique Móvel</t>
        </is>
      </c>
      <c r="B965" s="101" t="inlineStr">
        <is>
          <t>Custo Fixo</t>
        </is>
      </c>
      <c r="C965" s="101" t="inlineStr">
        <is>
          <t>Despesas com DP</t>
        </is>
      </c>
      <c r="D965" s="102" t="n">
        <v>2</v>
      </c>
      <c r="E965" s="103" t="n">
        <v>47.79</v>
      </c>
      <c r="F965" s="104">
        <f>IFERROR(D965*E965,0)</f>
        <v/>
      </c>
      <c r="G965" s="101">
        <f>INDEX(SETORES!$B:$B,MATCH(A965,SETORES!$A:$A,0))</f>
        <v/>
      </c>
      <c r="H965" s="101" t="inlineStr">
        <is>
          <t>Junho/2026</t>
        </is>
      </c>
    </row>
    <row r="966" hidden="1" ht="14.25" customHeight="1" s="64">
      <c r="A966" s="106" t="inlineStr">
        <is>
          <t>Fique Móvel</t>
        </is>
      </c>
      <c r="B966" s="106" t="inlineStr">
        <is>
          <t>Custo Fixo</t>
        </is>
      </c>
      <c r="C966" s="106" t="inlineStr">
        <is>
          <t>Despesas com SST</t>
        </is>
      </c>
      <c r="D966" s="107" t="n">
        <v>2</v>
      </c>
      <c r="E966" s="108" t="n">
        <v>64.54000000000001</v>
      </c>
      <c r="F966" s="109">
        <f>IFERROR(D966*E966,0)</f>
        <v/>
      </c>
      <c r="G966" s="106">
        <f>INDEX(SETORES!$B:$B,MATCH(A966,SETORES!$A:$A,0))</f>
        <v/>
      </c>
      <c r="H966" s="106" t="inlineStr">
        <is>
          <t>Junho/2026</t>
        </is>
      </c>
    </row>
    <row r="967" hidden="1" ht="14.25" customHeight="1" s="64">
      <c r="A967" s="101" t="inlineStr">
        <is>
          <t>Lançamento</t>
        </is>
      </c>
      <c r="B967" s="101" t="inlineStr">
        <is>
          <t>Custo Fixo</t>
        </is>
      </c>
      <c r="C967" s="101" t="inlineStr">
        <is>
          <t>Gympass</t>
        </is>
      </c>
      <c r="D967" s="102" t="n">
        <v>21</v>
      </c>
      <c r="E967" s="103" t="n">
        <v>9.85</v>
      </c>
      <c r="F967" s="104">
        <f>IFERROR(D967*E967,0)</f>
        <v/>
      </c>
      <c r="G967" s="101">
        <f>INDEX(SETORES!$B:$B,MATCH(A967,SETORES!$A:$A,0))</f>
        <v/>
      </c>
      <c r="H967" s="101" t="inlineStr">
        <is>
          <t>Junho/2026</t>
        </is>
      </c>
    </row>
    <row r="968" hidden="1" ht="14.25" customHeight="1" s="64">
      <c r="A968" s="106" t="inlineStr">
        <is>
          <t>Lançamento</t>
        </is>
      </c>
      <c r="B968" s="106" t="inlineStr">
        <is>
          <t>Custo Fixo</t>
        </is>
      </c>
      <c r="C968" s="106" t="inlineStr">
        <is>
          <t>Stargrid</t>
        </is>
      </c>
      <c r="D968" s="107" t="n">
        <v>21</v>
      </c>
      <c r="E968" s="108" t="n">
        <v>2.04</v>
      </c>
      <c r="F968" s="109">
        <f>IFERROR(D968*E968,0)</f>
        <v/>
      </c>
      <c r="G968" s="106">
        <f>INDEX(SETORES!$B:$B,MATCH(A968,SETORES!$A:$A,0))</f>
        <v/>
      </c>
      <c r="H968" s="106" t="inlineStr">
        <is>
          <t>Junho/2026</t>
        </is>
      </c>
    </row>
    <row r="969" hidden="1" ht="14.25" customHeight="1" s="64">
      <c r="A969" s="101" t="inlineStr">
        <is>
          <t>Lançamento</t>
        </is>
      </c>
      <c r="B969" s="101" t="inlineStr">
        <is>
          <t>Custo Fixo</t>
        </is>
      </c>
      <c r="C969" s="101" t="inlineStr">
        <is>
          <t>Licença de e-mail corporativo</t>
        </is>
      </c>
      <c r="D969" s="102" t="n">
        <v>21</v>
      </c>
      <c r="E969" s="103" t="n">
        <v>50</v>
      </c>
      <c r="F969" s="104">
        <f>IFERROR(D969*E969,0)</f>
        <v/>
      </c>
      <c r="G969" s="101">
        <f>INDEX(SETORES!$B:$B,MATCH(A969,SETORES!$A:$A,0))</f>
        <v/>
      </c>
      <c r="H969" s="101" t="inlineStr">
        <is>
          <t>Junho/2026</t>
        </is>
      </c>
    </row>
    <row r="970" hidden="1" ht="14.25" customHeight="1" s="64">
      <c r="A970" s="106" t="inlineStr">
        <is>
          <t>Lançamento</t>
        </is>
      </c>
      <c r="B970" s="106" t="inlineStr">
        <is>
          <t>Custo Fixo</t>
        </is>
      </c>
      <c r="C970" s="106" t="inlineStr">
        <is>
          <t>Despesas com RH</t>
        </is>
      </c>
      <c r="D970" s="107" t="n">
        <v>21</v>
      </c>
      <c r="E970" s="108" t="n">
        <v>28.31</v>
      </c>
      <c r="F970" s="109">
        <f>IFERROR(D970*E970,0)</f>
        <v/>
      </c>
      <c r="G970" s="106">
        <f>INDEX(SETORES!$B:$B,MATCH(A970,SETORES!$A:$A,0))</f>
        <v/>
      </c>
      <c r="H970" s="106" t="inlineStr">
        <is>
          <t>Junho/2026</t>
        </is>
      </c>
    </row>
    <row r="971" hidden="1" ht="14.25" customHeight="1" s="64">
      <c r="A971" s="101" t="inlineStr">
        <is>
          <t>Lançamento</t>
        </is>
      </c>
      <c r="B971" s="101" t="inlineStr">
        <is>
          <t>Custo Fixo</t>
        </is>
      </c>
      <c r="C971" s="101" t="inlineStr">
        <is>
          <t>Despesas com DP</t>
        </is>
      </c>
      <c r="D971" s="102" t="n">
        <v>21</v>
      </c>
      <c r="E971" s="103" t="n">
        <v>47.79</v>
      </c>
      <c r="F971" s="104">
        <f>IFERROR(D971*E971,0)</f>
        <v/>
      </c>
      <c r="G971" s="101">
        <f>INDEX(SETORES!$B:$B,MATCH(A971,SETORES!$A:$A,0))</f>
        <v/>
      </c>
      <c r="H971" s="101" t="inlineStr">
        <is>
          <t>Junho/2026</t>
        </is>
      </c>
    </row>
    <row r="972" hidden="1" ht="14.25" customHeight="1" s="64">
      <c r="A972" s="106" t="inlineStr">
        <is>
          <t>Lançamento</t>
        </is>
      </c>
      <c r="B972" s="106" t="inlineStr">
        <is>
          <t>Custo Fixo</t>
        </is>
      </c>
      <c r="C972" s="106" t="inlineStr">
        <is>
          <t>Despesas com SST</t>
        </is>
      </c>
      <c r="D972" s="107" t="n">
        <v>21</v>
      </c>
      <c r="E972" s="108" t="n">
        <v>64.54000000000001</v>
      </c>
      <c r="F972" s="109">
        <f>IFERROR(D972*E972,0)</f>
        <v/>
      </c>
      <c r="G972" s="106">
        <f>INDEX(SETORES!$B:$B,MATCH(A972,SETORES!$A:$A,0))</f>
        <v/>
      </c>
      <c r="H972" s="106" t="inlineStr">
        <is>
          <t>Junho/2026</t>
        </is>
      </c>
    </row>
    <row r="973" hidden="1" ht="14.25" customHeight="1" s="64">
      <c r="A973" s="101" t="inlineStr">
        <is>
          <t>Fusão</t>
        </is>
      </c>
      <c r="B973" s="101" t="inlineStr">
        <is>
          <t>Custo Fixo</t>
        </is>
      </c>
      <c r="C973" s="101" t="inlineStr">
        <is>
          <t>Gympass</t>
        </is>
      </c>
      <c r="D973" s="102" t="n">
        <v>9</v>
      </c>
      <c r="E973" s="103" t="n">
        <v>9.85</v>
      </c>
      <c r="F973" s="104">
        <f>IFERROR(D973*E973,0)</f>
        <v/>
      </c>
      <c r="G973" s="101">
        <f>INDEX(SETORES!$B:$B,MATCH(A973,SETORES!$A:$A,0))</f>
        <v/>
      </c>
      <c r="H973" s="101" t="inlineStr">
        <is>
          <t>Junho/2026</t>
        </is>
      </c>
    </row>
    <row r="974" hidden="1" ht="14.25" customHeight="1" s="64">
      <c r="A974" s="106" t="inlineStr">
        <is>
          <t>Fusão</t>
        </is>
      </c>
      <c r="B974" s="106" t="inlineStr">
        <is>
          <t>Custo Fixo</t>
        </is>
      </c>
      <c r="C974" s="106" t="inlineStr">
        <is>
          <t>Stargrid</t>
        </is>
      </c>
      <c r="D974" s="107" t="n">
        <v>9</v>
      </c>
      <c r="E974" s="108" t="n">
        <v>2.04</v>
      </c>
      <c r="F974" s="109">
        <f>IFERROR(D974*E974,0)</f>
        <v/>
      </c>
      <c r="G974" s="106">
        <f>INDEX(SETORES!$B:$B,MATCH(A974,SETORES!$A:$A,0))</f>
        <v/>
      </c>
      <c r="H974" s="106" t="inlineStr">
        <is>
          <t>Junho/2026</t>
        </is>
      </c>
    </row>
    <row r="975" hidden="1" ht="14.25" customHeight="1" s="64">
      <c r="A975" s="101" t="inlineStr">
        <is>
          <t>Fusão</t>
        </is>
      </c>
      <c r="B975" s="101" t="inlineStr">
        <is>
          <t>Custo Fixo</t>
        </is>
      </c>
      <c r="C975" s="101" t="inlineStr">
        <is>
          <t>Licença de e-mail corporativo</t>
        </is>
      </c>
      <c r="D975" s="102" t="n">
        <v>10</v>
      </c>
      <c r="E975" s="103" t="n">
        <v>50</v>
      </c>
      <c r="F975" s="104">
        <f>IFERROR(D975*E975,0)</f>
        <v/>
      </c>
      <c r="G975" s="101">
        <f>INDEX(SETORES!$B:$B,MATCH(A975,SETORES!$A:$A,0))</f>
        <v/>
      </c>
      <c r="H975" s="101" t="inlineStr">
        <is>
          <t>Junho/2026</t>
        </is>
      </c>
    </row>
    <row r="976" hidden="1" ht="14.25" customHeight="1" s="64">
      <c r="A976" s="106" t="inlineStr">
        <is>
          <t>Fusão</t>
        </is>
      </c>
      <c r="B976" s="106" t="inlineStr">
        <is>
          <t>Custo Fixo</t>
        </is>
      </c>
      <c r="C976" s="106" t="inlineStr">
        <is>
          <t>Despesas com RH</t>
        </is>
      </c>
      <c r="D976" s="107" t="n">
        <v>9</v>
      </c>
      <c r="E976" s="108" t="n">
        <v>28.31</v>
      </c>
      <c r="F976" s="109">
        <f>IFERROR(D976*E976,0)</f>
        <v/>
      </c>
      <c r="G976" s="106">
        <f>INDEX(SETORES!$B:$B,MATCH(A976,SETORES!$A:$A,0))</f>
        <v/>
      </c>
      <c r="H976" s="106" t="inlineStr">
        <is>
          <t>Junho/2026</t>
        </is>
      </c>
    </row>
    <row r="977" hidden="1" ht="14.25" customHeight="1" s="64">
      <c r="A977" s="101" t="inlineStr">
        <is>
          <t>Fusão</t>
        </is>
      </c>
      <c r="B977" s="101" t="inlineStr">
        <is>
          <t>Custo Fixo</t>
        </is>
      </c>
      <c r="C977" s="101" t="inlineStr">
        <is>
          <t>Despesas com DP</t>
        </is>
      </c>
      <c r="D977" s="102" t="n">
        <v>9</v>
      </c>
      <c r="E977" s="103" t="n">
        <v>47.79</v>
      </c>
      <c r="F977" s="104">
        <f>IFERROR(D977*E977,0)</f>
        <v/>
      </c>
      <c r="G977" s="101">
        <f>INDEX(SETORES!$B:$B,MATCH(A977,SETORES!$A:$A,0))</f>
        <v/>
      </c>
      <c r="H977" s="101" t="inlineStr">
        <is>
          <t>Junho/2026</t>
        </is>
      </c>
    </row>
    <row r="978" hidden="1" ht="14.25" customHeight="1" s="64">
      <c r="A978" s="106" t="inlineStr">
        <is>
          <t>Fusão</t>
        </is>
      </c>
      <c r="B978" s="106" t="inlineStr">
        <is>
          <t>Custo Fixo</t>
        </is>
      </c>
      <c r="C978" s="106" t="inlineStr">
        <is>
          <t>Despesas com SST</t>
        </is>
      </c>
      <c r="D978" s="107" t="n">
        <v>9</v>
      </c>
      <c r="E978" s="108" t="n">
        <v>64.54000000000001</v>
      </c>
      <c r="F978" s="109">
        <f>IFERROR(D978*E978,0)</f>
        <v/>
      </c>
      <c r="G978" s="106">
        <f>INDEX(SETORES!$B:$B,MATCH(A978,SETORES!$A:$A,0))</f>
        <v/>
      </c>
      <c r="H978" s="106" t="inlineStr">
        <is>
          <t>Junho/2026</t>
        </is>
      </c>
    </row>
    <row r="979" hidden="1" ht="14.25" customHeight="1" s="64">
      <c r="A979" s="101" t="inlineStr">
        <is>
          <t>Diretoria Adm</t>
        </is>
      </c>
      <c r="B979" s="101" t="inlineStr">
        <is>
          <t>Custo Fixo</t>
        </is>
      </c>
      <c r="C979" s="101" t="inlineStr">
        <is>
          <t>Gympass</t>
        </is>
      </c>
      <c r="D979" s="102" t="n">
        <v>3</v>
      </c>
      <c r="E979" s="103" t="n">
        <v>9.85</v>
      </c>
      <c r="F979" s="104">
        <f>IFERROR(D979*E979,0)</f>
        <v/>
      </c>
      <c r="G979" s="101">
        <f>INDEX(SETORES!$B:$B,MATCH(A979,SETORES!$A:$A,0))</f>
        <v/>
      </c>
      <c r="H979" s="101" t="inlineStr">
        <is>
          <t>Junho/2026</t>
        </is>
      </c>
    </row>
    <row r="980" hidden="1" ht="14.25" customHeight="1" s="64">
      <c r="A980" s="106" t="inlineStr">
        <is>
          <t>Diretoria Adm</t>
        </is>
      </c>
      <c r="B980" s="106" t="inlineStr">
        <is>
          <t>Custo Fixo</t>
        </is>
      </c>
      <c r="C980" s="106" t="inlineStr">
        <is>
          <t>Stargrid</t>
        </is>
      </c>
      <c r="D980" s="107" t="n">
        <v>3</v>
      </c>
      <c r="E980" s="108" t="n">
        <v>2.04</v>
      </c>
      <c r="F980" s="109">
        <f>IFERROR(D980*E980,0)</f>
        <v/>
      </c>
      <c r="G980" s="106">
        <f>INDEX(SETORES!$B:$B,MATCH(A980,SETORES!$A:$A,0))</f>
        <v/>
      </c>
      <c r="H980" s="106" t="inlineStr">
        <is>
          <t>Junho/2026</t>
        </is>
      </c>
    </row>
    <row r="981" hidden="1" ht="14.25" customHeight="1" s="64">
      <c r="A981" s="101" t="inlineStr">
        <is>
          <t>Diretoria Adm</t>
        </is>
      </c>
      <c r="B981" s="101" t="inlineStr">
        <is>
          <t>Custo Fixo</t>
        </is>
      </c>
      <c r="C981" s="101" t="inlineStr">
        <is>
          <t>Licença de e-mail corporativo</t>
        </is>
      </c>
      <c r="D981" s="102" t="n">
        <v>3</v>
      </c>
      <c r="E981" s="103" t="n">
        <v>50</v>
      </c>
      <c r="F981" s="104">
        <f>IFERROR(D981*E981,0)</f>
        <v/>
      </c>
      <c r="G981" s="101">
        <f>INDEX(SETORES!$B:$B,MATCH(A981,SETORES!$A:$A,0))</f>
        <v/>
      </c>
      <c r="H981" s="101" t="inlineStr">
        <is>
          <t>Junho/2026</t>
        </is>
      </c>
    </row>
    <row r="982" hidden="1" ht="14.25" customHeight="1" s="64">
      <c r="A982" s="106" t="inlineStr">
        <is>
          <t>Diretoria Adm</t>
        </is>
      </c>
      <c r="B982" s="106" t="inlineStr">
        <is>
          <t>Custo Fixo</t>
        </is>
      </c>
      <c r="C982" s="106" t="inlineStr">
        <is>
          <t>Despesas com RH</t>
        </is>
      </c>
      <c r="D982" s="107" t="n">
        <v>3</v>
      </c>
      <c r="E982" s="108" t="n">
        <v>28.31</v>
      </c>
      <c r="F982" s="109">
        <f>IFERROR(D982*E982,0)</f>
        <v/>
      </c>
      <c r="G982" s="106">
        <f>INDEX(SETORES!$B:$B,MATCH(A982,SETORES!$A:$A,0))</f>
        <v/>
      </c>
      <c r="H982" s="106" t="inlineStr">
        <is>
          <t>Junho/2026</t>
        </is>
      </c>
    </row>
    <row r="983" hidden="1" ht="14.25" customHeight="1" s="64">
      <c r="A983" s="101" t="inlineStr">
        <is>
          <t>Diretoria Adm</t>
        </is>
      </c>
      <c r="B983" s="101" t="inlineStr">
        <is>
          <t>Custo Fixo</t>
        </is>
      </c>
      <c r="C983" s="101" t="inlineStr">
        <is>
          <t>Despesas com DP</t>
        </is>
      </c>
      <c r="D983" s="102" t="n">
        <v>3</v>
      </c>
      <c r="E983" s="103" t="n">
        <v>47.79</v>
      </c>
      <c r="F983" s="104">
        <f>IFERROR(D983*E983,0)</f>
        <v/>
      </c>
      <c r="G983" s="101">
        <f>INDEX(SETORES!$B:$B,MATCH(A983,SETORES!$A:$A,0))</f>
        <v/>
      </c>
      <c r="H983" s="101" t="inlineStr">
        <is>
          <t>Junho/2026</t>
        </is>
      </c>
    </row>
    <row r="984" hidden="1" ht="14.25" customHeight="1" s="64">
      <c r="A984" s="106" t="inlineStr">
        <is>
          <t>Diretoria Adm</t>
        </is>
      </c>
      <c r="B984" s="106" t="inlineStr">
        <is>
          <t>Custo Fixo</t>
        </is>
      </c>
      <c r="C984" s="106" t="inlineStr">
        <is>
          <t>Despesas com SST</t>
        </is>
      </c>
      <c r="D984" s="107" t="n">
        <v>3</v>
      </c>
      <c r="E984" s="108" t="n">
        <v>64.54000000000001</v>
      </c>
      <c r="F984" s="109">
        <f>IFERROR(D984*E984,0)</f>
        <v/>
      </c>
      <c r="G984" s="106">
        <f>INDEX(SETORES!$B:$B,MATCH(A984,SETORES!$A:$A,0))</f>
        <v/>
      </c>
      <c r="H984" s="106" t="inlineStr">
        <is>
          <t>Junho/2026</t>
        </is>
      </c>
    </row>
    <row r="985" hidden="1" ht="14.25" customHeight="1" s="64">
      <c r="A985" s="101" t="inlineStr">
        <is>
          <t>Televendas</t>
        </is>
      </c>
      <c r="B985" s="101" t="inlineStr">
        <is>
          <t>Custo Fixo</t>
        </is>
      </c>
      <c r="C985" s="101" t="inlineStr">
        <is>
          <t>Impressora (rateio equipe Relacionamento)</t>
        </is>
      </c>
      <c r="D985" s="102" t="n">
        <v>1</v>
      </c>
      <c r="E985" s="103" t="n">
        <v>2.727868</v>
      </c>
      <c r="F985" s="104">
        <f>IFERROR(D985*E985,0)</f>
        <v/>
      </c>
      <c r="G985" s="101">
        <f>INDEX(SETORES!$B:$B,MATCH(A985,SETORES!$A:$A,0))</f>
        <v/>
      </c>
      <c r="H985" s="101" t="inlineStr">
        <is>
          <t>Junho/2026</t>
        </is>
      </c>
    </row>
    <row r="986" hidden="1" ht="14.25" customHeight="1" s="64">
      <c r="A986" s="106" t="inlineStr">
        <is>
          <t>Jurídico</t>
        </is>
      </c>
      <c r="B986" s="106" t="inlineStr">
        <is>
          <t>Custo Fixo</t>
        </is>
      </c>
      <c r="C986" s="106" t="inlineStr">
        <is>
          <t>Consultoria Jurídica</t>
        </is>
      </c>
      <c r="D986" s="107" t="n">
        <v>1</v>
      </c>
      <c r="E986" s="108" t="n">
        <v>7500</v>
      </c>
      <c r="F986" s="109">
        <f>IFERROR(D986*E986,0)</f>
        <v/>
      </c>
      <c r="G986" s="106">
        <f>INDEX(SETORES!$B:$B,MATCH(A986,SETORES!$A:$A,0))</f>
        <v/>
      </c>
      <c r="H986" s="106" t="inlineStr">
        <is>
          <t>Junho/2026</t>
        </is>
      </c>
    </row>
    <row r="987" hidden="1" ht="14.25" customHeight="1" s="64">
      <c r="A987" s="101" t="inlineStr">
        <is>
          <t>Cozinha</t>
        </is>
      </c>
      <c r="B987" s="101" t="inlineStr">
        <is>
          <t>Custo Fixo</t>
        </is>
      </c>
      <c r="C987" s="101" t="inlineStr">
        <is>
          <t>Folha de pagamento (salários)</t>
        </is>
      </c>
      <c r="D987" s="102" t="n">
        <v>1</v>
      </c>
      <c r="E987" s="103" t="n">
        <v>43834.77</v>
      </c>
      <c r="F987" s="104" t="n">
        <v>43834.77</v>
      </c>
      <c r="G987" s="101">
        <f>INDEX(SETORES!$B:$B,MATCH(A987,SETORES!$A:$A,0))</f>
        <v/>
      </c>
      <c r="H987" s="101" t="inlineStr">
        <is>
          <t>Junho/2026</t>
        </is>
      </c>
    </row>
    <row r="988" hidden="1" ht="14.25" customHeight="1" s="64">
      <c r="A988" s="106" t="inlineStr">
        <is>
          <t>COE</t>
        </is>
      </c>
      <c r="B988" s="106" t="inlineStr">
        <is>
          <t>Custo Variável</t>
        </is>
      </c>
      <c r="C988" s="106" t="inlineStr">
        <is>
          <t>Rateio de transporte coletivo</t>
        </is>
      </c>
      <c r="D988" s="107" t="n">
        <v>15</v>
      </c>
      <c r="E988" s="108" t="n">
        <v>85.70999999999999</v>
      </c>
      <c r="F988" s="109">
        <f>IFERROR(D988*E988,0)</f>
        <v/>
      </c>
      <c r="G988" s="106">
        <f>INDEX(SETORES!$B:$B,MATCH(A988,SETORES!$A:$A,0))</f>
        <v/>
      </c>
      <c r="H988" s="106" t="inlineStr">
        <is>
          <t>Junho/2026</t>
        </is>
      </c>
    </row>
    <row r="989" hidden="1" ht="14.25" customHeight="1" s="64">
      <c r="A989" s="101" t="inlineStr">
        <is>
          <t>Cozinha</t>
        </is>
      </c>
      <c r="B989" s="101" t="inlineStr">
        <is>
          <t>Custo Variável</t>
        </is>
      </c>
      <c r="C989" s="101" t="inlineStr">
        <is>
          <t>Rateio de transporte coletivo</t>
        </is>
      </c>
      <c r="D989" s="102" t="n">
        <v>7</v>
      </c>
      <c r="E989" s="103" t="n">
        <v>85.70999999999999</v>
      </c>
      <c r="F989" s="104">
        <f>IFERROR(D989*E989,0)</f>
        <v/>
      </c>
      <c r="G989" s="101">
        <f>INDEX(SETORES!$B:$B,MATCH(A989,SETORES!$A:$A,0))</f>
        <v/>
      </c>
      <c r="H989" s="101" t="inlineStr">
        <is>
          <t>Junho/2026</t>
        </is>
      </c>
    </row>
    <row r="990" hidden="1" ht="14.25" customHeight="1" s="64">
      <c r="A990" s="106" t="inlineStr">
        <is>
          <t>COE</t>
        </is>
      </c>
      <c r="B990" s="106" t="inlineStr">
        <is>
          <t>Custo Fixo</t>
        </is>
      </c>
      <c r="C990" s="106" t="inlineStr">
        <is>
          <t>Energia elétrica (rateio)</t>
        </is>
      </c>
      <c r="D990" s="107" t="n">
        <v>15</v>
      </c>
      <c r="E990" s="108" t="n">
        <v>23.6877</v>
      </c>
      <c r="F990" s="109" t="n">
        <v>355.3155</v>
      </c>
      <c r="G990" s="106">
        <f>INDEX(SETORES!$B:$B,MATCH(A990,SETORES!$A:$A,0))</f>
        <v/>
      </c>
      <c r="H990" s="106" t="inlineStr">
        <is>
          <t>Junho/2026</t>
        </is>
      </c>
    </row>
    <row r="991" hidden="1" ht="14.25" customHeight="1" s="64">
      <c r="A991" s="101" t="inlineStr">
        <is>
          <t>COE</t>
        </is>
      </c>
      <c r="B991" s="101" t="inlineStr">
        <is>
          <t>Custo Fixo</t>
        </is>
      </c>
      <c r="C991" s="101" t="inlineStr">
        <is>
          <t>Água e esgoto (rateio)</t>
        </is>
      </c>
      <c r="D991" s="102" t="n">
        <v>15</v>
      </c>
      <c r="E991" s="103" t="n">
        <v>0.3124</v>
      </c>
      <c r="F991" s="104" t="n">
        <v>4.686</v>
      </c>
      <c r="G991" s="101">
        <f>INDEX(SETORES!$B:$B,MATCH(A991,SETORES!$A:$A,0))</f>
        <v/>
      </c>
      <c r="H991" s="101" t="inlineStr">
        <is>
          <t>Junho/2026</t>
        </is>
      </c>
    </row>
    <row r="992" hidden="1" ht="14.25" customHeight="1" s="64">
      <c r="A992" s="106" t="inlineStr">
        <is>
          <t>Cozinha</t>
        </is>
      </c>
      <c r="B992" s="106" t="inlineStr">
        <is>
          <t>Custo Fixo</t>
        </is>
      </c>
      <c r="C992" s="106" t="inlineStr">
        <is>
          <t>Energia elétrica (rateio)</t>
        </is>
      </c>
      <c r="D992" s="107" t="n">
        <v>7</v>
      </c>
      <c r="E992" s="108" t="n">
        <v>23.6877</v>
      </c>
      <c r="F992" s="109" t="n">
        <v>165.8139</v>
      </c>
      <c r="G992" s="106">
        <f>INDEX(SETORES!$B:$B,MATCH(A992,SETORES!$A:$A,0))</f>
        <v/>
      </c>
      <c r="H992" s="106" t="inlineStr">
        <is>
          <t>Junho/2026</t>
        </is>
      </c>
    </row>
    <row r="993" hidden="1" ht="14.25" customHeight="1" s="64">
      <c r="A993" s="101" t="inlineStr">
        <is>
          <t>Cozinha</t>
        </is>
      </c>
      <c r="B993" s="101" t="inlineStr">
        <is>
          <t>Custo Fixo</t>
        </is>
      </c>
      <c r="C993" s="101" t="inlineStr">
        <is>
          <t>Água e esgoto (rateio)</t>
        </is>
      </c>
      <c r="D993" s="102" t="n">
        <v>7</v>
      </c>
      <c r="E993" s="103" t="n">
        <v>0.3124</v>
      </c>
      <c r="F993" s="104" t="n">
        <v>2.1868</v>
      </c>
      <c r="G993" s="101">
        <f>INDEX(SETORES!$B:$B,MATCH(A993,SETORES!$A:$A,0))</f>
        <v/>
      </c>
      <c r="H993" s="101" t="inlineStr">
        <is>
          <t>Junho/2026</t>
        </is>
      </c>
    </row>
    <row r="994" hidden="1" ht="14.25" customHeight="1" s="64">
      <c r="A994" s="106" t="inlineStr">
        <is>
          <t>COE</t>
        </is>
      </c>
      <c r="B994" s="106" t="inlineStr">
        <is>
          <t>Custo Variável</t>
        </is>
      </c>
      <c r="C994" s="106" t="inlineStr">
        <is>
          <t>Rescisões trabalhistas</t>
        </is>
      </c>
      <c r="D994" s="107" t="n"/>
      <c r="E994" s="108" t="n"/>
      <c r="F994" s="109">
        <f>IFERROR(D994*E994,0)</f>
        <v/>
      </c>
      <c r="G994" s="106">
        <f>INDEX(SETORES!$B:$B,MATCH(A994,SETORES!$A:$A,0))</f>
        <v/>
      </c>
      <c r="H994" s="106" t="inlineStr">
        <is>
          <t>Junho/2026</t>
        </is>
      </c>
    </row>
    <row r="995" hidden="1" ht="14.25" customHeight="1" s="64">
      <c r="A995" s="101" t="inlineStr">
        <is>
          <t>Compras</t>
        </is>
      </c>
      <c r="B995" s="101" t="inlineStr">
        <is>
          <t>Custo Variável</t>
        </is>
      </c>
      <c r="C995" s="101" t="inlineStr">
        <is>
          <t>Rescisões trabalhistas</t>
        </is>
      </c>
      <c r="D995" s="102" t="n"/>
      <c r="E995" s="103" t="n"/>
      <c r="F995" s="104">
        <f>IFERROR(D995*E995,0)</f>
        <v/>
      </c>
      <c r="G995" s="101">
        <f>INDEX(SETORES!$B:$B,MATCH(A995,SETORES!$A:$A,0))</f>
        <v/>
      </c>
      <c r="H995" s="101" t="inlineStr">
        <is>
          <t>Junho/2026</t>
        </is>
      </c>
    </row>
    <row r="996" hidden="1" ht="14.25" customHeight="1" s="64">
      <c r="A996" s="106" t="inlineStr">
        <is>
          <t>Controladoria</t>
        </is>
      </c>
      <c r="B996" s="106" t="inlineStr">
        <is>
          <t>Custo Variável</t>
        </is>
      </c>
      <c r="C996" s="106" t="inlineStr">
        <is>
          <t>Rescisões trabalhistas</t>
        </is>
      </c>
      <c r="D996" s="107" t="n"/>
      <c r="E996" s="108" t="n"/>
      <c r="F996" s="109">
        <f>IFERROR(D996*E996,0)</f>
        <v/>
      </c>
      <c r="G996" s="106">
        <f>INDEX(SETORES!$B:$B,MATCH(A996,SETORES!$A:$A,0))</f>
        <v/>
      </c>
      <c r="H996" s="106" t="inlineStr">
        <is>
          <t>Junho/2026</t>
        </is>
      </c>
    </row>
    <row r="997" hidden="1" ht="14.25" customHeight="1" s="64">
      <c r="A997" s="101" t="inlineStr">
        <is>
          <t>Cozinha</t>
        </is>
      </c>
      <c r="B997" s="101" t="inlineStr">
        <is>
          <t>Custo Variável</t>
        </is>
      </c>
      <c r="C997" s="101" t="inlineStr">
        <is>
          <t>Rescisões trabalhistas</t>
        </is>
      </c>
      <c r="D997" s="102" t="n"/>
      <c r="E997" s="103" t="n"/>
      <c r="F997" s="104">
        <f>IFERROR(D997*E997,0)</f>
        <v/>
      </c>
      <c r="G997" s="101">
        <f>INDEX(SETORES!$B:$B,MATCH(A997,SETORES!$A:$A,0))</f>
        <v/>
      </c>
      <c r="H997" s="101" t="inlineStr">
        <is>
          <t>Junho/2026</t>
        </is>
      </c>
    </row>
    <row r="998" hidden="1" ht="14.25" customHeight="1" s="64">
      <c r="A998" s="106" t="inlineStr">
        <is>
          <t>Diretoria Adm</t>
        </is>
      </c>
      <c r="B998" s="106" t="inlineStr">
        <is>
          <t>Custo Variável</t>
        </is>
      </c>
      <c r="C998" s="106" t="inlineStr">
        <is>
          <t>Rescisões trabalhistas</t>
        </is>
      </c>
      <c r="D998" s="107" t="n"/>
      <c r="E998" s="108" t="n"/>
      <c r="F998" s="109">
        <f>IFERROR(D998*E998,0)</f>
        <v/>
      </c>
      <c r="G998" s="106">
        <f>INDEX(SETORES!$B:$B,MATCH(A998,SETORES!$A:$A,0))</f>
        <v/>
      </c>
      <c r="H998" s="106" t="inlineStr">
        <is>
          <t>Junho/2026</t>
        </is>
      </c>
    </row>
    <row r="999" hidden="1" ht="14.25" customHeight="1" s="64">
      <c r="A999" s="101" t="inlineStr">
        <is>
          <t>Diretoria Operacional</t>
        </is>
      </c>
      <c r="B999" s="101" t="inlineStr">
        <is>
          <t>Custo Variável</t>
        </is>
      </c>
      <c r="C999" s="101" t="inlineStr">
        <is>
          <t>Rescisões trabalhistas</t>
        </is>
      </c>
      <c r="D999" s="102" t="n"/>
      <c r="E999" s="103" t="n"/>
      <c r="F999" s="104">
        <f>IFERROR(D999*E999,0)</f>
        <v/>
      </c>
      <c r="G999" s="101">
        <f>INDEX(SETORES!$B:$B,MATCH(A999,SETORES!$A:$A,0))</f>
        <v/>
      </c>
      <c r="H999" s="101" t="inlineStr">
        <is>
          <t>Junho/2026</t>
        </is>
      </c>
    </row>
    <row r="1000" hidden="1" ht="14.25" customHeight="1" s="64">
      <c r="A1000" s="106" t="inlineStr">
        <is>
          <t>Financeiro</t>
        </is>
      </c>
      <c r="B1000" s="106" t="inlineStr">
        <is>
          <t>Custo Variável</t>
        </is>
      </c>
      <c r="C1000" s="106" t="inlineStr">
        <is>
          <t>Rescisões trabalhistas</t>
        </is>
      </c>
      <c r="D1000" s="107" t="n"/>
      <c r="E1000" s="108" t="n"/>
      <c r="F1000" s="109">
        <f>IFERROR(D1000*E1000,0)</f>
        <v/>
      </c>
      <c r="G1000" s="106">
        <f>INDEX(SETORES!$B:$B,MATCH(A1000,SETORES!$A:$A,0))</f>
        <v/>
      </c>
      <c r="H1000" s="106" t="inlineStr">
        <is>
          <t>Junho/2026</t>
        </is>
      </c>
    </row>
    <row r="1001" hidden="1" ht="14.25" customHeight="1" s="64">
      <c r="A1001" s="101" t="inlineStr">
        <is>
          <t>Fique Móvel</t>
        </is>
      </c>
      <c r="B1001" s="101" t="inlineStr">
        <is>
          <t>Custo Variável</t>
        </is>
      </c>
      <c r="C1001" s="101" t="inlineStr">
        <is>
          <t>Rescisões trabalhistas</t>
        </is>
      </c>
      <c r="D1001" s="102" t="n"/>
      <c r="E1001" s="103" t="n"/>
      <c r="F1001" s="104">
        <f>IFERROR(D1001*E1001,0)</f>
        <v/>
      </c>
      <c r="G1001" s="101">
        <f>INDEX(SETORES!$B:$B,MATCH(A1001,SETORES!$A:$A,0))</f>
        <v/>
      </c>
      <c r="H1001" s="101" t="inlineStr">
        <is>
          <t>Junho/2026</t>
        </is>
      </c>
    </row>
    <row r="1002" hidden="1" ht="14.25" customHeight="1" s="64">
      <c r="A1002" s="106" t="inlineStr">
        <is>
          <t>Fusão</t>
        </is>
      </c>
      <c r="B1002" s="106" t="inlineStr">
        <is>
          <t>Custo Variável</t>
        </is>
      </c>
      <c r="C1002" s="106" t="inlineStr">
        <is>
          <t>Rescisões trabalhistas</t>
        </is>
      </c>
      <c r="D1002" s="107" t="n"/>
      <c r="E1002" s="108" t="n"/>
      <c r="F1002" s="109">
        <f>IFERROR(D1002*E1002,0)</f>
        <v/>
      </c>
      <c r="G1002" s="106">
        <f>INDEX(SETORES!$B:$B,MATCH(A1002,SETORES!$A:$A,0))</f>
        <v/>
      </c>
      <c r="H1002" s="106" t="inlineStr">
        <is>
          <t>Junho/2026</t>
        </is>
      </c>
    </row>
    <row r="1003" hidden="1" ht="14.25" customHeight="1" s="64">
      <c r="A1003" s="101" t="inlineStr">
        <is>
          <t>Gestão de Atendimento</t>
        </is>
      </c>
      <c r="B1003" s="101" t="inlineStr">
        <is>
          <t>Custo Variável</t>
        </is>
      </c>
      <c r="C1003" s="101" t="inlineStr">
        <is>
          <t>Rescisões trabalhistas</t>
        </is>
      </c>
      <c r="D1003" s="102" t="n"/>
      <c r="E1003" s="103" t="n"/>
      <c r="F1003" s="104">
        <f>IFERROR(D1003*E1003,0)</f>
        <v/>
      </c>
      <c r="G1003" s="101">
        <f>INDEX(SETORES!$B:$B,MATCH(A1003,SETORES!$A:$A,0))</f>
        <v/>
      </c>
      <c r="H1003" s="101" t="inlineStr">
        <is>
          <t>Junho/2026</t>
        </is>
      </c>
    </row>
    <row r="1004" hidden="1" ht="14.25" customHeight="1" s="64">
      <c r="A1004" s="106" t="inlineStr">
        <is>
          <t>Jurídico</t>
        </is>
      </c>
      <c r="B1004" s="106" t="inlineStr">
        <is>
          <t>Custo Variável</t>
        </is>
      </c>
      <c r="C1004" s="106" t="inlineStr">
        <is>
          <t>Rescisões trabalhistas</t>
        </is>
      </c>
      <c r="D1004" s="107" t="n"/>
      <c r="E1004" s="108" t="n"/>
      <c r="F1004" s="109">
        <f>IFERROR(D1004*E1004,0)</f>
        <v/>
      </c>
      <c r="G1004" s="106">
        <f>INDEX(SETORES!$B:$B,MATCH(A1004,SETORES!$A:$A,0))</f>
        <v/>
      </c>
      <c r="H1004" s="106" t="inlineStr">
        <is>
          <t>Junho/2026</t>
        </is>
      </c>
    </row>
    <row r="1005" hidden="1" ht="14.25" customHeight="1" s="64">
      <c r="A1005" s="101" t="inlineStr">
        <is>
          <t>Logística</t>
        </is>
      </c>
      <c r="B1005" s="101" t="inlineStr">
        <is>
          <t>Custo Variável</t>
        </is>
      </c>
      <c r="C1005" s="101" t="inlineStr">
        <is>
          <t>Rescisões trabalhistas</t>
        </is>
      </c>
      <c r="D1005" s="102" t="n"/>
      <c r="E1005" s="103" t="n"/>
      <c r="F1005" s="104">
        <f>IFERROR(D1005*E1005,0)</f>
        <v/>
      </c>
      <c r="G1005" s="101">
        <f>INDEX(SETORES!$B:$B,MATCH(A1005,SETORES!$A:$A,0))</f>
        <v/>
      </c>
      <c r="H1005" s="101" t="inlineStr">
        <is>
          <t>Junho/2026</t>
        </is>
      </c>
    </row>
    <row r="1006" hidden="1" ht="14.25" customHeight="1" s="64">
      <c r="A1006" s="106" t="inlineStr">
        <is>
          <t>Marketing</t>
        </is>
      </c>
      <c r="B1006" s="106" t="inlineStr">
        <is>
          <t>Custo Variável</t>
        </is>
      </c>
      <c r="C1006" s="106" t="inlineStr">
        <is>
          <t>Rescisões trabalhistas</t>
        </is>
      </c>
      <c r="D1006" s="107" t="n"/>
      <c r="E1006" s="108" t="n"/>
      <c r="F1006" s="109">
        <f>IFERROR(D1006*E1006,0)</f>
        <v/>
      </c>
      <c r="G1006" s="106">
        <f>INDEX(SETORES!$B:$B,MATCH(A1006,SETORES!$A:$A,0))</f>
        <v/>
      </c>
      <c r="H1006" s="106" t="inlineStr">
        <is>
          <t>Junho/2026</t>
        </is>
      </c>
    </row>
    <row r="1007" hidden="1" ht="14.25" customHeight="1" s="64">
      <c r="A1007" s="101" t="inlineStr">
        <is>
          <t>Oficina</t>
        </is>
      </c>
      <c r="B1007" s="101" t="inlineStr">
        <is>
          <t>Custo Variável</t>
        </is>
      </c>
      <c r="C1007" s="101" t="inlineStr">
        <is>
          <t>Rescisões trabalhistas</t>
        </is>
      </c>
      <c r="D1007" s="102" t="n"/>
      <c r="E1007" s="103" t="n"/>
      <c r="F1007" s="104">
        <f>IFERROR(D1007*E1007,0)</f>
        <v/>
      </c>
      <c r="G1007" s="101">
        <f>INDEX(SETORES!$B:$B,MATCH(A1007,SETORES!$A:$A,0))</f>
        <v/>
      </c>
      <c r="H1007" s="101" t="inlineStr">
        <is>
          <t>Junho/2026</t>
        </is>
      </c>
    </row>
    <row r="1008" hidden="1" ht="14.25" customHeight="1" s="64">
      <c r="A1008" s="106" t="inlineStr">
        <is>
          <t>Qualidade</t>
        </is>
      </c>
      <c r="B1008" s="106" t="inlineStr">
        <is>
          <t>Custo Variável</t>
        </is>
      </c>
      <c r="C1008" s="106" t="inlineStr">
        <is>
          <t>Rescisões trabalhistas</t>
        </is>
      </c>
      <c r="D1008" s="107" t="n"/>
      <c r="E1008" s="108" t="n"/>
      <c r="F1008" s="109">
        <f>IFERROR(D1008*E1008,0)</f>
        <v/>
      </c>
      <c r="G1008" s="106">
        <f>INDEX(SETORES!$B:$B,MATCH(A1008,SETORES!$A:$A,0))</f>
        <v/>
      </c>
      <c r="H1008" s="106" t="inlineStr">
        <is>
          <t>Junho/2026</t>
        </is>
      </c>
    </row>
    <row r="1009" hidden="1" ht="14.25" customHeight="1" s="64">
      <c r="A1009" s="101" t="inlineStr">
        <is>
          <t>RH</t>
        </is>
      </c>
      <c r="B1009" s="101" t="inlineStr">
        <is>
          <t>Custo Variável</t>
        </is>
      </c>
      <c r="C1009" s="101" t="inlineStr">
        <is>
          <t>Rescisões trabalhistas</t>
        </is>
      </c>
      <c r="D1009" s="102" t="n"/>
      <c r="E1009" s="103" t="n"/>
      <c r="F1009" s="104">
        <f>IFERROR(D1009*E1009,0)</f>
        <v/>
      </c>
      <c r="G1009" s="101">
        <f>INDEX(SETORES!$B:$B,MATCH(A1009,SETORES!$A:$A,0))</f>
        <v/>
      </c>
      <c r="H1009" s="101" t="inlineStr">
        <is>
          <t>Junho/2026</t>
        </is>
      </c>
    </row>
    <row r="1010" hidden="1" ht="14.25" customHeight="1" s="64">
      <c r="A1010" s="106" t="inlineStr">
        <is>
          <t>Fique Móvel</t>
        </is>
      </c>
      <c r="B1010" s="106" t="inlineStr">
        <is>
          <t>Custo Fixo</t>
        </is>
      </c>
      <c r="C1010" s="106" t="inlineStr">
        <is>
          <t>Impressora</t>
        </is>
      </c>
      <c r="D1010" s="107" t="n">
        <v>1</v>
      </c>
      <c r="E1010" s="108" t="n">
        <v>2.272728</v>
      </c>
      <c r="F1010" s="109">
        <f>IFERROR(D1010*E1010,0)</f>
        <v/>
      </c>
      <c r="G1010" s="106">
        <f>INDEX(SETORES!$B:$B,MATCH(A1010,SETORES!$A:$A,0))</f>
        <v/>
      </c>
      <c r="H1010" s="106" t="inlineStr">
        <is>
          <t>Junho/2026</t>
        </is>
      </c>
    </row>
    <row r="1011" hidden="1" ht="14.25" customHeight="1" s="64">
      <c r="A1011" s="101" t="inlineStr">
        <is>
          <t>TIC</t>
        </is>
      </c>
      <c r="B1011" s="101" t="inlineStr">
        <is>
          <t>Custo Fixo</t>
        </is>
      </c>
      <c r="C1011" s="101" t="inlineStr">
        <is>
          <t>Impressora</t>
        </is>
      </c>
      <c r="D1011" s="102" t="n">
        <v>1</v>
      </c>
      <c r="E1011" s="103" t="n">
        <v>5.68182</v>
      </c>
      <c r="F1011" s="104">
        <f>IFERROR(D1011*E1011,0)</f>
        <v/>
      </c>
      <c r="G1011" s="101">
        <f>INDEX(SETORES!$B:$B,MATCH(A1011,SETORES!$A:$A,0))</f>
        <v/>
      </c>
      <c r="H1011" s="101" t="inlineStr">
        <is>
          <t>Junho/2026</t>
        </is>
      </c>
    </row>
    <row r="1012" hidden="1" ht="14.25" customHeight="1" s="64">
      <c r="A1012" s="106" t="inlineStr">
        <is>
          <t>Comercial Corporativo</t>
        </is>
      </c>
      <c r="B1012" s="106" t="inlineStr">
        <is>
          <t>Custo Fixo</t>
        </is>
      </c>
      <c r="C1012" s="106" t="inlineStr">
        <is>
          <t>Impressora</t>
        </is>
      </c>
      <c r="D1012" s="107" t="n">
        <v>1</v>
      </c>
      <c r="E1012" s="108" t="n">
        <v>11.36364</v>
      </c>
      <c r="F1012" s="109">
        <f>IFERROR(D1012*E1012,0)</f>
        <v/>
      </c>
      <c r="G1012" s="106">
        <f>INDEX(SETORES!$B:$B,MATCH(A1012,SETORES!$A:$A,0))</f>
        <v/>
      </c>
      <c r="H1012" s="106" t="inlineStr">
        <is>
          <t>Junho/2026</t>
        </is>
      </c>
    </row>
    <row r="1013" hidden="1" ht="14.25" customHeight="1" s="64">
      <c r="A1013" s="101" t="inlineStr">
        <is>
          <t>Contabilidade</t>
        </is>
      </c>
      <c r="B1013" s="101" t="inlineStr">
        <is>
          <t>Custo Fixo</t>
        </is>
      </c>
      <c r="C1013" s="101" t="inlineStr">
        <is>
          <t>Impressora</t>
        </is>
      </c>
      <c r="D1013" s="102" t="n">
        <v>1</v>
      </c>
      <c r="E1013" s="103" t="n">
        <v>4.545456</v>
      </c>
      <c r="F1013" s="104">
        <f>IFERROR(D1013*E1013,0)</f>
        <v/>
      </c>
      <c r="G1013" s="101">
        <f>INDEX(SETORES!$B:$B,MATCH(A1013,SETORES!$A:$A,0))</f>
        <v/>
      </c>
      <c r="H1013" s="101" t="inlineStr">
        <is>
          <t>Junho/2026</t>
        </is>
      </c>
    </row>
    <row r="1014" hidden="1" ht="14.25" customHeight="1" s="64">
      <c r="A1014" s="106" t="inlineStr">
        <is>
          <t>Qualidade</t>
        </is>
      </c>
      <c r="B1014" s="106" t="inlineStr">
        <is>
          <t>Custo Fixo</t>
        </is>
      </c>
      <c r="C1014" s="106" t="inlineStr">
        <is>
          <t>Impressora</t>
        </is>
      </c>
      <c r="D1014" s="107" t="n">
        <v>1</v>
      </c>
      <c r="E1014" s="108" t="n">
        <v>9.090911999999999</v>
      </c>
      <c r="F1014" s="109">
        <f>IFERROR(D1014*E1014,0)</f>
        <v/>
      </c>
      <c r="G1014" s="106">
        <f>INDEX(SETORES!$B:$B,MATCH(A1014,SETORES!$A:$A,0))</f>
        <v/>
      </c>
      <c r="H1014" s="106" t="inlineStr">
        <is>
          <t>Junho/2026</t>
        </is>
      </c>
    </row>
    <row r="1015" hidden="1" ht="14.25" customHeight="1" s="64">
      <c r="A1015" s="101" t="inlineStr">
        <is>
          <t>Diretoria Adm</t>
        </is>
      </c>
      <c r="B1015" s="101" t="inlineStr">
        <is>
          <t>Custo Fixo</t>
        </is>
      </c>
      <c r="C1015" s="101" t="inlineStr">
        <is>
          <t>Impressora</t>
        </is>
      </c>
      <c r="D1015" s="102" t="n">
        <v>1</v>
      </c>
      <c r="E1015" s="103" t="n">
        <v>3.409092</v>
      </c>
      <c r="F1015" s="104">
        <f>IFERROR(D1015*E1015,0)</f>
        <v/>
      </c>
      <c r="G1015" s="101">
        <f>INDEX(SETORES!$B:$B,MATCH(A1015,SETORES!$A:$A,0))</f>
        <v/>
      </c>
      <c r="H1015" s="101" t="inlineStr">
        <is>
          <t>Junho/2026</t>
        </is>
      </c>
    </row>
    <row r="1016" hidden="1" ht="14.25" customHeight="1" s="64">
      <c r="A1016" s="106" t="inlineStr">
        <is>
          <t>Diretoria Operacional</t>
        </is>
      </c>
      <c r="B1016" s="106" t="inlineStr">
        <is>
          <t>Custo Fixo</t>
        </is>
      </c>
      <c r="C1016" s="106" t="inlineStr">
        <is>
          <t>Impressora</t>
        </is>
      </c>
      <c r="D1016" s="107" t="n">
        <v>1</v>
      </c>
      <c r="E1016" s="108" t="n">
        <v>2.272728</v>
      </c>
      <c r="F1016" s="109">
        <f>IFERROR(D1016*E1016,0)</f>
        <v/>
      </c>
      <c r="G1016" s="106">
        <f>INDEX(SETORES!$B:$B,MATCH(A1016,SETORES!$A:$A,0))</f>
        <v/>
      </c>
      <c r="H1016" s="106" t="inlineStr">
        <is>
          <t>Junho/2026</t>
        </is>
      </c>
    </row>
    <row r="1017" hidden="1" ht="14.25" customHeight="1" s="64">
      <c r="A1017" s="101" t="inlineStr">
        <is>
          <t>Gestão de Atendimento</t>
        </is>
      </c>
      <c r="B1017" s="101" t="inlineStr">
        <is>
          <t>Custo Fixo</t>
        </is>
      </c>
      <c r="C1017" s="101" t="inlineStr">
        <is>
          <t>Impressora</t>
        </is>
      </c>
      <c r="D1017" s="102" t="n">
        <v>1</v>
      </c>
      <c r="E1017" s="103" t="n">
        <v>5.68182</v>
      </c>
      <c r="F1017" s="104">
        <f>IFERROR(D1017*E1017,0)</f>
        <v/>
      </c>
      <c r="G1017" s="101">
        <f>INDEX(SETORES!$B:$B,MATCH(A1017,SETORES!$A:$A,0))</f>
        <v/>
      </c>
      <c r="H1017" s="101" t="inlineStr">
        <is>
          <t>Junho/2026</t>
        </is>
      </c>
    </row>
    <row r="1018" hidden="1" ht="14.25" customHeight="1" s="64">
      <c r="A1018" s="106" t="inlineStr">
        <is>
          <t>Controladoria</t>
        </is>
      </c>
      <c r="B1018" s="106" t="inlineStr">
        <is>
          <t>Custo Fixo</t>
        </is>
      </c>
      <c r="C1018" s="106" t="inlineStr">
        <is>
          <t>Impressora</t>
        </is>
      </c>
      <c r="D1018" s="107" t="n">
        <v>1</v>
      </c>
      <c r="E1018" s="108" t="n">
        <v>1.136364</v>
      </c>
      <c r="F1018" s="109">
        <f>IFERROR(D1018*E1018,0)</f>
        <v/>
      </c>
      <c r="G1018" s="106">
        <f>INDEX(SETORES!$B:$B,MATCH(A1018,SETORES!$A:$A,0))</f>
        <v/>
      </c>
      <c r="H1018" s="106" t="inlineStr">
        <is>
          <t>Junho/2026</t>
        </is>
      </c>
    </row>
    <row r="1019" hidden="1" ht="14.25" customHeight="1" s="64">
      <c r="A1019" s="101" t="inlineStr">
        <is>
          <t>CAC</t>
        </is>
      </c>
      <c r="B1019" s="101" t="inlineStr">
        <is>
          <t>Custo Fixo</t>
        </is>
      </c>
      <c r="C1019" s="101" t="inlineStr">
        <is>
          <t>Chip móvel corporativo</t>
        </is>
      </c>
      <c r="D1019" s="102" t="n">
        <v>1</v>
      </c>
      <c r="E1019" s="103" t="n">
        <v>30</v>
      </c>
      <c r="F1019" s="104">
        <f>IFERROR(D1019*E1019,0)</f>
        <v/>
      </c>
      <c r="G1019" s="101">
        <f>INDEX(SETORES!$B:$B,MATCH(A1019,SETORES!$A:$A,0))</f>
        <v/>
      </c>
      <c r="H1019" s="101" t="inlineStr">
        <is>
          <t>Junho/2026</t>
        </is>
      </c>
    </row>
    <row r="1020" hidden="1" ht="14.25" customHeight="1" s="64">
      <c r="A1020" s="106" t="inlineStr">
        <is>
          <t>COE</t>
        </is>
      </c>
      <c r="B1020" s="106" t="inlineStr">
        <is>
          <t>Custo Fixo</t>
        </is>
      </c>
      <c r="C1020" s="106" t="inlineStr">
        <is>
          <t>Chip móvel corporativo</t>
        </is>
      </c>
      <c r="D1020" s="107" t="n">
        <v>13</v>
      </c>
      <c r="E1020" s="108" t="n">
        <v>30</v>
      </c>
      <c r="F1020" s="109">
        <f>IFERROR(D1020*E1020,0)</f>
        <v/>
      </c>
      <c r="G1020" s="106">
        <f>INDEX(SETORES!$B:$B,MATCH(A1020,SETORES!$A:$A,0))</f>
        <v/>
      </c>
      <c r="H1020" s="106" t="inlineStr">
        <is>
          <t>Junho/2026</t>
        </is>
      </c>
    </row>
    <row r="1021" hidden="1" ht="14.25" customHeight="1" s="64">
      <c r="A1021" s="101" t="inlineStr">
        <is>
          <t>Compras</t>
        </is>
      </c>
      <c r="B1021" s="101" t="inlineStr">
        <is>
          <t>Custo Fixo</t>
        </is>
      </c>
      <c r="C1021" s="101" t="inlineStr">
        <is>
          <t>Chip móvel corporativo</t>
        </is>
      </c>
      <c r="D1021" s="102" t="n">
        <v>2</v>
      </c>
      <c r="E1021" s="103" t="n">
        <v>30</v>
      </c>
      <c r="F1021" s="104">
        <f>IFERROR(D1021*E1021,0)</f>
        <v/>
      </c>
      <c r="G1021" s="101">
        <f>INDEX(SETORES!$B:$B,MATCH(A1021,SETORES!$A:$A,0))</f>
        <v/>
      </c>
      <c r="H1021" s="101" t="inlineStr">
        <is>
          <t>Junho/2026</t>
        </is>
      </c>
    </row>
    <row r="1022" hidden="1" ht="14.25" customHeight="1" s="64">
      <c r="A1022" s="106" t="inlineStr">
        <is>
          <t>Contabilidade</t>
        </is>
      </c>
      <c r="B1022" s="106" t="inlineStr">
        <is>
          <t>Custo Fixo</t>
        </is>
      </c>
      <c r="C1022" s="106" t="inlineStr">
        <is>
          <t>Chip móvel corporativo</t>
        </is>
      </c>
      <c r="D1022" s="107" t="n">
        <v>2</v>
      </c>
      <c r="E1022" s="108" t="n">
        <v>30</v>
      </c>
      <c r="F1022" s="109">
        <f>IFERROR(D1022*E1022,0)</f>
        <v/>
      </c>
      <c r="G1022" s="106">
        <f>INDEX(SETORES!$B:$B,MATCH(A1022,SETORES!$A:$A,0))</f>
        <v/>
      </c>
      <c r="H1022" s="106" t="inlineStr">
        <is>
          <t>Junho/2026</t>
        </is>
      </c>
    </row>
    <row r="1023" hidden="1" ht="14.25" customHeight="1" s="64">
      <c r="A1023" s="101" t="inlineStr">
        <is>
          <t>DP</t>
        </is>
      </c>
      <c r="B1023" s="101" t="inlineStr">
        <is>
          <t>Custo Fixo</t>
        </is>
      </c>
      <c r="C1023" s="101" t="inlineStr">
        <is>
          <t>Chip móvel corporativo</t>
        </is>
      </c>
      <c r="D1023" s="102" t="n">
        <v>2</v>
      </c>
      <c r="E1023" s="103" t="n">
        <v>30</v>
      </c>
      <c r="F1023" s="104">
        <f>IFERROR(D1023*E1023,0)</f>
        <v/>
      </c>
      <c r="G1023" s="101">
        <f>INDEX(SETORES!$B:$B,MATCH(A1023,SETORES!$A:$A,0))</f>
        <v/>
      </c>
      <c r="H1023" s="101" t="inlineStr">
        <is>
          <t>Junho/2026</t>
        </is>
      </c>
    </row>
    <row r="1024" hidden="1" ht="14.25" customHeight="1" s="64">
      <c r="A1024" s="106" t="inlineStr">
        <is>
          <t>Engenharia</t>
        </is>
      </c>
      <c r="B1024" s="106" t="inlineStr">
        <is>
          <t>Custo Fixo</t>
        </is>
      </c>
      <c r="C1024" s="106" t="inlineStr">
        <is>
          <t>Chip móvel corporativo</t>
        </is>
      </c>
      <c r="D1024" s="107" t="n">
        <v>8</v>
      </c>
      <c r="E1024" s="108" t="n">
        <v>30</v>
      </c>
      <c r="F1024" s="109">
        <f>IFERROR(D1024*E1024,0)</f>
        <v/>
      </c>
      <c r="G1024" s="106">
        <f>INDEX(SETORES!$B:$B,MATCH(A1024,SETORES!$A:$A,0))</f>
        <v/>
      </c>
      <c r="H1024" s="106" t="inlineStr">
        <is>
          <t>Junho/2026</t>
        </is>
      </c>
    </row>
    <row r="1025" hidden="1" ht="14.25" customHeight="1" s="64">
      <c r="A1025" s="101" t="inlineStr">
        <is>
          <t>Financeiro</t>
        </is>
      </c>
      <c r="B1025" s="101" t="inlineStr">
        <is>
          <t>Custo Fixo</t>
        </is>
      </c>
      <c r="C1025" s="101" t="inlineStr">
        <is>
          <t>Chip móvel corporativo</t>
        </is>
      </c>
      <c r="D1025" s="102" t="n">
        <v>2</v>
      </c>
      <c r="E1025" s="103" t="n">
        <v>30</v>
      </c>
      <c r="F1025" s="104">
        <f>IFERROR(D1025*E1025,0)</f>
        <v/>
      </c>
      <c r="G1025" s="101">
        <f>INDEX(SETORES!$B:$B,MATCH(A1025,SETORES!$A:$A,0))</f>
        <v/>
      </c>
      <c r="H1025" s="101" t="inlineStr">
        <is>
          <t>Junho/2026</t>
        </is>
      </c>
    </row>
    <row r="1026" hidden="1" ht="14.25" customHeight="1" s="64">
      <c r="A1026" s="106" t="inlineStr">
        <is>
          <t>Fique Móvel</t>
        </is>
      </c>
      <c r="B1026" s="106" t="inlineStr">
        <is>
          <t>Custo Fixo</t>
        </is>
      </c>
      <c r="C1026" s="106" t="inlineStr">
        <is>
          <t>Chip móvel corporativo</t>
        </is>
      </c>
      <c r="D1026" s="107" t="n">
        <v>2</v>
      </c>
      <c r="E1026" s="108" t="n">
        <v>30</v>
      </c>
      <c r="F1026" s="109">
        <f>IFERROR(D1026*E1026,0)</f>
        <v/>
      </c>
      <c r="G1026" s="106">
        <f>INDEX(SETORES!$B:$B,MATCH(A1026,SETORES!$A:$A,0))</f>
        <v/>
      </c>
      <c r="H1026" s="106" t="inlineStr">
        <is>
          <t>Junho/2026</t>
        </is>
      </c>
    </row>
    <row r="1027" hidden="1" ht="14.25" customHeight="1" s="64">
      <c r="A1027" s="101" t="inlineStr">
        <is>
          <t>Gestão de Atendimento</t>
        </is>
      </c>
      <c r="B1027" s="101" t="inlineStr">
        <is>
          <t>Custo Fixo</t>
        </is>
      </c>
      <c r="C1027" s="101" t="inlineStr">
        <is>
          <t>Chip móvel corporativo</t>
        </is>
      </c>
      <c r="D1027" s="102" t="n">
        <v>2</v>
      </c>
      <c r="E1027" s="103" t="n">
        <v>30</v>
      </c>
      <c r="F1027" s="104">
        <f>IFERROR(D1027*E1027,0)</f>
        <v/>
      </c>
      <c r="G1027" s="101">
        <f>INDEX(SETORES!$B:$B,MATCH(A1027,SETORES!$A:$A,0))</f>
        <v/>
      </c>
      <c r="H1027" s="101" t="inlineStr">
        <is>
          <t>Junho/2026</t>
        </is>
      </c>
    </row>
    <row r="1028" hidden="1" ht="14.25" customHeight="1" s="64">
      <c r="A1028" s="106" t="inlineStr">
        <is>
          <t>Jurídico</t>
        </is>
      </c>
      <c r="B1028" s="106" t="inlineStr">
        <is>
          <t>Custo Fixo</t>
        </is>
      </c>
      <c r="C1028" s="106" t="inlineStr">
        <is>
          <t>Chip móvel corporativo</t>
        </is>
      </c>
      <c r="D1028" s="107" t="n">
        <v>2</v>
      </c>
      <c r="E1028" s="108" t="n">
        <v>30</v>
      </c>
      <c r="F1028" s="109">
        <f>IFERROR(D1028*E1028,0)</f>
        <v/>
      </c>
      <c r="G1028" s="106">
        <f>INDEX(SETORES!$B:$B,MATCH(A1028,SETORES!$A:$A,0))</f>
        <v/>
      </c>
      <c r="H1028" s="106" t="inlineStr">
        <is>
          <t>Junho/2026</t>
        </is>
      </c>
    </row>
    <row r="1029" hidden="1" ht="14.25" customHeight="1" s="64">
      <c r="A1029" s="101" t="inlineStr">
        <is>
          <t>Logística</t>
        </is>
      </c>
      <c r="B1029" s="101" t="inlineStr">
        <is>
          <t>Custo Fixo</t>
        </is>
      </c>
      <c r="C1029" s="101" t="inlineStr">
        <is>
          <t>Chip móvel corporativo</t>
        </is>
      </c>
      <c r="D1029" s="102" t="n">
        <v>7</v>
      </c>
      <c r="E1029" s="103" t="n">
        <v>30</v>
      </c>
      <c r="F1029" s="104">
        <f>IFERROR(D1029*E1029,0)</f>
        <v/>
      </c>
      <c r="G1029" s="101">
        <f>INDEX(SETORES!$B:$B,MATCH(A1029,SETORES!$A:$A,0))</f>
        <v/>
      </c>
      <c r="H1029" s="101" t="inlineStr">
        <is>
          <t>Junho/2026</t>
        </is>
      </c>
    </row>
    <row r="1030" hidden="1" ht="14.25" customHeight="1" s="64">
      <c r="A1030" s="106" t="inlineStr">
        <is>
          <t>Manutenção Predial</t>
        </is>
      </c>
      <c r="B1030" s="106" t="inlineStr">
        <is>
          <t>Custo Fixo</t>
        </is>
      </c>
      <c r="C1030" s="106" t="inlineStr">
        <is>
          <t>Chip móvel corporativo</t>
        </is>
      </c>
      <c r="D1030" s="107" t="n">
        <v>7</v>
      </c>
      <c r="E1030" s="108" t="n">
        <v>30</v>
      </c>
      <c r="F1030" s="109">
        <f>IFERROR(D1030*E1030,0)</f>
        <v/>
      </c>
      <c r="G1030" s="106">
        <f>INDEX(SETORES!$B:$B,MATCH(A1030,SETORES!$A:$A,0))</f>
        <v/>
      </c>
      <c r="H1030" s="106" t="inlineStr">
        <is>
          <t>Junho/2026</t>
        </is>
      </c>
    </row>
    <row r="1031" hidden="1" ht="14.25" customHeight="1" s="64">
      <c r="A1031" s="101" t="inlineStr">
        <is>
          <t>Marketing</t>
        </is>
      </c>
      <c r="B1031" s="101" t="inlineStr">
        <is>
          <t>Custo Fixo</t>
        </is>
      </c>
      <c r="C1031" s="101" t="inlineStr">
        <is>
          <t>Chip móvel corporativo</t>
        </is>
      </c>
      <c r="D1031" s="102" t="n">
        <v>10</v>
      </c>
      <c r="E1031" s="103" t="n">
        <v>30</v>
      </c>
      <c r="F1031" s="104">
        <f>IFERROR(D1031*E1031,0)</f>
        <v/>
      </c>
      <c r="G1031" s="101">
        <f>INDEX(SETORES!$B:$B,MATCH(A1031,SETORES!$A:$A,0))</f>
        <v/>
      </c>
      <c r="H1031" s="101" t="inlineStr">
        <is>
          <t>Junho/2026</t>
        </is>
      </c>
    </row>
    <row r="1032" hidden="1" ht="14.25" customHeight="1" s="64">
      <c r="A1032" s="106" t="inlineStr">
        <is>
          <t>NOC</t>
        </is>
      </c>
      <c r="B1032" s="106" t="inlineStr">
        <is>
          <t>Custo Fixo</t>
        </is>
      </c>
      <c r="C1032" s="106" t="inlineStr">
        <is>
          <t>Chip móvel corporativo</t>
        </is>
      </c>
      <c r="D1032" s="107" t="n">
        <v>3</v>
      </c>
      <c r="E1032" s="108" t="n">
        <v>30</v>
      </c>
      <c r="F1032" s="109">
        <f>IFERROR(D1032*E1032,0)</f>
        <v/>
      </c>
      <c r="G1032" s="106">
        <f>INDEX(SETORES!$B:$B,MATCH(A1032,SETORES!$A:$A,0))</f>
        <v/>
      </c>
      <c r="H1032" s="106" t="inlineStr">
        <is>
          <t>Junho/2026</t>
        </is>
      </c>
    </row>
    <row r="1033" hidden="1" ht="14.25" customHeight="1" s="64">
      <c r="A1033" s="101" t="inlineStr">
        <is>
          <t>Obras</t>
        </is>
      </c>
      <c r="B1033" s="101" t="inlineStr">
        <is>
          <t>Custo Fixo</t>
        </is>
      </c>
      <c r="C1033" s="101" t="inlineStr">
        <is>
          <t>Chip móvel corporativo</t>
        </is>
      </c>
      <c r="D1033" s="102" t="n">
        <v>5</v>
      </c>
      <c r="E1033" s="103" t="n">
        <v>30</v>
      </c>
      <c r="F1033" s="104">
        <f>IFERROR(D1033*E1033,0)</f>
        <v/>
      </c>
      <c r="G1033" s="101">
        <f>INDEX(SETORES!$B:$B,MATCH(A1033,SETORES!$A:$A,0))</f>
        <v/>
      </c>
      <c r="H1033" s="101" t="inlineStr">
        <is>
          <t>Junho/2026</t>
        </is>
      </c>
    </row>
    <row r="1034" hidden="1" ht="14.25" customHeight="1" s="64">
      <c r="A1034" s="106" t="inlineStr">
        <is>
          <t>Qualidade</t>
        </is>
      </c>
      <c r="B1034" s="106" t="inlineStr">
        <is>
          <t>Custo Fixo</t>
        </is>
      </c>
      <c r="C1034" s="106" t="inlineStr">
        <is>
          <t>Chip móvel corporativo</t>
        </is>
      </c>
      <c r="D1034" s="107" t="n">
        <v>4</v>
      </c>
      <c r="E1034" s="108" t="n">
        <v>30</v>
      </c>
      <c r="F1034" s="109">
        <f>IFERROR(D1034*E1034,0)</f>
        <v/>
      </c>
      <c r="G1034" s="106">
        <f>INDEX(SETORES!$B:$B,MATCH(A1034,SETORES!$A:$A,0))</f>
        <v/>
      </c>
      <c r="H1034" s="106" t="inlineStr">
        <is>
          <t>Junho/2026</t>
        </is>
      </c>
    </row>
    <row r="1035" hidden="1" ht="14.25" customHeight="1" s="64">
      <c r="A1035" s="101" t="inlineStr">
        <is>
          <t>RH</t>
        </is>
      </c>
      <c r="B1035" s="101" t="inlineStr">
        <is>
          <t>Custo Fixo</t>
        </is>
      </c>
      <c r="C1035" s="101" t="inlineStr">
        <is>
          <t>Chip móvel corporativo</t>
        </is>
      </c>
      <c r="D1035" s="102" t="n">
        <v>3</v>
      </c>
      <c r="E1035" s="103" t="n">
        <v>30</v>
      </c>
      <c r="F1035" s="104">
        <f>IFERROR(D1035*E1035,0)</f>
        <v/>
      </c>
      <c r="G1035" s="101">
        <f>INDEX(SETORES!$B:$B,MATCH(A1035,SETORES!$A:$A,0))</f>
        <v/>
      </c>
      <c r="H1035" s="101" t="inlineStr">
        <is>
          <t>Junho/2026</t>
        </is>
      </c>
    </row>
    <row r="1036" hidden="1" ht="14.25" customHeight="1" s="64">
      <c r="A1036" s="106" t="inlineStr">
        <is>
          <t>Segurança do Trabalho</t>
        </is>
      </c>
      <c r="B1036" s="106" t="inlineStr">
        <is>
          <t>Custo Fixo</t>
        </is>
      </c>
      <c r="C1036" s="106" t="inlineStr">
        <is>
          <t>Chip móvel corporativo</t>
        </is>
      </c>
      <c r="D1036" s="107" t="n">
        <v>4</v>
      </c>
      <c r="E1036" s="108" t="n">
        <v>30</v>
      </c>
      <c r="F1036" s="109" t="n">
        <v>120</v>
      </c>
      <c r="G1036" s="106">
        <f>INDEX(SETORES!$B:$B,MATCH(A1036,SETORES!$A:$A,0))</f>
        <v/>
      </c>
      <c r="H1036" s="106" t="inlineStr">
        <is>
          <t>Junho/2026</t>
        </is>
      </c>
    </row>
    <row r="1037" hidden="1" ht="14.25" customHeight="1" s="64">
      <c r="A1037" s="101" t="inlineStr">
        <is>
          <t>TIC</t>
        </is>
      </c>
      <c r="B1037" s="101" t="inlineStr">
        <is>
          <t>Custo Fixo</t>
        </is>
      </c>
      <c r="C1037" s="101" t="inlineStr">
        <is>
          <t>Chip móvel corporativo</t>
        </is>
      </c>
      <c r="D1037" s="102" t="n">
        <v>5</v>
      </c>
      <c r="E1037" s="103" t="n">
        <v>30</v>
      </c>
      <c r="F1037" s="104">
        <f>IFERROR(D1037*E1037,0)</f>
        <v/>
      </c>
      <c r="G1037" s="101">
        <f>INDEX(SETORES!$B:$B,MATCH(A1037,SETORES!$A:$A,0))</f>
        <v/>
      </c>
      <c r="H1037" s="101" t="inlineStr">
        <is>
          <t>Junho/2026</t>
        </is>
      </c>
    </row>
    <row r="1038" hidden="1" ht="14.25" customHeight="1" s="64">
      <c r="A1038" s="101" t="inlineStr">
        <is>
          <t>Gestão de Atendimento</t>
        </is>
      </c>
      <c r="B1038" s="101" t="inlineStr">
        <is>
          <t>Custo Fixo</t>
        </is>
      </c>
      <c r="C1038" s="101" t="inlineStr">
        <is>
          <t>Material de escritório (suprimentos de informática)</t>
        </is>
      </c>
      <c r="D1038" s="102" t="n">
        <v>6</v>
      </c>
      <c r="E1038" s="103" t="n">
        <v>3.1033</v>
      </c>
      <c r="F1038" s="104" t="n">
        <v>18.6198</v>
      </c>
      <c r="G1038" s="101">
        <f>INDEX(SETORES!$B:$B,MATCH(A1038,SETORES!$A:$A,0))</f>
        <v/>
      </c>
      <c r="H1038" s="101" t="inlineStr">
        <is>
          <t>Julho/2026</t>
        </is>
      </c>
    </row>
    <row r="1039" hidden="1" ht="14.25" customHeight="1" s="64">
      <c r="A1039" s="106" t="inlineStr">
        <is>
          <t>Gestão de Atendimento</t>
        </is>
      </c>
      <c r="B1039" s="106" t="inlineStr">
        <is>
          <t>Custo Fixo</t>
        </is>
      </c>
      <c r="C1039" s="106" t="inlineStr">
        <is>
          <t>Material de uso coletivo (copa/limpeza)</t>
        </is>
      </c>
      <c r="D1039" s="107" t="n">
        <v>1</v>
      </c>
      <c r="E1039" s="108" t="n">
        <v>188.83</v>
      </c>
      <c r="F1039" s="109" t="n">
        <v>188.83</v>
      </c>
      <c r="G1039" s="106">
        <f>INDEX(SETORES!$B:$B,MATCH(A1039,SETORES!$A:$A,0))</f>
        <v/>
      </c>
      <c r="H1039" s="106" t="inlineStr">
        <is>
          <t>Julho/2026</t>
        </is>
      </c>
    </row>
    <row r="1040" hidden="1" ht="14.25" customHeight="1" s="64">
      <c r="A1040" s="101" t="inlineStr">
        <is>
          <t>Gestão de Atendimento</t>
        </is>
      </c>
      <c r="B1040" s="101" t="inlineStr">
        <is>
          <t>Custo Fixo</t>
        </is>
      </c>
      <c r="C1040" s="101" t="inlineStr">
        <is>
          <t>Energia elétrica (rateio)</t>
        </is>
      </c>
      <c r="D1040" s="102" t="n">
        <v>1</v>
      </c>
      <c r="E1040" s="103" t="n">
        <v>49.638</v>
      </c>
      <c r="F1040" s="104" t="n">
        <v>49.638</v>
      </c>
      <c r="G1040" s="101">
        <f>INDEX(SETORES!$B:$B,MATCH(A1040,SETORES!$A:$A,0))</f>
        <v/>
      </c>
      <c r="H1040" s="101" t="inlineStr">
        <is>
          <t>Julho/2026</t>
        </is>
      </c>
    </row>
    <row r="1041" hidden="1" ht="14.25" customHeight="1" s="64">
      <c r="A1041" s="106" t="inlineStr">
        <is>
          <t>Gestão de Atendimento</t>
        </is>
      </c>
      <c r="B1041" s="106" t="inlineStr">
        <is>
          <t>Custo Fixo</t>
        </is>
      </c>
      <c r="C1041" s="106" t="inlineStr">
        <is>
          <t>Água e esgoto (rateio)</t>
        </is>
      </c>
      <c r="D1041" s="107" t="n">
        <v>1</v>
      </c>
      <c r="E1041" s="108" t="n">
        <v>0.1455</v>
      </c>
      <c r="F1041" s="109" t="n">
        <v>0.1455</v>
      </c>
      <c r="G1041" s="106">
        <f>INDEX(SETORES!$B:$B,MATCH(A1041,SETORES!$A:$A,0))</f>
        <v/>
      </c>
      <c r="H1041" s="106" t="inlineStr">
        <is>
          <t>Julho/2026</t>
        </is>
      </c>
    </row>
    <row r="1042" hidden="1" ht="14.25" customHeight="1" s="64">
      <c r="A1042" s="101" t="inlineStr">
        <is>
          <t>Gestão de Atendimento</t>
        </is>
      </c>
      <c r="B1042" s="101" t="inlineStr">
        <is>
          <t>Custo Fixo</t>
        </is>
      </c>
      <c r="C1042" s="101" t="inlineStr">
        <is>
          <t>Telefonia móvel corporativa</t>
        </is>
      </c>
      <c r="D1042" s="102" t="n"/>
      <c r="E1042" s="103" t="n"/>
      <c r="F1042" s="104">
        <f>IFERROR(D1042*E1042,0)</f>
        <v/>
      </c>
      <c r="G1042" s="101">
        <f>INDEX(SETORES!$B:$B,MATCH(A1042,SETORES!$A:$A,0))</f>
        <v/>
      </c>
      <c r="H1042" s="101" t="inlineStr">
        <is>
          <t>Julho/2026</t>
        </is>
      </c>
    </row>
    <row r="1043" hidden="1" ht="14.25" customHeight="1" s="64">
      <c r="A1043" s="106" t="inlineStr">
        <is>
          <t>Gestão de Atendimento</t>
        </is>
      </c>
      <c r="B1043" s="106" t="inlineStr">
        <is>
          <t>Custo Fixo</t>
        </is>
      </c>
      <c r="C1043" s="106" t="inlineStr">
        <is>
          <t>Folha de pagamento (salários)</t>
        </is>
      </c>
      <c r="D1043" s="107" t="n">
        <v>1</v>
      </c>
      <c r="E1043" s="108" t="n">
        <v>22488.24</v>
      </c>
      <c r="F1043" s="109">
        <f>IFERROR(E1043,0)</f>
        <v/>
      </c>
      <c r="G1043" s="106">
        <f>INDEX(SETORES!$B:$B,MATCH(A1043,SETORES!$A:$A,0))</f>
        <v/>
      </c>
      <c r="H1043" s="106" t="inlineStr">
        <is>
          <t>Julho/2026</t>
        </is>
      </c>
    </row>
    <row r="1044" hidden="1" ht="14.25" customHeight="1" s="64">
      <c r="A1044" s="101" t="inlineStr">
        <is>
          <t>Gestão de Atendimento</t>
        </is>
      </c>
      <c r="B1044" s="101" t="inlineStr">
        <is>
          <t>Custo Variável</t>
        </is>
      </c>
      <c r="C1044" s="101" t="inlineStr">
        <is>
          <t>Fardamento novo</t>
        </is>
      </c>
      <c r="D1044" s="102" t="n">
        <v>3</v>
      </c>
      <c r="E1044" s="103" t="n">
        <v>45</v>
      </c>
      <c r="F1044" s="104">
        <f>IFERROR(D1044*E1044,0)</f>
        <v/>
      </c>
      <c r="G1044" s="101">
        <f>INDEX(SETORES!$B:$B,MATCH(A1044,SETORES!$A:$A,0))</f>
        <v/>
      </c>
      <c r="H1044" s="101" t="inlineStr">
        <is>
          <t>Julho/2026</t>
        </is>
      </c>
    </row>
    <row r="1045" hidden="1" ht="14.25" customHeight="1" s="64">
      <c r="A1045" s="106" t="inlineStr">
        <is>
          <t>Gestão de Atendimento</t>
        </is>
      </c>
      <c r="B1045" s="106" t="inlineStr">
        <is>
          <t>Custo Variável</t>
        </is>
      </c>
      <c r="C1045" s="106" t="inlineStr">
        <is>
          <t>Fardamento substituição</t>
        </is>
      </c>
      <c r="D1045" s="107" t="n"/>
      <c r="E1045" s="108" t="n"/>
      <c r="F1045" s="109">
        <f>IFERROR(D1045*E1045,0)</f>
        <v/>
      </c>
      <c r="G1045" s="106">
        <f>INDEX(SETORES!$B:$B,MATCH(A1045,SETORES!$A:$A,0))</f>
        <v/>
      </c>
      <c r="H1045" s="106" t="inlineStr">
        <is>
          <t>Julho/2026</t>
        </is>
      </c>
    </row>
    <row r="1046" hidden="1" ht="14.25" customHeight="1" s="64">
      <c r="A1046" s="101" t="inlineStr">
        <is>
          <t>Gestão de Atendimento</t>
        </is>
      </c>
      <c r="B1046" s="101" t="inlineStr">
        <is>
          <t>Custo Variável</t>
        </is>
      </c>
      <c r="C1046" s="101" t="inlineStr">
        <is>
          <t>Exames médicos</t>
        </is>
      </c>
      <c r="D1046" s="102" t="n"/>
      <c r="E1046" s="103" t="n"/>
      <c r="F1046" s="104">
        <f>IFERROR(D1046*E1046,0)</f>
        <v/>
      </c>
      <c r="G1046" s="101">
        <f>INDEX(SETORES!$B:$B,MATCH(A1046,SETORES!$A:$A,0))</f>
        <v/>
      </c>
      <c r="H1046" s="101" t="inlineStr">
        <is>
          <t>Julho/2026</t>
        </is>
      </c>
    </row>
    <row r="1047" hidden="1" ht="14.25" customHeight="1" s="64">
      <c r="A1047" s="106" t="inlineStr">
        <is>
          <t>Gestão de Atendimento</t>
        </is>
      </c>
      <c r="B1047" s="106" t="inlineStr">
        <is>
          <t>Custo Fixo</t>
        </is>
      </c>
      <c r="C1047" s="106" t="inlineStr">
        <is>
          <t>Licença de e-mail corporativo</t>
        </is>
      </c>
      <c r="D1047" s="107" t="n">
        <v>6</v>
      </c>
      <c r="E1047" s="108" t="n">
        <v>50</v>
      </c>
      <c r="F1047" s="109">
        <f>IFERROR(D1047*E1047,0)</f>
        <v/>
      </c>
      <c r="G1047" s="106">
        <f>INDEX(SETORES!$B:$B,MATCH(A1047,SETORES!$A:$A,0))</f>
        <v/>
      </c>
      <c r="H1047" s="106" t="inlineStr">
        <is>
          <t>Julho/2026</t>
        </is>
      </c>
    </row>
    <row r="1048" hidden="1" ht="14.25" customHeight="1" s="64">
      <c r="A1048" s="101" t="inlineStr">
        <is>
          <t>Gestão de Atendimento</t>
        </is>
      </c>
      <c r="B1048" s="101" t="inlineStr">
        <is>
          <t>Custo Fixo</t>
        </is>
      </c>
      <c r="C1048" s="101" t="inlineStr">
        <is>
          <t>Gympass</t>
        </is>
      </c>
      <c r="D1048" s="102" t="n">
        <v>6</v>
      </c>
      <c r="E1048" s="103" t="n">
        <v>9.92</v>
      </c>
      <c r="F1048" s="104">
        <f>IFERROR(D1048*E1048,0)</f>
        <v/>
      </c>
      <c r="G1048" s="101">
        <f>INDEX(SETORES!$B:$B,MATCH(A1048,SETORES!$A:$A,0))</f>
        <v/>
      </c>
      <c r="H1048" s="101" t="inlineStr">
        <is>
          <t>Julho/2026</t>
        </is>
      </c>
    </row>
    <row r="1049" hidden="1" ht="14.25" customHeight="1" s="64">
      <c r="A1049" s="106" t="inlineStr">
        <is>
          <t>Gestão de Atendimento</t>
        </is>
      </c>
      <c r="B1049" s="106" t="inlineStr">
        <is>
          <t>Custo Fixo</t>
        </is>
      </c>
      <c r="C1049" s="106" t="inlineStr">
        <is>
          <t>Stargrid</t>
        </is>
      </c>
      <c r="D1049" s="107" t="n">
        <v>6</v>
      </c>
      <c r="E1049" s="108" t="n">
        <v>2.05</v>
      </c>
      <c r="F1049" s="109">
        <f>IFERROR(D1049*E1049,0)</f>
        <v/>
      </c>
      <c r="G1049" s="106">
        <f>INDEX(SETORES!$B:$B,MATCH(A1049,SETORES!$A:$A,0))</f>
        <v/>
      </c>
      <c r="H1049" s="106" t="inlineStr">
        <is>
          <t>Julho/2026</t>
        </is>
      </c>
    </row>
    <row r="1050" hidden="1" ht="14.25" customHeight="1" s="64">
      <c r="A1050" s="101" t="inlineStr">
        <is>
          <t>RH</t>
        </is>
      </c>
      <c r="B1050" s="101" t="inlineStr">
        <is>
          <t>Custo Fixo</t>
        </is>
      </c>
      <c r="C1050" s="101" t="inlineStr">
        <is>
          <t>Software exclusivo fiberschool (RH)</t>
        </is>
      </c>
      <c r="D1050" s="102" t="n">
        <v>1</v>
      </c>
      <c r="E1050" s="103" t="n">
        <v>2500</v>
      </c>
      <c r="F1050" s="104">
        <f>IFERROR(D1050*E1050,0)</f>
        <v/>
      </c>
      <c r="G1050" s="101">
        <f>INDEX(SETORES!$B:$B,MATCH(A1050,SETORES!$A:$A,0))</f>
        <v/>
      </c>
      <c r="H1050" s="101" t="inlineStr">
        <is>
          <t>Julho/2026</t>
        </is>
      </c>
    </row>
    <row r="1051" hidden="1" ht="14.25" customHeight="1" s="64">
      <c r="A1051" s="106" t="inlineStr">
        <is>
          <t>RH</t>
        </is>
      </c>
      <c r="B1051" s="106" t="inlineStr">
        <is>
          <t>Custo Fixo</t>
        </is>
      </c>
      <c r="C1051" s="106" t="inlineStr">
        <is>
          <t>Software RH1000 (RH)</t>
        </is>
      </c>
      <c r="D1051" s="107" t="n">
        <v>1</v>
      </c>
      <c r="E1051" s="108" t="n">
        <v>2612.9</v>
      </c>
      <c r="F1051" s="109">
        <f>IFERROR(D1051*E1051,0)</f>
        <v/>
      </c>
      <c r="G1051" s="106">
        <f>INDEX(SETORES!$B:$B,MATCH(A1051,SETORES!$A:$A,0))</f>
        <v/>
      </c>
      <c r="H1051" s="106" t="inlineStr">
        <is>
          <t>Julho/2026</t>
        </is>
      </c>
    </row>
    <row r="1052" ht="14.25" customHeight="1" s="64">
      <c r="A1052" s="101" t="inlineStr">
        <is>
          <t>Administrativo</t>
        </is>
      </c>
      <c r="B1052" s="101" t="inlineStr">
        <is>
          <t>Custo Fixo</t>
        </is>
      </c>
      <c r="C1052" s="105" t="inlineStr">
        <is>
          <t>Sistema de assinatura eletronica (autentique) (TIC)</t>
        </is>
      </c>
      <c r="D1052" s="102" t="n">
        <v>1</v>
      </c>
      <c r="E1052" s="103" t="n">
        <v>99</v>
      </c>
      <c r="F1052" s="104">
        <f>IFERROR(D1052*E1052,0)</f>
        <v/>
      </c>
      <c r="G1052" s="101">
        <f>INDEX(SETORES!$B:$B,MATCH(A1052,SETORES!$A:$A,0))</f>
        <v/>
      </c>
      <c r="H1052" s="101" t="inlineStr">
        <is>
          <t>Julho/2026</t>
        </is>
      </c>
    </row>
    <row r="1053" hidden="1" ht="14.25" customHeight="1" s="64">
      <c r="A1053" s="106" t="inlineStr">
        <is>
          <t>Financeiro</t>
        </is>
      </c>
      <c r="B1053" s="106" t="inlineStr">
        <is>
          <t>Custo Fixo</t>
        </is>
      </c>
      <c r="C1053" s="106" t="inlineStr">
        <is>
          <t>Plataforma do aplicativo Vexpenses (financeiro)</t>
        </is>
      </c>
      <c r="D1053" s="107" t="n">
        <v>1</v>
      </c>
      <c r="E1053" s="108" t="n">
        <v>1807.85</v>
      </c>
      <c r="F1053" s="109">
        <f>IFERROR(D1053*E1053,0)</f>
        <v/>
      </c>
      <c r="G1053" s="106">
        <f>INDEX(SETORES!$B:$B,MATCH(A1053,SETORES!$A:$A,0))</f>
        <v/>
      </c>
      <c r="H1053" s="106" t="inlineStr">
        <is>
          <t>Julho/2026</t>
        </is>
      </c>
    </row>
    <row r="1054" hidden="1" ht="14.25" customHeight="1" s="64">
      <c r="A1054" s="101" t="inlineStr">
        <is>
          <t>DP</t>
        </is>
      </c>
      <c r="B1054" s="101" t="inlineStr">
        <is>
          <t>Custo Fixo</t>
        </is>
      </c>
      <c r="C1054" s="101" t="inlineStr">
        <is>
          <t>Licenças de software/sistemas corporativos (DP)</t>
        </is>
      </c>
      <c r="D1054" s="102" t="n">
        <v>1</v>
      </c>
      <c r="E1054" s="103" t="n">
        <v>2559.44</v>
      </c>
      <c r="F1054" s="104">
        <f>IFERROR(D1054*E1054,0)</f>
        <v/>
      </c>
      <c r="G1054" s="101">
        <f>INDEX(SETORES!$B:$B,MATCH(A1054,SETORES!$A:$A,0))</f>
        <v/>
      </c>
      <c r="H1054" s="101" t="inlineStr">
        <is>
          <t>Julho/2026</t>
        </is>
      </c>
    </row>
    <row r="1055" hidden="1" ht="14.25" customHeight="1" s="64">
      <c r="A1055" s="106" t="inlineStr">
        <is>
          <t>DP</t>
        </is>
      </c>
      <c r="B1055" s="106" t="inlineStr">
        <is>
          <t>Custo Fixo</t>
        </is>
      </c>
      <c r="C1055" s="106" t="inlineStr">
        <is>
          <t>Sistema de ponto eletrônico (KAIROS) (DP)</t>
        </is>
      </c>
      <c r="D1055" s="107" t="n">
        <v>1</v>
      </c>
      <c r="E1055" s="108" t="n">
        <v>4226.8</v>
      </c>
      <c r="F1055" s="109">
        <f>IFERROR(D1055*E1055,0)</f>
        <v/>
      </c>
      <c r="G1055" s="106">
        <f>INDEX(SETORES!$B:$B,MATCH(A1055,SETORES!$A:$A,0))</f>
        <v/>
      </c>
      <c r="H1055" s="106" t="inlineStr">
        <is>
          <t>Julho/2026</t>
        </is>
      </c>
    </row>
    <row r="1056" hidden="1" ht="14.25" customHeight="1" s="64">
      <c r="A1056" s="101" t="inlineStr">
        <is>
          <t>RH</t>
        </is>
      </c>
      <c r="B1056" s="101" t="inlineStr">
        <is>
          <t>Custo Fixo</t>
        </is>
      </c>
      <c r="C1056" s="101" t="inlineStr">
        <is>
          <t>Plataforma de comunicação interna (Useflow) (RH)</t>
        </is>
      </c>
      <c r="D1056" s="102" t="n">
        <v>1</v>
      </c>
      <c r="E1056" s="103" t="n">
        <v>2000</v>
      </c>
      <c r="F1056" s="104">
        <f>IFERROR(D1056*E1056,0)</f>
        <v/>
      </c>
      <c r="G1056" s="101">
        <f>INDEX(SETORES!$B:$B,MATCH(A1056,SETORES!$A:$A,0))</f>
        <v/>
      </c>
      <c r="H1056" s="101" t="inlineStr">
        <is>
          <t>Julho/2026</t>
        </is>
      </c>
    </row>
    <row r="1057" hidden="1" ht="14.25" customHeight="1" s="64">
      <c r="A1057" s="106" t="inlineStr">
        <is>
          <t>DP</t>
        </is>
      </c>
      <c r="B1057" s="106" t="inlineStr">
        <is>
          <t>Custo Fixo</t>
        </is>
      </c>
      <c r="C1057" s="106" t="inlineStr">
        <is>
          <t>Software exclusivo B2D (Arquivar) (DP)</t>
        </is>
      </c>
      <c r="D1057" s="107" t="n">
        <v>1</v>
      </c>
      <c r="E1057" s="108" t="n">
        <v>1099.93</v>
      </c>
      <c r="F1057" s="109">
        <f>IFERROR(D1057*E1057,0)</f>
        <v/>
      </c>
      <c r="G1057" s="106">
        <f>INDEX(SETORES!$B:$B,MATCH(A1057,SETORES!$A:$A,0))</f>
        <v/>
      </c>
      <c r="H1057" s="106" t="inlineStr">
        <is>
          <t>Julho/2026</t>
        </is>
      </c>
    </row>
    <row r="1058" hidden="1" ht="14.25" customHeight="1" s="64">
      <c r="A1058" s="101" t="inlineStr">
        <is>
          <t>DP</t>
        </is>
      </c>
      <c r="B1058" s="101" t="inlineStr">
        <is>
          <t>Custo Fixo</t>
        </is>
      </c>
      <c r="C1058" s="101" t="inlineStr">
        <is>
          <t>Software Dominio portal do empregado (DP)</t>
        </is>
      </c>
      <c r="D1058" s="102" t="n">
        <v>1</v>
      </c>
      <c r="E1058" s="103" t="n">
        <v>3800</v>
      </c>
      <c r="F1058" s="104">
        <f>IFERROR(D1058*E1058,0)</f>
        <v/>
      </c>
      <c r="G1058" s="101">
        <f>INDEX(SETORES!$B:$B,MATCH(A1058,SETORES!$A:$A,0))</f>
        <v/>
      </c>
      <c r="H1058" s="101" t="inlineStr">
        <is>
          <t>Julho/2026</t>
        </is>
      </c>
    </row>
    <row r="1059" hidden="1" ht="14.25" customHeight="1" s="64">
      <c r="A1059" s="106" t="inlineStr">
        <is>
          <t>Contabilidade</t>
        </is>
      </c>
      <c r="B1059" s="106" t="inlineStr">
        <is>
          <t>Custo Fixo</t>
        </is>
      </c>
      <c r="C1059" s="106" t="inlineStr">
        <is>
          <t>Licenças de software/sistemas corporativos (Contabilidade)</t>
        </is>
      </c>
      <c r="D1059" s="107" t="n">
        <v>1</v>
      </c>
      <c r="E1059" s="108" t="n">
        <v>2559.45</v>
      </c>
      <c r="F1059" s="109">
        <f>IFERROR(D1059*E1059,0)</f>
        <v/>
      </c>
      <c r="G1059" s="106">
        <f>INDEX(SETORES!$B:$B,MATCH(A1059,SETORES!$A:$A,0))</f>
        <v/>
      </c>
      <c r="H1059" s="106" t="inlineStr">
        <is>
          <t>Julho/2026</t>
        </is>
      </c>
    </row>
    <row r="1060" ht="14.25" customHeight="1" s="64">
      <c r="A1060" s="101" t="inlineStr">
        <is>
          <t>Administrativo</t>
        </is>
      </c>
      <c r="B1060" s="101" t="inlineStr">
        <is>
          <t>Custo Fixo</t>
        </is>
      </c>
      <c r="C1060" s="105" t="inlineStr">
        <is>
          <t>Software Power BI Dynamics (f001796)</t>
        </is>
      </c>
      <c r="D1060" s="102" t="n">
        <v>1</v>
      </c>
      <c r="E1060" s="103" t="n">
        <v>1787.09</v>
      </c>
      <c r="F1060" s="104">
        <f>IFERROR(D1060*E1060,0)</f>
        <v/>
      </c>
      <c r="G1060" s="101">
        <f>INDEX(SETORES!$B:$B,MATCH(A1060,SETORES!$A:$A,0))</f>
        <v/>
      </c>
      <c r="H1060" s="101" t="inlineStr">
        <is>
          <t>Julho/2026</t>
        </is>
      </c>
    </row>
    <row r="1061" hidden="1" ht="14.25" customHeight="1" s="64">
      <c r="A1061" s="106" t="inlineStr">
        <is>
          <t>Engenharia</t>
        </is>
      </c>
      <c r="B1061" s="106" t="inlineStr">
        <is>
          <t>Custo Fixo</t>
        </is>
      </c>
      <c r="C1061" s="106" t="inlineStr">
        <is>
          <t>Software de geolocalização (Engenharia)</t>
        </is>
      </c>
      <c r="D1061" s="107" t="n">
        <v>1</v>
      </c>
      <c r="E1061" s="108" t="n">
        <v>666.2</v>
      </c>
      <c r="F1061" s="109">
        <f>IFERROR(D1061*E1061,0)</f>
        <v/>
      </c>
      <c r="G1061" s="106">
        <f>INDEX(SETORES!$B:$B,MATCH(A1061,SETORES!$A:$A,0))</f>
        <v/>
      </c>
      <c r="H1061" s="106" t="inlineStr">
        <is>
          <t>Julho/2026</t>
        </is>
      </c>
    </row>
    <row r="1062" hidden="1" ht="14.25" customHeight="1" s="64">
      <c r="A1062" s="101" t="inlineStr">
        <is>
          <t>Logística</t>
        </is>
      </c>
      <c r="B1062" s="101" t="inlineStr">
        <is>
          <t>Custo Fixo</t>
        </is>
      </c>
      <c r="C1062" s="101" t="inlineStr">
        <is>
          <t>Software Full time (Logística)</t>
        </is>
      </c>
      <c r="D1062" s="102" t="n">
        <v>1</v>
      </c>
      <c r="E1062" s="103" t="n">
        <v>2911</v>
      </c>
      <c r="F1062" s="104">
        <f>IFERROR(D1062*E1062,0)</f>
        <v/>
      </c>
      <c r="G1062" s="101">
        <f>INDEX(SETORES!$B:$B,MATCH(A1062,SETORES!$A:$A,0))</f>
        <v/>
      </c>
      <c r="H1062" s="101" t="inlineStr">
        <is>
          <t>Julho/2026</t>
        </is>
      </c>
    </row>
    <row r="1063" ht="14.25" customHeight="1" s="64">
      <c r="A1063" s="106" t="inlineStr">
        <is>
          <t>Administrativo</t>
        </is>
      </c>
      <c r="B1063" s="106" t="inlineStr">
        <is>
          <t>Custo Fixo</t>
        </is>
      </c>
      <c r="C1063" s="106" t="inlineStr">
        <is>
          <t>Software de sistema eletronico de alarme (administrativo)</t>
        </is>
      </c>
      <c r="D1063" s="107" t="n">
        <v>1</v>
      </c>
      <c r="E1063" s="108" t="n">
        <v>436</v>
      </c>
      <c r="F1063" s="109">
        <f>IFERROR(D1063*E1063,0)</f>
        <v/>
      </c>
      <c r="G1063" s="106">
        <f>INDEX(SETORES!$B:$B,MATCH(A1063,SETORES!$A:$A,0))</f>
        <v/>
      </c>
      <c r="H1063" s="106" t="inlineStr">
        <is>
          <t>Julho/2026</t>
        </is>
      </c>
    </row>
    <row r="1064" hidden="1" ht="14.25" customHeight="1" s="64">
      <c r="A1064" s="101" t="inlineStr">
        <is>
          <t>CAC</t>
        </is>
      </c>
      <c r="B1064" s="101" t="inlineStr">
        <is>
          <t>Custo Fixo</t>
        </is>
      </c>
      <c r="C1064" s="101" t="inlineStr">
        <is>
          <t>Material de escritório (suprimentos de informática)</t>
        </is>
      </c>
      <c r="D1064" s="102" t="n"/>
      <c r="E1064" s="103" t="n"/>
      <c r="F1064" s="104" t="n">
        <v>0</v>
      </c>
      <c r="G1064" s="101">
        <f>INDEX(SETORES!$B:$B,MATCH(A1064,SETORES!$A:$A,0))</f>
        <v/>
      </c>
      <c r="H1064" s="101" t="inlineStr">
        <is>
          <t>Julho/2026</t>
        </is>
      </c>
    </row>
    <row r="1065" hidden="1" ht="14.25" customHeight="1" s="64">
      <c r="A1065" s="106" t="inlineStr">
        <is>
          <t>CAC</t>
        </is>
      </c>
      <c r="B1065" s="106" t="inlineStr">
        <is>
          <t>Custo Fixo</t>
        </is>
      </c>
      <c r="C1065" s="106" t="inlineStr">
        <is>
          <t>Material de uso coletivo (copa/limpeza)</t>
        </is>
      </c>
      <c r="D1065" s="107" t="n">
        <v>1</v>
      </c>
      <c r="E1065" s="108" t="n">
        <v>92.0001</v>
      </c>
      <c r="F1065" s="109" t="n">
        <v>92.0001</v>
      </c>
      <c r="G1065" s="106">
        <f>INDEX(SETORES!$B:$B,MATCH(A1065,SETORES!$A:$A,0))</f>
        <v/>
      </c>
      <c r="H1065" s="106" t="inlineStr">
        <is>
          <t>Julho/2026</t>
        </is>
      </c>
    </row>
    <row r="1066" hidden="1" ht="14.25" customHeight="1" s="64">
      <c r="A1066" s="101" t="inlineStr">
        <is>
          <t>CAC</t>
        </is>
      </c>
      <c r="B1066" s="101" t="inlineStr">
        <is>
          <t>Custo Fixo</t>
        </is>
      </c>
      <c r="C1066" s="101" t="inlineStr">
        <is>
          <t>Energia elétrica (rateio)</t>
        </is>
      </c>
      <c r="D1066" s="102" t="n">
        <v>1</v>
      </c>
      <c r="E1066" s="103" t="n">
        <v>24.819</v>
      </c>
      <c r="F1066" s="104" t="n">
        <v>24.819</v>
      </c>
      <c r="G1066" s="101">
        <f>INDEX(SETORES!$B:$B,MATCH(A1066,SETORES!$A:$A,0))</f>
        <v/>
      </c>
      <c r="H1066" s="101" t="inlineStr">
        <is>
          <t>Julho/2026</t>
        </is>
      </c>
    </row>
    <row r="1067" hidden="1" ht="14.25" customHeight="1" s="64">
      <c r="A1067" s="106" t="inlineStr">
        <is>
          <t>CAC</t>
        </is>
      </c>
      <c r="B1067" s="106" t="inlineStr">
        <is>
          <t>Custo Fixo</t>
        </is>
      </c>
      <c r="C1067" s="106" t="inlineStr">
        <is>
          <t>Água e esgoto (rateio)</t>
        </is>
      </c>
      <c r="D1067" s="107" t="n">
        <v>1</v>
      </c>
      <c r="E1067" s="108" t="n">
        <v>0.0727</v>
      </c>
      <c r="F1067" s="109" t="n">
        <v>0.0727</v>
      </c>
      <c r="G1067" s="106">
        <f>INDEX(SETORES!$B:$B,MATCH(A1067,SETORES!$A:$A,0))</f>
        <v/>
      </c>
      <c r="H1067" s="106" t="inlineStr">
        <is>
          <t>Julho/2026</t>
        </is>
      </c>
    </row>
    <row r="1068" hidden="1" ht="14.25" customHeight="1" s="64">
      <c r="A1068" s="101" t="inlineStr">
        <is>
          <t>CAC</t>
        </is>
      </c>
      <c r="B1068" s="101" t="inlineStr">
        <is>
          <t>Custo Fixo</t>
        </is>
      </c>
      <c r="C1068" s="101" t="inlineStr">
        <is>
          <t>Telefonia móvel corporativa</t>
        </is>
      </c>
      <c r="D1068" s="102" t="n"/>
      <c r="E1068" s="103" t="n"/>
      <c r="F1068" s="104">
        <f>IFERROR(D1068*E1068,0)</f>
        <v/>
      </c>
      <c r="G1068" s="101">
        <f>INDEX(SETORES!$B:$B,MATCH(A1068,SETORES!$A:$A,0))</f>
        <v/>
      </c>
      <c r="H1068" s="101" t="inlineStr">
        <is>
          <t>Julho/2026</t>
        </is>
      </c>
    </row>
    <row r="1069" hidden="1" ht="14.25" customHeight="1" s="64">
      <c r="A1069" s="106" t="inlineStr">
        <is>
          <t>CAC</t>
        </is>
      </c>
      <c r="B1069" s="106" t="inlineStr">
        <is>
          <t>Custo Fixo</t>
        </is>
      </c>
      <c r="C1069" s="106" t="inlineStr">
        <is>
          <t>Folha de pagamento (salários)</t>
        </is>
      </c>
      <c r="D1069" s="107" t="n">
        <v>1</v>
      </c>
      <c r="E1069" s="108" t="n">
        <v>8929.700000000001</v>
      </c>
      <c r="F1069" s="109">
        <f>IFERROR(E1069,0)</f>
        <v/>
      </c>
      <c r="G1069" s="106">
        <f>INDEX(SETORES!$B:$B,MATCH(A1069,SETORES!$A:$A,0))</f>
        <v/>
      </c>
      <c r="H1069" s="106" t="inlineStr">
        <is>
          <t>Julho/2026</t>
        </is>
      </c>
    </row>
    <row r="1070" hidden="1" ht="14.25" customHeight="1" s="64">
      <c r="A1070" s="101" t="inlineStr">
        <is>
          <t>CAC</t>
        </is>
      </c>
      <c r="B1070" s="101" t="inlineStr">
        <is>
          <t>Custo Variável</t>
        </is>
      </c>
      <c r="C1070" s="101" t="inlineStr">
        <is>
          <t>Fardamento novo</t>
        </is>
      </c>
      <c r="D1070" s="102" t="n"/>
      <c r="E1070" s="103" t="n"/>
      <c r="F1070" s="104">
        <f>IFERROR(D1070*E1070,0)</f>
        <v/>
      </c>
      <c r="G1070" s="101">
        <f>INDEX(SETORES!$B:$B,MATCH(A1070,SETORES!$A:$A,0))</f>
        <v/>
      </c>
      <c r="H1070" s="101" t="inlineStr">
        <is>
          <t>Julho/2026</t>
        </is>
      </c>
    </row>
    <row r="1071" hidden="1" ht="14.25" customHeight="1" s="64">
      <c r="A1071" s="106" t="inlineStr">
        <is>
          <t>CAC</t>
        </is>
      </c>
      <c r="B1071" s="106" t="inlineStr">
        <is>
          <t>Custo Variável</t>
        </is>
      </c>
      <c r="C1071" s="106" t="inlineStr">
        <is>
          <t>Fardamento substituição</t>
        </is>
      </c>
      <c r="D1071" s="107" t="n"/>
      <c r="E1071" s="108" t="n"/>
      <c r="F1071" s="109">
        <f>IFERROR(D1071*E1071,0)</f>
        <v/>
      </c>
      <c r="G1071" s="106">
        <f>INDEX(SETORES!$B:$B,MATCH(A1071,SETORES!$A:$A,0))</f>
        <v/>
      </c>
      <c r="H1071" s="106" t="inlineStr">
        <is>
          <t>Julho/2026</t>
        </is>
      </c>
    </row>
    <row r="1072" hidden="1" ht="14.25" customHeight="1" s="64">
      <c r="A1072" s="101" t="inlineStr">
        <is>
          <t>CAC</t>
        </is>
      </c>
      <c r="B1072" s="101" t="inlineStr">
        <is>
          <t>Custo Variável</t>
        </is>
      </c>
      <c r="C1072" s="101" t="inlineStr">
        <is>
          <t>Exames médicos</t>
        </is>
      </c>
      <c r="D1072" s="102" t="n"/>
      <c r="E1072" s="103" t="n"/>
      <c r="F1072" s="104">
        <f>IFERROR(D1072*E1072,0)</f>
        <v/>
      </c>
      <c r="G1072" s="101">
        <f>INDEX(SETORES!$B:$B,MATCH(A1072,SETORES!$A:$A,0))</f>
        <v/>
      </c>
      <c r="H1072" s="101" t="inlineStr">
        <is>
          <t>Julho/2026</t>
        </is>
      </c>
    </row>
    <row r="1073" hidden="1" ht="14.25" customHeight="1" s="64">
      <c r="A1073" s="106" t="inlineStr">
        <is>
          <t>CAC</t>
        </is>
      </c>
      <c r="B1073" s="106" t="inlineStr">
        <is>
          <t>Custo Fixo</t>
        </is>
      </c>
      <c r="C1073" s="106" t="inlineStr">
        <is>
          <t>Licença de e-mail corporativo</t>
        </is>
      </c>
      <c r="D1073" s="107" t="n">
        <v>2</v>
      </c>
      <c r="E1073" s="108" t="n">
        <v>50</v>
      </c>
      <c r="F1073" s="109">
        <f>IFERROR(D1073*E1073,0)</f>
        <v/>
      </c>
      <c r="G1073" s="106">
        <f>INDEX(SETORES!$B:$B,MATCH(A1073,SETORES!$A:$A,0))</f>
        <v/>
      </c>
      <c r="H1073" s="106" t="inlineStr">
        <is>
          <t>Julho/2026</t>
        </is>
      </c>
    </row>
    <row r="1074" hidden="1" ht="14.25" customHeight="1" s="64">
      <c r="A1074" s="101" t="inlineStr">
        <is>
          <t>CAC</t>
        </is>
      </c>
      <c r="B1074" s="101" t="inlineStr">
        <is>
          <t>Custo Fixo</t>
        </is>
      </c>
      <c r="C1074" s="101" t="inlineStr">
        <is>
          <t>Gympass</t>
        </is>
      </c>
      <c r="D1074" s="102" t="n">
        <v>3</v>
      </c>
      <c r="E1074" s="103" t="n">
        <v>9.92</v>
      </c>
      <c r="F1074" s="104">
        <f>IFERROR(D1074*E1074,0)</f>
        <v/>
      </c>
      <c r="G1074" s="101">
        <f>INDEX(SETORES!$B:$B,MATCH(A1074,SETORES!$A:$A,0))</f>
        <v/>
      </c>
      <c r="H1074" s="101" t="inlineStr">
        <is>
          <t>Julho/2026</t>
        </is>
      </c>
    </row>
    <row r="1075" hidden="1" ht="14.25" customHeight="1" s="64">
      <c r="A1075" s="106" t="inlineStr">
        <is>
          <t>CAC</t>
        </is>
      </c>
      <c r="B1075" s="106" t="inlineStr">
        <is>
          <t>Custo Fixo</t>
        </is>
      </c>
      <c r="C1075" s="106" t="inlineStr">
        <is>
          <t>Stargrid</t>
        </is>
      </c>
      <c r="D1075" s="107" t="n">
        <v>3</v>
      </c>
      <c r="E1075" s="108" t="n">
        <v>2.05</v>
      </c>
      <c r="F1075" s="109">
        <f>IFERROR(D1075*E1075,0)</f>
        <v/>
      </c>
      <c r="G1075" s="106">
        <f>INDEX(SETORES!$B:$B,MATCH(A1075,SETORES!$A:$A,0))</f>
        <v/>
      </c>
      <c r="H1075" s="106" t="inlineStr">
        <is>
          <t>Julho/2026</t>
        </is>
      </c>
    </row>
    <row r="1076" hidden="1" ht="14.25" customHeight="1" s="64">
      <c r="A1076" s="101" t="inlineStr">
        <is>
          <t>Cobrança</t>
        </is>
      </c>
      <c r="B1076" s="101" t="inlineStr">
        <is>
          <t>Custo Fixo</t>
        </is>
      </c>
      <c r="C1076" s="101" t="inlineStr">
        <is>
          <t>Material de escritório (suprimentos de informática)</t>
        </is>
      </c>
      <c r="D1076" s="102" t="n">
        <v>13</v>
      </c>
      <c r="E1076" s="103" t="n">
        <v>0.9851</v>
      </c>
      <c r="F1076" s="104" t="n">
        <v>12.8063</v>
      </c>
      <c r="G1076" s="101">
        <f>INDEX(SETORES!$B:$B,MATCH(A1076,SETORES!$A:$A,0))</f>
        <v/>
      </c>
      <c r="H1076" s="101" t="inlineStr">
        <is>
          <t>Julho/2026</t>
        </is>
      </c>
    </row>
    <row r="1077" hidden="1" ht="14.25" customHeight="1" s="64">
      <c r="A1077" s="106" t="inlineStr">
        <is>
          <t>Cobrança</t>
        </is>
      </c>
      <c r="B1077" s="106" t="inlineStr">
        <is>
          <t>Custo Fixo</t>
        </is>
      </c>
      <c r="C1077" s="106" t="inlineStr">
        <is>
          <t>Material de uso coletivo (copa/limpeza)</t>
        </is>
      </c>
      <c r="D1077" s="107" t="n">
        <v>1</v>
      </c>
      <c r="E1077" s="108" t="n">
        <v>389.232787</v>
      </c>
      <c r="F1077" s="109" t="n">
        <v>389.232787</v>
      </c>
      <c r="G1077" s="106">
        <f>INDEX(SETORES!$B:$B,MATCH(A1077,SETORES!$A:$A,0))</f>
        <v/>
      </c>
      <c r="H1077" s="106" t="inlineStr">
        <is>
          <t>Julho/2026</t>
        </is>
      </c>
    </row>
    <row r="1078" hidden="1" ht="14.25" customHeight="1" s="64">
      <c r="A1078" s="101" t="inlineStr">
        <is>
          <t>Cobrança</t>
        </is>
      </c>
      <c r="B1078" s="101" t="inlineStr">
        <is>
          <t>Custo Fixo</t>
        </is>
      </c>
      <c r="C1078" s="101" t="inlineStr">
        <is>
          <t>Energia elétrica (rateio)</t>
        </is>
      </c>
      <c r="D1078" s="102" t="n">
        <v>1</v>
      </c>
      <c r="E1078" s="103" t="n">
        <v>107.549</v>
      </c>
      <c r="F1078" s="104" t="n">
        <v>107.549</v>
      </c>
      <c r="G1078" s="101">
        <f>INDEX(SETORES!$B:$B,MATCH(A1078,SETORES!$A:$A,0))</f>
        <v/>
      </c>
      <c r="H1078" s="101" t="inlineStr">
        <is>
          <t>Julho/2026</t>
        </is>
      </c>
    </row>
    <row r="1079" hidden="1" ht="14.25" customHeight="1" s="64">
      <c r="A1079" s="106" t="inlineStr">
        <is>
          <t>Cobrança</t>
        </is>
      </c>
      <c r="B1079" s="106" t="inlineStr">
        <is>
          <t>Custo Fixo</t>
        </is>
      </c>
      <c r="C1079" s="106" t="inlineStr">
        <is>
          <t>Água e esgoto (rateio)</t>
        </is>
      </c>
      <c r="D1079" s="107" t="n">
        <v>1</v>
      </c>
      <c r="E1079" s="108" t="n">
        <v>0.3152</v>
      </c>
      <c r="F1079" s="109" t="n">
        <v>0.3152</v>
      </c>
      <c r="G1079" s="106">
        <f>INDEX(SETORES!$B:$B,MATCH(A1079,SETORES!$A:$A,0))</f>
        <v/>
      </c>
      <c r="H1079" s="106" t="inlineStr">
        <is>
          <t>Julho/2026</t>
        </is>
      </c>
    </row>
    <row r="1080" hidden="1" ht="14.25" customHeight="1" s="64">
      <c r="A1080" s="101" t="inlineStr">
        <is>
          <t>Cobrança</t>
        </is>
      </c>
      <c r="B1080" s="101" t="inlineStr">
        <is>
          <t>Custo Fixo</t>
        </is>
      </c>
      <c r="C1080" s="101" t="inlineStr">
        <is>
          <t>Telefonia móvel corporativa</t>
        </is>
      </c>
      <c r="D1080" s="102" t="n"/>
      <c r="E1080" s="103" t="n"/>
      <c r="F1080" s="104">
        <f>IFERROR(D1080*E1080,0)</f>
        <v/>
      </c>
      <c r="G1080" s="101">
        <f>INDEX(SETORES!$B:$B,MATCH(A1080,SETORES!$A:$A,0))</f>
        <v/>
      </c>
      <c r="H1080" s="101" t="inlineStr">
        <is>
          <t>Julho/2026</t>
        </is>
      </c>
    </row>
    <row r="1081" hidden="1" ht="14.25" customHeight="1" s="64">
      <c r="A1081" s="106" t="inlineStr">
        <is>
          <t>Cobrança</t>
        </is>
      </c>
      <c r="B1081" s="106" t="inlineStr">
        <is>
          <t>Custo Fixo</t>
        </is>
      </c>
      <c r="C1081" s="106" t="inlineStr">
        <is>
          <t>Folha de pagamento (salários)</t>
        </is>
      </c>
      <c r="D1081" s="107" t="n">
        <v>1</v>
      </c>
      <c r="E1081" s="108" t="n">
        <v>38898.86</v>
      </c>
      <c r="F1081" s="109">
        <f>IFERROR(E1081,0)</f>
        <v/>
      </c>
      <c r="G1081" s="106">
        <f>INDEX(SETORES!$B:$B,MATCH(A1081,SETORES!$A:$A,0))</f>
        <v/>
      </c>
      <c r="H1081" s="106" t="inlineStr">
        <is>
          <t>Julho/2026</t>
        </is>
      </c>
    </row>
    <row r="1082" hidden="1" ht="14.25" customHeight="1" s="64">
      <c r="A1082" s="101" t="inlineStr">
        <is>
          <t>Cobrança</t>
        </is>
      </c>
      <c r="B1082" s="101" t="inlineStr">
        <is>
          <t>Custo Variável</t>
        </is>
      </c>
      <c r="C1082" s="101" t="inlineStr">
        <is>
          <t>Fardamento novo</t>
        </is>
      </c>
      <c r="D1082" s="102" t="n">
        <v>4</v>
      </c>
      <c r="E1082" s="103" t="n">
        <v>45</v>
      </c>
      <c r="F1082" s="104">
        <f>IFERROR(D1082*E1082,0)</f>
        <v/>
      </c>
      <c r="G1082" s="101">
        <f>INDEX(SETORES!$B:$B,MATCH(A1082,SETORES!$A:$A,0))</f>
        <v/>
      </c>
      <c r="H1082" s="101" t="inlineStr">
        <is>
          <t>Julho/2026</t>
        </is>
      </c>
    </row>
    <row r="1083" hidden="1" ht="14.25" customHeight="1" s="64">
      <c r="A1083" s="106" t="inlineStr">
        <is>
          <t>Cobrança</t>
        </is>
      </c>
      <c r="B1083" s="106" t="inlineStr">
        <is>
          <t>Custo Variável</t>
        </is>
      </c>
      <c r="C1083" s="106" t="inlineStr">
        <is>
          <t>Fardamento substituição</t>
        </is>
      </c>
      <c r="D1083" s="107" t="n"/>
      <c r="E1083" s="108" t="n"/>
      <c r="F1083" s="109">
        <f>IFERROR(D1083*E1083,0)</f>
        <v/>
      </c>
      <c r="G1083" s="106">
        <f>INDEX(SETORES!$B:$B,MATCH(A1083,SETORES!$A:$A,0))</f>
        <v/>
      </c>
      <c r="H1083" s="106" t="inlineStr">
        <is>
          <t>Julho/2026</t>
        </is>
      </c>
    </row>
    <row r="1084" hidden="1" ht="14.25" customHeight="1" s="64">
      <c r="A1084" s="101" t="inlineStr">
        <is>
          <t>Cobrança</t>
        </is>
      </c>
      <c r="B1084" s="101" t="inlineStr">
        <is>
          <t>Custo Variável</t>
        </is>
      </c>
      <c r="C1084" s="101" t="inlineStr">
        <is>
          <t>Rescisões trabalhistas</t>
        </is>
      </c>
      <c r="D1084" s="102" t="n"/>
      <c r="E1084" s="103" t="n"/>
      <c r="F1084" s="104">
        <f>IFERROR(D1084*E1084,0)</f>
        <v/>
      </c>
      <c r="G1084" s="101">
        <f>INDEX(SETORES!$B:$B,MATCH(A1084,SETORES!$A:$A,0))</f>
        <v/>
      </c>
      <c r="H1084" s="101" t="inlineStr">
        <is>
          <t>Julho/2026</t>
        </is>
      </c>
    </row>
    <row r="1085" hidden="1" ht="14.25" customHeight="1" s="64">
      <c r="A1085" s="106" t="inlineStr">
        <is>
          <t>Cobrança</t>
        </is>
      </c>
      <c r="B1085" s="106" t="inlineStr">
        <is>
          <t>Custo Fixo</t>
        </is>
      </c>
      <c r="C1085" s="106" t="inlineStr">
        <is>
          <t>Licença de e-mail corporativo</t>
        </is>
      </c>
      <c r="D1085" s="107" t="n">
        <v>1</v>
      </c>
      <c r="E1085" s="108" t="n">
        <v>50</v>
      </c>
      <c r="F1085" s="109">
        <f>IFERROR(D1085*E1085,0)</f>
        <v/>
      </c>
      <c r="G1085" s="106">
        <f>INDEX(SETORES!$B:$B,MATCH(A1085,SETORES!$A:$A,0))</f>
        <v/>
      </c>
      <c r="H1085" s="106" t="inlineStr">
        <is>
          <t>Julho/2026</t>
        </is>
      </c>
    </row>
    <row r="1086" hidden="1" ht="14.25" customHeight="1" s="64">
      <c r="A1086" s="101" t="inlineStr">
        <is>
          <t>Cobrança</t>
        </is>
      </c>
      <c r="B1086" s="101" t="inlineStr">
        <is>
          <t>Custo Fixo</t>
        </is>
      </c>
      <c r="C1086" s="101" t="inlineStr">
        <is>
          <t>Software MATRIX (rateio equipe Relacionamento)</t>
        </is>
      </c>
      <c r="D1086" s="102" t="n">
        <v>1</v>
      </c>
      <c r="E1086" s="103" t="n">
        <v>719.456231</v>
      </c>
      <c r="F1086" s="104">
        <f>IFERROR(D1086*E1086,0)</f>
        <v/>
      </c>
      <c r="G1086" s="101">
        <f>INDEX(SETORES!$B:$B,MATCH(A1086,SETORES!$A:$A,0))</f>
        <v/>
      </c>
      <c r="H1086" s="101" t="inlineStr">
        <is>
          <t>Julho/2026</t>
        </is>
      </c>
    </row>
    <row r="1087" hidden="1" ht="14.25" customHeight="1" s="64">
      <c r="A1087" s="106" t="inlineStr">
        <is>
          <t>Cobrança</t>
        </is>
      </c>
      <c r="B1087" s="106" t="inlineStr">
        <is>
          <t>Custo Fixo</t>
        </is>
      </c>
      <c r="C1087" s="106" t="inlineStr">
        <is>
          <t>Impressora (rateio equipe Relacionamento)</t>
        </is>
      </c>
      <c r="D1087" s="107" t="n">
        <v>1</v>
      </c>
      <c r="E1087" s="108" t="n">
        <v>2.727868</v>
      </c>
      <c r="F1087" s="109">
        <f>IFERROR(D1087*E1087,0)</f>
        <v/>
      </c>
      <c r="G1087" s="106">
        <f>INDEX(SETORES!$B:$B,MATCH(A1087,SETORES!$A:$A,0))</f>
        <v/>
      </c>
      <c r="H1087" s="106" t="inlineStr">
        <is>
          <t>Julho/2026</t>
        </is>
      </c>
    </row>
    <row r="1088" hidden="1" ht="14.25" customHeight="1" s="64">
      <c r="A1088" s="101" t="inlineStr">
        <is>
          <t>Cobrança</t>
        </is>
      </c>
      <c r="B1088" s="101" t="inlineStr">
        <is>
          <t>Custo Fixo</t>
        </is>
      </c>
      <c r="C1088" s="101" t="inlineStr">
        <is>
          <t>Gympass</t>
        </is>
      </c>
      <c r="D1088" s="102" t="n">
        <v>13</v>
      </c>
      <c r="E1088" s="103" t="n">
        <v>9.92</v>
      </c>
      <c r="F1088" s="104">
        <f>IFERROR(D1088*E1088,0)</f>
        <v/>
      </c>
      <c r="G1088" s="101">
        <f>INDEX(SETORES!$B:$B,MATCH(A1088,SETORES!$A:$A,0))</f>
        <v/>
      </c>
      <c r="H1088" s="101" t="inlineStr">
        <is>
          <t>Julho/2026</t>
        </is>
      </c>
    </row>
    <row r="1089" hidden="1" ht="14.25" customHeight="1" s="64">
      <c r="A1089" s="106" t="inlineStr">
        <is>
          <t>Cobrança</t>
        </is>
      </c>
      <c r="B1089" s="106" t="inlineStr">
        <is>
          <t>Custo Fixo</t>
        </is>
      </c>
      <c r="C1089" s="106" t="inlineStr">
        <is>
          <t>Stargrid</t>
        </is>
      </c>
      <c r="D1089" s="107" t="n">
        <v>13</v>
      </c>
      <c r="E1089" s="108" t="n">
        <v>2.05</v>
      </c>
      <c r="F1089" s="109">
        <f>IFERROR(D1089*E1089,0)</f>
        <v/>
      </c>
      <c r="G1089" s="106">
        <f>INDEX(SETORES!$B:$B,MATCH(A1089,SETORES!$A:$A,0))</f>
        <v/>
      </c>
      <c r="H1089" s="106" t="inlineStr">
        <is>
          <t>Julho/2026</t>
        </is>
      </c>
    </row>
    <row r="1090" hidden="1" ht="14.25" customHeight="1" s="64">
      <c r="A1090" s="101" t="inlineStr">
        <is>
          <t>Comercial Corporativo</t>
        </is>
      </c>
      <c r="B1090" s="101" t="inlineStr">
        <is>
          <t>Custo Variável</t>
        </is>
      </c>
      <c r="C1090" s="101" t="inlineStr">
        <is>
          <t>Endomarketing</t>
        </is>
      </c>
      <c r="D1090" s="102" t="n"/>
      <c r="E1090" s="103" t="n"/>
      <c r="F1090" s="104">
        <f>IFERROR(D1090*E1090,0)</f>
        <v/>
      </c>
      <c r="G1090" s="101">
        <f>INDEX(SETORES!$B:$B,MATCH(A1090,SETORES!$A:$A,0))</f>
        <v/>
      </c>
      <c r="H1090" s="101" t="inlineStr">
        <is>
          <t>Julho/2026</t>
        </is>
      </c>
    </row>
    <row r="1091" hidden="1" ht="14.25" customHeight="1" s="64">
      <c r="A1091" s="106" t="inlineStr">
        <is>
          <t>Comercial Corporativo</t>
        </is>
      </c>
      <c r="B1091" s="106" t="inlineStr">
        <is>
          <t>Custo Variável</t>
        </is>
      </c>
      <c r="C1091" s="106" t="inlineStr">
        <is>
          <t>Marketing direto</t>
        </is>
      </c>
      <c r="D1091" s="107" t="n"/>
      <c r="E1091" s="108" t="n"/>
      <c r="F1091" s="109">
        <f>IFERROR(D1091*E1091,0)</f>
        <v/>
      </c>
      <c r="G1091" s="106">
        <f>INDEX(SETORES!$B:$B,MATCH(A1091,SETORES!$A:$A,0))</f>
        <v/>
      </c>
      <c r="H1091" s="106" t="inlineStr">
        <is>
          <t>Julho/2026</t>
        </is>
      </c>
    </row>
    <row r="1092" hidden="1" ht="14.25" customHeight="1" s="64">
      <c r="A1092" s="101" t="inlineStr">
        <is>
          <t>Comercial Corporativo</t>
        </is>
      </c>
      <c r="B1092" s="101" t="inlineStr">
        <is>
          <t>Custo Fixo</t>
        </is>
      </c>
      <c r="C1092" s="101" t="inlineStr">
        <is>
          <t>E-mail do departamento</t>
        </is>
      </c>
      <c r="D1092" s="102" t="n">
        <v>11</v>
      </c>
      <c r="E1092" s="103" t="n">
        <v>50</v>
      </c>
      <c r="F1092" s="104">
        <f>IFERROR(D1092*E1092,0)</f>
        <v/>
      </c>
      <c r="G1092" s="101">
        <f>INDEX(SETORES!$B:$B,MATCH(A1092,SETORES!$A:$A,0))</f>
        <v/>
      </c>
      <c r="H1092" s="101" t="inlineStr">
        <is>
          <t>Julho/2026</t>
        </is>
      </c>
    </row>
    <row r="1093" hidden="1" ht="14.25" customHeight="1" s="64">
      <c r="A1093" s="106" t="inlineStr">
        <is>
          <t>Comercial Corporativo</t>
        </is>
      </c>
      <c r="B1093" s="106" t="inlineStr">
        <is>
          <t>Custo Fixo</t>
        </is>
      </c>
      <c r="C1093" s="106" t="inlineStr">
        <is>
          <t>Folha de pagamento (salários)</t>
        </is>
      </c>
      <c r="D1093" s="107" t="n">
        <v>1</v>
      </c>
      <c r="E1093" s="108" t="n">
        <v>113007.3</v>
      </c>
      <c r="F1093" s="109">
        <f>IFERROR(E1093,0)</f>
        <v/>
      </c>
      <c r="G1093" s="106">
        <f>INDEX(SETORES!$B:$B,MATCH(A1093,SETORES!$A:$A,0))</f>
        <v/>
      </c>
      <c r="H1093" s="106" t="inlineStr">
        <is>
          <t>Julho/2026</t>
        </is>
      </c>
    </row>
    <row r="1094" hidden="1" ht="14.25" customHeight="1" s="64">
      <c r="A1094" s="101" t="inlineStr">
        <is>
          <t>Comercial Corporativo</t>
        </is>
      </c>
      <c r="B1094" s="101" t="inlineStr">
        <is>
          <t>Custo Fixo</t>
        </is>
      </c>
      <c r="C1094" s="101" t="inlineStr">
        <is>
          <t>Linhas moveis (FIQUE MÓVEL)</t>
        </is>
      </c>
      <c r="D1094" s="102" t="n">
        <v>7</v>
      </c>
      <c r="E1094" s="103" t="n">
        <v>30</v>
      </c>
      <c r="F1094" s="104">
        <f>IFERROR(D1094*E1094,0)</f>
        <v/>
      </c>
      <c r="G1094" s="101">
        <f>INDEX(SETORES!$B:$B,MATCH(A1094,SETORES!$A:$A,0))</f>
        <v/>
      </c>
      <c r="H1094" s="101" t="inlineStr">
        <is>
          <t>Julho/2026</t>
        </is>
      </c>
    </row>
    <row r="1095" hidden="1" ht="14.25" customHeight="1" s="64">
      <c r="A1095" s="106" t="inlineStr">
        <is>
          <t>Comercial Corporativo</t>
        </is>
      </c>
      <c r="B1095" s="106" t="inlineStr">
        <is>
          <t>Custo Fixo</t>
        </is>
      </c>
      <c r="C1095" s="106" t="inlineStr">
        <is>
          <t>Despesas com RH</t>
        </is>
      </c>
      <c r="D1095" s="107" t="n">
        <v>11</v>
      </c>
      <c r="E1095" s="108" t="n">
        <v>29.74</v>
      </c>
      <c r="F1095" s="109">
        <f>IFERROR(D1095*E1095,0)</f>
        <v/>
      </c>
      <c r="G1095" s="106">
        <f>INDEX(SETORES!$B:$B,MATCH(A1095,SETORES!$A:$A,0))</f>
        <v/>
      </c>
      <c r="H1095" s="106" t="inlineStr">
        <is>
          <t>Julho/2026</t>
        </is>
      </c>
    </row>
    <row r="1096" hidden="1" ht="14.25" customHeight="1" s="64">
      <c r="A1096" s="101" t="inlineStr">
        <is>
          <t>Comercial Corporativo</t>
        </is>
      </c>
      <c r="B1096" s="101" t="inlineStr">
        <is>
          <t>Custo Fixo</t>
        </is>
      </c>
      <c r="C1096" s="101" t="inlineStr">
        <is>
          <t>Despesas com DP</t>
        </is>
      </c>
      <c r="D1096" s="102" t="n">
        <v>11</v>
      </c>
      <c r="E1096" s="103" t="n">
        <v>43.54</v>
      </c>
      <c r="F1096" s="104">
        <f>IFERROR(D1096*E1096,0)</f>
        <v/>
      </c>
      <c r="G1096" s="101">
        <f>INDEX(SETORES!$B:$B,MATCH(A1096,SETORES!$A:$A,0))</f>
        <v/>
      </c>
      <c r="H1096" s="101" t="inlineStr">
        <is>
          <t>Julho/2026</t>
        </is>
      </c>
    </row>
    <row r="1097" hidden="1" ht="14.25" customHeight="1" s="64">
      <c r="A1097" s="106" t="inlineStr">
        <is>
          <t>Comercial Corporativo</t>
        </is>
      </c>
      <c r="B1097" s="106" t="inlineStr">
        <is>
          <t>Custo Fixo</t>
        </is>
      </c>
      <c r="C1097" s="106" t="inlineStr">
        <is>
          <t>Despesas com SST</t>
        </is>
      </c>
      <c r="D1097" s="107" t="n">
        <v>11</v>
      </c>
      <c r="E1097" s="108" t="n">
        <v>47.66</v>
      </c>
      <c r="F1097" s="109">
        <f>IFERROR(D1097*E1097,0)</f>
        <v/>
      </c>
      <c r="G1097" s="106">
        <f>INDEX(SETORES!$B:$B,MATCH(A1097,SETORES!$A:$A,0))</f>
        <v/>
      </c>
      <c r="H1097" s="106" t="inlineStr">
        <is>
          <t>Julho/2026</t>
        </is>
      </c>
    </row>
    <row r="1098" hidden="1" ht="14.25" customHeight="1" s="64">
      <c r="A1098" s="101" t="inlineStr">
        <is>
          <t>Comercial Corporativo</t>
        </is>
      </c>
      <c r="B1098" s="101" t="inlineStr">
        <is>
          <t>Custo Variável</t>
        </is>
      </c>
      <c r="C1098" s="101" t="inlineStr">
        <is>
          <t>Exames médicos</t>
        </is>
      </c>
      <c r="D1098" s="102" t="n">
        <v>1</v>
      </c>
      <c r="E1098" s="103" t="n">
        <v>60</v>
      </c>
      <c r="F1098" s="104">
        <f>IFERROR(D1098*E1098,0)</f>
        <v/>
      </c>
      <c r="G1098" s="101">
        <f>INDEX(SETORES!$B:$B,MATCH(A1098,SETORES!$A:$A,0))</f>
        <v/>
      </c>
      <c r="H1098" s="101" t="inlineStr">
        <is>
          <t>Julho/2026</t>
        </is>
      </c>
    </row>
    <row r="1099" hidden="1" ht="14.25" customHeight="1" s="64">
      <c r="A1099" s="106" t="inlineStr">
        <is>
          <t>Comercial Corporativo</t>
        </is>
      </c>
      <c r="B1099" s="106" t="inlineStr">
        <is>
          <t>Custo Variável</t>
        </is>
      </c>
      <c r="C1099" s="106" t="inlineStr">
        <is>
          <t>Novo Fardamento</t>
        </is>
      </c>
      <c r="D1099" s="107" t="n">
        <v>2</v>
      </c>
      <c r="E1099" s="108" t="n">
        <v>45</v>
      </c>
      <c r="F1099" s="109">
        <f>IFERROR(D1099*E1099,0)</f>
        <v/>
      </c>
      <c r="G1099" s="106">
        <f>INDEX(SETORES!$B:$B,MATCH(A1099,SETORES!$A:$A,0))</f>
        <v/>
      </c>
      <c r="H1099" s="106" t="inlineStr">
        <is>
          <t>Julho/2026</t>
        </is>
      </c>
    </row>
    <row r="1100" hidden="1" ht="14.25" customHeight="1" s="64">
      <c r="A1100" s="101" t="inlineStr">
        <is>
          <t>Comercial Corporativo</t>
        </is>
      </c>
      <c r="B1100" s="101" t="inlineStr">
        <is>
          <t>Custo Variável</t>
        </is>
      </c>
      <c r="C1100" s="101" t="inlineStr">
        <is>
          <t>Devolução de fardamento</t>
        </is>
      </c>
      <c r="D1100" s="102" t="n"/>
      <c r="E1100" s="103" t="n"/>
      <c r="F1100" s="104">
        <f>IFERROR(D1100*E1100,0)</f>
        <v/>
      </c>
      <c r="G1100" s="101">
        <f>INDEX(SETORES!$B:$B,MATCH(A1100,SETORES!$A:$A,0))</f>
        <v/>
      </c>
      <c r="H1100" s="101" t="inlineStr">
        <is>
          <t>Julho/2026</t>
        </is>
      </c>
    </row>
    <row r="1101" hidden="1" ht="14.25" customHeight="1" s="64">
      <c r="A1101" s="106" t="inlineStr">
        <is>
          <t>Comercial Corporativo</t>
        </is>
      </c>
      <c r="B1101" s="106" t="inlineStr">
        <is>
          <t>Custo Variável</t>
        </is>
      </c>
      <c r="C1101" s="106" t="inlineStr">
        <is>
          <t>Substituição extra de Fardamento</t>
        </is>
      </c>
      <c r="D1101" s="107" t="n"/>
      <c r="E1101" s="108" t="n"/>
      <c r="F1101" s="109">
        <f>IFERROR(D1101*E1101,0)</f>
        <v/>
      </c>
      <c r="G1101" s="106">
        <f>INDEX(SETORES!$B:$B,MATCH(A1101,SETORES!$A:$A,0))</f>
        <v/>
      </c>
      <c r="H1101" s="106" t="inlineStr">
        <is>
          <t>Julho/2026</t>
        </is>
      </c>
    </row>
    <row r="1102" hidden="1" ht="14.25" customHeight="1" s="64">
      <c r="A1102" s="101" t="inlineStr">
        <is>
          <t>Comercial Corporativo</t>
        </is>
      </c>
      <c r="B1102" s="101" t="inlineStr">
        <is>
          <t>Custo Variável</t>
        </is>
      </c>
      <c r="C1102" s="101" t="inlineStr">
        <is>
          <t>Consumo de combustível</t>
        </is>
      </c>
      <c r="D1102" s="102" t="n">
        <v>1</v>
      </c>
      <c r="E1102" s="103" t="n">
        <v>3393.29</v>
      </c>
      <c r="F1102" s="104">
        <f>IFERROR(D1102*E1102,0)</f>
        <v/>
      </c>
      <c r="G1102" s="101">
        <f>INDEX(SETORES!$B:$B,MATCH(A1102,SETORES!$A:$A,0))</f>
        <v/>
      </c>
      <c r="H1102" s="101" t="inlineStr">
        <is>
          <t>Julho/2026</t>
        </is>
      </c>
    </row>
    <row r="1103" hidden="1" ht="14.25" customHeight="1" s="64">
      <c r="A1103" s="106" t="inlineStr">
        <is>
          <t>Comercial Corporativo</t>
        </is>
      </c>
      <c r="B1103" s="106" t="inlineStr">
        <is>
          <t>Custo Fixo</t>
        </is>
      </c>
      <c r="C1103" s="106" t="inlineStr">
        <is>
          <t>Gympass</t>
        </is>
      </c>
      <c r="D1103" s="107" t="n">
        <v>11</v>
      </c>
      <c r="E1103" s="108" t="n">
        <v>9.92</v>
      </c>
      <c r="F1103" s="109">
        <f>IFERROR(D1103*E1103,0)</f>
        <v/>
      </c>
      <c r="G1103" s="106">
        <f>INDEX(SETORES!$B:$B,MATCH(A1103,SETORES!$A:$A,0))</f>
        <v/>
      </c>
      <c r="H1103" s="106" t="inlineStr">
        <is>
          <t>Julho/2026</t>
        </is>
      </c>
    </row>
    <row r="1104" hidden="1" ht="14.25" customHeight="1" s="64">
      <c r="A1104" s="101" t="inlineStr">
        <is>
          <t>Comercial Corporativo</t>
        </is>
      </c>
      <c r="B1104" s="101" t="inlineStr">
        <is>
          <t>Custo Fixo</t>
        </is>
      </c>
      <c r="C1104" s="101" t="inlineStr">
        <is>
          <t>Stargrid</t>
        </is>
      </c>
      <c r="D1104" s="102" t="n">
        <v>11</v>
      </c>
      <c r="E1104" s="103" t="n">
        <v>2.05</v>
      </c>
      <c r="F1104" s="104">
        <f>IFERROR(D1104*E1104,0)</f>
        <v/>
      </c>
      <c r="G1104" s="101">
        <f>INDEX(SETORES!$B:$B,MATCH(A1104,SETORES!$A:$A,0))</f>
        <v/>
      </c>
      <c r="H1104" s="101" t="inlineStr">
        <is>
          <t>Julho/2026</t>
        </is>
      </c>
    </row>
    <row r="1105" hidden="1" ht="14.25" customHeight="1" s="64">
      <c r="A1105" s="106" t="inlineStr">
        <is>
          <t>Comercial Corporativo</t>
        </is>
      </c>
      <c r="B1105" s="106" t="inlineStr">
        <is>
          <t>Custo Variável</t>
        </is>
      </c>
      <c r="C1105" s="106" t="inlineStr">
        <is>
          <t>Rescisões/Despesas Trabalhistas extra folha</t>
        </is>
      </c>
      <c r="D1105" s="107" t="n"/>
      <c r="E1105" s="108" t="n"/>
      <c r="F1105" s="109">
        <f>IFERROR(D1105*E1105,0)</f>
        <v/>
      </c>
      <c r="G1105" s="106">
        <f>INDEX(SETORES!$B:$B,MATCH(A1105,SETORES!$A:$A,0))</f>
        <v/>
      </c>
      <c r="H1105" s="106" t="inlineStr">
        <is>
          <t>Julho/2026</t>
        </is>
      </c>
    </row>
    <row r="1106" hidden="1" ht="14.25" customHeight="1" s="64">
      <c r="A1106" s="101" t="inlineStr">
        <is>
          <t>Comercial Corporativo</t>
        </is>
      </c>
      <c r="B1106" s="101" t="inlineStr">
        <is>
          <t>Custo Fixo</t>
        </is>
      </c>
      <c r="C1106" s="101" t="inlineStr">
        <is>
          <t>Datlo</t>
        </is>
      </c>
      <c r="D1106" s="102" t="n">
        <v>1</v>
      </c>
      <c r="E1106" s="103" t="n">
        <v>2997</v>
      </c>
      <c r="F1106" s="104">
        <f>IFERROR(D1106*E1106,0)</f>
        <v/>
      </c>
      <c r="G1106" s="101">
        <f>INDEX(SETORES!$B:$B,MATCH(A1106,SETORES!$A:$A,0))</f>
        <v/>
      </c>
      <c r="H1106" s="101" t="inlineStr">
        <is>
          <t>Julho/2026</t>
        </is>
      </c>
    </row>
    <row r="1107" hidden="1" ht="14.25" customHeight="1" s="64">
      <c r="A1107" s="106" t="inlineStr">
        <is>
          <t>Comercial Corporativo</t>
        </is>
      </c>
      <c r="B1107" s="106" t="inlineStr">
        <is>
          <t>Custo Fixo</t>
        </is>
      </c>
      <c r="C1107" s="106" t="inlineStr">
        <is>
          <t>Agendor (válido por 3 meses)</t>
        </is>
      </c>
      <c r="D1107" s="107" t="n">
        <v>1</v>
      </c>
      <c r="E1107" s="108" t="n">
        <v>545.99</v>
      </c>
      <c r="F1107" s="109">
        <f>IFERROR(D1107*E1107,0)</f>
        <v/>
      </c>
      <c r="G1107" s="106">
        <f>INDEX(SETORES!$B:$B,MATCH(A1107,SETORES!$A:$A,0))</f>
        <v/>
      </c>
      <c r="H1107" s="106" t="inlineStr">
        <is>
          <t>Julho/2026</t>
        </is>
      </c>
    </row>
    <row r="1108" hidden="1" ht="14.25" customHeight="1" s="64">
      <c r="A1108" s="101" t="inlineStr">
        <is>
          <t>Comercial Corporativo</t>
        </is>
      </c>
      <c r="B1108" s="101" t="inlineStr">
        <is>
          <t>Custo Fixo</t>
        </is>
      </c>
      <c r="C1108" s="101" t="inlineStr">
        <is>
          <t>Dynamics (f001796)</t>
        </is>
      </c>
      <c r="D1108" s="102" t="n"/>
      <c r="E1108" s="103" t="n"/>
      <c r="F1108" s="104">
        <f>IFERROR(D1108*E1108,0)</f>
        <v/>
      </c>
      <c r="G1108" s="101">
        <f>INDEX(SETORES!$B:$B,MATCH(A1108,SETORES!$A:$A,0))</f>
        <v/>
      </c>
      <c r="H1108" s="101" t="inlineStr">
        <is>
          <t>Julho/2026</t>
        </is>
      </c>
    </row>
    <row r="1109" hidden="1" ht="14.25" customHeight="1" s="64">
      <c r="A1109" s="106" t="inlineStr">
        <is>
          <t>Comercial Corporativo</t>
        </is>
      </c>
      <c r="B1109" s="106" t="inlineStr">
        <is>
          <t>Custo Fixo</t>
        </is>
      </c>
      <c r="C1109" s="106" t="inlineStr">
        <is>
          <t>Salesforce</t>
        </is>
      </c>
      <c r="D1109" s="107" t="n">
        <v>1</v>
      </c>
      <c r="E1109" s="108" t="n">
        <v>3042.34</v>
      </c>
      <c r="F1109" s="109">
        <f>IFERROR(D1109*E1109,0)</f>
        <v/>
      </c>
      <c r="G1109" s="106">
        <f>INDEX(SETORES!$B:$B,MATCH(A1109,SETORES!$A:$A,0))</f>
        <v/>
      </c>
      <c r="H1109" s="106" t="inlineStr">
        <is>
          <t>Julho/2026</t>
        </is>
      </c>
    </row>
    <row r="1110" hidden="1" ht="14.25" customHeight="1" s="64">
      <c r="A1110" s="101" t="inlineStr">
        <is>
          <t>Compras</t>
        </is>
      </c>
      <c r="B1110" s="101" t="inlineStr">
        <is>
          <t>Custo Fixo</t>
        </is>
      </c>
      <c r="C1110" s="101" t="inlineStr">
        <is>
          <t>Material de escritório (suprimentos de informática)</t>
        </is>
      </c>
      <c r="D1110" s="102" t="n"/>
      <c r="E1110" s="103" t="n"/>
      <c r="F1110" s="104" t="n">
        <v>0</v>
      </c>
      <c r="G1110" s="101">
        <f>INDEX(SETORES!$B:$B,MATCH(A1110,SETORES!$A:$A,0))</f>
        <v/>
      </c>
      <c r="H1110" s="101" t="inlineStr">
        <is>
          <t>Julho/2026</t>
        </is>
      </c>
    </row>
    <row r="1111" hidden="1" ht="14.25" customHeight="1" s="64">
      <c r="A1111" s="106" t="inlineStr">
        <is>
          <t>Compras</t>
        </is>
      </c>
      <c r="B1111" s="106" t="inlineStr">
        <is>
          <t>Custo Fixo</t>
        </is>
      </c>
      <c r="C1111" s="106" t="inlineStr">
        <is>
          <t>Material de uso coletivo (copa/limpeza)</t>
        </is>
      </c>
      <c r="D1111" s="107" t="n"/>
      <c r="E1111" s="108" t="n"/>
      <c r="F1111" s="109" t="n">
        <v>0</v>
      </c>
      <c r="G1111" s="106">
        <f>INDEX(SETORES!$B:$B,MATCH(A1111,SETORES!$A:$A,0))</f>
        <v/>
      </c>
      <c r="H1111" s="106" t="inlineStr">
        <is>
          <t>Julho/2026</t>
        </is>
      </c>
    </row>
    <row r="1112" hidden="1" ht="14.25" customHeight="1" s="64">
      <c r="A1112" s="101" t="inlineStr">
        <is>
          <t>Compras</t>
        </is>
      </c>
      <c r="B1112" s="101" t="inlineStr">
        <is>
          <t>Custo Fixo</t>
        </is>
      </c>
      <c r="C1112" s="101" t="inlineStr">
        <is>
          <t>Energia elétrica (rateio)</t>
        </is>
      </c>
      <c r="D1112" s="102" t="n">
        <v>5</v>
      </c>
      <c r="E1112" s="103" t="n">
        <v>21.2582</v>
      </c>
      <c r="F1112" s="104" t="n">
        <v>106.291</v>
      </c>
      <c r="G1112" s="101">
        <f>INDEX(SETORES!$B:$B,MATCH(A1112,SETORES!$A:$A,0))</f>
        <v/>
      </c>
      <c r="H1112" s="101" t="inlineStr">
        <is>
          <t>Julho/2026</t>
        </is>
      </c>
    </row>
    <row r="1113" hidden="1" ht="14.25" customHeight="1" s="64">
      <c r="A1113" s="106" t="inlineStr">
        <is>
          <t>Compras</t>
        </is>
      </c>
      <c r="B1113" s="106" t="inlineStr">
        <is>
          <t>Custo Fixo</t>
        </is>
      </c>
      <c r="C1113" s="106" t="inlineStr">
        <is>
          <t>Água e esgoto (rateio)</t>
        </is>
      </c>
      <c r="D1113" s="107" t="n">
        <v>5</v>
      </c>
      <c r="E1113" s="108" t="n">
        <v>3.3247</v>
      </c>
      <c r="F1113" s="109" t="n">
        <v>16.6235</v>
      </c>
      <c r="G1113" s="106">
        <f>INDEX(SETORES!$B:$B,MATCH(A1113,SETORES!$A:$A,0))</f>
        <v/>
      </c>
      <c r="H1113" s="106" t="inlineStr">
        <is>
          <t>Julho/2026</t>
        </is>
      </c>
    </row>
    <row r="1114" hidden="1" ht="14.25" customHeight="1" s="64">
      <c r="A1114" s="101" t="inlineStr">
        <is>
          <t>Compras</t>
        </is>
      </c>
      <c r="B1114" s="101" t="inlineStr">
        <is>
          <t>Custo Fixo</t>
        </is>
      </c>
      <c r="C1114" s="101" t="inlineStr">
        <is>
          <t>Telefonia móvel corporativa</t>
        </is>
      </c>
      <c r="D1114" s="102" t="n"/>
      <c r="E1114" s="103" t="n"/>
      <c r="F1114" s="104">
        <f>IFERROR(D1114*E1114,0)</f>
        <v/>
      </c>
      <c r="G1114" s="101">
        <f>INDEX(SETORES!$B:$B,MATCH(A1114,SETORES!$A:$A,0))</f>
        <v/>
      </c>
      <c r="H1114" s="101" t="inlineStr">
        <is>
          <t>Julho/2026</t>
        </is>
      </c>
    </row>
    <row r="1115" hidden="1" ht="14.25" customHeight="1" s="64">
      <c r="A1115" s="106" t="inlineStr">
        <is>
          <t>Compras</t>
        </is>
      </c>
      <c r="B1115" s="106" t="inlineStr">
        <is>
          <t>Custo Fixo</t>
        </is>
      </c>
      <c r="C1115" s="106" t="inlineStr">
        <is>
          <t>Folha de pagamento (salários)</t>
        </is>
      </c>
      <c r="D1115" s="107" t="n">
        <v>1</v>
      </c>
      <c r="E1115" s="108" t="n">
        <v>25624.63</v>
      </c>
      <c r="F1115" s="109">
        <f>IFERROR(E1115,0)</f>
        <v/>
      </c>
      <c r="G1115" s="106">
        <f>INDEX(SETORES!$B:$B,MATCH(A1115,SETORES!$A:$A,0))</f>
        <v/>
      </c>
      <c r="H1115" s="106" t="inlineStr">
        <is>
          <t>Julho/2026</t>
        </is>
      </c>
    </row>
    <row r="1116" hidden="1" ht="14.25" customHeight="1" s="64">
      <c r="A1116" s="101" t="inlineStr">
        <is>
          <t>Compras</t>
        </is>
      </c>
      <c r="B1116" s="101" t="inlineStr">
        <is>
          <t>Custo Variável</t>
        </is>
      </c>
      <c r="C1116" s="101" t="inlineStr">
        <is>
          <t>Rateio de transporte coletivo</t>
        </is>
      </c>
      <c r="D1116" s="102" t="n">
        <v>5</v>
      </c>
      <c r="E1116" s="103" t="n">
        <v>76.92</v>
      </c>
      <c r="F1116" s="104">
        <f>IFERROR(D1116*E1116,0)</f>
        <v/>
      </c>
      <c r="G1116" s="101">
        <f>INDEX(SETORES!$B:$B,MATCH(A1116,SETORES!$A:$A,0))</f>
        <v/>
      </c>
      <c r="H1116" s="101" t="inlineStr">
        <is>
          <t>Julho/2026</t>
        </is>
      </c>
    </row>
    <row r="1117" hidden="1" ht="14.25" customHeight="1" s="64">
      <c r="A1117" s="106" t="inlineStr">
        <is>
          <t>Compras</t>
        </is>
      </c>
      <c r="B1117" s="106" t="inlineStr">
        <is>
          <t>Custo Fixo</t>
        </is>
      </c>
      <c r="C1117" s="106" t="inlineStr">
        <is>
          <t>Licença de e-mail corporativo</t>
        </is>
      </c>
      <c r="D1117" s="107" t="n">
        <v>3</v>
      </c>
      <c r="E1117" s="108" t="n">
        <v>50</v>
      </c>
      <c r="F1117" s="109">
        <f>IFERROR(D1117*E1117,0)</f>
        <v/>
      </c>
      <c r="G1117" s="106">
        <f>INDEX(SETORES!$B:$B,MATCH(A1117,SETORES!$A:$A,0))</f>
        <v/>
      </c>
      <c r="H1117" s="106" t="inlineStr">
        <is>
          <t>Julho/2026</t>
        </is>
      </c>
    </row>
    <row r="1118" hidden="1" ht="14.25" customHeight="1" s="64">
      <c r="A1118" s="101" t="inlineStr">
        <is>
          <t>Compras</t>
        </is>
      </c>
      <c r="B1118" s="101" t="inlineStr">
        <is>
          <t>Custo Fixo</t>
        </is>
      </c>
      <c r="C1118" s="101" t="inlineStr">
        <is>
          <t>Impressora</t>
        </is>
      </c>
      <c r="D1118" s="102" t="n">
        <v>1</v>
      </c>
      <c r="E1118" s="103" t="n">
        <v>25.6</v>
      </c>
      <c r="F1118" s="104">
        <f>IFERROR(D1118*E1118,0)</f>
        <v/>
      </c>
      <c r="G1118" s="101">
        <f>INDEX(SETORES!$B:$B,MATCH(A1118,SETORES!$A:$A,0))</f>
        <v/>
      </c>
      <c r="H1118" s="101" t="inlineStr">
        <is>
          <t>Julho/2026</t>
        </is>
      </c>
    </row>
    <row r="1119" hidden="1" ht="14.25" customHeight="1" s="64">
      <c r="A1119" s="106" t="inlineStr">
        <is>
          <t>Compras</t>
        </is>
      </c>
      <c r="B1119" s="106" t="inlineStr">
        <is>
          <t>Custo Fixo</t>
        </is>
      </c>
      <c r="C1119" s="106" t="inlineStr">
        <is>
          <t>Gympass</t>
        </is>
      </c>
      <c r="D1119" s="107" t="n">
        <v>5</v>
      </c>
      <c r="E1119" s="108" t="n">
        <v>9.92</v>
      </c>
      <c r="F1119" s="109">
        <f>IFERROR(D1119*E1119,0)</f>
        <v/>
      </c>
      <c r="G1119" s="106">
        <f>INDEX(SETORES!$B:$B,MATCH(A1119,SETORES!$A:$A,0))</f>
        <v/>
      </c>
      <c r="H1119" s="106" t="inlineStr">
        <is>
          <t>Julho/2026</t>
        </is>
      </c>
    </row>
    <row r="1120" hidden="1" ht="14.25" customHeight="1" s="64">
      <c r="A1120" s="101" t="inlineStr">
        <is>
          <t>Compras</t>
        </is>
      </c>
      <c r="B1120" s="101" t="inlineStr">
        <is>
          <t>Custo Fixo</t>
        </is>
      </c>
      <c r="C1120" s="101" t="inlineStr">
        <is>
          <t>Stargrid</t>
        </is>
      </c>
      <c r="D1120" s="102" t="n">
        <v>5</v>
      </c>
      <c r="E1120" s="103" t="n">
        <v>2.05</v>
      </c>
      <c r="F1120" s="104">
        <f>IFERROR(D1120*E1120,0)</f>
        <v/>
      </c>
      <c r="G1120" s="101">
        <f>INDEX(SETORES!$B:$B,MATCH(A1120,SETORES!$A:$A,0))</f>
        <v/>
      </c>
      <c r="H1120" s="101" t="inlineStr">
        <is>
          <t>Julho/2026</t>
        </is>
      </c>
    </row>
    <row r="1121" hidden="1" ht="14.25" customHeight="1" s="64">
      <c r="A1121" s="106" t="inlineStr">
        <is>
          <t>Contabilidade</t>
        </is>
      </c>
      <c r="B1121" s="106" t="inlineStr">
        <is>
          <t>Custo Fixo</t>
        </is>
      </c>
      <c r="C1121" s="106" t="inlineStr">
        <is>
          <t>Material de escritório (suprimentos de informática)</t>
        </is>
      </c>
      <c r="D1121" s="107" t="n"/>
      <c r="E1121" s="108" t="n"/>
      <c r="F1121" s="109" t="n">
        <v>0</v>
      </c>
      <c r="G1121" s="106">
        <f>INDEX(SETORES!$B:$B,MATCH(A1121,SETORES!$A:$A,0))</f>
        <v/>
      </c>
      <c r="H1121" s="106" t="inlineStr">
        <is>
          <t>Julho/2026</t>
        </is>
      </c>
    </row>
    <row r="1122" hidden="1" ht="14.25" customHeight="1" s="64">
      <c r="A1122" s="101" t="inlineStr">
        <is>
          <t>Contabilidade</t>
        </is>
      </c>
      <c r="B1122" s="101" t="inlineStr">
        <is>
          <t>Custo Fixo</t>
        </is>
      </c>
      <c r="C1122" s="101" t="inlineStr">
        <is>
          <t>Material de uso coletivo (copa/limpeza)</t>
        </is>
      </c>
      <c r="D1122" s="102" t="n">
        <v>1</v>
      </c>
      <c r="E1122" s="103" t="n">
        <v>51.3</v>
      </c>
      <c r="F1122" s="104" t="n">
        <v>51.3</v>
      </c>
      <c r="G1122" s="101">
        <f>INDEX(SETORES!$B:$B,MATCH(A1122,SETORES!$A:$A,0))</f>
        <v/>
      </c>
      <c r="H1122" s="101" t="inlineStr">
        <is>
          <t>Julho/2026</t>
        </is>
      </c>
    </row>
    <row r="1123" hidden="1" ht="14.25" customHeight="1" s="64">
      <c r="A1123" s="106" t="inlineStr">
        <is>
          <t>Contabilidade</t>
        </is>
      </c>
      <c r="B1123" s="106" t="inlineStr">
        <is>
          <t>Custo Fixo</t>
        </is>
      </c>
      <c r="C1123" s="106" t="inlineStr">
        <is>
          <t>Energia elétrica (rateio)</t>
        </is>
      </c>
      <c r="D1123" s="107" t="n">
        <v>1</v>
      </c>
      <c r="E1123" s="108" t="n">
        <v>41.365</v>
      </c>
      <c r="F1123" s="109" t="n">
        <v>41.365</v>
      </c>
      <c r="G1123" s="106">
        <f>INDEX(SETORES!$B:$B,MATCH(A1123,SETORES!$A:$A,0))</f>
        <v/>
      </c>
      <c r="H1123" s="106" t="inlineStr">
        <is>
          <t>Julho/2026</t>
        </is>
      </c>
    </row>
    <row r="1124" hidden="1" ht="14.25" customHeight="1" s="64">
      <c r="A1124" s="101" t="inlineStr">
        <is>
          <t>Contabilidade</t>
        </is>
      </c>
      <c r="B1124" s="101" t="inlineStr">
        <is>
          <t>Custo Fixo</t>
        </is>
      </c>
      <c r="C1124" s="101" t="inlineStr">
        <is>
          <t>Água e esgoto (rateio)</t>
        </is>
      </c>
      <c r="D1124" s="102" t="n">
        <v>1</v>
      </c>
      <c r="E1124" s="103" t="n">
        <v>0.1212</v>
      </c>
      <c r="F1124" s="104" t="n">
        <v>0.1212</v>
      </c>
      <c r="G1124" s="101">
        <f>INDEX(SETORES!$B:$B,MATCH(A1124,SETORES!$A:$A,0))</f>
        <v/>
      </c>
      <c r="H1124" s="101" t="inlineStr">
        <is>
          <t>Julho/2026</t>
        </is>
      </c>
    </row>
    <row r="1125" hidden="1" ht="14.25" customHeight="1" s="64">
      <c r="A1125" s="106" t="inlineStr">
        <is>
          <t>Contabilidade</t>
        </is>
      </c>
      <c r="B1125" s="106" t="inlineStr">
        <is>
          <t>Custo Fixo</t>
        </is>
      </c>
      <c r="C1125" s="106" t="inlineStr">
        <is>
          <t>Telefonia móvel corporativa</t>
        </is>
      </c>
      <c r="D1125" s="107" t="n"/>
      <c r="E1125" s="108" t="n"/>
      <c r="F1125" s="109">
        <f>IFERROR(D1125*E1125,0)</f>
        <v/>
      </c>
      <c r="G1125" s="106">
        <f>INDEX(SETORES!$B:$B,MATCH(A1125,SETORES!$A:$A,0))</f>
        <v/>
      </c>
      <c r="H1125" s="106" t="inlineStr">
        <is>
          <t>Julho/2026</t>
        </is>
      </c>
    </row>
    <row r="1126" hidden="1" ht="14.25" customHeight="1" s="64">
      <c r="A1126" s="101" t="inlineStr">
        <is>
          <t>Contabilidade</t>
        </is>
      </c>
      <c r="B1126" s="101" t="inlineStr">
        <is>
          <t>Custo Fixo</t>
        </is>
      </c>
      <c r="C1126" s="101" t="inlineStr">
        <is>
          <t>Folha de pagamento (salários)</t>
        </is>
      </c>
      <c r="D1126" s="102" t="n">
        <v>1</v>
      </c>
      <c r="E1126" s="103" t="n">
        <v>14720.9</v>
      </c>
      <c r="F1126" s="104">
        <f>IFERROR(E1126,0)</f>
        <v/>
      </c>
      <c r="G1126" s="101">
        <f>INDEX(SETORES!$B:$B,MATCH(A1126,SETORES!$A:$A,0))</f>
        <v/>
      </c>
      <c r="H1126" s="101" t="inlineStr">
        <is>
          <t>Julho/2026</t>
        </is>
      </c>
    </row>
    <row r="1127" hidden="1" ht="14.25" customHeight="1" s="64">
      <c r="A1127" s="106" t="inlineStr">
        <is>
          <t>Contabilidade</t>
        </is>
      </c>
      <c r="B1127" s="106" t="inlineStr">
        <is>
          <t>Custo Variável</t>
        </is>
      </c>
      <c r="C1127" s="106" t="inlineStr">
        <is>
          <t>Auditoria contábil externa (fiber finance)</t>
        </is>
      </c>
      <c r="D1127" s="107" t="n">
        <v>1</v>
      </c>
      <c r="E1127" s="108" t="n">
        <v>6000</v>
      </c>
      <c r="F1127" s="109">
        <f>IFERROR(D1127*E1127,0)</f>
        <v/>
      </c>
      <c r="G1127" s="106">
        <f>INDEX(SETORES!$B:$B,MATCH(A1127,SETORES!$A:$A,0))</f>
        <v/>
      </c>
      <c r="H1127" s="106" t="inlineStr">
        <is>
          <t>Julho/2026</t>
        </is>
      </c>
    </row>
    <row r="1128" hidden="1" ht="14.25" customHeight="1" s="64">
      <c r="A1128" s="101" t="inlineStr">
        <is>
          <t>Contabilidade</t>
        </is>
      </c>
      <c r="B1128" s="101" t="inlineStr">
        <is>
          <t>Custo Variável</t>
        </is>
      </c>
      <c r="C1128" s="101" t="inlineStr">
        <is>
          <t>Fardamento novo</t>
        </is>
      </c>
      <c r="D1128" s="102" t="n">
        <v>4</v>
      </c>
      <c r="E1128" s="103" t="n">
        <v>56.5</v>
      </c>
      <c r="F1128" s="104">
        <f>IFERROR(D1128*E1128,0)</f>
        <v/>
      </c>
      <c r="G1128" s="101">
        <f>INDEX(SETORES!$B:$B,MATCH(A1128,SETORES!$A:$A,0))</f>
        <v/>
      </c>
      <c r="H1128" s="101" t="inlineStr">
        <is>
          <t>Julho/2026</t>
        </is>
      </c>
    </row>
    <row r="1129" hidden="1" ht="14.25" customHeight="1" s="64">
      <c r="A1129" s="106" t="inlineStr">
        <is>
          <t>Contabilidade</t>
        </is>
      </c>
      <c r="B1129" s="106" t="inlineStr">
        <is>
          <t>Custo Variável</t>
        </is>
      </c>
      <c r="C1129" s="106" t="inlineStr">
        <is>
          <t>Fardamento substituição</t>
        </is>
      </c>
      <c r="D1129" s="107" t="n"/>
      <c r="E1129" s="108" t="n"/>
      <c r="F1129" s="109">
        <f>IFERROR(D1129*E1129,0)</f>
        <v/>
      </c>
      <c r="G1129" s="106">
        <f>INDEX(SETORES!$B:$B,MATCH(A1129,SETORES!$A:$A,0))</f>
        <v/>
      </c>
      <c r="H1129" s="106" t="inlineStr">
        <is>
          <t>Julho/2026</t>
        </is>
      </c>
    </row>
    <row r="1130" hidden="1" ht="14.25" customHeight="1" s="64">
      <c r="A1130" s="101" t="inlineStr">
        <is>
          <t>Contabilidade</t>
        </is>
      </c>
      <c r="B1130" s="101" t="inlineStr">
        <is>
          <t>Custo Variável</t>
        </is>
      </c>
      <c r="C1130" s="101" t="inlineStr">
        <is>
          <t>Rescisões trabalhistas</t>
        </is>
      </c>
      <c r="D1130" s="102" t="n"/>
      <c r="E1130" s="103" t="n"/>
      <c r="F1130" s="104">
        <f>IFERROR(D1130*E1130,0)</f>
        <v/>
      </c>
      <c r="G1130" s="101">
        <f>INDEX(SETORES!$B:$B,MATCH(A1130,SETORES!$A:$A,0))</f>
        <v/>
      </c>
      <c r="H1130" s="101" t="inlineStr">
        <is>
          <t>Julho/2026</t>
        </is>
      </c>
    </row>
    <row r="1131" hidden="1" ht="14.25" customHeight="1" s="64">
      <c r="A1131" s="106" t="inlineStr">
        <is>
          <t>Contabilidade</t>
        </is>
      </c>
      <c r="B1131" s="106" t="inlineStr">
        <is>
          <t>Custo Fixo</t>
        </is>
      </c>
      <c r="C1131" s="106" t="inlineStr">
        <is>
          <t>Licença de e-mail corporativo</t>
        </is>
      </c>
      <c r="D1131" s="107" t="n">
        <v>7</v>
      </c>
      <c r="E1131" s="108" t="n">
        <v>50</v>
      </c>
      <c r="F1131" s="109">
        <f>IFERROR(D1131*E1131,0)</f>
        <v/>
      </c>
      <c r="G1131" s="106">
        <f>INDEX(SETORES!$B:$B,MATCH(A1131,SETORES!$A:$A,0))</f>
        <v/>
      </c>
      <c r="H1131" s="106" t="inlineStr">
        <is>
          <t>Julho/2026</t>
        </is>
      </c>
    </row>
    <row r="1132" hidden="1" ht="14.25" customHeight="1" s="64">
      <c r="A1132" s="101" t="inlineStr">
        <is>
          <t>Contabilidade</t>
        </is>
      </c>
      <c r="B1132" s="101" t="inlineStr">
        <is>
          <t>Custo Fixo</t>
        </is>
      </c>
      <c r="C1132" s="101" t="inlineStr">
        <is>
          <t>Gympass</t>
        </is>
      </c>
      <c r="D1132" s="102" t="n">
        <v>5</v>
      </c>
      <c r="E1132" s="103" t="n">
        <v>9.92</v>
      </c>
      <c r="F1132" s="104">
        <f>IFERROR(D1132*E1132,0)</f>
        <v/>
      </c>
      <c r="G1132" s="101">
        <f>INDEX(SETORES!$B:$B,MATCH(A1132,SETORES!$A:$A,0))</f>
        <v/>
      </c>
      <c r="H1132" s="101" t="inlineStr">
        <is>
          <t>Julho/2026</t>
        </is>
      </c>
    </row>
    <row r="1133" hidden="1" ht="14.25" customHeight="1" s="64">
      <c r="A1133" s="106" t="inlineStr">
        <is>
          <t>Contabilidade</t>
        </is>
      </c>
      <c r="B1133" s="106" t="inlineStr">
        <is>
          <t>Custo Fixo</t>
        </is>
      </c>
      <c r="C1133" s="106" t="inlineStr">
        <is>
          <t>Stargrid</t>
        </is>
      </c>
      <c r="D1133" s="107" t="n">
        <v>5</v>
      </c>
      <c r="E1133" s="108" t="n">
        <v>2.05</v>
      </c>
      <c r="F1133" s="109">
        <f>IFERROR(D1133*E1133,0)</f>
        <v/>
      </c>
      <c r="G1133" s="106">
        <f>INDEX(SETORES!$B:$B,MATCH(A1133,SETORES!$A:$A,0))</f>
        <v/>
      </c>
      <c r="H1133" s="106" t="inlineStr">
        <is>
          <t>Julho/2026</t>
        </is>
      </c>
    </row>
    <row r="1134" hidden="1" ht="14.25" customHeight="1" s="64">
      <c r="A1134" s="101" t="inlineStr">
        <is>
          <t>Contabilidade</t>
        </is>
      </c>
      <c r="B1134" s="101" t="inlineStr">
        <is>
          <t>Custo Variável</t>
        </is>
      </c>
      <c r="C1134" s="101" t="inlineStr">
        <is>
          <t>Consultoria contábil PJ (Wadson Genuíno)</t>
        </is>
      </c>
      <c r="D1134" s="102" t="n">
        <v>1</v>
      </c>
      <c r="E1134" s="103" t="n">
        <v>12000</v>
      </c>
      <c r="F1134" s="104">
        <f>IFERROR(D1134*E1134,0)</f>
        <v/>
      </c>
      <c r="G1134" s="101">
        <f>INDEX(SETORES!$B:$B,MATCH(A1134,SETORES!$A:$A,0))</f>
        <v/>
      </c>
      <c r="H1134" s="101" t="inlineStr">
        <is>
          <t>Julho/2026</t>
        </is>
      </c>
    </row>
    <row r="1135" hidden="1" ht="14.25" customHeight="1" s="64">
      <c r="A1135" s="106" t="inlineStr">
        <is>
          <t>Controladoria</t>
        </is>
      </c>
      <c r="B1135" s="106" t="inlineStr">
        <is>
          <t>Custo Fixo</t>
        </is>
      </c>
      <c r="C1135" s="106" t="inlineStr">
        <is>
          <t>Material de escritório (suprimentos de informática)</t>
        </is>
      </c>
      <c r="D1135" s="107" t="n"/>
      <c r="E1135" s="108" t="n"/>
      <c r="F1135" s="109" t="n">
        <v>0</v>
      </c>
      <c r="G1135" s="106">
        <f>INDEX(SETORES!$B:$B,MATCH(A1135,SETORES!$A:$A,0))</f>
        <v/>
      </c>
      <c r="H1135" s="106" t="inlineStr">
        <is>
          <t>Julho/2026</t>
        </is>
      </c>
    </row>
    <row r="1136" hidden="1" ht="14.25" customHeight="1" s="64">
      <c r="A1136" s="101" t="inlineStr">
        <is>
          <t>Controladoria</t>
        </is>
      </c>
      <c r="B1136" s="101" t="inlineStr">
        <is>
          <t>Custo Fixo</t>
        </is>
      </c>
      <c r="C1136" s="101" t="inlineStr">
        <is>
          <t>Material de uso coletivo (copa/limpeza)</t>
        </is>
      </c>
      <c r="D1136" s="102" t="n">
        <v>1</v>
      </c>
      <c r="E1136" s="103" t="n">
        <v>37.43</v>
      </c>
      <c r="F1136" s="104" t="n">
        <v>37.43</v>
      </c>
      <c r="G1136" s="101">
        <f>INDEX(SETORES!$B:$B,MATCH(A1136,SETORES!$A:$A,0))</f>
        <v/>
      </c>
      <c r="H1136" s="101" t="inlineStr">
        <is>
          <t>Julho/2026</t>
        </is>
      </c>
    </row>
    <row r="1137" hidden="1" ht="14.25" customHeight="1" s="64">
      <c r="A1137" s="106" t="inlineStr">
        <is>
          <t>Controladoria</t>
        </is>
      </c>
      <c r="B1137" s="106" t="inlineStr">
        <is>
          <t>Custo Fixo</t>
        </is>
      </c>
      <c r="C1137" s="106" t="inlineStr">
        <is>
          <t>Energia elétrica (rateio)</t>
        </is>
      </c>
      <c r="D1137" s="107" t="n">
        <v>1</v>
      </c>
      <c r="E1137" s="108" t="n">
        <v>8.273</v>
      </c>
      <c r="F1137" s="109" t="n">
        <v>8.273</v>
      </c>
      <c r="G1137" s="106">
        <f>INDEX(SETORES!$B:$B,MATCH(A1137,SETORES!$A:$A,0))</f>
        <v/>
      </c>
      <c r="H1137" s="106" t="inlineStr">
        <is>
          <t>Julho/2026</t>
        </is>
      </c>
    </row>
    <row r="1138" hidden="1" ht="14.25" customHeight="1" s="64">
      <c r="A1138" s="101" t="inlineStr">
        <is>
          <t>Controladoria</t>
        </is>
      </c>
      <c r="B1138" s="101" t="inlineStr">
        <is>
          <t>Custo Fixo</t>
        </is>
      </c>
      <c r="C1138" s="101" t="inlineStr">
        <is>
          <t>Água e esgoto (rateio)</t>
        </is>
      </c>
      <c r="D1138" s="102" t="n">
        <v>1</v>
      </c>
      <c r="E1138" s="103" t="n">
        <v>0.0242</v>
      </c>
      <c r="F1138" s="104" t="n">
        <v>0.0242</v>
      </c>
      <c r="G1138" s="101">
        <f>INDEX(SETORES!$B:$B,MATCH(A1138,SETORES!$A:$A,0))</f>
        <v/>
      </c>
      <c r="H1138" s="101" t="inlineStr">
        <is>
          <t>Julho/2026</t>
        </is>
      </c>
    </row>
    <row r="1139" hidden="1" ht="14.25" customHeight="1" s="64">
      <c r="A1139" s="106" t="inlineStr">
        <is>
          <t>Controladoria</t>
        </is>
      </c>
      <c r="B1139" s="106" t="inlineStr">
        <is>
          <t>Custo Fixo</t>
        </is>
      </c>
      <c r="C1139" s="106" t="inlineStr">
        <is>
          <t>Chip móvel corporativo</t>
        </is>
      </c>
      <c r="D1139" s="107" t="n">
        <v>1</v>
      </c>
      <c r="E1139" s="108" t="n">
        <v>30</v>
      </c>
      <c r="F1139" s="109">
        <f>IFERROR(D1139*E1139,0)</f>
        <v/>
      </c>
      <c r="G1139" s="106">
        <f>INDEX(SETORES!$B:$B,MATCH(A1139,SETORES!$A:$A,0))</f>
        <v/>
      </c>
      <c r="H1139" s="106" t="inlineStr">
        <is>
          <t>Julho/2026</t>
        </is>
      </c>
    </row>
    <row r="1140" hidden="1" ht="14.25" customHeight="1" s="64">
      <c r="A1140" s="101" t="inlineStr">
        <is>
          <t>Controladoria</t>
        </is>
      </c>
      <c r="B1140" s="101" t="inlineStr">
        <is>
          <t>Custo Fixo</t>
        </is>
      </c>
      <c r="C1140" s="101" t="inlineStr">
        <is>
          <t>Folha de pagamento (salários)</t>
        </is>
      </c>
      <c r="D1140" s="102" t="n">
        <v>1</v>
      </c>
      <c r="E1140" s="103" t="n">
        <v>18000</v>
      </c>
      <c r="F1140" s="104">
        <f>IFERROR(E1140,0)</f>
        <v/>
      </c>
      <c r="G1140" s="101">
        <f>INDEX(SETORES!$B:$B,MATCH(A1140,SETORES!$A:$A,0))</f>
        <v/>
      </c>
      <c r="H1140" s="101" t="inlineStr">
        <is>
          <t>Julho/2026</t>
        </is>
      </c>
    </row>
    <row r="1141" hidden="1" ht="14.25" customHeight="1" s="64">
      <c r="A1141" s="106" t="inlineStr">
        <is>
          <t>Controladoria</t>
        </is>
      </c>
      <c r="B1141" s="106" t="inlineStr">
        <is>
          <t>Custo Fixo</t>
        </is>
      </c>
      <c r="C1141" s="106" t="inlineStr">
        <is>
          <t>Gympass</t>
        </is>
      </c>
      <c r="D1141" s="107" t="n">
        <v>1</v>
      </c>
      <c r="E1141" s="108" t="n">
        <v>9.92</v>
      </c>
      <c r="F1141" s="109">
        <f>IFERROR(D1141*E1141,0)</f>
        <v/>
      </c>
      <c r="G1141" s="106">
        <f>INDEX(SETORES!$B:$B,MATCH(A1141,SETORES!$A:$A,0))</f>
        <v/>
      </c>
      <c r="H1141" s="106" t="inlineStr">
        <is>
          <t>Julho/2026</t>
        </is>
      </c>
    </row>
    <row r="1142" hidden="1" ht="14.25" customHeight="1" s="64">
      <c r="A1142" s="101" t="inlineStr">
        <is>
          <t>Controladoria</t>
        </is>
      </c>
      <c r="B1142" s="101" t="inlineStr">
        <is>
          <t>Custo Fixo</t>
        </is>
      </c>
      <c r="C1142" s="101" t="inlineStr">
        <is>
          <t>Stargrid</t>
        </is>
      </c>
      <c r="D1142" s="102" t="n">
        <v>1</v>
      </c>
      <c r="E1142" s="103" t="n">
        <v>2.05</v>
      </c>
      <c r="F1142" s="104">
        <f>IFERROR(D1142*E1142,0)</f>
        <v/>
      </c>
      <c r="G1142" s="101">
        <f>INDEX(SETORES!$B:$B,MATCH(A1142,SETORES!$A:$A,0))</f>
        <v/>
      </c>
      <c r="H1142" s="101" t="inlineStr">
        <is>
          <t>Julho/2026</t>
        </is>
      </c>
    </row>
    <row r="1143" hidden="1" ht="14.25" customHeight="1" s="64">
      <c r="A1143" s="106" t="inlineStr">
        <is>
          <t>DP</t>
        </is>
      </c>
      <c r="B1143" s="106" t="inlineStr">
        <is>
          <t>Custo Fixo</t>
        </is>
      </c>
      <c r="C1143" s="106" t="inlineStr">
        <is>
          <t>Material de escritório (suprimentos de informática)</t>
        </is>
      </c>
      <c r="D1143" s="107" t="n"/>
      <c r="E1143" s="108" t="n"/>
      <c r="F1143" s="109" t="n">
        <v>0</v>
      </c>
      <c r="G1143" s="106">
        <f>INDEX(SETORES!$B:$B,MATCH(A1143,SETORES!$A:$A,0))</f>
        <v/>
      </c>
      <c r="H1143" s="106" t="inlineStr">
        <is>
          <t>Julho/2026</t>
        </is>
      </c>
    </row>
    <row r="1144" hidden="1" ht="14.25" customHeight="1" s="64">
      <c r="A1144" s="101" t="inlineStr">
        <is>
          <t>DP</t>
        </is>
      </c>
      <c r="B1144" s="101" t="inlineStr">
        <is>
          <t>Custo Fixo</t>
        </is>
      </c>
      <c r="C1144" s="101" t="inlineStr">
        <is>
          <t>Material de uso coletivo (copa/limpeza)</t>
        </is>
      </c>
      <c r="D1144" s="102" t="n">
        <v>1</v>
      </c>
      <c r="E1144" s="103" t="n">
        <v>75.54000000000001</v>
      </c>
      <c r="F1144" s="104" t="n">
        <v>75.54000000000001</v>
      </c>
      <c r="G1144" s="101">
        <f>INDEX(SETORES!$B:$B,MATCH(A1144,SETORES!$A:$A,0))</f>
        <v/>
      </c>
      <c r="H1144" s="101" t="inlineStr">
        <is>
          <t>Julho/2026</t>
        </is>
      </c>
    </row>
    <row r="1145" hidden="1" ht="14.25" customHeight="1" s="64">
      <c r="A1145" s="106" t="inlineStr">
        <is>
          <t>DP</t>
        </is>
      </c>
      <c r="B1145" s="106" t="inlineStr">
        <is>
          <t>Custo Fixo</t>
        </is>
      </c>
      <c r="C1145" s="106" t="inlineStr">
        <is>
          <t>Energia elétrica (rateio)</t>
        </is>
      </c>
      <c r="D1145" s="107" t="n">
        <v>1</v>
      </c>
      <c r="E1145" s="108" t="n">
        <v>57.911</v>
      </c>
      <c r="F1145" s="109" t="n">
        <v>57.911</v>
      </c>
      <c r="G1145" s="106">
        <f>INDEX(SETORES!$B:$B,MATCH(A1145,SETORES!$A:$A,0))</f>
        <v/>
      </c>
      <c r="H1145" s="106" t="inlineStr">
        <is>
          <t>Julho/2026</t>
        </is>
      </c>
    </row>
    <row r="1146" hidden="1" ht="14.25" customHeight="1" s="64">
      <c r="A1146" s="101" t="inlineStr">
        <is>
          <t>DP</t>
        </is>
      </c>
      <c r="B1146" s="101" t="inlineStr">
        <is>
          <t>Custo Fixo</t>
        </is>
      </c>
      <c r="C1146" s="101" t="inlineStr">
        <is>
          <t>Água e esgoto (rateio)</t>
        </is>
      </c>
      <c r="D1146" s="102" t="n">
        <v>1</v>
      </c>
      <c r="E1146" s="103" t="n">
        <v>0.1697</v>
      </c>
      <c r="F1146" s="104" t="n">
        <v>0.1697</v>
      </c>
      <c r="G1146" s="101">
        <f>INDEX(SETORES!$B:$B,MATCH(A1146,SETORES!$A:$A,0))</f>
        <v/>
      </c>
      <c r="H1146" s="101" t="inlineStr">
        <is>
          <t>Julho/2026</t>
        </is>
      </c>
    </row>
    <row r="1147" hidden="1" ht="14.25" customHeight="1" s="64">
      <c r="A1147" s="106" t="inlineStr">
        <is>
          <t>DP</t>
        </is>
      </c>
      <c r="B1147" s="106" t="inlineStr">
        <is>
          <t>Custo Fixo</t>
        </is>
      </c>
      <c r="C1147" s="106" t="inlineStr">
        <is>
          <t>Telefonia móvel corporativa</t>
        </is>
      </c>
      <c r="D1147" s="107" t="n"/>
      <c r="E1147" s="108" t="n"/>
      <c r="F1147" s="109">
        <f>IFERROR(D1147*E1147,0)</f>
        <v/>
      </c>
      <c r="G1147" s="106">
        <f>INDEX(SETORES!$B:$B,MATCH(A1147,SETORES!$A:$A,0))</f>
        <v/>
      </c>
      <c r="H1147" s="106" t="inlineStr">
        <is>
          <t>Julho/2026</t>
        </is>
      </c>
    </row>
    <row r="1148" hidden="1" ht="14.25" customHeight="1" s="64">
      <c r="A1148" s="101" t="inlineStr">
        <is>
          <t>DP</t>
        </is>
      </c>
      <c r="B1148" s="101" t="inlineStr">
        <is>
          <t>Custo Fixo</t>
        </is>
      </c>
      <c r="C1148" s="101" t="inlineStr">
        <is>
          <t>Folha de pagamento (salários)</t>
        </is>
      </c>
      <c r="D1148" s="102" t="n">
        <v>1</v>
      </c>
      <c r="E1148" s="103" t="n">
        <v>43775.11</v>
      </c>
      <c r="F1148" s="104">
        <f>IFERROR(E1148,0)</f>
        <v/>
      </c>
      <c r="G1148" s="101">
        <f>INDEX(SETORES!$B:$B,MATCH(A1148,SETORES!$A:$A,0))</f>
        <v/>
      </c>
      <c r="H1148" s="101" t="inlineStr">
        <is>
          <t>Julho/2026</t>
        </is>
      </c>
    </row>
    <row r="1149" hidden="1" ht="14.25" customHeight="1" s="64">
      <c r="A1149" s="106" t="inlineStr">
        <is>
          <t>Logística</t>
        </is>
      </c>
      <c r="B1149" s="106" t="inlineStr">
        <is>
          <t>Custo Variável</t>
        </is>
      </c>
      <c r="C1149" s="106" t="inlineStr">
        <is>
          <t>Exames médicos</t>
        </is>
      </c>
      <c r="D1149" s="107" t="n">
        <v>1</v>
      </c>
      <c r="E1149" s="108" t="n">
        <v>35</v>
      </c>
      <c r="F1149" s="109">
        <f>IFERROR(D1149*E1149,0)</f>
        <v/>
      </c>
      <c r="G1149" s="106">
        <f>INDEX(SETORES!$B:$B,MATCH(A1149,SETORES!$A:$A,0))</f>
        <v/>
      </c>
      <c r="H1149" s="106" t="inlineStr">
        <is>
          <t>Julho/2026</t>
        </is>
      </c>
    </row>
    <row r="1150" hidden="1" ht="14.25" customHeight="1" s="64">
      <c r="A1150" s="101" t="inlineStr">
        <is>
          <t>Oficina</t>
        </is>
      </c>
      <c r="B1150" s="101" t="inlineStr">
        <is>
          <t>Custo Variável</t>
        </is>
      </c>
      <c r="C1150" s="101" t="inlineStr">
        <is>
          <t>Exames médicos</t>
        </is>
      </c>
      <c r="D1150" s="102" t="n">
        <v>1</v>
      </c>
      <c r="E1150" s="103" t="n">
        <v>184</v>
      </c>
      <c r="F1150" s="104">
        <f>IFERROR(D1150*E1150,0)</f>
        <v/>
      </c>
      <c r="G1150" s="101">
        <f>INDEX(SETORES!$B:$B,MATCH(A1150,SETORES!$A:$A,0))</f>
        <v/>
      </c>
      <c r="H1150" s="101" t="inlineStr">
        <is>
          <t>Julho/2026</t>
        </is>
      </c>
    </row>
    <row r="1151" hidden="1" ht="14.25" customHeight="1" s="64">
      <c r="A1151" s="106" t="inlineStr">
        <is>
          <t>DP</t>
        </is>
      </c>
      <c r="B1151" s="106" t="inlineStr">
        <is>
          <t>Custo Variável</t>
        </is>
      </c>
      <c r="C1151" s="106" t="inlineStr">
        <is>
          <t>Exames médicos</t>
        </is>
      </c>
      <c r="D1151" s="107" t="n">
        <v>1</v>
      </c>
      <c r="E1151" s="108" t="n">
        <v>65</v>
      </c>
      <c r="F1151" s="109">
        <f>IFERROR(D1151*E1151,0)</f>
        <v/>
      </c>
      <c r="G1151" s="106">
        <f>INDEX(SETORES!$B:$B,MATCH(A1151,SETORES!$A:$A,0))</f>
        <v/>
      </c>
      <c r="H1151" s="106" t="inlineStr">
        <is>
          <t>Julho/2026</t>
        </is>
      </c>
    </row>
    <row r="1152" hidden="1" ht="14.25" customHeight="1" s="64">
      <c r="A1152" s="101" t="inlineStr">
        <is>
          <t>DP</t>
        </is>
      </c>
      <c r="B1152" s="101" t="inlineStr">
        <is>
          <t>Custo Variável</t>
        </is>
      </c>
      <c r="C1152" s="101" t="inlineStr">
        <is>
          <t>Homologações e rescisões</t>
        </is>
      </c>
      <c r="D1152" s="102" t="n"/>
      <c r="E1152" s="103" t="n"/>
      <c r="F1152" s="104">
        <f>IFERROR(D1152*E1152,0)</f>
        <v/>
      </c>
      <c r="G1152" s="101">
        <f>INDEX(SETORES!$B:$B,MATCH(A1152,SETORES!$A:$A,0))</f>
        <v/>
      </c>
      <c r="H1152" s="101" t="inlineStr">
        <is>
          <t>Julho/2026</t>
        </is>
      </c>
    </row>
    <row r="1153" hidden="1" ht="14.25" customHeight="1" s="64">
      <c r="A1153" s="106" t="inlineStr">
        <is>
          <t>DP</t>
        </is>
      </c>
      <c r="B1153" s="106" t="inlineStr">
        <is>
          <t>Custo Variável</t>
        </is>
      </c>
      <c r="C1153" s="106" t="inlineStr">
        <is>
          <t>Fardamento novo</t>
        </is>
      </c>
      <c r="D1153" s="107" t="n"/>
      <c r="E1153" s="108" t="n"/>
      <c r="F1153" s="109">
        <f>IFERROR(D1153*E1153,0)</f>
        <v/>
      </c>
      <c r="G1153" s="106">
        <f>INDEX(SETORES!$B:$B,MATCH(A1153,SETORES!$A:$A,0))</f>
        <v/>
      </c>
      <c r="H1153" s="106" t="inlineStr">
        <is>
          <t>Julho/2026</t>
        </is>
      </c>
    </row>
    <row r="1154" hidden="1" ht="14.25" customHeight="1" s="64">
      <c r="A1154" s="101" t="inlineStr">
        <is>
          <t>DP</t>
        </is>
      </c>
      <c r="B1154" s="101" t="inlineStr">
        <is>
          <t>Custo Variável</t>
        </is>
      </c>
      <c r="C1154" s="101" t="inlineStr">
        <is>
          <t>Fardamento substituição</t>
        </is>
      </c>
      <c r="D1154" s="102" t="n"/>
      <c r="E1154" s="103" t="n"/>
      <c r="F1154" s="104">
        <f>IFERROR(D1154*E1154,0)</f>
        <v/>
      </c>
      <c r="G1154" s="101">
        <f>INDEX(SETORES!$B:$B,MATCH(A1154,SETORES!$A:$A,0))</f>
        <v/>
      </c>
      <c r="H1154" s="101" t="inlineStr">
        <is>
          <t>Julho/2026</t>
        </is>
      </c>
    </row>
    <row r="1155" hidden="1" ht="14.25" customHeight="1" s="64">
      <c r="A1155" s="106" t="inlineStr">
        <is>
          <t>DP</t>
        </is>
      </c>
      <c r="B1155" s="106" t="inlineStr">
        <is>
          <t>Custo Fixo</t>
        </is>
      </c>
      <c r="C1155" s="106" t="inlineStr">
        <is>
          <t>Licença de e-mail corporativo</t>
        </is>
      </c>
      <c r="D1155" s="107" t="n">
        <v>7</v>
      </c>
      <c r="E1155" s="108" t="n">
        <v>50</v>
      </c>
      <c r="F1155" s="109">
        <f>IFERROR(D1155*E1155,0)</f>
        <v/>
      </c>
      <c r="G1155" s="106">
        <f>INDEX(SETORES!$B:$B,MATCH(A1155,SETORES!$A:$A,0))</f>
        <v/>
      </c>
      <c r="H1155" s="106" t="inlineStr">
        <is>
          <t>Julho/2026</t>
        </is>
      </c>
    </row>
    <row r="1156" hidden="1" ht="14.25" customHeight="1" s="64">
      <c r="A1156" s="101" t="inlineStr">
        <is>
          <t>DP</t>
        </is>
      </c>
      <c r="B1156" s="101" t="inlineStr">
        <is>
          <t>Custo Fixo</t>
        </is>
      </c>
      <c r="C1156" s="101" t="inlineStr">
        <is>
          <t>Impressora</t>
        </is>
      </c>
      <c r="D1156" s="102" t="n">
        <v>1</v>
      </c>
      <c r="E1156" s="103" t="n">
        <v>153.58</v>
      </c>
      <c r="F1156" s="104">
        <f>IFERROR(D1156*E1156,0)</f>
        <v/>
      </c>
      <c r="G1156" s="101">
        <f>INDEX(SETORES!$B:$B,MATCH(A1156,SETORES!$A:$A,0))</f>
        <v/>
      </c>
      <c r="H1156" s="101" t="inlineStr">
        <is>
          <t>Julho/2026</t>
        </is>
      </c>
    </row>
    <row r="1157" hidden="1" ht="14.25" customHeight="1" s="64">
      <c r="A1157" s="106" t="inlineStr">
        <is>
          <t>DP</t>
        </is>
      </c>
      <c r="B1157" s="106" t="inlineStr">
        <is>
          <t>Custo Fixo</t>
        </is>
      </c>
      <c r="C1157" s="106" t="inlineStr">
        <is>
          <t>Gympass</t>
        </is>
      </c>
      <c r="D1157" s="107" t="n">
        <v>7</v>
      </c>
      <c r="E1157" s="108" t="n">
        <v>9.92</v>
      </c>
      <c r="F1157" s="109">
        <f>IFERROR(D1157*E1157,0)</f>
        <v/>
      </c>
      <c r="G1157" s="106">
        <f>INDEX(SETORES!$B:$B,MATCH(A1157,SETORES!$A:$A,0))</f>
        <v/>
      </c>
      <c r="H1157" s="106" t="inlineStr">
        <is>
          <t>Julho/2026</t>
        </is>
      </c>
    </row>
    <row r="1158" hidden="1" ht="14.25" customHeight="1" s="64">
      <c r="A1158" s="101" t="inlineStr">
        <is>
          <t>DP</t>
        </is>
      </c>
      <c r="B1158" s="101" t="inlineStr">
        <is>
          <t>Custo Fixo</t>
        </is>
      </c>
      <c r="C1158" s="101" t="inlineStr">
        <is>
          <t>Stargrid</t>
        </is>
      </c>
      <c r="D1158" s="102" t="n">
        <v>7</v>
      </c>
      <c r="E1158" s="103" t="n">
        <v>2.05</v>
      </c>
      <c r="F1158" s="104">
        <f>IFERROR(D1158*E1158,0)</f>
        <v/>
      </c>
      <c r="G1158" s="101">
        <f>INDEX(SETORES!$B:$B,MATCH(A1158,SETORES!$A:$A,0))</f>
        <v/>
      </c>
      <c r="H1158" s="101" t="inlineStr">
        <is>
          <t>Julho/2026</t>
        </is>
      </c>
    </row>
    <row r="1159" hidden="1" ht="14.25" customHeight="1" s="64">
      <c r="A1159" s="106" t="inlineStr">
        <is>
          <t>Diretoria Operacional</t>
        </is>
      </c>
      <c r="B1159" s="106" t="inlineStr">
        <is>
          <t>Custo Fixo</t>
        </is>
      </c>
      <c r="C1159" s="106" t="inlineStr">
        <is>
          <t>Material de escritório (suprimentos de informática)</t>
        </is>
      </c>
      <c r="D1159" s="107" t="n">
        <v>2</v>
      </c>
      <c r="E1159" s="108" t="n">
        <v>3.385</v>
      </c>
      <c r="F1159" s="109" t="n">
        <v>6.77</v>
      </c>
      <c r="G1159" s="106">
        <f>INDEX(SETORES!$B:$B,MATCH(A1159,SETORES!$A:$A,0))</f>
        <v/>
      </c>
      <c r="H1159" s="106" t="inlineStr">
        <is>
          <t>Julho/2026</t>
        </is>
      </c>
    </row>
    <row r="1160" hidden="1" ht="14.25" customHeight="1" s="64">
      <c r="A1160" s="101" t="inlineStr">
        <is>
          <t>Diretoria Operacional</t>
        </is>
      </c>
      <c r="B1160" s="101" t="inlineStr">
        <is>
          <t>Custo Fixo</t>
        </is>
      </c>
      <c r="C1160" s="101" t="inlineStr">
        <is>
          <t>Material de uso coletivo (copa/limpeza)</t>
        </is>
      </c>
      <c r="D1160" s="102" t="n">
        <v>1</v>
      </c>
      <c r="E1160" s="103" t="n">
        <v>78.93000000000001</v>
      </c>
      <c r="F1160" s="104" t="n">
        <v>78.93000000000001</v>
      </c>
      <c r="G1160" s="101">
        <f>INDEX(SETORES!$B:$B,MATCH(A1160,SETORES!$A:$A,0))</f>
        <v/>
      </c>
      <c r="H1160" s="101" t="inlineStr">
        <is>
          <t>Julho/2026</t>
        </is>
      </c>
    </row>
    <row r="1161" hidden="1" ht="14.25" customHeight="1" s="64">
      <c r="A1161" s="106" t="inlineStr">
        <is>
          <t>Diretoria Operacional</t>
        </is>
      </c>
      <c r="B1161" s="106" t="inlineStr">
        <is>
          <t>Custo Fixo</t>
        </is>
      </c>
      <c r="C1161" s="106" t="inlineStr">
        <is>
          <t>Energia elétrica (rateio)</t>
        </is>
      </c>
      <c r="D1161" s="107" t="n">
        <v>1</v>
      </c>
      <c r="E1161" s="108" t="n">
        <v>16.546</v>
      </c>
      <c r="F1161" s="109" t="n">
        <v>16.546</v>
      </c>
      <c r="G1161" s="106">
        <f>INDEX(SETORES!$B:$B,MATCH(A1161,SETORES!$A:$A,0))</f>
        <v/>
      </c>
      <c r="H1161" s="106" t="inlineStr">
        <is>
          <t>Julho/2026</t>
        </is>
      </c>
    </row>
    <row r="1162" hidden="1" ht="14.25" customHeight="1" s="64">
      <c r="A1162" s="101" t="inlineStr">
        <is>
          <t>Diretoria Operacional</t>
        </is>
      </c>
      <c r="B1162" s="101" t="inlineStr">
        <is>
          <t>Custo Fixo</t>
        </is>
      </c>
      <c r="C1162" s="101" t="inlineStr">
        <is>
          <t>Água e esgoto (rateio)</t>
        </is>
      </c>
      <c r="D1162" s="102" t="n">
        <v>1</v>
      </c>
      <c r="E1162" s="103" t="n">
        <v>0.0485</v>
      </c>
      <c r="F1162" s="104" t="n">
        <v>0.0485</v>
      </c>
      <c r="G1162" s="101">
        <f>INDEX(SETORES!$B:$B,MATCH(A1162,SETORES!$A:$A,0))</f>
        <v/>
      </c>
      <c r="H1162" s="101" t="inlineStr">
        <is>
          <t>Julho/2026</t>
        </is>
      </c>
    </row>
    <row r="1163" hidden="1" ht="14.25" customHeight="1" s="64">
      <c r="A1163" s="106" t="inlineStr">
        <is>
          <t>Diretoria Operacional</t>
        </is>
      </c>
      <c r="B1163" s="106" t="inlineStr">
        <is>
          <t>Custo Fixo</t>
        </is>
      </c>
      <c r="C1163" s="106" t="inlineStr">
        <is>
          <t>Telefonia móvel corporativa</t>
        </is>
      </c>
      <c r="D1163" s="107" t="n"/>
      <c r="E1163" s="108" t="n"/>
      <c r="F1163" s="109">
        <f>IFERROR(D1163*E1163,0)</f>
        <v/>
      </c>
      <c r="G1163" s="106">
        <f>INDEX(SETORES!$B:$B,MATCH(A1163,SETORES!$A:$A,0))</f>
        <v/>
      </c>
      <c r="H1163" s="106" t="inlineStr">
        <is>
          <t>Julho/2026</t>
        </is>
      </c>
    </row>
    <row r="1164" hidden="1" ht="14.25" customHeight="1" s="64">
      <c r="A1164" s="101" t="inlineStr">
        <is>
          <t>Diretoria Operacional</t>
        </is>
      </c>
      <c r="B1164" s="101" t="inlineStr">
        <is>
          <t>Custo Fixo</t>
        </is>
      </c>
      <c r="C1164" s="101" t="inlineStr">
        <is>
          <t>Folha de pagamento (salários)</t>
        </is>
      </c>
      <c r="D1164" s="102" t="n">
        <v>1</v>
      </c>
      <c r="E1164" s="103" t="n">
        <v>27129.8033777778</v>
      </c>
      <c r="F1164" s="104">
        <f>IFERROR(E1164,0)</f>
        <v/>
      </c>
      <c r="G1164" s="101">
        <f>INDEX(SETORES!$B:$B,MATCH(A1164,SETORES!$A:$A,0))</f>
        <v/>
      </c>
      <c r="H1164" s="101" t="inlineStr">
        <is>
          <t>Julho/2026</t>
        </is>
      </c>
    </row>
    <row r="1165" hidden="1" ht="14.25" customHeight="1" s="64">
      <c r="A1165" s="106" t="inlineStr">
        <is>
          <t>Diretoria Operacional</t>
        </is>
      </c>
      <c r="B1165" s="106" t="inlineStr">
        <is>
          <t>Custo Variável</t>
        </is>
      </c>
      <c r="C1165" s="106" t="inlineStr">
        <is>
          <t>Viagens e hospedagem corporativas</t>
        </is>
      </c>
      <c r="D1165" s="107" t="n"/>
      <c r="E1165" s="108" t="n"/>
      <c r="F1165" s="109">
        <f>IFERROR(D1165*E1165,0)</f>
        <v/>
      </c>
      <c r="G1165" s="106">
        <f>INDEX(SETORES!$B:$B,MATCH(A1165,SETORES!$A:$A,0))</f>
        <v/>
      </c>
      <c r="H1165" s="106" t="inlineStr">
        <is>
          <t>Julho/2026</t>
        </is>
      </c>
    </row>
    <row r="1166" hidden="1" ht="14.25" customHeight="1" s="64">
      <c r="A1166" s="101" t="inlineStr">
        <is>
          <t>Diretoria Operacional</t>
        </is>
      </c>
      <c r="B1166" s="101" t="inlineStr">
        <is>
          <t>Custo Variável</t>
        </is>
      </c>
      <c r="C1166" s="101" t="inlineStr">
        <is>
          <t>Fardamento novo</t>
        </is>
      </c>
      <c r="D1166" s="102" t="n"/>
      <c r="E1166" s="103" t="n"/>
      <c r="F1166" s="104">
        <f>IFERROR(D1166*E1166,0)</f>
        <v/>
      </c>
      <c r="G1166" s="101">
        <f>INDEX(SETORES!$B:$B,MATCH(A1166,SETORES!$A:$A,0))</f>
        <v/>
      </c>
      <c r="H1166" s="101" t="inlineStr">
        <is>
          <t>Julho/2026</t>
        </is>
      </c>
    </row>
    <row r="1167" hidden="1" ht="14.25" customHeight="1" s="64">
      <c r="A1167" s="106" t="inlineStr">
        <is>
          <t>Diretoria Operacional</t>
        </is>
      </c>
      <c r="B1167" s="106" t="inlineStr">
        <is>
          <t>Custo Variável</t>
        </is>
      </c>
      <c r="C1167" s="106" t="inlineStr">
        <is>
          <t>Fardamento substituição</t>
        </is>
      </c>
      <c r="D1167" s="107" t="n"/>
      <c r="E1167" s="108" t="n"/>
      <c r="F1167" s="109">
        <f>IFERROR(D1167*E1167,0)</f>
        <v/>
      </c>
      <c r="G1167" s="106">
        <f>INDEX(SETORES!$B:$B,MATCH(A1167,SETORES!$A:$A,0))</f>
        <v/>
      </c>
      <c r="H1167" s="106" t="inlineStr">
        <is>
          <t>Julho/2026</t>
        </is>
      </c>
    </row>
    <row r="1168" hidden="1" ht="14.25" customHeight="1" s="64">
      <c r="A1168" s="101" t="inlineStr">
        <is>
          <t>Diretoria Operacional</t>
        </is>
      </c>
      <c r="B1168" s="101" t="inlineStr">
        <is>
          <t>Custo Fixo</t>
        </is>
      </c>
      <c r="C1168" s="101" t="inlineStr">
        <is>
          <t>Licença de e-mail corporativo</t>
        </is>
      </c>
      <c r="D1168" s="102" t="n">
        <v>2</v>
      </c>
      <c r="E1168" s="103" t="n">
        <v>50</v>
      </c>
      <c r="F1168" s="104">
        <f>IFERROR(D1168*E1168,0)</f>
        <v/>
      </c>
      <c r="G1168" s="101">
        <f>INDEX(SETORES!$B:$B,MATCH(A1168,SETORES!$A:$A,0))</f>
        <v/>
      </c>
      <c r="H1168" s="101" t="inlineStr">
        <is>
          <t>Julho/2026</t>
        </is>
      </c>
    </row>
    <row r="1169" hidden="1" ht="14.25" customHeight="1" s="64">
      <c r="A1169" s="106" t="inlineStr">
        <is>
          <t>Diretoria Operacional</t>
        </is>
      </c>
      <c r="B1169" s="106" t="inlineStr">
        <is>
          <t>Custo Fixo</t>
        </is>
      </c>
      <c r="C1169" s="106" t="inlineStr">
        <is>
          <t>Gympass</t>
        </is>
      </c>
      <c r="D1169" s="107" t="n">
        <v>2</v>
      </c>
      <c r="E1169" s="108" t="n">
        <v>9.92</v>
      </c>
      <c r="F1169" s="109">
        <f>IFERROR(D1169*E1169,0)</f>
        <v/>
      </c>
      <c r="G1169" s="106">
        <f>INDEX(SETORES!$B:$B,MATCH(A1169,SETORES!$A:$A,0))</f>
        <v/>
      </c>
      <c r="H1169" s="106" t="inlineStr">
        <is>
          <t>Julho/2026</t>
        </is>
      </c>
    </row>
    <row r="1170" hidden="1" ht="14.25" customHeight="1" s="64">
      <c r="A1170" s="101" t="inlineStr">
        <is>
          <t>Diretoria Operacional</t>
        </is>
      </c>
      <c r="B1170" s="101" t="inlineStr">
        <is>
          <t>Custo Fixo</t>
        </is>
      </c>
      <c r="C1170" s="101" t="inlineStr">
        <is>
          <t>Stargrid</t>
        </is>
      </c>
      <c r="D1170" s="102" t="n">
        <v>2</v>
      </c>
      <c r="E1170" s="103" t="n">
        <v>2.05</v>
      </c>
      <c r="F1170" s="104">
        <f>IFERROR(D1170*E1170,0)</f>
        <v/>
      </c>
      <c r="G1170" s="101">
        <f>INDEX(SETORES!$B:$B,MATCH(A1170,SETORES!$A:$A,0))</f>
        <v/>
      </c>
      <c r="H1170" s="101" t="inlineStr">
        <is>
          <t>Julho/2026</t>
        </is>
      </c>
    </row>
    <row r="1171" hidden="1" ht="14.25" customHeight="1" s="64">
      <c r="A1171" s="106" t="inlineStr">
        <is>
          <t>Engenharia</t>
        </is>
      </c>
      <c r="B1171" s="106" t="inlineStr">
        <is>
          <t>Custo Fixo</t>
        </is>
      </c>
      <c r="C1171" s="106" t="inlineStr">
        <is>
          <t>Material de escritório (suprimentos de informática)</t>
        </is>
      </c>
      <c r="D1171" s="107" t="n"/>
      <c r="E1171" s="108" t="n"/>
      <c r="F1171" s="109" t="n">
        <v>0</v>
      </c>
      <c r="G1171" s="106">
        <f>INDEX(SETORES!$B:$B,MATCH(A1171,SETORES!$A:$A,0))</f>
        <v/>
      </c>
      <c r="H1171" s="106" t="inlineStr">
        <is>
          <t>Julho/2026</t>
        </is>
      </c>
    </row>
    <row r="1172" hidden="1" ht="14.25" customHeight="1" s="64">
      <c r="A1172" s="101" t="inlineStr">
        <is>
          <t>Engenharia</t>
        </is>
      </c>
      <c r="B1172" s="101" t="inlineStr">
        <is>
          <t>Custo Fixo</t>
        </is>
      </c>
      <c r="C1172" s="101" t="inlineStr">
        <is>
          <t>Material de uso coletivo (copa/limpeza)</t>
        </is>
      </c>
      <c r="D1172" s="102" t="n"/>
      <c r="E1172" s="103" t="n"/>
      <c r="F1172" s="104" t="n">
        <v>0</v>
      </c>
      <c r="G1172" s="101">
        <f>INDEX(SETORES!$B:$B,MATCH(A1172,SETORES!$A:$A,0))</f>
        <v/>
      </c>
      <c r="H1172" s="101" t="inlineStr">
        <is>
          <t>Julho/2026</t>
        </is>
      </c>
    </row>
    <row r="1173" hidden="1" ht="14.25" customHeight="1" s="64">
      <c r="A1173" s="106" t="inlineStr">
        <is>
          <t>Engenharia</t>
        </is>
      </c>
      <c r="B1173" s="106" t="inlineStr">
        <is>
          <t>Custo Variável</t>
        </is>
      </c>
      <c r="C1173" s="106" t="inlineStr">
        <is>
          <t>Endomarketing</t>
        </is>
      </c>
      <c r="D1173" s="107" t="n"/>
      <c r="E1173" s="108" t="n"/>
      <c r="F1173" s="109">
        <f>IFERROR(D1173*E1173,0)</f>
        <v/>
      </c>
      <c r="G1173" s="106">
        <f>INDEX(SETORES!$B:$B,MATCH(A1173,SETORES!$A:$A,0))</f>
        <v/>
      </c>
      <c r="H1173" s="106" t="inlineStr">
        <is>
          <t>Julho/2026</t>
        </is>
      </c>
    </row>
    <row r="1174" hidden="1" ht="14.25" customHeight="1" s="64">
      <c r="A1174" s="101" t="inlineStr">
        <is>
          <t>Engenharia</t>
        </is>
      </c>
      <c r="B1174" s="101" t="inlineStr">
        <is>
          <t>Custo Fixo</t>
        </is>
      </c>
      <c r="C1174" s="101" t="inlineStr">
        <is>
          <t>Energia elétrica (rateio)</t>
        </is>
      </c>
      <c r="D1174" s="102" t="n">
        <v>10</v>
      </c>
      <c r="E1174" s="103" t="n">
        <v>21.2582</v>
      </c>
      <c r="F1174" s="104" t="n">
        <v>212.582</v>
      </c>
      <c r="G1174" s="101">
        <f>INDEX(SETORES!$B:$B,MATCH(A1174,SETORES!$A:$A,0))</f>
        <v/>
      </c>
      <c r="H1174" s="101" t="inlineStr">
        <is>
          <t>Julho/2026</t>
        </is>
      </c>
    </row>
    <row r="1175" hidden="1" ht="14.25" customHeight="1" s="64">
      <c r="A1175" s="106" t="inlineStr">
        <is>
          <t>Engenharia</t>
        </is>
      </c>
      <c r="B1175" s="106" t="inlineStr">
        <is>
          <t>Custo Fixo</t>
        </is>
      </c>
      <c r="C1175" s="106" t="inlineStr">
        <is>
          <t>Água e esgoto (rateio)</t>
        </is>
      </c>
      <c r="D1175" s="107" t="n">
        <v>10</v>
      </c>
      <c r="E1175" s="108" t="n">
        <v>3.3247</v>
      </c>
      <c r="F1175" s="109" t="n">
        <v>33.247</v>
      </c>
      <c r="G1175" s="106">
        <f>INDEX(SETORES!$B:$B,MATCH(A1175,SETORES!$A:$A,0))</f>
        <v/>
      </c>
      <c r="H1175" s="106" t="inlineStr">
        <is>
          <t>Julho/2026</t>
        </is>
      </c>
    </row>
    <row r="1176" hidden="1" ht="14.25" customHeight="1" s="64">
      <c r="A1176" s="101" t="inlineStr">
        <is>
          <t>Engenharia</t>
        </is>
      </c>
      <c r="B1176" s="101" t="inlineStr">
        <is>
          <t>Custo Fixo</t>
        </is>
      </c>
      <c r="C1176" s="101" t="inlineStr">
        <is>
          <t>Telefonia móvel corporativa</t>
        </is>
      </c>
      <c r="D1176" s="102" t="n"/>
      <c r="E1176" s="103" t="n"/>
      <c r="F1176" s="104">
        <f>IFERROR(D1176*E1176,0)</f>
        <v/>
      </c>
      <c r="G1176" s="101">
        <f>INDEX(SETORES!$B:$B,MATCH(A1176,SETORES!$A:$A,0))</f>
        <v/>
      </c>
      <c r="H1176" s="101" t="inlineStr">
        <is>
          <t>Julho/2026</t>
        </is>
      </c>
    </row>
    <row r="1177" hidden="1" ht="14.25" customHeight="1" s="64">
      <c r="A1177" s="106" t="inlineStr">
        <is>
          <t>Engenharia</t>
        </is>
      </c>
      <c r="B1177" s="106" t="inlineStr">
        <is>
          <t>Custo Fixo</t>
        </is>
      </c>
      <c r="C1177" s="106" t="inlineStr">
        <is>
          <t>Folha de pagamento (salários)</t>
        </is>
      </c>
      <c r="D1177" s="107" t="n">
        <v>1</v>
      </c>
      <c r="E1177" s="108" t="n">
        <v>62444.09</v>
      </c>
      <c r="F1177" s="109">
        <f>IFERROR(E1177,0)</f>
        <v/>
      </c>
      <c r="G1177" s="106">
        <f>INDEX(SETORES!$B:$B,MATCH(A1177,SETORES!$A:$A,0))</f>
        <v/>
      </c>
      <c r="H1177" s="106" t="inlineStr">
        <is>
          <t>Julho/2026</t>
        </is>
      </c>
    </row>
    <row r="1178" hidden="1" ht="14.25" customHeight="1" s="64">
      <c r="A1178" s="101" t="inlineStr">
        <is>
          <t>Engenharia</t>
        </is>
      </c>
      <c r="B1178" s="101" t="inlineStr">
        <is>
          <t>Custo Variável</t>
        </is>
      </c>
      <c r="C1178" s="101" t="inlineStr">
        <is>
          <t>Fardamento novo</t>
        </is>
      </c>
      <c r="D1178" s="102" t="n">
        <v>2</v>
      </c>
      <c r="E1178" s="103" t="n">
        <v>68</v>
      </c>
      <c r="F1178" s="104">
        <f>IFERROR(D1178*E1178,0)</f>
        <v/>
      </c>
      <c r="G1178" s="101">
        <f>INDEX(SETORES!$B:$B,MATCH(A1178,SETORES!$A:$A,0))</f>
        <v/>
      </c>
      <c r="H1178" s="101" t="inlineStr">
        <is>
          <t>Julho/2026</t>
        </is>
      </c>
    </row>
    <row r="1179" hidden="1" ht="14.25" customHeight="1" s="64">
      <c r="A1179" s="106" t="inlineStr">
        <is>
          <t>Engenharia</t>
        </is>
      </c>
      <c r="B1179" s="106" t="inlineStr">
        <is>
          <t>Custo Variável</t>
        </is>
      </c>
      <c r="C1179" s="106" t="inlineStr">
        <is>
          <t>Fardamento substituição</t>
        </is>
      </c>
      <c r="D1179" s="107" t="n"/>
      <c r="E1179" s="108" t="n"/>
      <c r="F1179" s="109">
        <f>IFERROR(D1179*E1179,0)</f>
        <v/>
      </c>
      <c r="G1179" s="106">
        <f>INDEX(SETORES!$B:$B,MATCH(A1179,SETORES!$A:$A,0))</f>
        <v/>
      </c>
      <c r="H1179" s="106" t="inlineStr">
        <is>
          <t>Julho/2026</t>
        </is>
      </c>
    </row>
    <row r="1180" hidden="1" ht="14.25" customHeight="1" s="64">
      <c r="A1180" s="101" t="inlineStr">
        <is>
          <t>Engenharia</t>
        </is>
      </c>
      <c r="B1180" s="101" t="inlineStr">
        <is>
          <t>Custo Variável</t>
        </is>
      </c>
      <c r="C1180" s="101" t="inlineStr">
        <is>
          <t>Rateio de transporte coletivo</t>
        </is>
      </c>
      <c r="D1180" s="102" t="n">
        <v>10</v>
      </c>
      <c r="E1180" s="103" t="n">
        <v>76.92</v>
      </c>
      <c r="F1180" s="104">
        <f>IFERROR(D1180*E1180,0)</f>
        <v/>
      </c>
      <c r="G1180" s="101">
        <f>INDEX(SETORES!$B:$B,MATCH(A1180,SETORES!$A:$A,0))</f>
        <v/>
      </c>
      <c r="H1180" s="101" t="inlineStr">
        <is>
          <t>Julho/2026</t>
        </is>
      </c>
    </row>
    <row r="1181" hidden="1" ht="14.25" customHeight="1" s="64">
      <c r="A1181" s="106" t="inlineStr">
        <is>
          <t>Engenharia</t>
        </is>
      </c>
      <c r="B1181" s="106" t="inlineStr">
        <is>
          <t>Custo Variável</t>
        </is>
      </c>
      <c r="C1181" s="106" t="inlineStr">
        <is>
          <t>Rescisões trabalhistas</t>
        </is>
      </c>
      <c r="D1181" s="107" t="n">
        <v>1</v>
      </c>
      <c r="E1181" s="108" t="n">
        <v>14703.68</v>
      </c>
      <c r="F1181" s="109">
        <f>IFERROR(D1181*E1181,0)</f>
        <v/>
      </c>
      <c r="G1181" s="106">
        <f>INDEX(SETORES!$B:$B,MATCH(A1181,SETORES!$A:$A,0))</f>
        <v/>
      </c>
      <c r="H1181" s="106" t="inlineStr">
        <is>
          <t>Julho/2026</t>
        </is>
      </c>
    </row>
    <row r="1182" hidden="1" ht="14.25" customHeight="1" s="64">
      <c r="A1182" s="101" t="inlineStr">
        <is>
          <t>Engenharia</t>
        </is>
      </c>
      <c r="B1182" s="101" t="inlineStr">
        <is>
          <t>Custo Fixo</t>
        </is>
      </c>
      <c r="C1182" s="101" t="inlineStr">
        <is>
          <t>Licença de e-mail corporativo</t>
        </is>
      </c>
      <c r="D1182" s="102" t="n">
        <v>14</v>
      </c>
      <c r="E1182" s="103" t="n">
        <v>44.29</v>
      </c>
      <c r="F1182" s="104">
        <f>IFERROR(D1182*E1182,0)</f>
        <v/>
      </c>
      <c r="G1182" s="101">
        <f>INDEX(SETORES!$B:$B,MATCH(A1182,SETORES!$A:$A,0))</f>
        <v/>
      </c>
      <c r="H1182" s="101" t="inlineStr">
        <is>
          <t>Julho/2026</t>
        </is>
      </c>
    </row>
    <row r="1183" hidden="1" ht="14.25" customHeight="1" s="64">
      <c r="A1183" s="106" t="inlineStr">
        <is>
          <t>Engenharia</t>
        </is>
      </c>
      <c r="B1183" s="106" t="inlineStr">
        <is>
          <t>Custo Variável</t>
        </is>
      </c>
      <c r="C1183" s="106" t="inlineStr">
        <is>
          <t>Combustível de frota</t>
        </is>
      </c>
      <c r="D1183" s="107" t="n">
        <v>1</v>
      </c>
      <c r="E1183" s="108" t="n">
        <v>6506.65</v>
      </c>
      <c r="F1183" s="109">
        <f>IFERROR(D1183*E1183,0)</f>
        <v/>
      </c>
      <c r="G1183" s="106">
        <f>INDEX(SETORES!$B:$B,MATCH(A1183,SETORES!$A:$A,0))</f>
        <v/>
      </c>
      <c r="H1183" s="106" t="inlineStr">
        <is>
          <t>Julho/2026</t>
        </is>
      </c>
    </row>
    <row r="1184" hidden="1" ht="14.25" customHeight="1" s="64">
      <c r="A1184" s="101" t="inlineStr">
        <is>
          <t>Engenharia</t>
        </is>
      </c>
      <c r="B1184" s="101" t="inlineStr">
        <is>
          <t>Custo Fixo</t>
        </is>
      </c>
      <c r="C1184" s="101" t="inlineStr">
        <is>
          <t>Impressora</t>
        </is>
      </c>
      <c r="D1184" s="102" t="n">
        <v>1</v>
      </c>
      <c r="E1184" s="103" t="n">
        <v>128.68</v>
      </c>
      <c r="F1184" s="104">
        <f>IFERROR(D1184*E1184,0)</f>
        <v/>
      </c>
      <c r="G1184" s="101">
        <f>INDEX(SETORES!$B:$B,MATCH(A1184,SETORES!$A:$A,0))</f>
        <v/>
      </c>
      <c r="H1184" s="101" t="inlineStr">
        <is>
          <t>Julho/2026</t>
        </is>
      </c>
    </row>
    <row r="1185" hidden="1" ht="14.25" customHeight="1" s="64">
      <c r="A1185" s="106" t="inlineStr">
        <is>
          <t>Engenharia</t>
        </is>
      </c>
      <c r="B1185" s="106" t="inlineStr">
        <is>
          <t>Custo Fixo</t>
        </is>
      </c>
      <c r="C1185" s="106" t="inlineStr">
        <is>
          <t>Gympass</t>
        </is>
      </c>
      <c r="D1185" s="107" t="n">
        <v>10</v>
      </c>
      <c r="E1185" s="108" t="n">
        <v>9.92</v>
      </c>
      <c r="F1185" s="109">
        <f>IFERROR(D1185*E1185,0)</f>
        <v/>
      </c>
      <c r="G1185" s="106">
        <f>INDEX(SETORES!$B:$B,MATCH(A1185,SETORES!$A:$A,0))</f>
        <v/>
      </c>
      <c r="H1185" s="106" t="inlineStr">
        <is>
          <t>Julho/2026</t>
        </is>
      </c>
    </row>
    <row r="1186" hidden="1" ht="14.25" customHeight="1" s="64">
      <c r="A1186" s="101" t="inlineStr">
        <is>
          <t>Engenharia</t>
        </is>
      </c>
      <c r="B1186" s="101" t="inlineStr">
        <is>
          <t>Custo Fixo</t>
        </is>
      </c>
      <c r="C1186" s="101" t="inlineStr">
        <is>
          <t>Stargrid</t>
        </is>
      </c>
      <c r="D1186" s="102" t="n">
        <v>10</v>
      </c>
      <c r="E1186" s="103" t="n">
        <v>2.05</v>
      </c>
      <c r="F1186" s="104">
        <f>IFERROR(D1186*E1186,0)</f>
        <v/>
      </c>
      <c r="G1186" s="101">
        <f>INDEX(SETORES!$B:$B,MATCH(A1186,SETORES!$A:$A,0))</f>
        <v/>
      </c>
      <c r="H1186" s="101" t="inlineStr">
        <is>
          <t>Julho/2026</t>
        </is>
      </c>
    </row>
    <row r="1187" hidden="1" ht="14.25" customHeight="1" s="64">
      <c r="A1187" s="106" t="inlineStr">
        <is>
          <t>Estoque</t>
        </is>
      </c>
      <c r="B1187" s="106" t="inlineStr">
        <is>
          <t>Custo Fixo</t>
        </is>
      </c>
      <c r="C1187" s="106" t="inlineStr">
        <is>
          <t>Material de escritório (suprimentos de informática)</t>
        </is>
      </c>
      <c r="D1187" s="107" t="n"/>
      <c r="E1187" s="108" t="n"/>
      <c r="F1187" s="109" t="n">
        <v>32684.03</v>
      </c>
      <c r="G1187" s="106">
        <f>INDEX(SETORES!$B:$B,MATCH(A1187,SETORES!$A:$A,0))</f>
        <v/>
      </c>
      <c r="H1187" s="106" t="inlineStr">
        <is>
          <t>Julho/2026</t>
        </is>
      </c>
    </row>
    <row r="1188" hidden="1" ht="14.25" customHeight="1" s="64">
      <c r="A1188" s="101" t="inlineStr">
        <is>
          <t>Estoque</t>
        </is>
      </c>
      <c r="B1188" s="101" t="inlineStr">
        <is>
          <t>Custo Fixo</t>
        </is>
      </c>
      <c r="C1188" s="101" t="inlineStr">
        <is>
          <t>Material de uso coletivo (copa/limpeza)</t>
        </is>
      </c>
      <c r="D1188" s="102" t="n"/>
      <c r="E1188" s="103" t="n"/>
      <c r="F1188" s="104" t="n">
        <v>0</v>
      </c>
      <c r="G1188" s="101">
        <f>INDEX(SETORES!$B:$B,MATCH(A1188,SETORES!$A:$A,0))</f>
        <v/>
      </c>
      <c r="H1188" s="101" t="inlineStr">
        <is>
          <t>Julho/2026</t>
        </is>
      </c>
    </row>
    <row r="1189" hidden="1" ht="14.25" customHeight="1" s="64">
      <c r="A1189" s="106" t="inlineStr">
        <is>
          <t>Estoque</t>
        </is>
      </c>
      <c r="B1189" s="106" t="inlineStr">
        <is>
          <t>Custo Fixo</t>
        </is>
      </c>
      <c r="C1189" s="106" t="inlineStr">
        <is>
          <t>Energia elétrica (rateio)</t>
        </is>
      </c>
      <c r="D1189" s="107" t="n">
        <v>16</v>
      </c>
      <c r="E1189" s="108" t="n">
        <v>21.2582</v>
      </c>
      <c r="F1189" s="109" t="n">
        <v>340.1312</v>
      </c>
      <c r="G1189" s="106">
        <f>INDEX(SETORES!$B:$B,MATCH(A1189,SETORES!$A:$A,0))</f>
        <v/>
      </c>
      <c r="H1189" s="106" t="inlineStr">
        <is>
          <t>Julho/2026</t>
        </is>
      </c>
    </row>
    <row r="1190" hidden="1" ht="14.25" customHeight="1" s="64">
      <c r="A1190" s="101" t="inlineStr">
        <is>
          <t>Estoque</t>
        </is>
      </c>
      <c r="B1190" s="101" t="inlineStr">
        <is>
          <t>Custo Fixo</t>
        </is>
      </c>
      <c r="C1190" s="101" t="inlineStr">
        <is>
          <t>Água e esgoto (rateio)</t>
        </is>
      </c>
      <c r="D1190" s="102" t="n">
        <v>16</v>
      </c>
      <c r="E1190" s="103" t="n">
        <v>3.3247</v>
      </c>
      <c r="F1190" s="104" t="n">
        <v>53.1952</v>
      </c>
      <c r="G1190" s="101">
        <f>INDEX(SETORES!$B:$B,MATCH(A1190,SETORES!$A:$A,0))</f>
        <v/>
      </c>
      <c r="H1190" s="101" t="inlineStr">
        <is>
          <t>Julho/2026</t>
        </is>
      </c>
    </row>
    <row r="1191" hidden="1" ht="14.25" customHeight="1" s="64">
      <c r="A1191" s="106" t="inlineStr">
        <is>
          <t>Estoque</t>
        </is>
      </c>
      <c r="B1191" s="106" t="inlineStr">
        <is>
          <t>Custo Fixo</t>
        </is>
      </c>
      <c r="C1191" s="106" t="inlineStr">
        <is>
          <t>Telefonia móvel corporativa</t>
        </is>
      </c>
      <c r="D1191" s="107" t="n"/>
      <c r="E1191" s="108" t="n"/>
      <c r="F1191" s="109">
        <f>IFERROR(D1191*E1191,0)</f>
        <v/>
      </c>
      <c r="G1191" s="106">
        <f>INDEX(SETORES!$B:$B,MATCH(A1191,SETORES!$A:$A,0))</f>
        <v/>
      </c>
      <c r="H1191" s="106" t="inlineStr">
        <is>
          <t>Julho/2026</t>
        </is>
      </c>
    </row>
    <row r="1192" hidden="1" ht="14.25" customHeight="1" s="64">
      <c r="A1192" s="101" t="inlineStr">
        <is>
          <t>Estoque</t>
        </is>
      </c>
      <c r="B1192" s="101" t="inlineStr">
        <is>
          <t>Custo Fixo</t>
        </is>
      </c>
      <c r="C1192" s="101" t="inlineStr">
        <is>
          <t>Folha de pagamento (salários)</t>
        </is>
      </c>
      <c r="D1192" s="102" t="n">
        <v>1</v>
      </c>
      <c r="E1192" s="103" t="n">
        <v>80081.35000000001</v>
      </c>
      <c r="F1192" s="104">
        <f>IFERROR(E1192,0)</f>
        <v/>
      </c>
      <c r="G1192" s="101">
        <f>INDEX(SETORES!$B:$B,MATCH(A1192,SETORES!$A:$A,0))</f>
        <v/>
      </c>
      <c r="H1192" s="101" t="inlineStr">
        <is>
          <t>Julho/2026</t>
        </is>
      </c>
    </row>
    <row r="1193" hidden="1" ht="14.25" customHeight="1" s="64">
      <c r="A1193" s="106" t="inlineStr">
        <is>
          <t>Estoque</t>
        </is>
      </c>
      <c r="B1193" s="106" t="inlineStr">
        <is>
          <t>Custo Variável</t>
        </is>
      </c>
      <c r="C1193" s="106" t="inlineStr">
        <is>
          <t>Fardamento novo</t>
        </is>
      </c>
      <c r="D1193" s="107" t="n">
        <v>4</v>
      </c>
      <c r="E1193" s="108" t="n">
        <v>33.75</v>
      </c>
      <c r="F1193" s="109">
        <f>IFERROR(D1193*E1193,0)</f>
        <v/>
      </c>
      <c r="G1193" s="106">
        <f>INDEX(SETORES!$B:$B,MATCH(A1193,SETORES!$A:$A,0))</f>
        <v/>
      </c>
      <c r="H1193" s="106" t="inlineStr">
        <is>
          <t>Julho/2026</t>
        </is>
      </c>
    </row>
    <row r="1194" hidden="1" ht="14.25" customHeight="1" s="64">
      <c r="A1194" s="101" t="inlineStr">
        <is>
          <t>Estoque</t>
        </is>
      </c>
      <c r="B1194" s="101" t="inlineStr">
        <is>
          <t>Custo Variável</t>
        </is>
      </c>
      <c r="C1194" s="101" t="inlineStr">
        <is>
          <t>Fardamento substituição</t>
        </is>
      </c>
      <c r="D1194" s="102" t="n"/>
      <c r="E1194" s="103" t="n"/>
      <c r="F1194" s="104">
        <f>IFERROR(D1194*E1194,0)</f>
        <v/>
      </c>
      <c r="G1194" s="101">
        <f>INDEX(SETORES!$B:$B,MATCH(A1194,SETORES!$A:$A,0))</f>
        <v/>
      </c>
      <c r="H1194" s="101" t="inlineStr">
        <is>
          <t>Julho/2026</t>
        </is>
      </c>
    </row>
    <row r="1195" hidden="1" ht="14.25" customHeight="1" s="64">
      <c r="A1195" s="106" t="inlineStr">
        <is>
          <t>Estoque</t>
        </is>
      </c>
      <c r="B1195" s="106" t="inlineStr">
        <is>
          <t>Custo Variável</t>
        </is>
      </c>
      <c r="C1195" s="106" t="inlineStr">
        <is>
          <t>Rateio de transporte coletivo</t>
        </is>
      </c>
      <c r="D1195" s="107" t="n">
        <v>16</v>
      </c>
      <c r="E1195" s="108" t="n">
        <v>76.92</v>
      </c>
      <c r="F1195" s="109">
        <f>IFERROR(D1195*E1195,0)</f>
        <v/>
      </c>
      <c r="G1195" s="106">
        <f>INDEX(SETORES!$B:$B,MATCH(A1195,SETORES!$A:$A,0))</f>
        <v/>
      </c>
      <c r="H1195" s="106" t="inlineStr">
        <is>
          <t>Julho/2026</t>
        </is>
      </c>
    </row>
    <row r="1196" hidden="1" ht="14.25" customHeight="1" s="64">
      <c r="A1196" s="101" t="inlineStr">
        <is>
          <t>Estoque</t>
        </is>
      </c>
      <c r="B1196" s="101" t="inlineStr">
        <is>
          <t>Custo Variável</t>
        </is>
      </c>
      <c r="C1196" s="101" t="inlineStr">
        <is>
          <t>Rescisões trabalhistas</t>
        </is>
      </c>
      <c r="D1196" s="102" t="n"/>
      <c r="E1196" s="103" t="n"/>
      <c r="F1196" s="104">
        <f>IFERROR(D1196*E1196,0)</f>
        <v/>
      </c>
      <c r="G1196" s="101">
        <f>INDEX(SETORES!$B:$B,MATCH(A1196,SETORES!$A:$A,0))</f>
        <v/>
      </c>
      <c r="H1196" s="101" t="inlineStr">
        <is>
          <t>Julho/2026</t>
        </is>
      </c>
    </row>
    <row r="1197" hidden="1" ht="14.25" customHeight="1" s="64">
      <c r="A1197" s="106" t="inlineStr">
        <is>
          <t>Estoque</t>
        </is>
      </c>
      <c r="B1197" s="106" t="inlineStr">
        <is>
          <t>Custo Variável</t>
        </is>
      </c>
      <c r="C1197" s="106" t="inlineStr">
        <is>
          <t>Exames médicos</t>
        </is>
      </c>
      <c r="D1197" s="107" t="n">
        <v>1</v>
      </c>
      <c r="E1197" s="108" t="n">
        <v>100</v>
      </c>
      <c r="F1197" s="109">
        <f>IFERROR(D1197*E1197,0)</f>
        <v/>
      </c>
      <c r="G1197" s="106">
        <f>INDEX(SETORES!$B:$B,MATCH(A1197,SETORES!$A:$A,0))</f>
        <v/>
      </c>
      <c r="H1197" s="106" t="inlineStr">
        <is>
          <t>Julho/2026</t>
        </is>
      </c>
    </row>
    <row r="1198" hidden="1" ht="14.25" customHeight="1" s="64">
      <c r="A1198" s="101" t="inlineStr">
        <is>
          <t>Estoque</t>
        </is>
      </c>
      <c r="B1198" s="101" t="inlineStr">
        <is>
          <t>Custo Fixo</t>
        </is>
      </c>
      <c r="C1198" s="101" t="inlineStr">
        <is>
          <t>Licença de e-mail corporativo</t>
        </is>
      </c>
      <c r="D1198" s="102" t="n">
        <v>12</v>
      </c>
      <c r="E1198" s="103" t="n">
        <v>23.33</v>
      </c>
      <c r="F1198" s="104">
        <f>IFERROR(D1198*E1198,0)</f>
        <v/>
      </c>
      <c r="G1198" s="101">
        <f>INDEX(SETORES!$B:$B,MATCH(A1198,SETORES!$A:$A,0))</f>
        <v/>
      </c>
      <c r="H1198" s="101" t="inlineStr">
        <is>
          <t>Julho/2026</t>
        </is>
      </c>
    </row>
    <row r="1199" hidden="1" ht="14.25" customHeight="1" s="64">
      <c r="A1199" s="106" t="inlineStr">
        <is>
          <t>Estoque</t>
        </is>
      </c>
      <c r="B1199" s="106" t="inlineStr">
        <is>
          <t>Custo Fixo</t>
        </is>
      </c>
      <c r="C1199" s="106" t="inlineStr">
        <is>
          <t>Impressora</t>
        </is>
      </c>
      <c r="D1199" s="107" t="n">
        <v>1</v>
      </c>
      <c r="E1199" s="108" t="n">
        <v>153.58</v>
      </c>
      <c r="F1199" s="109">
        <f>IFERROR(D1199*E1199,0)</f>
        <v/>
      </c>
      <c r="G1199" s="106">
        <f>INDEX(SETORES!$B:$B,MATCH(A1199,SETORES!$A:$A,0))</f>
        <v/>
      </c>
      <c r="H1199" s="106" t="inlineStr">
        <is>
          <t>Julho/2026</t>
        </is>
      </c>
    </row>
    <row r="1200" hidden="1" ht="14.25" customHeight="1" s="64">
      <c r="A1200" s="101" t="inlineStr">
        <is>
          <t>Estoque</t>
        </is>
      </c>
      <c r="B1200" s="101" t="inlineStr">
        <is>
          <t>Custo Fixo</t>
        </is>
      </c>
      <c r="C1200" s="101" t="inlineStr">
        <is>
          <t>Gympass</t>
        </is>
      </c>
      <c r="D1200" s="102" t="n">
        <v>16</v>
      </c>
      <c r="E1200" s="103" t="n">
        <v>9.92</v>
      </c>
      <c r="F1200" s="104">
        <f>IFERROR(D1200*E1200,0)</f>
        <v/>
      </c>
      <c r="G1200" s="101">
        <f>INDEX(SETORES!$B:$B,MATCH(A1200,SETORES!$A:$A,0))</f>
        <v/>
      </c>
      <c r="H1200" s="101" t="inlineStr">
        <is>
          <t>Julho/2026</t>
        </is>
      </c>
    </row>
    <row r="1201" hidden="1" ht="14.25" customHeight="1" s="64">
      <c r="A1201" s="106" t="inlineStr">
        <is>
          <t>Estoque</t>
        </is>
      </c>
      <c r="B1201" s="106" t="inlineStr">
        <is>
          <t>Custo Fixo</t>
        </is>
      </c>
      <c r="C1201" s="106" t="inlineStr">
        <is>
          <t>Stargrid</t>
        </is>
      </c>
      <c r="D1201" s="107" t="n">
        <v>16</v>
      </c>
      <c r="E1201" s="108" t="n">
        <v>2.05</v>
      </c>
      <c r="F1201" s="109">
        <f>IFERROR(D1201*E1201,0)</f>
        <v/>
      </c>
      <c r="G1201" s="106">
        <f>INDEX(SETORES!$B:$B,MATCH(A1201,SETORES!$A:$A,0))</f>
        <v/>
      </c>
      <c r="H1201" s="106" t="inlineStr">
        <is>
          <t>Julho/2026</t>
        </is>
      </c>
    </row>
    <row r="1202" hidden="1" ht="14.25" customHeight="1" s="64">
      <c r="A1202" s="101" t="inlineStr">
        <is>
          <t>Financeiro</t>
        </is>
      </c>
      <c r="B1202" s="101" t="inlineStr">
        <is>
          <t>Custo Fixo</t>
        </is>
      </c>
      <c r="C1202" s="101" t="inlineStr">
        <is>
          <t>Material de escritório (suprimentos de informática)</t>
        </is>
      </c>
      <c r="D1202" s="102" t="n">
        <v>1</v>
      </c>
      <c r="E1202" s="103" t="n">
        <v>71.42</v>
      </c>
      <c r="F1202" s="104" t="n">
        <v>714.2003999999999</v>
      </c>
      <c r="G1202" s="101">
        <f>INDEX(SETORES!$B:$B,MATCH(A1202,SETORES!$A:$A,0))</f>
        <v/>
      </c>
      <c r="H1202" s="101" t="inlineStr">
        <is>
          <t>Julho/2026</t>
        </is>
      </c>
    </row>
    <row r="1203" hidden="1" ht="14.25" customHeight="1" s="64">
      <c r="A1203" s="106" t="inlineStr">
        <is>
          <t>Financeiro</t>
        </is>
      </c>
      <c r="B1203" s="106" t="inlineStr">
        <is>
          <t>Custo Fixo</t>
        </is>
      </c>
      <c r="C1203" s="106" t="inlineStr">
        <is>
          <t>Material de uso coletivo (copa/limpeza)</t>
        </is>
      </c>
      <c r="D1203" s="107" t="n">
        <v>1</v>
      </c>
      <c r="E1203" s="108" t="n">
        <v>221.42</v>
      </c>
      <c r="F1203" s="109" t="n">
        <v>221.42</v>
      </c>
      <c r="G1203" s="106">
        <f>INDEX(SETORES!$B:$B,MATCH(A1203,SETORES!$A:$A,0))</f>
        <v/>
      </c>
      <c r="H1203" s="106" t="inlineStr">
        <is>
          <t>Julho/2026</t>
        </is>
      </c>
    </row>
    <row r="1204" hidden="1" ht="14.25" customHeight="1" s="64">
      <c r="A1204" s="101" t="inlineStr">
        <is>
          <t>Financeiro</t>
        </is>
      </c>
      <c r="B1204" s="101" t="inlineStr">
        <is>
          <t>Custo Fixo</t>
        </is>
      </c>
      <c r="C1204" s="101" t="inlineStr">
        <is>
          <t>Energia elétrica (rateio)</t>
        </is>
      </c>
      <c r="D1204" s="102" t="n">
        <v>1</v>
      </c>
      <c r="E1204" s="103" t="n">
        <v>66.184</v>
      </c>
      <c r="F1204" s="104" t="n">
        <v>66.184</v>
      </c>
      <c r="G1204" s="101">
        <f>INDEX(SETORES!$B:$B,MATCH(A1204,SETORES!$A:$A,0))</f>
        <v/>
      </c>
      <c r="H1204" s="101" t="inlineStr">
        <is>
          <t>Julho/2026</t>
        </is>
      </c>
    </row>
    <row r="1205" hidden="1" ht="14.25" customHeight="1" s="64">
      <c r="A1205" s="106" t="inlineStr">
        <is>
          <t>Financeiro</t>
        </is>
      </c>
      <c r="B1205" s="106" t="inlineStr">
        <is>
          <t>Custo Fixo</t>
        </is>
      </c>
      <c r="C1205" s="106" t="inlineStr">
        <is>
          <t>Água e esgoto (rateio)</t>
        </is>
      </c>
      <c r="D1205" s="107" t="n">
        <v>1</v>
      </c>
      <c r="E1205" s="108" t="n">
        <v>0.194</v>
      </c>
      <c r="F1205" s="109" t="n">
        <v>0.194</v>
      </c>
      <c r="G1205" s="106">
        <f>INDEX(SETORES!$B:$B,MATCH(A1205,SETORES!$A:$A,0))</f>
        <v/>
      </c>
      <c r="H1205" s="106" t="inlineStr">
        <is>
          <t>Julho/2026</t>
        </is>
      </c>
    </row>
    <row r="1206" hidden="1" ht="14.25" customHeight="1" s="64">
      <c r="A1206" s="101" t="inlineStr">
        <is>
          <t>Financeiro</t>
        </is>
      </c>
      <c r="B1206" s="101" t="inlineStr">
        <is>
          <t>Custo Fixo</t>
        </is>
      </c>
      <c r="C1206" s="101" t="inlineStr">
        <is>
          <t>Telefonia móvel corporativa</t>
        </is>
      </c>
      <c r="D1206" s="102" t="n"/>
      <c r="E1206" s="103" t="n"/>
      <c r="F1206" s="104">
        <f>IFERROR(D1206*E1206,0)</f>
        <v/>
      </c>
      <c r="G1206" s="101">
        <f>INDEX(SETORES!$B:$B,MATCH(A1206,SETORES!$A:$A,0))</f>
        <v/>
      </c>
      <c r="H1206" s="101" t="inlineStr">
        <is>
          <t>Julho/2026</t>
        </is>
      </c>
    </row>
    <row r="1207" hidden="1" ht="14.25" customHeight="1" s="64">
      <c r="A1207" s="106" t="inlineStr">
        <is>
          <t>Financeiro</t>
        </is>
      </c>
      <c r="B1207" s="106" t="inlineStr">
        <is>
          <t>Custo Fixo</t>
        </is>
      </c>
      <c r="C1207" s="106" t="inlineStr">
        <is>
          <t>Folha de pagamento (salários)</t>
        </is>
      </c>
      <c r="D1207" s="107" t="n">
        <v>1</v>
      </c>
      <c r="E1207" s="108" t="n">
        <v>41415.06</v>
      </c>
      <c r="F1207" s="109">
        <f>IFERROR(E1207,0)</f>
        <v/>
      </c>
      <c r="G1207" s="106">
        <f>INDEX(SETORES!$B:$B,MATCH(A1207,SETORES!$A:$A,0))</f>
        <v/>
      </c>
      <c r="H1207" s="106" t="inlineStr">
        <is>
          <t>Julho/2026</t>
        </is>
      </c>
    </row>
    <row r="1208" hidden="1" ht="14.25" customHeight="1" s="64">
      <c r="A1208" s="101" t="inlineStr">
        <is>
          <t>Financeiro</t>
        </is>
      </c>
      <c r="B1208" s="101" t="inlineStr">
        <is>
          <t>Custo Fixo</t>
        </is>
      </c>
      <c r="C1208" s="101" t="inlineStr">
        <is>
          <t>Licenças de software/sistemas corporativos (Financeiro)</t>
        </is>
      </c>
      <c r="D1208" s="102" t="n">
        <v>1</v>
      </c>
      <c r="E1208" s="103" t="n">
        <v>29185.01</v>
      </c>
      <c r="F1208" s="104">
        <f>IFERROR(D1208*E1208,0)</f>
        <v/>
      </c>
      <c r="G1208" s="101">
        <f>INDEX(SETORES!$B:$B,MATCH(A1208,SETORES!$A:$A,0))</f>
        <v/>
      </c>
      <c r="H1208" s="101" t="inlineStr">
        <is>
          <t>Julho/2026</t>
        </is>
      </c>
    </row>
    <row r="1209" hidden="1" ht="14.25" customHeight="1" s="64">
      <c r="A1209" s="106" t="inlineStr">
        <is>
          <t>Financeiro</t>
        </is>
      </c>
      <c r="B1209" s="106" t="inlineStr">
        <is>
          <t>Custo Variável</t>
        </is>
      </c>
      <c r="C1209" s="106" t="inlineStr">
        <is>
          <t>Fardamento novo</t>
        </is>
      </c>
      <c r="D1209" s="107" t="n">
        <v>2</v>
      </c>
      <c r="E1209" s="108" t="n">
        <v>45</v>
      </c>
      <c r="F1209" s="109">
        <f>IFERROR(D1209*E1209,0)</f>
        <v/>
      </c>
      <c r="G1209" s="106">
        <f>INDEX(SETORES!$B:$B,MATCH(A1209,SETORES!$A:$A,0))</f>
        <v/>
      </c>
      <c r="H1209" s="106" t="inlineStr">
        <is>
          <t>Julho/2026</t>
        </is>
      </c>
    </row>
    <row r="1210" hidden="1" ht="14.25" customHeight="1" s="64">
      <c r="A1210" s="101" t="inlineStr">
        <is>
          <t>Financeiro</t>
        </is>
      </c>
      <c r="B1210" s="101" t="inlineStr">
        <is>
          <t>Custo Variável</t>
        </is>
      </c>
      <c r="C1210" s="101" t="inlineStr">
        <is>
          <t>Fardamento substituição</t>
        </is>
      </c>
      <c r="D1210" s="102" t="n"/>
      <c r="E1210" s="103" t="n"/>
      <c r="F1210" s="104">
        <f>IFERROR(D1210*E1210,0)</f>
        <v/>
      </c>
      <c r="G1210" s="101">
        <f>INDEX(SETORES!$B:$B,MATCH(A1210,SETORES!$A:$A,0))</f>
        <v/>
      </c>
      <c r="H1210" s="101" t="inlineStr">
        <is>
          <t>Julho/2026</t>
        </is>
      </c>
    </row>
    <row r="1211" hidden="1" ht="14.25" customHeight="1" s="64">
      <c r="A1211" s="106" t="inlineStr">
        <is>
          <t>Financeiro</t>
        </is>
      </c>
      <c r="B1211" s="106" t="inlineStr">
        <is>
          <t>Custo Fixo</t>
        </is>
      </c>
      <c r="C1211" s="106" t="inlineStr">
        <is>
          <t>Licença de e-mail corporativo</t>
        </is>
      </c>
      <c r="D1211" s="107" t="n">
        <v>8</v>
      </c>
      <c r="E1211" s="108" t="n">
        <v>50</v>
      </c>
      <c r="F1211" s="109">
        <f>IFERROR(D1211*E1211,0)</f>
        <v/>
      </c>
      <c r="G1211" s="106">
        <f>INDEX(SETORES!$B:$B,MATCH(A1211,SETORES!$A:$A,0))</f>
        <v/>
      </c>
      <c r="H1211" s="106" t="inlineStr">
        <is>
          <t>Julho/2026</t>
        </is>
      </c>
    </row>
    <row r="1212" hidden="1" ht="14.25" customHeight="1" s="64">
      <c r="A1212" s="101" t="inlineStr">
        <is>
          <t>Financeiro</t>
        </is>
      </c>
      <c r="B1212" s="101" t="inlineStr">
        <is>
          <t>Custo Fixo</t>
        </is>
      </c>
      <c r="C1212" s="101" t="inlineStr">
        <is>
          <t>Impressora</t>
        </is>
      </c>
      <c r="D1212" s="102" t="n">
        <v>1</v>
      </c>
      <c r="E1212" s="103" t="n">
        <v>153.58</v>
      </c>
      <c r="F1212" s="104">
        <f>IFERROR(D1212*E1212,0)</f>
        <v/>
      </c>
      <c r="G1212" s="101">
        <f>INDEX(SETORES!$B:$B,MATCH(A1212,SETORES!$A:$A,0))</f>
        <v/>
      </c>
      <c r="H1212" s="101" t="inlineStr">
        <is>
          <t>Julho/2026</t>
        </is>
      </c>
    </row>
    <row r="1213" hidden="1" ht="14.25" customHeight="1" s="64">
      <c r="A1213" s="106" t="inlineStr">
        <is>
          <t>Financeiro</t>
        </is>
      </c>
      <c r="B1213" s="106" t="inlineStr">
        <is>
          <t>Custo Fixo</t>
        </is>
      </c>
      <c r="C1213" s="106" t="inlineStr">
        <is>
          <t>Gympass</t>
        </is>
      </c>
      <c r="D1213" s="107" t="n">
        <v>9</v>
      </c>
      <c r="E1213" s="108" t="n">
        <v>9.92</v>
      </c>
      <c r="F1213" s="109">
        <f>IFERROR(D1213*E1213,0)</f>
        <v/>
      </c>
      <c r="G1213" s="106">
        <f>INDEX(SETORES!$B:$B,MATCH(A1213,SETORES!$A:$A,0))</f>
        <v/>
      </c>
      <c r="H1213" s="106" t="inlineStr">
        <is>
          <t>Julho/2026</t>
        </is>
      </c>
    </row>
    <row r="1214" hidden="1" ht="14.25" customHeight="1" s="64">
      <c r="A1214" s="101" t="inlineStr">
        <is>
          <t>Financeiro</t>
        </is>
      </c>
      <c r="B1214" s="101" t="inlineStr">
        <is>
          <t>Custo Fixo</t>
        </is>
      </c>
      <c r="C1214" s="101" t="inlineStr">
        <is>
          <t>Stargrid</t>
        </is>
      </c>
      <c r="D1214" s="102" t="n">
        <v>9</v>
      </c>
      <c r="E1214" s="103" t="n">
        <v>2.05</v>
      </c>
      <c r="F1214" s="104">
        <f>IFERROR(D1214*E1214,0)</f>
        <v/>
      </c>
      <c r="G1214" s="101">
        <f>INDEX(SETORES!$B:$B,MATCH(A1214,SETORES!$A:$A,0))</f>
        <v/>
      </c>
      <c r="H1214" s="101" t="inlineStr">
        <is>
          <t>Julho/2026</t>
        </is>
      </c>
    </row>
    <row r="1215" hidden="1" ht="14.25" customHeight="1" s="64">
      <c r="A1215" s="106" t="inlineStr">
        <is>
          <t>Logística</t>
        </is>
      </c>
      <c r="B1215" s="106" t="inlineStr">
        <is>
          <t>Custo Fixo</t>
        </is>
      </c>
      <c r="C1215" s="106" t="inlineStr">
        <is>
          <t>Material de escritório (suprimentos de informática)</t>
        </is>
      </c>
      <c r="D1215" s="107" t="n"/>
      <c r="E1215" s="108" t="n"/>
      <c r="F1215" s="109" t="n">
        <v>0</v>
      </c>
      <c r="G1215" s="106">
        <f>INDEX(SETORES!$B:$B,MATCH(A1215,SETORES!$A:$A,0))</f>
        <v/>
      </c>
      <c r="H1215" s="106" t="inlineStr">
        <is>
          <t>Julho/2026</t>
        </is>
      </c>
    </row>
    <row r="1216" hidden="1" ht="14.25" customHeight="1" s="64">
      <c r="A1216" s="101" t="inlineStr">
        <is>
          <t>Logística</t>
        </is>
      </c>
      <c r="B1216" s="101" t="inlineStr">
        <is>
          <t>Custo Fixo</t>
        </is>
      </c>
      <c r="C1216" s="101" t="inlineStr">
        <is>
          <t>Material de uso coletivo (copa/limpeza)</t>
        </is>
      </c>
      <c r="D1216" s="102" t="n"/>
      <c r="E1216" s="103" t="n"/>
      <c r="F1216" s="104" t="n">
        <v>0</v>
      </c>
      <c r="G1216" s="101">
        <f>INDEX(SETORES!$B:$B,MATCH(A1216,SETORES!$A:$A,0))</f>
        <v/>
      </c>
      <c r="H1216" s="101" t="inlineStr">
        <is>
          <t>Julho/2026</t>
        </is>
      </c>
    </row>
    <row r="1217" hidden="1" ht="14.25" customHeight="1" s="64">
      <c r="A1217" s="106" t="inlineStr">
        <is>
          <t>Logística</t>
        </is>
      </c>
      <c r="B1217" s="106" t="inlineStr">
        <is>
          <t>Custo Fixo</t>
        </is>
      </c>
      <c r="C1217" s="106" t="inlineStr">
        <is>
          <t>Energia elétrica (rateio)</t>
        </is>
      </c>
      <c r="D1217" s="107" t="n">
        <v>14</v>
      </c>
      <c r="E1217" s="108" t="n">
        <v>21.2582</v>
      </c>
      <c r="F1217" s="109" t="n">
        <v>297.6148</v>
      </c>
      <c r="G1217" s="106">
        <f>INDEX(SETORES!$B:$B,MATCH(A1217,SETORES!$A:$A,0))</f>
        <v/>
      </c>
      <c r="H1217" s="106" t="inlineStr">
        <is>
          <t>Julho/2026</t>
        </is>
      </c>
    </row>
    <row r="1218" hidden="1" ht="14.25" customHeight="1" s="64">
      <c r="A1218" s="101" t="inlineStr">
        <is>
          <t>Logística</t>
        </is>
      </c>
      <c r="B1218" s="101" t="inlineStr">
        <is>
          <t>Custo Fixo</t>
        </is>
      </c>
      <c r="C1218" s="101" t="inlineStr">
        <is>
          <t>Água e esgoto (rateio)</t>
        </is>
      </c>
      <c r="D1218" s="102" t="n">
        <v>14</v>
      </c>
      <c r="E1218" s="103" t="n">
        <v>3.3247</v>
      </c>
      <c r="F1218" s="104" t="n">
        <v>46.5458</v>
      </c>
      <c r="G1218" s="101">
        <f>INDEX(SETORES!$B:$B,MATCH(A1218,SETORES!$A:$A,0))</f>
        <v/>
      </c>
      <c r="H1218" s="101" t="inlineStr">
        <is>
          <t>Julho/2026</t>
        </is>
      </c>
    </row>
    <row r="1219" hidden="1" ht="14.25" customHeight="1" s="64">
      <c r="A1219" s="106" t="inlineStr">
        <is>
          <t>Logística</t>
        </is>
      </c>
      <c r="B1219" s="106" t="inlineStr">
        <is>
          <t>Custo Fixo</t>
        </is>
      </c>
      <c r="C1219" s="106" t="inlineStr">
        <is>
          <t>Telefonia móvel corporativa</t>
        </is>
      </c>
      <c r="D1219" s="107" t="n"/>
      <c r="E1219" s="108" t="n"/>
      <c r="F1219" s="109">
        <f>IFERROR(D1219*E1219,0)</f>
        <v/>
      </c>
      <c r="G1219" s="106">
        <f>INDEX(SETORES!$B:$B,MATCH(A1219,SETORES!$A:$A,0))</f>
        <v/>
      </c>
      <c r="H1219" s="106" t="inlineStr">
        <is>
          <t>Julho/2026</t>
        </is>
      </c>
    </row>
    <row r="1220" hidden="1" ht="14.25" customHeight="1" s="64">
      <c r="A1220" s="101" t="inlineStr">
        <is>
          <t>Logística</t>
        </is>
      </c>
      <c r="B1220" s="101" t="inlineStr">
        <is>
          <t>Custo Fixo</t>
        </is>
      </c>
      <c r="C1220" s="101" t="inlineStr">
        <is>
          <t>Folha de pagamento (salários)</t>
        </is>
      </c>
      <c r="D1220" s="102" t="n">
        <v>1</v>
      </c>
      <c r="E1220" s="103" t="n">
        <v>66787.046329</v>
      </c>
      <c r="F1220" s="104" t="n">
        <v>66787.046329</v>
      </c>
      <c r="G1220" s="101">
        <f>INDEX(SETORES!$B:$B,MATCH(A1220,SETORES!$A:$A,0))</f>
        <v/>
      </c>
      <c r="H1220" s="101" t="inlineStr">
        <is>
          <t>Julho/2026</t>
        </is>
      </c>
    </row>
    <row r="1221" hidden="1" ht="14.25" customHeight="1" s="64">
      <c r="A1221" s="106" t="inlineStr">
        <is>
          <t>Logística</t>
        </is>
      </c>
      <c r="B1221" s="106" t="inlineStr">
        <is>
          <t>Custo Variável</t>
        </is>
      </c>
      <c r="C1221" s="106" t="inlineStr">
        <is>
          <t>Combustível de frota</t>
        </is>
      </c>
      <c r="D1221" s="107" t="n">
        <v>1</v>
      </c>
      <c r="E1221" s="108" t="n">
        <v>37632.61</v>
      </c>
      <c r="F1221" s="109">
        <f>IFERROR(D1221*E1221,0)</f>
        <v/>
      </c>
      <c r="G1221" s="106">
        <f>INDEX(SETORES!$B:$B,MATCH(A1221,SETORES!$A:$A,0))</f>
        <v/>
      </c>
      <c r="H1221" s="106" t="inlineStr">
        <is>
          <t>Julho/2026</t>
        </is>
      </c>
    </row>
    <row r="1222" hidden="1" ht="14.25" customHeight="1" s="64">
      <c r="A1222" s="101" t="inlineStr">
        <is>
          <t>Logística</t>
        </is>
      </c>
      <c r="B1222" s="101" t="inlineStr">
        <is>
          <t>Custo Variável</t>
        </is>
      </c>
      <c r="C1222" s="101" t="inlineStr">
        <is>
          <t>Manutenção de veículos</t>
        </is>
      </c>
      <c r="D1222" s="102" t="n"/>
      <c r="E1222" s="103" t="n"/>
      <c r="F1222" s="104">
        <f>IFERROR(D1222*E1222,0)</f>
        <v/>
      </c>
      <c r="G1222" s="101">
        <f>INDEX(SETORES!$B:$B,MATCH(A1222,SETORES!$A:$A,0))</f>
        <v/>
      </c>
      <c r="H1222" s="101" t="inlineStr">
        <is>
          <t>Julho/2026</t>
        </is>
      </c>
    </row>
    <row r="1223" hidden="1" ht="14.25" customHeight="1" s="64">
      <c r="A1223" s="106" t="inlineStr">
        <is>
          <t>Logística</t>
        </is>
      </c>
      <c r="B1223" s="106" t="inlineStr">
        <is>
          <t>Custo Variável</t>
        </is>
      </c>
      <c r="C1223" s="106" t="inlineStr">
        <is>
          <t>Fardamento novo</t>
        </is>
      </c>
      <c r="D1223" s="107" t="n">
        <v>2</v>
      </c>
      <c r="E1223" s="108" t="n">
        <v>68</v>
      </c>
      <c r="F1223" s="109">
        <f>IFERROR(D1223*E1223,0)</f>
        <v/>
      </c>
      <c r="G1223" s="106">
        <f>INDEX(SETORES!$B:$B,MATCH(A1223,SETORES!$A:$A,0))</f>
        <v/>
      </c>
      <c r="H1223" s="106" t="inlineStr">
        <is>
          <t>Julho/2026</t>
        </is>
      </c>
    </row>
    <row r="1224" hidden="1" ht="14.25" customHeight="1" s="64">
      <c r="A1224" s="101" t="inlineStr">
        <is>
          <t>Logística</t>
        </is>
      </c>
      <c r="B1224" s="101" t="inlineStr">
        <is>
          <t>Custo Variável</t>
        </is>
      </c>
      <c r="C1224" s="101" t="inlineStr">
        <is>
          <t>Fardamento substituição</t>
        </is>
      </c>
      <c r="D1224" s="102" t="n"/>
      <c r="E1224" s="103" t="n"/>
      <c r="F1224" s="104">
        <f>IFERROR(D1224*E1224,0)</f>
        <v/>
      </c>
      <c r="G1224" s="101">
        <f>INDEX(SETORES!$B:$B,MATCH(A1224,SETORES!$A:$A,0))</f>
        <v/>
      </c>
      <c r="H1224" s="101" t="inlineStr">
        <is>
          <t>Julho/2026</t>
        </is>
      </c>
    </row>
    <row r="1225" hidden="1" ht="14.25" customHeight="1" s="64">
      <c r="A1225" s="106" t="inlineStr">
        <is>
          <t>Logística</t>
        </is>
      </c>
      <c r="B1225" s="106" t="inlineStr">
        <is>
          <t>Custo Variável</t>
        </is>
      </c>
      <c r="C1225" s="106" t="inlineStr">
        <is>
          <t>EPIs - Equipamento de Proteção Individual</t>
        </is>
      </c>
      <c r="D1225" s="107" t="n"/>
      <c r="E1225" s="108" t="n"/>
      <c r="F1225" s="109">
        <f>IFERROR(D1225*E1225,0)</f>
        <v/>
      </c>
      <c r="G1225" s="106">
        <f>INDEX(SETORES!$B:$B,MATCH(A1225,SETORES!$A:$A,0))</f>
        <v/>
      </c>
      <c r="H1225" s="106" t="inlineStr">
        <is>
          <t>Julho/2026</t>
        </is>
      </c>
    </row>
    <row r="1226" hidden="1" ht="14.25" customHeight="1" s="64">
      <c r="A1226" s="101" t="inlineStr">
        <is>
          <t>Logística</t>
        </is>
      </c>
      <c r="B1226" s="101" t="inlineStr">
        <is>
          <t>Custo Variável</t>
        </is>
      </c>
      <c r="C1226" s="101" t="inlineStr">
        <is>
          <t>Rateio de transporte coletivo</t>
        </is>
      </c>
      <c r="D1226" s="102" t="n">
        <v>14</v>
      </c>
      <c r="E1226" s="103" t="n">
        <v>76.92</v>
      </c>
      <c r="F1226" s="104" t="n">
        <v>1076.88</v>
      </c>
      <c r="G1226" s="101">
        <f>INDEX(SETORES!$B:$B,MATCH(A1226,SETORES!$A:$A,0))</f>
        <v/>
      </c>
      <c r="H1226" s="101" t="inlineStr">
        <is>
          <t>Julho/2026</t>
        </is>
      </c>
    </row>
    <row r="1227" hidden="1" ht="14.25" customHeight="1" s="64">
      <c r="A1227" s="106" t="inlineStr">
        <is>
          <t>Logística</t>
        </is>
      </c>
      <c r="B1227" s="106" t="inlineStr">
        <is>
          <t>Custo Fixo</t>
        </is>
      </c>
      <c r="C1227" s="106" t="inlineStr">
        <is>
          <t>Licença de e-mail corporativo</t>
        </is>
      </c>
      <c r="D1227" s="107" t="n">
        <v>3</v>
      </c>
      <c r="E1227" s="108" t="n">
        <v>50</v>
      </c>
      <c r="F1227" s="109">
        <f>IFERROR(D1227*E1227,0)</f>
        <v/>
      </c>
      <c r="G1227" s="106">
        <f>INDEX(SETORES!$B:$B,MATCH(A1227,SETORES!$A:$A,0))</f>
        <v/>
      </c>
      <c r="H1227" s="106" t="inlineStr">
        <is>
          <t>Julho/2026</t>
        </is>
      </c>
    </row>
    <row r="1228" hidden="1" ht="14.25" customHeight="1" s="64">
      <c r="A1228" s="101" t="inlineStr">
        <is>
          <t>Logística</t>
        </is>
      </c>
      <c r="B1228" s="101" t="inlineStr">
        <is>
          <t>Custo Fixo</t>
        </is>
      </c>
      <c r="C1228" s="101" t="inlineStr">
        <is>
          <t>Impressora</t>
        </is>
      </c>
      <c r="D1228" s="102" t="n">
        <v>1</v>
      </c>
      <c r="E1228" s="103" t="n">
        <v>403.58</v>
      </c>
      <c r="F1228" s="104">
        <f>IFERROR(D1228*E1228,0)</f>
        <v/>
      </c>
      <c r="G1228" s="101">
        <f>INDEX(SETORES!$B:$B,MATCH(A1228,SETORES!$A:$A,0))</f>
        <v/>
      </c>
      <c r="H1228" s="101" t="inlineStr">
        <is>
          <t>Julho/2026</t>
        </is>
      </c>
    </row>
    <row r="1229" hidden="1" ht="14.25" customHeight="1" s="64">
      <c r="A1229" s="106" t="inlineStr">
        <is>
          <t>Logística</t>
        </is>
      </c>
      <c r="B1229" s="106" t="inlineStr">
        <is>
          <t>Custo Fixo</t>
        </is>
      </c>
      <c r="C1229" s="106" t="inlineStr">
        <is>
          <t>Gympass</t>
        </is>
      </c>
      <c r="D1229" s="107" t="n">
        <v>14</v>
      </c>
      <c r="E1229" s="108" t="n">
        <v>9.92</v>
      </c>
      <c r="F1229" s="109" t="n">
        <v>138.88</v>
      </c>
      <c r="G1229" s="106">
        <f>INDEX(SETORES!$B:$B,MATCH(A1229,SETORES!$A:$A,0))</f>
        <v/>
      </c>
      <c r="H1229" s="106" t="inlineStr">
        <is>
          <t>Julho/2026</t>
        </is>
      </c>
    </row>
    <row r="1230" hidden="1" ht="14.25" customHeight="1" s="64">
      <c r="A1230" s="101" t="inlineStr">
        <is>
          <t>Logística</t>
        </is>
      </c>
      <c r="B1230" s="101" t="inlineStr">
        <is>
          <t>Custo Fixo</t>
        </is>
      </c>
      <c r="C1230" s="101" t="inlineStr">
        <is>
          <t>Stargrid</t>
        </is>
      </c>
      <c r="D1230" s="102" t="n">
        <v>14</v>
      </c>
      <c r="E1230" s="103" t="n">
        <v>2.05</v>
      </c>
      <c r="F1230" s="104" t="n">
        <v>28.7</v>
      </c>
      <c r="G1230" s="101">
        <f>INDEX(SETORES!$B:$B,MATCH(A1230,SETORES!$A:$A,0))</f>
        <v/>
      </c>
      <c r="H1230" s="101" t="inlineStr">
        <is>
          <t>Julho/2026</t>
        </is>
      </c>
    </row>
    <row r="1231" hidden="1" ht="14.25" customHeight="1" s="64">
      <c r="A1231" s="106" t="inlineStr">
        <is>
          <t>Manutenção Predial</t>
        </is>
      </c>
      <c r="B1231" s="106" t="inlineStr">
        <is>
          <t>Custo Fixo</t>
        </is>
      </c>
      <c r="C1231" s="106" t="inlineStr">
        <is>
          <t>Material de escritório (suprimentos de informática)</t>
        </is>
      </c>
      <c r="D1231" s="107" t="n"/>
      <c r="E1231" s="108" t="n"/>
      <c r="F1231" s="109" t="n">
        <v>0</v>
      </c>
      <c r="G1231" s="106">
        <f>INDEX(SETORES!$B:$B,MATCH(A1231,SETORES!$A:$A,0))</f>
        <v/>
      </c>
      <c r="H1231" s="106" t="inlineStr">
        <is>
          <t>Julho/2026</t>
        </is>
      </c>
    </row>
    <row r="1232" hidden="1" ht="14.25" customHeight="1" s="64">
      <c r="A1232" s="101" t="inlineStr">
        <is>
          <t>Manutenção Predial</t>
        </is>
      </c>
      <c r="B1232" s="101" t="inlineStr">
        <is>
          <t>Custo Fixo</t>
        </is>
      </c>
      <c r="C1232" s="101" t="inlineStr">
        <is>
          <t>Material de uso coletivo (copa/limpeza)</t>
        </is>
      </c>
      <c r="D1232" s="102" t="n"/>
      <c r="E1232" s="103" t="n"/>
      <c r="F1232" s="104" t="n">
        <v>0</v>
      </c>
      <c r="G1232" s="101">
        <f>INDEX(SETORES!$B:$B,MATCH(A1232,SETORES!$A:$A,0))</f>
        <v/>
      </c>
      <c r="H1232" s="101" t="inlineStr">
        <is>
          <t>Julho/2026</t>
        </is>
      </c>
    </row>
    <row r="1233" hidden="1" ht="14.25" customHeight="1" s="64">
      <c r="A1233" s="106" t="inlineStr">
        <is>
          <t>Manutenção Predial</t>
        </is>
      </c>
      <c r="B1233" s="106" t="inlineStr">
        <is>
          <t>Custo Fixo</t>
        </is>
      </c>
      <c r="C1233" s="106" t="inlineStr">
        <is>
          <t>Telefonia móvel corporativa</t>
        </is>
      </c>
      <c r="D1233" s="107" t="n"/>
      <c r="E1233" s="108" t="n"/>
      <c r="F1233" s="109">
        <f>IFERROR(D1233*E1233,0)</f>
        <v/>
      </c>
      <c r="G1233" s="106">
        <f>INDEX(SETORES!$B:$B,MATCH(A1233,SETORES!$A:$A,0))</f>
        <v/>
      </c>
      <c r="H1233" s="106" t="inlineStr">
        <is>
          <t>Julho/2026</t>
        </is>
      </c>
    </row>
    <row r="1234" hidden="1" ht="14.25" customHeight="1" s="64">
      <c r="A1234" s="101" t="inlineStr">
        <is>
          <t>Manutenção Predial</t>
        </is>
      </c>
      <c r="B1234" s="101" t="inlineStr">
        <is>
          <t>Custo Fixo</t>
        </is>
      </c>
      <c r="C1234" s="101" t="inlineStr">
        <is>
          <t>Folha de pagamento (salários)</t>
        </is>
      </c>
      <c r="D1234" s="102" t="n">
        <v>1</v>
      </c>
      <c r="E1234" s="103" t="n">
        <v>105508.61</v>
      </c>
      <c r="F1234" s="104">
        <f>IFERROR(E1234,0)</f>
        <v/>
      </c>
      <c r="G1234" s="101">
        <f>INDEX(SETORES!$B:$B,MATCH(A1234,SETORES!$A:$A,0))</f>
        <v/>
      </c>
      <c r="H1234" s="101" t="inlineStr">
        <is>
          <t>Julho/2026</t>
        </is>
      </c>
    </row>
    <row r="1235" hidden="1" ht="14.25" customHeight="1" s="64">
      <c r="A1235" s="106" t="inlineStr">
        <is>
          <t>Manutenção Predial</t>
        </is>
      </c>
      <c r="B1235" s="106" t="inlineStr">
        <is>
          <t>Custo Variável</t>
        </is>
      </c>
      <c r="C1235" s="106" t="inlineStr">
        <is>
          <t>Investimento de equipamentos (não patrimoniável)</t>
        </is>
      </c>
      <c r="D1235" s="107" t="n"/>
      <c r="E1235" s="108" t="n"/>
      <c r="F1235" s="109">
        <f>IFERROR(D1235*E1235,0)</f>
        <v/>
      </c>
      <c r="G1235" s="106">
        <f>INDEX(SETORES!$B:$B,MATCH(A1235,SETORES!$A:$A,0))</f>
        <v/>
      </c>
      <c r="H1235" s="106" t="inlineStr">
        <is>
          <t>Julho/2026</t>
        </is>
      </c>
    </row>
    <row r="1236" hidden="1" ht="14.25" customHeight="1" s="64">
      <c r="A1236" s="101" t="inlineStr">
        <is>
          <t>Manutenção Predial</t>
        </is>
      </c>
      <c r="B1236" s="101" t="inlineStr">
        <is>
          <t>Custo Variável</t>
        </is>
      </c>
      <c r="C1236" s="101" t="inlineStr">
        <is>
          <t>EPIs - Equipamento de Proteção Individual</t>
        </is>
      </c>
      <c r="D1236" s="102" t="n">
        <v>1</v>
      </c>
      <c r="E1236" s="103" t="n">
        <v>577.53</v>
      </c>
      <c r="F1236" s="104">
        <f>IFERROR(D1236*E1236,0)</f>
        <v/>
      </c>
      <c r="G1236" s="101">
        <f>INDEX(SETORES!$B:$B,MATCH(A1236,SETORES!$A:$A,0))</f>
        <v/>
      </c>
      <c r="H1236" s="101" t="inlineStr">
        <is>
          <t>Julho/2026</t>
        </is>
      </c>
    </row>
    <row r="1237" hidden="1" ht="14.25" customHeight="1" s="64">
      <c r="A1237" s="106" t="inlineStr">
        <is>
          <t>Manutenção Predial</t>
        </is>
      </c>
      <c r="B1237" s="106" t="inlineStr">
        <is>
          <t>Custo Fixo</t>
        </is>
      </c>
      <c r="C1237" s="106" t="inlineStr">
        <is>
          <t>Licença de e-mail corporativo</t>
        </is>
      </c>
      <c r="D1237" s="107" t="n">
        <v>1</v>
      </c>
      <c r="E1237" s="108" t="n">
        <v>50</v>
      </c>
      <c r="F1237" s="109">
        <f>IFERROR(D1237*E1237,0)</f>
        <v/>
      </c>
      <c r="G1237" s="106">
        <f>INDEX(SETORES!$B:$B,MATCH(A1237,SETORES!$A:$A,0))</f>
        <v/>
      </c>
      <c r="H1237" s="106" t="inlineStr">
        <is>
          <t>Julho/2026</t>
        </is>
      </c>
    </row>
    <row r="1238" hidden="1" ht="14.25" customHeight="1" s="64">
      <c r="A1238" s="101" t="inlineStr">
        <is>
          <t>Manutenção Predial</t>
        </is>
      </c>
      <c r="B1238" s="101" t="inlineStr">
        <is>
          <t>Custo Variável</t>
        </is>
      </c>
      <c r="C1238" s="101" t="inlineStr">
        <is>
          <t>Combustível de frota</t>
        </is>
      </c>
      <c r="D1238" s="102" t="n">
        <v>1</v>
      </c>
      <c r="E1238" s="103" t="n">
        <v>8877.73</v>
      </c>
      <c r="F1238" s="104">
        <f>IFERROR(D1238*E1238,0)</f>
        <v/>
      </c>
      <c r="G1238" s="101">
        <f>INDEX(SETORES!$B:$B,MATCH(A1238,SETORES!$A:$A,0))</f>
        <v/>
      </c>
      <c r="H1238" s="101" t="inlineStr">
        <is>
          <t>Julho/2026</t>
        </is>
      </c>
    </row>
    <row r="1239" hidden="1" ht="14.25" customHeight="1" s="64">
      <c r="A1239" s="106" t="inlineStr">
        <is>
          <t>Manutenção Predial</t>
        </is>
      </c>
      <c r="B1239" s="106" t="inlineStr">
        <is>
          <t>Custo Fixo</t>
        </is>
      </c>
      <c r="C1239" s="106" t="inlineStr">
        <is>
          <t>Gympass</t>
        </is>
      </c>
      <c r="D1239" s="107" t="n">
        <v>13</v>
      </c>
      <c r="E1239" s="108" t="n">
        <v>9.92</v>
      </c>
      <c r="F1239" s="109">
        <f>IFERROR(D1239*E1239,0)</f>
        <v/>
      </c>
      <c r="G1239" s="106">
        <f>INDEX(SETORES!$B:$B,MATCH(A1239,SETORES!$A:$A,0))</f>
        <v/>
      </c>
      <c r="H1239" s="106" t="inlineStr">
        <is>
          <t>Julho/2026</t>
        </is>
      </c>
    </row>
    <row r="1240" hidden="1" ht="14.25" customHeight="1" s="64">
      <c r="A1240" s="101" t="inlineStr">
        <is>
          <t>Manutenção Predial</t>
        </is>
      </c>
      <c r="B1240" s="101" t="inlineStr">
        <is>
          <t>Custo Fixo</t>
        </is>
      </c>
      <c r="C1240" s="101" t="inlineStr">
        <is>
          <t>Stargrid</t>
        </is>
      </c>
      <c r="D1240" s="102" t="n">
        <v>13</v>
      </c>
      <c r="E1240" s="103" t="n">
        <v>2.05</v>
      </c>
      <c r="F1240" s="104">
        <f>IFERROR(D1240*E1240,0)</f>
        <v/>
      </c>
      <c r="G1240" s="101">
        <f>INDEX(SETORES!$B:$B,MATCH(A1240,SETORES!$A:$A,0))</f>
        <v/>
      </c>
      <c r="H1240" s="101" t="inlineStr">
        <is>
          <t>Julho/2026</t>
        </is>
      </c>
    </row>
    <row r="1241" hidden="1" ht="14.25" customHeight="1" s="64">
      <c r="A1241" s="106" t="inlineStr">
        <is>
          <t>NOC</t>
        </is>
      </c>
      <c r="B1241" s="106" t="inlineStr">
        <is>
          <t>Custo Fixo</t>
        </is>
      </c>
      <c r="C1241" s="106" t="inlineStr">
        <is>
          <t>Material de escritório (suprimentos de informática)</t>
        </is>
      </c>
      <c r="D1241" s="107" t="n">
        <v>1</v>
      </c>
      <c r="E1241" s="108" t="n">
        <v>63.1</v>
      </c>
      <c r="F1241" s="109" t="n">
        <v>189.3</v>
      </c>
      <c r="G1241" s="106">
        <f>INDEX(SETORES!$B:$B,MATCH(A1241,SETORES!$A:$A,0))</f>
        <v/>
      </c>
      <c r="H1241" s="106" t="inlineStr">
        <is>
          <t>Julho/2026</t>
        </is>
      </c>
    </row>
    <row r="1242" hidden="1" ht="14.25" customHeight="1" s="64">
      <c r="A1242" s="101" t="inlineStr">
        <is>
          <t>NOC</t>
        </is>
      </c>
      <c r="B1242" s="101" t="inlineStr">
        <is>
          <t>Custo Fixo</t>
        </is>
      </c>
      <c r="C1242" s="101" t="inlineStr">
        <is>
          <t>Material de uso coletivo (copa/limpeza)</t>
        </is>
      </c>
      <c r="D1242" s="102" t="n">
        <v>1</v>
      </c>
      <c r="E1242" s="103" t="n">
        <v>213.49</v>
      </c>
      <c r="F1242" s="104" t="n">
        <v>213.49</v>
      </c>
      <c r="G1242" s="101">
        <f>INDEX(SETORES!$B:$B,MATCH(A1242,SETORES!$A:$A,0))</f>
        <v/>
      </c>
      <c r="H1242" s="101" t="inlineStr">
        <is>
          <t>Julho/2026</t>
        </is>
      </c>
    </row>
    <row r="1243" hidden="1" ht="14.25" customHeight="1" s="64">
      <c r="A1243" s="106" t="inlineStr">
        <is>
          <t>NOC</t>
        </is>
      </c>
      <c r="B1243" s="106" t="inlineStr">
        <is>
          <t>Custo Fixo</t>
        </is>
      </c>
      <c r="C1243" s="106" t="inlineStr">
        <is>
          <t>Energia elétrica (rateio)</t>
        </is>
      </c>
      <c r="D1243" s="107" t="n">
        <v>1</v>
      </c>
      <c r="E1243" s="108" t="n">
        <v>41.365</v>
      </c>
      <c r="F1243" s="109" t="n">
        <v>41.365</v>
      </c>
      <c r="G1243" s="106">
        <f>INDEX(SETORES!$B:$B,MATCH(A1243,SETORES!$A:$A,0))</f>
        <v/>
      </c>
      <c r="H1243" s="106" t="inlineStr">
        <is>
          <t>Julho/2026</t>
        </is>
      </c>
    </row>
    <row r="1244" hidden="1" ht="14.25" customHeight="1" s="64">
      <c r="A1244" s="101" t="inlineStr">
        <is>
          <t>NOC</t>
        </is>
      </c>
      <c r="B1244" s="101" t="inlineStr">
        <is>
          <t>Custo Fixo</t>
        </is>
      </c>
      <c r="C1244" s="101" t="inlineStr">
        <is>
          <t>Água e esgoto (rateio)</t>
        </is>
      </c>
      <c r="D1244" s="102" t="n">
        <v>1</v>
      </c>
      <c r="E1244" s="103" t="n">
        <v>0.1212</v>
      </c>
      <c r="F1244" s="104" t="n">
        <v>0.1212</v>
      </c>
      <c r="G1244" s="101">
        <f>INDEX(SETORES!$B:$B,MATCH(A1244,SETORES!$A:$A,0))</f>
        <v/>
      </c>
      <c r="H1244" s="101" t="inlineStr">
        <is>
          <t>Julho/2026</t>
        </is>
      </c>
    </row>
    <row r="1245" hidden="1" ht="14.25" customHeight="1" s="64">
      <c r="A1245" s="106" t="inlineStr">
        <is>
          <t>NOC</t>
        </is>
      </c>
      <c r="B1245" s="106" t="inlineStr">
        <is>
          <t>Custo Fixo</t>
        </is>
      </c>
      <c r="C1245" s="106" t="inlineStr">
        <is>
          <t>Telefonia móvel corporativa</t>
        </is>
      </c>
      <c r="D1245" s="107" t="n"/>
      <c r="E1245" s="108" t="n"/>
      <c r="F1245" s="109">
        <f>IFERROR(D1245*E1245,0)</f>
        <v/>
      </c>
      <c r="G1245" s="106">
        <f>INDEX(SETORES!$B:$B,MATCH(A1245,SETORES!$A:$A,0))</f>
        <v/>
      </c>
      <c r="H1245" s="106" t="inlineStr">
        <is>
          <t>Julho/2026</t>
        </is>
      </c>
    </row>
    <row r="1246" hidden="1" ht="14.25" customHeight="1" s="64">
      <c r="A1246" s="101" t="inlineStr">
        <is>
          <t>NOC</t>
        </is>
      </c>
      <c r="B1246" s="101" t="inlineStr">
        <is>
          <t>Custo Fixo</t>
        </is>
      </c>
      <c r="C1246" s="101" t="inlineStr">
        <is>
          <t>Folha de pagamento (salários)</t>
        </is>
      </c>
      <c r="D1246" s="102" t="n">
        <v>1</v>
      </c>
      <c r="E1246" s="103" t="n">
        <v>58179.03</v>
      </c>
      <c r="F1246" s="104">
        <f>IFERROR(E1246,0)</f>
        <v/>
      </c>
      <c r="G1246" s="101">
        <f>INDEX(SETORES!$B:$B,MATCH(A1246,SETORES!$A:$A,0))</f>
        <v/>
      </c>
      <c r="H1246" s="101" t="inlineStr">
        <is>
          <t>Julho/2026</t>
        </is>
      </c>
    </row>
    <row r="1247" hidden="1" ht="14.25" customHeight="1" s="64">
      <c r="A1247" s="106" t="inlineStr">
        <is>
          <t>NOC</t>
        </is>
      </c>
      <c r="B1247" s="106" t="inlineStr">
        <is>
          <t>Custo Fixo</t>
        </is>
      </c>
      <c r="C1247" s="106" t="inlineStr">
        <is>
          <t>Licença de e-mail corporativo</t>
        </is>
      </c>
      <c r="D1247" s="107" t="n">
        <v>6</v>
      </c>
      <c r="E1247" s="108" t="n">
        <v>50</v>
      </c>
      <c r="F1247" s="109">
        <f>IFERROR(D1247*E1247,0)</f>
        <v/>
      </c>
      <c r="G1247" s="106">
        <f>INDEX(SETORES!$B:$B,MATCH(A1247,SETORES!$A:$A,0))</f>
        <v/>
      </c>
      <c r="H1247" s="106" t="inlineStr">
        <is>
          <t>Julho/2026</t>
        </is>
      </c>
    </row>
    <row r="1248" hidden="1" ht="14.25" customHeight="1" s="64">
      <c r="A1248" s="101" t="inlineStr">
        <is>
          <t>NOC</t>
        </is>
      </c>
      <c r="B1248" s="101" t="inlineStr">
        <is>
          <t>Custo Variável</t>
        </is>
      </c>
      <c r="C1248" s="101" t="inlineStr">
        <is>
          <t>Combustível de frota</t>
        </is>
      </c>
      <c r="D1248" s="102" t="n">
        <v>1</v>
      </c>
      <c r="E1248" s="103" t="n">
        <v>1999.61</v>
      </c>
      <c r="F1248" s="104">
        <f>IFERROR(D1248*E1248,0)</f>
        <v/>
      </c>
      <c r="G1248" s="101">
        <f>INDEX(SETORES!$B:$B,MATCH(A1248,SETORES!$A:$A,0))</f>
        <v/>
      </c>
      <c r="H1248" s="101" t="inlineStr">
        <is>
          <t>Julho/2026</t>
        </is>
      </c>
    </row>
    <row r="1249" hidden="1" ht="14.25" customHeight="1" s="64">
      <c r="A1249" s="106" t="inlineStr">
        <is>
          <t>NOC</t>
        </is>
      </c>
      <c r="B1249" s="106" t="inlineStr">
        <is>
          <t>Custo Fixo</t>
        </is>
      </c>
      <c r="C1249" s="106" t="inlineStr">
        <is>
          <t>Gympass</t>
        </is>
      </c>
      <c r="D1249" s="107" t="n">
        <v>5</v>
      </c>
      <c r="E1249" s="108" t="n">
        <v>9.92</v>
      </c>
      <c r="F1249" s="109">
        <f>IFERROR(D1249*E1249,0)</f>
        <v/>
      </c>
      <c r="G1249" s="106">
        <f>INDEX(SETORES!$B:$B,MATCH(A1249,SETORES!$A:$A,0))</f>
        <v/>
      </c>
      <c r="H1249" s="106" t="inlineStr">
        <is>
          <t>Julho/2026</t>
        </is>
      </c>
    </row>
    <row r="1250" hidden="1" ht="14.25" customHeight="1" s="64">
      <c r="A1250" s="101" t="inlineStr">
        <is>
          <t>NOC</t>
        </is>
      </c>
      <c r="B1250" s="101" t="inlineStr">
        <is>
          <t>Custo Fixo</t>
        </is>
      </c>
      <c r="C1250" s="101" t="inlineStr">
        <is>
          <t>Stargrid</t>
        </is>
      </c>
      <c r="D1250" s="102" t="n">
        <v>5</v>
      </c>
      <c r="E1250" s="103" t="n">
        <v>2.05</v>
      </c>
      <c r="F1250" s="104">
        <f>IFERROR(D1250*E1250,0)</f>
        <v/>
      </c>
      <c r="G1250" s="101">
        <f>INDEX(SETORES!$B:$B,MATCH(A1250,SETORES!$A:$A,0))</f>
        <v/>
      </c>
      <c r="H1250" s="101" t="inlineStr">
        <is>
          <t>Julho/2026</t>
        </is>
      </c>
    </row>
    <row r="1251" hidden="1" ht="14.25" customHeight="1" s="64">
      <c r="A1251" s="106" t="inlineStr">
        <is>
          <t>NRC</t>
        </is>
      </c>
      <c r="B1251" s="106" t="inlineStr">
        <is>
          <t>Custo Fixo</t>
        </is>
      </c>
      <c r="C1251" s="106" t="inlineStr">
        <is>
          <t>Material de escritório (suprimentos de informática)</t>
        </is>
      </c>
      <c r="D1251" s="107" t="n">
        <v>43</v>
      </c>
      <c r="E1251" s="108" t="n">
        <v>0.9851</v>
      </c>
      <c r="F1251" s="109" t="n">
        <v>42.3593</v>
      </c>
      <c r="G1251" s="106">
        <f>INDEX(SETORES!$B:$B,MATCH(A1251,SETORES!$A:$A,0))</f>
        <v/>
      </c>
      <c r="H1251" s="106" t="inlineStr">
        <is>
          <t>Julho/2026</t>
        </is>
      </c>
    </row>
    <row r="1252" hidden="1" ht="14.25" customHeight="1" s="64">
      <c r="A1252" s="101" t="inlineStr">
        <is>
          <t>NRC</t>
        </is>
      </c>
      <c r="B1252" s="101" t="inlineStr">
        <is>
          <t>Custo Fixo</t>
        </is>
      </c>
      <c r="C1252" s="101" t="inlineStr">
        <is>
          <t>Material de uso coletivo (copa/limpeza)</t>
        </is>
      </c>
      <c r="D1252" s="102" t="n">
        <v>1</v>
      </c>
      <c r="E1252" s="103" t="n">
        <v>1287.462295</v>
      </c>
      <c r="F1252" s="104" t="n">
        <v>1287.462295</v>
      </c>
      <c r="G1252" s="101">
        <f>INDEX(SETORES!$B:$B,MATCH(A1252,SETORES!$A:$A,0))</f>
        <v/>
      </c>
      <c r="H1252" s="101" t="inlineStr">
        <is>
          <t>Julho/2026</t>
        </is>
      </c>
    </row>
    <row r="1253" hidden="1" ht="14.25" customHeight="1" s="64">
      <c r="A1253" s="106" t="inlineStr">
        <is>
          <t>NRC</t>
        </is>
      </c>
      <c r="B1253" s="106" t="inlineStr">
        <is>
          <t>Custo Fixo</t>
        </is>
      </c>
      <c r="C1253" s="106" t="inlineStr">
        <is>
          <t>Energia elétrica (rateio)</t>
        </is>
      </c>
      <c r="D1253" s="107" t="n">
        <v>1</v>
      </c>
      <c r="E1253" s="108" t="n">
        <v>355.739</v>
      </c>
      <c r="F1253" s="109" t="n">
        <v>355.739</v>
      </c>
      <c r="G1253" s="106">
        <f>INDEX(SETORES!$B:$B,MATCH(A1253,SETORES!$A:$A,0))</f>
        <v/>
      </c>
      <c r="H1253" s="106" t="inlineStr">
        <is>
          <t>Julho/2026</t>
        </is>
      </c>
    </row>
    <row r="1254" hidden="1" ht="14.25" customHeight="1" s="64">
      <c r="A1254" s="101" t="inlineStr">
        <is>
          <t>NRC</t>
        </is>
      </c>
      <c r="B1254" s="101" t="inlineStr">
        <is>
          <t>Custo Fixo</t>
        </is>
      </c>
      <c r="C1254" s="101" t="inlineStr">
        <is>
          <t>Água e esgoto (rateio)</t>
        </is>
      </c>
      <c r="D1254" s="102" t="n">
        <v>1</v>
      </c>
      <c r="E1254" s="103" t="n">
        <v>1.0427</v>
      </c>
      <c r="F1254" s="104" t="n">
        <v>1.0427</v>
      </c>
      <c r="G1254" s="101">
        <f>INDEX(SETORES!$B:$B,MATCH(A1254,SETORES!$A:$A,0))</f>
        <v/>
      </c>
      <c r="H1254" s="101" t="inlineStr">
        <is>
          <t>Julho/2026</t>
        </is>
      </c>
    </row>
    <row r="1255" hidden="1" ht="14.25" customHeight="1" s="64">
      <c r="A1255" s="106" t="inlineStr">
        <is>
          <t>NRC</t>
        </is>
      </c>
      <c r="B1255" s="106" t="inlineStr">
        <is>
          <t>Custo Fixo</t>
        </is>
      </c>
      <c r="C1255" s="106" t="inlineStr">
        <is>
          <t>Telefonia móvel corporativa</t>
        </is>
      </c>
      <c r="D1255" s="107" t="n"/>
      <c r="E1255" s="108" t="n"/>
      <c r="F1255" s="109">
        <f>IFERROR(D1255*E1255,0)</f>
        <v/>
      </c>
      <c r="G1255" s="106">
        <f>INDEX(SETORES!$B:$B,MATCH(A1255,SETORES!$A:$A,0))</f>
        <v/>
      </c>
      <c r="H1255" s="106" t="inlineStr">
        <is>
          <t>Julho/2026</t>
        </is>
      </c>
    </row>
    <row r="1256" hidden="1" ht="14.25" customHeight="1" s="64">
      <c r="A1256" s="101" t="inlineStr">
        <is>
          <t>NRC</t>
        </is>
      </c>
      <c r="B1256" s="101" t="inlineStr">
        <is>
          <t>Custo Fixo</t>
        </is>
      </c>
      <c r="C1256" s="101" t="inlineStr">
        <is>
          <t>Folha de pagamento (salários)</t>
        </is>
      </c>
      <c r="D1256" s="102" t="n">
        <v>1</v>
      </c>
      <c r="E1256" s="103" t="n">
        <v>142024.07</v>
      </c>
      <c r="F1256" s="104">
        <f>IFERROR(E1256,0)</f>
        <v/>
      </c>
      <c r="G1256" s="101">
        <f>INDEX(SETORES!$B:$B,MATCH(A1256,SETORES!$A:$A,0))</f>
        <v/>
      </c>
      <c r="H1256" s="101" t="inlineStr">
        <is>
          <t>Julho/2026</t>
        </is>
      </c>
    </row>
    <row r="1257" hidden="1" ht="14.25" customHeight="1" s="64">
      <c r="A1257" s="106" t="inlineStr">
        <is>
          <t>NRC</t>
        </is>
      </c>
      <c r="B1257" s="106" t="inlineStr">
        <is>
          <t>Custo Fixo</t>
        </is>
      </c>
      <c r="C1257" s="106" t="inlineStr">
        <is>
          <t>Licenças de software/sistemas corporativos</t>
        </is>
      </c>
      <c r="D1257" s="107" t="n"/>
      <c r="E1257" s="108" t="n"/>
      <c r="F1257" s="109">
        <f>IFERROR(D1257*E1257,0)</f>
        <v/>
      </c>
      <c r="G1257" s="106">
        <f>INDEX(SETORES!$B:$B,MATCH(A1257,SETORES!$A:$A,0))</f>
        <v/>
      </c>
      <c r="H1257" s="106" t="inlineStr">
        <is>
          <t>Julho/2026</t>
        </is>
      </c>
    </row>
    <row r="1258" hidden="1" ht="14.25" customHeight="1" s="64">
      <c r="A1258" s="101" t="inlineStr">
        <is>
          <t>NRC</t>
        </is>
      </c>
      <c r="B1258" s="101" t="inlineStr">
        <is>
          <t>Custo Variável</t>
        </is>
      </c>
      <c r="C1258" s="101" t="inlineStr">
        <is>
          <t>Fardamento novo</t>
        </is>
      </c>
      <c r="D1258" s="102" t="n"/>
      <c r="E1258" s="103" t="n"/>
      <c r="F1258" s="104">
        <f>IFERROR(D1258*E1258,0)</f>
        <v/>
      </c>
      <c r="G1258" s="101">
        <f>INDEX(SETORES!$B:$B,MATCH(A1258,SETORES!$A:$A,0))</f>
        <v/>
      </c>
      <c r="H1258" s="101" t="inlineStr">
        <is>
          <t>Julho/2026</t>
        </is>
      </c>
    </row>
    <row r="1259" hidden="1" ht="14.25" customHeight="1" s="64">
      <c r="A1259" s="106" t="inlineStr">
        <is>
          <t>NRC</t>
        </is>
      </c>
      <c r="B1259" s="106" t="inlineStr">
        <is>
          <t>Custo Variável</t>
        </is>
      </c>
      <c r="C1259" s="106" t="inlineStr">
        <is>
          <t>Fardamento substituição</t>
        </is>
      </c>
      <c r="D1259" s="107" t="n"/>
      <c r="E1259" s="108" t="n"/>
      <c r="F1259" s="109">
        <f>IFERROR(D1259*E1259,0)</f>
        <v/>
      </c>
      <c r="G1259" s="106">
        <f>INDEX(SETORES!$B:$B,MATCH(A1259,SETORES!$A:$A,0))</f>
        <v/>
      </c>
      <c r="H1259" s="106" t="inlineStr">
        <is>
          <t>Julho/2026</t>
        </is>
      </c>
    </row>
    <row r="1260" hidden="1" ht="14.25" customHeight="1" s="64">
      <c r="A1260" s="101" t="inlineStr">
        <is>
          <t>NRC</t>
        </is>
      </c>
      <c r="B1260" s="101" t="inlineStr">
        <is>
          <t>Custo Variável</t>
        </is>
      </c>
      <c r="C1260" s="101" t="inlineStr">
        <is>
          <t>Rescisões trabalhistas</t>
        </is>
      </c>
      <c r="D1260" s="102" t="n">
        <v>1</v>
      </c>
      <c r="E1260" s="103" t="n">
        <v>7086.44</v>
      </c>
      <c r="F1260" s="104">
        <f>IFERROR(D1260*E1260,0)</f>
        <v/>
      </c>
      <c r="G1260" s="101">
        <f>INDEX(SETORES!$B:$B,MATCH(A1260,SETORES!$A:$A,0))</f>
        <v/>
      </c>
      <c r="H1260" s="101" t="inlineStr">
        <is>
          <t>Julho/2026</t>
        </is>
      </c>
    </row>
    <row r="1261" hidden="1" ht="14.25" customHeight="1" s="64">
      <c r="A1261" s="106" t="inlineStr">
        <is>
          <t>NRC</t>
        </is>
      </c>
      <c r="B1261" s="106" t="inlineStr">
        <is>
          <t>Custo Fixo</t>
        </is>
      </c>
      <c r="C1261" s="106" t="inlineStr">
        <is>
          <t>Licença de e-mail corporativo</t>
        </is>
      </c>
      <c r="D1261" s="107" t="n">
        <v>7</v>
      </c>
      <c r="E1261" s="108" t="n">
        <v>50</v>
      </c>
      <c r="F1261" s="109">
        <f>IFERROR(D1261*E1261,0)</f>
        <v/>
      </c>
      <c r="G1261" s="106">
        <f>INDEX(SETORES!$B:$B,MATCH(A1261,SETORES!$A:$A,0))</f>
        <v/>
      </c>
      <c r="H1261" s="106" t="inlineStr">
        <is>
          <t>Julho/2026</t>
        </is>
      </c>
    </row>
    <row r="1262" hidden="1" ht="14.25" customHeight="1" s="64">
      <c r="A1262" s="101" t="inlineStr">
        <is>
          <t>NRC</t>
        </is>
      </c>
      <c r="B1262" s="101" t="inlineStr">
        <is>
          <t>Custo Fixo</t>
        </is>
      </c>
      <c r="C1262" s="101" t="inlineStr">
        <is>
          <t>Software MATRIX (rateio equipe Relacionamento)</t>
        </is>
      </c>
      <c r="D1262" s="102" t="n">
        <v>1</v>
      </c>
      <c r="E1262" s="103" t="n">
        <v>2379.739841</v>
      </c>
      <c r="F1262" s="104">
        <f>IFERROR(D1262*E1262,0)</f>
        <v/>
      </c>
      <c r="G1262" s="101">
        <f>INDEX(SETORES!$B:$B,MATCH(A1262,SETORES!$A:$A,0))</f>
        <v/>
      </c>
      <c r="H1262" s="101" t="inlineStr">
        <is>
          <t>Julho/2026</t>
        </is>
      </c>
    </row>
    <row r="1263" hidden="1" ht="14.25" customHeight="1" s="64">
      <c r="A1263" s="106" t="inlineStr">
        <is>
          <t>NRC</t>
        </is>
      </c>
      <c r="B1263" s="106" t="inlineStr">
        <is>
          <t>Custo Fixo</t>
        </is>
      </c>
      <c r="C1263" s="106" t="inlineStr">
        <is>
          <t>Impressora (rateio equipe Relacionamento)</t>
        </is>
      </c>
      <c r="D1263" s="107" t="n">
        <v>1</v>
      </c>
      <c r="E1263" s="108" t="n">
        <v>9.022948</v>
      </c>
      <c r="F1263" s="109">
        <f>IFERROR(D1263*E1263,0)</f>
        <v/>
      </c>
      <c r="G1263" s="106">
        <f>INDEX(SETORES!$B:$B,MATCH(A1263,SETORES!$A:$A,0))</f>
        <v/>
      </c>
      <c r="H1263" s="106" t="inlineStr">
        <is>
          <t>Julho/2026</t>
        </is>
      </c>
    </row>
    <row r="1264" hidden="1" ht="14.25" customHeight="1" s="64">
      <c r="A1264" s="101" t="inlineStr">
        <is>
          <t>NRC</t>
        </is>
      </c>
      <c r="B1264" s="101" t="inlineStr">
        <is>
          <t>Custo Fixo</t>
        </is>
      </c>
      <c r="C1264" s="101" t="inlineStr">
        <is>
          <t>Gympass</t>
        </is>
      </c>
      <c r="D1264" s="102" t="n">
        <v>43</v>
      </c>
      <c r="E1264" s="103" t="n">
        <v>9.92</v>
      </c>
      <c r="F1264" s="104">
        <f>IFERROR(D1264*E1264,0)</f>
        <v/>
      </c>
      <c r="G1264" s="101">
        <f>INDEX(SETORES!$B:$B,MATCH(A1264,SETORES!$A:$A,0))</f>
        <v/>
      </c>
      <c r="H1264" s="101" t="inlineStr">
        <is>
          <t>Julho/2026</t>
        </is>
      </c>
    </row>
    <row r="1265" hidden="1" ht="14.25" customHeight="1" s="64">
      <c r="A1265" s="106" t="inlineStr">
        <is>
          <t>NRC</t>
        </is>
      </c>
      <c r="B1265" s="106" t="inlineStr">
        <is>
          <t>Custo Fixo</t>
        </is>
      </c>
      <c r="C1265" s="106" t="inlineStr">
        <is>
          <t>Stargrid</t>
        </is>
      </c>
      <c r="D1265" s="107" t="n">
        <v>43</v>
      </c>
      <c r="E1265" s="108" t="n">
        <v>2.05</v>
      </c>
      <c r="F1265" s="109">
        <f>IFERROR(D1265*E1265,0)</f>
        <v/>
      </c>
      <c r="G1265" s="106">
        <f>INDEX(SETORES!$B:$B,MATCH(A1265,SETORES!$A:$A,0))</f>
        <v/>
      </c>
      <c r="H1265" s="106" t="inlineStr">
        <is>
          <t>Julho/2026</t>
        </is>
      </c>
    </row>
    <row r="1266" hidden="1" ht="14.25" customHeight="1" s="64">
      <c r="A1266" s="101" t="inlineStr">
        <is>
          <t>Obras</t>
        </is>
      </c>
      <c r="B1266" s="101" t="inlineStr">
        <is>
          <t>Custo Fixo</t>
        </is>
      </c>
      <c r="C1266" s="101" t="inlineStr">
        <is>
          <t>Telefonia móvel corporativa</t>
        </is>
      </c>
      <c r="D1266" s="102" t="n"/>
      <c r="E1266" s="103" t="n"/>
      <c r="F1266" s="104">
        <f>IFERROR(D1266*E1266,0)</f>
        <v/>
      </c>
      <c r="G1266" s="101">
        <f>INDEX(SETORES!$B:$B,MATCH(A1266,SETORES!$A:$A,0))</f>
        <v/>
      </c>
      <c r="H1266" s="101" t="inlineStr">
        <is>
          <t>Julho/2026</t>
        </is>
      </c>
    </row>
    <row r="1267" hidden="1" ht="14.25" customHeight="1" s="64">
      <c r="A1267" s="106" t="inlineStr">
        <is>
          <t>Obras</t>
        </is>
      </c>
      <c r="B1267" s="106" t="inlineStr">
        <is>
          <t>Custo Fixo</t>
        </is>
      </c>
      <c r="C1267" s="106" t="inlineStr">
        <is>
          <t>Folha de pagamento (salários)</t>
        </is>
      </c>
      <c r="D1267" s="107" t="n">
        <v>1</v>
      </c>
      <c r="E1267" s="108" t="n">
        <v>154792.47</v>
      </c>
      <c r="F1267" s="109">
        <f>IFERROR(E1267,0)</f>
        <v/>
      </c>
      <c r="G1267" s="106">
        <f>INDEX(SETORES!$B:$B,MATCH(A1267,SETORES!$A:$A,0))</f>
        <v/>
      </c>
      <c r="H1267" s="106" t="inlineStr">
        <is>
          <t>Julho/2026</t>
        </is>
      </c>
    </row>
    <row r="1268" hidden="1" ht="14.25" customHeight="1" s="64">
      <c r="A1268" s="101" t="inlineStr">
        <is>
          <t>Obras</t>
        </is>
      </c>
      <c r="B1268" s="101" t="inlineStr">
        <is>
          <t>Custo Variável</t>
        </is>
      </c>
      <c r="C1268" s="101" t="inlineStr">
        <is>
          <t>Investimento de equipamentos (não patrimoniável)</t>
        </is>
      </c>
      <c r="D1268" s="102" t="n"/>
      <c r="E1268" s="103" t="n"/>
      <c r="F1268" s="104">
        <f>IFERROR(D1268*E1268,0)</f>
        <v/>
      </c>
      <c r="G1268" s="101">
        <f>INDEX(SETORES!$B:$B,MATCH(A1268,SETORES!$A:$A,0))</f>
        <v/>
      </c>
      <c r="H1268" s="101" t="inlineStr">
        <is>
          <t>Julho/2026</t>
        </is>
      </c>
    </row>
    <row r="1269" hidden="1" ht="14.25" customHeight="1" s="64">
      <c r="A1269" s="106" t="inlineStr">
        <is>
          <t>Obras</t>
        </is>
      </c>
      <c r="B1269" s="106" t="inlineStr">
        <is>
          <t>Custo Variável</t>
        </is>
      </c>
      <c r="C1269" s="106" t="inlineStr">
        <is>
          <t>EPIs - Equipamento de Proteção Individual</t>
        </is>
      </c>
      <c r="D1269" s="107" t="n">
        <v>1</v>
      </c>
      <c r="E1269" s="108" t="n">
        <v>749.1</v>
      </c>
      <c r="F1269" s="109">
        <f>IFERROR(D1269*E1269,0)</f>
        <v/>
      </c>
      <c r="G1269" s="106">
        <f>INDEX(SETORES!$B:$B,MATCH(A1269,SETORES!$A:$A,0))</f>
        <v/>
      </c>
      <c r="H1269" s="106" t="inlineStr">
        <is>
          <t>Julho/2026</t>
        </is>
      </c>
    </row>
    <row r="1270" hidden="1" ht="14.25" customHeight="1" s="64">
      <c r="A1270" s="101" t="inlineStr">
        <is>
          <t>Obras</t>
        </is>
      </c>
      <c r="B1270" s="101" t="inlineStr">
        <is>
          <t>Custo Variável</t>
        </is>
      </c>
      <c r="C1270" s="101" t="inlineStr">
        <is>
          <t>Rescisões trabalhistas</t>
        </is>
      </c>
      <c r="D1270" s="102" t="n">
        <v>1</v>
      </c>
      <c r="E1270" s="103" t="n">
        <v>8704.799999999999</v>
      </c>
      <c r="F1270" s="104">
        <f>IFERROR(D1270*E1270,0)</f>
        <v/>
      </c>
      <c r="G1270" s="101">
        <f>INDEX(SETORES!$B:$B,MATCH(A1270,SETORES!$A:$A,0))</f>
        <v/>
      </c>
      <c r="H1270" s="101" t="inlineStr">
        <is>
          <t>Julho/2026</t>
        </is>
      </c>
    </row>
    <row r="1271" hidden="1" ht="14.25" customHeight="1" s="64">
      <c r="A1271" s="106" t="inlineStr">
        <is>
          <t>Obras</t>
        </is>
      </c>
      <c r="B1271" s="106" t="inlineStr">
        <is>
          <t>Custo Fixo</t>
        </is>
      </c>
      <c r="C1271" s="106" t="inlineStr">
        <is>
          <t>Licença de e-mail corporativo</t>
        </is>
      </c>
      <c r="D1271" s="107" t="n"/>
      <c r="E1271" s="108" t="n"/>
      <c r="F1271" s="109">
        <f>IFERROR(D1271*E1271,0)</f>
        <v/>
      </c>
      <c r="G1271" s="106">
        <f>INDEX(SETORES!$B:$B,MATCH(A1271,SETORES!$A:$A,0))</f>
        <v/>
      </c>
      <c r="H1271" s="106" t="inlineStr">
        <is>
          <t>Julho/2026</t>
        </is>
      </c>
    </row>
    <row r="1272" hidden="1" ht="14.25" customHeight="1" s="64">
      <c r="A1272" s="101" t="inlineStr">
        <is>
          <t>Obras</t>
        </is>
      </c>
      <c r="B1272" s="101" t="inlineStr">
        <is>
          <t>Custo Variável</t>
        </is>
      </c>
      <c r="C1272" s="101" t="inlineStr">
        <is>
          <t>Combustível de frota</t>
        </is>
      </c>
      <c r="D1272" s="102" t="n">
        <v>1</v>
      </c>
      <c r="E1272" s="103" t="n">
        <v>11003.74</v>
      </c>
      <c r="F1272" s="104">
        <f>IFERROR(D1272*E1272,0)</f>
        <v/>
      </c>
      <c r="G1272" s="101">
        <f>INDEX(SETORES!$B:$B,MATCH(A1272,SETORES!$A:$A,0))</f>
        <v/>
      </c>
      <c r="H1272" s="101" t="inlineStr">
        <is>
          <t>Julho/2026</t>
        </is>
      </c>
    </row>
    <row r="1273" hidden="1" ht="14.25" customHeight="1" s="64">
      <c r="A1273" s="106" t="inlineStr">
        <is>
          <t>Obras</t>
        </is>
      </c>
      <c r="B1273" s="106" t="inlineStr">
        <is>
          <t>Custo Fixo</t>
        </is>
      </c>
      <c r="C1273" s="106" t="inlineStr">
        <is>
          <t>Gympass</t>
        </is>
      </c>
      <c r="D1273" s="107" t="n">
        <v>23</v>
      </c>
      <c r="E1273" s="108" t="n">
        <v>9.92</v>
      </c>
      <c r="F1273" s="109">
        <f>IFERROR(D1273*E1273,0)</f>
        <v/>
      </c>
      <c r="G1273" s="106">
        <f>INDEX(SETORES!$B:$B,MATCH(A1273,SETORES!$A:$A,0))</f>
        <v/>
      </c>
      <c r="H1273" s="106" t="inlineStr">
        <is>
          <t>Julho/2026</t>
        </is>
      </c>
    </row>
    <row r="1274" hidden="1" ht="14.25" customHeight="1" s="64">
      <c r="A1274" s="101" t="inlineStr">
        <is>
          <t>Obras</t>
        </is>
      </c>
      <c r="B1274" s="101" t="inlineStr">
        <is>
          <t>Custo Fixo</t>
        </is>
      </c>
      <c r="C1274" s="101" t="inlineStr">
        <is>
          <t>Stargrid</t>
        </is>
      </c>
      <c r="D1274" s="102" t="n">
        <v>23</v>
      </c>
      <c r="E1274" s="103" t="n">
        <v>2.05</v>
      </c>
      <c r="F1274" s="104">
        <f>IFERROR(D1274*E1274,0)</f>
        <v/>
      </c>
      <c r="G1274" s="101">
        <f>INDEX(SETORES!$B:$B,MATCH(A1274,SETORES!$A:$A,0))</f>
        <v/>
      </c>
      <c r="H1274" s="101" t="inlineStr">
        <is>
          <t>Julho/2026</t>
        </is>
      </c>
    </row>
    <row r="1275" hidden="1" ht="14.25" customHeight="1" s="64">
      <c r="A1275" s="106" t="inlineStr">
        <is>
          <t>Oficina</t>
        </is>
      </c>
      <c r="B1275" s="106" t="inlineStr">
        <is>
          <t>Custo Fixo</t>
        </is>
      </c>
      <c r="C1275" s="106" t="inlineStr">
        <is>
          <t>Material de escritório (suprimentos de informática)</t>
        </is>
      </c>
      <c r="D1275" s="107" t="n"/>
      <c r="E1275" s="108" t="n"/>
      <c r="F1275" s="109" t="n">
        <v>0</v>
      </c>
      <c r="G1275" s="106">
        <f>INDEX(SETORES!$B:$B,MATCH(A1275,SETORES!$A:$A,0))</f>
        <v/>
      </c>
      <c r="H1275" s="106" t="inlineStr">
        <is>
          <t>Julho/2026</t>
        </is>
      </c>
    </row>
    <row r="1276" hidden="1" ht="14.25" customHeight="1" s="64">
      <c r="A1276" s="101" t="inlineStr">
        <is>
          <t>Oficina</t>
        </is>
      </c>
      <c r="B1276" s="101" t="inlineStr">
        <is>
          <t>Custo Fixo</t>
        </is>
      </c>
      <c r="C1276" s="101" t="inlineStr">
        <is>
          <t>Material de uso coletivo (copa/limpeza)</t>
        </is>
      </c>
      <c r="D1276" s="102" t="n"/>
      <c r="E1276" s="103" t="n"/>
      <c r="F1276" s="104" t="n">
        <v>0</v>
      </c>
      <c r="G1276" s="101">
        <f>INDEX(SETORES!$B:$B,MATCH(A1276,SETORES!$A:$A,0))</f>
        <v/>
      </c>
      <c r="H1276" s="101" t="inlineStr">
        <is>
          <t>Julho/2026</t>
        </is>
      </c>
    </row>
    <row r="1277" hidden="1" ht="14.25" customHeight="1" s="64">
      <c r="A1277" s="106" t="inlineStr">
        <is>
          <t>Oficina</t>
        </is>
      </c>
      <c r="B1277" s="106" t="inlineStr">
        <is>
          <t>Custo Fixo</t>
        </is>
      </c>
      <c r="C1277" s="106" t="inlineStr">
        <is>
          <t>Software da oficina (soutech soluções)</t>
        </is>
      </c>
      <c r="D1277" s="107" t="n">
        <v>1</v>
      </c>
      <c r="E1277" s="108" t="n">
        <v>1800</v>
      </c>
      <c r="F1277" s="109">
        <f>IFERROR(D1277*E1277,0)</f>
        <v/>
      </c>
      <c r="G1277" s="106">
        <f>INDEX(SETORES!$B:$B,MATCH(A1277,SETORES!$A:$A,0))</f>
        <v/>
      </c>
      <c r="H1277" s="106" t="inlineStr">
        <is>
          <t>Julho/2026</t>
        </is>
      </c>
    </row>
    <row r="1278" hidden="1" ht="14.25" customHeight="1" s="64">
      <c r="A1278" s="101" t="inlineStr">
        <is>
          <t>Oficina</t>
        </is>
      </c>
      <c r="B1278" s="101" t="inlineStr">
        <is>
          <t>Custo Fixo</t>
        </is>
      </c>
      <c r="C1278" s="101" t="inlineStr">
        <is>
          <t>Energia elétrica (rateio)</t>
        </is>
      </c>
      <c r="D1278" s="102" t="n">
        <v>4</v>
      </c>
      <c r="E1278" s="103" t="n">
        <v>21.2582</v>
      </c>
      <c r="F1278" s="104" t="n">
        <v>85.03279999999999</v>
      </c>
      <c r="G1278" s="101">
        <f>INDEX(SETORES!$B:$B,MATCH(A1278,SETORES!$A:$A,0))</f>
        <v/>
      </c>
      <c r="H1278" s="101" t="inlineStr">
        <is>
          <t>Julho/2026</t>
        </is>
      </c>
    </row>
    <row r="1279" hidden="1" ht="14.25" customHeight="1" s="64">
      <c r="A1279" s="106" t="inlineStr">
        <is>
          <t>Oficina</t>
        </is>
      </c>
      <c r="B1279" s="106" t="inlineStr">
        <is>
          <t>Custo Fixo</t>
        </is>
      </c>
      <c r="C1279" s="106" t="inlineStr">
        <is>
          <t>Água e esgoto (rateio)</t>
        </is>
      </c>
      <c r="D1279" s="107" t="n">
        <v>4</v>
      </c>
      <c r="E1279" s="108" t="n">
        <v>3.3247</v>
      </c>
      <c r="F1279" s="109" t="n">
        <v>13.2988</v>
      </c>
      <c r="G1279" s="106">
        <f>INDEX(SETORES!$B:$B,MATCH(A1279,SETORES!$A:$A,0))</f>
        <v/>
      </c>
      <c r="H1279" s="106" t="inlineStr">
        <is>
          <t>Julho/2026</t>
        </is>
      </c>
    </row>
    <row r="1280" hidden="1" ht="14.25" customHeight="1" s="64">
      <c r="A1280" s="101" t="inlineStr">
        <is>
          <t>Oficina</t>
        </is>
      </c>
      <c r="B1280" s="101" t="inlineStr">
        <is>
          <t>Custo Fixo</t>
        </is>
      </c>
      <c r="C1280" s="101" t="inlineStr">
        <is>
          <t>Telefonia móvel corporativa</t>
        </is>
      </c>
      <c r="D1280" s="102" t="n"/>
      <c r="E1280" s="103" t="n"/>
      <c r="F1280" s="104">
        <f>IFERROR(D1280*E1280,0)</f>
        <v/>
      </c>
      <c r="G1280" s="101">
        <f>INDEX(SETORES!$B:$B,MATCH(A1280,SETORES!$A:$A,0))</f>
        <v/>
      </c>
      <c r="H1280" s="101" t="inlineStr">
        <is>
          <t>Julho/2026</t>
        </is>
      </c>
    </row>
    <row r="1281" hidden="1" ht="14.25" customHeight="1" s="64">
      <c r="A1281" s="106" t="inlineStr">
        <is>
          <t>Oficina</t>
        </is>
      </c>
      <c r="B1281" s="106" t="inlineStr">
        <is>
          <t>Custo Fixo</t>
        </is>
      </c>
      <c r="C1281" s="106" t="inlineStr">
        <is>
          <t>Folha de pagamento (salários)</t>
        </is>
      </c>
      <c r="D1281" s="107" t="n">
        <v>1</v>
      </c>
      <c r="E1281" s="108" t="n">
        <v>23068.3</v>
      </c>
      <c r="F1281" s="109">
        <f>IFERROR(E1281,0)</f>
        <v/>
      </c>
      <c r="G1281" s="106">
        <f>INDEX(SETORES!$B:$B,MATCH(A1281,SETORES!$A:$A,0))</f>
        <v/>
      </c>
      <c r="H1281" s="106" t="inlineStr">
        <is>
          <t>Julho/2026</t>
        </is>
      </c>
    </row>
    <row r="1282" hidden="1" ht="14.25" customHeight="1" s="64">
      <c r="A1282" s="101" t="inlineStr">
        <is>
          <t>Oficina</t>
        </is>
      </c>
      <c r="B1282" s="101" t="inlineStr">
        <is>
          <t>Custo Variável</t>
        </is>
      </c>
      <c r="C1282" s="101" t="inlineStr">
        <is>
          <t>Combustível de frota</t>
        </is>
      </c>
      <c r="D1282" s="102" t="n">
        <v>1</v>
      </c>
      <c r="E1282" s="103" t="n">
        <v>55.05</v>
      </c>
      <c r="F1282" s="104">
        <f>IFERROR(D1282*E1282,0)</f>
        <v/>
      </c>
      <c r="G1282" s="101">
        <f>INDEX(SETORES!$B:$B,MATCH(A1282,SETORES!$A:$A,0))</f>
        <v/>
      </c>
      <c r="H1282" s="101" t="inlineStr">
        <is>
          <t>Julho/2026</t>
        </is>
      </c>
    </row>
    <row r="1283" hidden="1" ht="14.25" customHeight="1" s="64">
      <c r="A1283" s="106" t="inlineStr">
        <is>
          <t>Oficina</t>
        </is>
      </c>
      <c r="B1283" s="106" t="inlineStr">
        <is>
          <t>Custo Variável</t>
        </is>
      </c>
      <c r="C1283" s="106" t="inlineStr">
        <is>
          <t>Manutenção de veículos</t>
        </is>
      </c>
      <c r="D1283" s="107" t="n"/>
      <c r="E1283" s="108" t="n"/>
      <c r="F1283" s="109">
        <f>IFERROR(D1283*E1283,0)</f>
        <v/>
      </c>
      <c r="G1283" s="106">
        <f>INDEX(SETORES!$B:$B,MATCH(A1283,SETORES!$A:$A,0))</f>
        <v/>
      </c>
      <c r="H1283" s="106" t="inlineStr">
        <is>
          <t>Julho/2026</t>
        </is>
      </c>
    </row>
    <row r="1284" hidden="1" ht="14.25" customHeight="1" s="64">
      <c r="A1284" s="101" t="inlineStr">
        <is>
          <t>Oficina</t>
        </is>
      </c>
      <c r="B1284" s="101" t="inlineStr">
        <is>
          <t>Custo Variável</t>
        </is>
      </c>
      <c r="C1284" s="101" t="inlineStr">
        <is>
          <t>Rateio de transporte coletivo</t>
        </is>
      </c>
      <c r="D1284" s="102" t="n">
        <v>4</v>
      </c>
      <c r="E1284" s="103" t="n">
        <v>76.92</v>
      </c>
      <c r="F1284" s="104">
        <f>IFERROR(D1284*E1284,0)</f>
        <v/>
      </c>
      <c r="G1284" s="101">
        <f>INDEX(SETORES!$B:$B,MATCH(A1284,SETORES!$A:$A,0))</f>
        <v/>
      </c>
      <c r="H1284" s="101" t="inlineStr">
        <is>
          <t>Julho/2026</t>
        </is>
      </c>
    </row>
    <row r="1285" hidden="1" ht="14.25" customHeight="1" s="64">
      <c r="A1285" s="106" t="inlineStr">
        <is>
          <t>Oficina</t>
        </is>
      </c>
      <c r="B1285" s="106" t="inlineStr">
        <is>
          <t>Custo Fixo</t>
        </is>
      </c>
      <c r="C1285" s="106" t="inlineStr">
        <is>
          <t>Gympass</t>
        </is>
      </c>
      <c r="D1285" s="107" t="n">
        <v>4</v>
      </c>
      <c r="E1285" s="108" t="n">
        <v>9.92</v>
      </c>
      <c r="F1285" s="109">
        <f>IFERROR(D1285*E1285,0)</f>
        <v/>
      </c>
      <c r="G1285" s="106">
        <f>INDEX(SETORES!$B:$B,MATCH(A1285,SETORES!$A:$A,0))</f>
        <v/>
      </c>
      <c r="H1285" s="106" t="inlineStr">
        <is>
          <t>Julho/2026</t>
        </is>
      </c>
    </row>
    <row r="1286" hidden="1" ht="14.25" customHeight="1" s="64">
      <c r="A1286" s="101" t="inlineStr">
        <is>
          <t>Oficina</t>
        </is>
      </c>
      <c r="B1286" s="101" t="inlineStr">
        <is>
          <t>Custo Fixo</t>
        </is>
      </c>
      <c r="C1286" s="101" t="inlineStr">
        <is>
          <t>Stargrid</t>
        </is>
      </c>
      <c r="D1286" s="102" t="n">
        <v>4</v>
      </c>
      <c r="E1286" s="103" t="n">
        <v>2.05</v>
      </c>
      <c r="F1286" s="104">
        <f>IFERROR(D1286*E1286,0)</f>
        <v/>
      </c>
      <c r="G1286" s="101">
        <f>INDEX(SETORES!$B:$B,MATCH(A1286,SETORES!$A:$A,0))</f>
        <v/>
      </c>
      <c r="H1286" s="101" t="inlineStr">
        <is>
          <t>Julho/2026</t>
        </is>
      </c>
    </row>
    <row r="1287" hidden="1" ht="14.25" customHeight="1" s="64">
      <c r="A1287" s="106" t="inlineStr">
        <is>
          <t>RH</t>
        </is>
      </c>
      <c r="B1287" s="106" t="inlineStr">
        <is>
          <t>Custo Fixo</t>
        </is>
      </c>
      <c r="C1287" s="106" t="inlineStr">
        <is>
          <t>Material de escritório (suprimentos de informática)</t>
        </is>
      </c>
      <c r="D1287" s="107" t="n"/>
      <c r="E1287" s="108" t="n"/>
      <c r="F1287" s="109" t="n">
        <v>0</v>
      </c>
      <c r="G1287" s="106">
        <f>INDEX(SETORES!$B:$B,MATCH(A1287,SETORES!$A:$A,0))</f>
        <v/>
      </c>
      <c r="H1287" s="106" t="inlineStr">
        <is>
          <t>Julho/2026</t>
        </is>
      </c>
    </row>
    <row r="1288" hidden="1" ht="14.25" customHeight="1" s="64">
      <c r="A1288" s="101" t="inlineStr">
        <is>
          <t>RH</t>
        </is>
      </c>
      <c r="B1288" s="101" t="inlineStr">
        <is>
          <t>Custo Fixo</t>
        </is>
      </c>
      <c r="C1288" s="101" t="inlineStr">
        <is>
          <t>Material de uso coletivo (copa/limpeza)</t>
        </is>
      </c>
      <c r="D1288" s="102" t="n">
        <v>1</v>
      </c>
      <c r="E1288" s="103" t="n">
        <v>59.24</v>
      </c>
      <c r="F1288" s="104" t="n">
        <v>59.24</v>
      </c>
      <c r="G1288" s="101">
        <f>INDEX(SETORES!$B:$B,MATCH(A1288,SETORES!$A:$A,0))</f>
        <v/>
      </c>
      <c r="H1288" s="101" t="inlineStr">
        <is>
          <t>Julho/2026</t>
        </is>
      </c>
    </row>
    <row r="1289" hidden="1" ht="14.25" customHeight="1" s="64">
      <c r="A1289" s="106" t="inlineStr">
        <is>
          <t>RH</t>
        </is>
      </c>
      <c r="B1289" s="106" t="inlineStr">
        <is>
          <t>Custo Fixo</t>
        </is>
      </c>
      <c r="C1289" s="106" t="inlineStr">
        <is>
          <t>Energia elétrica (rateio)</t>
        </is>
      </c>
      <c r="D1289" s="107" t="n">
        <v>1</v>
      </c>
      <c r="E1289" s="108" t="n">
        <v>49.638</v>
      </c>
      <c r="F1289" s="109" t="n">
        <v>49.638</v>
      </c>
      <c r="G1289" s="106">
        <f>INDEX(SETORES!$B:$B,MATCH(A1289,SETORES!$A:$A,0))</f>
        <v/>
      </c>
      <c r="H1289" s="106" t="inlineStr">
        <is>
          <t>Julho/2026</t>
        </is>
      </c>
    </row>
    <row r="1290" hidden="1" ht="14.25" customHeight="1" s="64">
      <c r="A1290" s="101" t="inlineStr">
        <is>
          <t>RH</t>
        </is>
      </c>
      <c r="B1290" s="101" t="inlineStr">
        <is>
          <t>Custo Fixo</t>
        </is>
      </c>
      <c r="C1290" s="101" t="inlineStr">
        <is>
          <t>Água e esgoto (rateio)</t>
        </is>
      </c>
      <c r="D1290" s="102" t="n">
        <v>1</v>
      </c>
      <c r="E1290" s="103" t="n">
        <v>0.1455</v>
      </c>
      <c r="F1290" s="104" t="n">
        <v>0.1455</v>
      </c>
      <c r="G1290" s="101">
        <f>INDEX(SETORES!$B:$B,MATCH(A1290,SETORES!$A:$A,0))</f>
        <v/>
      </c>
      <c r="H1290" s="101" t="inlineStr">
        <is>
          <t>Julho/2026</t>
        </is>
      </c>
    </row>
    <row r="1291" hidden="1" ht="14.25" customHeight="1" s="64">
      <c r="A1291" s="106" t="inlineStr">
        <is>
          <t>RH</t>
        </is>
      </c>
      <c r="B1291" s="106" t="inlineStr">
        <is>
          <t>Custo Fixo</t>
        </is>
      </c>
      <c r="C1291" s="106" t="inlineStr">
        <is>
          <t>Telefonia móvel corporativa</t>
        </is>
      </c>
      <c r="D1291" s="107" t="n"/>
      <c r="E1291" s="108" t="n"/>
      <c r="F1291" s="109">
        <f>IFERROR(D1291*E1291,0)</f>
        <v/>
      </c>
      <c r="G1291" s="106">
        <f>INDEX(SETORES!$B:$B,MATCH(A1291,SETORES!$A:$A,0))</f>
        <v/>
      </c>
      <c r="H1291" s="106" t="inlineStr">
        <is>
          <t>Julho/2026</t>
        </is>
      </c>
    </row>
    <row r="1292" hidden="1" ht="14.25" customHeight="1" s="64">
      <c r="A1292" s="101" t="inlineStr">
        <is>
          <t>RH</t>
        </is>
      </c>
      <c r="B1292" s="101" t="inlineStr">
        <is>
          <t>Custo Fixo</t>
        </is>
      </c>
      <c r="C1292" s="101" t="inlineStr">
        <is>
          <t>Folha de pagamento (salários)</t>
        </is>
      </c>
      <c r="D1292" s="102" t="n">
        <v>1</v>
      </c>
      <c r="E1292" s="103" t="n">
        <v>30249.56</v>
      </c>
      <c r="F1292" s="104">
        <f>IFERROR(E1292,0)</f>
        <v/>
      </c>
      <c r="G1292" s="101">
        <f>INDEX(SETORES!$B:$B,MATCH(A1292,SETORES!$A:$A,0))</f>
        <v/>
      </c>
      <c r="H1292" s="101" t="inlineStr">
        <is>
          <t>Julho/2026</t>
        </is>
      </c>
    </row>
    <row r="1293" hidden="1" ht="14.25" customHeight="1" s="64">
      <c r="A1293" s="106" t="inlineStr">
        <is>
          <t>RH</t>
        </is>
      </c>
      <c r="B1293" s="106" t="inlineStr">
        <is>
          <t>Custo Variável</t>
        </is>
      </c>
      <c r="C1293" s="106" t="inlineStr">
        <is>
          <t>Fardamento novo (compra corporativa)</t>
        </is>
      </c>
      <c r="D1293" s="107" t="n">
        <v>4</v>
      </c>
      <c r="E1293" s="108" t="n">
        <v>45</v>
      </c>
      <c r="F1293" s="109">
        <f>IFERROR(D1293*E1293,0)</f>
        <v/>
      </c>
      <c r="G1293" s="106">
        <f>INDEX(SETORES!$B:$B,MATCH(A1293,SETORES!$A:$A,0))</f>
        <v/>
      </c>
      <c r="H1293" s="106" t="inlineStr">
        <is>
          <t>Julho/2026</t>
        </is>
      </c>
    </row>
    <row r="1294" hidden="1" ht="14.25" customHeight="1" s="64">
      <c r="A1294" s="101" t="inlineStr">
        <is>
          <t>RH</t>
        </is>
      </c>
      <c r="B1294" s="101" t="inlineStr">
        <is>
          <t>Custo Variável</t>
        </is>
      </c>
      <c r="C1294" s="101" t="inlineStr">
        <is>
          <t>Fardamento substituição (compra corporativa)</t>
        </is>
      </c>
      <c r="D1294" s="102" t="n"/>
      <c r="E1294" s="103" t="n"/>
      <c r="F1294" s="104">
        <f>IFERROR(D1294*E1294,0)</f>
        <v/>
      </c>
      <c r="G1294" s="101">
        <f>INDEX(SETORES!$B:$B,MATCH(A1294,SETORES!$A:$A,0))</f>
        <v/>
      </c>
      <c r="H1294" s="101" t="inlineStr">
        <is>
          <t>Julho/2026</t>
        </is>
      </c>
    </row>
    <row r="1295" hidden="1" ht="14.25" customHeight="1" s="64">
      <c r="A1295" s="106" t="inlineStr">
        <is>
          <t>RH</t>
        </is>
      </c>
      <c r="B1295" s="106" t="inlineStr">
        <is>
          <t>Custo Fixo</t>
        </is>
      </c>
      <c r="C1295" s="106" t="inlineStr">
        <is>
          <t>Treinamento e capacitação</t>
        </is>
      </c>
      <c r="D1295" s="107" t="n"/>
      <c r="E1295" s="108" t="n"/>
      <c r="F1295" s="109">
        <f>IFERROR(D1295*E1295,0)</f>
        <v/>
      </c>
      <c r="G1295" s="106">
        <f>INDEX(SETORES!$B:$B,MATCH(A1295,SETORES!$A:$A,0))</f>
        <v/>
      </c>
      <c r="H1295" s="106" t="inlineStr">
        <is>
          <t>Julho/2026</t>
        </is>
      </c>
    </row>
    <row r="1296" hidden="1" ht="14.25" customHeight="1" s="64">
      <c r="A1296" s="101" t="inlineStr">
        <is>
          <t>RH</t>
        </is>
      </c>
      <c r="B1296" s="101" t="inlineStr">
        <is>
          <t>Custo Variável</t>
        </is>
      </c>
      <c r="C1296" s="101" t="inlineStr">
        <is>
          <t>Recrutamento e seleção</t>
        </is>
      </c>
      <c r="D1296" s="102" t="n"/>
      <c r="E1296" s="103" t="n"/>
      <c r="F1296" s="104">
        <f>IFERROR(D1296*E1296,0)</f>
        <v/>
      </c>
      <c r="G1296" s="101">
        <f>INDEX(SETORES!$B:$B,MATCH(A1296,SETORES!$A:$A,0))</f>
        <v/>
      </c>
      <c r="H1296" s="101" t="inlineStr">
        <is>
          <t>Julho/2026</t>
        </is>
      </c>
    </row>
    <row r="1297" hidden="1" ht="14.25" customHeight="1" s="64">
      <c r="A1297" s="106" t="inlineStr">
        <is>
          <t>RH</t>
        </is>
      </c>
      <c r="B1297" s="106" t="inlineStr">
        <is>
          <t>Custo Fixo</t>
        </is>
      </c>
      <c r="C1297" s="106" t="inlineStr">
        <is>
          <t>Ações de endomarketing</t>
        </is>
      </c>
      <c r="D1297" s="107" t="n"/>
      <c r="E1297" s="108" t="n"/>
      <c r="F1297" s="109">
        <f>IFERROR(D1297*E1297,0)</f>
        <v/>
      </c>
      <c r="G1297" s="106">
        <f>INDEX(SETORES!$B:$B,MATCH(A1297,SETORES!$A:$A,0))</f>
        <v/>
      </c>
      <c r="H1297" s="106" t="inlineStr">
        <is>
          <t>Julho/2026</t>
        </is>
      </c>
    </row>
    <row r="1298" hidden="1" ht="14.25" customHeight="1" s="64">
      <c r="A1298" s="101" t="inlineStr">
        <is>
          <t>RH</t>
        </is>
      </c>
      <c r="B1298" s="101" t="inlineStr">
        <is>
          <t>Custo Fixo</t>
        </is>
      </c>
      <c r="C1298" s="101" t="inlineStr">
        <is>
          <t>Pesquisa de clima organizacional</t>
        </is>
      </c>
      <c r="D1298" s="102" t="n"/>
      <c r="E1298" s="103" t="n"/>
      <c r="F1298" s="104">
        <f>IFERROR(D1298*E1298,0)</f>
        <v/>
      </c>
      <c r="G1298" s="101">
        <f>INDEX(SETORES!$B:$B,MATCH(A1298,SETORES!$A:$A,0))</f>
        <v/>
      </c>
      <c r="H1298" s="101" t="inlineStr">
        <is>
          <t>Julho/2026</t>
        </is>
      </c>
    </row>
    <row r="1299" hidden="1" ht="14.25" customHeight="1" s="64">
      <c r="A1299" s="106" t="inlineStr">
        <is>
          <t>RH</t>
        </is>
      </c>
      <c r="B1299" s="106" t="inlineStr">
        <is>
          <t>Custo Fixo</t>
        </is>
      </c>
      <c r="C1299" s="106" t="inlineStr">
        <is>
          <t>Licença de e-mail corporativo</t>
        </is>
      </c>
      <c r="D1299" s="107" t="n">
        <v>6</v>
      </c>
      <c r="E1299" s="108" t="n">
        <v>50</v>
      </c>
      <c r="F1299" s="109">
        <f>IFERROR(D1299*E1299,0)</f>
        <v/>
      </c>
      <c r="G1299" s="106">
        <f>INDEX(SETORES!$B:$B,MATCH(A1299,SETORES!$A:$A,0))</f>
        <v/>
      </c>
      <c r="H1299" s="106" t="inlineStr">
        <is>
          <t>Julho/2026</t>
        </is>
      </c>
    </row>
    <row r="1300" hidden="1" ht="14.25" customHeight="1" s="64">
      <c r="A1300" s="101" t="inlineStr">
        <is>
          <t>RH</t>
        </is>
      </c>
      <c r="B1300" s="101" t="inlineStr">
        <is>
          <t>Custo Fixo</t>
        </is>
      </c>
      <c r="C1300" s="101" t="inlineStr">
        <is>
          <t>Impressora</t>
        </is>
      </c>
      <c r="D1300" s="102" t="n">
        <v>1</v>
      </c>
      <c r="E1300" s="103" t="n">
        <v>5.882352</v>
      </c>
      <c r="F1300" s="104">
        <f>IFERROR(D1300*E1300,0)</f>
        <v/>
      </c>
      <c r="G1300" s="101">
        <f>INDEX(SETORES!$B:$B,MATCH(A1300,SETORES!$A:$A,0))</f>
        <v/>
      </c>
      <c r="H1300" s="101" t="inlineStr">
        <is>
          <t>Julho/2026</t>
        </is>
      </c>
    </row>
    <row r="1301" hidden="1" ht="14.25" customHeight="1" s="64">
      <c r="A1301" s="106" t="inlineStr">
        <is>
          <t>RH</t>
        </is>
      </c>
      <c r="B1301" s="106" t="inlineStr">
        <is>
          <t>Custo Fixo</t>
        </is>
      </c>
      <c r="C1301" s="106" t="inlineStr">
        <is>
          <t>Gympass</t>
        </is>
      </c>
      <c r="D1301" s="107" t="n">
        <v>6</v>
      </c>
      <c r="E1301" s="108" t="n">
        <v>9.92</v>
      </c>
      <c r="F1301" s="109">
        <f>IFERROR(D1301*E1301,0)</f>
        <v/>
      </c>
      <c r="G1301" s="106">
        <f>INDEX(SETORES!$B:$B,MATCH(A1301,SETORES!$A:$A,0))</f>
        <v/>
      </c>
      <c r="H1301" s="106" t="inlineStr">
        <is>
          <t>Julho/2026</t>
        </is>
      </c>
    </row>
    <row r="1302" hidden="1" ht="14.25" customHeight="1" s="64">
      <c r="A1302" s="101" t="inlineStr">
        <is>
          <t>RH</t>
        </is>
      </c>
      <c r="B1302" s="101" t="inlineStr">
        <is>
          <t>Custo Fixo</t>
        </is>
      </c>
      <c r="C1302" s="101" t="inlineStr">
        <is>
          <t>Stargrid</t>
        </is>
      </c>
      <c r="D1302" s="102" t="n">
        <v>6</v>
      </c>
      <c r="E1302" s="103" t="n">
        <v>2.05</v>
      </c>
      <c r="F1302" s="104">
        <f>IFERROR(D1302*E1302,0)</f>
        <v/>
      </c>
      <c r="G1302" s="101">
        <f>INDEX(SETORES!$B:$B,MATCH(A1302,SETORES!$A:$A,0))</f>
        <v/>
      </c>
      <c r="H1302" s="101" t="inlineStr">
        <is>
          <t>Julho/2026</t>
        </is>
      </c>
    </row>
    <row r="1303" hidden="1" ht="14.25" customHeight="1" s="64">
      <c r="A1303" s="106" t="inlineStr">
        <is>
          <t>Retenção</t>
        </is>
      </c>
      <c r="B1303" s="106" t="inlineStr">
        <is>
          <t>Custo Fixo</t>
        </is>
      </c>
      <c r="C1303" s="106" t="inlineStr">
        <is>
          <t>Material de escritório (suprimentos de informática)</t>
        </is>
      </c>
      <c r="D1303" s="107" t="n">
        <v>12</v>
      </c>
      <c r="E1303" s="108" t="n">
        <v>0.9851</v>
      </c>
      <c r="F1303" s="109" t="n">
        <v>11.8212</v>
      </c>
      <c r="G1303" s="106">
        <f>INDEX(SETORES!$B:$B,MATCH(A1303,SETORES!$A:$A,0))</f>
        <v/>
      </c>
      <c r="H1303" s="106" t="inlineStr">
        <is>
          <t>Julho/2026</t>
        </is>
      </c>
    </row>
    <row r="1304" hidden="1" ht="14.25" customHeight="1" s="64">
      <c r="A1304" s="101" t="inlineStr">
        <is>
          <t>Retenção</t>
        </is>
      </c>
      <c r="B1304" s="101" t="inlineStr">
        <is>
          <t>Custo Fixo</t>
        </is>
      </c>
      <c r="C1304" s="101" t="inlineStr">
        <is>
          <t>Material de uso coletivo (copa/limpeza)</t>
        </is>
      </c>
      <c r="D1304" s="102" t="n">
        <v>1</v>
      </c>
      <c r="E1304" s="103" t="n">
        <v>359.291803</v>
      </c>
      <c r="F1304" s="104" t="n">
        <v>359.291803</v>
      </c>
      <c r="G1304" s="101">
        <f>INDEX(SETORES!$B:$B,MATCH(A1304,SETORES!$A:$A,0))</f>
        <v/>
      </c>
      <c r="H1304" s="101" t="inlineStr">
        <is>
          <t>Julho/2026</t>
        </is>
      </c>
    </row>
    <row r="1305" hidden="1" ht="14.25" customHeight="1" s="64">
      <c r="A1305" s="106" t="inlineStr">
        <is>
          <t>Retenção</t>
        </is>
      </c>
      <c r="B1305" s="106" t="inlineStr">
        <is>
          <t>Custo Fixo</t>
        </is>
      </c>
      <c r="C1305" s="106" t="inlineStr">
        <is>
          <t>Energia elétrica (rateio)</t>
        </is>
      </c>
      <c r="D1305" s="107" t="n">
        <v>1</v>
      </c>
      <c r="E1305" s="108" t="n">
        <v>99.276</v>
      </c>
      <c r="F1305" s="109" t="n">
        <v>99.276</v>
      </c>
      <c r="G1305" s="106">
        <f>INDEX(SETORES!$B:$B,MATCH(A1305,SETORES!$A:$A,0))</f>
        <v/>
      </c>
      <c r="H1305" s="106" t="inlineStr">
        <is>
          <t>Julho/2026</t>
        </is>
      </c>
    </row>
    <row r="1306" hidden="1" ht="14.25" customHeight="1" s="64">
      <c r="A1306" s="101" t="inlineStr">
        <is>
          <t>Retenção</t>
        </is>
      </c>
      <c r="B1306" s="101" t="inlineStr">
        <is>
          <t>Custo Fixo</t>
        </is>
      </c>
      <c r="C1306" s="101" t="inlineStr">
        <is>
          <t>Água e esgoto (rateio)</t>
        </is>
      </c>
      <c r="D1306" s="102" t="n">
        <v>1</v>
      </c>
      <c r="E1306" s="103" t="n">
        <v>0.291</v>
      </c>
      <c r="F1306" s="104" t="n">
        <v>0.291</v>
      </c>
      <c r="G1306" s="101">
        <f>INDEX(SETORES!$B:$B,MATCH(A1306,SETORES!$A:$A,0))</f>
        <v/>
      </c>
      <c r="H1306" s="101" t="inlineStr">
        <is>
          <t>Julho/2026</t>
        </is>
      </c>
    </row>
    <row r="1307" hidden="1" ht="14.25" customHeight="1" s="64">
      <c r="A1307" s="106" t="inlineStr">
        <is>
          <t>Retenção</t>
        </is>
      </c>
      <c r="B1307" s="106" t="inlineStr">
        <is>
          <t>Custo Fixo</t>
        </is>
      </c>
      <c r="C1307" s="106" t="inlineStr">
        <is>
          <t>Telefonia móvel corporativa</t>
        </is>
      </c>
      <c r="D1307" s="107" t="n"/>
      <c r="E1307" s="108" t="n"/>
      <c r="F1307" s="109">
        <f>IFERROR(D1307*E1307,0)</f>
        <v/>
      </c>
      <c r="G1307" s="106">
        <f>INDEX(SETORES!$B:$B,MATCH(A1307,SETORES!$A:$A,0))</f>
        <v/>
      </c>
      <c r="H1307" s="106" t="inlineStr">
        <is>
          <t>Julho/2026</t>
        </is>
      </c>
    </row>
    <row r="1308" hidden="1" ht="14.25" customHeight="1" s="64">
      <c r="A1308" s="101" t="inlineStr">
        <is>
          <t>Retenção</t>
        </is>
      </c>
      <c r="B1308" s="101" t="inlineStr">
        <is>
          <t>Custo Fixo</t>
        </is>
      </c>
      <c r="C1308" s="101" t="inlineStr">
        <is>
          <t>Folha de pagamento (salários)</t>
        </is>
      </c>
      <c r="D1308" s="102" t="n">
        <v>1</v>
      </c>
      <c r="E1308" s="103" t="n">
        <v>38376.56</v>
      </c>
      <c r="F1308" s="104">
        <f>IFERROR(E1308,0)</f>
        <v/>
      </c>
      <c r="G1308" s="101">
        <f>INDEX(SETORES!$B:$B,MATCH(A1308,SETORES!$A:$A,0))</f>
        <v/>
      </c>
      <c r="H1308" s="101" t="inlineStr">
        <is>
          <t>Julho/2026</t>
        </is>
      </c>
    </row>
    <row r="1309" hidden="1" ht="14.25" customHeight="1" s="64">
      <c r="A1309" s="106" t="inlineStr">
        <is>
          <t>Retenção</t>
        </is>
      </c>
      <c r="B1309" s="106" t="inlineStr">
        <is>
          <t>Custo Variável</t>
        </is>
      </c>
      <c r="C1309" s="106" t="inlineStr">
        <is>
          <t>Fardamento novo</t>
        </is>
      </c>
      <c r="D1309" s="107" t="n"/>
      <c r="E1309" s="108" t="n"/>
      <c r="F1309" s="109">
        <f>IFERROR(D1309*E1309,0)</f>
        <v/>
      </c>
      <c r="G1309" s="106">
        <f>INDEX(SETORES!$B:$B,MATCH(A1309,SETORES!$A:$A,0))</f>
        <v/>
      </c>
      <c r="H1309" s="106" t="inlineStr">
        <is>
          <t>Julho/2026</t>
        </is>
      </c>
    </row>
    <row r="1310" hidden="1" ht="14.25" customHeight="1" s="64">
      <c r="A1310" s="101" t="inlineStr">
        <is>
          <t>Retenção</t>
        </is>
      </c>
      <c r="B1310" s="101" t="inlineStr">
        <is>
          <t>Custo Variável</t>
        </is>
      </c>
      <c r="C1310" s="101" t="inlineStr">
        <is>
          <t>Fardamento substituição</t>
        </is>
      </c>
      <c r="D1310" s="102" t="n"/>
      <c r="E1310" s="103" t="n"/>
      <c r="F1310" s="104">
        <f>IFERROR(D1310*E1310,0)</f>
        <v/>
      </c>
      <c r="G1310" s="101">
        <f>INDEX(SETORES!$B:$B,MATCH(A1310,SETORES!$A:$A,0))</f>
        <v/>
      </c>
      <c r="H1310" s="101" t="inlineStr">
        <is>
          <t>Julho/2026</t>
        </is>
      </c>
    </row>
    <row r="1311" hidden="1" ht="14.25" customHeight="1" s="64">
      <c r="A1311" s="106" t="inlineStr">
        <is>
          <t>Retenção</t>
        </is>
      </c>
      <c r="B1311" s="106" t="inlineStr">
        <is>
          <t>Custo Variável</t>
        </is>
      </c>
      <c r="C1311" s="106" t="inlineStr">
        <is>
          <t>Rescisões trabalhistas</t>
        </is>
      </c>
      <c r="D1311" s="107" t="n">
        <v>1</v>
      </c>
      <c r="E1311" s="108" t="n">
        <v>10389.2</v>
      </c>
      <c r="F1311" s="109">
        <f>IFERROR(D1311*E1311,0)</f>
        <v/>
      </c>
      <c r="G1311" s="106">
        <f>INDEX(SETORES!$B:$B,MATCH(A1311,SETORES!$A:$A,0))</f>
        <v/>
      </c>
      <c r="H1311" s="106" t="inlineStr">
        <is>
          <t>Julho/2026</t>
        </is>
      </c>
    </row>
    <row r="1312" hidden="1" ht="14.25" customHeight="1" s="64">
      <c r="A1312" s="101" t="inlineStr">
        <is>
          <t>Retenção</t>
        </is>
      </c>
      <c r="B1312" s="101" t="inlineStr">
        <is>
          <t>Custo Fixo</t>
        </is>
      </c>
      <c r="C1312" s="101" t="inlineStr">
        <is>
          <t>Licença de e-mail corporativo</t>
        </is>
      </c>
      <c r="D1312" s="102" t="n">
        <v>2</v>
      </c>
      <c r="E1312" s="103" t="n">
        <v>50</v>
      </c>
      <c r="F1312" s="104">
        <f>IFERROR(D1312*E1312,0)</f>
        <v/>
      </c>
      <c r="G1312" s="101">
        <f>INDEX(SETORES!$B:$B,MATCH(A1312,SETORES!$A:$A,0))</f>
        <v/>
      </c>
      <c r="H1312" s="101" t="inlineStr">
        <is>
          <t>Julho/2026</t>
        </is>
      </c>
    </row>
    <row r="1313" hidden="1" ht="14.25" customHeight="1" s="64">
      <c r="A1313" s="106" t="inlineStr">
        <is>
          <t>Retenção</t>
        </is>
      </c>
      <c r="B1313" s="106" t="inlineStr">
        <is>
          <t>Custo Fixo</t>
        </is>
      </c>
      <c r="C1313" s="106" t="inlineStr">
        <is>
          <t>Software MATRIX (rateio equipe Relacionamento)</t>
        </is>
      </c>
      <c r="D1313" s="107" t="n">
        <v>1</v>
      </c>
      <c r="E1313" s="108" t="n">
        <v>664.113444</v>
      </c>
      <c r="F1313" s="109">
        <f>IFERROR(D1313*E1313,0)</f>
        <v/>
      </c>
      <c r="G1313" s="106">
        <f>INDEX(SETORES!$B:$B,MATCH(A1313,SETORES!$A:$A,0))</f>
        <v/>
      </c>
      <c r="H1313" s="106" t="inlineStr">
        <is>
          <t>Julho/2026</t>
        </is>
      </c>
    </row>
    <row r="1314" hidden="1" ht="14.25" customHeight="1" s="64">
      <c r="A1314" s="101" t="inlineStr">
        <is>
          <t>Retenção</t>
        </is>
      </c>
      <c r="B1314" s="101" t="inlineStr">
        <is>
          <t>Custo Fixo</t>
        </is>
      </c>
      <c r="C1314" s="101" t="inlineStr">
        <is>
          <t>Impressora (rateio equipe Relacionamento)</t>
        </is>
      </c>
      <c r="D1314" s="102" t="n">
        <v>1</v>
      </c>
      <c r="E1314" s="103" t="n">
        <v>2.518032</v>
      </c>
      <c r="F1314" s="104">
        <f>IFERROR(D1314*E1314,0)</f>
        <v/>
      </c>
      <c r="G1314" s="101">
        <f>INDEX(SETORES!$B:$B,MATCH(A1314,SETORES!$A:$A,0))</f>
        <v/>
      </c>
      <c r="H1314" s="101" t="inlineStr">
        <is>
          <t>Julho/2026</t>
        </is>
      </c>
    </row>
    <row r="1315" hidden="1" ht="14.25" customHeight="1" s="64">
      <c r="A1315" s="106" t="inlineStr">
        <is>
          <t>Retenção</t>
        </is>
      </c>
      <c r="B1315" s="106" t="inlineStr">
        <is>
          <t>Custo Fixo</t>
        </is>
      </c>
      <c r="C1315" s="106" t="inlineStr">
        <is>
          <t>Gympass</t>
        </is>
      </c>
      <c r="D1315" s="107" t="n">
        <v>12</v>
      </c>
      <c r="E1315" s="108" t="n">
        <v>9.92</v>
      </c>
      <c r="F1315" s="109">
        <f>IFERROR(D1315*E1315,0)</f>
        <v/>
      </c>
      <c r="G1315" s="106">
        <f>INDEX(SETORES!$B:$B,MATCH(A1315,SETORES!$A:$A,0))</f>
        <v/>
      </c>
      <c r="H1315" s="106" t="inlineStr">
        <is>
          <t>Julho/2026</t>
        </is>
      </c>
    </row>
    <row r="1316" hidden="1" ht="14.25" customHeight="1" s="64">
      <c r="A1316" s="101" t="inlineStr">
        <is>
          <t>Retenção</t>
        </is>
      </c>
      <c r="B1316" s="101" t="inlineStr">
        <is>
          <t>Custo Fixo</t>
        </is>
      </c>
      <c r="C1316" s="101" t="inlineStr">
        <is>
          <t>Stargrid</t>
        </is>
      </c>
      <c r="D1316" s="102" t="n">
        <v>12</v>
      </c>
      <c r="E1316" s="103" t="n">
        <v>2.05</v>
      </c>
      <c r="F1316" s="104">
        <f>IFERROR(D1316*E1316,0)</f>
        <v/>
      </c>
      <c r="G1316" s="101">
        <f>INDEX(SETORES!$B:$B,MATCH(A1316,SETORES!$A:$A,0))</f>
        <v/>
      </c>
      <c r="H1316" s="101" t="inlineStr">
        <is>
          <t>Julho/2026</t>
        </is>
      </c>
    </row>
    <row r="1317" hidden="1" ht="14.25" customHeight="1" s="64">
      <c r="A1317" s="106" t="inlineStr">
        <is>
          <t>Segurança do Trabalho</t>
        </is>
      </c>
      <c r="B1317" s="106" t="inlineStr">
        <is>
          <t>Custo Fixo</t>
        </is>
      </c>
      <c r="C1317" s="106" t="inlineStr">
        <is>
          <t>Material de escritório (suprimentos de informática)</t>
        </is>
      </c>
      <c r="D1317" s="107" t="n"/>
      <c r="E1317" s="108" t="n"/>
      <c r="F1317" s="109" t="n">
        <v>0</v>
      </c>
      <c r="G1317" s="106">
        <f>INDEX(SETORES!$B:$B,MATCH(A1317,SETORES!$A:$A,0))</f>
        <v/>
      </c>
      <c r="H1317" s="106" t="inlineStr">
        <is>
          <t>Julho/2026</t>
        </is>
      </c>
    </row>
    <row r="1318" hidden="1" ht="14.25" customHeight="1" s="64">
      <c r="A1318" s="101" t="inlineStr">
        <is>
          <t>Segurança do Trabalho</t>
        </is>
      </c>
      <c r="B1318" s="101" t="inlineStr">
        <is>
          <t>Custo Fixo</t>
        </is>
      </c>
      <c r="C1318" s="101" t="inlineStr">
        <is>
          <t>Material de uso coletivo (copa/limpeza)</t>
        </is>
      </c>
      <c r="D1318" s="102" t="n"/>
      <c r="E1318" s="103" t="n"/>
      <c r="F1318" s="104" t="n">
        <v>0</v>
      </c>
      <c r="G1318" s="101">
        <f>INDEX(SETORES!$B:$B,MATCH(A1318,SETORES!$A:$A,0))</f>
        <v/>
      </c>
      <c r="H1318" s="101" t="inlineStr">
        <is>
          <t>Julho/2026</t>
        </is>
      </c>
    </row>
    <row r="1319" hidden="1" ht="14.25" customHeight="1" s="64">
      <c r="A1319" s="106" t="inlineStr">
        <is>
          <t>Segurança do Trabalho</t>
        </is>
      </c>
      <c r="B1319" s="106" t="inlineStr">
        <is>
          <t>Custo Fixo</t>
        </is>
      </c>
      <c r="C1319" s="106" t="inlineStr">
        <is>
          <t>Energia elétrica (rateio)</t>
        </is>
      </c>
      <c r="D1319" s="107" t="n">
        <v>9</v>
      </c>
      <c r="E1319" s="108" t="n">
        <v>21.2582</v>
      </c>
      <c r="F1319" s="109" t="n">
        <v>191.3238</v>
      </c>
      <c r="G1319" s="106">
        <f>INDEX(SETORES!$B:$B,MATCH(A1319,SETORES!$A:$A,0))</f>
        <v/>
      </c>
      <c r="H1319" s="106" t="inlineStr">
        <is>
          <t>Julho/2026</t>
        </is>
      </c>
    </row>
    <row r="1320" hidden="1" ht="14.25" customHeight="1" s="64">
      <c r="A1320" s="101" t="inlineStr">
        <is>
          <t>Segurança do Trabalho</t>
        </is>
      </c>
      <c r="B1320" s="101" t="inlineStr">
        <is>
          <t>Custo Fixo</t>
        </is>
      </c>
      <c r="C1320" s="101" t="inlineStr">
        <is>
          <t>Água e esgoto (rateio)</t>
        </is>
      </c>
      <c r="D1320" s="102" t="n">
        <v>9</v>
      </c>
      <c r="E1320" s="103" t="n">
        <v>3.3247</v>
      </c>
      <c r="F1320" s="104" t="n">
        <v>29.9223</v>
      </c>
      <c r="G1320" s="101">
        <f>INDEX(SETORES!$B:$B,MATCH(A1320,SETORES!$A:$A,0))</f>
        <v/>
      </c>
      <c r="H1320" s="101" t="inlineStr">
        <is>
          <t>Julho/2026</t>
        </is>
      </c>
    </row>
    <row r="1321" hidden="1" ht="14.25" customHeight="1" s="64">
      <c r="A1321" s="106" t="inlineStr">
        <is>
          <t>Segurança do Trabalho</t>
        </is>
      </c>
      <c r="B1321" s="106" t="inlineStr">
        <is>
          <t>Custo Fixo</t>
        </is>
      </c>
      <c r="C1321" s="106" t="inlineStr">
        <is>
          <t>Telefonia móvel corporativa</t>
        </is>
      </c>
      <c r="D1321" s="107" t="n"/>
      <c r="E1321" s="108" t="n"/>
      <c r="F1321" s="109">
        <f>IFERROR(D1321*E1321,0)</f>
        <v/>
      </c>
      <c r="G1321" s="106">
        <f>INDEX(SETORES!$B:$B,MATCH(A1321,SETORES!$A:$A,0))</f>
        <v/>
      </c>
      <c r="H1321" s="106" t="inlineStr">
        <is>
          <t>Julho/2026</t>
        </is>
      </c>
    </row>
    <row r="1322" hidden="1" ht="14.25" customHeight="1" s="64">
      <c r="A1322" s="101" t="inlineStr">
        <is>
          <t>Segurança do Trabalho</t>
        </is>
      </c>
      <c r="B1322" s="101" t="inlineStr">
        <is>
          <t>Custo Fixo</t>
        </is>
      </c>
      <c r="C1322" s="101" t="inlineStr">
        <is>
          <t>Folha de pagamento (salários)</t>
        </is>
      </c>
      <c r="D1322" s="102" t="n">
        <v>1</v>
      </c>
      <c r="E1322" s="103" t="n">
        <v>46380.08</v>
      </c>
      <c r="F1322" s="104">
        <f>IFERROR(E1322,0)</f>
        <v/>
      </c>
      <c r="G1322" s="101">
        <f>INDEX(SETORES!$B:$B,MATCH(A1322,SETORES!$A:$A,0))</f>
        <v/>
      </c>
      <c r="H1322" s="101" t="inlineStr">
        <is>
          <t>Julho/2026</t>
        </is>
      </c>
    </row>
    <row r="1323" hidden="1" ht="14.25" customHeight="1" s="64">
      <c r="A1323" s="106" t="inlineStr">
        <is>
          <t>Segurança do Trabalho</t>
        </is>
      </c>
      <c r="B1323" s="106" t="inlineStr">
        <is>
          <t>Custo Variável</t>
        </is>
      </c>
      <c r="C1323" s="106" t="inlineStr">
        <is>
          <t>EPIs - Equipamento de Proteção Individual</t>
        </is>
      </c>
      <c r="D1323" s="107" t="n"/>
      <c r="E1323" s="108" t="n"/>
      <c r="F1323" s="109">
        <f>IFERROR(D1323*E1323,0)</f>
        <v/>
      </c>
      <c r="G1323" s="106">
        <f>INDEX(SETORES!$B:$B,MATCH(A1323,SETORES!$A:$A,0))</f>
        <v/>
      </c>
      <c r="H1323" s="106" t="inlineStr">
        <is>
          <t>Julho/2026</t>
        </is>
      </c>
    </row>
    <row r="1324" hidden="1" ht="14.25" customHeight="1" s="64">
      <c r="A1324" s="101" t="inlineStr">
        <is>
          <t>Cobrança</t>
        </is>
      </c>
      <c r="B1324" s="101" t="inlineStr">
        <is>
          <t>Custo Variável</t>
        </is>
      </c>
      <c r="C1324" s="101" t="inlineStr">
        <is>
          <t>Exames médicos</t>
        </is>
      </c>
      <c r="D1324" s="102" t="n">
        <v>1</v>
      </c>
      <c r="E1324" s="103" t="n">
        <v>65</v>
      </c>
      <c r="F1324" s="104">
        <f>IFERROR(D1324*E1324,0)</f>
        <v/>
      </c>
      <c r="G1324" s="101">
        <f>INDEX(SETORES!$B:$B,MATCH(A1324,SETORES!$A:$A,0))</f>
        <v/>
      </c>
      <c r="H1324" s="101" t="inlineStr">
        <is>
          <t>Julho/2026</t>
        </is>
      </c>
    </row>
    <row r="1325" hidden="1" ht="14.25" customHeight="1" s="64">
      <c r="A1325" s="106" t="inlineStr">
        <is>
          <t>NRC</t>
        </is>
      </c>
      <c r="B1325" s="106" t="inlineStr">
        <is>
          <t>Custo Variável</t>
        </is>
      </c>
      <c r="C1325" s="106" t="inlineStr">
        <is>
          <t>Exames médicos</t>
        </is>
      </c>
      <c r="D1325" s="107" t="n">
        <v>1</v>
      </c>
      <c r="E1325" s="108" t="n">
        <v>35</v>
      </c>
      <c r="F1325" s="109">
        <f>IFERROR(D1325*E1325,0)</f>
        <v/>
      </c>
      <c r="G1325" s="106">
        <f>INDEX(SETORES!$B:$B,MATCH(A1325,SETORES!$A:$A,0))</f>
        <v/>
      </c>
      <c r="H1325" s="106" t="inlineStr">
        <is>
          <t>Julho/2026</t>
        </is>
      </c>
    </row>
    <row r="1326" hidden="1" ht="14.25" customHeight="1" s="64">
      <c r="A1326" s="101" t="inlineStr">
        <is>
          <t>Suporte da Central</t>
        </is>
      </c>
      <c r="B1326" s="101" t="inlineStr">
        <is>
          <t>Custo Variável</t>
        </is>
      </c>
      <c r="C1326" s="101" t="inlineStr">
        <is>
          <t>Exames médicos</t>
        </is>
      </c>
      <c r="D1326" s="102" t="n">
        <v>1</v>
      </c>
      <c r="E1326" s="103" t="n">
        <v>10752.6</v>
      </c>
      <c r="F1326" s="104">
        <f>IFERROR(D1326*E1326,0)</f>
        <v/>
      </c>
      <c r="G1326" s="101">
        <f>INDEX(SETORES!$B:$B,MATCH(A1326,SETORES!$A:$A,0))</f>
        <v/>
      </c>
      <c r="H1326" s="101" t="inlineStr">
        <is>
          <t>Julho/2026</t>
        </is>
      </c>
    </row>
    <row r="1327" hidden="1" ht="14.25" customHeight="1" s="64">
      <c r="A1327" s="106" t="inlineStr">
        <is>
          <t>Manutenção Predial</t>
        </is>
      </c>
      <c r="B1327" s="106" t="inlineStr">
        <is>
          <t>Custo Variável</t>
        </is>
      </c>
      <c r="C1327" s="106" t="inlineStr">
        <is>
          <t>Exames médicos</t>
        </is>
      </c>
      <c r="D1327" s="107" t="n">
        <v>1</v>
      </c>
      <c r="E1327" s="108" t="n">
        <v>735</v>
      </c>
      <c r="F1327" s="109">
        <f>IFERROR(D1327*E1327,0)</f>
        <v/>
      </c>
      <c r="G1327" s="106">
        <f>INDEX(SETORES!$B:$B,MATCH(A1327,SETORES!$A:$A,0))</f>
        <v/>
      </c>
      <c r="H1327" s="106" t="inlineStr">
        <is>
          <t>Julho/2026</t>
        </is>
      </c>
    </row>
    <row r="1328" hidden="1" ht="14.25" customHeight="1" s="64">
      <c r="A1328" s="101" t="inlineStr">
        <is>
          <t>Segurança do Trabalho</t>
        </is>
      </c>
      <c r="B1328" s="101" t="inlineStr">
        <is>
          <t>Custo Variável</t>
        </is>
      </c>
      <c r="C1328" s="101" t="inlineStr">
        <is>
          <t>Exames médicos</t>
        </is>
      </c>
      <c r="D1328" s="102" t="n">
        <v>1</v>
      </c>
      <c r="E1328" s="103" t="n">
        <v>35</v>
      </c>
      <c r="F1328" s="104">
        <f>IFERROR(D1328*E1328,0)</f>
        <v/>
      </c>
      <c r="G1328" s="101">
        <f>INDEX(SETORES!$B:$B,MATCH(A1328,SETORES!$A:$A,0))</f>
        <v/>
      </c>
      <c r="H1328" s="101" t="inlineStr">
        <is>
          <t>Julho/2026</t>
        </is>
      </c>
    </row>
    <row r="1329" hidden="1" ht="14.25" customHeight="1" s="64">
      <c r="A1329" s="106" t="inlineStr">
        <is>
          <t>Segurança do Trabalho</t>
        </is>
      </c>
      <c r="B1329" s="106" t="inlineStr">
        <is>
          <t>Custo Variável</t>
        </is>
      </c>
      <c r="C1329" s="106" t="inlineStr">
        <is>
          <t>Fardamento novo</t>
        </is>
      </c>
      <c r="D1329" s="107" t="n">
        <v>4</v>
      </c>
      <c r="E1329" s="108" t="n">
        <v>45</v>
      </c>
      <c r="F1329" s="109">
        <f>IFERROR(D1329*E1329,0)</f>
        <v/>
      </c>
      <c r="G1329" s="106">
        <f>INDEX(SETORES!$B:$B,MATCH(A1329,SETORES!$A:$A,0))</f>
        <v/>
      </c>
      <c r="H1329" s="106" t="inlineStr">
        <is>
          <t>Julho/2026</t>
        </is>
      </c>
    </row>
    <row r="1330" hidden="1" ht="14.25" customHeight="1" s="64">
      <c r="A1330" s="101" t="inlineStr">
        <is>
          <t>Segurança do Trabalho</t>
        </is>
      </c>
      <c r="B1330" s="101" t="inlineStr">
        <is>
          <t>Custo Variável</t>
        </is>
      </c>
      <c r="C1330" s="101" t="inlineStr">
        <is>
          <t>Fardamento substituição</t>
        </is>
      </c>
      <c r="D1330" s="102" t="n"/>
      <c r="E1330" s="103" t="n"/>
      <c r="F1330" s="104">
        <f>IFERROR(D1330*E1330,0)</f>
        <v/>
      </c>
      <c r="G1330" s="101">
        <f>INDEX(SETORES!$B:$B,MATCH(A1330,SETORES!$A:$A,0))</f>
        <v/>
      </c>
      <c r="H1330" s="101" t="inlineStr">
        <is>
          <t>Julho/2026</t>
        </is>
      </c>
    </row>
    <row r="1331" hidden="1" ht="14.25" customHeight="1" s="64">
      <c r="A1331" s="106" t="inlineStr">
        <is>
          <t>Segurança do Trabalho</t>
        </is>
      </c>
      <c r="B1331" s="106" t="inlineStr">
        <is>
          <t>Custo Variável</t>
        </is>
      </c>
      <c r="C1331" s="106" t="inlineStr">
        <is>
          <t>Rateio de transporte coletivo</t>
        </is>
      </c>
      <c r="D1331" s="107" t="n">
        <v>9</v>
      </c>
      <c r="E1331" s="108" t="n">
        <v>76.92</v>
      </c>
      <c r="F1331" s="109">
        <f>IFERROR(D1331*E1331,0)</f>
        <v/>
      </c>
      <c r="G1331" s="106">
        <f>INDEX(SETORES!$B:$B,MATCH(A1331,SETORES!$A:$A,0))</f>
        <v/>
      </c>
      <c r="H1331" s="106" t="inlineStr">
        <is>
          <t>Julho/2026</t>
        </is>
      </c>
    </row>
    <row r="1332" hidden="1" ht="14.25" customHeight="1" s="64">
      <c r="A1332" s="101" t="inlineStr">
        <is>
          <t>Segurança do Trabalho</t>
        </is>
      </c>
      <c r="B1332" s="101" t="inlineStr">
        <is>
          <t>Custo Variável</t>
        </is>
      </c>
      <c r="C1332" s="101" t="inlineStr">
        <is>
          <t>Médico do trabalho</t>
        </is>
      </c>
      <c r="D1332" s="102" t="n">
        <v>1</v>
      </c>
      <c r="E1332" s="103" t="n">
        <v>7689.5</v>
      </c>
      <c r="F1332" s="104">
        <f>IFERROR(D1332*E1332,0)</f>
        <v/>
      </c>
      <c r="G1332" s="101">
        <f>INDEX(SETORES!$B:$B,MATCH(A1332,SETORES!$A:$A,0))</f>
        <v/>
      </c>
      <c r="H1332" s="101" t="inlineStr">
        <is>
          <t>Julho/2026</t>
        </is>
      </c>
    </row>
    <row r="1333" hidden="1" ht="14.25" customHeight="1" s="64">
      <c r="A1333" s="106" t="inlineStr">
        <is>
          <t>Segurança do Trabalho</t>
        </is>
      </c>
      <c r="B1333" s="106" t="inlineStr">
        <is>
          <t>Custo Fixo</t>
        </is>
      </c>
      <c r="C1333" s="106" t="inlineStr">
        <is>
          <t>Licença de e-mail corporativo</t>
        </is>
      </c>
      <c r="D1333" s="107" t="n">
        <v>6</v>
      </c>
      <c r="E1333" s="108" t="n">
        <v>50</v>
      </c>
      <c r="F1333" s="109" t="n">
        <v>300</v>
      </c>
      <c r="G1333" s="106">
        <f>INDEX(SETORES!$B:$B,MATCH(A1333,SETORES!$A:$A,0))</f>
        <v/>
      </c>
      <c r="H1333" s="106" t="inlineStr">
        <is>
          <t>Julho/2026</t>
        </is>
      </c>
    </row>
    <row r="1334" hidden="1" ht="14.25" customHeight="1" s="64">
      <c r="A1334" s="101" t="inlineStr">
        <is>
          <t>Segurança do Trabalho</t>
        </is>
      </c>
      <c r="B1334" s="101" t="inlineStr">
        <is>
          <t>Custo Variável</t>
        </is>
      </c>
      <c r="C1334" s="101" t="inlineStr">
        <is>
          <t>Combustível de frota</t>
        </is>
      </c>
      <c r="D1334" s="102" t="n">
        <v>1</v>
      </c>
      <c r="E1334" s="103" t="n">
        <v>2867.75</v>
      </c>
      <c r="F1334" s="104" t="n">
        <v>2867.75</v>
      </c>
      <c r="G1334" s="101">
        <f>INDEX(SETORES!$B:$B,MATCH(A1334,SETORES!$A:$A,0))</f>
        <v/>
      </c>
      <c r="H1334" s="101" t="inlineStr">
        <is>
          <t>Julho/2026</t>
        </is>
      </c>
    </row>
    <row r="1335" hidden="1" ht="14.25" customHeight="1" s="64">
      <c r="A1335" s="106" t="inlineStr">
        <is>
          <t>Segurança do Trabalho</t>
        </is>
      </c>
      <c r="B1335" s="106" t="inlineStr">
        <is>
          <t>Custo Fixo</t>
        </is>
      </c>
      <c r="C1335" s="106" t="inlineStr">
        <is>
          <t>Impressora</t>
        </is>
      </c>
      <c r="D1335" s="107" t="n">
        <v>1</v>
      </c>
      <c r="E1335" s="108" t="n">
        <v>570</v>
      </c>
      <c r="F1335" s="109">
        <f>IFERROR(D1335*E1335,0)</f>
        <v/>
      </c>
      <c r="G1335" s="106">
        <f>INDEX(SETORES!$B:$B,MATCH(A1335,SETORES!$A:$A,0))</f>
        <v/>
      </c>
      <c r="H1335" s="106" t="inlineStr">
        <is>
          <t>Julho/2026</t>
        </is>
      </c>
    </row>
    <row r="1336" hidden="1" ht="14.25" customHeight="1" s="64">
      <c r="A1336" s="101" t="inlineStr">
        <is>
          <t>Segurança do Trabalho</t>
        </is>
      </c>
      <c r="B1336" s="101" t="inlineStr">
        <is>
          <t>Custo Fixo</t>
        </is>
      </c>
      <c r="C1336" s="101" t="inlineStr">
        <is>
          <t>Gympass</t>
        </is>
      </c>
      <c r="D1336" s="102" t="n">
        <v>9</v>
      </c>
      <c r="E1336" s="103" t="n">
        <v>9.92</v>
      </c>
      <c r="F1336" s="104">
        <f>IFERROR(D1336*E1336,0)</f>
        <v/>
      </c>
      <c r="G1336" s="101">
        <f>INDEX(SETORES!$B:$B,MATCH(A1336,SETORES!$A:$A,0))</f>
        <v/>
      </c>
      <c r="H1336" s="101" t="inlineStr">
        <is>
          <t>Julho/2026</t>
        </is>
      </c>
    </row>
    <row r="1337" hidden="1" ht="14.25" customHeight="1" s="64">
      <c r="A1337" s="106" t="inlineStr">
        <is>
          <t>Segurança do Trabalho</t>
        </is>
      </c>
      <c r="B1337" s="106" t="inlineStr">
        <is>
          <t>Custo Fixo</t>
        </is>
      </c>
      <c r="C1337" s="106" t="inlineStr">
        <is>
          <t>Stargrid</t>
        </is>
      </c>
      <c r="D1337" s="107" t="n">
        <v>9</v>
      </c>
      <c r="E1337" s="108" t="n">
        <v>2.05</v>
      </c>
      <c r="F1337" s="109">
        <f>IFERROR(D1337*E1337,0)</f>
        <v/>
      </c>
      <c r="G1337" s="106">
        <f>INDEX(SETORES!$B:$B,MATCH(A1337,SETORES!$A:$A,0))</f>
        <v/>
      </c>
      <c r="H1337" s="106" t="inlineStr">
        <is>
          <t>Julho/2026</t>
        </is>
      </c>
    </row>
    <row r="1338" hidden="1" ht="14.25" customHeight="1" s="64">
      <c r="A1338" s="101" t="inlineStr">
        <is>
          <t>Suporte Orbix</t>
        </is>
      </c>
      <c r="B1338" s="101" t="inlineStr">
        <is>
          <t>Custo Fixo</t>
        </is>
      </c>
      <c r="C1338" s="101" t="inlineStr">
        <is>
          <t>Material de escritório (suprimentos de informática)</t>
        </is>
      </c>
      <c r="D1338" s="102" t="n">
        <v>8</v>
      </c>
      <c r="E1338" s="103" t="n">
        <v>0.9851</v>
      </c>
      <c r="F1338" s="104" t="n">
        <v>7.8808</v>
      </c>
      <c r="G1338" s="101">
        <f>INDEX(SETORES!$B:$B,MATCH(A1338,SETORES!$A:$A,0))</f>
        <v/>
      </c>
      <c r="H1338" s="101" t="inlineStr">
        <is>
          <t>Julho/2026</t>
        </is>
      </c>
    </row>
    <row r="1339" hidden="1" ht="14.25" customHeight="1" s="64">
      <c r="A1339" s="106" t="inlineStr">
        <is>
          <t>Suporte Orbix</t>
        </is>
      </c>
      <c r="B1339" s="106" t="inlineStr">
        <is>
          <t>Custo Fixo</t>
        </is>
      </c>
      <c r="C1339" s="106" t="inlineStr">
        <is>
          <t>Material de uso coletivo (copa/limpeza)</t>
        </is>
      </c>
      <c r="D1339" s="107" t="n">
        <v>1</v>
      </c>
      <c r="E1339" s="108" t="n">
        <v>239.527869</v>
      </c>
      <c r="F1339" s="109" t="n">
        <v>239.527869</v>
      </c>
      <c r="G1339" s="106">
        <f>INDEX(SETORES!$B:$B,MATCH(A1339,SETORES!$A:$A,0))</f>
        <v/>
      </c>
      <c r="H1339" s="106" t="inlineStr">
        <is>
          <t>Julho/2026</t>
        </is>
      </c>
    </row>
    <row r="1340" hidden="1" ht="14.25" customHeight="1" s="64">
      <c r="A1340" s="101" t="inlineStr">
        <is>
          <t>Suporte Orbix</t>
        </is>
      </c>
      <c r="B1340" s="101" t="inlineStr">
        <is>
          <t>Custo Fixo</t>
        </is>
      </c>
      <c r="C1340" s="101" t="inlineStr">
        <is>
          <t>Energia elétrica (rateio)</t>
        </is>
      </c>
      <c r="D1340" s="102" t="n">
        <v>1</v>
      </c>
      <c r="E1340" s="103" t="n">
        <v>66.184</v>
      </c>
      <c r="F1340" s="104" t="n">
        <v>66.184</v>
      </c>
      <c r="G1340" s="101">
        <f>INDEX(SETORES!$B:$B,MATCH(A1340,SETORES!$A:$A,0))</f>
        <v/>
      </c>
      <c r="H1340" s="101" t="inlineStr">
        <is>
          <t>Julho/2026</t>
        </is>
      </c>
    </row>
    <row r="1341" hidden="1" ht="14.25" customHeight="1" s="64">
      <c r="A1341" s="106" t="inlineStr">
        <is>
          <t>Suporte Orbix</t>
        </is>
      </c>
      <c r="B1341" s="106" t="inlineStr">
        <is>
          <t>Custo Fixo</t>
        </is>
      </c>
      <c r="C1341" s="106" t="inlineStr">
        <is>
          <t>Água e esgoto (rateio)</t>
        </is>
      </c>
      <c r="D1341" s="107" t="n">
        <v>1</v>
      </c>
      <c r="E1341" s="108" t="n">
        <v>0.194</v>
      </c>
      <c r="F1341" s="109" t="n">
        <v>0.194</v>
      </c>
      <c r="G1341" s="106">
        <f>INDEX(SETORES!$B:$B,MATCH(A1341,SETORES!$A:$A,0))</f>
        <v/>
      </c>
      <c r="H1341" s="106" t="inlineStr">
        <is>
          <t>Julho/2026</t>
        </is>
      </c>
    </row>
    <row r="1342" hidden="1" ht="14.25" customHeight="1" s="64">
      <c r="A1342" s="101" t="inlineStr">
        <is>
          <t>Suporte Orbix</t>
        </is>
      </c>
      <c r="B1342" s="101" t="inlineStr">
        <is>
          <t>Custo Fixo</t>
        </is>
      </c>
      <c r="C1342" s="101" t="inlineStr">
        <is>
          <t>Telefonia móvel corporativa</t>
        </is>
      </c>
      <c r="D1342" s="102" t="n"/>
      <c r="E1342" s="103" t="n"/>
      <c r="F1342" s="104">
        <f>IFERROR(D1342*E1342,0)</f>
        <v/>
      </c>
      <c r="G1342" s="101">
        <f>INDEX(SETORES!$B:$B,MATCH(A1342,SETORES!$A:$A,0))</f>
        <v/>
      </c>
      <c r="H1342" s="101" t="inlineStr">
        <is>
          <t>Julho/2026</t>
        </is>
      </c>
    </row>
    <row r="1343" hidden="1" ht="14.25" customHeight="1" s="64">
      <c r="A1343" s="106" t="inlineStr">
        <is>
          <t>Suporte Orbix</t>
        </is>
      </c>
      <c r="B1343" s="106" t="inlineStr">
        <is>
          <t>Custo Fixo</t>
        </is>
      </c>
      <c r="C1343" s="106" t="inlineStr">
        <is>
          <t>Folha de pagamento (salários)</t>
        </is>
      </c>
      <c r="D1343" s="107" t="n">
        <v>1</v>
      </c>
      <c r="E1343" s="108" t="n">
        <v>26304.95</v>
      </c>
      <c r="F1343" s="109">
        <f>IFERROR(E1343,0)</f>
        <v/>
      </c>
      <c r="G1343" s="106">
        <f>INDEX(SETORES!$B:$B,MATCH(A1343,SETORES!$A:$A,0))</f>
        <v/>
      </c>
      <c r="H1343" s="106" t="inlineStr">
        <is>
          <t>Julho/2026</t>
        </is>
      </c>
    </row>
    <row r="1344" hidden="1" ht="14.25" customHeight="1" s="64">
      <c r="A1344" s="101" t="inlineStr">
        <is>
          <t>Suporte Orbix</t>
        </is>
      </c>
      <c r="B1344" s="101" t="inlineStr">
        <is>
          <t>Custo Fixo</t>
        </is>
      </c>
      <c r="C1344" s="101" t="inlineStr">
        <is>
          <t>Licença de e-mail corporativo</t>
        </is>
      </c>
      <c r="D1344" s="102" t="n">
        <v>2</v>
      </c>
      <c r="E1344" s="103" t="n">
        <v>50</v>
      </c>
      <c r="F1344" s="104">
        <f>IFERROR(D1344*E1344,0)</f>
        <v/>
      </c>
      <c r="G1344" s="101">
        <f>INDEX(SETORES!$B:$B,MATCH(A1344,SETORES!$A:$A,0))</f>
        <v/>
      </c>
      <c r="H1344" s="101" t="inlineStr">
        <is>
          <t>Julho/2026</t>
        </is>
      </c>
    </row>
    <row r="1345" hidden="1" ht="14.25" customHeight="1" s="64">
      <c r="A1345" s="106" t="inlineStr">
        <is>
          <t>Suporte Orbix</t>
        </is>
      </c>
      <c r="B1345" s="106" t="inlineStr">
        <is>
          <t>Custo Fixo</t>
        </is>
      </c>
      <c r="C1345" s="106" t="inlineStr">
        <is>
          <t>Software MATRIX (rateio equipe Relacionamento)</t>
        </is>
      </c>
      <c r="D1345" s="107" t="n">
        <v>1</v>
      </c>
      <c r="E1345" s="108" t="n">
        <v>442.742296</v>
      </c>
      <c r="F1345" s="109">
        <f>IFERROR(D1345*E1345,0)</f>
        <v/>
      </c>
      <c r="G1345" s="106">
        <f>INDEX(SETORES!$B:$B,MATCH(A1345,SETORES!$A:$A,0))</f>
        <v/>
      </c>
      <c r="H1345" s="106" t="inlineStr">
        <is>
          <t>Julho/2026</t>
        </is>
      </c>
    </row>
    <row r="1346" hidden="1" ht="14.25" customHeight="1" s="64">
      <c r="A1346" s="101" t="inlineStr">
        <is>
          <t>Suporte Orbix</t>
        </is>
      </c>
      <c r="B1346" s="101" t="inlineStr">
        <is>
          <t>Custo Fixo</t>
        </is>
      </c>
      <c r="C1346" s="101" t="inlineStr">
        <is>
          <t>Impressora (rateio equipe Relacionamento)</t>
        </is>
      </c>
      <c r="D1346" s="102" t="n">
        <v>1</v>
      </c>
      <c r="E1346" s="103" t="n">
        <v>1.678688</v>
      </c>
      <c r="F1346" s="104">
        <f>IFERROR(D1346*E1346,0)</f>
        <v/>
      </c>
      <c r="G1346" s="101">
        <f>INDEX(SETORES!$B:$B,MATCH(A1346,SETORES!$A:$A,0))</f>
        <v/>
      </c>
      <c r="H1346" s="101" t="inlineStr">
        <is>
          <t>Julho/2026</t>
        </is>
      </c>
    </row>
    <row r="1347" hidden="1" ht="14.25" customHeight="1" s="64">
      <c r="A1347" s="106" t="inlineStr">
        <is>
          <t>Suporte Orbix</t>
        </is>
      </c>
      <c r="B1347" s="106" t="inlineStr">
        <is>
          <t>Custo Fixo</t>
        </is>
      </c>
      <c r="C1347" s="106" t="inlineStr">
        <is>
          <t>Gympass</t>
        </is>
      </c>
      <c r="D1347" s="107" t="n">
        <v>8</v>
      </c>
      <c r="E1347" s="108" t="n">
        <v>9.92</v>
      </c>
      <c r="F1347" s="109">
        <f>IFERROR(D1347*E1347,0)</f>
        <v/>
      </c>
      <c r="G1347" s="106">
        <f>INDEX(SETORES!$B:$B,MATCH(A1347,SETORES!$A:$A,0))</f>
        <v/>
      </c>
      <c r="H1347" s="106" t="inlineStr">
        <is>
          <t>Julho/2026</t>
        </is>
      </c>
    </row>
    <row r="1348" hidden="1" ht="14.25" customHeight="1" s="64">
      <c r="A1348" s="101" t="inlineStr">
        <is>
          <t>Suporte Orbix</t>
        </is>
      </c>
      <c r="B1348" s="101" t="inlineStr">
        <is>
          <t>Custo Fixo</t>
        </is>
      </c>
      <c r="C1348" s="101" t="inlineStr">
        <is>
          <t>Stargrid</t>
        </is>
      </c>
      <c r="D1348" s="102" t="n">
        <v>8</v>
      </c>
      <c r="E1348" s="103" t="n">
        <v>2.05</v>
      </c>
      <c r="F1348" s="104">
        <f>IFERROR(D1348*E1348,0)</f>
        <v/>
      </c>
      <c r="G1348" s="101">
        <f>INDEX(SETORES!$B:$B,MATCH(A1348,SETORES!$A:$A,0))</f>
        <v/>
      </c>
      <c r="H1348" s="101" t="inlineStr">
        <is>
          <t>Julho/2026</t>
        </is>
      </c>
    </row>
    <row r="1349" hidden="1" ht="14.25" customHeight="1" s="64">
      <c r="A1349" s="106" t="inlineStr">
        <is>
          <t>Suporte da Central</t>
        </is>
      </c>
      <c r="B1349" s="106" t="inlineStr">
        <is>
          <t>Custo Fixo</t>
        </is>
      </c>
      <c r="C1349" s="106" t="inlineStr">
        <is>
          <t>Material de escritório (suprimentos de informática)</t>
        </is>
      </c>
      <c r="D1349" s="107" t="n">
        <v>33</v>
      </c>
      <c r="E1349" s="108" t="n">
        <v>0.9851</v>
      </c>
      <c r="F1349" s="109" t="n">
        <v>32.5083</v>
      </c>
      <c r="G1349" s="106">
        <f>INDEX(SETORES!$B:$B,MATCH(A1349,SETORES!$A:$A,0))</f>
        <v/>
      </c>
      <c r="H1349" s="106" t="inlineStr">
        <is>
          <t>Julho/2026</t>
        </is>
      </c>
    </row>
    <row r="1350" hidden="1" ht="14.25" customHeight="1" s="64">
      <c r="A1350" s="101" t="inlineStr">
        <is>
          <t>Suporte da Central</t>
        </is>
      </c>
      <c r="B1350" s="101" t="inlineStr">
        <is>
          <t>Custo Fixo</t>
        </is>
      </c>
      <c r="C1350" s="101" t="inlineStr">
        <is>
          <t>Material de uso coletivo (copa/limpeza)</t>
        </is>
      </c>
      <c r="D1350" s="102" t="n">
        <v>1</v>
      </c>
      <c r="E1350" s="103" t="n">
        <v>988.052459</v>
      </c>
      <c r="F1350" s="104" t="n">
        <v>988.052459</v>
      </c>
      <c r="G1350" s="101">
        <f>INDEX(SETORES!$B:$B,MATCH(A1350,SETORES!$A:$A,0))</f>
        <v/>
      </c>
      <c r="H1350" s="101" t="inlineStr">
        <is>
          <t>Julho/2026</t>
        </is>
      </c>
    </row>
    <row r="1351" hidden="1" ht="14.25" customHeight="1" s="64">
      <c r="A1351" s="106" t="inlineStr">
        <is>
          <t>Suporte da Central</t>
        </is>
      </c>
      <c r="B1351" s="106" t="inlineStr">
        <is>
          <t>Custo Fixo</t>
        </is>
      </c>
      <c r="C1351" s="106" t="inlineStr">
        <is>
          <t>Energia elétrica (rateio)</t>
        </is>
      </c>
      <c r="D1351" s="107" t="n">
        <v>1</v>
      </c>
      <c r="E1351" s="108" t="n">
        <v>273.009</v>
      </c>
      <c r="F1351" s="109" t="n">
        <v>273.009</v>
      </c>
      <c r="G1351" s="106">
        <f>INDEX(SETORES!$B:$B,MATCH(A1351,SETORES!$A:$A,0))</f>
        <v/>
      </c>
      <c r="H1351" s="106" t="inlineStr">
        <is>
          <t>Julho/2026</t>
        </is>
      </c>
    </row>
    <row r="1352" hidden="1" ht="14.25" customHeight="1" s="64">
      <c r="A1352" s="101" t="inlineStr">
        <is>
          <t>Suporte da Central</t>
        </is>
      </c>
      <c r="B1352" s="101" t="inlineStr">
        <is>
          <t>Custo Fixo</t>
        </is>
      </c>
      <c r="C1352" s="101" t="inlineStr">
        <is>
          <t>Água e esgoto (rateio)</t>
        </is>
      </c>
      <c r="D1352" s="102" t="n">
        <v>1</v>
      </c>
      <c r="E1352" s="103" t="n">
        <v>0.8002</v>
      </c>
      <c r="F1352" s="104" t="n">
        <v>0.8002</v>
      </c>
      <c r="G1352" s="101">
        <f>INDEX(SETORES!$B:$B,MATCH(A1352,SETORES!$A:$A,0))</f>
        <v/>
      </c>
      <c r="H1352" s="101" t="inlineStr">
        <is>
          <t>Julho/2026</t>
        </is>
      </c>
    </row>
    <row r="1353" hidden="1" ht="14.25" customHeight="1" s="64">
      <c r="A1353" s="106" t="inlineStr">
        <is>
          <t>Suporte da Central</t>
        </is>
      </c>
      <c r="B1353" s="106" t="inlineStr">
        <is>
          <t>Custo Fixo</t>
        </is>
      </c>
      <c r="C1353" s="106" t="inlineStr">
        <is>
          <t>Telefonia móvel corporativa</t>
        </is>
      </c>
      <c r="D1353" s="107" t="n"/>
      <c r="E1353" s="108" t="n"/>
      <c r="F1353" s="109">
        <f>IFERROR(D1353*E1353,0)</f>
        <v/>
      </c>
      <c r="G1353" s="106">
        <f>INDEX(SETORES!$B:$B,MATCH(A1353,SETORES!$A:$A,0))</f>
        <v/>
      </c>
      <c r="H1353" s="106" t="inlineStr">
        <is>
          <t>Julho/2026</t>
        </is>
      </c>
    </row>
    <row r="1354" hidden="1" ht="14.25" customHeight="1" s="64">
      <c r="A1354" s="101" t="inlineStr">
        <is>
          <t>Suporte da Central</t>
        </is>
      </c>
      <c r="B1354" s="101" t="inlineStr">
        <is>
          <t>Custo Fixo</t>
        </is>
      </c>
      <c r="C1354" s="101" t="inlineStr">
        <is>
          <t>Folha de pagamento (salários)</t>
        </is>
      </c>
      <c r="D1354" s="102" t="n">
        <v>1</v>
      </c>
      <c r="E1354" s="103" t="n">
        <v>101811.52</v>
      </c>
      <c r="F1354" s="104">
        <f>IFERROR(E1354,0)</f>
        <v/>
      </c>
      <c r="G1354" s="101">
        <f>INDEX(SETORES!$B:$B,MATCH(A1354,SETORES!$A:$A,0))</f>
        <v/>
      </c>
      <c r="H1354" s="101" t="inlineStr">
        <is>
          <t>Julho/2026</t>
        </is>
      </c>
    </row>
    <row r="1355" hidden="1" ht="14.25" customHeight="1" s="64">
      <c r="A1355" s="106" t="inlineStr">
        <is>
          <t>Suporte da Central</t>
        </is>
      </c>
      <c r="B1355" s="106" t="inlineStr">
        <is>
          <t>Custo Fixo</t>
        </is>
      </c>
      <c r="C1355" s="106" t="inlineStr">
        <is>
          <t>Licença de e-mail corporativo</t>
        </is>
      </c>
      <c r="D1355" s="107" t="n">
        <v>33</v>
      </c>
      <c r="E1355" s="108" t="n">
        <v>50</v>
      </c>
      <c r="F1355" s="109">
        <f>IFERROR(D1355*E1355,0)</f>
        <v/>
      </c>
      <c r="G1355" s="106">
        <f>INDEX(SETORES!$B:$B,MATCH(A1355,SETORES!$A:$A,0))</f>
        <v/>
      </c>
      <c r="H1355" s="106" t="inlineStr">
        <is>
          <t>Julho/2026</t>
        </is>
      </c>
    </row>
    <row r="1356" hidden="1" ht="14.25" customHeight="1" s="64">
      <c r="A1356" s="101" t="inlineStr">
        <is>
          <t>Suporte da Central</t>
        </is>
      </c>
      <c r="B1356" s="101" t="inlineStr">
        <is>
          <t>Custo Fixo</t>
        </is>
      </c>
      <c r="C1356" s="101" t="inlineStr">
        <is>
          <t>Software MATRIX (rateio equipe Relacionamento)</t>
        </is>
      </c>
      <c r="D1356" s="102" t="n">
        <v>1</v>
      </c>
      <c r="E1356" s="103" t="n">
        <v>1826.311971</v>
      </c>
      <c r="F1356" s="104">
        <f>IFERROR(D1356*E1356,0)</f>
        <v/>
      </c>
      <c r="G1356" s="101">
        <f>INDEX(SETORES!$B:$B,MATCH(A1356,SETORES!$A:$A,0))</f>
        <v/>
      </c>
      <c r="H1356" s="101" t="inlineStr">
        <is>
          <t>Julho/2026</t>
        </is>
      </c>
    </row>
    <row r="1357" hidden="1" ht="14.25" customHeight="1" s="64">
      <c r="A1357" s="106" t="inlineStr">
        <is>
          <t>Suporte da Central</t>
        </is>
      </c>
      <c r="B1357" s="106" t="inlineStr">
        <is>
          <t>Custo Fixo</t>
        </is>
      </c>
      <c r="C1357" s="106" t="inlineStr">
        <is>
          <t>Impressora (rateio equipe Relacionamento)</t>
        </is>
      </c>
      <c r="D1357" s="107" t="n">
        <v>1</v>
      </c>
      <c r="E1357" s="108" t="n">
        <v>6.924588</v>
      </c>
      <c r="F1357" s="109">
        <f>IFERROR(D1357*E1357,0)</f>
        <v/>
      </c>
      <c r="G1357" s="106">
        <f>INDEX(SETORES!$B:$B,MATCH(A1357,SETORES!$A:$A,0))</f>
        <v/>
      </c>
      <c r="H1357" s="106" t="inlineStr">
        <is>
          <t>Julho/2026</t>
        </is>
      </c>
    </row>
    <row r="1358" hidden="1" ht="14.25" customHeight="1" s="64">
      <c r="A1358" s="101" t="inlineStr">
        <is>
          <t>Suporte da Central</t>
        </is>
      </c>
      <c r="B1358" s="101" t="inlineStr">
        <is>
          <t>Custo Fixo</t>
        </is>
      </c>
      <c r="C1358" s="101" t="inlineStr">
        <is>
          <t>Gympass</t>
        </is>
      </c>
      <c r="D1358" s="102" t="n">
        <v>33</v>
      </c>
      <c r="E1358" s="103" t="n">
        <v>9.92</v>
      </c>
      <c r="F1358" s="104">
        <f>IFERROR(D1358*E1358,0)</f>
        <v/>
      </c>
      <c r="G1358" s="101">
        <f>INDEX(SETORES!$B:$B,MATCH(A1358,SETORES!$A:$A,0))</f>
        <v/>
      </c>
      <c r="H1358" s="101" t="inlineStr">
        <is>
          <t>Julho/2026</t>
        </is>
      </c>
    </row>
    <row r="1359" hidden="1" ht="14.25" customHeight="1" s="64">
      <c r="A1359" s="106" t="inlineStr">
        <is>
          <t>Suporte da Central</t>
        </is>
      </c>
      <c r="B1359" s="106" t="inlineStr">
        <is>
          <t>Custo Fixo</t>
        </is>
      </c>
      <c r="C1359" s="106" t="inlineStr">
        <is>
          <t>Stargrid</t>
        </is>
      </c>
      <c r="D1359" s="107" t="n">
        <v>33</v>
      </c>
      <c r="E1359" s="108" t="n">
        <v>2.05</v>
      </c>
      <c r="F1359" s="109">
        <f>IFERROR(D1359*E1359,0)</f>
        <v/>
      </c>
      <c r="G1359" s="106">
        <f>INDEX(SETORES!$B:$B,MATCH(A1359,SETORES!$A:$A,0))</f>
        <v/>
      </c>
      <c r="H1359" s="106" t="inlineStr">
        <is>
          <t>Julho/2026</t>
        </is>
      </c>
    </row>
    <row r="1360" hidden="1" ht="14.25" customHeight="1" s="64">
      <c r="A1360" s="101" t="inlineStr">
        <is>
          <t>Televendas</t>
        </is>
      </c>
      <c r="B1360" s="101" t="inlineStr">
        <is>
          <t>Custo Fixo</t>
        </is>
      </c>
      <c r="C1360" s="101" t="inlineStr">
        <is>
          <t>Material de escritório (suprimentos de informática)</t>
        </is>
      </c>
      <c r="D1360" s="102" t="n">
        <v>13</v>
      </c>
      <c r="E1360" s="103" t="n">
        <v>0.9851</v>
      </c>
      <c r="F1360" s="104" t="n">
        <v>12.8063</v>
      </c>
      <c r="G1360" s="101">
        <f>INDEX(SETORES!$B:$B,MATCH(A1360,SETORES!$A:$A,0))</f>
        <v/>
      </c>
      <c r="H1360" s="101" t="inlineStr">
        <is>
          <t>Julho/2026</t>
        </is>
      </c>
    </row>
    <row r="1361" hidden="1" ht="14.25" customHeight="1" s="64">
      <c r="A1361" s="106" t="inlineStr">
        <is>
          <t>Televendas</t>
        </is>
      </c>
      <c r="B1361" s="106" t="inlineStr">
        <is>
          <t>Custo Fixo</t>
        </is>
      </c>
      <c r="C1361" s="106" t="inlineStr">
        <is>
          <t>Material de uso coletivo (copa/limpeza)</t>
        </is>
      </c>
      <c r="D1361" s="107" t="n">
        <v>1</v>
      </c>
      <c r="E1361" s="108" t="n">
        <v>389.232787</v>
      </c>
      <c r="F1361" s="109" t="n">
        <v>389.232787</v>
      </c>
      <c r="G1361" s="106">
        <f>INDEX(SETORES!$B:$B,MATCH(A1361,SETORES!$A:$A,0))</f>
        <v/>
      </c>
      <c r="H1361" s="106" t="inlineStr">
        <is>
          <t>Julho/2026</t>
        </is>
      </c>
    </row>
    <row r="1362" hidden="1" ht="14.25" customHeight="1" s="64">
      <c r="A1362" s="101" t="inlineStr">
        <is>
          <t>Televendas</t>
        </is>
      </c>
      <c r="B1362" s="101" t="inlineStr">
        <is>
          <t>Custo Fixo</t>
        </is>
      </c>
      <c r="C1362" s="101" t="inlineStr">
        <is>
          <t>Energia elétrica (rateio)</t>
        </is>
      </c>
      <c r="D1362" s="102" t="n">
        <v>1</v>
      </c>
      <c r="E1362" s="103" t="n">
        <v>107.549</v>
      </c>
      <c r="F1362" s="104" t="n">
        <v>107.549</v>
      </c>
      <c r="G1362" s="101">
        <f>INDEX(SETORES!$B:$B,MATCH(A1362,SETORES!$A:$A,0))</f>
        <v/>
      </c>
      <c r="H1362" s="101" t="inlineStr">
        <is>
          <t>Julho/2026</t>
        </is>
      </c>
    </row>
    <row r="1363" hidden="1" ht="14.25" customHeight="1" s="64">
      <c r="A1363" s="106" t="inlineStr">
        <is>
          <t>Televendas</t>
        </is>
      </c>
      <c r="B1363" s="106" t="inlineStr">
        <is>
          <t>Custo Fixo</t>
        </is>
      </c>
      <c r="C1363" s="106" t="inlineStr">
        <is>
          <t>Água e esgoto (rateio)</t>
        </is>
      </c>
      <c r="D1363" s="107" t="n">
        <v>1</v>
      </c>
      <c r="E1363" s="108" t="n">
        <v>0.3152</v>
      </c>
      <c r="F1363" s="109" t="n">
        <v>0.3152</v>
      </c>
      <c r="G1363" s="106">
        <f>INDEX(SETORES!$B:$B,MATCH(A1363,SETORES!$A:$A,0))</f>
        <v/>
      </c>
      <c r="H1363" s="106" t="inlineStr">
        <is>
          <t>Julho/2026</t>
        </is>
      </c>
    </row>
    <row r="1364" hidden="1" ht="14.25" customHeight="1" s="64">
      <c r="A1364" s="101" t="inlineStr">
        <is>
          <t>Televendas</t>
        </is>
      </c>
      <c r="B1364" s="101" t="inlineStr">
        <is>
          <t>Custo Fixo</t>
        </is>
      </c>
      <c r="C1364" s="101" t="inlineStr">
        <is>
          <t>Telefonia móvel corporativa</t>
        </is>
      </c>
      <c r="D1364" s="102" t="n"/>
      <c r="E1364" s="103" t="n"/>
      <c r="F1364" s="104">
        <f>IFERROR(D1364*E1364,0)</f>
        <v/>
      </c>
      <c r="G1364" s="101">
        <f>INDEX(SETORES!$B:$B,MATCH(A1364,SETORES!$A:$A,0))</f>
        <v/>
      </c>
      <c r="H1364" s="101" t="inlineStr">
        <is>
          <t>Julho/2026</t>
        </is>
      </c>
    </row>
    <row r="1365" hidden="1" ht="14.25" customHeight="1" s="64">
      <c r="A1365" s="106" t="inlineStr">
        <is>
          <t>Televendas</t>
        </is>
      </c>
      <c r="B1365" s="106" t="inlineStr">
        <is>
          <t>Custo Fixo</t>
        </is>
      </c>
      <c r="C1365" s="106" t="inlineStr">
        <is>
          <t>Folha de pagamento (salários)</t>
        </is>
      </c>
      <c r="D1365" s="107" t="n">
        <v>1</v>
      </c>
      <c r="E1365" s="108" t="n">
        <v>130589.439786667</v>
      </c>
      <c r="F1365" s="109" t="n">
        <v>130589.439786667</v>
      </c>
      <c r="G1365" s="106">
        <f>INDEX(SETORES!$B:$B,MATCH(A1365,SETORES!$A:$A,0))</f>
        <v/>
      </c>
      <c r="H1365" s="106" t="inlineStr">
        <is>
          <t>Julho/2026</t>
        </is>
      </c>
    </row>
    <row r="1366" hidden="1" ht="14.25" customHeight="1" s="64">
      <c r="A1366" s="101" t="inlineStr">
        <is>
          <t>Televendas</t>
        </is>
      </c>
      <c r="B1366" s="101" t="inlineStr">
        <is>
          <t>Custo Fixo</t>
        </is>
      </c>
      <c r="C1366" s="101" t="inlineStr">
        <is>
          <t>Licença de e-mail corporativo</t>
        </is>
      </c>
      <c r="D1366" s="102" t="n">
        <v>14</v>
      </c>
      <c r="E1366" s="103" t="n">
        <v>50</v>
      </c>
      <c r="F1366" s="104">
        <f>IFERROR(D1366*E1366,0)</f>
        <v/>
      </c>
      <c r="G1366" s="101">
        <f>INDEX(SETORES!$B:$B,MATCH(A1366,SETORES!$A:$A,0))</f>
        <v/>
      </c>
      <c r="H1366" s="101" t="inlineStr">
        <is>
          <t>Julho/2026</t>
        </is>
      </c>
    </row>
    <row r="1367" hidden="1" ht="14.25" customHeight="1" s="64">
      <c r="A1367" s="106" t="inlineStr">
        <is>
          <t>Televendas</t>
        </is>
      </c>
      <c r="B1367" s="106" t="inlineStr">
        <is>
          <t>Custo Fixo</t>
        </is>
      </c>
      <c r="C1367" s="106" t="inlineStr">
        <is>
          <t>Gympass</t>
        </is>
      </c>
      <c r="D1367" s="107" t="n">
        <v>13</v>
      </c>
      <c r="E1367" s="108" t="n">
        <v>9.92</v>
      </c>
      <c r="F1367" s="109" t="n">
        <v>128.96</v>
      </c>
      <c r="G1367" s="106">
        <f>INDEX(SETORES!$B:$B,MATCH(A1367,SETORES!$A:$A,0))</f>
        <v/>
      </c>
      <c r="H1367" s="106" t="inlineStr">
        <is>
          <t>Julho/2026</t>
        </is>
      </c>
    </row>
    <row r="1368" hidden="1" ht="14.25" customHeight="1" s="64">
      <c r="A1368" s="101" t="inlineStr">
        <is>
          <t>Televendas</t>
        </is>
      </c>
      <c r="B1368" s="101" t="inlineStr">
        <is>
          <t>Custo Fixo</t>
        </is>
      </c>
      <c r="C1368" s="101" t="inlineStr">
        <is>
          <t>Stargrid</t>
        </is>
      </c>
      <c r="D1368" s="102" t="n">
        <v>13</v>
      </c>
      <c r="E1368" s="103" t="n">
        <v>2.05</v>
      </c>
      <c r="F1368" s="104" t="n">
        <v>26.65</v>
      </c>
      <c r="G1368" s="101">
        <f>INDEX(SETORES!$B:$B,MATCH(A1368,SETORES!$A:$A,0))</f>
        <v/>
      </c>
      <c r="H1368" s="101" t="inlineStr">
        <is>
          <t>Julho/2026</t>
        </is>
      </c>
    </row>
    <row r="1369" ht="14.25" customHeight="1" s="64">
      <c r="A1369" s="106" t="inlineStr">
        <is>
          <t>Administrativo</t>
        </is>
      </c>
      <c r="B1369" s="106" t="inlineStr">
        <is>
          <t>Custo Fixo</t>
        </is>
      </c>
      <c r="C1369" s="105" t="inlineStr">
        <is>
          <t>Licença Google Workspace</t>
        </is>
      </c>
      <c r="D1369" s="107" t="n">
        <v>1</v>
      </c>
      <c r="E1369" s="108" t="n">
        <v>21454</v>
      </c>
      <c r="F1369" s="109">
        <f>IFERROR(D1369*E1369,0)</f>
        <v/>
      </c>
      <c r="G1369" s="106">
        <f>INDEX(SETORES!$B:$B,MATCH(A1369,SETORES!$A:$A,0))</f>
        <v/>
      </c>
      <c r="H1369" s="106" t="inlineStr">
        <is>
          <t>Julho/2026</t>
        </is>
      </c>
    </row>
    <row r="1370" hidden="1" ht="14.25" customHeight="1" s="64">
      <c r="A1370" s="101" t="inlineStr">
        <is>
          <t>Gestão de Atendimento</t>
        </is>
      </c>
      <c r="B1370" s="101" t="inlineStr">
        <is>
          <t>Custo Fixo</t>
        </is>
      </c>
      <c r="C1370" s="101" t="inlineStr">
        <is>
          <t>Despesas com RH</t>
        </is>
      </c>
      <c r="D1370" s="102" t="n">
        <v>6</v>
      </c>
      <c r="E1370" s="103" t="n">
        <v>29.74</v>
      </c>
      <c r="F1370" s="104">
        <f>IFERROR(D1370*E1370,0)</f>
        <v/>
      </c>
      <c r="G1370" s="101">
        <f>INDEX(SETORES!$B:$B,MATCH(A1370,SETORES!$A:$A,0))</f>
        <v/>
      </c>
      <c r="H1370" s="101" t="inlineStr">
        <is>
          <t>Julho/2026</t>
        </is>
      </c>
    </row>
    <row r="1371" hidden="1" ht="14.25" customHeight="1" s="64">
      <c r="A1371" s="106" t="inlineStr">
        <is>
          <t>Gestão de Atendimento</t>
        </is>
      </c>
      <c r="B1371" s="106" t="inlineStr">
        <is>
          <t>Custo Fixo</t>
        </is>
      </c>
      <c r="C1371" s="106" t="inlineStr">
        <is>
          <t>Despesas com DP</t>
        </is>
      </c>
      <c r="D1371" s="107" t="n">
        <v>6</v>
      </c>
      <c r="E1371" s="108" t="n">
        <v>43.54</v>
      </c>
      <c r="F1371" s="109">
        <f>IFERROR(D1371*E1371,0)</f>
        <v/>
      </c>
      <c r="G1371" s="106">
        <f>INDEX(SETORES!$B:$B,MATCH(A1371,SETORES!$A:$A,0))</f>
        <v/>
      </c>
      <c r="H1371" s="106" t="inlineStr">
        <is>
          <t>Julho/2026</t>
        </is>
      </c>
    </row>
    <row r="1372" hidden="1" ht="14.25" customHeight="1" s="64">
      <c r="A1372" s="101" t="inlineStr">
        <is>
          <t>Gestão de Atendimento</t>
        </is>
      </c>
      <c r="B1372" s="101" t="inlineStr">
        <is>
          <t>Custo Fixo</t>
        </is>
      </c>
      <c r="C1372" s="101" t="inlineStr">
        <is>
          <t>Despesas com SST</t>
        </is>
      </c>
      <c r="D1372" s="102" t="n">
        <v>6</v>
      </c>
      <c r="E1372" s="103" t="n">
        <v>47.66</v>
      </c>
      <c r="F1372" s="104">
        <f>IFERROR(D1372*E1372,0)</f>
        <v/>
      </c>
      <c r="G1372" s="101">
        <f>INDEX(SETORES!$B:$B,MATCH(A1372,SETORES!$A:$A,0))</f>
        <v/>
      </c>
      <c r="H1372" s="101" t="inlineStr">
        <is>
          <t>Julho/2026</t>
        </is>
      </c>
    </row>
    <row r="1373" hidden="1" ht="14.25" customHeight="1" s="64">
      <c r="A1373" s="106" t="inlineStr">
        <is>
          <t>CAC</t>
        </is>
      </c>
      <c r="B1373" s="106" t="inlineStr">
        <is>
          <t>Custo Fixo</t>
        </is>
      </c>
      <c r="C1373" s="106" t="inlineStr">
        <is>
          <t>Despesas com RH</t>
        </is>
      </c>
      <c r="D1373" s="107" t="n">
        <v>3</v>
      </c>
      <c r="E1373" s="108" t="n">
        <v>29.74</v>
      </c>
      <c r="F1373" s="109">
        <f>IFERROR(D1373*E1373,0)</f>
        <v/>
      </c>
      <c r="G1373" s="106">
        <f>INDEX(SETORES!$B:$B,MATCH(A1373,SETORES!$A:$A,0))</f>
        <v/>
      </c>
      <c r="H1373" s="106" t="inlineStr">
        <is>
          <t>Julho/2026</t>
        </is>
      </c>
    </row>
    <row r="1374" hidden="1" ht="14.25" customHeight="1" s="64">
      <c r="A1374" s="101" t="inlineStr">
        <is>
          <t>CAC</t>
        </is>
      </c>
      <c r="B1374" s="101" t="inlineStr">
        <is>
          <t>Custo Fixo</t>
        </is>
      </c>
      <c r="C1374" s="101" t="inlineStr">
        <is>
          <t>Despesas com DP</t>
        </is>
      </c>
      <c r="D1374" s="102" t="n">
        <v>3</v>
      </c>
      <c r="E1374" s="103" t="n">
        <v>43.54</v>
      </c>
      <c r="F1374" s="104">
        <f>IFERROR(D1374*E1374,0)</f>
        <v/>
      </c>
      <c r="G1374" s="101">
        <f>INDEX(SETORES!$B:$B,MATCH(A1374,SETORES!$A:$A,0))</f>
        <v/>
      </c>
      <c r="H1374" s="101" t="inlineStr">
        <is>
          <t>Julho/2026</t>
        </is>
      </c>
    </row>
    <row r="1375" hidden="1" ht="14.25" customHeight="1" s="64">
      <c r="A1375" s="106" t="inlineStr">
        <is>
          <t>CAC</t>
        </is>
      </c>
      <c r="B1375" s="106" t="inlineStr">
        <is>
          <t>Custo Fixo</t>
        </is>
      </c>
      <c r="C1375" s="106" t="inlineStr">
        <is>
          <t>Despesas com SST</t>
        </is>
      </c>
      <c r="D1375" s="107" t="n">
        <v>3</v>
      </c>
      <c r="E1375" s="108" t="n">
        <v>47.66</v>
      </c>
      <c r="F1375" s="109">
        <f>IFERROR(D1375*E1375,0)</f>
        <v/>
      </c>
      <c r="G1375" s="106">
        <f>INDEX(SETORES!$B:$B,MATCH(A1375,SETORES!$A:$A,0))</f>
        <v/>
      </c>
      <c r="H1375" s="106" t="inlineStr">
        <is>
          <t>Julho/2026</t>
        </is>
      </c>
    </row>
    <row r="1376" hidden="1" ht="14.25" customHeight="1" s="64">
      <c r="A1376" s="101" t="inlineStr">
        <is>
          <t>Cobrança</t>
        </is>
      </c>
      <c r="B1376" s="101" t="inlineStr">
        <is>
          <t>Custo Fixo</t>
        </is>
      </c>
      <c r="C1376" s="101" t="inlineStr">
        <is>
          <t>Despesas com RH</t>
        </is>
      </c>
      <c r="D1376" s="102" t="n">
        <v>13</v>
      </c>
      <c r="E1376" s="103" t="n">
        <v>29.74</v>
      </c>
      <c r="F1376" s="104">
        <f>IFERROR(D1376*E1376,0)</f>
        <v/>
      </c>
      <c r="G1376" s="101">
        <f>INDEX(SETORES!$B:$B,MATCH(A1376,SETORES!$A:$A,0))</f>
        <v/>
      </c>
      <c r="H1376" s="101" t="inlineStr">
        <is>
          <t>Julho/2026</t>
        </is>
      </c>
    </row>
    <row r="1377" hidden="1" ht="14.25" customHeight="1" s="64">
      <c r="A1377" s="106" t="inlineStr">
        <is>
          <t>Cobrança</t>
        </is>
      </c>
      <c r="B1377" s="106" t="inlineStr">
        <is>
          <t>Custo Fixo</t>
        </is>
      </c>
      <c r="C1377" s="106" t="inlineStr">
        <is>
          <t>Despesas com DP</t>
        </is>
      </c>
      <c r="D1377" s="107" t="n">
        <v>13</v>
      </c>
      <c r="E1377" s="108" t="n">
        <v>43.54</v>
      </c>
      <c r="F1377" s="109">
        <f>IFERROR(D1377*E1377,0)</f>
        <v/>
      </c>
      <c r="G1377" s="106">
        <f>INDEX(SETORES!$B:$B,MATCH(A1377,SETORES!$A:$A,0))</f>
        <v/>
      </c>
      <c r="H1377" s="106" t="inlineStr">
        <is>
          <t>Julho/2026</t>
        </is>
      </c>
    </row>
    <row r="1378" hidden="1" ht="14.25" customHeight="1" s="64">
      <c r="A1378" s="101" t="inlineStr">
        <is>
          <t>Cobrança</t>
        </is>
      </c>
      <c r="B1378" s="101" t="inlineStr">
        <is>
          <t>Custo Fixo</t>
        </is>
      </c>
      <c r="C1378" s="101" t="inlineStr">
        <is>
          <t>Despesas com SST</t>
        </is>
      </c>
      <c r="D1378" s="102" t="n">
        <v>13</v>
      </c>
      <c r="E1378" s="103" t="n">
        <v>47.66</v>
      </c>
      <c r="F1378" s="104">
        <f>IFERROR(D1378*E1378,0)</f>
        <v/>
      </c>
      <c r="G1378" s="101">
        <f>INDEX(SETORES!$B:$B,MATCH(A1378,SETORES!$A:$A,0))</f>
        <v/>
      </c>
      <c r="H1378" s="101" t="inlineStr">
        <is>
          <t>Julho/2026</t>
        </is>
      </c>
    </row>
    <row r="1379" hidden="1" ht="14.25" customHeight="1" s="64">
      <c r="A1379" s="106" t="inlineStr">
        <is>
          <t>Compras</t>
        </is>
      </c>
      <c r="B1379" s="106" t="inlineStr">
        <is>
          <t>Custo Fixo</t>
        </is>
      </c>
      <c r="C1379" s="106" t="inlineStr">
        <is>
          <t>Despesas com RH</t>
        </is>
      </c>
      <c r="D1379" s="107" t="n">
        <v>5</v>
      </c>
      <c r="E1379" s="108" t="n">
        <v>29.74</v>
      </c>
      <c r="F1379" s="109">
        <f>IFERROR(D1379*E1379,0)</f>
        <v/>
      </c>
      <c r="G1379" s="106">
        <f>INDEX(SETORES!$B:$B,MATCH(A1379,SETORES!$A:$A,0))</f>
        <v/>
      </c>
      <c r="H1379" s="106" t="inlineStr">
        <is>
          <t>Julho/2026</t>
        </is>
      </c>
    </row>
    <row r="1380" hidden="1" ht="14.25" customHeight="1" s="64">
      <c r="A1380" s="101" t="inlineStr">
        <is>
          <t>Compras</t>
        </is>
      </c>
      <c r="B1380" s="101" t="inlineStr">
        <is>
          <t>Custo Fixo</t>
        </is>
      </c>
      <c r="C1380" s="101" t="inlineStr">
        <is>
          <t>Despesas com DP</t>
        </is>
      </c>
      <c r="D1380" s="102" t="n">
        <v>5</v>
      </c>
      <c r="E1380" s="103" t="n">
        <v>43.54</v>
      </c>
      <c r="F1380" s="104">
        <f>IFERROR(D1380*E1380,0)</f>
        <v/>
      </c>
      <c r="G1380" s="101">
        <f>INDEX(SETORES!$B:$B,MATCH(A1380,SETORES!$A:$A,0))</f>
        <v/>
      </c>
      <c r="H1380" s="101" t="inlineStr">
        <is>
          <t>Julho/2026</t>
        </is>
      </c>
    </row>
    <row r="1381" hidden="1" ht="14.25" customHeight="1" s="64">
      <c r="A1381" s="106" t="inlineStr">
        <is>
          <t>Compras</t>
        </is>
      </c>
      <c r="B1381" s="106" t="inlineStr">
        <is>
          <t>Custo Fixo</t>
        </is>
      </c>
      <c r="C1381" s="106" t="inlineStr">
        <is>
          <t>Despesas com SST</t>
        </is>
      </c>
      <c r="D1381" s="107" t="n">
        <v>5</v>
      </c>
      <c r="E1381" s="108" t="n">
        <v>47.66</v>
      </c>
      <c r="F1381" s="109">
        <f>IFERROR(D1381*E1381,0)</f>
        <v/>
      </c>
      <c r="G1381" s="106">
        <f>INDEX(SETORES!$B:$B,MATCH(A1381,SETORES!$A:$A,0))</f>
        <v/>
      </c>
      <c r="H1381" s="106" t="inlineStr">
        <is>
          <t>Julho/2026</t>
        </is>
      </c>
    </row>
    <row r="1382" hidden="1" ht="14.25" customHeight="1" s="64">
      <c r="A1382" s="101" t="inlineStr">
        <is>
          <t>Contabilidade</t>
        </is>
      </c>
      <c r="B1382" s="101" t="inlineStr">
        <is>
          <t>Custo Fixo</t>
        </is>
      </c>
      <c r="C1382" s="101" t="inlineStr">
        <is>
          <t>Despesas com RH</t>
        </is>
      </c>
      <c r="D1382" s="102" t="n">
        <v>5</v>
      </c>
      <c r="E1382" s="103" t="n">
        <v>29.74</v>
      </c>
      <c r="F1382" s="104">
        <f>IFERROR(D1382*E1382,0)</f>
        <v/>
      </c>
      <c r="G1382" s="101">
        <f>INDEX(SETORES!$B:$B,MATCH(A1382,SETORES!$A:$A,0))</f>
        <v/>
      </c>
      <c r="H1382" s="101" t="inlineStr">
        <is>
          <t>Julho/2026</t>
        </is>
      </c>
    </row>
    <row r="1383" hidden="1" ht="14.25" customHeight="1" s="64">
      <c r="A1383" s="106" t="inlineStr">
        <is>
          <t>Contabilidade</t>
        </is>
      </c>
      <c r="B1383" s="106" t="inlineStr">
        <is>
          <t>Custo Fixo</t>
        </is>
      </c>
      <c r="C1383" s="106" t="inlineStr">
        <is>
          <t>Despesas com DP</t>
        </is>
      </c>
      <c r="D1383" s="107" t="n">
        <v>5</v>
      </c>
      <c r="E1383" s="108" t="n">
        <v>43.54</v>
      </c>
      <c r="F1383" s="109">
        <f>IFERROR(D1383*E1383,0)</f>
        <v/>
      </c>
      <c r="G1383" s="106">
        <f>INDEX(SETORES!$B:$B,MATCH(A1383,SETORES!$A:$A,0))</f>
        <v/>
      </c>
      <c r="H1383" s="106" t="inlineStr">
        <is>
          <t>Julho/2026</t>
        </is>
      </c>
    </row>
    <row r="1384" hidden="1" ht="14.25" customHeight="1" s="64">
      <c r="A1384" s="101" t="inlineStr">
        <is>
          <t>Contabilidade</t>
        </is>
      </c>
      <c r="B1384" s="101" t="inlineStr">
        <is>
          <t>Custo Fixo</t>
        </is>
      </c>
      <c r="C1384" s="101" t="inlineStr">
        <is>
          <t>Despesas com SST</t>
        </is>
      </c>
      <c r="D1384" s="102" t="n">
        <v>5</v>
      </c>
      <c r="E1384" s="103" t="n">
        <v>47.66</v>
      </c>
      <c r="F1384" s="104">
        <f>IFERROR(D1384*E1384,0)</f>
        <v/>
      </c>
      <c r="G1384" s="101">
        <f>INDEX(SETORES!$B:$B,MATCH(A1384,SETORES!$A:$A,0))</f>
        <v/>
      </c>
      <c r="H1384" s="101" t="inlineStr">
        <is>
          <t>Julho/2026</t>
        </is>
      </c>
    </row>
    <row r="1385" hidden="1" ht="14.25" customHeight="1" s="64">
      <c r="A1385" s="106" t="inlineStr">
        <is>
          <t>Controladoria</t>
        </is>
      </c>
      <c r="B1385" s="106" t="inlineStr">
        <is>
          <t>Custo Fixo</t>
        </is>
      </c>
      <c r="C1385" s="106" t="inlineStr">
        <is>
          <t>Despesas com RH</t>
        </is>
      </c>
      <c r="D1385" s="107" t="n">
        <v>1</v>
      </c>
      <c r="E1385" s="108" t="n">
        <v>29.74</v>
      </c>
      <c r="F1385" s="109">
        <f>IFERROR(D1385*E1385,0)</f>
        <v/>
      </c>
      <c r="G1385" s="106">
        <f>INDEX(SETORES!$B:$B,MATCH(A1385,SETORES!$A:$A,0))</f>
        <v/>
      </c>
      <c r="H1385" s="106" t="inlineStr">
        <is>
          <t>Julho/2026</t>
        </is>
      </c>
    </row>
    <row r="1386" hidden="1" ht="14.25" customHeight="1" s="64">
      <c r="A1386" s="101" t="inlineStr">
        <is>
          <t>Controladoria</t>
        </is>
      </c>
      <c r="B1386" s="101" t="inlineStr">
        <is>
          <t>Custo Fixo</t>
        </is>
      </c>
      <c r="C1386" s="101" t="inlineStr">
        <is>
          <t>Despesas com DP</t>
        </is>
      </c>
      <c r="D1386" s="102" t="n">
        <v>1</v>
      </c>
      <c r="E1386" s="103" t="n">
        <v>43.54</v>
      </c>
      <c r="F1386" s="104">
        <f>IFERROR(D1386*E1386,0)</f>
        <v/>
      </c>
      <c r="G1386" s="101">
        <f>INDEX(SETORES!$B:$B,MATCH(A1386,SETORES!$A:$A,0))</f>
        <v/>
      </c>
      <c r="H1386" s="101" t="inlineStr">
        <is>
          <t>Julho/2026</t>
        </is>
      </c>
    </row>
    <row r="1387" hidden="1" ht="14.25" customHeight="1" s="64">
      <c r="A1387" s="106" t="inlineStr">
        <is>
          <t>Controladoria</t>
        </is>
      </c>
      <c r="B1387" s="106" t="inlineStr">
        <is>
          <t>Custo Fixo</t>
        </is>
      </c>
      <c r="C1387" s="106" t="inlineStr">
        <is>
          <t>Despesas com SST</t>
        </is>
      </c>
      <c r="D1387" s="107" t="n">
        <v>1</v>
      </c>
      <c r="E1387" s="108" t="n">
        <v>47.66</v>
      </c>
      <c r="F1387" s="109">
        <f>IFERROR(D1387*E1387,0)</f>
        <v/>
      </c>
      <c r="G1387" s="106">
        <f>INDEX(SETORES!$B:$B,MATCH(A1387,SETORES!$A:$A,0))</f>
        <v/>
      </c>
      <c r="H1387" s="106" t="inlineStr">
        <is>
          <t>Julho/2026</t>
        </is>
      </c>
    </row>
    <row r="1388" hidden="1" ht="14.25" customHeight="1" s="64">
      <c r="A1388" s="101" t="inlineStr">
        <is>
          <t>DP</t>
        </is>
      </c>
      <c r="B1388" s="101" t="inlineStr">
        <is>
          <t>Custo Fixo</t>
        </is>
      </c>
      <c r="C1388" s="101" t="inlineStr">
        <is>
          <t>Despesas com RH</t>
        </is>
      </c>
      <c r="D1388" s="102" t="n">
        <v>7</v>
      </c>
      <c r="E1388" s="103" t="n">
        <v>29.74</v>
      </c>
      <c r="F1388" s="104">
        <f>IFERROR(D1388*E1388,0)</f>
        <v/>
      </c>
      <c r="G1388" s="101">
        <f>INDEX(SETORES!$B:$B,MATCH(A1388,SETORES!$A:$A,0))</f>
        <v/>
      </c>
      <c r="H1388" s="101" t="inlineStr">
        <is>
          <t>Julho/2026</t>
        </is>
      </c>
    </row>
    <row r="1389" hidden="1" ht="14.25" customHeight="1" s="64">
      <c r="A1389" s="106" t="inlineStr">
        <is>
          <t>DP</t>
        </is>
      </c>
      <c r="B1389" s="106" t="inlineStr">
        <is>
          <t>Custo Fixo</t>
        </is>
      </c>
      <c r="C1389" s="106" t="inlineStr">
        <is>
          <t>Despesas com DP</t>
        </is>
      </c>
      <c r="D1389" s="107" t="n">
        <v>7</v>
      </c>
      <c r="E1389" s="108" t="n">
        <v>43.54</v>
      </c>
      <c r="F1389" s="109">
        <f>IFERROR(D1389*E1389,0)</f>
        <v/>
      </c>
      <c r="G1389" s="106">
        <f>INDEX(SETORES!$B:$B,MATCH(A1389,SETORES!$A:$A,0))</f>
        <v/>
      </c>
      <c r="H1389" s="106" t="inlineStr">
        <is>
          <t>Julho/2026</t>
        </is>
      </c>
    </row>
    <row r="1390" hidden="1" ht="14.25" customHeight="1" s="64">
      <c r="A1390" s="101" t="inlineStr">
        <is>
          <t>DP</t>
        </is>
      </c>
      <c r="B1390" s="101" t="inlineStr">
        <is>
          <t>Custo Fixo</t>
        </is>
      </c>
      <c r="C1390" s="101" t="inlineStr">
        <is>
          <t>Despesas com SST</t>
        </is>
      </c>
      <c r="D1390" s="102" t="n">
        <v>7</v>
      </c>
      <c r="E1390" s="103" t="n">
        <v>47.66</v>
      </c>
      <c r="F1390" s="104">
        <f>IFERROR(D1390*E1390,0)</f>
        <v/>
      </c>
      <c r="G1390" s="101">
        <f>INDEX(SETORES!$B:$B,MATCH(A1390,SETORES!$A:$A,0))</f>
        <v/>
      </c>
      <c r="H1390" s="101" t="inlineStr">
        <is>
          <t>Julho/2026</t>
        </is>
      </c>
    </row>
    <row r="1391" hidden="1" ht="14.25" customHeight="1" s="64">
      <c r="A1391" s="106" t="inlineStr">
        <is>
          <t>Diretoria Operacional</t>
        </is>
      </c>
      <c r="B1391" s="106" t="inlineStr">
        <is>
          <t>Custo Fixo</t>
        </is>
      </c>
      <c r="C1391" s="106" t="inlineStr">
        <is>
          <t>Despesas com RH</t>
        </is>
      </c>
      <c r="D1391" s="107" t="n">
        <v>2</v>
      </c>
      <c r="E1391" s="108" t="n">
        <v>29.74</v>
      </c>
      <c r="F1391" s="109">
        <f>IFERROR(D1391*E1391,0)</f>
        <v/>
      </c>
      <c r="G1391" s="106">
        <f>INDEX(SETORES!$B:$B,MATCH(A1391,SETORES!$A:$A,0))</f>
        <v/>
      </c>
      <c r="H1391" s="106" t="inlineStr">
        <is>
          <t>Julho/2026</t>
        </is>
      </c>
    </row>
    <row r="1392" hidden="1" ht="14.25" customHeight="1" s="64">
      <c r="A1392" s="101" t="inlineStr">
        <is>
          <t>Diretoria Operacional</t>
        </is>
      </c>
      <c r="B1392" s="101" t="inlineStr">
        <is>
          <t>Custo Fixo</t>
        </is>
      </c>
      <c r="C1392" s="101" t="inlineStr">
        <is>
          <t>Despesas com DP</t>
        </is>
      </c>
      <c r="D1392" s="102" t="n">
        <v>2</v>
      </c>
      <c r="E1392" s="103" t="n">
        <v>43.54</v>
      </c>
      <c r="F1392" s="104">
        <f>IFERROR(D1392*E1392,0)</f>
        <v/>
      </c>
      <c r="G1392" s="101">
        <f>INDEX(SETORES!$B:$B,MATCH(A1392,SETORES!$A:$A,0))</f>
        <v/>
      </c>
      <c r="H1392" s="101" t="inlineStr">
        <is>
          <t>Julho/2026</t>
        </is>
      </c>
    </row>
    <row r="1393" hidden="1" ht="14.25" customHeight="1" s="64">
      <c r="A1393" s="106" t="inlineStr">
        <is>
          <t>Diretoria Operacional</t>
        </is>
      </c>
      <c r="B1393" s="106" t="inlineStr">
        <is>
          <t>Custo Fixo</t>
        </is>
      </c>
      <c r="C1393" s="106" t="inlineStr">
        <is>
          <t>Despesas com SST</t>
        </is>
      </c>
      <c r="D1393" s="107" t="n">
        <v>2</v>
      </c>
      <c r="E1393" s="108" t="n">
        <v>47.66</v>
      </c>
      <c r="F1393" s="109">
        <f>IFERROR(D1393*E1393,0)</f>
        <v/>
      </c>
      <c r="G1393" s="106">
        <f>INDEX(SETORES!$B:$B,MATCH(A1393,SETORES!$A:$A,0))</f>
        <v/>
      </c>
      <c r="H1393" s="106" t="inlineStr">
        <is>
          <t>Julho/2026</t>
        </is>
      </c>
    </row>
    <row r="1394" hidden="1" ht="14.25" customHeight="1" s="64">
      <c r="A1394" s="101" t="inlineStr">
        <is>
          <t>Engenharia</t>
        </is>
      </c>
      <c r="B1394" s="101" t="inlineStr">
        <is>
          <t>Custo Fixo</t>
        </is>
      </c>
      <c r="C1394" s="101" t="inlineStr">
        <is>
          <t>Despesas com RH</t>
        </is>
      </c>
      <c r="D1394" s="102" t="n">
        <v>10</v>
      </c>
      <c r="E1394" s="103" t="n">
        <v>29.74</v>
      </c>
      <c r="F1394" s="104">
        <f>IFERROR(D1394*E1394,0)</f>
        <v/>
      </c>
      <c r="G1394" s="101">
        <f>INDEX(SETORES!$B:$B,MATCH(A1394,SETORES!$A:$A,0))</f>
        <v/>
      </c>
      <c r="H1394" s="101" t="inlineStr">
        <is>
          <t>Julho/2026</t>
        </is>
      </c>
    </row>
    <row r="1395" hidden="1" ht="14.25" customHeight="1" s="64">
      <c r="A1395" s="106" t="inlineStr">
        <is>
          <t>Engenharia</t>
        </is>
      </c>
      <c r="B1395" s="106" t="inlineStr">
        <is>
          <t>Custo Fixo</t>
        </is>
      </c>
      <c r="C1395" s="106" t="inlineStr">
        <is>
          <t>Despesas com DP</t>
        </is>
      </c>
      <c r="D1395" s="107" t="n">
        <v>10</v>
      </c>
      <c r="E1395" s="108" t="n">
        <v>43.54</v>
      </c>
      <c r="F1395" s="109">
        <f>IFERROR(D1395*E1395,0)</f>
        <v/>
      </c>
      <c r="G1395" s="106">
        <f>INDEX(SETORES!$B:$B,MATCH(A1395,SETORES!$A:$A,0))</f>
        <v/>
      </c>
      <c r="H1395" s="106" t="inlineStr">
        <is>
          <t>Julho/2026</t>
        </is>
      </c>
    </row>
    <row r="1396" hidden="1" ht="14.25" customHeight="1" s="64">
      <c r="A1396" s="101" t="inlineStr">
        <is>
          <t>Engenharia</t>
        </is>
      </c>
      <c r="B1396" s="101" t="inlineStr">
        <is>
          <t>Custo Fixo</t>
        </is>
      </c>
      <c r="C1396" s="101" t="inlineStr">
        <is>
          <t>Despesas com SST</t>
        </is>
      </c>
      <c r="D1396" s="102" t="n">
        <v>10</v>
      </c>
      <c r="E1396" s="103" t="n">
        <v>47.66</v>
      </c>
      <c r="F1396" s="104">
        <f>IFERROR(D1396*E1396,0)</f>
        <v/>
      </c>
      <c r="G1396" s="101">
        <f>INDEX(SETORES!$B:$B,MATCH(A1396,SETORES!$A:$A,0))</f>
        <v/>
      </c>
      <c r="H1396" s="101" t="inlineStr">
        <is>
          <t>Julho/2026</t>
        </is>
      </c>
    </row>
    <row r="1397" hidden="1" ht="14.25" customHeight="1" s="64">
      <c r="A1397" s="106" t="inlineStr">
        <is>
          <t>Estoque</t>
        </is>
      </c>
      <c r="B1397" s="106" t="inlineStr">
        <is>
          <t>Custo Fixo</t>
        </is>
      </c>
      <c r="C1397" s="106" t="inlineStr">
        <is>
          <t>Despesas com RH</t>
        </is>
      </c>
      <c r="D1397" s="107" t="n">
        <v>16</v>
      </c>
      <c r="E1397" s="108" t="n">
        <v>29.74</v>
      </c>
      <c r="F1397" s="109">
        <f>IFERROR(D1397*E1397,0)</f>
        <v/>
      </c>
      <c r="G1397" s="106">
        <f>INDEX(SETORES!$B:$B,MATCH(A1397,SETORES!$A:$A,0))</f>
        <v/>
      </c>
      <c r="H1397" s="106" t="inlineStr">
        <is>
          <t>Julho/2026</t>
        </is>
      </c>
    </row>
    <row r="1398" hidden="1" ht="14.25" customHeight="1" s="64">
      <c r="A1398" s="101" t="inlineStr">
        <is>
          <t>Estoque</t>
        </is>
      </c>
      <c r="B1398" s="101" t="inlineStr">
        <is>
          <t>Custo Fixo</t>
        </is>
      </c>
      <c r="C1398" s="101" t="inlineStr">
        <is>
          <t>Despesas com DP</t>
        </is>
      </c>
      <c r="D1398" s="102" t="n">
        <v>16</v>
      </c>
      <c r="E1398" s="103" t="n">
        <v>43.54</v>
      </c>
      <c r="F1398" s="104">
        <f>IFERROR(D1398*E1398,0)</f>
        <v/>
      </c>
      <c r="G1398" s="101">
        <f>INDEX(SETORES!$B:$B,MATCH(A1398,SETORES!$A:$A,0))</f>
        <v/>
      </c>
      <c r="H1398" s="101" t="inlineStr">
        <is>
          <t>Julho/2026</t>
        </is>
      </c>
    </row>
    <row r="1399" hidden="1" ht="14.25" customHeight="1" s="64">
      <c r="A1399" s="106" t="inlineStr">
        <is>
          <t>Estoque</t>
        </is>
      </c>
      <c r="B1399" s="106" t="inlineStr">
        <is>
          <t>Custo Fixo</t>
        </is>
      </c>
      <c r="C1399" s="106" t="inlineStr">
        <is>
          <t>Despesas com SST</t>
        </is>
      </c>
      <c r="D1399" s="107" t="n">
        <v>16</v>
      </c>
      <c r="E1399" s="108" t="n">
        <v>47.66</v>
      </c>
      <c r="F1399" s="109">
        <f>IFERROR(D1399*E1399,0)</f>
        <v/>
      </c>
      <c r="G1399" s="106">
        <f>INDEX(SETORES!$B:$B,MATCH(A1399,SETORES!$A:$A,0))</f>
        <v/>
      </c>
      <c r="H1399" s="106" t="inlineStr">
        <is>
          <t>Julho/2026</t>
        </is>
      </c>
    </row>
    <row r="1400" hidden="1" ht="14.25" customHeight="1" s="64">
      <c r="A1400" s="101" t="inlineStr">
        <is>
          <t>Financeiro</t>
        </is>
      </c>
      <c r="B1400" s="101" t="inlineStr">
        <is>
          <t>Custo Fixo</t>
        </is>
      </c>
      <c r="C1400" s="101" t="inlineStr">
        <is>
          <t>Despesas com RH</t>
        </is>
      </c>
      <c r="D1400" s="102" t="n">
        <v>9</v>
      </c>
      <c r="E1400" s="103" t="n">
        <v>29.74</v>
      </c>
      <c r="F1400" s="104">
        <f>IFERROR(D1400*E1400,0)</f>
        <v/>
      </c>
      <c r="G1400" s="101">
        <f>INDEX(SETORES!$B:$B,MATCH(A1400,SETORES!$A:$A,0))</f>
        <v/>
      </c>
      <c r="H1400" s="101" t="inlineStr">
        <is>
          <t>Julho/2026</t>
        </is>
      </c>
    </row>
    <row r="1401" hidden="1" ht="14.25" customHeight="1" s="64">
      <c r="A1401" s="106" t="inlineStr">
        <is>
          <t>Financeiro</t>
        </is>
      </c>
      <c r="B1401" s="106" t="inlineStr">
        <is>
          <t>Custo Fixo</t>
        </is>
      </c>
      <c r="C1401" s="106" t="inlineStr">
        <is>
          <t>Despesas com DP</t>
        </is>
      </c>
      <c r="D1401" s="107" t="n">
        <v>9</v>
      </c>
      <c r="E1401" s="108" t="n">
        <v>43.54</v>
      </c>
      <c r="F1401" s="109">
        <f>IFERROR(D1401*E1401,0)</f>
        <v/>
      </c>
      <c r="G1401" s="106">
        <f>INDEX(SETORES!$B:$B,MATCH(A1401,SETORES!$A:$A,0))</f>
        <v/>
      </c>
      <c r="H1401" s="106" t="inlineStr">
        <is>
          <t>Julho/2026</t>
        </is>
      </c>
    </row>
    <row r="1402" hidden="1" ht="14.25" customHeight="1" s="64">
      <c r="A1402" s="101" t="inlineStr">
        <is>
          <t>Financeiro</t>
        </is>
      </c>
      <c r="B1402" s="101" t="inlineStr">
        <is>
          <t>Custo Fixo</t>
        </is>
      </c>
      <c r="C1402" s="101" t="inlineStr">
        <is>
          <t>Despesas com SST</t>
        </is>
      </c>
      <c r="D1402" s="102" t="n">
        <v>9</v>
      </c>
      <c r="E1402" s="103" t="n">
        <v>47.66</v>
      </c>
      <c r="F1402" s="104">
        <f>IFERROR(D1402*E1402,0)</f>
        <v/>
      </c>
      <c r="G1402" s="101">
        <f>INDEX(SETORES!$B:$B,MATCH(A1402,SETORES!$A:$A,0))</f>
        <v/>
      </c>
      <c r="H1402" s="101" t="inlineStr">
        <is>
          <t>Julho/2026</t>
        </is>
      </c>
    </row>
    <row r="1403" hidden="1" ht="14.25" customHeight="1" s="64">
      <c r="A1403" s="106" t="inlineStr">
        <is>
          <t>Logística</t>
        </is>
      </c>
      <c r="B1403" s="106" t="inlineStr">
        <is>
          <t>Custo Fixo</t>
        </is>
      </c>
      <c r="C1403" s="106" t="inlineStr">
        <is>
          <t>Despesas com RH</t>
        </is>
      </c>
      <c r="D1403" s="107" t="n">
        <v>14</v>
      </c>
      <c r="E1403" s="108" t="n">
        <v>29.74</v>
      </c>
      <c r="F1403" s="109" t="n">
        <v>416.36</v>
      </c>
      <c r="G1403" s="106">
        <f>INDEX(SETORES!$B:$B,MATCH(A1403,SETORES!$A:$A,0))</f>
        <v/>
      </c>
      <c r="H1403" s="106" t="inlineStr">
        <is>
          <t>Julho/2026</t>
        </is>
      </c>
    </row>
    <row r="1404" hidden="1" ht="14.25" customHeight="1" s="64">
      <c r="A1404" s="101" t="inlineStr">
        <is>
          <t>Logística</t>
        </is>
      </c>
      <c r="B1404" s="101" t="inlineStr">
        <is>
          <t>Custo Fixo</t>
        </is>
      </c>
      <c r="C1404" s="101" t="inlineStr">
        <is>
          <t>Despesas com DP</t>
        </is>
      </c>
      <c r="D1404" s="102" t="n">
        <v>14</v>
      </c>
      <c r="E1404" s="103" t="n">
        <v>43.54</v>
      </c>
      <c r="F1404" s="104" t="n">
        <v>609.5599999999999</v>
      </c>
      <c r="G1404" s="101">
        <f>INDEX(SETORES!$B:$B,MATCH(A1404,SETORES!$A:$A,0))</f>
        <v/>
      </c>
      <c r="H1404" s="101" t="inlineStr">
        <is>
          <t>Julho/2026</t>
        </is>
      </c>
    </row>
    <row r="1405" hidden="1" ht="14.25" customHeight="1" s="64">
      <c r="A1405" s="106" t="inlineStr">
        <is>
          <t>Logística</t>
        </is>
      </c>
      <c r="B1405" s="106" t="inlineStr">
        <is>
          <t>Custo Fixo</t>
        </is>
      </c>
      <c r="C1405" s="106" t="inlineStr">
        <is>
          <t>Despesas com SST</t>
        </is>
      </c>
      <c r="D1405" s="107" t="n">
        <v>14</v>
      </c>
      <c r="E1405" s="108" t="n">
        <v>47.66</v>
      </c>
      <c r="F1405" s="109" t="n">
        <v>667.24</v>
      </c>
      <c r="G1405" s="106">
        <f>INDEX(SETORES!$B:$B,MATCH(A1405,SETORES!$A:$A,0))</f>
        <v/>
      </c>
      <c r="H1405" s="106" t="inlineStr">
        <is>
          <t>Julho/2026</t>
        </is>
      </c>
    </row>
    <row r="1406" hidden="1" ht="14.25" customHeight="1" s="64">
      <c r="A1406" s="101" t="inlineStr">
        <is>
          <t>Manutenção Predial</t>
        </is>
      </c>
      <c r="B1406" s="101" t="inlineStr">
        <is>
          <t>Custo Fixo</t>
        </is>
      </c>
      <c r="C1406" s="101" t="inlineStr">
        <is>
          <t>Despesas com RH</t>
        </is>
      </c>
      <c r="D1406" s="102" t="n">
        <v>13</v>
      </c>
      <c r="E1406" s="103" t="n">
        <v>29.74</v>
      </c>
      <c r="F1406" s="104">
        <f>IFERROR(D1406*E1406,0)</f>
        <v/>
      </c>
      <c r="G1406" s="101">
        <f>INDEX(SETORES!$B:$B,MATCH(A1406,SETORES!$A:$A,0))</f>
        <v/>
      </c>
      <c r="H1406" s="101" t="inlineStr">
        <is>
          <t>Julho/2026</t>
        </is>
      </c>
    </row>
    <row r="1407" hidden="1" ht="14.25" customHeight="1" s="64">
      <c r="A1407" s="106" t="inlineStr">
        <is>
          <t>Manutenção Predial</t>
        </is>
      </c>
      <c r="B1407" s="106" t="inlineStr">
        <is>
          <t>Custo Fixo</t>
        </is>
      </c>
      <c r="C1407" s="106" t="inlineStr">
        <is>
          <t>Despesas com DP</t>
        </is>
      </c>
      <c r="D1407" s="107" t="n">
        <v>13</v>
      </c>
      <c r="E1407" s="108" t="n">
        <v>43.54</v>
      </c>
      <c r="F1407" s="109">
        <f>IFERROR(D1407*E1407,0)</f>
        <v/>
      </c>
      <c r="G1407" s="106">
        <f>INDEX(SETORES!$B:$B,MATCH(A1407,SETORES!$A:$A,0))</f>
        <v/>
      </c>
      <c r="H1407" s="106" t="inlineStr">
        <is>
          <t>Julho/2026</t>
        </is>
      </c>
    </row>
    <row r="1408" hidden="1" ht="14.25" customHeight="1" s="64">
      <c r="A1408" s="101" t="inlineStr">
        <is>
          <t>Manutenção Predial</t>
        </is>
      </c>
      <c r="B1408" s="101" t="inlineStr">
        <is>
          <t>Custo Fixo</t>
        </is>
      </c>
      <c r="C1408" s="101" t="inlineStr">
        <is>
          <t>Despesas com SST</t>
        </is>
      </c>
      <c r="D1408" s="102" t="n">
        <v>13</v>
      </c>
      <c r="E1408" s="103" t="n">
        <v>47.66</v>
      </c>
      <c r="F1408" s="104">
        <f>IFERROR(D1408*E1408,0)</f>
        <v/>
      </c>
      <c r="G1408" s="101">
        <f>INDEX(SETORES!$B:$B,MATCH(A1408,SETORES!$A:$A,0))</f>
        <v/>
      </c>
      <c r="H1408" s="101" t="inlineStr">
        <is>
          <t>Julho/2026</t>
        </is>
      </c>
    </row>
    <row r="1409" hidden="1" ht="14.25" customHeight="1" s="64">
      <c r="A1409" s="106" t="inlineStr">
        <is>
          <t>NOC</t>
        </is>
      </c>
      <c r="B1409" s="106" t="inlineStr">
        <is>
          <t>Custo Fixo</t>
        </is>
      </c>
      <c r="C1409" s="106" t="inlineStr">
        <is>
          <t>Despesas com RH</t>
        </is>
      </c>
      <c r="D1409" s="107" t="n">
        <v>5</v>
      </c>
      <c r="E1409" s="108" t="n">
        <v>29.74</v>
      </c>
      <c r="F1409" s="109">
        <f>IFERROR(D1409*E1409,0)</f>
        <v/>
      </c>
      <c r="G1409" s="106">
        <f>INDEX(SETORES!$B:$B,MATCH(A1409,SETORES!$A:$A,0))</f>
        <v/>
      </c>
      <c r="H1409" s="106" t="inlineStr">
        <is>
          <t>Julho/2026</t>
        </is>
      </c>
    </row>
    <row r="1410" hidden="1" ht="14.25" customHeight="1" s="64">
      <c r="A1410" s="101" t="inlineStr">
        <is>
          <t>NOC</t>
        </is>
      </c>
      <c r="B1410" s="101" t="inlineStr">
        <is>
          <t>Custo Fixo</t>
        </is>
      </c>
      <c r="C1410" s="101" t="inlineStr">
        <is>
          <t>Despesas com DP</t>
        </is>
      </c>
      <c r="D1410" s="102" t="n">
        <v>5</v>
      </c>
      <c r="E1410" s="103" t="n">
        <v>43.54</v>
      </c>
      <c r="F1410" s="104">
        <f>IFERROR(D1410*E1410,0)</f>
        <v/>
      </c>
      <c r="G1410" s="101">
        <f>INDEX(SETORES!$B:$B,MATCH(A1410,SETORES!$A:$A,0))</f>
        <v/>
      </c>
      <c r="H1410" s="101" t="inlineStr">
        <is>
          <t>Julho/2026</t>
        </is>
      </c>
    </row>
    <row r="1411" hidden="1" ht="14.25" customHeight="1" s="64">
      <c r="A1411" s="106" t="inlineStr">
        <is>
          <t>NOC</t>
        </is>
      </c>
      <c r="B1411" s="106" t="inlineStr">
        <is>
          <t>Custo Fixo</t>
        </is>
      </c>
      <c r="C1411" s="106" t="inlineStr">
        <is>
          <t>Despesas com SST</t>
        </is>
      </c>
      <c r="D1411" s="107" t="n">
        <v>5</v>
      </c>
      <c r="E1411" s="108" t="n">
        <v>47.66</v>
      </c>
      <c r="F1411" s="109">
        <f>IFERROR(D1411*E1411,0)</f>
        <v/>
      </c>
      <c r="G1411" s="106">
        <f>INDEX(SETORES!$B:$B,MATCH(A1411,SETORES!$A:$A,0))</f>
        <v/>
      </c>
      <c r="H1411" s="106" t="inlineStr">
        <is>
          <t>Julho/2026</t>
        </is>
      </c>
    </row>
    <row r="1412" hidden="1" ht="14.25" customHeight="1" s="64">
      <c r="A1412" s="101" t="inlineStr">
        <is>
          <t>NRC</t>
        </is>
      </c>
      <c r="B1412" s="101" t="inlineStr">
        <is>
          <t>Custo Fixo</t>
        </is>
      </c>
      <c r="C1412" s="101" t="inlineStr">
        <is>
          <t>Despesas com RH</t>
        </is>
      </c>
      <c r="D1412" s="102" t="n">
        <v>43</v>
      </c>
      <c r="E1412" s="103" t="n">
        <v>29.74</v>
      </c>
      <c r="F1412" s="104">
        <f>IFERROR(D1412*E1412,0)</f>
        <v/>
      </c>
      <c r="G1412" s="101">
        <f>INDEX(SETORES!$B:$B,MATCH(A1412,SETORES!$A:$A,0))</f>
        <v/>
      </c>
      <c r="H1412" s="101" t="inlineStr">
        <is>
          <t>Julho/2026</t>
        </is>
      </c>
    </row>
    <row r="1413" hidden="1" ht="14.25" customHeight="1" s="64">
      <c r="A1413" s="106" t="inlineStr">
        <is>
          <t>NRC</t>
        </is>
      </c>
      <c r="B1413" s="106" t="inlineStr">
        <is>
          <t>Custo Fixo</t>
        </is>
      </c>
      <c r="C1413" s="106" t="inlineStr">
        <is>
          <t>Despesas com DP</t>
        </is>
      </c>
      <c r="D1413" s="107" t="n">
        <v>43</v>
      </c>
      <c r="E1413" s="108" t="n">
        <v>43.54</v>
      </c>
      <c r="F1413" s="109">
        <f>IFERROR(D1413*E1413,0)</f>
        <v/>
      </c>
      <c r="G1413" s="106">
        <f>INDEX(SETORES!$B:$B,MATCH(A1413,SETORES!$A:$A,0))</f>
        <v/>
      </c>
      <c r="H1413" s="106" t="inlineStr">
        <is>
          <t>Julho/2026</t>
        </is>
      </c>
    </row>
    <row r="1414" hidden="1" ht="14.25" customHeight="1" s="64">
      <c r="A1414" s="101" t="inlineStr">
        <is>
          <t>NRC</t>
        </is>
      </c>
      <c r="B1414" s="101" t="inlineStr">
        <is>
          <t>Custo Fixo</t>
        </is>
      </c>
      <c r="C1414" s="101" t="inlineStr">
        <is>
          <t>Despesas com SST</t>
        </is>
      </c>
      <c r="D1414" s="102" t="n">
        <v>43</v>
      </c>
      <c r="E1414" s="103" t="n">
        <v>47.66</v>
      </c>
      <c r="F1414" s="104">
        <f>IFERROR(D1414*E1414,0)</f>
        <v/>
      </c>
      <c r="G1414" s="101">
        <f>INDEX(SETORES!$B:$B,MATCH(A1414,SETORES!$A:$A,0))</f>
        <v/>
      </c>
      <c r="H1414" s="101" t="inlineStr">
        <is>
          <t>Julho/2026</t>
        </is>
      </c>
    </row>
    <row r="1415" hidden="1" ht="14.25" customHeight="1" s="64">
      <c r="A1415" s="106" t="inlineStr">
        <is>
          <t>Obras</t>
        </is>
      </c>
      <c r="B1415" s="106" t="inlineStr">
        <is>
          <t>Custo Fixo</t>
        </is>
      </c>
      <c r="C1415" s="106" t="inlineStr">
        <is>
          <t>Despesas com RH</t>
        </is>
      </c>
      <c r="D1415" s="107" t="n">
        <v>23</v>
      </c>
      <c r="E1415" s="108" t="n">
        <v>29.74</v>
      </c>
      <c r="F1415" s="109">
        <f>IFERROR(D1415*E1415,0)</f>
        <v/>
      </c>
      <c r="G1415" s="106">
        <f>INDEX(SETORES!$B:$B,MATCH(A1415,SETORES!$A:$A,0))</f>
        <v/>
      </c>
      <c r="H1415" s="106" t="inlineStr">
        <is>
          <t>Julho/2026</t>
        </is>
      </c>
    </row>
    <row r="1416" hidden="1" ht="14.25" customHeight="1" s="64">
      <c r="A1416" s="101" t="inlineStr">
        <is>
          <t>Obras</t>
        </is>
      </c>
      <c r="B1416" s="101" t="inlineStr">
        <is>
          <t>Custo Fixo</t>
        </is>
      </c>
      <c r="C1416" s="101" t="inlineStr">
        <is>
          <t>Despesas com DP</t>
        </is>
      </c>
      <c r="D1416" s="102" t="n">
        <v>23</v>
      </c>
      <c r="E1416" s="103" t="n">
        <v>43.54</v>
      </c>
      <c r="F1416" s="104">
        <f>IFERROR(D1416*E1416,0)</f>
        <v/>
      </c>
      <c r="G1416" s="101">
        <f>INDEX(SETORES!$B:$B,MATCH(A1416,SETORES!$A:$A,0))</f>
        <v/>
      </c>
      <c r="H1416" s="101" t="inlineStr">
        <is>
          <t>Julho/2026</t>
        </is>
      </c>
    </row>
    <row r="1417" hidden="1" ht="14.25" customHeight="1" s="64">
      <c r="A1417" s="106" t="inlineStr">
        <is>
          <t>Obras</t>
        </is>
      </c>
      <c r="B1417" s="106" t="inlineStr">
        <is>
          <t>Custo Fixo</t>
        </is>
      </c>
      <c r="C1417" s="106" t="inlineStr">
        <is>
          <t>Despesas com SST</t>
        </is>
      </c>
      <c r="D1417" s="107" t="n">
        <v>23</v>
      </c>
      <c r="E1417" s="108" t="n">
        <v>47.66</v>
      </c>
      <c r="F1417" s="109">
        <f>IFERROR(D1417*E1417,0)</f>
        <v/>
      </c>
      <c r="G1417" s="106">
        <f>INDEX(SETORES!$B:$B,MATCH(A1417,SETORES!$A:$A,0))</f>
        <v/>
      </c>
      <c r="H1417" s="106" t="inlineStr">
        <is>
          <t>Julho/2026</t>
        </is>
      </c>
    </row>
    <row r="1418" hidden="1" ht="14.25" customHeight="1" s="64">
      <c r="A1418" s="101" t="inlineStr">
        <is>
          <t>Oficina</t>
        </is>
      </c>
      <c r="B1418" s="101" t="inlineStr">
        <is>
          <t>Custo Fixo</t>
        </is>
      </c>
      <c r="C1418" s="101" t="inlineStr">
        <is>
          <t>Despesas com RH</t>
        </is>
      </c>
      <c r="D1418" s="102" t="n">
        <v>4</v>
      </c>
      <c r="E1418" s="103" t="n">
        <v>29.74</v>
      </c>
      <c r="F1418" s="104">
        <f>IFERROR(D1418*E1418,0)</f>
        <v/>
      </c>
      <c r="G1418" s="101">
        <f>INDEX(SETORES!$B:$B,MATCH(A1418,SETORES!$A:$A,0))</f>
        <v/>
      </c>
      <c r="H1418" s="101" t="inlineStr">
        <is>
          <t>Julho/2026</t>
        </is>
      </c>
    </row>
    <row r="1419" hidden="1" ht="14.25" customHeight="1" s="64">
      <c r="A1419" s="106" t="inlineStr">
        <is>
          <t>Oficina</t>
        </is>
      </c>
      <c r="B1419" s="106" t="inlineStr">
        <is>
          <t>Custo Fixo</t>
        </is>
      </c>
      <c r="C1419" s="106" t="inlineStr">
        <is>
          <t>Despesas com DP</t>
        </is>
      </c>
      <c r="D1419" s="107" t="n">
        <v>4</v>
      </c>
      <c r="E1419" s="108" t="n">
        <v>43.54</v>
      </c>
      <c r="F1419" s="109">
        <f>IFERROR(D1419*E1419,0)</f>
        <v/>
      </c>
      <c r="G1419" s="106">
        <f>INDEX(SETORES!$B:$B,MATCH(A1419,SETORES!$A:$A,0))</f>
        <v/>
      </c>
      <c r="H1419" s="106" t="inlineStr">
        <is>
          <t>Julho/2026</t>
        </is>
      </c>
    </row>
    <row r="1420" hidden="1" ht="14.25" customHeight="1" s="64">
      <c r="A1420" s="101" t="inlineStr">
        <is>
          <t>Oficina</t>
        </is>
      </c>
      <c r="B1420" s="101" t="inlineStr">
        <is>
          <t>Custo Fixo</t>
        </is>
      </c>
      <c r="C1420" s="101" t="inlineStr">
        <is>
          <t>Despesas com SST</t>
        </is>
      </c>
      <c r="D1420" s="102" t="n">
        <v>4</v>
      </c>
      <c r="E1420" s="103" t="n">
        <v>47.66</v>
      </c>
      <c r="F1420" s="104">
        <f>IFERROR(D1420*E1420,0)</f>
        <v/>
      </c>
      <c r="G1420" s="101">
        <f>INDEX(SETORES!$B:$B,MATCH(A1420,SETORES!$A:$A,0))</f>
        <v/>
      </c>
      <c r="H1420" s="101" t="inlineStr">
        <is>
          <t>Julho/2026</t>
        </is>
      </c>
    </row>
    <row r="1421" hidden="1" ht="14.25" customHeight="1" s="64">
      <c r="A1421" s="106" t="inlineStr">
        <is>
          <t>RH</t>
        </is>
      </c>
      <c r="B1421" s="106" t="inlineStr">
        <is>
          <t>Custo Fixo</t>
        </is>
      </c>
      <c r="C1421" s="106" t="inlineStr">
        <is>
          <t>Despesas com RH</t>
        </is>
      </c>
      <c r="D1421" s="107" t="n">
        <v>6</v>
      </c>
      <c r="E1421" s="108" t="n">
        <v>29.74</v>
      </c>
      <c r="F1421" s="109">
        <f>IFERROR(D1421*E1421,0)</f>
        <v/>
      </c>
      <c r="G1421" s="106">
        <f>INDEX(SETORES!$B:$B,MATCH(A1421,SETORES!$A:$A,0))</f>
        <v/>
      </c>
      <c r="H1421" s="106" t="inlineStr">
        <is>
          <t>Julho/2026</t>
        </is>
      </c>
    </row>
    <row r="1422" hidden="1" ht="14.25" customHeight="1" s="64">
      <c r="A1422" s="101" t="inlineStr">
        <is>
          <t>RH</t>
        </is>
      </c>
      <c r="B1422" s="101" t="inlineStr">
        <is>
          <t>Custo Fixo</t>
        </is>
      </c>
      <c r="C1422" s="101" t="inlineStr">
        <is>
          <t>Despesas com DP</t>
        </is>
      </c>
      <c r="D1422" s="102" t="n">
        <v>6</v>
      </c>
      <c r="E1422" s="103" t="n">
        <v>43.54</v>
      </c>
      <c r="F1422" s="104">
        <f>IFERROR(D1422*E1422,0)</f>
        <v/>
      </c>
      <c r="G1422" s="101">
        <f>INDEX(SETORES!$B:$B,MATCH(A1422,SETORES!$A:$A,0))</f>
        <v/>
      </c>
      <c r="H1422" s="101" t="inlineStr">
        <is>
          <t>Julho/2026</t>
        </is>
      </c>
    </row>
    <row r="1423" hidden="1" ht="14.25" customHeight="1" s="64">
      <c r="A1423" s="106" t="inlineStr">
        <is>
          <t>RH</t>
        </is>
      </c>
      <c r="B1423" s="106" t="inlineStr">
        <is>
          <t>Custo Fixo</t>
        </is>
      </c>
      <c r="C1423" s="106" t="inlineStr">
        <is>
          <t>Despesas com SST</t>
        </is>
      </c>
      <c r="D1423" s="107" t="n">
        <v>6</v>
      </c>
      <c r="E1423" s="108" t="n">
        <v>47.66</v>
      </c>
      <c r="F1423" s="109">
        <f>IFERROR(D1423*E1423,0)</f>
        <v/>
      </c>
      <c r="G1423" s="106">
        <f>INDEX(SETORES!$B:$B,MATCH(A1423,SETORES!$A:$A,0))</f>
        <v/>
      </c>
      <c r="H1423" s="106" t="inlineStr">
        <is>
          <t>Julho/2026</t>
        </is>
      </c>
    </row>
    <row r="1424" hidden="1" ht="14.25" customHeight="1" s="64">
      <c r="A1424" s="101" t="inlineStr">
        <is>
          <t>Retenção</t>
        </is>
      </c>
      <c r="B1424" s="101" t="inlineStr">
        <is>
          <t>Custo Fixo</t>
        </is>
      </c>
      <c r="C1424" s="101" t="inlineStr">
        <is>
          <t>Despesas com RH</t>
        </is>
      </c>
      <c r="D1424" s="102" t="n">
        <v>12</v>
      </c>
      <c r="E1424" s="103" t="n">
        <v>29.74</v>
      </c>
      <c r="F1424" s="104">
        <f>IFERROR(D1424*E1424,0)</f>
        <v/>
      </c>
      <c r="G1424" s="101">
        <f>INDEX(SETORES!$B:$B,MATCH(A1424,SETORES!$A:$A,0))</f>
        <v/>
      </c>
      <c r="H1424" s="101" t="inlineStr">
        <is>
          <t>Julho/2026</t>
        </is>
      </c>
    </row>
    <row r="1425" hidden="1" ht="14.25" customHeight="1" s="64">
      <c r="A1425" s="106" t="inlineStr">
        <is>
          <t>Retenção</t>
        </is>
      </c>
      <c r="B1425" s="106" t="inlineStr">
        <is>
          <t>Custo Fixo</t>
        </is>
      </c>
      <c r="C1425" s="106" t="inlineStr">
        <is>
          <t>Despesas com DP</t>
        </is>
      </c>
      <c r="D1425" s="107" t="n">
        <v>12</v>
      </c>
      <c r="E1425" s="108" t="n">
        <v>43.54</v>
      </c>
      <c r="F1425" s="109">
        <f>IFERROR(D1425*E1425,0)</f>
        <v/>
      </c>
      <c r="G1425" s="106">
        <f>INDEX(SETORES!$B:$B,MATCH(A1425,SETORES!$A:$A,0))</f>
        <v/>
      </c>
      <c r="H1425" s="106" t="inlineStr">
        <is>
          <t>Julho/2026</t>
        </is>
      </c>
    </row>
    <row r="1426" hidden="1" ht="14.25" customHeight="1" s="64">
      <c r="A1426" s="101" t="inlineStr">
        <is>
          <t>Retenção</t>
        </is>
      </c>
      <c r="B1426" s="101" t="inlineStr">
        <is>
          <t>Custo Fixo</t>
        </is>
      </c>
      <c r="C1426" s="101" t="inlineStr">
        <is>
          <t>Despesas com SST</t>
        </is>
      </c>
      <c r="D1426" s="102" t="n">
        <v>12</v>
      </c>
      <c r="E1426" s="103" t="n">
        <v>47.66</v>
      </c>
      <c r="F1426" s="104">
        <f>IFERROR(D1426*E1426,0)</f>
        <v/>
      </c>
      <c r="G1426" s="101">
        <f>INDEX(SETORES!$B:$B,MATCH(A1426,SETORES!$A:$A,0))</f>
        <v/>
      </c>
      <c r="H1426" s="101" t="inlineStr">
        <is>
          <t>Julho/2026</t>
        </is>
      </c>
    </row>
    <row r="1427" hidden="1" ht="14.25" customHeight="1" s="64">
      <c r="A1427" s="106" t="inlineStr">
        <is>
          <t>Segurança do Trabalho</t>
        </is>
      </c>
      <c r="B1427" s="106" t="inlineStr">
        <is>
          <t>Custo Fixo</t>
        </is>
      </c>
      <c r="C1427" s="106" t="inlineStr">
        <is>
          <t>Despesas com RH</t>
        </is>
      </c>
      <c r="D1427" s="107" t="n">
        <v>9</v>
      </c>
      <c r="E1427" s="108" t="n">
        <v>29.74</v>
      </c>
      <c r="F1427" s="109">
        <f>IFERROR(D1427*E1427,0)</f>
        <v/>
      </c>
      <c r="G1427" s="106">
        <f>INDEX(SETORES!$B:$B,MATCH(A1427,SETORES!$A:$A,0))</f>
        <v/>
      </c>
      <c r="H1427" s="106" t="inlineStr">
        <is>
          <t>Julho/2026</t>
        </is>
      </c>
    </row>
    <row r="1428" hidden="1" ht="14.25" customHeight="1" s="64">
      <c r="A1428" s="101" t="inlineStr">
        <is>
          <t>Segurança do Trabalho</t>
        </is>
      </c>
      <c r="B1428" s="101" t="inlineStr">
        <is>
          <t>Custo Fixo</t>
        </is>
      </c>
      <c r="C1428" s="101" t="inlineStr">
        <is>
          <t>Despesas com DP</t>
        </is>
      </c>
      <c r="D1428" s="102" t="n">
        <v>9</v>
      </c>
      <c r="E1428" s="103" t="n">
        <v>43.54</v>
      </c>
      <c r="F1428" s="104">
        <f>IFERROR(D1428*E1428,0)</f>
        <v/>
      </c>
      <c r="G1428" s="101">
        <f>INDEX(SETORES!$B:$B,MATCH(A1428,SETORES!$A:$A,0))</f>
        <v/>
      </c>
      <c r="H1428" s="101" t="inlineStr">
        <is>
          <t>Julho/2026</t>
        </is>
      </c>
    </row>
    <row r="1429" hidden="1" ht="14.25" customHeight="1" s="64">
      <c r="A1429" s="106" t="inlineStr">
        <is>
          <t>Segurança do Trabalho</t>
        </is>
      </c>
      <c r="B1429" s="106" t="inlineStr">
        <is>
          <t>Custo Fixo</t>
        </is>
      </c>
      <c r="C1429" s="106" t="inlineStr">
        <is>
          <t>Despesas com SST</t>
        </is>
      </c>
      <c r="D1429" s="107" t="n">
        <v>9</v>
      </c>
      <c r="E1429" s="108" t="n">
        <v>47.66</v>
      </c>
      <c r="F1429" s="109">
        <f>IFERROR(D1429*E1429,0)</f>
        <v/>
      </c>
      <c r="G1429" s="106">
        <f>INDEX(SETORES!$B:$B,MATCH(A1429,SETORES!$A:$A,0))</f>
        <v/>
      </c>
      <c r="H1429" s="106" t="inlineStr">
        <is>
          <t>Julho/2026</t>
        </is>
      </c>
    </row>
    <row r="1430" hidden="1" ht="14.25" customHeight="1" s="64">
      <c r="A1430" s="101" t="inlineStr">
        <is>
          <t>Suporte Orbix</t>
        </is>
      </c>
      <c r="B1430" s="101" t="inlineStr">
        <is>
          <t>Custo Fixo</t>
        </is>
      </c>
      <c r="C1430" s="101" t="inlineStr">
        <is>
          <t>Despesas com RH</t>
        </is>
      </c>
      <c r="D1430" s="102" t="n">
        <v>8</v>
      </c>
      <c r="E1430" s="103" t="n">
        <v>29.74</v>
      </c>
      <c r="F1430" s="104">
        <f>IFERROR(D1430*E1430,0)</f>
        <v/>
      </c>
      <c r="G1430" s="101">
        <f>INDEX(SETORES!$B:$B,MATCH(A1430,SETORES!$A:$A,0))</f>
        <v/>
      </c>
      <c r="H1430" s="101" t="inlineStr">
        <is>
          <t>Julho/2026</t>
        </is>
      </c>
    </row>
    <row r="1431" hidden="1" ht="14.25" customHeight="1" s="64">
      <c r="A1431" s="106" t="inlineStr">
        <is>
          <t>Suporte Orbix</t>
        </is>
      </c>
      <c r="B1431" s="106" t="inlineStr">
        <is>
          <t>Custo Fixo</t>
        </is>
      </c>
      <c r="C1431" s="106" t="inlineStr">
        <is>
          <t>Despesas com DP</t>
        </is>
      </c>
      <c r="D1431" s="107" t="n">
        <v>8</v>
      </c>
      <c r="E1431" s="108" t="n">
        <v>43.54</v>
      </c>
      <c r="F1431" s="109">
        <f>IFERROR(D1431*E1431,0)</f>
        <v/>
      </c>
      <c r="G1431" s="106">
        <f>INDEX(SETORES!$B:$B,MATCH(A1431,SETORES!$A:$A,0))</f>
        <v/>
      </c>
      <c r="H1431" s="106" t="inlineStr">
        <is>
          <t>Julho/2026</t>
        </is>
      </c>
    </row>
    <row r="1432" hidden="1" ht="14.25" customHeight="1" s="64">
      <c r="A1432" s="101" t="inlineStr">
        <is>
          <t>Suporte Orbix</t>
        </is>
      </c>
      <c r="B1432" s="101" t="inlineStr">
        <is>
          <t>Custo Fixo</t>
        </is>
      </c>
      <c r="C1432" s="101" t="inlineStr">
        <is>
          <t>Despesas com SST</t>
        </is>
      </c>
      <c r="D1432" s="102" t="n">
        <v>8</v>
      </c>
      <c r="E1432" s="103" t="n">
        <v>47.66</v>
      </c>
      <c r="F1432" s="104">
        <f>IFERROR(D1432*E1432,0)</f>
        <v/>
      </c>
      <c r="G1432" s="101">
        <f>INDEX(SETORES!$B:$B,MATCH(A1432,SETORES!$A:$A,0))</f>
        <v/>
      </c>
      <c r="H1432" s="101" t="inlineStr">
        <is>
          <t>Julho/2026</t>
        </is>
      </c>
    </row>
    <row r="1433" hidden="1" ht="14.25" customHeight="1" s="64">
      <c r="A1433" s="106" t="inlineStr">
        <is>
          <t>Suporte da Central</t>
        </is>
      </c>
      <c r="B1433" s="106" t="inlineStr">
        <is>
          <t>Custo Fixo</t>
        </is>
      </c>
      <c r="C1433" s="106" t="inlineStr">
        <is>
          <t>Despesas com RH</t>
        </is>
      </c>
      <c r="D1433" s="107" t="n">
        <v>33</v>
      </c>
      <c r="E1433" s="108" t="n">
        <v>29.74</v>
      </c>
      <c r="F1433" s="109">
        <f>IFERROR(D1433*E1433,0)</f>
        <v/>
      </c>
      <c r="G1433" s="106">
        <f>INDEX(SETORES!$B:$B,MATCH(A1433,SETORES!$A:$A,0))</f>
        <v/>
      </c>
      <c r="H1433" s="106" t="inlineStr">
        <is>
          <t>Julho/2026</t>
        </is>
      </c>
    </row>
    <row r="1434" hidden="1" ht="14.25" customHeight="1" s="64">
      <c r="A1434" s="101" t="inlineStr">
        <is>
          <t>Suporte da Central</t>
        </is>
      </c>
      <c r="B1434" s="101" t="inlineStr">
        <is>
          <t>Custo Fixo</t>
        </is>
      </c>
      <c r="C1434" s="101" t="inlineStr">
        <is>
          <t>Despesas com DP</t>
        </is>
      </c>
      <c r="D1434" s="102" t="n">
        <v>33</v>
      </c>
      <c r="E1434" s="103" t="n">
        <v>43.54</v>
      </c>
      <c r="F1434" s="104">
        <f>IFERROR(D1434*E1434,0)</f>
        <v/>
      </c>
      <c r="G1434" s="101">
        <f>INDEX(SETORES!$B:$B,MATCH(A1434,SETORES!$A:$A,0))</f>
        <v/>
      </c>
      <c r="H1434" s="101" t="inlineStr">
        <is>
          <t>Julho/2026</t>
        </is>
      </c>
    </row>
    <row r="1435" hidden="1" ht="14.25" customHeight="1" s="64">
      <c r="A1435" s="106" t="inlineStr">
        <is>
          <t>Suporte da Central</t>
        </is>
      </c>
      <c r="B1435" s="106" t="inlineStr">
        <is>
          <t>Custo Fixo</t>
        </is>
      </c>
      <c r="C1435" s="106" t="inlineStr">
        <is>
          <t>Despesas com SST</t>
        </is>
      </c>
      <c r="D1435" s="107" t="n">
        <v>33</v>
      </c>
      <c r="E1435" s="108" t="n">
        <v>47.66</v>
      </c>
      <c r="F1435" s="109">
        <f>IFERROR(D1435*E1435,0)</f>
        <v/>
      </c>
      <c r="G1435" s="106">
        <f>INDEX(SETORES!$B:$B,MATCH(A1435,SETORES!$A:$A,0))</f>
        <v/>
      </c>
      <c r="H1435" s="106" t="inlineStr">
        <is>
          <t>Julho/2026</t>
        </is>
      </c>
    </row>
    <row r="1436" hidden="1" ht="14.25" customHeight="1" s="64">
      <c r="A1436" s="101" t="inlineStr">
        <is>
          <t>Televendas</t>
        </is>
      </c>
      <c r="B1436" s="101" t="inlineStr">
        <is>
          <t>Custo Fixo</t>
        </is>
      </c>
      <c r="C1436" s="101" t="inlineStr">
        <is>
          <t>Despesas com RH</t>
        </is>
      </c>
      <c r="D1436" s="102" t="n">
        <v>13</v>
      </c>
      <c r="E1436" s="103" t="n">
        <v>29.74</v>
      </c>
      <c r="F1436" s="104" t="n">
        <v>386.62</v>
      </c>
      <c r="G1436" s="101">
        <f>INDEX(SETORES!$B:$B,MATCH(A1436,SETORES!$A:$A,0))</f>
        <v/>
      </c>
      <c r="H1436" s="101" t="inlineStr">
        <is>
          <t>Julho/2026</t>
        </is>
      </c>
    </row>
    <row r="1437" hidden="1" ht="14.25" customHeight="1" s="64">
      <c r="A1437" s="106" t="inlineStr">
        <is>
          <t>Televendas</t>
        </is>
      </c>
      <c r="B1437" s="106" t="inlineStr">
        <is>
          <t>Custo Fixo</t>
        </is>
      </c>
      <c r="C1437" s="106" t="inlineStr">
        <is>
          <t>Despesas com DP</t>
        </is>
      </c>
      <c r="D1437" s="107" t="n">
        <v>13</v>
      </c>
      <c r="E1437" s="108" t="n">
        <v>43.54</v>
      </c>
      <c r="F1437" s="109" t="n">
        <v>566.02</v>
      </c>
      <c r="G1437" s="106">
        <f>INDEX(SETORES!$B:$B,MATCH(A1437,SETORES!$A:$A,0))</f>
        <v/>
      </c>
      <c r="H1437" s="106" t="inlineStr">
        <is>
          <t>Julho/2026</t>
        </is>
      </c>
    </row>
    <row r="1438" hidden="1" ht="14.25" customHeight="1" s="64">
      <c r="A1438" s="101" t="inlineStr">
        <is>
          <t>Televendas</t>
        </is>
      </c>
      <c r="B1438" s="101" t="inlineStr">
        <is>
          <t>Custo Fixo</t>
        </is>
      </c>
      <c r="C1438" s="101" t="inlineStr">
        <is>
          <t>Despesas com SST</t>
        </is>
      </c>
      <c r="D1438" s="102" t="n">
        <v>13</v>
      </c>
      <c r="E1438" s="103" t="n">
        <v>47.66</v>
      </c>
      <c r="F1438" s="104" t="n">
        <v>619.58</v>
      </c>
      <c r="G1438" s="101">
        <f>INDEX(SETORES!$B:$B,MATCH(A1438,SETORES!$A:$A,0))</f>
        <v/>
      </c>
      <c r="H1438" s="101" t="inlineStr">
        <is>
          <t>Julho/2026</t>
        </is>
      </c>
    </row>
    <row r="1439" hidden="1" ht="14.25" customHeight="1" s="64">
      <c r="A1439" s="106" t="inlineStr">
        <is>
          <t>Comercial Corporativo</t>
        </is>
      </c>
      <c r="B1439" s="106" t="inlineStr">
        <is>
          <t>Custo Fixo</t>
        </is>
      </c>
      <c r="C1439" s="106" t="inlineStr">
        <is>
          <t>Plataforma de licitações (pago anual em julho, ref. 12 meses)</t>
        </is>
      </c>
      <c r="D1439" s="107" t="n">
        <v>1</v>
      </c>
      <c r="E1439" s="108" t="n">
        <v>106.58</v>
      </c>
      <c r="F1439" s="109">
        <f>IFERROR(D1439*E1439,0)</f>
        <v/>
      </c>
      <c r="G1439" s="106">
        <f>INDEX(SETORES!$B:$B,MATCH(A1439,SETORES!$A:$A,0))</f>
        <v/>
      </c>
      <c r="H1439" s="106" t="inlineStr">
        <is>
          <t>Julho/2026</t>
        </is>
      </c>
    </row>
    <row r="1440" hidden="1" ht="14.25" customHeight="1" s="64">
      <c r="A1440" s="101" t="inlineStr">
        <is>
          <t>Televendas</t>
        </is>
      </c>
      <c r="B1440" s="101" t="inlineStr">
        <is>
          <t>Custo Fixo</t>
        </is>
      </c>
      <c r="C1440" s="101" t="inlineStr">
        <is>
          <t>Impressora (rateio equipe Relacionamento)</t>
        </is>
      </c>
      <c r="D1440" s="102" t="n">
        <v>1</v>
      </c>
      <c r="E1440" s="103" t="n">
        <v>2.727868</v>
      </c>
      <c r="F1440" s="104">
        <f>IFERROR(D1440*E1440,0)</f>
        <v/>
      </c>
      <c r="G1440" s="101">
        <f>INDEX(SETORES!$B:$B,MATCH(A1440,SETORES!$A:$A,0))</f>
        <v/>
      </c>
      <c r="H1440" s="101" t="inlineStr">
        <is>
          <t>Julho/2026</t>
        </is>
      </c>
    </row>
    <row r="1441" hidden="1" ht="14.25" customHeight="1" s="64">
      <c r="A1441" s="106" t="inlineStr">
        <is>
          <t>Compras</t>
        </is>
      </c>
      <c r="B1441" s="106" t="inlineStr">
        <is>
          <t>Custo Variável</t>
        </is>
      </c>
      <c r="C1441" s="106" t="inlineStr">
        <is>
          <t>Combustível de frota</t>
        </is>
      </c>
      <c r="D1441" s="107" t="n">
        <v>1</v>
      </c>
      <c r="E1441" s="108" t="n">
        <v>811.2</v>
      </c>
      <c r="F1441" s="109">
        <f>IFERROR(D1441*E1441,0)</f>
        <v/>
      </c>
      <c r="G1441" s="106">
        <f>INDEX(SETORES!$B:$B,MATCH(A1441,SETORES!$A:$A,0))</f>
        <v/>
      </c>
      <c r="H1441" s="106" t="inlineStr">
        <is>
          <t>Julho/2026</t>
        </is>
      </c>
    </row>
    <row r="1442" hidden="1" ht="14.25" customHeight="1" s="64">
      <c r="A1442" s="101" t="inlineStr">
        <is>
          <t>Contabilidade</t>
        </is>
      </c>
      <c r="B1442" s="101" t="inlineStr">
        <is>
          <t>Custo Variável</t>
        </is>
      </c>
      <c r="C1442" s="101" t="inlineStr">
        <is>
          <t>Exames médicos</t>
        </is>
      </c>
      <c r="D1442" s="102" t="n">
        <v>1</v>
      </c>
      <c r="E1442" s="103" t="n">
        <v>65</v>
      </c>
      <c r="F1442" s="104">
        <f>IFERROR(D1442*E1442,0)</f>
        <v/>
      </c>
      <c r="G1442" s="101">
        <f>INDEX(SETORES!$B:$B,MATCH(A1442,SETORES!$A:$A,0))</f>
        <v/>
      </c>
      <c r="H1442" s="101" t="inlineStr">
        <is>
          <t>Julho/2026</t>
        </is>
      </c>
    </row>
    <row r="1443" hidden="1" ht="14.25" customHeight="1" s="64">
      <c r="A1443" s="106" t="inlineStr">
        <is>
          <t>Suporte da Central</t>
        </is>
      </c>
      <c r="B1443" s="106" t="inlineStr">
        <is>
          <t>Custo Variável</t>
        </is>
      </c>
      <c r="C1443" s="106" t="inlineStr">
        <is>
          <t>Rescisões trabalhistas</t>
        </is>
      </c>
      <c r="D1443" s="107" t="n">
        <v>1</v>
      </c>
      <c r="E1443" s="108" t="n">
        <v>89098.12</v>
      </c>
      <c r="F1443" s="109">
        <f>IFERROR(D1443*E1443,0)</f>
        <v/>
      </c>
      <c r="G1443" s="106">
        <f>INDEX(SETORES!$B:$B,MATCH(A1443,SETORES!$A:$A,0))</f>
        <v/>
      </c>
      <c r="H1443" s="106" t="inlineStr">
        <is>
          <t>Julho/2026</t>
        </is>
      </c>
    </row>
    <row r="1444" hidden="1" ht="14.25" customHeight="1" s="64">
      <c r="A1444" s="101" t="inlineStr">
        <is>
          <t>Televendas</t>
        </is>
      </c>
      <c r="B1444" s="101" t="inlineStr">
        <is>
          <t>Custo Variável</t>
        </is>
      </c>
      <c r="C1444" s="101" t="inlineStr">
        <is>
          <t>Rescisões trabalhistas</t>
        </is>
      </c>
      <c r="D1444" s="102" t="n">
        <v>1</v>
      </c>
      <c r="E1444" s="103" t="n">
        <v>5737.4</v>
      </c>
      <c r="F1444" s="104">
        <f>IFERROR(D1444*E1444,0)</f>
        <v/>
      </c>
      <c r="G1444" s="101">
        <f>INDEX(SETORES!$B:$B,MATCH(A1444,SETORES!$A:$A,0))</f>
        <v/>
      </c>
      <c r="H1444" s="101" t="inlineStr">
        <is>
          <t>Julho/2026</t>
        </is>
      </c>
    </row>
    <row r="1445" hidden="1" ht="14.25" customHeight="1" s="64">
      <c r="A1445" s="106" t="inlineStr">
        <is>
          <t>CAC</t>
        </is>
      </c>
      <c r="B1445" s="106" t="inlineStr">
        <is>
          <t>Custo Variável</t>
        </is>
      </c>
      <c r="C1445" s="106" t="inlineStr">
        <is>
          <t>Rescisões trabalhistas</t>
        </is>
      </c>
      <c r="D1445" s="107" t="n"/>
      <c r="E1445" s="108" t="n"/>
      <c r="F1445" s="109">
        <f>IFERROR(D1445*E1445,0)</f>
        <v/>
      </c>
      <c r="G1445" s="106">
        <f>INDEX(SETORES!$B:$B,MATCH(A1445,SETORES!$A:$A,0))</f>
        <v/>
      </c>
      <c r="H1445" s="106" t="inlineStr">
        <is>
          <t>Julho/2026</t>
        </is>
      </c>
    </row>
    <row r="1446" hidden="1" ht="14.25" customHeight="1" s="64">
      <c r="A1446" s="101" t="inlineStr">
        <is>
          <t>NOC</t>
        </is>
      </c>
      <c r="B1446" s="101" t="inlineStr">
        <is>
          <t>Custo Variável</t>
        </is>
      </c>
      <c r="C1446" s="101" t="inlineStr">
        <is>
          <t>Rescisões trabalhistas</t>
        </is>
      </c>
      <c r="D1446" s="102" t="n">
        <v>1</v>
      </c>
      <c r="E1446" s="103" t="n">
        <v>13047.79</v>
      </c>
      <c r="F1446" s="104">
        <f>IFERROR(D1446*E1446,0)</f>
        <v/>
      </c>
      <c r="G1446" s="101">
        <f>INDEX(SETORES!$B:$B,MATCH(A1446,SETORES!$A:$A,0))</f>
        <v/>
      </c>
      <c r="H1446" s="101" t="inlineStr">
        <is>
          <t>Julho/2026</t>
        </is>
      </c>
    </row>
    <row r="1447" hidden="1" ht="14.25" customHeight="1" s="64">
      <c r="A1447" s="106" t="inlineStr">
        <is>
          <t>Segurança do Trabalho</t>
        </is>
      </c>
      <c r="B1447" s="106" t="inlineStr">
        <is>
          <t>Custo Variável</t>
        </is>
      </c>
      <c r="C1447" s="106" t="inlineStr">
        <is>
          <t>Rescisões trabalhistas</t>
        </is>
      </c>
      <c r="D1447" s="107" t="n">
        <v>1</v>
      </c>
      <c r="E1447" s="108" t="n">
        <v>5236.96</v>
      </c>
      <c r="F1447" s="109">
        <f>IFERROR(D1447*E1447,0)</f>
        <v/>
      </c>
      <c r="G1447" s="106">
        <f>INDEX(SETORES!$B:$B,MATCH(A1447,SETORES!$A:$A,0))</f>
        <v/>
      </c>
      <c r="H1447" s="106" t="inlineStr">
        <is>
          <t>Julho/2026</t>
        </is>
      </c>
    </row>
    <row r="1448" ht="14.25" customHeight="1" s="64">
      <c r="A1448" s="101" t="inlineStr">
        <is>
          <t>Administrativo</t>
        </is>
      </c>
      <c r="B1448" s="101" t="inlineStr">
        <is>
          <t>Custo Variável</t>
        </is>
      </c>
      <c r="C1448" s="101" t="inlineStr">
        <is>
          <t>Rescisões trabalhistas</t>
        </is>
      </c>
      <c r="D1448" s="102" t="n"/>
      <c r="E1448" s="103" t="n"/>
      <c r="F1448" s="104" t="n">
        <v>0</v>
      </c>
      <c r="G1448" s="101">
        <f>INDEX(SETORES!$B:$B,MATCH(A1448,SETORES!$A:$A,0))</f>
        <v/>
      </c>
      <c r="H1448" s="101" t="inlineStr">
        <is>
          <t>Julho/2026</t>
        </is>
      </c>
    </row>
    <row r="1449" hidden="1" ht="14.25" customHeight="1" s="64">
      <c r="A1449" s="106" t="inlineStr">
        <is>
          <t>Suporte Orbix</t>
        </is>
      </c>
      <c r="B1449" s="106" t="inlineStr">
        <is>
          <t>Custo Variável</t>
        </is>
      </c>
      <c r="C1449" s="106" t="inlineStr">
        <is>
          <t>Rescisões trabalhistas</t>
        </is>
      </c>
      <c r="D1449" s="107" t="n"/>
      <c r="E1449" s="108" t="n"/>
      <c r="F1449" s="109">
        <f>IFERROR(D1449*E1449,0)</f>
        <v/>
      </c>
      <c r="G1449" s="106">
        <f>INDEX(SETORES!$B:$B,MATCH(A1449,SETORES!$A:$A,0))</f>
        <v/>
      </c>
      <c r="H1449" s="106" t="inlineStr">
        <is>
          <t>Julho/2026</t>
        </is>
      </c>
    </row>
    <row r="1450" hidden="1" ht="14.25" customHeight="1" s="64">
      <c r="A1450" s="101" t="inlineStr">
        <is>
          <t>Controladoria</t>
        </is>
      </c>
      <c r="B1450" s="101" t="inlineStr">
        <is>
          <t>Custo Variável</t>
        </is>
      </c>
      <c r="C1450" s="101" t="inlineStr">
        <is>
          <t>Combustível de frota</t>
        </is>
      </c>
      <c r="D1450" s="102" t="n">
        <v>1</v>
      </c>
      <c r="E1450" s="103" t="n">
        <v>1837.24</v>
      </c>
      <c r="F1450" s="104">
        <f>IFERROR(D1450*E1450,0)</f>
        <v/>
      </c>
      <c r="G1450" s="101">
        <f>INDEX(SETORES!$B:$B,MATCH(A1450,SETORES!$A:$A,0))</f>
        <v/>
      </c>
      <c r="H1450" s="101" t="inlineStr">
        <is>
          <t>Julho/2026</t>
        </is>
      </c>
    </row>
    <row r="1451" hidden="1" ht="14.25" customHeight="1" s="64">
      <c r="A1451" s="106" t="inlineStr">
        <is>
          <t>Logística</t>
        </is>
      </c>
      <c r="B1451" s="106" t="inlineStr">
        <is>
          <t>Custo Variável</t>
        </is>
      </c>
      <c r="C1451" s="106" t="inlineStr">
        <is>
          <t>Combustível de frota (gerador e veículos sem condutor identificado)</t>
        </is>
      </c>
      <c r="D1451" s="107" t="n">
        <v>1</v>
      </c>
      <c r="E1451" s="108" t="n">
        <v>21332.99</v>
      </c>
      <c r="F1451" s="109">
        <f>IFERROR(D1451*E1451,0)</f>
        <v/>
      </c>
      <c r="G1451" s="106">
        <f>INDEX(SETORES!$B:$B,MATCH(A1451,SETORES!$A:$A,0))</f>
        <v/>
      </c>
      <c r="H1451" s="106" t="inlineStr">
        <is>
          <t>Julho/2026</t>
        </is>
      </c>
    </row>
    <row r="1452" hidden="1" ht="14.25" customHeight="1" s="64">
      <c r="A1452" s="101" t="inlineStr">
        <is>
          <t>Qualidade</t>
        </is>
      </c>
      <c r="B1452" s="101" t="inlineStr">
        <is>
          <t>Custo Fixo</t>
        </is>
      </c>
      <c r="C1452" s="101" t="inlineStr">
        <is>
          <t>Folha de pagamento (salários)</t>
        </is>
      </c>
      <c r="D1452" s="102" t="n">
        <v>1</v>
      </c>
      <c r="E1452" s="103" t="n">
        <v>27856.75</v>
      </c>
      <c r="F1452" s="104">
        <f>IFERROR(E1452,0)</f>
        <v/>
      </c>
      <c r="G1452" s="101">
        <f>INDEX(SETORES!$B:$B,MATCH(A1452,SETORES!$A:$A,0))</f>
        <v/>
      </c>
      <c r="H1452" s="101" t="inlineStr">
        <is>
          <t>Julho/2026</t>
        </is>
      </c>
    </row>
    <row r="1453" hidden="1" ht="14.25" customHeight="1" s="64">
      <c r="A1453" s="106" t="inlineStr">
        <is>
          <t>Qualidade</t>
        </is>
      </c>
      <c r="B1453" s="106" t="inlineStr">
        <is>
          <t>Custo Fixo</t>
        </is>
      </c>
      <c r="C1453" s="106" t="inlineStr">
        <is>
          <t>Material de uso coletivo (copa/limpeza)</t>
        </is>
      </c>
      <c r="D1453" s="107" t="n">
        <v>1</v>
      </c>
      <c r="E1453" s="108" t="n">
        <v>176.73</v>
      </c>
      <c r="F1453" s="109" t="n">
        <v>176.73</v>
      </c>
      <c r="G1453" s="106">
        <f>INDEX(SETORES!$B:$B,MATCH(A1453,SETORES!$A:$A,0))</f>
        <v/>
      </c>
      <c r="H1453" s="106" t="inlineStr">
        <is>
          <t>Julho/2026</t>
        </is>
      </c>
    </row>
    <row r="1454" hidden="1" ht="14.25" customHeight="1" s="64">
      <c r="A1454" s="101" t="inlineStr">
        <is>
          <t>Qualidade</t>
        </is>
      </c>
      <c r="B1454" s="101" t="inlineStr">
        <is>
          <t>Custo Variável</t>
        </is>
      </c>
      <c r="C1454" s="101" t="inlineStr">
        <is>
          <t>Exames médicos</t>
        </is>
      </c>
      <c r="D1454" s="102" t="n">
        <v>1</v>
      </c>
      <c r="E1454" s="103" t="n">
        <v>35</v>
      </c>
      <c r="F1454" s="104">
        <f>IFERROR(D1454*E1454,0)</f>
        <v/>
      </c>
      <c r="G1454" s="101">
        <f>INDEX(SETORES!$B:$B,MATCH(A1454,SETORES!$A:$A,0))</f>
        <v/>
      </c>
      <c r="H1454" s="101" t="inlineStr">
        <is>
          <t>Julho/2026</t>
        </is>
      </c>
    </row>
    <row r="1455" hidden="1" ht="14.25" customHeight="1" s="64">
      <c r="A1455" s="106" t="inlineStr">
        <is>
          <t>Jurídico</t>
        </is>
      </c>
      <c r="B1455" s="106" t="inlineStr">
        <is>
          <t>Custo Fixo</t>
        </is>
      </c>
      <c r="C1455" s="106" t="inlineStr">
        <is>
          <t>Folha de pagamento (salários)</t>
        </is>
      </c>
      <c r="D1455" s="107" t="n">
        <v>1</v>
      </c>
      <c r="E1455" s="108" t="n">
        <v>6068.32</v>
      </c>
      <c r="F1455" s="109">
        <f>IFERROR(E1455,0)</f>
        <v/>
      </c>
      <c r="G1455" s="106">
        <f>INDEX(SETORES!$B:$B,MATCH(A1455,SETORES!$A:$A,0))</f>
        <v/>
      </c>
      <c r="H1455" s="106" t="inlineStr">
        <is>
          <t>Julho/2026</t>
        </is>
      </c>
    </row>
    <row r="1456" hidden="1" ht="14.25" customHeight="1" s="64">
      <c r="A1456" s="101" t="inlineStr">
        <is>
          <t>Jurídico</t>
        </is>
      </c>
      <c r="B1456" s="101" t="inlineStr">
        <is>
          <t>Custo Fixo</t>
        </is>
      </c>
      <c r="C1456" s="101" t="inlineStr">
        <is>
          <t>Material de uso coletivo (copa/limpeza)</t>
        </is>
      </c>
      <c r="D1456" s="102" t="n">
        <v>1</v>
      </c>
      <c r="E1456" s="103" t="n">
        <v>71.13</v>
      </c>
      <c r="F1456" s="104" t="n">
        <v>71.13</v>
      </c>
      <c r="G1456" s="101">
        <f>INDEX(SETORES!$B:$B,MATCH(A1456,SETORES!$A:$A,0))</f>
        <v/>
      </c>
      <c r="H1456" s="101" t="inlineStr">
        <is>
          <t>Julho/2026</t>
        </is>
      </c>
    </row>
    <row r="1457" hidden="1" ht="14.25" customHeight="1" s="64">
      <c r="A1457" s="106" t="inlineStr">
        <is>
          <t>Jurídico</t>
        </is>
      </c>
      <c r="B1457" s="106" t="inlineStr">
        <is>
          <t>Custo Variável</t>
        </is>
      </c>
      <c r="C1457" s="106" t="inlineStr">
        <is>
          <t>Combustível de frota</t>
        </is>
      </c>
      <c r="D1457" s="107" t="n">
        <v>1</v>
      </c>
      <c r="E1457" s="108" t="n">
        <v>1878.14</v>
      </c>
      <c r="F1457" s="109">
        <f>IFERROR(D1457*E1457,0)</f>
        <v/>
      </c>
      <c r="G1457" s="106">
        <f>INDEX(SETORES!$B:$B,MATCH(A1457,SETORES!$A:$A,0))</f>
        <v/>
      </c>
      <c r="H1457" s="106" t="inlineStr">
        <is>
          <t>Julho/2026</t>
        </is>
      </c>
    </row>
    <row r="1458" hidden="1" ht="14.25" customHeight="1" s="64">
      <c r="A1458" s="101" t="inlineStr">
        <is>
          <t>Marketing</t>
        </is>
      </c>
      <c r="B1458" s="101" t="inlineStr">
        <is>
          <t>Custo Fixo</t>
        </is>
      </c>
      <c r="C1458" s="101" t="inlineStr">
        <is>
          <t>Folha de pagamento (salários)</t>
        </is>
      </c>
      <c r="D1458" s="102" t="n">
        <v>1</v>
      </c>
      <c r="E1458" s="103" t="n">
        <v>55912.74</v>
      </c>
      <c r="F1458" s="104">
        <f>IFERROR(E1458,0)</f>
        <v/>
      </c>
      <c r="G1458" s="101">
        <f>INDEX(SETORES!$B:$B,MATCH(A1458,SETORES!$A:$A,0))</f>
        <v/>
      </c>
      <c r="H1458" s="101" t="inlineStr">
        <is>
          <t>Julho/2026</t>
        </is>
      </c>
    </row>
    <row r="1459" hidden="1" ht="14.25" customHeight="1" s="64">
      <c r="A1459" s="106" t="inlineStr">
        <is>
          <t>Marketing</t>
        </is>
      </c>
      <c r="B1459" s="106" t="inlineStr">
        <is>
          <t>Custo Fixo</t>
        </is>
      </c>
      <c r="C1459" s="106" t="inlineStr">
        <is>
          <t>Material de uso coletivo (copa/limpeza)</t>
        </is>
      </c>
      <c r="D1459" s="107" t="n">
        <v>1</v>
      </c>
      <c r="E1459" s="108" t="n">
        <v>198.78</v>
      </c>
      <c r="F1459" s="109" t="n">
        <v>198.78</v>
      </c>
      <c r="G1459" s="106">
        <f>INDEX(SETORES!$B:$B,MATCH(A1459,SETORES!$A:$A,0))</f>
        <v/>
      </c>
      <c r="H1459" s="106" t="inlineStr">
        <is>
          <t>Julho/2026</t>
        </is>
      </c>
    </row>
    <row r="1460" hidden="1" ht="14.25" customHeight="1" s="64">
      <c r="A1460" s="101" t="inlineStr">
        <is>
          <t>Marketing</t>
        </is>
      </c>
      <c r="B1460" s="101" t="inlineStr">
        <is>
          <t>Custo Variável</t>
        </is>
      </c>
      <c r="C1460" s="101" t="inlineStr">
        <is>
          <t>Combustível de frota</t>
        </is>
      </c>
      <c r="D1460" s="102" t="n">
        <v>1</v>
      </c>
      <c r="E1460" s="103" t="n">
        <v>1223.23</v>
      </c>
      <c r="F1460" s="104">
        <f>IFERROR(D1460*E1460,0)</f>
        <v/>
      </c>
      <c r="G1460" s="101">
        <f>INDEX(SETORES!$B:$B,MATCH(A1460,SETORES!$A:$A,0))</f>
        <v/>
      </c>
      <c r="H1460" s="101" t="inlineStr">
        <is>
          <t>Julho/2026</t>
        </is>
      </c>
    </row>
    <row r="1461" hidden="1" ht="14.25" customHeight="1" s="64">
      <c r="A1461" s="106" t="inlineStr">
        <is>
          <t>Marketing</t>
        </is>
      </c>
      <c r="B1461" s="106" t="inlineStr">
        <is>
          <t>Custo Variável</t>
        </is>
      </c>
      <c r="C1461" s="106" t="inlineStr">
        <is>
          <t>Exames médicos</t>
        </is>
      </c>
      <c r="D1461" s="107" t="n">
        <v>1</v>
      </c>
      <c r="E1461" s="108" t="n">
        <v>65</v>
      </c>
      <c r="F1461" s="109">
        <f>IFERROR(D1461*E1461,0)</f>
        <v/>
      </c>
      <c r="G1461" s="106">
        <f>INDEX(SETORES!$B:$B,MATCH(A1461,SETORES!$A:$A,0))</f>
        <v/>
      </c>
      <c r="H1461" s="106" t="inlineStr">
        <is>
          <t>Julho/2026</t>
        </is>
      </c>
    </row>
    <row r="1462" hidden="1" ht="14.25" customHeight="1" s="64">
      <c r="A1462" s="101" t="inlineStr">
        <is>
          <t>TIC</t>
        </is>
      </c>
      <c r="B1462" s="101" t="inlineStr">
        <is>
          <t>Custo Fixo</t>
        </is>
      </c>
      <c r="C1462" s="101" t="inlineStr">
        <is>
          <t>Folha de pagamento (salários)</t>
        </is>
      </c>
      <c r="D1462" s="102" t="n">
        <v>1</v>
      </c>
      <c r="E1462" s="103" t="n">
        <v>32250.43</v>
      </c>
      <c r="F1462" s="104">
        <f>IFERROR(E1462,0)</f>
        <v/>
      </c>
      <c r="G1462" s="101">
        <f>INDEX(SETORES!$B:$B,MATCH(A1462,SETORES!$A:$A,0))</f>
        <v/>
      </c>
      <c r="H1462" s="101" t="inlineStr">
        <is>
          <t>Julho/2026</t>
        </is>
      </c>
    </row>
    <row r="1463" hidden="1" ht="14.25" customHeight="1" s="64">
      <c r="A1463" s="106" t="inlineStr">
        <is>
          <t>TIC</t>
        </is>
      </c>
      <c r="B1463" s="106" t="inlineStr">
        <is>
          <t>Custo Fixo</t>
        </is>
      </c>
      <c r="C1463" s="106" t="inlineStr">
        <is>
          <t>Material de uso coletivo (copa/limpeza)</t>
        </is>
      </c>
      <c r="D1463" s="107" t="n">
        <v>1</v>
      </c>
      <c r="E1463" s="108" t="n">
        <v>74.08</v>
      </c>
      <c r="F1463" s="109" t="n">
        <v>74.08</v>
      </c>
      <c r="G1463" s="106">
        <f>INDEX(SETORES!$B:$B,MATCH(A1463,SETORES!$A:$A,0))</f>
        <v/>
      </c>
      <c r="H1463" s="106" t="inlineStr">
        <is>
          <t>Julho/2026</t>
        </is>
      </c>
    </row>
    <row r="1464" hidden="1" ht="14.25" customHeight="1" s="64">
      <c r="A1464" s="101" t="inlineStr">
        <is>
          <t>COE</t>
        </is>
      </c>
      <c r="B1464" s="101" t="inlineStr">
        <is>
          <t>Custo Fixo</t>
        </is>
      </c>
      <c r="C1464" s="101" t="inlineStr">
        <is>
          <t>Folha de pagamento (salários)</t>
        </is>
      </c>
      <c r="D1464" s="102" t="n">
        <v>1</v>
      </c>
      <c r="E1464" s="103" t="n">
        <v>74369.92</v>
      </c>
      <c r="F1464" s="104">
        <f>IFERROR(E1464,0)</f>
        <v/>
      </c>
      <c r="G1464" s="101">
        <f>INDEX(SETORES!$B:$B,MATCH(A1464,SETORES!$A:$A,0))</f>
        <v/>
      </c>
      <c r="H1464" s="101" t="inlineStr">
        <is>
          <t>Julho/2026</t>
        </is>
      </c>
    </row>
    <row r="1465" hidden="1" ht="14.25" customHeight="1" s="64">
      <c r="A1465" s="106" t="inlineStr">
        <is>
          <t>Fique Móvel</t>
        </is>
      </c>
      <c r="B1465" s="106" t="inlineStr">
        <is>
          <t>Custo Fixo</t>
        </is>
      </c>
      <c r="C1465" s="106" t="inlineStr">
        <is>
          <t>Folha de pagamento (salários)</t>
        </is>
      </c>
      <c r="D1465" s="107" t="n">
        <v>1</v>
      </c>
      <c r="E1465" s="108" t="n">
        <v>13569.86</v>
      </c>
      <c r="F1465" s="109">
        <f>IFERROR(E1465,0)</f>
        <v/>
      </c>
      <c r="G1465" s="106">
        <f>INDEX(SETORES!$B:$B,MATCH(A1465,SETORES!$A:$A,0))</f>
        <v/>
      </c>
      <c r="H1465" s="106" t="inlineStr">
        <is>
          <t>Julho/2026</t>
        </is>
      </c>
    </row>
    <row r="1466" hidden="1" ht="14.25" customHeight="1" s="64">
      <c r="A1466" s="101" t="inlineStr">
        <is>
          <t>Lançamento</t>
        </is>
      </c>
      <c r="B1466" s="101" t="inlineStr">
        <is>
          <t>Custo Fixo</t>
        </is>
      </c>
      <c r="C1466" s="101" t="inlineStr">
        <is>
          <t>Folha de pagamento (salários)</t>
        </is>
      </c>
      <c r="D1466" s="102" t="n">
        <v>1</v>
      </c>
      <c r="E1466" s="103" t="n">
        <v>158087.5</v>
      </c>
      <c r="F1466" s="104">
        <f>IFERROR(E1466,0)</f>
        <v/>
      </c>
      <c r="G1466" s="101">
        <f>INDEX(SETORES!$B:$B,MATCH(A1466,SETORES!$A:$A,0))</f>
        <v/>
      </c>
      <c r="H1466" s="101" t="inlineStr">
        <is>
          <t>Julho/2026</t>
        </is>
      </c>
    </row>
    <row r="1467" hidden="1" ht="14.25" customHeight="1" s="64">
      <c r="A1467" s="106" t="inlineStr">
        <is>
          <t>Lançamento</t>
        </is>
      </c>
      <c r="B1467" s="106" t="inlineStr">
        <is>
          <t>Custo Variável</t>
        </is>
      </c>
      <c r="C1467" s="106" t="inlineStr">
        <is>
          <t>Combustível de frota</t>
        </is>
      </c>
      <c r="D1467" s="107" t="n">
        <v>1</v>
      </c>
      <c r="E1467" s="108" t="n">
        <v>7771.58</v>
      </c>
      <c r="F1467" s="109">
        <f>IFERROR(D1467*E1467,0)</f>
        <v/>
      </c>
      <c r="G1467" s="106">
        <f>INDEX(SETORES!$B:$B,MATCH(A1467,SETORES!$A:$A,0))</f>
        <v/>
      </c>
      <c r="H1467" s="106" t="inlineStr">
        <is>
          <t>Julho/2026</t>
        </is>
      </c>
    </row>
    <row r="1468" hidden="1" ht="14.25" customHeight="1" s="64">
      <c r="A1468" s="101" t="inlineStr">
        <is>
          <t>Lançamento</t>
        </is>
      </c>
      <c r="B1468" s="101" t="inlineStr">
        <is>
          <t>Custo Variável</t>
        </is>
      </c>
      <c r="C1468" s="101" t="inlineStr">
        <is>
          <t>EPIs - Equipamento de Proteção Individual</t>
        </is>
      </c>
      <c r="D1468" s="102" t="n">
        <v>1</v>
      </c>
      <c r="E1468" s="103" t="n">
        <v>7429.1</v>
      </c>
      <c r="F1468" s="104">
        <f>IFERROR(D1468*E1468,0)</f>
        <v/>
      </c>
      <c r="G1468" s="101">
        <f>INDEX(SETORES!$B:$B,MATCH(A1468,SETORES!$A:$A,0))</f>
        <v/>
      </c>
      <c r="H1468" s="101" t="inlineStr">
        <is>
          <t>Julho/2026</t>
        </is>
      </c>
    </row>
    <row r="1469" hidden="1" ht="14.25" customHeight="1" s="64">
      <c r="A1469" s="106" t="inlineStr">
        <is>
          <t>Fusão</t>
        </is>
      </c>
      <c r="B1469" s="106" t="inlineStr">
        <is>
          <t>Custo Fixo</t>
        </is>
      </c>
      <c r="C1469" s="106" t="inlineStr">
        <is>
          <t>Folha de pagamento (salários)</t>
        </is>
      </c>
      <c r="D1469" s="107" t="n">
        <v>1</v>
      </c>
      <c r="E1469" s="108" t="n">
        <v>56795.02</v>
      </c>
      <c r="F1469" s="109">
        <f>IFERROR(E1469,0)</f>
        <v/>
      </c>
      <c r="G1469" s="106">
        <f>INDEX(SETORES!$B:$B,MATCH(A1469,SETORES!$A:$A,0))</f>
        <v/>
      </c>
      <c r="H1469" s="106" t="inlineStr">
        <is>
          <t>Julho/2026</t>
        </is>
      </c>
    </row>
    <row r="1470" hidden="1" ht="14.25" customHeight="1" s="64">
      <c r="A1470" s="101" t="inlineStr">
        <is>
          <t>Fusão</t>
        </is>
      </c>
      <c r="B1470" s="101" t="inlineStr">
        <is>
          <t>Custo Variável</t>
        </is>
      </c>
      <c r="C1470" s="101" t="inlineStr">
        <is>
          <t>Combustível de frota</t>
        </is>
      </c>
      <c r="D1470" s="102" t="n">
        <v>1</v>
      </c>
      <c r="E1470" s="103" t="n">
        <v>13559.09</v>
      </c>
      <c r="F1470" s="104">
        <f>IFERROR(D1470*E1470,0)</f>
        <v/>
      </c>
      <c r="G1470" s="101">
        <f>INDEX(SETORES!$B:$B,MATCH(A1470,SETORES!$A:$A,0))</f>
        <v/>
      </c>
      <c r="H1470" s="101" t="inlineStr">
        <is>
          <t>Julho/2026</t>
        </is>
      </c>
    </row>
    <row r="1471" hidden="1" ht="14.25" customHeight="1" s="64">
      <c r="A1471" s="106" t="inlineStr">
        <is>
          <t>Fusão</t>
        </is>
      </c>
      <c r="B1471" s="106" t="inlineStr">
        <is>
          <t>Custo Variável</t>
        </is>
      </c>
      <c r="C1471" s="106" t="inlineStr">
        <is>
          <t>EPIs - Equipamento de Proteção Individual</t>
        </is>
      </c>
      <c r="D1471" s="107" t="n">
        <v>1</v>
      </c>
      <c r="E1471" s="108" t="n">
        <v>2979.78</v>
      </c>
      <c r="F1471" s="109">
        <f>IFERROR(D1471*E1471,0)</f>
        <v/>
      </c>
      <c r="G1471" s="106">
        <f>INDEX(SETORES!$B:$B,MATCH(A1471,SETORES!$A:$A,0))</f>
        <v/>
      </c>
      <c r="H1471" s="106" t="inlineStr">
        <is>
          <t>Julho/2026</t>
        </is>
      </c>
    </row>
    <row r="1472" hidden="1" ht="14.25" customHeight="1" s="64">
      <c r="A1472" s="101" t="inlineStr">
        <is>
          <t>Diretoria Adm</t>
        </is>
      </c>
      <c r="B1472" s="101" t="inlineStr">
        <is>
          <t>Custo Fixo</t>
        </is>
      </c>
      <c r="C1472" s="101" t="inlineStr">
        <is>
          <t>Folha de pagamento (salários)</t>
        </is>
      </c>
      <c r="D1472" s="102" t="n">
        <v>1</v>
      </c>
      <c r="E1472" s="103" t="n">
        <v>28674.49</v>
      </c>
      <c r="F1472" s="104">
        <f>IFERROR(E1472,0)</f>
        <v/>
      </c>
      <c r="G1472" s="101">
        <f>INDEX(SETORES!$B:$B,MATCH(A1472,SETORES!$A:$A,0))</f>
        <v/>
      </c>
      <c r="H1472" s="101" t="inlineStr">
        <is>
          <t>Julho/2026</t>
        </is>
      </c>
    </row>
    <row r="1473" hidden="1" ht="14.25" customHeight="1" s="64">
      <c r="A1473" s="106" t="inlineStr">
        <is>
          <t>Diretoria Adm</t>
        </is>
      </c>
      <c r="B1473" s="106" t="inlineStr">
        <is>
          <t>Custo Fixo</t>
        </is>
      </c>
      <c r="C1473" s="106" t="inlineStr">
        <is>
          <t>Material de escritório (suprimentos de informática)</t>
        </is>
      </c>
      <c r="D1473" s="107" t="n">
        <v>3</v>
      </c>
      <c r="E1473" s="108" t="n">
        <v>2.2567</v>
      </c>
      <c r="F1473" s="109" t="n">
        <v>6.7701</v>
      </c>
      <c r="G1473" s="106">
        <f>INDEX(SETORES!$B:$B,MATCH(A1473,SETORES!$A:$A,0))</f>
        <v/>
      </c>
      <c r="H1473" s="106" t="inlineStr">
        <is>
          <t>Julho/2026</t>
        </is>
      </c>
    </row>
    <row r="1474" hidden="1" ht="14.25" customHeight="1" s="64">
      <c r="A1474" s="101" t="inlineStr">
        <is>
          <t>Diretoria Adm</t>
        </is>
      </c>
      <c r="B1474" s="101" t="inlineStr">
        <is>
          <t>Custo Fixo</t>
        </is>
      </c>
      <c r="C1474" s="101" t="inlineStr">
        <is>
          <t>Material de uso coletivo (copa/limpeza)</t>
        </is>
      </c>
      <c r="D1474" s="102" t="n">
        <v>1</v>
      </c>
      <c r="E1474" s="103" t="n">
        <v>66.76000000000001</v>
      </c>
      <c r="F1474" s="104" t="n">
        <v>66.76000000000001</v>
      </c>
      <c r="G1474" s="101">
        <f>INDEX(SETORES!$B:$B,MATCH(A1474,SETORES!$A:$A,0))</f>
        <v/>
      </c>
      <c r="H1474" s="101" t="inlineStr">
        <is>
          <t>Julho/2026</t>
        </is>
      </c>
    </row>
    <row r="1475" hidden="1" ht="14.25" customHeight="1" s="64">
      <c r="A1475" s="106" t="inlineStr">
        <is>
          <t>Comercial Corporativo</t>
        </is>
      </c>
      <c r="B1475" s="106" t="inlineStr">
        <is>
          <t>Custo Fixo</t>
        </is>
      </c>
      <c r="C1475" s="106" t="inlineStr">
        <is>
          <t>Material de uso coletivo (copa/limpeza)</t>
        </is>
      </c>
      <c r="D1475" s="107" t="n">
        <v>1</v>
      </c>
      <c r="E1475" s="108" t="n">
        <v>81.33</v>
      </c>
      <c r="F1475" s="109" t="n">
        <v>81.33</v>
      </c>
      <c r="G1475" s="106">
        <f>INDEX(SETORES!$B:$B,MATCH(A1475,SETORES!$A:$A,0))</f>
        <v/>
      </c>
      <c r="H1475" s="106" t="inlineStr">
        <is>
          <t>Julho/2026</t>
        </is>
      </c>
    </row>
    <row r="1476" hidden="1" ht="14.25" customHeight="1" s="64">
      <c r="A1476" s="101" t="inlineStr">
        <is>
          <t>Fique Móvel</t>
        </is>
      </c>
      <c r="B1476" s="101" t="inlineStr">
        <is>
          <t>Custo Fixo</t>
        </is>
      </c>
      <c r="C1476" s="101" t="inlineStr">
        <is>
          <t>Material de uso coletivo (copa/limpeza)</t>
        </is>
      </c>
      <c r="D1476" s="102" t="n">
        <v>1</v>
      </c>
      <c r="E1476" s="103" t="n">
        <v>68.12</v>
      </c>
      <c r="F1476" s="104" t="n">
        <v>68.12</v>
      </c>
      <c r="G1476" s="101">
        <f>INDEX(SETORES!$B:$B,MATCH(A1476,SETORES!$A:$A,0))</f>
        <v/>
      </c>
      <c r="H1476" s="101" t="inlineStr">
        <is>
          <t>Julho/2026</t>
        </is>
      </c>
    </row>
    <row r="1477" hidden="1" ht="14.25" customHeight="1" s="64">
      <c r="A1477" s="106" t="inlineStr">
        <is>
          <t>Qualidade</t>
        </is>
      </c>
      <c r="B1477" s="106" t="inlineStr">
        <is>
          <t>Custo Fixo</t>
        </is>
      </c>
      <c r="C1477" s="106" t="inlineStr">
        <is>
          <t>Gympass</t>
        </is>
      </c>
      <c r="D1477" s="107" t="n">
        <v>7</v>
      </c>
      <c r="E1477" s="108" t="n">
        <v>9.92</v>
      </c>
      <c r="F1477" s="109">
        <f>IFERROR(D1477*E1477,0)</f>
        <v/>
      </c>
      <c r="G1477" s="106">
        <f>INDEX(SETORES!$B:$B,MATCH(A1477,SETORES!$A:$A,0))</f>
        <v/>
      </c>
      <c r="H1477" s="106" t="inlineStr">
        <is>
          <t>Julho/2026</t>
        </is>
      </c>
    </row>
    <row r="1478" hidden="1" ht="14.25" customHeight="1" s="64">
      <c r="A1478" s="101" t="inlineStr">
        <is>
          <t>Qualidade</t>
        </is>
      </c>
      <c r="B1478" s="101" t="inlineStr">
        <is>
          <t>Custo Fixo</t>
        </is>
      </c>
      <c r="C1478" s="101" t="inlineStr">
        <is>
          <t>Stargrid</t>
        </is>
      </c>
      <c r="D1478" s="102" t="n">
        <v>7</v>
      </c>
      <c r="E1478" s="103" t="n">
        <v>2.05</v>
      </c>
      <c r="F1478" s="104">
        <f>IFERROR(D1478*E1478,0)</f>
        <v/>
      </c>
      <c r="G1478" s="101">
        <f>INDEX(SETORES!$B:$B,MATCH(A1478,SETORES!$A:$A,0))</f>
        <v/>
      </c>
      <c r="H1478" s="101" t="inlineStr">
        <is>
          <t>Julho/2026</t>
        </is>
      </c>
    </row>
    <row r="1479" hidden="1" ht="14.25" customHeight="1" s="64">
      <c r="A1479" s="106" t="inlineStr">
        <is>
          <t>Qualidade</t>
        </is>
      </c>
      <c r="B1479" s="106" t="inlineStr">
        <is>
          <t>Custo Fixo</t>
        </is>
      </c>
      <c r="C1479" s="106" t="inlineStr">
        <is>
          <t>Licença de e-mail corporativo</t>
        </is>
      </c>
      <c r="D1479" s="107" t="n">
        <v>7</v>
      </c>
      <c r="E1479" s="108" t="n">
        <v>50</v>
      </c>
      <c r="F1479" s="109">
        <f>IFERROR(D1479*E1479,0)</f>
        <v/>
      </c>
      <c r="G1479" s="106">
        <f>INDEX(SETORES!$B:$B,MATCH(A1479,SETORES!$A:$A,0))</f>
        <v/>
      </c>
      <c r="H1479" s="106" t="inlineStr">
        <is>
          <t>Julho/2026</t>
        </is>
      </c>
    </row>
    <row r="1480" hidden="1" ht="14.25" customHeight="1" s="64">
      <c r="A1480" s="101" t="inlineStr">
        <is>
          <t>Qualidade</t>
        </is>
      </c>
      <c r="B1480" s="101" t="inlineStr">
        <is>
          <t>Custo Fixo</t>
        </is>
      </c>
      <c r="C1480" s="101" t="inlineStr">
        <is>
          <t>Despesas com RH</t>
        </is>
      </c>
      <c r="D1480" s="102" t="n">
        <v>7</v>
      </c>
      <c r="E1480" s="103" t="n">
        <v>29.74</v>
      </c>
      <c r="F1480" s="104">
        <f>IFERROR(D1480*E1480,0)</f>
        <v/>
      </c>
      <c r="G1480" s="101">
        <f>INDEX(SETORES!$B:$B,MATCH(A1480,SETORES!$A:$A,0))</f>
        <v/>
      </c>
      <c r="H1480" s="101" t="inlineStr">
        <is>
          <t>Julho/2026</t>
        </is>
      </c>
    </row>
    <row r="1481" hidden="1" ht="14.25" customHeight="1" s="64">
      <c r="A1481" s="106" t="inlineStr">
        <is>
          <t>Qualidade</t>
        </is>
      </c>
      <c r="B1481" s="106" t="inlineStr">
        <is>
          <t>Custo Fixo</t>
        </is>
      </c>
      <c r="C1481" s="106" t="inlineStr">
        <is>
          <t>Despesas com DP</t>
        </is>
      </c>
      <c r="D1481" s="107" t="n">
        <v>7</v>
      </c>
      <c r="E1481" s="108" t="n">
        <v>43.54</v>
      </c>
      <c r="F1481" s="109">
        <f>IFERROR(D1481*E1481,0)</f>
        <v/>
      </c>
      <c r="G1481" s="106">
        <f>INDEX(SETORES!$B:$B,MATCH(A1481,SETORES!$A:$A,0))</f>
        <v/>
      </c>
      <c r="H1481" s="106" t="inlineStr">
        <is>
          <t>Julho/2026</t>
        </is>
      </c>
    </row>
    <row r="1482" hidden="1" ht="14.25" customHeight="1" s="64">
      <c r="A1482" s="101" t="inlineStr">
        <is>
          <t>Qualidade</t>
        </is>
      </c>
      <c r="B1482" s="101" t="inlineStr">
        <is>
          <t>Custo Fixo</t>
        </is>
      </c>
      <c r="C1482" s="101" t="inlineStr">
        <is>
          <t>Despesas com SST</t>
        </is>
      </c>
      <c r="D1482" s="102" t="n">
        <v>7</v>
      </c>
      <c r="E1482" s="103" t="n">
        <v>47.66</v>
      </c>
      <c r="F1482" s="104">
        <f>IFERROR(D1482*E1482,0)</f>
        <v/>
      </c>
      <c r="G1482" s="101">
        <f>INDEX(SETORES!$B:$B,MATCH(A1482,SETORES!$A:$A,0))</f>
        <v/>
      </c>
      <c r="H1482" s="101" t="inlineStr">
        <is>
          <t>Julho/2026</t>
        </is>
      </c>
    </row>
    <row r="1483" hidden="1" ht="14.25" customHeight="1" s="64">
      <c r="A1483" s="106" t="inlineStr">
        <is>
          <t>Jurídico</t>
        </is>
      </c>
      <c r="B1483" s="106" t="inlineStr">
        <is>
          <t>Custo Fixo</t>
        </is>
      </c>
      <c r="C1483" s="106" t="inlineStr">
        <is>
          <t>Gympass</t>
        </is>
      </c>
      <c r="D1483" s="107" t="n">
        <v>2</v>
      </c>
      <c r="E1483" s="108" t="n">
        <v>9.92</v>
      </c>
      <c r="F1483" s="109">
        <f>IFERROR(D1483*E1483,0)</f>
        <v/>
      </c>
      <c r="G1483" s="106">
        <f>INDEX(SETORES!$B:$B,MATCH(A1483,SETORES!$A:$A,0))</f>
        <v/>
      </c>
      <c r="H1483" s="106" t="inlineStr">
        <is>
          <t>Julho/2026</t>
        </is>
      </c>
    </row>
    <row r="1484" hidden="1" ht="14.25" customHeight="1" s="64">
      <c r="A1484" s="101" t="inlineStr">
        <is>
          <t>Jurídico</t>
        </is>
      </c>
      <c r="B1484" s="101" t="inlineStr">
        <is>
          <t>Custo Fixo</t>
        </is>
      </c>
      <c r="C1484" s="101" t="inlineStr">
        <is>
          <t>Stargrid</t>
        </is>
      </c>
      <c r="D1484" s="102" t="n">
        <v>2</v>
      </c>
      <c r="E1484" s="103" t="n">
        <v>2.05</v>
      </c>
      <c r="F1484" s="104">
        <f>IFERROR(D1484*E1484,0)</f>
        <v/>
      </c>
      <c r="G1484" s="101">
        <f>INDEX(SETORES!$B:$B,MATCH(A1484,SETORES!$A:$A,0))</f>
        <v/>
      </c>
      <c r="H1484" s="101" t="inlineStr">
        <is>
          <t>Julho/2026</t>
        </is>
      </c>
    </row>
    <row r="1485" hidden="1" ht="14.25" customHeight="1" s="64">
      <c r="A1485" s="106" t="inlineStr">
        <is>
          <t>Jurídico</t>
        </is>
      </c>
      <c r="B1485" s="106" t="inlineStr">
        <is>
          <t>Custo Fixo</t>
        </is>
      </c>
      <c r="C1485" s="106" t="inlineStr">
        <is>
          <t>Licença de e-mail corporativo</t>
        </is>
      </c>
      <c r="D1485" s="107" t="n">
        <v>3</v>
      </c>
      <c r="E1485" s="108" t="n">
        <v>50</v>
      </c>
      <c r="F1485" s="109">
        <f>IFERROR(D1485*E1485,0)</f>
        <v/>
      </c>
      <c r="G1485" s="106">
        <f>INDEX(SETORES!$B:$B,MATCH(A1485,SETORES!$A:$A,0))</f>
        <v/>
      </c>
      <c r="H1485" s="106" t="inlineStr">
        <is>
          <t>Julho/2026</t>
        </is>
      </c>
    </row>
    <row r="1486" hidden="1" ht="14.25" customHeight="1" s="64">
      <c r="A1486" s="101" t="inlineStr">
        <is>
          <t>Jurídico</t>
        </is>
      </c>
      <c r="B1486" s="101" t="inlineStr">
        <is>
          <t>Custo Fixo</t>
        </is>
      </c>
      <c r="C1486" s="101" t="inlineStr">
        <is>
          <t>Despesas com RH</t>
        </is>
      </c>
      <c r="D1486" s="102" t="n">
        <v>2</v>
      </c>
      <c r="E1486" s="103" t="n">
        <v>29.74</v>
      </c>
      <c r="F1486" s="104">
        <f>IFERROR(D1486*E1486,0)</f>
        <v/>
      </c>
      <c r="G1486" s="101">
        <f>INDEX(SETORES!$B:$B,MATCH(A1486,SETORES!$A:$A,0))</f>
        <v/>
      </c>
      <c r="H1486" s="101" t="inlineStr">
        <is>
          <t>Julho/2026</t>
        </is>
      </c>
    </row>
    <row r="1487" hidden="1" ht="14.25" customHeight="1" s="64">
      <c r="A1487" s="106" t="inlineStr">
        <is>
          <t>Jurídico</t>
        </is>
      </c>
      <c r="B1487" s="106" t="inlineStr">
        <is>
          <t>Custo Fixo</t>
        </is>
      </c>
      <c r="C1487" s="106" t="inlineStr">
        <is>
          <t>Despesas com DP</t>
        </is>
      </c>
      <c r="D1487" s="107" t="n">
        <v>2</v>
      </c>
      <c r="E1487" s="108" t="n">
        <v>43.54</v>
      </c>
      <c r="F1487" s="109">
        <f>IFERROR(D1487*E1487,0)</f>
        <v/>
      </c>
      <c r="G1487" s="106">
        <f>INDEX(SETORES!$B:$B,MATCH(A1487,SETORES!$A:$A,0))</f>
        <v/>
      </c>
      <c r="H1487" s="106" t="inlineStr">
        <is>
          <t>Julho/2026</t>
        </is>
      </c>
    </row>
    <row r="1488" hidden="1" ht="14.25" customHeight="1" s="64">
      <c r="A1488" s="101" t="inlineStr">
        <is>
          <t>Jurídico</t>
        </is>
      </c>
      <c r="B1488" s="101" t="inlineStr">
        <is>
          <t>Custo Fixo</t>
        </is>
      </c>
      <c r="C1488" s="101" t="inlineStr">
        <is>
          <t>Despesas com SST</t>
        </is>
      </c>
      <c r="D1488" s="102" t="n">
        <v>2</v>
      </c>
      <c r="E1488" s="103" t="n">
        <v>47.66</v>
      </c>
      <c r="F1488" s="104">
        <f>IFERROR(D1488*E1488,0)</f>
        <v/>
      </c>
      <c r="G1488" s="101">
        <f>INDEX(SETORES!$B:$B,MATCH(A1488,SETORES!$A:$A,0))</f>
        <v/>
      </c>
      <c r="H1488" s="101" t="inlineStr">
        <is>
          <t>Julho/2026</t>
        </is>
      </c>
    </row>
    <row r="1489" hidden="1" ht="14.25" customHeight="1" s="64">
      <c r="A1489" s="106" t="inlineStr">
        <is>
          <t>Marketing</t>
        </is>
      </c>
      <c r="B1489" s="106" t="inlineStr">
        <is>
          <t>Custo Fixo</t>
        </is>
      </c>
      <c r="C1489" s="106" t="inlineStr">
        <is>
          <t>Gympass</t>
        </is>
      </c>
      <c r="D1489" s="107" t="n">
        <v>12</v>
      </c>
      <c r="E1489" s="108" t="n">
        <v>9.92</v>
      </c>
      <c r="F1489" s="109">
        <f>IFERROR(D1489*E1489,0)</f>
        <v/>
      </c>
      <c r="G1489" s="106">
        <f>INDEX(SETORES!$B:$B,MATCH(A1489,SETORES!$A:$A,0))</f>
        <v/>
      </c>
      <c r="H1489" s="106" t="inlineStr">
        <is>
          <t>Julho/2026</t>
        </is>
      </c>
    </row>
    <row r="1490" hidden="1" ht="14.25" customHeight="1" s="64">
      <c r="A1490" s="101" t="inlineStr">
        <is>
          <t>Marketing</t>
        </is>
      </c>
      <c r="B1490" s="101" t="inlineStr">
        <is>
          <t>Custo Fixo</t>
        </is>
      </c>
      <c r="C1490" s="101" t="inlineStr">
        <is>
          <t>Stargrid</t>
        </is>
      </c>
      <c r="D1490" s="102" t="n">
        <v>12</v>
      </c>
      <c r="E1490" s="103" t="n">
        <v>2.05</v>
      </c>
      <c r="F1490" s="104">
        <f>IFERROR(D1490*E1490,0)</f>
        <v/>
      </c>
      <c r="G1490" s="101">
        <f>INDEX(SETORES!$B:$B,MATCH(A1490,SETORES!$A:$A,0))</f>
        <v/>
      </c>
      <c r="H1490" s="101" t="inlineStr">
        <is>
          <t>Julho/2026</t>
        </is>
      </c>
    </row>
    <row r="1491" hidden="1" ht="14.25" customHeight="1" s="64">
      <c r="A1491" s="106" t="inlineStr">
        <is>
          <t>Marketing</t>
        </is>
      </c>
      <c r="B1491" s="106" t="inlineStr">
        <is>
          <t>Custo Fixo</t>
        </is>
      </c>
      <c r="C1491" s="106" t="inlineStr">
        <is>
          <t>Licença de e-mail corporativo</t>
        </is>
      </c>
      <c r="D1491" s="107" t="n">
        <v>15</v>
      </c>
      <c r="E1491" s="108" t="n">
        <v>47.33</v>
      </c>
      <c r="F1491" s="109">
        <f>IFERROR(D1491*E1491,0)</f>
        <v/>
      </c>
      <c r="G1491" s="106">
        <f>INDEX(SETORES!$B:$B,MATCH(A1491,SETORES!$A:$A,0))</f>
        <v/>
      </c>
      <c r="H1491" s="106" t="inlineStr">
        <is>
          <t>Julho/2026</t>
        </is>
      </c>
    </row>
    <row r="1492" hidden="1" ht="14.25" customHeight="1" s="64">
      <c r="A1492" s="101" t="inlineStr">
        <is>
          <t>Marketing</t>
        </is>
      </c>
      <c r="B1492" s="101" t="inlineStr">
        <is>
          <t>Custo Fixo</t>
        </is>
      </c>
      <c r="C1492" s="101" t="inlineStr">
        <is>
          <t>Despesas com RH</t>
        </is>
      </c>
      <c r="D1492" s="102" t="n">
        <v>12</v>
      </c>
      <c r="E1492" s="103" t="n">
        <v>29.74</v>
      </c>
      <c r="F1492" s="104">
        <f>IFERROR(D1492*E1492,0)</f>
        <v/>
      </c>
      <c r="G1492" s="101">
        <f>INDEX(SETORES!$B:$B,MATCH(A1492,SETORES!$A:$A,0))</f>
        <v/>
      </c>
      <c r="H1492" s="101" t="inlineStr">
        <is>
          <t>Julho/2026</t>
        </is>
      </c>
    </row>
    <row r="1493" hidden="1" ht="14.25" customHeight="1" s="64">
      <c r="A1493" s="106" t="inlineStr">
        <is>
          <t>Marketing</t>
        </is>
      </c>
      <c r="B1493" s="106" t="inlineStr">
        <is>
          <t>Custo Fixo</t>
        </is>
      </c>
      <c r="C1493" s="106" t="inlineStr">
        <is>
          <t>Despesas com DP</t>
        </is>
      </c>
      <c r="D1493" s="107" t="n">
        <v>12</v>
      </c>
      <c r="E1493" s="108" t="n">
        <v>43.54</v>
      </c>
      <c r="F1493" s="109">
        <f>IFERROR(D1493*E1493,0)</f>
        <v/>
      </c>
      <c r="G1493" s="106">
        <f>INDEX(SETORES!$B:$B,MATCH(A1493,SETORES!$A:$A,0))</f>
        <v/>
      </c>
      <c r="H1493" s="106" t="inlineStr">
        <is>
          <t>Julho/2026</t>
        </is>
      </c>
    </row>
    <row r="1494" hidden="1" ht="14.25" customHeight="1" s="64">
      <c r="A1494" s="101" t="inlineStr">
        <is>
          <t>Marketing</t>
        </is>
      </c>
      <c r="B1494" s="101" t="inlineStr">
        <is>
          <t>Custo Fixo</t>
        </is>
      </c>
      <c r="C1494" s="101" t="inlineStr">
        <is>
          <t>Despesas com SST</t>
        </is>
      </c>
      <c r="D1494" s="102" t="n">
        <v>12</v>
      </c>
      <c r="E1494" s="103" t="n">
        <v>47.66</v>
      </c>
      <c r="F1494" s="104">
        <f>IFERROR(D1494*E1494,0)</f>
        <v/>
      </c>
      <c r="G1494" s="101">
        <f>INDEX(SETORES!$B:$B,MATCH(A1494,SETORES!$A:$A,0))</f>
        <v/>
      </c>
      <c r="H1494" s="101" t="inlineStr">
        <is>
          <t>Julho/2026</t>
        </is>
      </c>
    </row>
    <row r="1495" hidden="1" ht="14.25" customHeight="1" s="64">
      <c r="A1495" s="106" t="inlineStr">
        <is>
          <t>TIC</t>
        </is>
      </c>
      <c r="B1495" s="106" t="inlineStr">
        <is>
          <t>Custo Fixo</t>
        </is>
      </c>
      <c r="C1495" s="106" t="inlineStr">
        <is>
          <t>Gympass</t>
        </is>
      </c>
      <c r="D1495" s="107" t="n">
        <v>7</v>
      </c>
      <c r="E1495" s="108" t="n">
        <v>9.92</v>
      </c>
      <c r="F1495" s="109">
        <f>IFERROR(D1495*E1495,0)</f>
        <v/>
      </c>
      <c r="G1495" s="106">
        <f>INDEX(SETORES!$B:$B,MATCH(A1495,SETORES!$A:$A,0))</f>
        <v/>
      </c>
      <c r="H1495" s="106" t="inlineStr">
        <is>
          <t>Julho/2026</t>
        </is>
      </c>
    </row>
    <row r="1496" hidden="1" ht="14.25" customHeight="1" s="64">
      <c r="A1496" s="101" t="inlineStr">
        <is>
          <t>TIC</t>
        </is>
      </c>
      <c r="B1496" s="101" t="inlineStr">
        <is>
          <t>Custo Fixo</t>
        </is>
      </c>
      <c r="C1496" s="101" t="inlineStr">
        <is>
          <t>Stargrid</t>
        </is>
      </c>
      <c r="D1496" s="102" t="n">
        <v>7</v>
      </c>
      <c r="E1496" s="103" t="n">
        <v>2.05</v>
      </c>
      <c r="F1496" s="104">
        <f>IFERROR(D1496*E1496,0)</f>
        <v/>
      </c>
      <c r="G1496" s="101">
        <f>INDEX(SETORES!$B:$B,MATCH(A1496,SETORES!$A:$A,0))</f>
        <v/>
      </c>
      <c r="H1496" s="101" t="inlineStr">
        <is>
          <t>Julho/2026</t>
        </is>
      </c>
    </row>
    <row r="1497" hidden="1" ht="14.25" customHeight="1" s="64">
      <c r="A1497" s="106" t="inlineStr">
        <is>
          <t>TIC</t>
        </is>
      </c>
      <c r="B1497" s="106" t="inlineStr">
        <is>
          <t>Custo Fixo</t>
        </is>
      </c>
      <c r="C1497" s="106" t="inlineStr">
        <is>
          <t>Licença de e-mail corporativo</t>
        </is>
      </c>
      <c r="D1497" s="107" t="n">
        <v>12</v>
      </c>
      <c r="E1497" s="108" t="n">
        <v>66.67</v>
      </c>
      <c r="F1497" s="109">
        <f>IFERROR(D1497*E1497,0)</f>
        <v/>
      </c>
      <c r="G1497" s="106">
        <f>INDEX(SETORES!$B:$B,MATCH(A1497,SETORES!$A:$A,0))</f>
        <v/>
      </c>
      <c r="H1497" s="106" t="inlineStr">
        <is>
          <t>Julho/2026</t>
        </is>
      </c>
    </row>
    <row r="1498" hidden="1" ht="14.25" customHeight="1" s="64">
      <c r="A1498" s="101" t="inlineStr">
        <is>
          <t>TIC</t>
        </is>
      </c>
      <c r="B1498" s="101" t="inlineStr">
        <is>
          <t>Custo Fixo</t>
        </is>
      </c>
      <c r="C1498" s="101" t="inlineStr">
        <is>
          <t>Despesas com RH</t>
        </is>
      </c>
      <c r="D1498" s="102" t="n">
        <v>7</v>
      </c>
      <c r="E1498" s="103" t="n">
        <v>29.74</v>
      </c>
      <c r="F1498" s="104">
        <f>IFERROR(D1498*E1498,0)</f>
        <v/>
      </c>
      <c r="G1498" s="101">
        <f>INDEX(SETORES!$B:$B,MATCH(A1498,SETORES!$A:$A,0))</f>
        <v/>
      </c>
      <c r="H1498" s="101" t="inlineStr">
        <is>
          <t>Julho/2026</t>
        </is>
      </c>
    </row>
    <row r="1499" hidden="1" ht="14.25" customHeight="1" s="64">
      <c r="A1499" s="106" t="inlineStr">
        <is>
          <t>TIC</t>
        </is>
      </c>
      <c r="B1499" s="106" t="inlineStr">
        <is>
          <t>Custo Fixo</t>
        </is>
      </c>
      <c r="C1499" s="106" t="inlineStr">
        <is>
          <t>Despesas com DP</t>
        </is>
      </c>
      <c r="D1499" s="107" t="n">
        <v>7</v>
      </c>
      <c r="E1499" s="108" t="n">
        <v>43.54</v>
      </c>
      <c r="F1499" s="109">
        <f>IFERROR(D1499*E1499,0)</f>
        <v/>
      </c>
      <c r="G1499" s="106">
        <f>INDEX(SETORES!$B:$B,MATCH(A1499,SETORES!$A:$A,0))</f>
        <v/>
      </c>
      <c r="H1499" s="106" t="inlineStr">
        <is>
          <t>Julho/2026</t>
        </is>
      </c>
    </row>
    <row r="1500" hidden="1" ht="14.25" customHeight="1" s="64">
      <c r="A1500" s="101" t="inlineStr">
        <is>
          <t>TIC</t>
        </is>
      </c>
      <c r="B1500" s="101" t="inlineStr">
        <is>
          <t>Custo Fixo</t>
        </is>
      </c>
      <c r="C1500" s="101" t="inlineStr">
        <is>
          <t>Despesas com SST</t>
        </is>
      </c>
      <c r="D1500" s="102" t="n">
        <v>7</v>
      </c>
      <c r="E1500" s="103" t="n">
        <v>47.66</v>
      </c>
      <c r="F1500" s="104">
        <f>IFERROR(D1500*E1500,0)</f>
        <v/>
      </c>
      <c r="G1500" s="101">
        <f>INDEX(SETORES!$B:$B,MATCH(A1500,SETORES!$A:$A,0))</f>
        <v/>
      </c>
      <c r="H1500" s="101" t="inlineStr">
        <is>
          <t>Julho/2026</t>
        </is>
      </c>
    </row>
    <row r="1501" hidden="1" ht="14.25" customHeight="1" s="64">
      <c r="A1501" s="106" t="inlineStr">
        <is>
          <t>COE</t>
        </is>
      </c>
      <c r="B1501" s="106" t="inlineStr">
        <is>
          <t>Custo Fixo</t>
        </is>
      </c>
      <c r="C1501" s="106" t="inlineStr">
        <is>
          <t>Gympass</t>
        </is>
      </c>
      <c r="D1501" s="107" t="n">
        <v>14</v>
      </c>
      <c r="E1501" s="108" t="n">
        <v>9.92</v>
      </c>
      <c r="F1501" s="109">
        <f>IFERROR(D1501*E1501,0)</f>
        <v/>
      </c>
      <c r="G1501" s="106">
        <f>INDEX(SETORES!$B:$B,MATCH(A1501,SETORES!$A:$A,0))</f>
        <v/>
      </c>
      <c r="H1501" s="106" t="inlineStr">
        <is>
          <t>Julho/2026</t>
        </is>
      </c>
    </row>
    <row r="1502" hidden="1" ht="14.25" customHeight="1" s="64">
      <c r="A1502" s="101" t="inlineStr">
        <is>
          <t>COE</t>
        </is>
      </c>
      <c r="B1502" s="101" t="inlineStr">
        <is>
          <t>Custo Fixo</t>
        </is>
      </c>
      <c r="C1502" s="101" t="inlineStr">
        <is>
          <t>Stargrid</t>
        </is>
      </c>
      <c r="D1502" s="102" t="n">
        <v>14</v>
      </c>
      <c r="E1502" s="103" t="n">
        <v>2.05</v>
      </c>
      <c r="F1502" s="104">
        <f>IFERROR(D1502*E1502,0)</f>
        <v/>
      </c>
      <c r="G1502" s="101">
        <f>INDEX(SETORES!$B:$B,MATCH(A1502,SETORES!$A:$A,0))</f>
        <v/>
      </c>
      <c r="H1502" s="101" t="inlineStr">
        <is>
          <t>Julho/2026</t>
        </is>
      </c>
    </row>
    <row r="1503" hidden="1" ht="14.25" customHeight="1" s="64">
      <c r="A1503" s="106" t="inlineStr">
        <is>
          <t>COE</t>
        </is>
      </c>
      <c r="B1503" s="106" t="inlineStr">
        <is>
          <t>Custo Fixo</t>
        </is>
      </c>
      <c r="C1503" s="106" t="inlineStr">
        <is>
          <t>Licença de e-mail corporativo</t>
        </is>
      </c>
      <c r="D1503" s="107" t="n">
        <v>8</v>
      </c>
      <c r="E1503" s="108" t="n">
        <v>50</v>
      </c>
      <c r="F1503" s="109">
        <f>IFERROR(D1503*E1503,0)</f>
        <v/>
      </c>
      <c r="G1503" s="106">
        <f>INDEX(SETORES!$B:$B,MATCH(A1503,SETORES!$A:$A,0))</f>
        <v/>
      </c>
      <c r="H1503" s="106" t="inlineStr">
        <is>
          <t>Julho/2026</t>
        </is>
      </c>
    </row>
    <row r="1504" hidden="1" ht="14.25" customHeight="1" s="64">
      <c r="A1504" s="101" t="inlineStr">
        <is>
          <t>COE</t>
        </is>
      </c>
      <c r="B1504" s="101" t="inlineStr">
        <is>
          <t>Custo Fixo</t>
        </is>
      </c>
      <c r="C1504" s="101" t="inlineStr">
        <is>
          <t>Despesas com RH</t>
        </is>
      </c>
      <c r="D1504" s="102" t="n">
        <v>14</v>
      </c>
      <c r="E1504" s="103" t="n">
        <v>29.74</v>
      </c>
      <c r="F1504" s="104">
        <f>IFERROR(D1504*E1504,0)</f>
        <v/>
      </c>
      <c r="G1504" s="101">
        <f>INDEX(SETORES!$B:$B,MATCH(A1504,SETORES!$A:$A,0))</f>
        <v/>
      </c>
      <c r="H1504" s="101" t="inlineStr">
        <is>
          <t>Julho/2026</t>
        </is>
      </c>
    </row>
    <row r="1505" hidden="1" ht="14.25" customHeight="1" s="64">
      <c r="A1505" s="106" t="inlineStr">
        <is>
          <t>COE</t>
        </is>
      </c>
      <c r="B1505" s="106" t="inlineStr">
        <is>
          <t>Custo Fixo</t>
        </is>
      </c>
      <c r="C1505" s="106" t="inlineStr">
        <is>
          <t>Despesas com DP</t>
        </is>
      </c>
      <c r="D1505" s="107" t="n">
        <v>14</v>
      </c>
      <c r="E1505" s="108" t="n">
        <v>43.54</v>
      </c>
      <c r="F1505" s="109">
        <f>IFERROR(D1505*E1505,0)</f>
        <v/>
      </c>
      <c r="G1505" s="106">
        <f>INDEX(SETORES!$B:$B,MATCH(A1505,SETORES!$A:$A,0))</f>
        <v/>
      </c>
      <c r="H1505" s="106" t="inlineStr">
        <is>
          <t>Julho/2026</t>
        </is>
      </c>
    </row>
    <row r="1506" hidden="1" ht="14.25" customHeight="1" s="64">
      <c r="A1506" s="101" t="inlineStr">
        <is>
          <t>COE</t>
        </is>
      </c>
      <c r="B1506" s="101" t="inlineStr">
        <is>
          <t>Custo Fixo</t>
        </is>
      </c>
      <c r="C1506" s="101" t="inlineStr">
        <is>
          <t>Despesas com SST</t>
        </is>
      </c>
      <c r="D1506" s="102" t="n">
        <v>14</v>
      </c>
      <c r="E1506" s="103" t="n">
        <v>47.66</v>
      </c>
      <c r="F1506" s="104">
        <f>IFERROR(D1506*E1506,0)</f>
        <v/>
      </c>
      <c r="G1506" s="101">
        <f>INDEX(SETORES!$B:$B,MATCH(A1506,SETORES!$A:$A,0))</f>
        <v/>
      </c>
      <c r="H1506" s="101" t="inlineStr">
        <is>
          <t>Julho/2026</t>
        </is>
      </c>
    </row>
    <row r="1507" hidden="1" ht="14.25" customHeight="1" s="64">
      <c r="A1507" s="106" t="inlineStr">
        <is>
          <t>Fique Móvel</t>
        </is>
      </c>
      <c r="B1507" s="106" t="inlineStr">
        <is>
          <t>Custo Fixo</t>
        </is>
      </c>
      <c r="C1507" s="106" t="inlineStr">
        <is>
          <t>Gympass</t>
        </is>
      </c>
      <c r="D1507" s="107" t="n">
        <v>3</v>
      </c>
      <c r="E1507" s="108" t="n">
        <v>9.92</v>
      </c>
      <c r="F1507" s="109">
        <f>IFERROR(D1507*E1507,0)</f>
        <v/>
      </c>
      <c r="G1507" s="106">
        <f>INDEX(SETORES!$B:$B,MATCH(A1507,SETORES!$A:$A,0))</f>
        <v/>
      </c>
      <c r="H1507" s="106" t="inlineStr">
        <is>
          <t>Julho/2026</t>
        </is>
      </c>
    </row>
    <row r="1508" hidden="1" ht="14.25" customHeight="1" s="64">
      <c r="A1508" s="101" t="inlineStr">
        <is>
          <t>Fique Móvel</t>
        </is>
      </c>
      <c r="B1508" s="101" t="inlineStr">
        <is>
          <t>Custo Fixo</t>
        </is>
      </c>
      <c r="C1508" s="101" t="inlineStr">
        <is>
          <t>Stargrid</t>
        </is>
      </c>
      <c r="D1508" s="102" t="n">
        <v>3</v>
      </c>
      <c r="E1508" s="103" t="n">
        <v>2.05</v>
      </c>
      <c r="F1508" s="104">
        <f>IFERROR(D1508*E1508,0)</f>
        <v/>
      </c>
      <c r="G1508" s="101">
        <f>INDEX(SETORES!$B:$B,MATCH(A1508,SETORES!$A:$A,0))</f>
        <v/>
      </c>
      <c r="H1508" s="101" t="inlineStr">
        <is>
          <t>Julho/2026</t>
        </is>
      </c>
    </row>
    <row r="1509" hidden="1" ht="14.25" customHeight="1" s="64">
      <c r="A1509" s="106" t="inlineStr">
        <is>
          <t>Fique Móvel</t>
        </is>
      </c>
      <c r="B1509" s="106" t="inlineStr">
        <is>
          <t>Custo Fixo</t>
        </is>
      </c>
      <c r="C1509" s="106" t="inlineStr">
        <is>
          <t>Licença de e-mail corporativo</t>
        </is>
      </c>
      <c r="D1509" s="107" t="n">
        <v>3</v>
      </c>
      <c r="E1509" s="108" t="n">
        <v>50</v>
      </c>
      <c r="F1509" s="109">
        <f>IFERROR(D1509*E1509,0)</f>
        <v/>
      </c>
      <c r="G1509" s="106">
        <f>INDEX(SETORES!$B:$B,MATCH(A1509,SETORES!$A:$A,0))</f>
        <v/>
      </c>
      <c r="H1509" s="106" t="inlineStr">
        <is>
          <t>Julho/2026</t>
        </is>
      </c>
    </row>
    <row r="1510" hidden="1" ht="14.25" customHeight="1" s="64">
      <c r="A1510" s="101" t="inlineStr">
        <is>
          <t>Fique Móvel</t>
        </is>
      </c>
      <c r="B1510" s="101" t="inlineStr">
        <is>
          <t>Custo Fixo</t>
        </is>
      </c>
      <c r="C1510" s="101" t="inlineStr">
        <is>
          <t>Despesas com RH</t>
        </is>
      </c>
      <c r="D1510" s="102" t="n">
        <v>3</v>
      </c>
      <c r="E1510" s="103" t="n">
        <v>29.74</v>
      </c>
      <c r="F1510" s="104">
        <f>IFERROR(D1510*E1510,0)</f>
        <v/>
      </c>
      <c r="G1510" s="101">
        <f>INDEX(SETORES!$B:$B,MATCH(A1510,SETORES!$A:$A,0))</f>
        <v/>
      </c>
      <c r="H1510" s="101" t="inlineStr">
        <is>
          <t>Julho/2026</t>
        </is>
      </c>
    </row>
    <row r="1511" hidden="1" ht="14.25" customHeight="1" s="64">
      <c r="A1511" s="106" t="inlineStr">
        <is>
          <t>Fique Móvel</t>
        </is>
      </c>
      <c r="B1511" s="106" t="inlineStr">
        <is>
          <t>Custo Fixo</t>
        </is>
      </c>
      <c r="C1511" s="106" t="inlineStr">
        <is>
          <t>Despesas com DP</t>
        </is>
      </c>
      <c r="D1511" s="107" t="n">
        <v>3</v>
      </c>
      <c r="E1511" s="108" t="n">
        <v>43.54</v>
      </c>
      <c r="F1511" s="109">
        <f>IFERROR(D1511*E1511,0)</f>
        <v/>
      </c>
      <c r="G1511" s="106">
        <f>INDEX(SETORES!$B:$B,MATCH(A1511,SETORES!$A:$A,0))</f>
        <v/>
      </c>
      <c r="H1511" s="106" t="inlineStr">
        <is>
          <t>Julho/2026</t>
        </is>
      </c>
    </row>
    <row r="1512" hidden="1" ht="14.25" customHeight="1" s="64">
      <c r="A1512" s="101" t="inlineStr">
        <is>
          <t>Fique Móvel</t>
        </is>
      </c>
      <c r="B1512" s="101" t="inlineStr">
        <is>
          <t>Custo Fixo</t>
        </is>
      </c>
      <c r="C1512" s="101" t="inlineStr">
        <is>
          <t>Despesas com SST</t>
        </is>
      </c>
      <c r="D1512" s="102" t="n">
        <v>3</v>
      </c>
      <c r="E1512" s="103" t="n">
        <v>47.66</v>
      </c>
      <c r="F1512" s="104">
        <f>IFERROR(D1512*E1512,0)</f>
        <v/>
      </c>
      <c r="G1512" s="101">
        <f>INDEX(SETORES!$B:$B,MATCH(A1512,SETORES!$A:$A,0))</f>
        <v/>
      </c>
      <c r="H1512" s="101" t="inlineStr">
        <is>
          <t>Julho/2026</t>
        </is>
      </c>
    </row>
    <row r="1513" hidden="1" ht="14.25" customHeight="1" s="64">
      <c r="A1513" s="106" t="inlineStr">
        <is>
          <t>Lançamento</t>
        </is>
      </c>
      <c r="B1513" s="106" t="inlineStr">
        <is>
          <t>Custo Fixo</t>
        </is>
      </c>
      <c r="C1513" s="106" t="inlineStr">
        <is>
          <t>Gympass</t>
        </is>
      </c>
      <c r="D1513" s="107" t="n">
        <v>22</v>
      </c>
      <c r="E1513" s="108" t="n">
        <v>9.92</v>
      </c>
      <c r="F1513" s="109">
        <f>IFERROR(D1513*E1513,0)</f>
        <v/>
      </c>
      <c r="G1513" s="106">
        <f>INDEX(SETORES!$B:$B,MATCH(A1513,SETORES!$A:$A,0))</f>
        <v/>
      </c>
      <c r="H1513" s="106" t="inlineStr">
        <is>
          <t>Julho/2026</t>
        </is>
      </c>
    </row>
    <row r="1514" hidden="1" ht="14.25" customHeight="1" s="64">
      <c r="A1514" s="101" t="inlineStr">
        <is>
          <t>Lançamento</t>
        </is>
      </c>
      <c r="B1514" s="101" t="inlineStr">
        <is>
          <t>Custo Fixo</t>
        </is>
      </c>
      <c r="C1514" s="101" t="inlineStr">
        <is>
          <t>Stargrid</t>
        </is>
      </c>
      <c r="D1514" s="102" t="n">
        <v>22</v>
      </c>
      <c r="E1514" s="103" t="n">
        <v>2.05</v>
      </c>
      <c r="F1514" s="104">
        <f>IFERROR(D1514*E1514,0)</f>
        <v/>
      </c>
      <c r="G1514" s="101">
        <f>INDEX(SETORES!$B:$B,MATCH(A1514,SETORES!$A:$A,0))</f>
        <v/>
      </c>
      <c r="H1514" s="101" t="inlineStr">
        <is>
          <t>Julho/2026</t>
        </is>
      </c>
    </row>
    <row r="1515" hidden="1" ht="14.25" customHeight="1" s="64">
      <c r="A1515" s="106" t="inlineStr">
        <is>
          <t>Lançamento</t>
        </is>
      </c>
      <c r="B1515" s="106" t="inlineStr">
        <is>
          <t>Custo Fixo</t>
        </is>
      </c>
      <c r="C1515" s="106" t="inlineStr">
        <is>
          <t>Licença de e-mail corporativo</t>
        </is>
      </c>
      <c r="D1515" s="107" t="n">
        <v>1</v>
      </c>
      <c r="E1515" s="108" t="n">
        <v>50</v>
      </c>
      <c r="F1515" s="109">
        <f>IFERROR(D1515*E1515,0)</f>
        <v/>
      </c>
      <c r="G1515" s="106">
        <f>INDEX(SETORES!$B:$B,MATCH(A1515,SETORES!$A:$A,0))</f>
        <v/>
      </c>
      <c r="H1515" s="106" t="inlineStr">
        <is>
          <t>Julho/2026</t>
        </is>
      </c>
    </row>
    <row r="1516" hidden="1" ht="14.25" customHeight="1" s="64">
      <c r="A1516" s="101" t="inlineStr">
        <is>
          <t>Lançamento</t>
        </is>
      </c>
      <c r="B1516" s="101" t="inlineStr">
        <is>
          <t>Custo Fixo</t>
        </is>
      </c>
      <c r="C1516" s="101" t="inlineStr">
        <is>
          <t>Despesas com RH</t>
        </is>
      </c>
      <c r="D1516" s="102" t="n">
        <v>22</v>
      </c>
      <c r="E1516" s="103" t="n">
        <v>29.74</v>
      </c>
      <c r="F1516" s="104">
        <f>IFERROR(D1516*E1516,0)</f>
        <v/>
      </c>
      <c r="G1516" s="101">
        <f>INDEX(SETORES!$B:$B,MATCH(A1516,SETORES!$A:$A,0))</f>
        <v/>
      </c>
      <c r="H1516" s="101" t="inlineStr">
        <is>
          <t>Julho/2026</t>
        </is>
      </c>
    </row>
    <row r="1517" hidden="1" ht="14.25" customHeight="1" s="64">
      <c r="A1517" s="106" t="inlineStr">
        <is>
          <t>Lançamento</t>
        </is>
      </c>
      <c r="B1517" s="106" t="inlineStr">
        <is>
          <t>Custo Fixo</t>
        </is>
      </c>
      <c r="C1517" s="106" t="inlineStr">
        <is>
          <t>Despesas com DP</t>
        </is>
      </c>
      <c r="D1517" s="107" t="n">
        <v>22</v>
      </c>
      <c r="E1517" s="108" t="n">
        <v>43.54</v>
      </c>
      <c r="F1517" s="109">
        <f>IFERROR(D1517*E1517,0)</f>
        <v/>
      </c>
      <c r="G1517" s="106">
        <f>INDEX(SETORES!$B:$B,MATCH(A1517,SETORES!$A:$A,0))</f>
        <v/>
      </c>
      <c r="H1517" s="106" t="inlineStr">
        <is>
          <t>Julho/2026</t>
        </is>
      </c>
    </row>
    <row r="1518" hidden="1" ht="14.25" customHeight="1" s="64">
      <c r="A1518" s="101" t="inlineStr">
        <is>
          <t>Lançamento</t>
        </is>
      </c>
      <c r="B1518" s="101" t="inlineStr">
        <is>
          <t>Custo Fixo</t>
        </is>
      </c>
      <c r="C1518" s="101" t="inlineStr">
        <is>
          <t>Despesas com SST</t>
        </is>
      </c>
      <c r="D1518" s="102" t="n">
        <v>22</v>
      </c>
      <c r="E1518" s="103" t="n">
        <v>47.66</v>
      </c>
      <c r="F1518" s="104">
        <f>IFERROR(D1518*E1518,0)</f>
        <v/>
      </c>
      <c r="G1518" s="101">
        <f>INDEX(SETORES!$B:$B,MATCH(A1518,SETORES!$A:$A,0))</f>
        <v/>
      </c>
      <c r="H1518" s="101" t="inlineStr">
        <is>
          <t>Julho/2026</t>
        </is>
      </c>
    </row>
    <row r="1519" hidden="1" ht="14.25" customHeight="1" s="64">
      <c r="A1519" s="106" t="inlineStr">
        <is>
          <t>Fusão</t>
        </is>
      </c>
      <c r="B1519" s="106" t="inlineStr">
        <is>
          <t>Custo Fixo</t>
        </is>
      </c>
      <c r="C1519" s="106" t="inlineStr">
        <is>
          <t>Gympass</t>
        </is>
      </c>
      <c r="D1519" s="107" t="n">
        <v>8</v>
      </c>
      <c r="E1519" s="108" t="n">
        <v>9.92</v>
      </c>
      <c r="F1519" s="109">
        <f>IFERROR(D1519*E1519,0)</f>
        <v/>
      </c>
      <c r="G1519" s="106">
        <f>INDEX(SETORES!$B:$B,MATCH(A1519,SETORES!$A:$A,0))</f>
        <v/>
      </c>
      <c r="H1519" s="106" t="inlineStr">
        <is>
          <t>Julho/2026</t>
        </is>
      </c>
    </row>
    <row r="1520" hidden="1" ht="14.25" customHeight="1" s="64">
      <c r="A1520" s="101" t="inlineStr">
        <is>
          <t>Fusão</t>
        </is>
      </c>
      <c r="B1520" s="101" t="inlineStr">
        <is>
          <t>Custo Fixo</t>
        </is>
      </c>
      <c r="C1520" s="101" t="inlineStr">
        <is>
          <t>Stargrid</t>
        </is>
      </c>
      <c r="D1520" s="102" t="n">
        <v>8</v>
      </c>
      <c r="E1520" s="103" t="n">
        <v>2.05</v>
      </c>
      <c r="F1520" s="104">
        <f>IFERROR(D1520*E1520,0)</f>
        <v/>
      </c>
      <c r="G1520" s="101">
        <f>INDEX(SETORES!$B:$B,MATCH(A1520,SETORES!$A:$A,0))</f>
        <v/>
      </c>
      <c r="H1520" s="101" t="inlineStr">
        <is>
          <t>Julho/2026</t>
        </is>
      </c>
    </row>
    <row r="1521" hidden="1" ht="14.25" customHeight="1" s="64">
      <c r="A1521" s="106" t="inlineStr">
        <is>
          <t>Fusão</t>
        </is>
      </c>
      <c r="B1521" s="106" t="inlineStr">
        <is>
          <t>Custo Fixo</t>
        </is>
      </c>
      <c r="C1521" s="106" t="inlineStr">
        <is>
          <t>Licença de e-mail corporativo</t>
        </is>
      </c>
      <c r="D1521" s="107" t="n">
        <v>1</v>
      </c>
      <c r="E1521" s="108" t="n">
        <v>50</v>
      </c>
      <c r="F1521" s="109">
        <f>IFERROR(D1521*E1521,0)</f>
        <v/>
      </c>
      <c r="G1521" s="106">
        <f>INDEX(SETORES!$B:$B,MATCH(A1521,SETORES!$A:$A,0))</f>
        <v/>
      </c>
      <c r="H1521" s="106" t="inlineStr">
        <is>
          <t>Julho/2026</t>
        </is>
      </c>
    </row>
    <row r="1522" hidden="1" ht="14.25" customHeight="1" s="64">
      <c r="A1522" s="101" t="inlineStr">
        <is>
          <t>Fusão</t>
        </is>
      </c>
      <c r="B1522" s="101" t="inlineStr">
        <is>
          <t>Custo Fixo</t>
        </is>
      </c>
      <c r="C1522" s="101" t="inlineStr">
        <is>
          <t>Despesas com RH</t>
        </is>
      </c>
      <c r="D1522" s="102" t="n">
        <v>8</v>
      </c>
      <c r="E1522" s="103" t="n">
        <v>29.74</v>
      </c>
      <c r="F1522" s="104">
        <f>IFERROR(D1522*E1522,0)</f>
        <v/>
      </c>
      <c r="G1522" s="101">
        <f>INDEX(SETORES!$B:$B,MATCH(A1522,SETORES!$A:$A,0))</f>
        <v/>
      </c>
      <c r="H1522" s="101" t="inlineStr">
        <is>
          <t>Julho/2026</t>
        </is>
      </c>
    </row>
    <row r="1523" hidden="1" ht="14.25" customHeight="1" s="64">
      <c r="A1523" s="106" t="inlineStr">
        <is>
          <t>Fusão</t>
        </is>
      </c>
      <c r="B1523" s="106" t="inlineStr">
        <is>
          <t>Custo Fixo</t>
        </is>
      </c>
      <c r="C1523" s="106" t="inlineStr">
        <is>
          <t>Despesas com DP</t>
        </is>
      </c>
      <c r="D1523" s="107" t="n">
        <v>8</v>
      </c>
      <c r="E1523" s="108" t="n">
        <v>43.54</v>
      </c>
      <c r="F1523" s="109">
        <f>IFERROR(D1523*E1523,0)</f>
        <v/>
      </c>
      <c r="G1523" s="106">
        <f>INDEX(SETORES!$B:$B,MATCH(A1523,SETORES!$A:$A,0))</f>
        <v/>
      </c>
      <c r="H1523" s="106" t="inlineStr">
        <is>
          <t>Julho/2026</t>
        </is>
      </c>
    </row>
    <row r="1524" hidden="1" ht="14.25" customHeight="1" s="64">
      <c r="A1524" s="101" t="inlineStr">
        <is>
          <t>Fusão</t>
        </is>
      </c>
      <c r="B1524" s="101" t="inlineStr">
        <is>
          <t>Custo Fixo</t>
        </is>
      </c>
      <c r="C1524" s="101" t="inlineStr">
        <is>
          <t>Despesas com SST</t>
        </is>
      </c>
      <c r="D1524" s="102" t="n">
        <v>8</v>
      </c>
      <c r="E1524" s="103" t="n">
        <v>47.66</v>
      </c>
      <c r="F1524" s="104">
        <f>IFERROR(D1524*E1524,0)</f>
        <v/>
      </c>
      <c r="G1524" s="101">
        <f>INDEX(SETORES!$B:$B,MATCH(A1524,SETORES!$A:$A,0))</f>
        <v/>
      </c>
      <c r="H1524" s="101" t="inlineStr">
        <is>
          <t>Julho/2026</t>
        </is>
      </c>
    </row>
    <row r="1525" hidden="1" ht="14.25" customHeight="1" s="64">
      <c r="A1525" s="106" t="inlineStr">
        <is>
          <t>Diretoria Adm</t>
        </is>
      </c>
      <c r="B1525" s="106" t="inlineStr">
        <is>
          <t>Custo Fixo</t>
        </is>
      </c>
      <c r="C1525" s="106" t="inlineStr">
        <is>
          <t>Gympass</t>
        </is>
      </c>
      <c r="D1525" s="107" t="n">
        <v>3</v>
      </c>
      <c r="E1525" s="108" t="n">
        <v>9.92</v>
      </c>
      <c r="F1525" s="109">
        <f>IFERROR(D1525*E1525,0)</f>
        <v/>
      </c>
      <c r="G1525" s="106">
        <f>INDEX(SETORES!$B:$B,MATCH(A1525,SETORES!$A:$A,0))</f>
        <v/>
      </c>
      <c r="H1525" s="106" t="inlineStr">
        <is>
          <t>Julho/2026</t>
        </is>
      </c>
    </row>
    <row r="1526" hidden="1" ht="14.25" customHeight="1" s="64">
      <c r="A1526" s="101" t="inlineStr">
        <is>
          <t>Diretoria Adm</t>
        </is>
      </c>
      <c r="B1526" s="101" t="inlineStr">
        <is>
          <t>Custo Fixo</t>
        </is>
      </c>
      <c r="C1526" s="101" t="inlineStr">
        <is>
          <t>Stargrid</t>
        </is>
      </c>
      <c r="D1526" s="102" t="n">
        <v>3</v>
      </c>
      <c r="E1526" s="103" t="n">
        <v>2.05</v>
      </c>
      <c r="F1526" s="104">
        <f>IFERROR(D1526*E1526,0)</f>
        <v/>
      </c>
      <c r="G1526" s="101">
        <f>INDEX(SETORES!$B:$B,MATCH(A1526,SETORES!$A:$A,0))</f>
        <v/>
      </c>
      <c r="H1526" s="101" t="inlineStr">
        <is>
          <t>Julho/2026</t>
        </is>
      </c>
    </row>
    <row r="1527" hidden="1" ht="14.25" customHeight="1" s="64">
      <c r="A1527" s="106" t="inlineStr">
        <is>
          <t>Diretoria Adm</t>
        </is>
      </c>
      <c r="B1527" s="106" t="inlineStr">
        <is>
          <t>Custo Fixo</t>
        </is>
      </c>
      <c r="C1527" s="106" t="inlineStr">
        <is>
          <t>Licença de e-mail corporativo</t>
        </is>
      </c>
      <c r="D1527" s="107" t="n">
        <v>2</v>
      </c>
      <c r="E1527" s="108" t="n">
        <v>50</v>
      </c>
      <c r="F1527" s="109">
        <f>IFERROR(D1527*E1527,0)</f>
        <v/>
      </c>
      <c r="G1527" s="106">
        <f>INDEX(SETORES!$B:$B,MATCH(A1527,SETORES!$A:$A,0))</f>
        <v/>
      </c>
      <c r="H1527" s="106" t="inlineStr">
        <is>
          <t>Julho/2026</t>
        </is>
      </c>
    </row>
    <row r="1528" hidden="1" ht="14.25" customHeight="1" s="64">
      <c r="A1528" s="101" t="inlineStr">
        <is>
          <t>Diretoria Adm</t>
        </is>
      </c>
      <c r="B1528" s="101" t="inlineStr">
        <is>
          <t>Custo Fixo</t>
        </is>
      </c>
      <c r="C1528" s="101" t="inlineStr">
        <is>
          <t>Despesas com RH</t>
        </is>
      </c>
      <c r="D1528" s="102" t="n">
        <v>3</v>
      </c>
      <c r="E1528" s="103" t="n">
        <v>29.74</v>
      </c>
      <c r="F1528" s="104">
        <f>IFERROR(D1528*E1528,0)</f>
        <v/>
      </c>
      <c r="G1528" s="101">
        <f>INDEX(SETORES!$B:$B,MATCH(A1528,SETORES!$A:$A,0))</f>
        <v/>
      </c>
      <c r="H1528" s="101" t="inlineStr">
        <is>
          <t>Julho/2026</t>
        </is>
      </c>
    </row>
    <row r="1529" hidden="1" ht="14.25" customHeight="1" s="64">
      <c r="A1529" s="106" t="inlineStr">
        <is>
          <t>Diretoria Adm</t>
        </is>
      </c>
      <c r="B1529" s="106" t="inlineStr">
        <is>
          <t>Custo Fixo</t>
        </is>
      </c>
      <c r="C1529" s="106" t="inlineStr">
        <is>
          <t>Despesas com DP</t>
        </is>
      </c>
      <c r="D1529" s="107" t="n">
        <v>3</v>
      </c>
      <c r="E1529" s="108" t="n">
        <v>43.54</v>
      </c>
      <c r="F1529" s="109">
        <f>IFERROR(D1529*E1529,0)</f>
        <v/>
      </c>
      <c r="G1529" s="106">
        <f>INDEX(SETORES!$B:$B,MATCH(A1529,SETORES!$A:$A,0))</f>
        <v/>
      </c>
      <c r="H1529" s="106" t="inlineStr">
        <is>
          <t>Julho/2026</t>
        </is>
      </c>
    </row>
    <row r="1530" hidden="1" ht="14.25" customHeight="1" s="64">
      <c r="A1530" s="101" t="inlineStr">
        <is>
          <t>Diretoria Adm</t>
        </is>
      </c>
      <c r="B1530" s="101" t="inlineStr">
        <is>
          <t>Custo Fixo</t>
        </is>
      </c>
      <c r="C1530" s="101" t="inlineStr">
        <is>
          <t>Despesas com SST</t>
        </is>
      </c>
      <c r="D1530" s="102" t="n">
        <v>3</v>
      </c>
      <c r="E1530" s="103" t="n">
        <v>47.66</v>
      </c>
      <c r="F1530" s="104">
        <f>IFERROR(D1530*E1530,0)</f>
        <v/>
      </c>
      <c r="G1530" s="101">
        <f>INDEX(SETORES!$B:$B,MATCH(A1530,SETORES!$A:$A,0))</f>
        <v/>
      </c>
      <c r="H1530" s="101" t="inlineStr">
        <is>
          <t>Julho/2026</t>
        </is>
      </c>
    </row>
    <row r="1531" hidden="1" ht="14.25" customHeight="1" s="64">
      <c r="A1531" s="106" t="inlineStr">
        <is>
          <t>TIC</t>
        </is>
      </c>
      <c r="B1531" s="106" t="inlineStr">
        <is>
          <t>Custo Fixo</t>
        </is>
      </c>
      <c r="C1531" s="106" t="inlineStr">
        <is>
          <t>Impressora</t>
        </is>
      </c>
      <c r="D1531" s="107" t="n">
        <v>1</v>
      </c>
      <c r="E1531" s="108" t="n">
        <v>6.862744</v>
      </c>
      <c r="F1531" s="109">
        <f>IFERROR(D1531*E1531,0)</f>
        <v/>
      </c>
      <c r="G1531" s="106">
        <f>INDEX(SETORES!$B:$B,MATCH(A1531,SETORES!$A:$A,0))</f>
        <v/>
      </c>
      <c r="H1531" s="106" t="inlineStr">
        <is>
          <t>Julho/2026</t>
        </is>
      </c>
    </row>
    <row r="1532" hidden="1" ht="14.25" customHeight="1" s="64">
      <c r="A1532" s="101" t="inlineStr">
        <is>
          <t>Marketing</t>
        </is>
      </c>
      <c r="B1532" s="101" t="inlineStr">
        <is>
          <t>Custo Fixo</t>
        </is>
      </c>
      <c r="C1532" s="101" t="inlineStr">
        <is>
          <t>Impressora</t>
        </is>
      </c>
      <c r="D1532" s="102" t="n">
        <v>1</v>
      </c>
      <c r="E1532" s="103" t="n">
        <v>128.68</v>
      </c>
      <c r="F1532" s="104">
        <f>IFERROR(D1532*E1532,0)</f>
        <v/>
      </c>
      <c r="G1532" s="101">
        <f>INDEX(SETORES!$B:$B,MATCH(A1532,SETORES!$A:$A,0))</f>
        <v/>
      </c>
      <c r="H1532" s="101" t="inlineStr">
        <is>
          <t>Julho/2026</t>
        </is>
      </c>
    </row>
    <row r="1533" hidden="1" ht="14.25" customHeight="1" s="64">
      <c r="A1533" s="106" t="inlineStr">
        <is>
          <t>NOC</t>
        </is>
      </c>
      <c r="B1533" s="106" t="inlineStr">
        <is>
          <t>Custo Fixo</t>
        </is>
      </c>
      <c r="C1533" s="106" t="inlineStr">
        <is>
          <t>Impressora</t>
        </is>
      </c>
      <c r="D1533" s="107" t="n">
        <v>1</v>
      </c>
      <c r="E1533" s="108" t="n">
        <v>200</v>
      </c>
      <c r="F1533" s="109">
        <f>IFERROR(D1533*E1533,0)</f>
        <v/>
      </c>
      <c r="G1533" s="106">
        <f>INDEX(SETORES!$B:$B,MATCH(A1533,SETORES!$A:$A,0))</f>
        <v/>
      </c>
      <c r="H1533" s="106" t="inlineStr">
        <is>
          <t>Julho/2026</t>
        </is>
      </c>
    </row>
    <row r="1534" hidden="1" ht="14.25" customHeight="1" s="64">
      <c r="A1534" s="101" t="inlineStr">
        <is>
          <t>COE</t>
        </is>
      </c>
      <c r="B1534" s="101" t="inlineStr">
        <is>
          <t>Custo Fixo</t>
        </is>
      </c>
      <c r="C1534" s="101" t="inlineStr">
        <is>
          <t>Impressora</t>
        </is>
      </c>
      <c r="D1534" s="102" t="n">
        <v>1</v>
      </c>
      <c r="E1534" s="103" t="n">
        <v>220</v>
      </c>
      <c r="F1534" s="104">
        <f>IFERROR(D1534*E1534,0)</f>
        <v/>
      </c>
      <c r="G1534" s="101">
        <f>INDEX(SETORES!$B:$B,MATCH(A1534,SETORES!$A:$A,0))</f>
        <v/>
      </c>
      <c r="H1534" s="101" t="inlineStr">
        <is>
          <t>Julho/2026</t>
        </is>
      </c>
    </row>
    <row r="1535" hidden="1" ht="14.25" customHeight="1" s="64">
      <c r="A1535" s="106" t="inlineStr">
        <is>
          <t>Oficina</t>
        </is>
      </c>
      <c r="B1535" s="106" t="inlineStr">
        <is>
          <t>Custo Fixo</t>
        </is>
      </c>
      <c r="C1535" s="106" t="inlineStr">
        <is>
          <t>Impressora</t>
        </is>
      </c>
      <c r="D1535" s="107" t="n">
        <v>1</v>
      </c>
      <c r="E1535" s="108" t="n">
        <v>250</v>
      </c>
      <c r="F1535" s="109">
        <f>IFERROR(D1535*E1535,0)</f>
        <v/>
      </c>
      <c r="G1535" s="106">
        <f>INDEX(SETORES!$B:$B,MATCH(A1535,SETORES!$A:$A,0))</f>
        <v/>
      </c>
      <c r="H1535" s="106" t="inlineStr">
        <is>
          <t>Julho/2026</t>
        </is>
      </c>
    </row>
    <row r="1536" hidden="1" ht="14.25" customHeight="1" s="64">
      <c r="A1536" s="101" t="inlineStr">
        <is>
          <t>Jurídico</t>
        </is>
      </c>
      <c r="B1536" s="101" t="inlineStr">
        <is>
          <t>Custo Fixo</t>
        </is>
      </c>
      <c r="C1536" s="101" t="inlineStr">
        <is>
          <t>Impressora</t>
        </is>
      </c>
      <c r="D1536" s="102" t="n">
        <v>1</v>
      </c>
      <c r="E1536" s="103" t="n">
        <v>0</v>
      </c>
      <c r="F1536" s="104">
        <f>IFERROR(D1536*E1536,0)</f>
        <v/>
      </c>
      <c r="G1536" s="101">
        <f>INDEX(SETORES!$B:$B,MATCH(A1536,SETORES!$A:$A,0))</f>
        <v/>
      </c>
      <c r="H1536" s="101" t="inlineStr">
        <is>
          <t>Julho/2026</t>
        </is>
      </c>
    </row>
    <row r="1537" hidden="1" ht="14.25" customHeight="1" s="64">
      <c r="A1537" s="106" t="inlineStr">
        <is>
          <t>Controladoria</t>
        </is>
      </c>
      <c r="B1537" s="106" t="inlineStr">
        <is>
          <t>Custo Fixo</t>
        </is>
      </c>
      <c r="C1537" s="106" t="inlineStr">
        <is>
          <t>Licença de e-mail corporativo</t>
        </is>
      </c>
      <c r="D1537" s="107" t="n">
        <v>1</v>
      </c>
      <c r="E1537" s="108" t="n">
        <v>50</v>
      </c>
      <c r="F1537" s="109">
        <f>IFERROR(D1537*E1537,0)</f>
        <v/>
      </c>
      <c r="G1537" s="106">
        <f>INDEX(SETORES!$B:$B,MATCH(A1537,SETORES!$A:$A,0))</f>
        <v/>
      </c>
      <c r="H1537" s="106" t="inlineStr">
        <is>
          <t>Julho/2026</t>
        </is>
      </c>
    </row>
    <row r="1538" hidden="1" ht="14.25" customHeight="1" s="64">
      <c r="A1538" s="101" t="inlineStr">
        <is>
          <t>Jurídico</t>
        </is>
      </c>
      <c r="B1538" s="101" t="inlineStr">
        <is>
          <t>Custo Fixo</t>
        </is>
      </c>
      <c r="C1538" s="101" t="inlineStr">
        <is>
          <t>Consultoria Jurídica</t>
        </is>
      </c>
      <c r="D1538" s="102" t="n">
        <v>1</v>
      </c>
      <c r="E1538" s="103" t="n">
        <v>7500</v>
      </c>
      <c r="F1538" s="104">
        <f>IFERROR(D1538*E1538,0)</f>
        <v/>
      </c>
      <c r="G1538" s="101">
        <f>INDEX(SETORES!$B:$B,MATCH(A1538,SETORES!$A:$A,0))</f>
        <v/>
      </c>
      <c r="H1538" s="101" t="inlineStr">
        <is>
          <t>Julho/2026</t>
        </is>
      </c>
    </row>
    <row r="1539" hidden="1" ht="14.25" customHeight="1" s="64">
      <c r="A1539" s="106" t="inlineStr">
        <is>
          <t>Cozinha</t>
        </is>
      </c>
      <c r="B1539" s="106" t="inlineStr">
        <is>
          <t>Custo Fixo</t>
        </is>
      </c>
      <c r="C1539" s="106" t="inlineStr">
        <is>
          <t>Folha de pagamento (salários)</t>
        </is>
      </c>
      <c r="D1539" s="107" t="n">
        <v>1</v>
      </c>
      <c r="E1539" s="108" t="n">
        <v>27510.6</v>
      </c>
      <c r="F1539" s="109" t="n">
        <v>27510.6</v>
      </c>
      <c r="G1539" s="106">
        <f>INDEX(SETORES!$B:$B,MATCH(A1539,SETORES!$A:$A,0))</f>
        <v/>
      </c>
      <c r="H1539" s="106" t="inlineStr">
        <is>
          <t>Julho/2026</t>
        </is>
      </c>
    </row>
    <row r="1540" hidden="1" ht="14.25" customHeight="1" s="64">
      <c r="A1540" s="101" t="inlineStr">
        <is>
          <t>Cozinha</t>
        </is>
      </c>
      <c r="B1540" s="101" t="inlineStr">
        <is>
          <t>Custo Fixo</t>
        </is>
      </c>
      <c r="C1540" s="101" t="inlineStr">
        <is>
          <t>Licença de e-mail corporativo</t>
        </is>
      </c>
      <c r="D1540" s="102" t="n">
        <v>1</v>
      </c>
      <c r="E1540" s="103" t="n">
        <v>50</v>
      </c>
      <c r="F1540" s="104">
        <f>IFERROR(D1540*E1540,0)</f>
        <v/>
      </c>
      <c r="G1540" s="101">
        <f>INDEX(SETORES!$B:$B,MATCH(A1540,SETORES!$A:$A,0))</f>
        <v/>
      </c>
      <c r="H1540" s="101" t="inlineStr">
        <is>
          <t>Julho/2026</t>
        </is>
      </c>
    </row>
    <row r="1541" hidden="1" ht="14.25" customHeight="1" s="64">
      <c r="A1541" s="106" t="inlineStr">
        <is>
          <t>COE</t>
        </is>
      </c>
      <c r="B1541" s="106" t="inlineStr">
        <is>
          <t>Custo Variável</t>
        </is>
      </c>
      <c r="C1541" s="106" t="inlineStr">
        <is>
          <t>Rateio de transporte coletivo</t>
        </is>
      </c>
      <c r="D1541" s="107" t="n">
        <v>14</v>
      </c>
      <c r="E1541" s="108" t="n">
        <v>76.92</v>
      </c>
      <c r="F1541" s="109">
        <f>IFERROR(D1541*E1541,0)</f>
        <v/>
      </c>
      <c r="G1541" s="106">
        <f>INDEX(SETORES!$B:$B,MATCH(A1541,SETORES!$A:$A,0))</f>
        <v/>
      </c>
      <c r="H1541" s="106" t="inlineStr">
        <is>
          <t>Julho/2026</t>
        </is>
      </c>
    </row>
    <row r="1542" hidden="1" ht="14.25" customHeight="1" s="64">
      <c r="A1542" s="101" t="inlineStr">
        <is>
          <t>Cozinha</t>
        </is>
      </c>
      <c r="B1542" s="101" t="inlineStr">
        <is>
          <t>Custo Variável</t>
        </is>
      </c>
      <c r="C1542" s="101" t="inlineStr">
        <is>
          <t>Rateio de transporte coletivo</t>
        </is>
      </c>
      <c r="D1542" s="102" t="n">
        <v>5</v>
      </c>
      <c r="E1542" s="103" t="n">
        <v>76.92</v>
      </c>
      <c r="F1542" s="104">
        <f>IFERROR(D1542*E1542,0)</f>
        <v/>
      </c>
      <c r="G1542" s="101">
        <f>INDEX(SETORES!$B:$B,MATCH(A1542,SETORES!$A:$A,0))</f>
        <v/>
      </c>
      <c r="H1542" s="101" t="inlineStr">
        <is>
          <t>Julho/2026</t>
        </is>
      </c>
    </row>
    <row r="1543" hidden="1" ht="14.25" customHeight="1" s="64">
      <c r="A1543" s="106" t="inlineStr">
        <is>
          <t>COE</t>
        </is>
      </c>
      <c r="B1543" s="106" t="inlineStr">
        <is>
          <t>Custo Fixo</t>
        </is>
      </c>
      <c r="C1543" s="106" t="inlineStr">
        <is>
          <t>Energia elétrica (rateio)</t>
        </is>
      </c>
      <c r="D1543" s="107" t="n">
        <v>14</v>
      </c>
      <c r="E1543" s="108" t="n">
        <v>21.2582</v>
      </c>
      <c r="F1543" s="109" t="n">
        <v>297.6148</v>
      </c>
      <c r="G1543" s="106">
        <f>INDEX(SETORES!$B:$B,MATCH(A1543,SETORES!$A:$A,0))</f>
        <v/>
      </c>
      <c r="H1543" s="106" t="inlineStr">
        <is>
          <t>Julho/2026</t>
        </is>
      </c>
    </row>
    <row r="1544" hidden="1" ht="14.25" customHeight="1" s="64">
      <c r="A1544" s="101" t="inlineStr">
        <is>
          <t>COE</t>
        </is>
      </c>
      <c r="B1544" s="101" t="inlineStr">
        <is>
          <t>Custo Fixo</t>
        </is>
      </c>
      <c r="C1544" s="101" t="inlineStr">
        <is>
          <t>Água e esgoto (rateio)</t>
        </is>
      </c>
      <c r="D1544" s="102" t="n">
        <v>14</v>
      </c>
      <c r="E1544" s="103" t="n">
        <v>3.3247</v>
      </c>
      <c r="F1544" s="104" t="n">
        <v>46.5458</v>
      </c>
      <c r="G1544" s="101">
        <f>INDEX(SETORES!$B:$B,MATCH(A1544,SETORES!$A:$A,0))</f>
        <v/>
      </c>
      <c r="H1544" s="101" t="inlineStr">
        <is>
          <t>Julho/2026</t>
        </is>
      </c>
    </row>
    <row r="1545" hidden="1" ht="14.25" customHeight="1" s="64">
      <c r="A1545" s="106" t="inlineStr">
        <is>
          <t>Cozinha</t>
        </is>
      </c>
      <c r="B1545" s="106" t="inlineStr">
        <is>
          <t>Custo Fixo</t>
        </is>
      </c>
      <c r="C1545" s="106" t="inlineStr">
        <is>
          <t>Energia elétrica (rateio)</t>
        </is>
      </c>
      <c r="D1545" s="107" t="n">
        <v>5</v>
      </c>
      <c r="E1545" s="108" t="n">
        <v>21.2582</v>
      </c>
      <c r="F1545" s="109" t="n">
        <v>106.291</v>
      </c>
      <c r="G1545" s="106">
        <f>INDEX(SETORES!$B:$B,MATCH(A1545,SETORES!$A:$A,0))</f>
        <v/>
      </c>
      <c r="H1545" s="106" t="inlineStr">
        <is>
          <t>Julho/2026</t>
        </is>
      </c>
    </row>
    <row r="1546" hidden="1" ht="14.25" customHeight="1" s="64">
      <c r="A1546" s="101" t="inlineStr">
        <is>
          <t>Cozinha</t>
        </is>
      </c>
      <c r="B1546" s="101" t="inlineStr">
        <is>
          <t>Custo Fixo</t>
        </is>
      </c>
      <c r="C1546" s="101" t="inlineStr">
        <is>
          <t>Água e esgoto (rateio)</t>
        </is>
      </c>
      <c r="D1546" s="102" t="n">
        <v>5</v>
      </c>
      <c r="E1546" s="103" t="n">
        <v>3.3247</v>
      </c>
      <c r="F1546" s="104" t="n">
        <v>16.6235</v>
      </c>
      <c r="G1546" s="101">
        <f>INDEX(SETORES!$B:$B,MATCH(A1546,SETORES!$A:$A,0))</f>
        <v/>
      </c>
      <c r="H1546" s="101" t="inlineStr">
        <is>
          <t>Julho/2026</t>
        </is>
      </c>
    </row>
    <row r="1547" hidden="1" ht="14.25" customHeight="1" s="64">
      <c r="A1547" s="106" t="inlineStr">
        <is>
          <t>COE</t>
        </is>
      </c>
      <c r="B1547" s="106" t="inlineStr">
        <is>
          <t>Custo Variável</t>
        </is>
      </c>
      <c r="C1547" s="106" t="inlineStr">
        <is>
          <t>Rescisões trabalhistas</t>
        </is>
      </c>
      <c r="D1547" s="107" t="n"/>
      <c r="E1547" s="108" t="n"/>
      <c r="F1547" s="109">
        <f>IFERROR(D1547*E1547,0)</f>
        <v/>
      </c>
      <c r="G1547" s="106">
        <f>INDEX(SETORES!$B:$B,MATCH(A1547,SETORES!$A:$A,0))</f>
        <v/>
      </c>
      <c r="H1547" s="106" t="inlineStr">
        <is>
          <t>Julho/2026</t>
        </is>
      </c>
    </row>
    <row r="1548" hidden="1" ht="14.25" customHeight="1" s="64">
      <c r="A1548" s="101" t="inlineStr">
        <is>
          <t>Compras</t>
        </is>
      </c>
      <c r="B1548" s="101" t="inlineStr">
        <is>
          <t>Custo Variável</t>
        </is>
      </c>
      <c r="C1548" s="101" t="inlineStr">
        <is>
          <t>Rescisões trabalhistas</t>
        </is>
      </c>
      <c r="D1548" s="102" t="n"/>
      <c r="E1548" s="103" t="n"/>
      <c r="F1548" s="104">
        <f>IFERROR(D1548*E1548,0)</f>
        <v/>
      </c>
      <c r="G1548" s="101">
        <f>INDEX(SETORES!$B:$B,MATCH(A1548,SETORES!$A:$A,0))</f>
        <v/>
      </c>
      <c r="H1548" s="101" t="inlineStr">
        <is>
          <t>Julho/2026</t>
        </is>
      </c>
    </row>
    <row r="1549" hidden="1" ht="14.25" customHeight="1" s="64">
      <c r="A1549" s="106" t="inlineStr">
        <is>
          <t>Controladoria</t>
        </is>
      </c>
      <c r="B1549" s="106" t="inlineStr">
        <is>
          <t>Custo Variável</t>
        </is>
      </c>
      <c r="C1549" s="106" t="inlineStr">
        <is>
          <t>Rescisões trabalhistas</t>
        </is>
      </c>
      <c r="D1549" s="107" t="n"/>
      <c r="E1549" s="108" t="n"/>
      <c r="F1549" s="109">
        <f>IFERROR(D1549*E1549,0)</f>
        <v/>
      </c>
      <c r="G1549" s="106">
        <f>INDEX(SETORES!$B:$B,MATCH(A1549,SETORES!$A:$A,0))</f>
        <v/>
      </c>
      <c r="H1549" s="106" t="inlineStr">
        <is>
          <t>Julho/2026</t>
        </is>
      </c>
    </row>
    <row r="1550" hidden="1" ht="14.25" customHeight="1" s="64">
      <c r="A1550" s="101" t="inlineStr">
        <is>
          <t>Cozinha</t>
        </is>
      </c>
      <c r="B1550" s="101" t="inlineStr">
        <is>
          <t>Custo Variável</t>
        </is>
      </c>
      <c r="C1550" s="101" t="inlineStr">
        <is>
          <t>Rescisões trabalhistas</t>
        </is>
      </c>
      <c r="D1550" s="102" t="n"/>
      <c r="E1550" s="103" t="n"/>
      <c r="F1550" s="104">
        <f>IFERROR(D1550*E1550,0)</f>
        <v/>
      </c>
      <c r="G1550" s="101">
        <f>INDEX(SETORES!$B:$B,MATCH(A1550,SETORES!$A:$A,0))</f>
        <v/>
      </c>
      <c r="H1550" s="101" t="inlineStr">
        <is>
          <t>Julho/2026</t>
        </is>
      </c>
    </row>
    <row r="1551" hidden="1" ht="14.25" customHeight="1" s="64">
      <c r="A1551" s="106" t="inlineStr">
        <is>
          <t>Diretoria Adm</t>
        </is>
      </c>
      <c r="B1551" s="106" t="inlineStr">
        <is>
          <t>Custo Variável</t>
        </is>
      </c>
      <c r="C1551" s="106" t="inlineStr">
        <is>
          <t>Rescisões trabalhistas</t>
        </is>
      </c>
      <c r="D1551" s="107" t="n"/>
      <c r="E1551" s="108" t="n"/>
      <c r="F1551" s="109">
        <f>IFERROR(D1551*E1551,0)</f>
        <v/>
      </c>
      <c r="G1551" s="106">
        <f>INDEX(SETORES!$B:$B,MATCH(A1551,SETORES!$A:$A,0))</f>
        <v/>
      </c>
      <c r="H1551" s="106" t="inlineStr">
        <is>
          <t>Julho/2026</t>
        </is>
      </c>
    </row>
    <row r="1552" hidden="1" ht="14.25" customHeight="1" s="64">
      <c r="A1552" s="101" t="inlineStr">
        <is>
          <t>Diretoria Operacional</t>
        </is>
      </c>
      <c r="B1552" s="101" t="inlineStr">
        <is>
          <t>Custo Variável</t>
        </is>
      </c>
      <c r="C1552" s="101" t="inlineStr">
        <is>
          <t>Rescisões trabalhistas</t>
        </is>
      </c>
      <c r="D1552" s="102" t="n"/>
      <c r="E1552" s="103" t="n"/>
      <c r="F1552" s="104">
        <f>IFERROR(D1552*E1552,0)</f>
        <v/>
      </c>
      <c r="G1552" s="101">
        <f>INDEX(SETORES!$B:$B,MATCH(A1552,SETORES!$A:$A,0))</f>
        <v/>
      </c>
      <c r="H1552" s="101" t="inlineStr">
        <is>
          <t>Julho/2026</t>
        </is>
      </c>
    </row>
    <row r="1553" hidden="1" ht="14.25" customHeight="1" s="64">
      <c r="A1553" s="106" t="inlineStr">
        <is>
          <t>Financeiro</t>
        </is>
      </c>
      <c r="B1553" s="106" t="inlineStr">
        <is>
          <t>Custo Variável</t>
        </is>
      </c>
      <c r="C1553" s="106" t="inlineStr">
        <is>
          <t>Rescisões trabalhistas</t>
        </is>
      </c>
      <c r="D1553" s="107" t="n"/>
      <c r="E1553" s="108" t="n"/>
      <c r="F1553" s="109">
        <f>IFERROR(D1553*E1553,0)</f>
        <v/>
      </c>
      <c r="G1553" s="106">
        <f>INDEX(SETORES!$B:$B,MATCH(A1553,SETORES!$A:$A,0))</f>
        <v/>
      </c>
      <c r="H1553" s="106" t="inlineStr">
        <is>
          <t>Julho/2026</t>
        </is>
      </c>
    </row>
    <row r="1554" hidden="1" ht="14.25" customHeight="1" s="64">
      <c r="A1554" s="101" t="inlineStr">
        <is>
          <t>Fique Móvel</t>
        </is>
      </c>
      <c r="B1554" s="101" t="inlineStr">
        <is>
          <t>Custo Variável</t>
        </is>
      </c>
      <c r="C1554" s="101" t="inlineStr">
        <is>
          <t>Rescisões trabalhistas</t>
        </is>
      </c>
      <c r="D1554" s="102" t="n"/>
      <c r="E1554" s="103" t="n"/>
      <c r="F1554" s="104">
        <f>IFERROR(D1554*E1554,0)</f>
        <v/>
      </c>
      <c r="G1554" s="101">
        <f>INDEX(SETORES!$B:$B,MATCH(A1554,SETORES!$A:$A,0))</f>
        <v/>
      </c>
      <c r="H1554" s="101" t="inlineStr">
        <is>
          <t>Julho/2026</t>
        </is>
      </c>
    </row>
    <row r="1555" hidden="1" ht="14.25" customHeight="1" s="64">
      <c r="A1555" s="106" t="inlineStr">
        <is>
          <t>Fusão</t>
        </is>
      </c>
      <c r="B1555" s="106" t="inlineStr">
        <is>
          <t>Custo Variável</t>
        </is>
      </c>
      <c r="C1555" s="106" t="inlineStr">
        <is>
          <t>Rescisões trabalhistas</t>
        </is>
      </c>
      <c r="D1555" s="107" t="n"/>
      <c r="E1555" s="108" t="n"/>
      <c r="F1555" s="109">
        <f>IFERROR(D1555*E1555,0)</f>
        <v/>
      </c>
      <c r="G1555" s="106">
        <f>INDEX(SETORES!$B:$B,MATCH(A1555,SETORES!$A:$A,0))</f>
        <v/>
      </c>
      <c r="H1555" s="106" t="inlineStr">
        <is>
          <t>Julho/2026</t>
        </is>
      </c>
    </row>
    <row r="1556" hidden="1" ht="14.25" customHeight="1" s="64">
      <c r="A1556" s="101" t="inlineStr">
        <is>
          <t>Gestão de Atendimento</t>
        </is>
      </c>
      <c r="B1556" s="101" t="inlineStr">
        <is>
          <t>Custo Variável</t>
        </is>
      </c>
      <c r="C1556" s="101" t="inlineStr">
        <is>
          <t>Rescisões trabalhistas</t>
        </is>
      </c>
      <c r="D1556" s="102" t="n"/>
      <c r="E1556" s="103" t="n"/>
      <c r="F1556" s="104">
        <f>IFERROR(D1556*E1556,0)</f>
        <v/>
      </c>
      <c r="G1556" s="101">
        <f>INDEX(SETORES!$B:$B,MATCH(A1556,SETORES!$A:$A,0))</f>
        <v/>
      </c>
      <c r="H1556" s="101" t="inlineStr">
        <is>
          <t>Julho/2026</t>
        </is>
      </c>
    </row>
    <row r="1557" hidden="1" ht="14.25" customHeight="1" s="64">
      <c r="A1557" s="106" t="inlineStr">
        <is>
          <t>Jurídico</t>
        </is>
      </c>
      <c r="B1557" s="106" t="inlineStr">
        <is>
          <t>Custo Variável</t>
        </is>
      </c>
      <c r="C1557" s="106" t="inlineStr">
        <is>
          <t>Rescisões trabalhistas</t>
        </is>
      </c>
      <c r="D1557" s="107" t="n"/>
      <c r="E1557" s="108" t="n"/>
      <c r="F1557" s="109">
        <f>IFERROR(D1557*E1557,0)</f>
        <v/>
      </c>
      <c r="G1557" s="106">
        <f>INDEX(SETORES!$B:$B,MATCH(A1557,SETORES!$A:$A,0))</f>
        <v/>
      </c>
      <c r="H1557" s="106" t="inlineStr">
        <is>
          <t>Julho/2026</t>
        </is>
      </c>
    </row>
    <row r="1558" hidden="1" ht="14.25" customHeight="1" s="64">
      <c r="A1558" s="101" t="inlineStr">
        <is>
          <t>Logística</t>
        </is>
      </c>
      <c r="B1558" s="101" t="inlineStr">
        <is>
          <t>Custo Variável</t>
        </is>
      </c>
      <c r="C1558" s="101" t="inlineStr">
        <is>
          <t>Rescisões trabalhistas</t>
        </is>
      </c>
      <c r="D1558" s="102" t="n"/>
      <c r="E1558" s="103" t="n"/>
      <c r="F1558" s="104">
        <f>IFERROR(D1558*E1558,0)</f>
        <v/>
      </c>
      <c r="G1558" s="101">
        <f>INDEX(SETORES!$B:$B,MATCH(A1558,SETORES!$A:$A,0))</f>
        <v/>
      </c>
      <c r="H1558" s="101" t="inlineStr">
        <is>
          <t>Julho/2026</t>
        </is>
      </c>
    </row>
    <row r="1559" hidden="1" ht="14.25" customHeight="1" s="64">
      <c r="A1559" s="106" t="inlineStr">
        <is>
          <t>Marketing</t>
        </is>
      </c>
      <c r="B1559" s="106" t="inlineStr">
        <is>
          <t>Custo Variável</t>
        </is>
      </c>
      <c r="C1559" s="106" t="inlineStr">
        <is>
          <t>Rescisões trabalhistas</t>
        </is>
      </c>
      <c r="D1559" s="107" t="n"/>
      <c r="E1559" s="108" t="n"/>
      <c r="F1559" s="109">
        <f>IFERROR(D1559*E1559,0)</f>
        <v/>
      </c>
      <c r="G1559" s="106">
        <f>INDEX(SETORES!$B:$B,MATCH(A1559,SETORES!$A:$A,0))</f>
        <v/>
      </c>
      <c r="H1559" s="106" t="inlineStr">
        <is>
          <t>Julho/2026</t>
        </is>
      </c>
    </row>
    <row r="1560" hidden="1" ht="14.25" customHeight="1" s="64">
      <c r="A1560" s="101" t="inlineStr">
        <is>
          <t>Oficina</t>
        </is>
      </c>
      <c r="B1560" s="101" t="inlineStr">
        <is>
          <t>Custo Variável</t>
        </is>
      </c>
      <c r="C1560" s="101" t="inlineStr">
        <is>
          <t>Rescisões trabalhistas</t>
        </is>
      </c>
      <c r="D1560" s="102" t="n"/>
      <c r="E1560" s="103" t="n"/>
      <c r="F1560" s="104">
        <f>IFERROR(D1560*E1560,0)</f>
        <v/>
      </c>
      <c r="G1560" s="101">
        <f>INDEX(SETORES!$B:$B,MATCH(A1560,SETORES!$A:$A,0))</f>
        <v/>
      </c>
      <c r="H1560" s="101" t="inlineStr">
        <is>
          <t>Julho/2026</t>
        </is>
      </c>
    </row>
    <row r="1561" hidden="1" ht="14.25" customHeight="1" s="64">
      <c r="A1561" s="106" t="inlineStr">
        <is>
          <t>Qualidade</t>
        </is>
      </c>
      <c r="B1561" s="106" t="inlineStr">
        <is>
          <t>Custo Variável</t>
        </is>
      </c>
      <c r="C1561" s="106" t="inlineStr">
        <is>
          <t>Rescisões trabalhistas</t>
        </is>
      </c>
      <c r="D1561" s="107" t="n"/>
      <c r="E1561" s="108" t="n"/>
      <c r="F1561" s="109">
        <f>IFERROR(D1561*E1561,0)</f>
        <v/>
      </c>
      <c r="G1561" s="106">
        <f>INDEX(SETORES!$B:$B,MATCH(A1561,SETORES!$A:$A,0))</f>
        <v/>
      </c>
      <c r="H1561" s="106" t="inlineStr">
        <is>
          <t>Julho/2026</t>
        </is>
      </c>
    </row>
    <row r="1562" hidden="1" ht="14.25" customHeight="1" s="64">
      <c r="A1562" s="101" t="inlineStr">
        <is>
          <t>RH</t>
        </is>
      </c>
      <c r="B1562" s="101" t="inlineStr">
        <is>
          <t>Custo Variável</t>
        </is>
      </c>
      <c r="C1562" s="101" t="inlineStr">
        <is>
          <t>Rescisões trabalhistas</t>
        </is>
      </c>
      <c r="D1562" s="102" t="n"/>
      <c r="E1562" s="103" t="n"/>
      <c r="F1562" s="104">
        <f>IFERROR(D1562*E1562,0)</f>
        <v/>
      </c>
      <c r="G1562" s="101">
        <f>INDEX(SETORES!$B:$B,MATCH(A1562,SETORES!$A:$A,0))</f>
        <v/>
      </c>
      <c r="H1562" s="101" t="inlineStr">
        <is>
          <t>Julho/2026</t>
        </is>
      </c>
    </row>
    <row r="1563" hidden="1" ht="14.25" customHeight="1" s="64">
      <c r="A1563" s="106" t="inlineStr">
        <is>
          <t>Fique Móvel</t>
        </is>
      </c>
      <c r="B1563" s="106" t="inlineStr">
        <is>
          <t>Custo Fixo</t>
        </is>
      </c>
      <c r="C1563" s="106" t="inlineStr">
        <is>
          <t>Impressora</t>
        </is>
      </c>
      <c r="D1563" s="107" t="n">
        <v>1</v>
      </c>
      <c r="E1563" s="108" t="n">
        <v>2.941176</v>
      </c>
      <c r="F1563" s="109">
        <f>IFERROR(D1563*E1563,0)</f>
        <v/>
      </c>
      <c r="G1563" s="106">
        <f>INDEX(SETORES!$B:$B,MATCH(A1563,SETORES!$A:$A,0))</f>
        <v/>
      </c>
      <c r="H1563" s="106" t="inlineStr">
        <is>
          <t>Julho/2026</t>
        </is>
      </c>
    </row>
    <row r="1564" hidden="1" ht="14.25" customHeight="1" s="64">
      <c r="A1564" s="101" t="inlineStr">
        <is>
          <t>Comercial Corporativo</t>
        </is>
      </c>
      <c r="B1564" s="101" t="inlineStr">
        <is>
          <t>Custo Fixo</t>
        </is>
      </c>
      <c r="C1564" s="101" t="inlineStr">
        <is>
          <t>Impressora</t>
        </is>
      </c>
      <c r="D1564" s="102" t="n">
        <v>1</v>
      </c>
      <c r="E1564" s="103" t="n">
        <v>10.784312</v>
      </c>
      <c r="F1564" s="104">
        <f>IFERROR(D1564*E1564,0)</f>
        <v/>
      </c>
      <c r="G1564" s="101">
        <f>INDEX(SETORES!$B:$B,MATCH(A1564,SETORES!$A:$A,0))</f>
        <v/>
      </c>
      <c r="H1564" s="101" t="inlineStr">
        <is>
          <t>Julho/2026</t>
        </is>
      </c>
    </row>
    <row r="1565" hidden="1" ht="14.25" customHeight="1" s="64">
      <c r="A1565" s="106" t="inlineStr">
        <is>
          <t>Contabilidade</t>
        </is>
      </c>
      <c r="B1565" s="106" t="inlineStr">
        <is>
          <t>Custo Fixo</t>
        </is>
      </c>
      <c r="C1565" s="106" t="inlineStr">
        <is>
          <t>Impressora</t>
        </is>
      </c>
      <c r="D1565" s="107" t="n">
        <v>1</v>
      </c>
      <c r="E1565" s="108" t="n">
        <v>4.90196</v>
      </c>
      <c r="F1565" s="109">
        <f>IFERROR(D1565*E1565,0)</f>
        <v/>
      </c>
      <c r="G1565" s="106">
        <f>INDEX(SETORES!$B:$B,MATCH(A1565,SETORES!$A:$A,0))</f>
        <v/>
      </c>
      <c r="H1565" s="106" t="inlineStr">
        <is>
          <t>Julho/2026</t>
        </is>
      </c>
    </row>
    <row r="1566" hidden="1" ht="14.25" customHeight="1" s="64">
      <c r="A1566" s="101" t="inlineStr">
        <is>
          <t>Qualidade</t>
        </is>
      </c>
      <c r="B1566" s="101" t="inlineStr">
        <is>
          <t>Custo Fixo</t>
        </is>
      </c>
      <c r="C1566" s="101" t="inlineStr">
        <is>
          <t>Impressora</t>
        </is>
      </c>
      <c r="D1566" s="102" t="n">
        <v>1</v>
      </c>
      <c r="E1566" s="103" t="n">
        <v>6.862744</v>
      </c>
      <c r="F1566" s="104">
        <f>IFERROR(D1566*E1566,0)</f>
        <v/>
      </c>
      <c r="G1566" s="101">
        <f>INDEX(SETORES!$B:$B,MATCH(A1566,SETORES!$A:$A,0))</f>
        <v/>
      </c>
      <c r="H1566" s="101" t="inlineStr">
        <is>
          <t>Julho/2026</t>
        </is>
      </c>
    </row>
    <row r="1567" hidden="1" ht="14.25" customHeight="1" s="64">
      <c r="A1567" s="106" t="inlineStr">
        <is>
          <t>Diretoria Adm</t>
        </is>
      </c>
      <c r="B1567" s="106" t="inlineStr">
        <is>
          <t>Custo Fixo</t>
        </is>
      </c>
      <c r="C1567" s="106" t="inlineStr">
        <is>
          <t>Impressora</t>
        </is>
      </c>
      <c r="D1567" s="107" t="n">
        <v>1</v>
      </c>
      <c r="E1567" s="108" t="n">
        <v>2.941176</v>
      </c>
      <c r="F1567" s="109">
        <f>IFERROR(D1567*E1567,0)</f>
        <v/>
      </c>
      <c r="G1567" s="106">
        <f>INDEX(SETORES!$B:$B,MATCH(A1567,SETORES!$A:$A,0))</f>
        <v/>
      </c>
      <c r="H1567" s="106" t="inlineStr">
        <is>
          <t>Julho/2026</t>
        </is>
      </c>
    </row>
    <row r="1568" hidden="1" ht="14.25" customHeight="1" s="64">
      <c r="A1568" s="101" t="inlineStr">
        <is>
          <t>Diretoria Operacional</t>
        </is>
      </c>
      <c r="B1568" s="101" t="inlineStr">
        <is>
          <t>Custo Fixo</t>
        </is>
      </c>
      <c r="C1568" s="101" t="inlineStr">
        <is>
          <t>Impressora</t>
        </is>
      </c>
      <c r="D1568" s="102" t="n">
        <v>1</v>
      </c>
      <c r="E1568" s="103" t="n">
        <v>1.960784</v>
      </c>
      <c r="F1568" s="104">
        <f>IFERROR(D1568*E1568,0)</f>
        <v/>
      </c>
      <c r="G1568" s="101">
        <f>INDEX(SETORES!$B:$B,MATCH(A1568,SETORES!$A:$A,0))</f>
        <v/>
      </c>
      <c r="H1568" s="101" t="inlineStr">
        <is>
          <t>Julho/2026</t>
        </is>
      </c>
    </row>
    <row r="1569" hidden="1" ht="14.25" customHeight="1" s="64">
      <c r="A1569" s="106" t="inlineStr">
        <is>
          <t>Gestão de Atendimento</t>
        </is>
      </c>
      <c r="B1569" s="106" t="inlineStr">
        <is>
          <t>Custo Fixo</t>
        </is>
      </c>
      <c r="C1569" s="106" t="inlineStr">
        <is>
          <t>Impressora</t>
        </is>
      </c>
      <c r="D1569" s="107" t="n">
        <v>1</v>
      </c>
      <c r="E1569" s="108" t="n">
        <v>5.882352</v>
      </c>
      <c r="F1569" s="109">
        <f>IFERROR(D1569*E1569,0)</f>
        <v/>
      </c>
      <c r="G1569" s="106">
        <f>INDEX(SETORES!$B:$B,MATCH(A1569,SETORES!$A:$A,0))</f>
        <v/>
      </c>
      <c r="H1569" s="106" t="inlineStr">
        <is>
          <t>Julho/2026</t>
        </is>
      </c>
    </row>
    <row r="1570" hidden="1" ht="14.25" customHeight="1" s="64">
      <c r="A1570" s="101" t="inlineStr">
        <is>
          <t>Controladoria</t>
        </is>
      </c>
      <c r="B1570" s="101" t="inlineStr">
        <is>
          <t>Custo Fixo</t>
        </is>
      </c>
      <c r="C1570" s="101" t="inlineStr">
        <is>
          <t>Impressora</t>
        </is>
      </c>
      <c r="D1570" s="102" t="n">
        <v>1</v>
      </c>
      <c r="E1570" s="103" t="n">
        <v>0.980392</v>
      </c>
      <c r="F1570" s="104">
        <f>IFERROR(D1570*E1570,0)</f>
        <v/>
      </c>
      <c r="G1570" s="101">
        <f>INDEX(SETORES!$B:$B,MATCH(A1570,SETORES!$A:$A,0))</f>
        <v/>
      </c>
      <c r="H1570" s="101" t="inlineStr">
        <is>
          <t>Julho/2026</t>
        </is>
      </c>
    </row>
    <row r="1571" hidden="1" ht="14.25" customHeight="1" s="64">
      <c r="A1571" s="106" t="inlineStr">
        <is>
          <t>CAC</t>
        </is>
      </c>
      <c r="B1571" s="106" t="inlineStr">
        <is>
          <t>Custo Fixo</t>
        </is>
      </c>
      <c r="C1571" s="106" t="inlineStr">
        <is>
          <t>Chip móvel corporativo</t>
        </is>
      </c>
      <c r="D1571" s="107" t="n">
        <v>1</v>
      </c>
      <c r="E1571" s="108" t="n">
        <v>30</v>
      </c>
      <c r="F1571" s="109">
        <f>IFERROR(D1571*E1571,0)</f>
        <v/>
      </c>
      <c r="G1571" s="106">
        <f>INDEX(SETORES!$B:$B,MATCH(A1571,SETORES!$A:$A,0))</f>
        <v/>
      </c>
      <c r="H1571" s="106" t="inlineStr">
        <is>
          <t>Julho/2026</t>
        </is>
      </c>
    </row>
    <row r="1572" hidden="1" ht="14.25" customHeight="1" s="64">
      <c r="A1572" s="101" t="inlineStr">
        <is>
          <t>COE</t>
        </is>
      </c>
      <c r="B1572" s="101" t="inlineStr">
        <is>
          <t>Custo Fixo</t>
        </is>
      </c>
      <c r="C1572" s="101" t="inlineStr">
        <is>
          <t>Chip móvel corporativo</t>
        </is>
      </c>
      <c r="D1572" s="102" t="n">
        <v>13</v>
      </c>
      <c r="E1572" s="103" t="n">
        <v>30</v>
      </c>
      <c r="F1572" s="104">
        <f>IFERROR(D1572*E1572,0)</f>
        <v/>
      </c>
      <c r="G1572" s="101">
        <f>INDEX(SETORES!$B:$B,MATCH(A1572,SETORES!$A:$A,0))</f>
        <v/>
      </c>
      <c r="H1572" s="101" t="inlineStr">
        <is>
          <t>Julho/2026</t>
        </is>
      </c>
    </row>
    <row r="1573" hidden="1" ht="14.25" customHeight="1" s="64">
      <c r="A1573" s="106" t="inlineStr">
        <is>
          <t>Compras</t>
        </is>
      </c>
      <c r="B1573" s="106" t="inlineStr">
        <is>
          <t>Custo Fixo</t>
        </is>
      </c>
      <c r="C1573" s="106" t="inlineStr">
        <is>
          <t>Chip móvel corporativo</t>
        </is>
      </c>
      <c r="D1573" s="107" t="n">
        <v>2</v>
      </c>
      <c r="E1573" s="108" t="n">
        <v>30</v>
      </c>
      <c r="F1573" s="109">
        <f>IFERROR(D1573*E1573,0)</f>
        <v/>
      </c>
      <c r="G1573" s="106">
        <f>INDEX(SETORES!$B:$B,MATCH(A1573,SETORES!$A:$A,0))</f>
        <v/>
      </c>
      <c r="H1573" s="106" t="inlineStr">
        <is>
          <t>Julho/2026</t>
        </is>
      </c>
    </row>
    <row r="1574" hidden="1" ht="14.25" customHeight="1" s="64">
      <c r="A1574" s="101" t="inlineStr">
        <is>
          <t>Contabilidade</t>
        </is>
      </c>
      <c r="B1574" s="101" t="inlineStr">
        <is>
          <t>Custo Fixo</t>
        </is>
      </c>
      <c r="C1574" s="101" t="inlineStr">
        <is>
          <t>Chip móvel corporativo</t>
        </is>
      </c>
      <c r="D1574" s="102" t="n">
        <v>2</v>
      </c>
      <c r="E1574" s="103" t="n">
        <v>30</v>
      </c>
      <c r="F1574" s="104">
        <f>IFERROR(D1574*E1574,0)</f>
        <v/>
      </c>
      <c r="G1574" s="101">
        <f>INDEX(SETORES!$B:$B,MATCH(A1574,SETORES!$A:$A,0))</f>
        <v/>
      </c>
      <c r="H1574" s="101" t="inlineStr">
        <is>
          <t>Julho/2026</t>
        </is>
      </c>
    </row>
    <row r="1575" hidden="1" ht="14.25" customHeight="1" s="64">
      <c r="A1575" s="106" t="inlineStr">
        <is>
          <t>DP</t>
        </is>
      </c>
      <c r="B1575" s="106" t="inlineStr">
        <is>
          <t>Custo Fixo</t>
        </is>
      </c>
      <c r="C1575" s="106" t="inlineStr">
        <is>
          <t>Chip móvel corporativo</t>
        </is>
      </c>
      <c r="D1575" s="107" t="n">
        <v>2</v>
      </c>
      <c r="E1575" s="108" t="n">
        <v>30</v>
      </c>
      <c r="F1575" s="109">
        <f>IFERROR(D1575*E1575,0)</f>
        <v/>
      </c>
      <c r="G1575" s="106">
        <f>INDEX(SETORES!$B:$B,MATCH(A1575,SETORES!$A:$A,0))</f>
        <v/>
      </c>
      <c r="H1575" s="106" t="inlineStr">
        <is>
          <t>Julho/2026</t>
        </is>
      </c>
    </row>
    <row r="1576" hidden="1" ht="14.25" customHeight="1" s="64">
      <c r="A1576" s="101" t="inlineStr">
        <is>
          <t>Engenharia</t>
        </is>
      </c>
      <c r="B1576" s="101" t="inlineStr">
        <is>
          <t>Custo Fixo</t>
        </is>
      </c>
      <c r="C1576" s="101" t="inlineStr">
        <is>
          <t>Chip móvel corporativo</t>
        </is>
      </c>
      <c r="D1576" s="102" t="n">
        <v>8</v>
      </c>
      <c r="E1576" s="103" t="n">
        <v>30</v>
      </c>
      <c r="F1576" s="104">
        <f>IFERROR(D1576*E1576,0)</f>
        <v/>
      </c>
      <c r="G1576" s="101">
        <f>INDEX(SETORES!$B:$B,MATCH(A1576,SETORES!$A:$A,0))</f>
        <v/>
      </c>
      <c r="H1576" s="101" t="inlineStr">
        <is>
          <t>Julho/2026</t>
        </is>
      </c>
    </row>
    <row r="1577" hidden="1" ht="14.25" customHeight="1" s="64">
      <c r="A1577" s="106" t="inlineStr">
        <is>
          <t>Financeiro</t>
        </is>
      </c>
      <c r="B1577" s="106" t="inlineStr">
        <is>
          <t>Custo Fixo</t>
        </is>
      </c>
      <c r="C1577" s="106" t="inlineStr">
        <is>
          <t>Chip móvel corporativo</t>
        </is>
      </c>
      <c r="D1577" s="107" t="n">
        <v>2</v>
      </c>
      <c r="E1577" s="108" t="n">
        <v>30</v>
      </c>
      <c r="F1577" s="109">
        <f>IFERROR(D1577*E1577,0)</f>
        <v/>
      </c>
      <c r="G1577" s="106">
        <f>INDEX(SETORES!$B:$B,MATCH(A1577,SETORES!$A:$A,0))</f>
        <v/>
      </c>
      <c r="H1577" s="106" t="inlineStr">
        <is>
          <t>Julho/2026</t>
        </is>
      </c>
    </row>
    <row r="1578" hidden="1" ht="14.25" customHeight="1" s="64">
      <c r="A1578" s="101" t="inlineStr">
        <is>
          <t>Fique Móvel</t>
        </is>
      </c>
      <c r="B1578" s="101" t="inlineStr">
        <is>
          <t>Custo Fixo</t>
        </is>
      </c>
      <c r="C1578" s="101" t="inlineStr">
        <is>
          <t>Chip móvel corporativo</t>
        </is>
      </c>
      <c r="D1578" s="102" t="n">
        <v>2</v>
      </c>
      <c r="E1578" s="103" t="n">
        <v>30</v>
      </c>
      <c r="F1578" s="104">
        <f>IFERROR(D1578*E1578,0)</f>
        <v/>
      </c>
      <c r="G1578" s="101">
        <f>INDEX(SETORES!$B:$B,MATCH(A1578,SETORES!$A:$A,0))</f>
        <v/>
      </c>
      <c r="H1578" s="101" t="inlineStr">
        <is>
          <t>Julho/2026</t>
        </is>
      </c>
    </row>
    <row r="1579" hidden="1" ht="14.25" customHeight="1" s="64">
      <c r="A1579" s="106" t="inlineStr">
        <is>
          <t>Gestão de Atendimento</t>
        </is>
      </c>
      <c r="B1579" s="106" t="inlineStr">
        <is>
          <t>Custo Fixo</t>
        </is>
      </c>
      <c r="C1579" s="106" t="inlineStr">
        <is>
          <t>Chip móvel corporativo</t>
        </is>
      </c>
      <c r="D1579" s="107" t="n">
        <v>2</v>
      </c>
      <c r="E1579" s="108" t="n">
        <v>30</v>
      </c>
      <c r="F1579" s="109">
        <f>IFERROR(D1579*E1579,0)</f>
        <v/>
      </c>
      <c r="G1579" s="106">
        <f>INDEX(SETORES!$B:$B,MATCH(A1579,SETORES!$A:$A,0))</f>
        <v/>
      </c>
      <c r="H1579" s="106" t="inlineStr">
        <is>
          <t>Julho/2026</t>
        </is>
      </c>
    </row>
    <row r="1580" hidden="1" ht="14.25" customHeight="1" s="64">
      <c r="A1580" s="101" t="inlineStr">
        <is>
          <t>Jurídico</t>
        </is>
      </c>
      <c r="B1580" s="101" t="inlineStr">
        <is>
          <t>Custo Fixo</t>
        </is>
      </c>
      <c r="C1580" s="101" t="inlineStr">
        <is>
          <t>Chip móvel corporativo</t>
        </is>
      </c>
      <c r="D1580" s="102" t="n">
        <v>2</v>
      </c>
      <c r="E1580" s="103" t="n">
        <v>30</v>
      </c>
      <c r="F1580" s="104">
        <f>IFERROR(D1580*E1580,0)</f>
        <v/>
      </c>
      <c r="G1580" s="101">
        <f>INDEX(SETORES!$B:$B,MATCH(A1580,SETORES!$A:$A,0))</f>
        <v/>
      </c>
      <c r="H1580" s="101" t="inlineStr">
        <is>
          <t>Julho/2026</t>
        </is>
      </c>
    </row>
    <row r="1581" hidden="1" ht="14.25" customHeight="1" s="64">
      <c r="A1581" s="106" t="inlineStr">
        <is>
          <t>Logística</t>
        </is>
      </c>
      <c r="B1581" s="106" t="inlineStr">
        <is>
          <t>Custo Fixo</t>
        </is>
      </c>
      <c r="C1581" s="106" t="inlineStr">
        <is>
          <t>Chip móvel corporativo</t>
        </is>
      </c>
      <c r="D1581" s="107" t="n">
        <v>7</v>
      </c>
      <c r="E1581" s="108" t="n">
        <v>30</v>
      </c>
      <c r="F1581" s="109">
        <f>IFERROR(D1581*E1581,0)</f>
        <v/>
      </c>
      <c r="G1581" s="106">
        <f>INDEX(SETORES!$B:$B,MATCH(A1581,SETORES!$A:$A,0))</f>
        <v/>
      </c>
      <c r="H1581" s="106" t="inlineStr">
        <is>
          <t>Julho/2026</t>
        </is>
      </c>
    </row>
    <row r="1582" hidden="1" ht="14.25" customHeight="1" s="64">
      <c r="A1582" s="101" t="inlineStr">
        <is>
          <t>Manutenção Predial</t>
        </is>
      </c>
      <c r="B1582" s="101" t="inlineStr">
        <is>
          <t>Custo Fixo</t>
        </is>
      </c>
      <c r="C1582" s="101" t="inlineStr">
        <is>
          <t>Chip móvel corporativo</t>
        </is>
      </c>
      <c r="D1582" s="102" t="n">
        <v>7</v>
      </c>
      <c r="E1582" s="103" t="n">
        <v>30</v>
      </c>
      <c r="F1582" s="104">
        <f>IFERROR(D1582*E1582,0)</f>
        <v/>
      </c>
      <c r="G1582" s="101">
        <f>INDEX(SETORES!$B:$B,MATCH(A1582,SETORES!$A:$A,0))</f>
        <v/>
      </c>
      <c r="H1582" s="101" t="inlineStr">
        <is>
          <t>Julho/2026</t>
        </is>
      </c>
    </row>
    <row r="1583" hidden="1" ht="14.25" customHeight="1" s="64">
      <c r="A1583" s="106" t="inlineStr">
        <is>
          <t>Marketing</t>
        </is>
      </c>
      <c r="B1583" s="106" t="inlineStr">
        <is>
          <t>Custo Fixo</t>
        </is>
      </c>
      <c r="C1583" s="106" t="inlineStr">
        <is>
          <t>Chip móvel corporativo</t>
        </is>
      </c>
      <c r="D1583" s="107" t="n">
        <v>10</v>
      </c>
      <c r="E1583" s="108" t="n">
        <v>30</v>
      </c>
      <c r="F1583" s="109">
        <f>IFERROR(D1583*E1583,0)</f>
        <v/>
      </c>
      <c r="G1583" s="106">
        <f>INDEX(SETORES!$B:$B,MATCH(A1583,SETORES!$A:$A,0))</f>
        <v/>
      </c>
      <c r="H1583" s="106" t="inlineStr">
        <is>
          <t>Julho/2026</t>
        </is>
      </c>
    </row>
    <row r="1584" hidden="1" ht="14.25" customHeight="1" s="64">
      <c r="A1584" s="101" t="inlineStr">
        <is>
          <t>NOC</t>
        </is>
      </c>
      <c r="B1584" s="101" t="inlineStr">
        <is>
          <t>Custo Fixo</t>
        </is>
      </c>
      <c r="C1584" s="101" t="inlineStr">
        <is>
          <t>Chip móvel corporativo</t>
        </is>
      </c>
      <c r="D1584" s="102" t="n">
        <v>3</v>
      </c>
      <c r="E1584" s="103" t="n">
        <v>30</v>
      </c>
      <c r="F1584" s="104">
        <f>IFERROR(D1584*E1584,0)</f>
        <v/>
      </c>
      <c r="G1584" s="101">
        <f>INDEX(SETORES!$B:$B,MATCH(A1584,SETORES!$A:$A,0))</f>
        <v/>
      </c>
      <c r="H1584" s="101" t="inlineStr">
        <is>
          <t>Julho/2026</t>
        </is>
      </c>
    </row>
    <row r="1585" hidden="1" ht="14.25" customHeight="1" s="64">
      <c r="A1585" s="106" t="inlineStr">
        <is>
          <t>Obras</t>
        </is>
      </c>
      <c r="B1585" s="106" t="inlineStr">
        <is>
          <t>Custo Fixo</t>
        </is>
      </c>
      <c r="C1585" s="106" t="inlineStr">
        <is>
          <t>Chip móvel corporativo</t>
        </is>
      </c>
      <c r="D1585" s="107" t="n">
        <v>5</v>
      </c>
      <c r="E1585" s="108" t="n">
        <v>30</v>
      </c>
      <c r="F1585" s="109">
        <f>IFERROR(D1585*E1585,0)</f>
        <v/>
      </c>
      <c r="G1585" s="106">
        <f>INDEX(SETORES!$B:$B,MATCH(A1585,SETORES!$A:$A,0))</f>
        <v/>
      </c>
      <c r="H1585" s="106" t="inlineStr">
        <is>
          <t>Julho/2026</t>
        </is>
      </c>
    </row>
    <row r="1586" hidden="1" ht="14.25" customHeight="1" s="64">
      <c r="A1586" s="101" t="inlineStr">
        <is>
          <t>Qualidade</t>
        </is>
      </c>
      <c r="B1586" s="101" t="inlineStr">
        <is>
          <t>Custo Fixo</t>
        </is>
      </c>
      <c r="C1586" s="101" t="inlineStr">
        <is>
          <t>Chip móvel corporativo</t>
        </is>
      </c>
      <c r="D1586" s="102" t="n">
        <v>4</v>
      </c>
      <c r="E1586" s="103" t="n">
        <v>30</v>
      </c>
      <c r="F1586" s="104">
        <f>IFERROR(D1586*E1586,0)</f>
        <v/>
      </c>
      <c r="G1586" s="101">
        <f>INDEX(SETORES!$B:$B,MATCH(A1586,SETORES!$A:$A,0))</f>
        <v/>
      </c>
      <c r="H1586" s="101" t="inlineStr">
        <is>
          <t>Julho/2026</t>
        </is>
      </c>
    </row>
    <row r="1587" hidden="1" ht="14.25" customHeight="1" s="64">
      <c r="A1587" s="106" t="inlineStr">
        <is>
          <t>RH</t>
        </is>
      </c>
      <c r="B1587" s="106" t="inlineStr">
        <is>
          <t>Custo Fixo</t>
        </is>
      </c>
      <c r="C1587" s="106" t="inlineStr">
        <is>
          <t>Chip móvel corporativo</t>
        </is>
      </c>
      <c r="D1587" s="107" t="n">
        <v>3</v>
      </c>
      <c r="E1587" s="108" t="n">
        <v>30</v>
      </c>
      <c r="F1587" s="109">
        <f>IFERROR(D1587*E1587,0)</f>
        <v/>
      </c>
      <c r="G1587" s="106">
        <f>INDEX(SETORES!$B:$B,MATCH(A1587,SETORES!$A:$A,0))</f>
        <v/>
      </c>
      <c r="H1587" s="106" t="inlineStr">
        <is>
          <t>Julho/2026</t>
        </is>
      </c>
    </row>
    <row r="1588" hidden="1" ht="14.25" customHeight="1" s="64">
      <c r="A1588" s="101" t="inlineStr">
        <is>
          <t>Segurança do Trabalho</t>
        </is>
      </c>
      <c r="B1588" s="101" t="inlineStr">
        <is>
          <t>Custo Fixo</t>
        </is>
      </c>
      <c r="C1588" s="101" t="inlineStr">
        <is>
          <t>Chip móvel corporativo</t>
        </is>
      </c>
      <c r="D1588" s="102" t="n">
        <v>4</v>
      </c>
      <c r="E1588" s="103" t="n">
        <v>30</v>
      </c>
      <c r="F1588" s="104" t="n">
        <v>120</v>
      </c>
      <c r="G1588" s="101">
        <f>INDEX(SETORES!$B:$B,MATCH(A1588,SETORES!$A:$A,0))</f>
        <v/>
      </c>
      <c r="H1588" s="101" t="inlineStr">
        <is>
          <t>Julho/2026</t>
        </is>
      </c>
    </row>
    <row r="1589" hidden="1" ht="14.25" customHeight="1" s="64">
      <c r="A1589" s="106" t="inlineStr">
        <is>
          <t>TIC</t>
        </is>
      </c>
      <c r="B1589" s="106" t="inlineStr">
        <is>
          <t>Custo Fixo</t>
        </is>
      </c>
      <c r="C1589" s="106" t="inlineStr">
        <is>
          <t>Chip móvel corporativo</t>
        </is>
      </c>
      <c r="D1589" s="107" t="n">
        <v>5</v>
      </c>
      <c r="E1589" s="108" t="n">
        <v>30</v>
      </c>
      <c r="F1589" s="109">
        <f>IFERROR(D1589*E1589,0)</f>
        <v/>
      </c>
      <c r="G1589" s="106">
        <f>INDEX(SETORES!$B:$B,MATCH(A1589,SETORES!$A:$A,0))</f>
        <v/>
      </c>
      <c r="H1589" s="106" t="inlineStr">
        <is>
          <t>Julho/2026</t>
        </is>
      </c>
    </row>
    <row r="1590" hidden="1" ht="14.25" customHeight="1" s="64">
      <c r="A1590" s="106" t="inlineStr">
        <is>
          <t>Backoffice Comercial Varejo</t>
        </is>
      </c>
      <c r="B1590" s="106" t="inlineStr">
        <is>
          <t>Custo Fixo</t>
        </is>
      </c>
      <c r="C1590" s="106" t="inlineStr">
        <is>
          <t>Folha de pagamento (salários)</t>
        </is>
      </c>
      <c r="D1590" s="107" t="n">
        <v>1</v>
      </c>
      <c r="E1590" s="108" t="n">
        <v>6292.45</v>
      </c>
      <c r="F1590" s="109">
        <f>IFERROR(E1590,0)</f>
        <v/>
      </c>
      <c r="G1590" s="106">
        <f>INDEX(SETORES!$B:$B,MATCH(A1590,SETORES!$A:$A,0))</f>
        <v/>
      </c>
      <c r="H1590" s="106" t="inlineStr">
        <is>
          <t>Maio/2026</t>
        </is>
      </c>
    </row>
    <row r="1591" hidden="1" ht="14.25" customHeight="1" s="64">
      <c r="A1591" s="101" t="inlineStr">
        <is>
          <t>Serviços Gerais</t>
        </is>
      </c>
      <c r="B1591" s="101" t="inlineStr">
        <is>
          <t>Custo Fixo</t>
        </is>
      </c>
      <c r="C1591" s="101" t="inlineStr">
        <is>
          <t>Folha de pagamento (salários)</t>
        </is>
      </c>
      <c r="D1591" s="102" t="n">
        <v>1</v>
      </c>
      <c r="E1591" s="103" t="n">
        <v>13579.53</v>
      </c>
      <c r="F1591" s="104" t="n">
        <v>13579.53</v>
      </c>
      <c r="G1591" s="101">
        <f>INDEX(SETORES!$B:$B,MATCH(A1591,SETORES!$A:$A,0))</f>
        <v/>
      </c>
      <c r="H1591" s="101" t="inlineStr">
        <is>
          <t>Maio/2026</t>
        </is>
      </c>
    </row>
    <row r="1592" hidden="1" ht="14.25" customHeight="1" s="64">
      <c r="A1592" s="106" t="inlineStr">
        <is>
          <t>Gestão de Atendimento</t>
        </is>
      </c>
      <c r="B1592" s="106" t="inlineStr">
        <is>
          <t>Custo Fixo</t>
        </is>
      </c>
      <c r="C1592" s="106" t="inlineStr">
        <is>
          <t>Custo de gestão administrativa (rateado — Renata Thaysa dos Santos Cunha)</t>
        </is>
      </c>
      <c r="D1592" s="107" t="n">
        <v>1</v>
      </c>
      <c r="E1592" s="108" t="n">
        <v>2821.6</v>
      </c>
      <c r="F1592" s="109">
        <f>IFERROR(D1592*E1592,0)</f>
        <v/>
      </c>
      <c r="G1592" s="106">
        <f>INDEX(SETORES!$B:$B,MATCH(A1592,SETORES!$A:$A,0))</f>
        <v/>
      </c>
      <c r="H1592" s="106" t="inlineStr">
        <is>
          <t>Maio/2026</t>
        </is>
      </c>
    </row>
    <row r="1593" hidden="1" ht="14.25" customHeight="1" s="64">
      <c r="A1593" s="101" t="inlineStr">
        <is>
          <t>CAC</t>
        </is>
      </c>
      <c r="B1593" s="101" t="inlineStr">
        <is>
          <t>Custo Fixo</t>
        </is>
      </c>
      <c r="C1593" s="101" t="inlineStr">
        <is>
          <t>Custo de gestão administrativa (rateado — Renata Thaysa dos Santos Cunha)</t>
        </is>
      </c>
      <c r="D1593" s="102" t="n">
        <v>1</v>
      </c>
      <c r="E1593" s="103" t="n">
        <v>2257.28</v>
      </c>
      <c r="F1593" s="104">
        <f>IFERROR(D1593*E1593,0)</f>
        <v/>
      </c>
      <c r="G1593" s="101">
        <f>INDEX(SETORES!$B:$B,MATCH(A1593,SETORES!$A:$A,0))</f>
        <v/>
      </c>
      <c r="H1593" s="101" t="inlineStr">
        <is>
          <t>Maio/2026</t>
        </is>
      </c>
    </row>
    <row r="1594" hidden="1" ht="14.25" customHeight="1" s="64">
      <c r="A1594" s="106" t="inlineStr">
        <is>
          <t>Backoffice Comercial Varejo</t>
        </is>
      </c>
      <c r="B1594" s="106" t="inlineStr">
        <is>
          <t>Custo Fixo</t>
        </is>
      </c>
      <c r="C1594" s="106" t="inlineStr">
        <is>
          <t>Custo de gestão administrativa (rateado — Renata Thaysa dos Santos Cunha)</t>
        </is>
      </c>
      <c r="D1594" s="107" t="n">
        <v>1</v>
      </c>
      <c r="E1594" s="108" t="n">
        <v>1128.64</v>
      </c>
      <c r="F1594" s="109">
        <f>IFERROR(D1594*E1594,0)</f>
        <v/>
      </c>
      <c r="G1594" s="106">
        <f>INDEX(SETORES!$B:$B,MATCH(A1594,SETORES!$A:$A,0))</f>
        <v/>
      </c>
      <c r="H1594" s="106" t="inlineStr">
        <is>
          <t>Maio/2026</t>
        </is>
      </c>
    </row>
    <row r="1595" hidden="1" ht="14.25" customHeight="1" s="64">
      <c r="A1595" s="101" t="inlineStr">
        <is>
          <t>NRC</t>
        </is>
      </c>
      <c r="B1595" s="101" t="inlineStr">
        <is>
          <t>Custo Fixo</t>
        </is>
      </c>
      <c r="C1595" s="101" t="inlineStr">
        <is>
          <t>Custo de gestão administrativa (rateado — Ayrton da Silva Lima)</t>
        </is>
      </c>
      <c r="D1595" s="102" t="n">
        <v>1</v>
      </c>
      <c r="E1595" s="103" t="n">
        <v>4985.26</v>
      </c>
      <c r="F1595" s="104">
        <f>IFERROR(D1595*E1595,0)</f>
        <v/>
      </c>
      <c r="G1595" s="101">
        <f>INDEX(SETORES!$B:$B,MATCH(A1595,SETORES!$A:$A,0))</f>
        <v/>
      </c>
      <c r="H1595" s="101" t="inlineStr">
        <is>
          <t>Maio/2026</t>
        </is>
      </c>
    </row>
    <row r="1596" hidden="1" ht="14.25" customHeight="1" s="64">
      <c r="A1596" s="106" t="inlineStr">
        <is>
          <t>Cobrança</t>
        </is>
      </c>
      <c r="B1596" s="106" t="inlineStr">
        <is>
          <t>Custo Fixo</t>
        </is>
      </c>
      <c r="C1596" s="106" t="inlineStr">
        <is>
          <t>Custo de gestão administrativa (rateado — Ayrton da Silva Lima)</t>
        </is>
      </c>
      <c r="D1596" s="107" t="n">
        <v>1</v>
      </c>
      <c r="E1596" s="108" t="n">
        <v>1459.1</v>
      </c>
      <c r="F1596" s="109">
        <f>IFERROR(D1596*E1596,0)</f>
        <v/>
      </c>
      <c r="G1596" s="106">
        <f>INDEX(SETORES!$B:$B,MATCH(A1596,SETORES!$A:$A,0))</f>
        <v/>
      </c>
      <c r="H1596" s="106" t="inlineStr">
        <is>
          <t>Maio/2026</t>
        </is>
      </c>
    </row>
    <row r="1597" hidden="1" ht="14.25" customHeight="1" s="64">
      <c r="A1597" s="101" t="inlineStr">
        <is>
          <t>Retenção</t>
        </is>
      </c>
      <c r="B1597" s="101" t="inlineStr">
        <is>
          <t>Custo Fixo</t>
        </is>
      </c>
      <c r="C1597" s="101" t="inlineStr">
        <is>
          <t>Custo de gestão administrativa (rateado — Ayrton da Silva Lima)</t>
        </is>
      </c>
      <c r="D1597" s="102" t="n">
        <v>1</v>
      </c>
      <c r="E1597" s="103" t="n">
        <v>1215.92</v>
      </c>
      <c r="F1597" s="104">
        <f>IFERROR(D1597*E1597,0)</f>
        <v/>
      </c>
      <c r="G1597" s="101">
        <f>INDEX(SETORES!$B:$B,MATCH(A1597,SETORES!$A:$A,0))</f>
        <v/>
      </c>
      <c r="H1597" s="101" t="inlineStr">
        <is>
          <t>Maio/2026</t>
        </is>
      </c>
    </row>
    <row r="1598" hidden="1" ht="14.25" customHeight="1" s="64">
      <c r="A1598" s="106" t="inlineStr">
        <is>
          <t>Televendas</t>
        </is>
      </c>
      <c r="B1598" s="106" t="inlineStr">
        <is>
          <t>Custo Fixo</t>
        </is>
      </c>
      <c r="C1598" s="106" t="inlineStr">
        <is>
          <t>Custo de gestão administrativa (rateado — Ayrton da Silva Lima)</t>
        </is>
      </c>
      <c r="D1598" s="107" t="n">
        <v>1</v>
      </c>
      <c r="E1598" s="108" t="n">
        <v>1215.92</v>
      </c>
      <c r="F1598" s="109">
        <f>IFERROR(D1598*E1598,0)</f>
        <v/>
      </c>
      <c r="G1598" s="106">
        <f>INDEX(SETORES!$B:$B,MATCH(A1598,SETORES!$A:$A,0))</f>
        <v/>
      </c>
      <c r="H1598" s="106" t="inlineStr">
        <is>
          <t>Maio/2026</t>
        </is>
      </c>
    </row>
    <row r="1599" hidden="1" ht="14.25" customHeight="1" s="64">
      <c r="A1599" s="101" t="inlineStr">
        <is>
          <t>Suporte da Central</t>
        </is>
      </c>
      <c r="B1599" s="101" t="inlineStr">
        <is>
          <t>Custo Fixo</t>
        </is>
      </c>
      <c r="C1599" s="101" t="inlineStr">
        <is>
          <t>Custo de gestão administrativa (rateado — Ayrton da Silva Lima)</t>
        </is>
      </c>
      <c r="D1599" s="102" t="n">
        <v>1</v>
      </c>
      <c r="E1599" s="103" t="n">
        <v>3769.34</v>
      </c>
      <c r="F1599" s="104">
        <f>IFERROR(D1599*E1599,0)</f>
        <v/>
      </c>
      <c r="G1599" s="101">
        <f>INDEX(SETORES!$B:$B,MATCH(A1599,SETORES!$A:$A,0))</f>
        <v/>
      </c>
      <c r="H1599" s="101" t="inlineStr">
        <is>
          <t>Maio/2026</t>
        </is>
      </c>
    </row>
    <row r="1600" hidden="1" ht="14.25" customHeight="1" s="64">
      <c r="A1600" s="106" t="inlineStr">
        <is>
          <t>Suporte Orbix</t>
        </is>
      </c>
      <c r="B1600" s="106" t="inlineStr">
        <is>
          <t>Custo Fixo</t>
        </is>
      </c>
      <c r="C1600" s="106" t="inlineStr">
        <is>
          <t>Custo de gestão administrativa (rateado — Ayrton da Silva Lima)</t>
        </is>
      </c>
      <c r="D1600" s="107" t="n">
        <v>1</v>
      </c>
      <c r="E1600" s="108" t="n">
        <v>1094.33</v>
      </c>
      <c r="F1600" s="109">
        <f>IFERROR(D1600*E1600,0)</f>
        <v/>
      </c>
      <c r="G1600" s="106">
        <f>INDEX(SETORES!$B:$B,MATCH(A1600,SETORES!$A:$A,0))</f>
        <v/>
      </c>
      <c r="H1600" s="106" t="inlineStr">
        <is>
          <t>Maio/2026</t>
        </is>
      </c>
    </row>
    <row r="1601" hidden="1" ht="14.25" customHeight="1" s="64">
      <c r="A1601" s="101" t="inlineStr">
        <is>
          <t>Engenharia</t>
        </is>
      </c>
      <c r="B1601" s="101" t="inlineStr">
        <is>
          <t>Custo Fixo</t>
        </is>
      </c>
      <c r="C1601" s="101" t="inlineStr">
        <is>
          <t>Custo de gestão administrativa (rateado — Cryslaine Fonseca Rosal)</t>
        </is>
      </c>
      <c r="D1601" s="102" t="n">
        <v>1</v>
      </c>
      <c r="E1601" s="103" t="n">
        <v>1269.37</v>
      </c>
      <c r="F1601" s="104">
        <f>IFERROR(D1601*E1601,0)</f>
        <v/>
      </c>
      <c r="G1601" s="101">
        <f>INDEX(SETORES!$B:$B,MATCH(A1601,SETORES!$A:$A,0))</f>
        <v/>
      </c>
      <c r="H1601" s="101" t="inlineStr">
        <is>
          <t>Maio/2026</t>
        </is>
      </c>
    </row>
    <row r="1602" hidden="1" ht="14.25" customHeight="1" s="64">
      <c r="A1602" s="106" t="inlineStr">
        <is>
          <t>Obras</t>
        </is>
      </c>
      <c r="B1602" s="106" t="inlineStr">
        <is>
          <t>Custo Fixo</t>
        </is>
      </c>
      <c r="C1602" s="106" t="inlineStr">
        <is>
          <t>Custo de gestão administrativa (rateado — Cryslaine Fonseca Rosal)</t>
        </is>
      </c>
      <c r="D1602" s="107" t="n">
        <v>1</v>
      </c>
      <c r="E1602" s="108" t="n">
        <v>4170.78</v>
      </c>
      <c r="F1602" s="109">
        <f>IFERROR(D1602*E1602,0)</f>
        <v/>
      </c>
      <c r="G1602" s="106">
        <f>INDEX(SETORES!$B:$B,MATCH(A1602,SETORES!$A:$A,0))</f>
        <v/>
      </c>
      <c r="H1602" s="106" t="inlineStr">
        <is>
          <t>Maio/2026</t>
        </is>
      </c>
    </row>
    <row r="1603" hidden="1" ht="14.25" customHeight="1" s="64">
      <c r="A1603" s="101" t="inlineStr">
        <is>
          <t>Manutenção Predial</t>
        </is>
      </c>
      <c r="B1603" s="101" t="inlineStr">
        <is>
          <t>Custo Fixo</t>
        </is>
      </c>
      <c r="C1603" s="101" t="inlineStr">
        <is>
          <t>Custo de gestão administrativa (rateado — Cryslaine Fonseca Rosal)</t>
        </is>
      </c>
      <c r="D1603" s="102" t="n">
        <v>1</v>
      </c>
      <c r="E1603" s="103" t="n">
        <v>2176.06</v>
      </c>
      <c r="F1603" s="104">
        <f>IFERROR(D1603*E1603,0)</f>
        <v/>
      </c>
      <c r="G1603" s="101">
        <f>INDEX(SETORES!$B:$B,MATCH(A1603,SETORES!$A:$A,0))</f>
        <v/>
      </c>
      <c r="H1603" s="101" t="inlineStr">
        <is>
          <t>Maio/2026</t>
        </is>
      </c>
    </row>
    <row r="1604" hidden="1" ht="14.25" customHeight="1" s="64">
      <c r="A1604" s="106" t="inlineStr">
        <is>
          <t>Lançamento</t>
        </is>
      </c>
      <c r="B1604" s="106" t="inlineStr">
        <is>
          <t>Custo Fixo</t>
        </is>
      </c>
      <c r="C1604" s="106" t="inlineStr">
        <is>
          <t>Custo de gestão administrativa (rateado — Cryslaine Fonseca Rosal)</t>
        </is>
      </c>
      <c r="D1604" s="107" t="n">
        <v>1</v>
      </c>
      <c r="E1604" s="108" t="n">
        <v>3989.44</v>
      </c>
      <c r="F1604" s="109">
        <f>IFERROR(D1604*E1604,0)</f>
        <v/>
      </c>
      <c r="G1604" s="106">
        <f>INDEX(SETORES!$B:$B,MATCH(A1604,SETORES!$A:$A,0))</f>
        <v/>
      </c>
      <c r="H1604" s="106" t="inlineStr">
        <is>
          <t>Maio/2026</t>
        </is>
      </c>
    </row>
    <row r="1605" hidden="1" ht="14.25" customHeight="1" s="64">
      <c r="A1605" s="101" t="inlineStr">
        <is>
          <t>Fusão</t>
        </is>
      </c>
      <c r="B1605" s="101" t="inlineStr">
        <is>
          <t>Custo Fixo</t>
        </is>
      </c>
      <c r="C1605" s="101" t="inlineStr">
        <is>
          <t>Custo de gestão administrativa (rateado — Cryslaine Fonseca Rosal)</t>
        </is>
      </c>
      <c r="D1605" s="102" t="n">
        <v>1</v>
      </c>
      <c r="E1605" s="103" t="n">
        <v>1632.05</v>
      </c>
      <c r="F1605" s="104">
        <f>IFERROR(D1605*E1605,0)</f>
        <v/>
      </c>
      <c r="G1605" s="101">
        <f>INDEX(SETORES!$B:$B,MATCH(A1605,SETORES!$A:$A,0))</f>
        <v/>
      </c>
      <c r="H1605" s="101" t="inlineStr">
        <is>
          <t>Maio/2026</t>
        </is>
      </c>
    </row>
    <row r="1606" hidden="1" ht="14.25" customHeight="1" s="64">
      <c r="A1606" s="106" t="inlineStr">
        <is>
          <t>Serviços Gerais</t>
        </is>
      </c>
      <c r="B1606" s="106" t="inlineStr">
        <is>
          <t>Custo Fixo</t>
        </is>
      </c>
      <c r="C1606" s="106" t="inlineStr">
        <is>
          <t>Custo de gestão administrativa (rateado — Cryslaine Fonseca Rosal)</t>
        </is>
      </c>
      <c r="D1606" s="107" t="n">
        <v>1</v>
      </c>
      <c r="E1606" s="108" t="n">
        <v>906.6900000000001</v>
      </c>
      <c r="F1606" s="109">
        <f>IFERROR(D1606*E1606,0)</f>
        <v/>
      </c>
      <c r="G1606" s="106">
        <f>INDEX(SETORES!$B:$B,MATCH(A1606,SETORES!$A:$A,0))</f>
        <v/>
      </c>
      <c r="H1606" s="106" t="inlineStr">
        <is>
          <t>Maio/2026</t>
        </is>
      </c>
    </row>
    <row r="1607" hidden="1" ht="14.25" customHeight="1" s="64">
      <c r="A1607" s="101" t="inlineStr">
        <is>
          <t>Lançamento</t>
        </is>
      </c>
      <c r="B1607" s="101" t="inlineStr">
        <is>
          <t>Custo Fixo</t>
        </is>
      </c>
      <c r="C1607" s="101" t="inlineStr">
        <is>
          <t>Custo de gestão administrativa (rateado — Josadark José do Nascimento)</t>
        </is>
      </c>
      <c r="D1607" s="102" t="n">
        <v>1</v>
      </c>
      <c r="E1607" s="103" t="n">
        <v>7772.95</v>
      </c>
      <c r="F1607" s="104">
        <f>IFERROR(D1607*E1607,0)</f>
        <v/>
      </c>
      <c r="G1607" s="101">
        <f>INDEX(SETORES!$B:$B,MATCH(A1607,SETORES!$A:$A,0))</f>
        <v/>
      </c>
      <c r="H1607" s="101" t="inlineStr">
        <is>
          <t>Maio/2026</t>
        </is>
      </c>
    </row>
    <row r="1608" hidden="1" ht="14.25" customHeight="1" s="64">
      <c r="A1608" s="106" t="inlineStr">
        <is>
          <t>Fusão</t>
        </is>
      </c>
      <c r="B1608" s="106" t="inlineStr">
        <is>
          <t>Custo Fixo</t>
        </is>
      </c>
      <c r="C1608" s="106" t="inlineStr">
        <is>
          <t>Custo de gestão administrativa (rateado — Josadark José do Nascimento)</t>
        </is>
      </c>
      <c r="D1608" s="107" t="n">
        <v>1</v>
      </c>
      <c r="E1608" s="108" t="n">
        <v>3179.85</v>
      </c>
      <c r="F1608" s="109">
        <f>IFERROR(D1608*E1608,0)</f>
        <v/>
      </c>
      <c r="G1608" s="106">
        <f>INDEX(SETORES!$B:$B,MATCH(A1608,SETORES!$A:$A,0))</f>
        <v/>
      </c>
      <c r="H1608" s="106" t="inlineStr">
        <is>
          <t>Maio/2026</t>
        </is>
      </c>
    </row>
    <row r="1609" hidden="1" ht="14.25" customHeight="1" s="64">
      <c r="A1609" s="101" t="inlineStr">
        <is>
          <t>Backoffice Comercial Varejo</t>
        </is>
      </c>
      <c r="B1609" s="101" t="inlineStr">
        <is>
          <t>Custo Fixo</t>
        </is>
      </c>
      <c r="C1609" s="101" t="inlineStr">
        <is>
          <t>Energia elétrica (rateio)</t>
        </is>
      </c>
      <c r="D1609" s="102" t="n">
        <v>1</v>
      </c>
      <c r="E1609" s="103" t="n">
        <v>17.0216</v>
      </c>
      <c r="F1609" s="104" t="n">
        <v>17.0216</v>
      </c>
      <c r="G1609" s="101" t="inlineStr">
        <is>
          <t>Clientes</t>
        </is>
      </c>
      <c r="H1609" s="101" t="inlineStr">
        <is>
          <t>Maio/2026</t>
        </is>
      </c>
    </row>
    <row r="1610" hidden="1" ht="14.25" customHeight="1" s="64">
      <c r="A1610" s="106" t="inlineStr">
        <is>
          <t>Marketing</t>
        </is>
      </c>
      <c r="B1610" s="106" t="inlineStr">
        <is>
          <t>Custo Fixo</t>
        </is>
      </c>
      <c r="C1610" s="106" t="inlineStr">
        <is>
          <t>Energia elétrica (rateio)</t>
        </is>
      </c>
      <c r="D1610" s="107" t="n">
        <v>1</v>
      </c>
      <c r="E1610" s="108" t="n">
        <v>102.1295</v>
      </c>
      <c r="F1610" s="109" t="n">
        <v>102.1295</v>
      </c>
      <c r="G1610" s="106" t="inlineStr">
        <is>
          <t>Clientes</t>
        </is>
      </c>
      <c r="H1610" s="106" t="inlineStr">
        <is>
          <t>Maio/2026</t>
        </is>
      </c>
    </row>
    <row r="1611" hidden="1" ht="14.25" customHeight="1" s="64">
      <c r="A1611" s="101" t="inlineStr">
        <is>
          <t>Comercial Corporativo</t>
        </is>
      </c>
      <c r="B1611" s="101" t="inlineStr">
        <is>
          <t>Custo Fixo</t>
        </is>
      </c>
      <c r="C1611" s="101" t="inlineStr">
        <is>
          <t>Energia elétrica (rateio)</t>
        </is>
      </c>
      <c r="D1611" s="102" t="n">
        <v>1</v>
      </c>
      <c r="E1611" s="103" t="n">
        <v>93.6187</v>
      </c>
      <c r="F1611" s="104" t="n">
        <v>93.6187</v>
      </c>
      <c r="G1611" s="101" t="inlineStr">
        <is>
          <t>Clientes</t>
        </is>
      </c>
      <c r="H1611" s="101" t="inlineStr">
        <is>
          <t>Maio/2026</t>
        </is>
      </c>
    </row>
    <row r="1612" hidden="1" ht="14.25" customHeight="1" s="64">
      <c r="A1612" s="106" t="inlineStr">
        <is>
          <t>TIC</t>
        </is>
      </c>
      <c r="B1612" s="106" t="inlineStr">
        <is>
          <t>Custo Fixo</t>
        </is>
      </c>
      <c r="C1612" s="106" t="inlineStr">
        <is>
          <t>Energia elétrica (rateio)</t>
        </is>
      </c>
      <c r="D1612" s="107" t="n">
        <v>1</v>
      </c>
      <c r="E1612" s="108" t="n">
        <v>51.0648</v>
      </c>
      <c r="F1612" s="109" t="n">
        <v>51.0648</v>
      </c>
      <c r="G1612" s="106" t="inlineStr">
        <is>
          <t>Clientes</t>
        </is>
      </c>
      <c r="H1612" s="106" t="inlineStr">
        <is>
          <t>Maio/2026</t>
        </is>
      </c>
    </row>
    <row r="1613" hidden="1" ht="14.25" customHeight="1" s="64">
      <c r="A1613" s="101" t="inlineStr">
        <is>
          <t>Diretoria Adm</t>
        </is>
      </c>
      <c r="B1613" s="101" t="inlineStr">
        <is>
          <t>Custo Fixo</t>
        </is>
      </c>
      <c r="C1613" s="101" t="inlineStr">
        <is>
          <t>Energia elétrica (rateio)</t>
        </is>
      </c>
      <c r="D1613" s="102" t="n">
        <v>1</v>
      </c>
      <c r="E1613" s="103" t="n">
        <v>25.5324</v>
      </c>
      <c r="F1613" s="104" t="n">
        <v>25.5324</v>
      </c>
      <c r="G1613" s="101" t="inlineStr">
        <is>
          <t>Clientes</t>
        </is>
      </c>
      <c r="H1613" s="101" t="inlineStr">
        <is>
          <t>Maio/2026</t>
        </is>
      </c>
    </row>
    <row r="1614" hidden="1" ht="14.25" customHeight="1" s="64">
      <c r="A1614" s="106" t="inlineStr">
        <is>
          <t>Backoffice Comercial Varejo</t>
        </is>
      </c>
      <c r="B1614" s="106" t="inlineStr">
        <is>
          <t>Custo Fixo</t>
        </is>
      </c>
      <c r="C1614" s="106" t="inlineStr">
        <is>
          <t>Gympass</t>
        </is>
      </c>
      <c r="D1614" s="107" t="n">
        <v>2</v>
      </c>
      <c r="E1614" s="108" t="n">
        <v>10.05</v>
      </c>
      <c r="F1614" s="109">
        <f>IFERROR(D1614*E1614,0)</f>
        <v/>
      </c>
      <c r="G1614" s="106">
        <f>INDEX(SETORES!$B:$B,MATCH(A1614,SETORES!$A:$A,0))</f>
        <v/>
      </c>
      <c r="H1614" s="106" t="inlineStr">
        <is>
          <t>Maio/2026</t>
        </is>
      </c>
    </row>
    <row r="1615" hidden="1" ht="14.25" customHeight="1" s="64">
      <c r="A1615" s="101" t="inlineStr">
        <is>
          <t>Backoffice Comercial Varejo</t>
        </is>
      </c>
      <c r="B1615" s="101" t="inlineStr">
        <is>
          <t>Custo Fixo</t>
        </is>
      </c>
      <c r="C1615" s="101" t="inlineStr">
        <is>
          <t>Stargrid</t>
        </is>
      </c>
      <c r="D1615" s="102" t="n">
        <v>2</v>
      </c>
      <c r="E1615" s="103" t="n">
        <v>2.07</v>
      </c>
      <c r="F1615" s="104">
        <f>IFERROR(D1615*E1615,0)</f>
        <v/>
      </c>
      <c r="G1615" s="101">
        <f>INDEX(SETORES!$B:$B,MATCH(A1615,SETORES!$A:$A,0))</f>
        <v/>
      </c>
      <c r="H1615" s="101" t="inlineStr">
        <is>
          <t>Maio/2026</t>
        </is>
      </c>
    </row>
    <row r="1616" hidden="1" ht="14.25" customHeight="1" s="64">
      <c r="A1616" s="106" t="inlineStr">
        <is>
          <t>Backoffice Comercial Varejo</t>
        </is>
      </c>
      <c r="B1616" s="106" t="inlineStr">
        <is>
          <t>Custo Fixo</t>
        </is>
      </c>
      <c r="C1616" s="106" t="inlineStr">
        <is>
          <t>Despesas com RH</t>
        </is>
      </c>
      <c r="D1616" s="107" t="n">
        <v>2</v>
      </c>
      <c r="E1616" s="108" t="n">
        <v>28.31</v>
      </c>
      <c r="F1616" s="109">
        <f>IFERROR(D1616*E1616,0)</f>
        <v/>
      </c>
      <c r="G1616" s="106">
        <f>INDEX(SETORES!$B:$B,MATCH(A1616,SETORES!$A:$A,0))</f>
        <v/>
      </c>
      <c r="H1616" s="106" t="inlineStr">
        <is>
          <t>Maio/2026</t>
        </is>
      </c>
    </row>
    <row r="1617" hidden="1" ht="14.25" customHeight="1" s="64">
      <c r="A1617" s="106" t="inlineStr">
        <is>
          <t>Backoffice Comercial Varejo</t>
        </is>
      </c>
      <c r="B1617" s="106" t="inlineStr">
        <is>
          <t>Custo Fixo</t>
        </is>
      </c>
      <c r="C1617" s="106" t="inlineStr">
        <is>
          <t>Despesas com DP</t>
        </is>
      </c>
      <c r="D1617" s="107" t="n">
        <v>2</v>
      </c>
      <c r="E1617" s="108" t="n">
        <v>47.79</v>
      </c>
      <c r="F1617" s="109">
        <f>IFERROR(D1617*E1617,0)</f>
        <v/>
      </c>
      <c r="G1617" s="106">
        <f>INDEX(SETORES!$B:$B,MATCH(A1617,SETORES!$A:$A,0))</f>
        <v/>
      </c>
      <c r="H1617" s="106" t="inlineStr">
        <is>
          <t>Maio/2026</t>
        </is>
      </c>
    </row>
    <row r="1618" hidden="1" ht="14.25" customHeight="1" s="64">
      <c r="A1618" s="106" t="inlineStr">
        <is>
          <t>Backoffice Comercial Varejo</t>
        </is>
      </c>
      <c r="B1618" s="106" t="inlineStr">
        <is>
          <t>Custo Fixo</t>
        </is>
      </c>
      <c r="C1618" s="106" t="inlineStr">
        <is>
          <t>Despesas com SST</t>
        </is>
      </c>
      <c r="D1618" s="107" t="n">
        <v>2</v>
      </c>
      <c r="E1618" s="108" t="n">
        <v>64.56999999999999</v>
      </c>
      <c r="F1618" s="109">
        <f>IFERROR(D1618*E1618,0)</f>
        <v/>
      </c>
      <c r="G1618" s="106">
        <f>INDEX(SETORES!$B:$B,MATCH(A1618,SETORES!$A:$A,0))</f>
        <v/>
      </c>
      <c r="H1618" s="106" t="inlineStr">
        <is>
          <t>Maio/2026</t>
        </is>
      </c>
    </row>
    <row r="1619" hidden="1" ht="14.25" customHeight="1" s="64">
      <c r="A1619" s="101" t="inlineStr">
        <is>
          <t>Backoffice Comercial Varejo</t>
        </is>
      </c>
      <c r="B1619" s="101" t="inlineStr">
        <is>
          <t>Custo Fixo</t>
        </is>
      </c>
      <c r="C1619" s="101" t="inlineStr">
        <is>
          <t>Chip móvel corporativo</t>
        </is>
      </c>
      <c r="D1619" s="102" t="n">
        <v>1</v>
      </c>
      <c r="E1619" s="103" t="n">
        <v>30</v>
      </c>
      <c r="F1619" s="104">
        <f>IFERROR(D1619*E1619,0)</f>
        <v/>
      </c>
      <c r="G1619" s="101">
        <f>INDEX(SETORES!$B:$B,MATCH(A1619,SETORES!$A:$A,0))</f>
        <v/>
      </c>
      <c r="H1619" s="101" t="inlineStr">
        <is>
          <t>Maio/2026</t>
        </is>
      </c>
    </row>
    <row r="1620" hidden="1" ht="14.25" customHeight="1" s="64">
      <c r="A1620" s="106" t="inlineStr">
        <is>
          <t>Serviços Gerais</t>
        </is>
      </c>
      <c r="B1620" s="106" t="inlineStr">
        <is>
          <t>Custo Fixo</t>
        </is>
      </c>
      <c r="C1620" s="106" t="inlineStr">
        <is>
          <t>Gympass</t>
        </is>
      </c>
      <c r="D1620" s="107" t="n">
        <v>5</v>
      </c>
      <c r="E1620" s="108" t="n">
        <v>10.05</v>
      </c>
      <c r="F1620" s="109">
        <f>IFERROR(D1620*E1620,0)</f>
        <v/>
      </c>
      <c r="G1620" s="106">
        <f>INDEX(SETORES!$B:$B,MATCH(A1620,SETORES!$A:$A,0))</f>
        <v/>
      </c>
      <c r="H1620" s="106" t="inlineStr">
        <is>
          <t>Maio/2026</t>
        </is>
      </c>
    </row>
    <row r="1621" hidden="1" ht="14.25" customHeight="1" s="64">
      <c r="A1621" s="101" t="inlineStr">
        <is>
          <t>Serviços Gerais</t>
        </is>
      </c>
      <c r="B1621" s="101" t="inlineStr">
        <is>
          <t>Custo Fixo</t>
        </is>
      </c>
      <c r="C1621" s="101" t="inlineStr">
        <is>
          <t>Stargrid</t>
        </is>
      </c>
      <c r="D1621" s="102" t="n">
        <v>5</v>
      </c>
      <c r="E1621" s="103" t="n">
        <v>2.07</v>
      </c>
      <c r="F1621" s="104">
        <f>IFERROR(D1621*E1621,0)</f>
        <v/>
      </c>
      <c r="G1621" s="101">
        <f>INDEX(SETORES!$B:$B,MATCH(A1621,SETORES!$A:$A,0))</f>
        <v/>
      </c>
      <c r="H1621" s="101" t="inlineStr">
        <is>
          <t>Maio/2026</t>
        </is>
      </c>
    </row>
    <row r="1622" hidden="1" ht="14.25" customHeight="1" s="64">
      <c r="A1622" s="106" t="inlineStr">
        <is>
          <t>Serviços Gerais</t>
        </is>
      </c>
      <c r="B1622" s="106" t="inlineStr">
        <is>
          <t>Custo Fixo</t>
        </is>
      </c>
      <c r="C1622" s="106" t="inlineStr">
        <is>
          <t>Despesas com RH</t>
        </is>
      </c>
      <c r="D1622" s="107" t="n">
        <v>5</v>
      </c>
      <c r="E1622" s="108" t="n">
        <v>28.31</v>
      </c>
      <c r="F1622" s="109">
        <f>IFERROR(D1622*E1622,0)</f>
        <v/>
      </c>
      <c r="G1622" s="106">
        <f>INDEX(SETORES!$B:$B,MATCH(A1622,SETORES!$A:$A,0))</f>
        <v/>
      </c>
      <c r="H1622" s="106" t="inlineStr">
        <is>
          <t>Maio/2026</t>
        </is>
      </c>
    </row>
    <row r="1623" hidden="1" ht="14.25" customHeight="1" s="64">
      <c r="A1623" s="106" t="inlineStr">
        <is>
          <t>Serviços Gerais</t>
        </is>
      </c>
      <c r="B1623" s="106" t="inlineStr">
        <is>
          <t>Custo Fixo</t>
        </is>
      </c>
      <c r="C1623" s="106" t="inlineStr">
        <is>
          <t>Despesas com DP</t>
        </is>
      </c>
      <c r="D1623" s="107" t="n">
        <v>5</v>
      </c>
      <c r="E1623" s="108" t="n">
        <v>47.79</v>
      </c>
      <c r="F1623" s="109">
        <f>IFERROR(D1623*E1623,0)</f>
        <v/>
      </c>
      <c r="G1623" s="106">
        <f>INDEX(SETORES!$B:$B,MATCH(A1623,SETORES!$A:$A,0))</f>
        <v/>
      </c>
      <c r="H1623" s="106" t="inlineStr">
        <is>
          <t>Maio/2026</t>
        </is>
      </c>
    </row>
    <row r="1624" hidden="1" ht="14.25" customHeight="1" s="64">
      <c r="A1624" s="106" t="inlineStr">
        <is>
          <t>Serviços Gerais</t>
        </is>
      </c>
      <c r="B1624" s="106" t="inlineStr">
        <is>
          <t>Custo Fixo</t>
        </is>
      </c>
      <c r="C1624" s="106" t="inlineStr">
        <is>
          <t>Despesas com SST</t>
        </is>
      </c>
      <c r="D1624" s="107" t="n">
        <v>5</v>
      </c>
      <c r="E1624" s="108" t="n">
        <v>64.56999999999999</v>
      </c>
      <c r="F1624" s="109">
        <f>IFERROR(D1624*E1624,0)</f>
        <v/>
      </c>
      <c r="G1624" s="106">
        <f>INDEX(SETORES!$B:$B,MATCH(A1624,SETORES!$A:$A,0))</f>
        <v/>
      </c>
      <c r="H1624" s="106" t="inlineStr">
        <is>
          <t>Maio/2026</t>
        </is>
      </c>
    </row>
    <row r="1625" ht="14.25" customHeight="1" s="64">
      <c r="A1625" s="106" t="inlineStr">
        <is>
          <t>Administrativo</t>
        </is>
      </c>
      <c r="B1625" s="106" t="inlineStr">
        <is>
          <t>Custo Fixo</t>
        </is>
      </c>
      <c r="C1625" s="106" t="inlineStr">
        <is>
          <t>Software Power BI Dynamics (f001796)</t>
        </is>
      </c>
      <c r="D1625" s="107" t="n">
        <v>1</v>
      </c>
      <c r="E1625" s="108" t="n">
        <v>1787.15</v>
      </c>
      <c r="F1625" s="109">
        <f>IFERROR(D1625*E1625,0)</f>
        <v/>
      </c>
      <c r="G1625" s="106">
        <f>INDEX(SETORES!$B:$B,MATCH(A1625,SETORES!$A:$A,0))</f>
        <v/>
      </c>
      <c r="H1625" s="106" t="inlineStr">
        <is>
          <t>Maio/2026</t>
        </is>
      </c>
    </row>
    <row r="1626" hidden="1" ht="14.25" customHeight="1" s="64">
      <c r="A1626" s="106" t="inlineStr">
        <is>
          <t>Cozinha</t>
        </is>
      </c>
      <c r="B1626" s="106" t="inlineStr">
        <is>
          <t>Custo Fixo</t>
        </is>
      </c>
      <c r="C1626" s="106" t="inlineStr">
        <is>
          <t>Custo de gestão administrativa (rateado — Cryslaine Fonseca Rosal)</t>
        </is>
      </c>
      <c r="D1626" s="107" t="n">
        <v>1</v>
      </c>
      <c r="E1626" s="108" t="n">
        <v>1269.37</v>
      </c>
      <c r="F1626" s="109">
        <f>IFERROR(D1626*E1626,0)</f>
        <v/>
      </c>
      <c r="G1626" s="106" t="inlineStr">
        <is>
          <t>Funcionários</t>
        </is>
      </c>
      <c r="H1626" s="106" t="inlineStr">
        <is>
          <t>Maio/2026</t>
        </is>
      </c>
    </row>
    <row r="1627" hidden="1" ht="14.25" customHeight="1" s="64">
      <c r="A1627" s="101" t="inlineStr">
        <is>
          <t>Cozinha</t>
        </is>
      </c>
      <c r="B1627" s="101" t="inlineStr">
        <is>
          <t>Custo Fixo</t>
        </is>
      </c>
      <c r="C1627" s="101" t="inlineStr">
        <is>
          <t>Gympass</t>
        </is>
      </c>
      <c r="D1627" s="102" t="n">
        <v>7</v>
      </c>
      <c r="E1627" s="103" t="n">
        <v>10.05</v>
      </c>
      <c r="F1627" s="104">
        <f>IFERROR(D1627*E1627,0)</f>
        <v/>
      </c>
      <c r="G1627" s="101" t="inlineStr">
        <is>
          <t>Funcionários</t>
        </is>
      </c>
      <c r="H1627" s="101" t="inlineStr">
        <is>
          <t>Maio/2026</t>
        </is>
      </c>
    </row>
    <row r="1628" hidden="1" ht="14.25" customHeight="1" s="64">
      <c r="A1628" s="106" t="inlineStr">
        <is>
          <t>Cozinha</t>
        </is>
      </c>
      <c r="B1628" s="106" t="inlineStr">
        <is>
          <t>Custo Fixo</t>
        </is>
      </c>
      <c r="C1628" s="106" t="inlineStr">
        <is>
          <t>Stargrid</t>
        </is>
      </c>
      <c r="D1628" s="107" t="n">
        <v>7</v>
      </c>
      <c r="E1628" s="108" t="n">
        <v>2.07</v>
      </c>
      <c r="F1628" s="109">
        <f>IFERROR(D1628*E1628,0)</f>
        <v/>
      </c>
      <c r="G1628" s="106" t="inlineStr">
        <is>
          <t>Funcionários</t>
        </is>
      </c>
      <c r="H1628" s="106" t="inlineStr">
        <is>
          <t>Maio/2026</t>
        </is>
      </c>
    </row>
    <row r="1629" hidden="1" ht="14.25" customHeight="1" s="64">
      <c r="A1629" s="101" t="inlineStr">
        <is>
          <t>Cozinha</t>
        </is>
      </c>
      <c r="B1629" s="101" t="inlineStr">
        <is>
          <t>Custo Fixo</t>
        </is>
      </c>
      <c r="C1629" s="101" t="inlineStr">
        <is>
          <t>Despesas com RH</t>
        </is>
      </c>
      <c r="D1629" s="102" t="n">
        <v>7</v>
      </c>
      <c r="E1629" s="103" t="n">
        <v>28.31</v>
      </c>
      <c r="F1629" s="104">
        <f>IFERROR(D1629*E1629,0)</f>
        <v/>
      </c>
      <c r="G1629" s="101" t="inlineStr">
        <is>
          <t>Funcionários</t>
        </is>
      </c>
      <c r="H1629" s="101" t="inlineStr">
        <is>
          <t>Maio/2026</t>
        </is>
      </c>
    </row>
    <row r="1630" hidden="1" ht="14.25" customHeight="1" s="64">
      <c r="A1630" s="106" t="inlineStr">
        <is>
          <t>Cozinha</t>
        </is>
      </c>
      <c r="B1630" s="106" t="inlineStr">
        <is>
          <t>Custo Fixo</t>
        </is>
      </c>
      <c r="C1630" s="106" t="inlineStr">
        <is>
          <t>Despesas com DP</t>
        </is>
      </c>
      <c r="D1630" s="107" t="n">
        <v>7</v>
      </c>
      <c r="E1630" s="108" t="n">
        <v>47.79</v>
      </c>
      <c r="F1630" s="109">
        <f>IFERROR(D1630*E1630,0)</f>
        <v/>
      </c>
      <c r="G1630" s="106" t="inlineStr">
        <is>
          <t>Funcionários</t>
        </is>
      </c>
      <c r="H1630" s="106" t="inlineStr">
        <is>
          <t>Maio/2026</t>
        </is>
      </c>
    </row>
    <row r="1631" hidden="1" ht="14.25" customHeight="1" s="64">
      <c r="A1631" s="101" t="inlineStr">
        <is>
          <t>Cozinha</t>
        </is>
      </c>
      <c r="B1631" s="101" t="inlineStr">
        <is>
          <t>Custo Fixo</t>
        </is>
      </c>
      <c r="C1631" s="101" t="inlineStr">
        <is>
          <t>Despesas com SST</t>
        </is>
      </c>
      <c r="D1631" s="102" t="n">
        <v>7</v>
      </c>
      <c r="E1631" s="103" t="n">
        <v>64.56999999999999</v>
      </c>
      <c r="F1631" s="104">
        <f>IFERROR(D1631*E1631,0)</f>
        <v/>
      </c>
      <c r="G1631" s="101" t="inlineStr">
        <is>
          <t>Funcionários</t>
        </is>
      </c>
      <c r="H1631" s="101" t="inlineStr">
        <is>
          <t>Maio/2026</t>
        </is>
      </c>
    </row>
    <row r="1632" hidden="1" ht="14.25" customHeight="1" s="64">
      <c r="A1632" s="101" t="inlineStr">
        <is>
          <t>Backoffice Comercial Varejo</t>
        </is>
      </c>
      <c r="B1632" s="101" t="inlineStr">
        <is>
          <t>Custo Fixo</t>
        </is>
      </c>
      <c r="C1632" s="101" t="inlineStr">
        <is>
          <t>Folha de pagamento (salários)</t>
        </is>
      </c>
      <c r="D1632" s="102" t="n">
        <v>1</v>
      </c>
      <c r="E1632" s="103" t="n">
        <v>7245.47</v>
      </c>
      <c r="F1632" s="104">
        <f>IFERROR(E1632,0)</f>
        <v/>
      </c>
      <c r="G1632" s="101">
        <f>INDEX(SETORES!$B:$B,MATCH(A1632,SETORES!$A:$A,0))</f>
        <v/>
      </c>
      <c r="H1632" s="101" t="inlineStr">
        <is>
          <t>Junho/2026</t>
        </is>
      </c>
    </row>
    <row r="1633" hidden="1" ht="14.25" customHeight="1" s="64">
      <c r="A1633" s="106" t="inlineStr">
        <is>
          <t>Serviços Gerais</t>
        </is>
      </c>
      <c r="B1633" s="106" t="inlineStr">
        <is>
          <t>Custo Fixo</t>
        </is>
      </c>
      <c r="C1633" s="106" t="inlineStr">
        <is>
          <t>Folha de pagamento (salários)</t>
        </is>
      </c>
      <c r="D1633" s="107" t="n">
        <v>1</v>
      </c>
      <c r="E1633" s="108" t="n">
        <v>22017.33</v>
      </c>
      <c r="F1633" s="109" t="n">
        <v>22017.33</v>
      </c>
      <c r="G1633" s="106">
        <f>INDEX(SETORES!$B:$B,MATCH(A1633,SETORES!$A:$A,0))</f>
        <v/>
      </c>
      <c r="H1633" s="106" t="inlineStr">
        <is>
          <t>Junho/2026</t>
        </is>
      </c>
    </row>
    <row r="1634" hidden="1" ht="14.25" customHeight="1" s="64">
      <c r="A1634" s="101" t="inlineStr">
        <is>
          <t>Gestão de Atendimento</t>
        </is>
      </c>
      <c r="B1634" s="101" t="inlineStr">
        <is>
          <t>Custo Fixo</t>
        </is>
      </c>
      <c r="C1634" s="101" t="inlineStr">
        <is>
          <t>Custo de gestão administrativa (rateado — Renata Thaysa dos Santos Cunha)</t>
        </is>
      </c>
      <c r="D1634" s="102" t="n">
        <v>1</v>
      </c>
      <c r="E1634" s="103" t="n">
        <v>2962.14</v>
      </c>
      <c r="F1634" s="104">
        <f>IFERROR(D1634*E1634,0)</f>
        <v/>
      </c>
      <c r="G1634" s="101">
        <f>INDEX(SETORES!$B:$B,MATCH(A1634,SETORES!$A:$A,0))</f>
        <v/>
      </c>
      <c r="H1634" s="101" t="inlineStr">
        <is>
          <t>Junho/2026</t>
        </is>
      </c>
    </row>
    <row r="1635" hidden="1" ht="14.25" customHeight="1" s="64">
      <c r="A1635" s="106" t="inlineStr">
        <is>
          <t>CAC</t>
        </is>
      </c>
      <c r="B1635" s="106" t="inlineStr">
        <is>
          <t>Custo Fixo</t>
        </is>
      </c>
      <c r="C1635" s="106" t="inlineStr">
        <is>
          <t>Custo de gestão administrativa (rateado — Renata Thaysa dos Santos Cunha)</t>
        </is>
      </c>
      <c r="D1635" s="107" t="n">
        <v>1</v>
      </c>
      <c r="E1635" s="108" t="n">
        <v>2369.71</v>
      </c>
      <c r="F1635" s="109">
        <f>IFERROR(D1635*E1635,0)</f>
        <v/>
      </c>
      <c r="G1635" s="106">
        <f>INDEX(SETORES!$B:$B,MATCH(A1635,SETORES!$A:$A,0))</f>
        <v/>
      </c>
      <c r="H1635" s="106" t="inlineStr">
        <is>
          <t>Junho/2026</t>
        </is>
      </c>
    </row>
    <row r="1636" hidden="1" ht="14.25" customHeight="1" s="64">
      <c r="A1636" s="101" t="inlineStr">
        <is>
          <t>Backoffice Comercial Varejo</t>
        </is>
      </c>
      <c r="B1636" s="101" t="inlineStr">
        <is>
          <t>Custo Fixo</t>
        </is>
      </c>
      <c r="C1636" s="101" t="inlineStr">
        <is>
          <t>Custo de gestão administrativa (rateado — Renata Thaysa dos Santos Cunha)</t>
        </is>
      </c>
      <c r="D1636" s="102" t="n">
        <v>1</v>
      </c>
      <c r="E1636" s="103" t="n">
        <v>1184.86</v>
      </c>
      <c r="F1636" s="104">
        <f>IFERROR(D1636*E1636,0)</f>
        <v/>
      </c>
      <c r="G1636" s="101">
        <f>INDEX(SETORES!$B:$B,MATCH(A1636,SETORES!$A:$A,0))</f>
        <v/>
      </c>
      <c r="H1636" s="101" t="inlineStr">
        <is>
          <t>Junho/2026</t>
        </is>
      </c>
    </row>
    <row r="1637" hidden="1" ht="14.25" customHeight="1" s="64">
      <c r="A1637" s="106" t="inlineStr">
        <is>
          <t>NRC</t>
        </is>
      </c>
      <c r="B1637" s="106" t="inlineStr">
        <is>
          <t>Custo Fixo</t>
        </is>
      </c>
      <c r="C1637" s="106" t="inlineStr">
        <is>
          <t>Custo de gestão administrativa (rateado — Ayrton da Silva Lima)</t>
        </is>
      </c>
      <c r="D1637" s="107" t="n">
        <v>1</v>
      </c>
      <c r="E1637" s="108" t="n">
        <v>3064.6</v>
      </c>
      <c r="F1637" s="109">
        <f>IFERROR(D1637*E1637,0)</f>
        <v/>
      </c>
      <c r="G1637" s="106">
        <f>INDEX(SETORES!$B:$B,MATCH(A1637,SETORES!$A:$A,0))</f>
        <v/>
      </c>
      <c r="H1637" s="106" t="inlineStr">
        <is>
          <t>Junho/2026</t>
        </is>
      </c>
    </row>
    <row r="1638" hidden="1" ht="14.25" customHeight="1" s="64">
      <c r="A1638" s="101" t="inlineStr">
        <is>
          <t>Cobrança</t>
        </is>
      </c>
      <c r="B1638" s="101" t="inlineStr">
        <is>
          <t>Custo Fixo</t>
        </is>
      </c>
      <c r="C1638" s="101" t="inlineStr">
        <is>
          <t>Custo de gestão administrativa (rateado — Ayrton da Silva Lima)</t>
        </is>
      </c>
      <c r="D1638" s="102" t="n">
        <v>1</v>
      </c>
      <c r="E1638" s="103" t="n">
        <v>766.15</v>
      </c>
      <c r="F1638" s="104">
        <f>IFERROR(D1638*E1638,0)</f>
        <v/>
      </c>
      <c r="G1638" s="101">
        <f>INDEX(SETORES!$B:$B,MATCH(A1638,SETORES!$A:$A,0))</f>
        <v/>
      </c>
      <c r="H1638" s="101" t="inlineStr">
        <is>
          <t>Junho/2026</t>
        </is>
      </c>
    </row>
    <row r="1639" hidden="1" ht="14.25" customHeight="1" s="64">
      <c r="A1639" s="106" t="inlineStr">
        <is>
          <t>Retenção</t>
        </is>
      </c>
      <c r="B1639" s="106" t="inlineStr">
        <is>
          <t>Custo Fixo</t>
        </is>
      </c>
      <c r="C1639" s="106" t="inlineStr">
        <is>
          <t>Custo de gestão administrativa (rateado — Ayrton da Silva Lima)</t>
        </is>
      </c>
      <c r="D1639" s="107" t="n">
        <v>1</v>
      </c>
      <c r="E1639" s="108" t="n">
        <v>975.1</v>
      </c>
      <c r="F1639" s="109">
        <f>IFERROR(D1639*E1639,0)</f>
        <v/>
      </c>
      <c r="G1639" s="106">
        <f>INDEX(SETORES!$B:$B,MATCH(A1639,SETORES!$A:$A,0))</f>
        <v/>
      </c>
      <c r="H1639" s="106" t="inlineStr">
        <is>
          <t>Junho/2026</t>
        </is>
      </c>
    </row>
    <row r="1640" hidden="1" ht="14.25" customHeight="1" s="64">
      <c r="A1640" s="101" t="inlineStr">
        <is>
          <t>Televendas</t>
        </is>
      </c>
      <c r="B1640" s="101" t="inlineStr">
        <is>
          <t>Custo Fixo</t>
        </is>
      </c>
      <c r="C1640" s="101" t="inlineStr">
        <is>
          <t>Custo de gestão administrativa (rateado — Ayrton da Silva Lima)</t>
        </is>
      </c>
      <c r="D1640" s="102" t="n">
        <v>1</v>
      </c>
      <c r="E1640" s="103" t="n">
        <v>696.5</v>
      </c>
      <c r="F1640" s="104">
        <f>IFERROR(D1640*E1640,0)</f>
        <v/>
      </c>
      <c r="G1640" s="101">
        <f>INDEX(SETORES!$B:$B,MATCH(A1640,SETORES!$A:$A,0))</f>
        <v/>
      </c>
      <c r="H1640" s="101" t="inlineStr">
        <is>
          <t>Junho/2026</t>
        </is>
      </c>
    </row>
    <row r="1641" hidden="1" ht="14.25" customHeight="1" s="64">
      <c r="A1641" s="106" t="inlineStr">
        <is>
          <t>Suporte da Central</t>
        </is>
      </c>
      <c r="B1641" s="106" t="inlineStr">
        <is>
          <t>Custo Fixo</t>
        </is>
      </c>
      <c r="C1641" s="106" t="inlineStr">
        <is>
          <t>Custo de gestão administrativa (rateado — Ayrton da Silva Lima)</t>
        </is>
      </c>
      <c r="D1641" s="107" t="n">
        <v>1</v>
      </c>
      <c r="E1641" s="108" t="n">
        <v>2228.8</v>
      </c>
      <c r="F1641" s="109">
        <f>IFERROR(D1641*E1641,0)</f>
        <v/>
      </c>
      <c r="G1641" s="106">
        <f>INDEX(SETORES!$B:$B,MATCH(A1641,SETORES!$A:$A,0))</f>
        <v/>
      </c>
      <c r="H1641" s="106" t="inlineStr">
        <is>
          <t>Junho/2026</t>
        </is>
      </c>
    </row>
    <row r="1642" hidden="1" ht="14.25" customHeight="1" s="64">
      <c r="A1642" s="101" t="inlineStr">
        <is>
          <t>Suporte Orbix</t>
        </is>
      </c>
      <c r="B1642" s="101" t="inlineStr">
        <is>
          <t>Custo Fixo</t>
        </is>
      </c>
      <c r="C1642" s="101" t="inlineStr">
        <is>
          <t>Custo de gestão administrativa (rateado — Ayrton da Silva Lima)</t>
        </is>
      </c>
      <c r="D1642" s="102" t="n">
        <v>1</v>
      </c>
      <c r="E1642" s="103" t="n">
        <v>557.2</v>
      </c>
      <c r="F1642" s="104">
        <f>IFERROR(D1642*E1642,0)</f>
        <v/>
      </c>
      <c r="G1642" s="101">
        <f>INDEX(SETORES!$B:$B,MATCH(A1642,SETORES!$A:$A,0))</f>
        <v/>
      </c>
      <c r="H1642" s="101" t="inlineStr">
        <is>
          <t>Junho/2026</t>
        </is>
      </c>
    </row>
    <row r="1643" hidden="1" ht="14.25" customHeight="1" s="64">
      <c r="A1643" s="106" t="inlineStr">
        <is>
          <t>Engenharia</t>
        </is>
      </c>
      <c r="B1643" s="106" t="inlineStr">
        <is>
          <t>Custo Fixo</t>
        </is>
      </c>
      <c r="C1643" s="106" t="inlineStr">
        <is>
          <t>Custo de gestão administrativa (rateado — Cryslaine Fonseca Rosal)</t>
        </is>
      </c>
      <c r="D1643" s="107" t="n">
        <v>1</v>
      </c>
      <c r="E1643" s="108" t="n">
        <v>1254.61</v>
      </c>
      <c r="F1643" s="109">
        <f>IFERROR(D1643*E1643,0)</f>
        <v/>
      </c>
      <c r="G1643" s="106">
        <f>INDEX(SETORES!$B:$B,MATCH(A1643,SETORES!$A:$A,0))</f>
        <v/>
      </c>
      <c r="H1643" s="106" t="inlineStr">
        <is>
          <t>Junho/2026</t>
        </is>
      </c>
    </row>
    <row r="1644" hidden="1" ht="14.25" customHeight="1" s="64">
      <c r="A1644" s="101" t="inlineStr">
        <is>
          <t>Obras</t>
        </is>
      </c>
      <c r="B1644" s="101" t="inlineStr">
        <is>
          <t>Custo Fixo</t>
        </is>
      </c>
      <c r="C1644" s="101" t="inlineStr">
        <is>
          <t>Custo de gestão administrativa (rateado — Cryslaine Fonseca Rosal)</t>
        </is>
      </c>
      <c r="D1644" s="102" t="n">
        <v>1</v>
      </c>
      <c r="E1644" s="103" t="n">
        <v>4301.51</v>
      </c>
      <c r="F1644" s="104">
        <f>IFERROR(D1644*E1644,0)</f>
        <v/>
      </c>
      <c r="G1644" s="101">
        <f>INDEX(SETORES!$B:$B,MATCH(A1644,SETORES!$A:$A,0))</f>
        <v/>
      </c>
      <c r="H1644" s="101" t="inlineStr">
        <is>
          <t>Junho/2026</t>
        </is>
      </c>
    </row>
    <row r="1645" hidden="1" ht="14.25" customHeight="1" s="64">
      <c r="A1645" s="106" t="inlineStr">
        <is>
          <t>Manutenção Predial</t>
        </is>
      </c>
      <c r="B1645" s="106" t="inlineStr">
        <is>
          <t>Custo Fixo</t>
        </is>
      </c>
      <c r="C1645" s="106" t="inlineStr">
        <is>
          <t>Custo de gestão administrativa (rateado — Cryslaine Fonseca Rosal)</t>
        </is>
      </c>
      <c r="D1645" s="107" t="n">
        <v>1</v>
      </c>
      <c r="E1645" s="108" t="n">
        <v>2150.76</v>
      </c>
      <c r="F1645" s="109">
        <f>IFERROR(D1645*E1645,0)</f>
        <v/>
      </c>
      <c r="G1645" s="106">
        <f>INDEX(SETORES!$B:$B,MATCH(A1645,SETORES!$A:$A,0))</f>
        <v/>
      </c>
      <c r="H1645" s="106" t="inlineStr">
        <is>
          <t>Junho/2026</t>
        </is>
      </c>
    </row>
    <row r="1646" hidden="1" ht="14.25" customHeight="1" s="64">
      <c r="A1646" s="101" t="inlineStr">
        <is>
          <t>Lançamento</t>
        </is>
      </c>
      <c r="B1646" s="101" t="inlineStr">
        <is>
          <t>Custo Fixo</t>
        </is>
      </c>
      <c r="C1646" s="101" t="inlineStr">
        <is>
          <t>Custo de gestão administrativa (rateado — Cryslaine Fonseca Rosal)</t>
        </is>
      </c>
      <c r="D1646" s="102" t="n">
        <v>1</v>
      </c>
      <c r="E1646" s="103" t="n">
        <v>3763.83</v>
      </c>
      <c r="F1646" s="104">
        <f>IFERROR(D1646*E1646,0)</f>
        <v/>
      </c>
      <c r="G1646" s="101">
        <f>INDEX(SETORES!$B:$B,MATCH(A1646,SETORES!$A:$A,0))</f>
        <v/>
      </c>
      <c r="H1646" s="101" t="inlineStr">
        <is>
          <t>Junho/2026</t>
        </is>
      </c>
    </row>
    <row r="1647" hidden="1" ht="14.25" customHeight="1" s="64">
      <c r="A1647" s="106" t="inlineStr">
        <is>
          <t>Fusão</t>
        </is>
      </c>
      <c r="B1647" s="106" t="inlineStr">
        <is>
          <t>Custo Fixo</t>
        </is>
      </c>
      <c r="C1647" s="106" t="inlineStr">
        <is>
          <t>Custo de gestão administrativa (rateado — Cryslaine Fonseca Rosal)</t>
        </is>
      </c>
      <c r="D1647" s="107" t="n">
        <v>1</v>
      </c>
      <c r="E1647" s="108" t="n">
        <v>1613.07</v>
      </c>
      <c r="F1647" s="109">
        <f>IFERROR(D1647*E1647,0)</f>
        <v/>
      </c>
      <c r="G1647" s="106">
        <f>INDEX(SETORES!$B:$B,MATCH(A1647,SETORES!$A:$A,0))</f>
        <v/>
      </c>
      <c r="H1647" s="106" t="inlineStr">
        <is>
          <t>Junho/2026</t>
        </is>
      </c>
    </row>
    <row r="1648" hidden="1" ht="14.25" customHeight="1" s="64">
      <c r="A1648" s="101" t="inlineStr">
        <is>
          <t>Serviços Gerais</t>
        </is>
      </c>
      <c r="B1648" s="101" t="inlineStr">
        <is>
          <t>Custo Fixo</t>
        </is>
      </c>
      <c r="C1648" s="101" t="inlineStr">
        <is>
          <t>Custo de gestão administrativa (rateado — Cryslaine Fonseca Rosal)</t>
        </is>
      </c>
      <c r="D1648" s="102" t="n">
        <v>1</v>
      </c>
      <c r="E1648" s="103" t="n">
        <v>1075.38</v>
      </c>
      <c r="F1648" s="104">
        <f>IFERROR(D1648*E1648,0)</f>
        <v/>
      </c>
      <c r="G1648" s="101">
        <f>INDEX(SETORES!$B:$B,MATCH(A1648,SETORES!$A:$A,0))</f>
        <v/>
      </c>
      <c r="H1648" s="101" t="inlineStr">
        <is>
          <t>Junho/2026</t>
        </is>
      </c>
    </row>
    <row r="1649" hidden="1" ht="14.25" customHeight="1" s="64">
      <c r="A1649" s="106" t="inlineStr">
        <is>
          <t>Lançamento</t>
        </is>
      </c>
      <c r="B1649" s="106" t="inlineStr">
        <is>
          <t>Custo Fixo</t>
        </is>
      </c>
      <c r="C1649" s="106" t="inlineStr">
        <is>
          <t>Custo de gestão administrativa (rateado — Josadark José do Nascimento)</t>
        </is>
      </c>
      <c r="D1649" s="107" t="n">
        <v>1</v>
      </c>
      <c r="E1649" s="108" t="n">
        <v>7833.47</v>
      </c>
      <c r="F1649" s="109">
        <f>IFERROR(D1649*E1649,0)</f>
        <v/>
      </c>
      <c r="G1649" s="106">
        <f>INDEX(SETORES!$B:$B,MATCH(A1649,SETORES!$A:$A,0))</f>
        <v/>
      </c>
      <c r="H1649" s="106" t="inlineStr">
        <is>
          <t>Junho/2026</t>
        </is>
      </c>
    </row>
    <row r="1650" hidden="1" ht="14.25" customHeight="1" s="64">
      <c r="A1650" s="101" t="inlineStr">
        <is>
          <t>Fusão</t>
        </is>
      </c>
      <c r="B1650" s="101" t="inlineStr">
        <is>
          <t>Custo Fixo</t>
        </is>
      </c>
      <c r="C1650" s="101" t="inlineStr">
        <is>
          <t>Custo de gestão administrativa (rateado — Josadark José do Nascimento)</t>
        </is>
      </c>
      <c r="D1650" s="102" t="n">
        <v>1</v>
      </c>
      <c r="E1650" s="103" t="n">
        <v>3357.2</v>
      </c>
      <c r="F1650" s="104">
        <f>IFERROR(D1650*E1650,0)</f>
        <v/>
      </c>
      <c r="G1650" s="101">
        <f>INDEX(SETORES!$B:$B,MATCH(A1650,SETORES!$A:$A,0))</f>
        <v/>
      </c>
      <c r="H1650" s="101" t="inlineStr">
        <is>
          <t>Junho/2026</t>
        </is>
      </c>
    </row>
    <row r="1651" hidden="1" ht="14.25" customHeight="1" s="64">
      <c r="A1651" s="106" t="inlineStr">
        <is>
          <t>Backoffice Comercial Varejo</t>
        </is>
      </c>
      <c r="B1651" s="106" t="inlineStr">
        <is>
          <t>Custo Fixo</t>
        </is>
      </c>
      <c r="C1651" s="106" t="inlineStr">
        <is>
          <t>Energia elétrica (rateio)</t>
        </is>
      </c>
      <c r="D1651" s="107" t="n">
        <v>1</v>
      </c>
      <c r="E1651" s="108" t="n">
        <v>17.5144</v>
      </c>
      <c r="F1651" s="109" t="n">
        <v>17.5144</v>
      </c>
      <c r="G1651" s="106" t="inlineStr">
        <is>
          <t>Clientes</t>
        </is>
      </c>
      <c r="H1651" s="106" t="inlineStr">
        <is>
          <t>Junho/2026</t>
        </is>
      </c>
    </row>
    <row r="1652" hidden="1" ht="14.25" customHeight="1" s="64">
      <c r="A1652" s="101" t="inlineStr">
        <is>
          <t>Backoffice Comercial Varejo</t>
        </is>
      </c>
      <c r="B1652" s="101" t="inlineStr">
        <is>
          <t>Custo Fixo</t>
        </is>
      </c>
      <c r="C1652" s="101" t="inlineStr">
        <is>
          <t>Água e esgoto (rateio)</t>
        </is>
      </c>
      <c r="D1652" s="102" t="n">
        <v>1</v>
      </c>
      <c r="E1652" s="103" t="n">
        <v>0.05</v>
      </c>
      <c r="F1652" s="104" t="n">
        <v>0.05</v>
      </c>
      <c r="G1652" s="101" t="inlineStr">
        <is>
          <t>Clientes</t>
        </is>
      </c>
      <c r="H1652" s="101" t="inlineStr">
        <is>
          <t>Junho/2026</t>
        </is>
      </c>
    </row>
    <row r="1653" hidden="1" ht="14.25" customHeight="1" s="64">
      <c r="A1653" s="106" t="inlineStr">
        <is>
          <t>Marketing</t>
        </is>
      </c>
      <c r="B1653" s="106" t="inlineStr">
        <is>
          <t>Custo Fixo</t>
        </is>
      </c>
      <c r="C1653" s="106" t="inlineStr">
        <is>
          <t>Energia elétrica (rateio)</t>
        </is>
      </c>
      <c r="D1653" s="107" t="n">
        <v>1</v>
      </c>
      <c r="E1653" s="108" t="n">
        <v>105.0866</v>
      </c>
      <c r="F1653" s="109" t="n">
        <v>105.0866</v>
      </c>
      <c r="G1653" s="106" t="inlineStr">
        <is>
          <t>Clientes</t>
        </is>
      </c>
      <c r="H1653" s="106" t="inlineStr">
        <is>
          <t>Junho/2026</t>
        </is>
      </c>
    </row>
    <row r="1654" hidden="1" ht="14.25" customHeight="1" s="64">
      <c r="A1654" s="101" t="inlineStr">
        <is>
          <t>Marketing</t>
        </is>
      </c>
      <c r="B1654" s="101" t="inlineStr">
        <is>
          <t>Custo Fixo</t>
        </is>
      </c>
      <c r="C1654" s="101" t="inlineStr">
        <is>
          <t>Água e esgoto (rateio)</t>
        </is>
      </c>
      <c r="D1654" s="102" t="n">
        <v>1</v>
      </c>
      <c r="E1654" s="103" t="n">
        <v>0.3</v>
      </c>
      <c r="F1654" s="104" t="n">
        <v>0.3</v>
      </c>
      <c r="G1654" s="101" t="inlineStr">
        <is>
          <t>Clientes</t>
        </is>
      </c>
      <c r="H1654" s="101" t="inlineStr">
        <is>
          <t>Junho/2026</t>
        </is>
      </c>
    </row>
    <row r="1655" hidden="1" ht="14.25" customHeight="1" s="64">
      <c r="A1655" s="106" t="inlineStr">
        <is>
          <t>Comercial Corporativo</t>
        </is>
      </c>
      <c r="B1655" s="106" t="inlineStr">
        <is>
          <t>Custo Fixo</t>
        </is>
      </c>
      <c r="C1655" s="106" t="inlineStr">
        <is>
          <t>Energia elétrica (rateio)</t>
        </is>
      </c>
      <c r="D1655" s="107" t="n">
        <v>1</v>
      </c>
      <c r="E1655" s="108" t="n">
        <v>96.32940000000001</v>
      </c>
      <c r="F1655" s="109" t="n">
        <v>96.32940000000001</v>
      </c>
      <c r="G1655" s="106" t="inlineStr">
        <is>
          <t>Clientes</t>
        </is>
      </c>
      <c r="H1655" s="106" t="inlineStr">
        <is>
          <t>Junho/2026</t>
        </is>
      </c>
    </row>
    <row r="1656" hidden="1" ht="14.25" customHeight="1" s="64">
      <c r="A1656" s="101" t="inlineStr">
        <is>
          <t>Comercial Corporativo</t>
        </is>
      </c>
      <c r="B1656" s="101" t="inlineStr">
        <is>
          <t>Custo Fixo</t>
        </is>
      </c>
      <c r="C1656" s="101" t="inlineStr">
        <is>
          <t>Água e esgoto (rateio)</t>
        </is>
      </c>
      <c r="D1656" s="102" t="n">
        <v>1</v>
      </c>
      <c r="E1656" s="103" t="n">
        <v>0.275</v>
      </c>
      <c r="F1656" s="104" t="n">
        <v>0.275</v>
      </c>
      <c r="G1656" s="101" t="inlineStr">
        <is>
          <t>Clientes</t>
        </is>
      </c>
      <c r="H1656" s="101" t="inlineStr">
        <is>
          <t>Junho/2026</t>
        </is>
      </c>
    </row>
    <row r="1657" hidden="1" ht="14.25" customHeight="1" s="64">
      <c r="A1657" s="106" t="inlineStr">
        <is>
          <t>TIC</t>
        </is>
      </c>
      <c r="B1657" s="106" t="inlineStr">
        <is>
          <t>Custo Fixo</t>
        </is>
      </c>
      <c r="C1657" s="106" t="inlineStr">
        <is>
          <t>Energia elétrica (rateio)</t>
        </is>
      </c>
      <c r="D1657" s="107" t="n">
        <v>1</v>
      </c>
      <c r="E1657" s="108" t="n">
        <v>43.7861</v>
      </c>
      <c r="F1657" s="109" t="n">
        <v>43.7861</v>
      </c>
      <c r="G1657" s="106" t="inlineStr">
        <is>
          <t>Clientes</t>
        </is>
      </c>
      <c r="H1657" s="106" t="inlineStr">
        <is>
          <t>Junho/2026</t>
        </is>
      </c>
    </row>
    <row r="1658" hidden="1" ht="14.25" customHeight="1" s="64">
      <c r="A1658" s="101" t="inlineStr">
        <is>
          <t>TIC</t>
        </is>
      </c>
      <c r="B1658" s="101" t="inlineStr">
        <is>
          <t>Custo Fixo</t>
        </is>
      </c>
      <c r="C1658" s="101" t="inlineStr">
        <is>
          <t>Água e esgoto (rateio)</t>
        </is>
      </c>
      <c r="D1658" s="102" t="n">
        <v>1</v>
      </c>
      <c r="E1658" s="103" t="n">
        <v>0.125</v>
      </c>
      <c r="F1658" s="104" t="n">
        <v>0.125</v>
      </c>
      <c r="G1658" s="101" t="inlineStr">
        <is>
          <t>Clientes</t>
        </is>
      </c>
      <c r="H1658" s="101" t="inlineStr">
        <is>
          <t>Junho/2026</t>
        </is>
      </c>
    </row>
    <row r="1659" hidden="1" ht="14.25" customHeight="1" s="64">
      <c r="A1659" s="106" t="inlineStr">
        <is>
          <t>Diretoria Adm</t>
        </is>
      </c>
      <c r="B1659" s="106" t="inlineStr">
        <is>
          <t>Custo Fixo</t>
        </is>
      </c>
      <c r="C1659" s="106" t="inlineStr">
        <is>
          <t>Energia elétrica (rateio)</t>
        </is>
      </c>
      <c r="D1659" s="107" t="n">
        <v>1</v>
      </c>
      <c r="E1659" s="108" t="n">
        <v>26.2716</v>
      </c>
      <c r="F1659" s="109" t="n">
        <v>26.2716</v>
      </c>
      <c r="G1659" s="106" t="inlineStr">
        <is>
          <t>Clientes</t>
        </is>
      </c>
      <c r="H1659" s="106" t="inlineStr">
        <is>
          <t>Junho/2026</t>
        </is>
      </c>
    </row>
    <row r="1660" hidden="1" ht="14.25" customHeight="1" s="64">
      <c r="A1660" s="101" t="inlineStr">
        <is>
          <t>Diretoria Adm</t>
        </is>
      </c>
      <c r="B1660" s="101" t="inlineStr">
        <is>
          <t>Custo Fixo</t>
        </is>
      </c>
      <c r="C1660" s="101" t="inlineStr">
        <is>
          <t>Água e esgoto (rateio)</t>
        </is>
      </c>
      <c r="D1660" s="102" t="n">
        <v>1</v>
      </c>
      <c r="E1660" s="103" t="n">
        <v>0.075</v>
      </c>
      <c r="F1660" s="104" t="n">
        <v>0.075</v>
      </c>
      <c r="G1660" s="101" t="inlineStr">
        <is>
          <t>Clientes</t>
        </is>
      </c>
      <c r="H1660" s="101" t="inlineStr">
        <is>
          <t>Junho/2026</t>
        </is>
      </c>
    </row>
    <row r="1661" hidden="1" ht="14.25" customHeight="1" s="64">
      <c r="A1661" s="101" t="inlineStr">
        <is>
          <t>Backoffice Comercial Varejo</t>
        </is>
      </c>
      <c r="B1661" s="101" t="inlineStr">
        <is>
          <t>Custo Fixo</t>
        </is>
      </c>
      <c r="C1661" s="101" t="inlineStr">
        <is>
          <t>Gympass</t>
        </is>
      </c>
      <c r="D1661" s="102" t="n">
        <v>2</v>
      </c>
      <c r="E1661" s="103" t="n">
        <v>9.85</v>
      </c>
      <c r="F1661" s="104">
        <f>IFERROR(D1661*E1661,0)</f>
        <v/>
      </c>
      <c r="G1661" s="101">
        <f>INDEX(SETORES!$B:$B,MATCH(A1661,SETORES!$A:$A,0))</f>
        <v/>
      </c>
      <c r="H1661" s="101" t="inlineStr">
        <is>
          <t>Junho/2026</t>
        </is>
      </c>
    </row>
    <row r="1662" hidden="1" ht="14.25" customHeight="1" s="64">
      <c r="A1662" s="106" t="inlineStr">
        <is>
          <t>Backoffice Comercial Varejo</t>
        </is>
      </c>
      <c r="B1662" s="106" t="inlineStr">
        <is>
          <t>Custo Fixo</t>
        </is>
      </c>
      <c r="C1662" s="106" t="inlineStr">
        <is>
          <t>Stargrid</t>
        </is>
      </c>
      <c r="D1662" s="107" t="n">
        <v>2</v>
      </c>
      <c r="E1662" s="108" t="n">
        <v>2.04</v>
      </c>
      <c r="F1662" s="109">
        <f>IFERROR(D1662*E1662,0)</f>
        <v/>
      </c>
      <c r="G1662" s="106">
        <f>INDEX(SETORES!$B:$B,MATCH(A1662,SETORES!$A:$A,0))</f>
        <v/>
      </c>
      <c r="H1662" s="106" t="inlineStr">
        <is>
          <t>Junho/2026</t>
        </is>
      </c>
    </row>
    <row r="1663" hidden="1" ht="14.25" customHeight="1" s="64">
      <c r="A1663" s="106" t="inlineStr">
        <is>
          <t>Backoffice Comercial Varejo</t>
        </is>
      </c>
      <c r="B1663" s="106" t="inlineStr">
        <is>
          <t>Custo Fixo</t>
        </is>
      </c>
      <c r="C1663" s="106" t="inlineStr">
        <is>
          <t>Chip móvel corporativo</t>
        </is>
      </c>
      <c r="D1663" s="107" t="n">
        <v>1</v>
      </c>
      <c r="E1663" s="108" t="n">
        <v>30</v>
      </c>
      <c r="F1663" s="109">
        <f>IFERROR(D1663*E1663,0)</f>
        <v/>
      </c>
      <c r="G1663" s="106">
        <f>INDEX(SETORES!$B:$B,MATCH(A1663,SETORES!$A:$A,0))</f>
        <v/>
      </c>
      <c r="H1663" s="106" t="inlineStr">
        <is>
          <t>Junho/2026</t>
        </is>
      </c>
    </row>
    <row r="1664" hidden="1" ht="14.25" customHeight="1" s="64">
      <c r="A1664" s="101" t="inlineStr">
        <is>
          <t>Serviços Gerais</t>
        </is>
      </c>
      <c r="B1664" s="101" t="inlineStr">
        <is>
          <t>Custo Fixo</t>
        </is>
      </c>
      <c r="C1664" s="101" t="inlineStr">
        <is>
          <t>Gympass</t>
        </is>
      </c>
      <c r="D1664" s="102" t="n">
        <v>6</v>
      </c>
      <c r="E1664" s="103" t="n">
        <v>9.85</v>
      </c>
      <c r="F1664" s="104">
        <f>IFERROR(D1664*E1664,0)</f>
        <v/>
      </c>
      <c r="G1664" s="101">
        <f>INDEX(SETORES!$B:$B,MATCH(A1664,SETORES!$A:$A,0))</f>
        <v/>
      </c>
      <c r="H1664" s="101" t="inlineStr">
        <is>
          <t>Junho/2026</t>
        </is>
      </c>
    </row>
    <row r="1665" hidden="1" ht="14.25" customHeight="1" s="64">
      <c r="A1665" s="106" t="inlineStr">
        <is>
          <t>Serviços Gerais</t>
        </is>
      </c>
      <c r="B1665" s="106" t="inlineStr">
        <is>
          <t>Custo Fixo</t>
        </is>
      </c>
      <c r="C1665" s="106" t="inlineStr">
        <is>
          <t>Stargrid</t>
        </is>
      </c>
      <c r="D1665" s="107" t="n">
        <v>6</v>
      </c>
      <c r="E1665" s="108" t="n">
        <v>2.04</v>
      </c>
      <c r="F1665" s="109">
        <f>IFERROR(D1665*E1665,0)</f>
        <v/>
      </c>
      <c r="G1665" s="106">
        <f>INDEX(SETORES!$B:$B,MATCH(A1665,SETORES!$A:$A,0))</f>
        <v/>
      </c>
      <c r="H1665" s="106" t="inlineStr">
        <is>
          <t>Junho/2026</t>
        </is>
      </c>
    </row>
    <row r="1666" ht="14.25" customHeight="1" s="64">
      <c r="A1666" s="101" t="inlineStr">
        <is>
          <t>Administrativo</t>
        </is>
      </c>
      <c r="B1666" s="101" t="inlineStr">
        <is>
          <t>Custo Fixo</t>
        </is>
      </c>
      <c r="C1666" s="101" t="inlineStr">
        <is>
          <t>Software Power BI Dynamics (f001796)</t>
        </is>
      </c>
      <c r="D1666" s="102" t="n">
        <v>1</v>
      </c>
      <c r="E1666" s="103" t="n">
        <v>1787.15</v>
      </c>
      <c r="F1666" s="104">
        <f>IFERROR(D1666*E1666,0)</f>
        <v/>
      </c>
      <c r="G1666" s="101">
        <f>INDEX(SETORES!$B:$B,MATCH(A1666,SETORES!$A:$A,0))</f>
        <v/>
      </c>
      <c r="H1666" s="101" t="inlineStr">
        <is>
          <t>Junho/2026</t>
        </is>
      </c>
    </row>
    <row r="1667" hidden="1" ht="14.25" customHeight="1" s="64">
      <c r="A1667" s="106" t="inlineStr">
        <is>
          <t>Televendas</t>
        </is>
      </c>
      <c r="B1667" s="106" t="inlineStr">
        <is>
          <t>Custo Fixo</t>
        </is>
      </c>
      <c r="C1667" s="106" t="inlineStr">
        <is>
          <t>Software MATRIX (rateio equipe Relacionamento)</t>
        </is>
      </c>
      <c r="D1667" s="107" t="n">
        <v>1</v>
      </c>
      <c r="E1667" s="108" t="n">
        <v>719.456231</v>
      </c>
      <c r="F1667" s="109">
        <f>IFERROR(D1667*E1667,0)</f>
        <v/>
      </c>
      <c r="G1667" s="106">
        <f>INDEX(SETORES!$B:$B,MATCH(A1667,SETORES!$A:$A,0))</f>
        <v/>
      </c>
      <c r="H1667" s="106" t="inlineStr">
        <is>
          <t>Junho/2026</t>
        </is>
      </c>
    </row>
    <row r="1668" hidden="1" ht="14.25" customHeight="1" s="64">
      <c r="A1668" s="106" t="inlineStr">
        <is>
          <t>Cobrança</t>
        </is>
      </c>
      <c r="B1668" s="106" t="inlineStr">
        <is>
          <t>Custo Fixo</t>
        </is>
      </c>
      <c r="C1668" s="106" t="inlineStr">
        <is>
          <t>Software Dlocal (trafego pago)</t>
        </is>
      </c>
      <c r="D1668" s="107" t="n">
        <v>1</v>
      </c>
      <c r="E1668" s="108" t="n">
        <v>1262.295078</v>
      </c>
      <c r="F1668" s="109">
        <f>IFERROR(D1668*E1668,0)</f>
        <v/>
      </c>
      <c r="G1668" s="106">
        <f>INDEX(SETORES!$B:$B,MATCH(A1668,SETORES!$A:$A,0))</f>
        <v/>
      </c>
      <c r="H1668" s="106" t="inlineStr">
        <is>
          <t>Junho/2026</t>
        </is>
      </c>
    </row>
    <row r="1669" hidden="1" ht="14.25" customHeight="1" s="64">
      <c r="A1669" s="101" t="inlineStr">
        <is>
          <t>NRC</t>
        </is>
      </c>
      <c r="B1669" s="101" t="inlineStr">
        <is>
          <t>Custo Fixo</t>
        </is>
      </c>
      <c r="C1669" s="101" t="inlineStr">
        <is>
          <t>Software Dlocal (trafego pago)</t>
        </is>
      </c>
      <c r="D1669" s="102" t="n">
        <v>1</v>
      </c>
      <c r="E1669" s="103" t="n">
        <v>5049.180312</v>
      </c>
      <c r="F1669" s="104">
        <f>IFERROR(D1669*E1669,0)</f>
        <v/>
      </c>
      <c r="G1669" s="101">
        <f>INDEX(SETORES!$B:$B,MATCH(A1669,SETORES!$A:$A,0))</f>
        <v/>
      </c>
      <c r="H1669" s="101" t="inlineStr">
        <is>
          <t>Junho/2026</t>
        </is>
      </c>
    </row>
    <row r="1670" hidden="1" ht="14.25" customHeight="1" s="64">
      <c r="A1670" s="106" t="inlineStr">
        <is>
          <t>Retenção</t>
        </is>
      </c>
      <c r="B1670" s="106" t="inlineStr">
        <is>
          <t>Custo Fixo</t>
        </is>
      </c>
      <c r="C1670" s="106" t="inlineStr">
        <is>
          <t>Software Dlocal (trafego pago)</t>
        </is>
      </c>
      <c r="D1670" s="107" t="n">
        <v>1</v>
      </c>
      <c r="E1670" s="108" t="n">
        <v>1606.557372</v>
      </c>
      <c r="F1670" s="109">
        <f>IFERROR(D1670*E1670,0)</f>
        <v/>
      </c>
      <c r="G1670" s="106">
        <f>INDEX(SETORES!$B:$B,MATCH(A1670,SETORES!$A:$A,0))</f>
        <v/>
      </c>
      <c r="H1670" s="106" t="inlineStr">
        <is>
          <t>Junho/2026</t>
        </is>
      </c>
    </row>
    <row r="1671" hidden="1" ht="14.25" customHeight="1" s="64">
      <c r="A1671" s="101" t="inlineStr">
        <is>
          <t>Suporte Orbix</t>
        </is>
      </c>
      <c r="B1671" s="101" t="inlineStr">
        <is>
          <t>Custo Fixo</t>
        </is>
      </c>
      <c r="C1671" s="101" t="inlineStr">
        <is>
          <t>Software Dlocal (trafego pago)</t>
        </is>
      </c>
      <c r="D1671" s="102" t="n">
        <v>1</v>
      </c>
      <c r="E1671" s="103" t="n">
        <v>918.032784</v>
      </c>
      <c r="F1671" s="104">
        <f>IFERROR(D1671*E1671,0)</f>
        <v/>
      </c>
      <c r="G1671" s="101">
        <f>INDEX(SETORES!$B:$B,MATCH(A1671,SETORES!$A:$A,0))</f>
        <v/>
      </c>
      <c r="H1671" s="101" t="inlineStr">
        <is>
          <t>Junho/2026</t>
        </is>
      </c>
    </row>
    <row r="1672" hidden="1" ht="14.25" customHeight="1" s="64">
      <c r="A1672" s="106" t="inlineStr">
        <is>
          <t>Suporte da Central</t>
        </is>
      </c>
      <c r="B1672" s="106" t="inlineStr">
        <is>
          <t>Custo Fixo</t>
        </is>
      </c>
      <c r="C1672" s="106" t="inlineStr">
        <is>
          <t>Software Dlocal (trafego pago)</t>
        </is>
      </c>
      <c r="D1672" s="107" t="n">
        <v>1</v>
      </c>
      <c r="E1672" s="108" t="n">
        <v>3672.131136</v>
      </c>
      <c r="F1672" s="109">
        <f>IFERROR(D1672*E1672,0)</f>
        <v/>
      </c>
      <c r="G1672" s="106">
        <f>INDEX(SETORES!$B:$B,MATCH(A1672,SETORES!$A:$A,0))</f>
        <v/>
      </c>
      <c r="H1672" s="106" t="inlineStr">
        <is>
          <t>Junho/2026</t>
        </is>
      </c>
    </row>
    <row r="1673" hidden="1" ht="14.25" customHeight="1" s="64">
      <c r="A1673" s="101" t="inlineStr">
        <is>
          <t>Televendas</t>
        </is>
      </c>
      <c r="B1673" s="101" t="inlineStr">
        <is>
          <t>Custo Fixo</t>
        </is>
      </c>
      <c r="C1673" s="101" t="inlineStr">
        <is>
          <t>Software Dlocal (trafego pago)</t>
        </is>
      </c>
      <c r="D1673" s="102" t="n">
        <v>1</v>
      </c>
      <c r="E1673" s="103" t="n">
        <v>1491.803274</v>
      </c>
      <c r="F1673" s="104">
        <f>IFERROR(D1673*E1673,0)</f>
        <v/>
      </c>
      <c r="G1673" s="101">
        <f>INDEX(SETORES!$B:$B,MATCH(A1673,SETORES!$A:$A,0))</f>
        <v/>
      </c>
      <c r="H1673" s="101" t="inlineStr">
        <is>
          <t>Junho/2026</t>
        </is>
      </c>
    </row>
    <row r="1674" hidden="1" ht="14.25" customHeight="1" s="64">
      <c r="A1674" s="106" t="inlineStr">
        <is>
          <t>Cobrança</t>
        </is>
      </c>
      <c r="B1674" s="106" t="inlineStr">
        <is>
          <t>Custo Fixo</t>
        </is>
      </c>
      <c r="C1674" s="106" t="inlineStr">
        <is>
          <t>Software Lorensi marketing (f000987)</t>
        </is>
      </c>
      <c r="D1674" s="107" t="n">
        <v>1</v>
      </c>
      <c r="E1674" s="108" t="n">
        <v>499.778686</v>
      </c>
      <c r="F1674" s="109">
        <f>IFERROR(D1674*E1674,0)</f>
        <v/>
      </c>
      <c r="G1674" s="106">
        <f>INDEX(SETORES!$B:$B,MATCH(A1674,SETORES!$A:$A,0))</f>
        <v/>
      </c>
      <c r="H1674" s="106" t="inlineStr">
        <is>
          <t>Junho/2026</t>
        </is>
      </c>
    </row>
    <row r="1675" hidden="1" ht="14.25" customHeight="1" s="64">
      <c r="A1675" s="101" t="inlineStr">
        <is>
          <t>NRC</t>
        </is>
      </c>
      <c r="B1675" s="101" t="inlineStr">
        <is>
          <t>Custo Fixo</t>
        </is>
      </c>
      <c r="C1675" s="101" t="inlineStr">
        <is>
          <t>Software Lorensi marketing (f000987)</t>
        </is>
      </c>
      <c r="D1675" s="102" t="n">
        <v>1</v>
      </c>
      <c r="E1675" s="103" t="n">
        <v>1999.114744</v>
      </c>
      <c r="F1675" s="104">
        <f>IFERROR(D1675*E1675,0)</f>
        <v/>
      </c>
      <c r="G1675" s="101">
        <f>INDEX(SETORES!$B:$B,MATCH(A1675,SETORES!$A:$A,0))</f>
        <v/>
      </c>
      <c r="H1675" s="101" t="inlineStr">
        <is>
          <t>Junho/2026</t>
        </is>
      </c>
    </row>
    <row r="1676" hidden="1" ht="14.25" customHeight="1" s="64">
      <c r="A1676" s="106" t="inlineStr">
        <is>
          <t>Retenção</t>
        </is>
      </c>
      <c r="B1676" s="106" t="inlineStr">
        <is>
          <t>Custo Fixo</t>
        </is>
      </c>
      <c r="C1676" s="106" t="inlineStr">
        <is>
          <t>Software Lorensi marketing (f000987)</t>
        </is>
      </c>
      <c r="D1676" s="107" t="n">
        <v>1</v>
      </c>
      <c r="E1676" s="108" t="n">
        <v>636.081964</v>
      </c>
      <c r="F1676" s="109">
        <f>IFERROR(D1676*E1676,0)</f>
        <v/>
      </c>
      <c r="G1676" s="106">
        <f>INDEX(SETORES!$B:$B,MATCH(A1676,SETORES!$A:$A,0))</f>
        <v/>
      </c>
      <c r="H1676" s="106" t="inlineStr">
        <is>
          <t>Junho/2026</t>
        </is>
      </c>
    </row>
    <row r="1677" hidden="1" ht="14.25" customHeight="1" s="64">
      <c r="A1677" s="101" t="inlineStr">
        <is>
          <t>Suporte Orbix</t>
        </is>
      </c>
      <c r="B1677" s="101" t="inlineStr">
        <is>
          <t>Custo Fixo</t>
        </is>
      </c>
      <c r="C1677" s="101" t="inlineStr">
        <is>
          <t>Software Lorensi marketing (f000987)</t>
        </is>
      </c>
      <c r="D1677" s="102" t="n">
        <v>1</v>
      </c>
      <c r="E1677" s="103" t="n">
        <v>363.475408</v>
      </c>
      <c r="F1677" s="104">
        <f>IFERROR(D1677*E1677,0)</f>
        <v/>
      </c>
      <c r="G1677" s="101">
        <f>INDEX(SETORES!$B:$B,MATCH(A1677,SETORES!$A:$A,0))</f>
        <v/>
      </c>
      <c r="H1677" s="101" t="inlineStr">
        <is>
          <t>Junho/2026</t>
        </is>
      </c>
    </row>
    <row r="1678" hidden="1" ht="14.25" customHeight="1" s="64">
      <c r="A1678" s="106" t="inlineStr">
        <is>
          <t>Suporte da Central</t>
        </is>
      </c>
      <c r="B1678" s="106" t="inlineStr">
        <is>
          <t>Custo Fixo</t>
        </is>
      </c>
      <c r="C1678" s="106" t="inlineStr">
        <is>
          <t>Software Lorensi marketing (f000987)</t>
        </is>
      </c>
      <c r="D1678" s="107" t="n">
        <v>1</v>
      </c>
      <c r="E1678" s="108" t="n">
        <v>1453.901632</v>
      </c>
      <c r="F1678" s="109">
        <f>IFERROR(D1678*E1678,0)</f>
        <v/>
      </c>
      <c r="G1678" s="106">
        <f>INDEX(SETORES!$B:$B,MATCH(A1678,SETORES!$A:$A,0))</f>
        <v/>
      </c>
      <c r="H1678" s="106" t="inlineStr">
        <is>
          <t>Junho/2026</t>
        </is>
      </c>
    </row>
    <row r="1679" hidden="1" ht="14.25" customHeight="1" s="64">
      <c r="A1679" s="101" t="inlineStr">
        <is>
          <t>Televendas</t>
        </is>
      </c>
      <c r="B1679" s="101" t="inlineStr">
        <is>
          <t>Custo Fixo</t>
        </is>
      </c>
      <c r="C1679" s="101" t="inlineStr">
        <is>
          <t>Software Lorensi marketing (f000987)</t>
        </is>
      </c>
      <c r="D1679" s="102" t="n">
        <v>1</v>
      </c>
      <c r="E1679" s="103" t="n">
        <v>590.6475380000001</v>
      </c>
      <c r="F1679" s="104">
        <f>IFERROR(D1679*E1679,0)</f>
        <v/>
      </c>
      <c r="G1679" s="101">
        <f>INDEX(SETORES!$B:$B,MATCH(A1679,SETORES!$A:$A,0))</f>
        <v/>
      </c>
      <c r="H1679" s="101" t="inlineStr">
        <is>
          <t>Junho/2026</t>
        </is>
      </c>
    </row>
    <row r="1680" hidden="1" ht="14.25" customHeight="1" s="64">
      <c r="A1680" s="101" t="inlineStr">
        <is>
          <t>Cozinha</t>
        </is>
      </c>
      <c r="B1680" s="101" t="inlineStr">
        <is>
          <t>Custo Fixo</t>
        </is>
      </c>
      <c r="C1680" s="101" t="inlineStr">
        <is>
          <t>Custo de gestão administrativa (rateado — Cryslaine Fonseca Rosal)</t>
        </is>
      </c>
      <c r="D1680" s="102" t="n">
        <v>1</v>
      </c>
      <c r="E1680" s="103" t="n">
        <v>1254.61</v>
      </c>
      <c r="F1680" s="104">
        <f>IFERROR(D1680*E1680,0)</f>
        <v/>
      </c>
      <c r="G1680" s="101" t="inlineStr">
        <is>
          <t>Funcionários</t>
        </is>
      </c>
      <c r="H1680" s="101" t="inlineStr">
        <is>
          <t>Junho/2026</t>
        </is>
      </c>
    </row>
    <row r="1681" hidden="1" ht="14.25" customHeight="1" s="64">
      <c r="A1681" s="101" t="inlineStr">
        <is>
          <t>Cozinha</t>
        </is>
      </c>
      <c r="B1681" s="101" t="inlineStr">
        <is>
          <t>Custo Fixo</t>
        </is>
      </c>
      <c r="C1681" s="101" t="inlineStr">
        <is>
          <t>Gympass</t>
        </is>
      </c>
      <c r="D1681" s="102" t="n">
        <v>7</v>
      </c>
      <c r="E1681" s="103" t="n">
        <v>9.85</v>
      </c>
      <c r="F1681" s="104">
        <f>IFERROR(D1681*E1681,0)</f>
        <v/>
      </c>
      <c r="G1681" s="101" t="inlineStr">
        <is>
          <t>Funcionários</t>
        </is>
      </c>
      <c r="H1681" s="101" t="inlineStr">
        <is>
          <t>Junho/2026</t>
        </is>
      </c>
    </row>
    <row r="1682" hidden="1" ht="14.25" customHeight="1" s="64">
      <c r="A1682" s="106" t="inlineStr">
        <is>
          <t>Cozinha</t>
        </is>
      </c>
      <c r="B1682" s="106" t="inlineStr">
        <is>
          <t>Custo Fixo</t>
        </is>
      </c>
      <c r="C1682" s="106" t="inlineStr">
        <is>
          <t>Stargrid</t>
        </is>
      </c>
      <c r="D1682" s="107" t="n">
        <v>7</v>
      </c>
      <c r="E1682" s="108" t="n">
        <v>2.04</v>
      </c>
      <c r="F1682" s="109">
        <f>IFERROR(D1682*E1682,0)</f>
        <v/>
      </c>
      <c r="G1682" s="106" t="inlineStr">
        <is>
          <t>Funcionários</t>
        </is>
      </c>
      <c r="H1682" s="106" t="inlineStr">
        <is>
          <t>Junho/2026</t>
        </is>
      </c>
    </row>
    <row r="1683" hidden="1" ht="14.25" customHeight="1" s="64">
      <c r="A1683" s="106" t="inlineStr">
        <is>
          <t>Backoffice Comercial Varejo</t>
        </is>
      </c>
      <c r="B1683" s="106" t="inlineStr">
        <is>
          <t>Custo Fixo</t>
        </is>
      </c>
      <c r="C1683" s="106" t="inlineStr">
        <is>
          <t>Folha de pagamento (salários)</t>
        </is>
      </c>
      <c r="D1683" s="107" t="n">
        <v>1</v>
      </c>
      <c r="E1683" s="108" t="n">
        <v>6292.45</v>
      </c>
      <c r="F1683" s="109">
        <f>IFERROR(E1683,0)</f>
        <v/>
      </c>
      <c r="G1683" s="106">
        <f>INDEX(SETORES!$B:$B,MATCH(A1683,SETORES!$A:$A,0))</f>
        <v/>
      </c>
      <c r="H1683" s="106" t="inlineStr">
        <is>
          <t>Julho/2026</t>
        </is>
      </c>
    </row>
    <row r="1684" hidden="1" ht="14.25" customHeight="1" s="64">
      <c r="A1684" s="101" t="inlineStr">
        <is>
          <t>Serviços Gerais</t>
        </is>
      </c>
      <c r="B1684" s="101" t="inlineStr">
        <is>
          <t>Custo Fixo</t>
        </is>
      </c>
      <c r="C1684" s="101" t="inlineStr">
        <is>
          <t>Folha de pagamento (salários)</t>
        </is>
      </c>
      <c r="D1684" s="102" t="n">
        <v>1</v>
      </c>
      <c r="E1684" s="103" t="n">
        <v>22919.89</v>
      </c>
      <c r="F1684" s="104" t="n">
        <v>22919.89</v>
      </c>
      <c r="G1684" s="101">
        <f>INDEX(SETORES!$B:$B,MATCH(A1684,SETORES!$A:$A,0))</f>
        <v/>
      </c>
      <c r="H1684" s="101" t="inlineStr">
        <is>
          <t>Julho/2026</t>
        </is>
      </c>
    </row>
    <row r="1685" hidden="1" ht="14.25" customHeight="1" s="64">
      <c r="A1685" s="106" t="inlineStr">
        <is>
          <t>Gestão de Atendimento</t>
        </is>
      </c>
      <c r="B1685" s="106" t="inlineStr">
        <is>
          <t>Custo Fixo</t>
        </is>
      </c>
      <c r="C1685" s="106" t="inlineStr">
        <is>
          <t>Custo de gestão administrativa (rateado — Renata Thaysa dos Santos Cunha)</t>
        </is>
      </c>
      <c r="D1685" s="107" t="n">
        <v>1</v>
      </c>
      <c r="E1685" s="108" t="n">
        <v>3259.19</v>
      </c>
      <c r="F1685" s="109">
        <f>IFERROR(D1685*E1685,0)</f>
        <v/>
      </c>
      <c r="G1685" s="106">
        <f>INDEX(SETORES!$B:$B,MATCH(A1685,SETORES!$A:$A,0))</f>
        <v/>
      </c>
      <c r="H1685" s="106" t="inlineStr">
        <is>
          <t>Julho/2026</t>
        </is>
      </c>
    </row>
    <row r="1686" hidden="1" ht="14.25" customHeight="1" s="64">
      <c r="A1686" s="101" t="inlineStr">
        <is>
          <t>CAC</t>
        </is>
      </c>
      <c r="B1686" s="101" t="inlineStr">
        <is>
          <t>Custo Fixo</t>
        </is>
      </c>
      <c r="C1686" s="101" t="inlineStr">
        <is>
          <t>Custo de gestão administrativa (rateado — Renata Thaysa dos Santos Cunha)</t>
        </is>
      </c>
      <c r="D1686" s="102" t="n">
        <v>1</v>
      </c>
      <c r="E1686" s="103" t="n">
        <v>1629.6</v>
      </c>
      <c r="F1686" s="104">
        <f>IFERROR(D1686*E1686,0)</f>
        <v/>
      </c>
      <c r="G1686" s="101">
        <f>INDEX(SETORES!$B:$B,MATCH(A1686,SETORES!$A:$A,0))</f>
        <v/>
      </c>
      <c r="H1686" s="101" t="inlineStr">
        <is>
          <t>Julho/2026</t>
        </is>
      </c>
    </row>
    <row r="1687" hidden="1" ht="14.25" customHeight="1" s="64">
      <c r="A1687" s="106" t="inlineStr">
        <is>
          <t>Backoffice Comercial Varejo</t>
        </is>
      </c>
      <c r="B1687" s="106" t="inlineStr">
        <is>
          <t>Custo Fixo</t>
        </is>
      </c>
      <c r="C1687" s="106" t="inlineStr">
        <is>
          <t>Custo de gestão administrativa (rateado — Renata Thaysa dos Santos Cunha)</t>
        </is>
      </c>
      <c r="D1687" s="107" t="n">
        <v>1</v>
      </c>
      <c r="E1687" s="108" t="n">
        <v>1086.4</v>
      </c>
      <c r="F1687" s="109">
        <f>IFERROR(D1687*E1687,0)</f>
        <v/>
      </c>
      <c r="G1687" s="106">
        <f>INDEX(SETORES!$B:$B,MATCH(A1687,SETORES!$A:$A,0))</f>
        <v/>
      </c>
      <c r="H1687" s="106" t="inlineStr">
        <is>
          <t>Julho/2026</t>
        </is>
      </c>
    </row>
    <row r="1688" hidden="1" ht="14.25" customHeight="1" s="64">
      <c r="A1688" s="101" t="inlineStr">
        <is>
          <t>NRC</t>
        </is>
      </c>
      <c r="B1688" s="101" t="inlineStr">
        <is>
          <t>Custo Fixo</t>
        </is>
      </c>
      <c r="C1688" s="101" t="inlineStr">
        <is>
          <t>Custo de gestão administrativa (rateado — Ayrton da Silva Lima)</t>
        </is>
      </c>
      <c r="D1688" s="102" t="n">
        <v>1</v>
      </c>
      <c r="E1688" s="103" t="n">
        <v>3208.87</v>
      </c>
      <c r="F1688" s="104">
        <f>IFERROR(D1688*E1688,0)</f>
        <v/>
      </c>
      <c r="G1688" s="101">
        <f>INDEX(SETORES!$B:$B,MATCH(A1688,SETORES!$A:$A,0))</f>
        <v/>
      </c>
      <c r="H1688" s="101" t="inlineStr">
        <is>
          <t>Julho/2026</t>
        </is>
      </c>
    </row>
    <row r="1689" hidden="1" ht="14.25" customHeight="1" s="64">
      <c r="A1689" s="106" t="inlineStr">
        <is>
          <t>Cobrança</t>
        </is>
      </c>
      <c r="B1689" s="106" t="inlineStr">
        <is>
          <t>Custo Fixo</t>
        </is>
      </c>
      <c r="C1689" s="106" t="inlineStr">
        <is>
          <t>Custo de gestão administrativa (rateado — Ayrton da Silva Lima)</t>
        </is>
      </c>
      <c r="D1689" s="107" t="n">
        <v>1</v>
      </c>
      <c r="E1689" s="108" t="n">
        <v>970.12</v>
      </c>
      <c r="F1689" s="109">
        <f>IFERROR(D1689*E1689,0)</f>
        <v/>
      </c>
      <c r="G1689" s="106">
        <f>INDEX(SETORES!$B:$B,MATCH(A1689,SETORES!$A:$A,0))</f>
        <v/>
      </c>
      <c r="H1689" s="106" t="inlineStr">
        <is>
          <t>Julho/2026</t>
        </is>
      </c>
    </row>
    <row r="1690" hidden="1" ht="14.25" customHeight="1" s="64">
      <c r="A1690" s="101" t="inlineStr">
        <is>
          <t>Retenção</t>
        </is>
      </c>
      <c r="B1690" s="101" t="inlineStr">
        <is>
          <t>Custo Fixo</t>
        </is>
      </c>
      <c r="C1690" s="101" t="inlineStr">
        <is>
          <t>Custo de gestão administrativa (rateado — Ayrton da Silva Lima)</t>
        </is>
      </c>
      <c r="D1690" s="102" t="n">
        <v>1</v>
      </c>
      <c r="E1690" s="103" t="n">
        <v>895.5</v>
      </c>
      <c r="F1690" s="104">
        <f>IFERROR(D1690*E1690,0)</f>
        <v/>
      </c>
      <c r="G1690" s="101">
        <f>INDEX(SETORES!$B:$B,MATCH(A1690,SETORES!$A:$A,0))</f>
        <v/>
      </c>
      <c r="H1690" s="101" t="inlineStr">
        <is>
          <t>Julho/2026</t>
        </is>
      </c>
    </row>
    <row r="1691" hidden="1" ht="14.25" customHeight="1" s="64">
      <c r="A1691" s="106" t="inlineStr">
        <is>
          <t>Televendas</t>
        </is>
      </c>
      <c r="B1691" s="106" t="inlineStr">
        <is>
          <t>Custo Fixo</t>
        </is>
      </c>
      <c r="C1691" s="106" t="inlineStr">
        <is>
          <t>Custo de gestão administrativa (rateado — Ayrton da Silva Lima)</t>
        </is>
      </c>
      <c r="D1691" s="107" t="n">
        <v>1</v>
      </c>
      <c r="E1691" s="108" t="n">
        <v>746.25</v>
      </c>
      <c r="F1691" s="109">
        <f>IFERROR(D1691*E1691,0)</f>
        <v/>
      </c>
      <c r="G1691" s="106">
        <f>INDEX(SETORES!$B:$B,MATCH(A1691,SETORES!$A:$A,0))</f>
        <v/>
      </c>
      <c r="H1691" s="106" t="inlineStr">
        <is>
          <t>Julho/2026</t>
        </is>
      </c>
    </row>
    <row r="1692" hidden="1" ht="14.25" customHeight="1" s="64">
      <c r="A1692" s="101" t="inlineStr">
        <is>
          <t>Suporte da Central</t>
        </is>
      </c>
      <c r="B1692" s="101" t="inlineStr">
        <is>
          <t>Custo Fixo</t>
        </is>
      </c>
      <c r="C1692" s="101" t="inlineStr">
        <is>
          <t>Custo de gestão administrativa (rateado — Ayrton da Silva Lima)</t>
        </is>
      </c>
      <c r="D1692" s="102" t="n">
        <v>1</v>
      </c>
      <c r="E1692" s="103" t="n">
        <v>2462.62</v>
      </c>
      <c r="F1692" s="104">
        <f>IFERROR(D1692*E1692,0)</f>
        <v/>
      </c>
      <c r="G1692" s="101">
        <f>INDEX(SETORES!$B:$B,MATCH(A1692,SETORES!$A:$A,0))</f>
        <v/>
      </c>
      <c r="H1692" s="101" t="inlineStr">
        <is>
          <t>Julho/2026</t>
        </is>
      </c>
    </row>
    <row r="1693" hidden="1" ht="14.25" customHeight="1" s="64">
      <c r="A1693" s="106" t="inlineStr">
        <is>
          <t>Suporte Orbix</t>
        </is>
      </c>
      <c r="B1693" s="106" t="inlineStr">
        <is>
          <t>Custo Fixo</t>
        </is>
      </c>
      <c r="C1693" s="106" t="inlineStr">
        <is>
          <t>Custo de gestão administrativa (rateado — Ayrton da Silva Lima)</t>
        </is>
      </c>
      <c r="D1693" s="107" t="n">
        <v>1</v>
      </c>
      <c r="E1693" s="108" t="n">
        <v>597</v>
      </c>
      <c r="F1693" s="109">
        <f>IFERROR(D1693*E1693,0)</f>
        <v/>
      </c>
      <c r="G1693" s="106">
        <f>INDEX(SETORES!$B:$B,MATCH(A1693,SETORES!$A:$A,0))</f>
        <v/>
      </c>
      <c r="H1693" s="106" t="inlineStr">
        <is>
          <t>Julho/2026</t>
        </is>
      </c>
    </row>
    <row r="1694" hidden="1" ht="14.25" customHeight="1" s="64">
      <c r="A1694" s="101" t="inlineStr">
        <is>
          <t>Engenharia</t>
        </is>
      </c>
      <c r="B1694" s="101" t="inlineStr">
        <is>
          <t>Custo Fixo</t>
        </is>
      </c>
      <c r="C1694" s="101" t="inlineStr">
        <is>
          <t>Custo de gestão administrativa (rateado — Cryslaine Fonseca Rosal)</t>
        </is>
      </c>
      <c r="D1694" s="102" t="n">
        <v>1</v>
      </c>
      <c r="E1694" s="103" t="n">
        <v>1771.7</v>
      </c>
      <c r="F1694" s="104">
        <f>IFERROR(D1694*E1694,0)</f>
        <v/>
      </c>
      <c r="G1694" s="101">
        <f>INDEX(SETORES!$B:$B,MATCH(A1694,SETORES!$A:$A,0))</f>
        <v/>
      </c>
      <c r="H1694" s="101" t="inlineStr">
        <is>
          <t>Julho/2026</t>
        </is>
      </c>
    </row>
    <row r="1695" hidden="1" ht="14.25" customHeight="1" s="64">
      <c r="A1695" s="106" t="inlineStr">
        <is>
          <t>Obras</t>
        </is>
      </c>
      <c r="B1695" s="106" t="inlineStr">
        <is>
          <t>Custo Fixo</t>
        </is>
      </c>
      <c r="C1695" s="106" t="inlineStr">
        <is>
          <t>Custo de gestão administrativa (rateado — Cryslaine Fonseca Rosal)</t>
        </is>
      </c>
      <c r="D1695" s="107" t="n">
        <v>1</v>
      </c>
      <c r="E1695" s="108" t="n">
        <v>4074.9</v>
      </c>
      <c r="F1695" s="109">
        <f>IFERROR(D1695*E1695,0)</f>
        <v/>
      </c>
      <c r="G1695" s="106">
        <f>INDEX(SETORES!$B:$B,MATCH(A1695,SETORES!$A:$A,0))</f>
        <v/>
      </c>
      <c r="H1695" s="106" t="inlineStr">
        <is>
          <t>Julho/2026</t>
        </is>
      </c>
    </row>
    <row r="1696" hidden="1" ht="14.25" customHeight="1" s="64">
      <c r="A1696" s="101" t="inlineStr">
        <is>
          <t>Manutenção Predial</t>
        </is>
      </c>
      <c r="B1696" s="101" t="inlineStr">
        <is>
          <t>Custo Fixo</t>
        </is>
      </c>
      <c r="C1696" s="101" t="inlineStr">
        <is>
          <t>Custo de gestão administrativa (rateado — Cryslaine Fonseca Rosal)</t>
        </is>
      </c>
      <c r="D1696" s="102" t="n">
        <v>1</v>
      </c>
      <c r="E1696" s="103" t="n">
        <v>2303.21</v>
      </c>
      <c r="F1696" s="104">
        <f>IFERROR(D1696*E1696,0)</f>
        <v/>
      </c>
      <c r="G1696" s="101">
        <f>INDEX(SETORES!$B:$B,MATCH(A1696,SETORES!$A:$A,0))</f>
        <v/>
      </c>
      <c r="H1696" s="101" t="inlineStr">
        <is>
          <t>Julho/2026</t>
        </is>
      </c>
    </row>
    <row r="1697" hidden="1" ht="14.25" customHeight="1" s="64">
      <c r="A1697" s="106" t="inlineStr">
        <is>
          <t>Lançamento</t>
        </is>
      </c>
      <c r="B1697" s="106" t="inlineStr">
        <is>
          <t>Custo Fixo</t>
        </is>
      </c>
      <c r="C1697" s="106" t="inlineStr">
        <is>
          <t>Custo de gestão administrativa (rateado — Cryslaine Fonseca Rosal)</t>
        </is>
      </c>
      <c r="D1697" s="107" t="n">
        <v>1</v>
      </c>
      <c r="E1697" s="108" t="n">
        <v>3897.73</v>
      </c>
      <c r="F1697" s="109">
        <f>IFERROR(D1697*E1697,0)</f>
        <v/>
      </c>
      <c r="G1697" s="106">
        <f>INDEX(SETORES!$B:$B,MATCH(A1697,SETORES!$A:$A,0))</f>
        <v/>
      </c>
      <c r="H1697" s="106" t="inlineStr">
        <is>
          <t>Julho/2026</t>
        </is>
      </c>
    </row>
    <row r="1698" hidden="1" ht="14.25" customHeight="1" s="64">
      <c r="A1698" s="101" t="inlineStr">
        <is>
          <t>Fusão</t>
        </is>
      </c>
      <c r="B1698" s="101" t="inlineStr">
        <is>
          <t>Custo Fixo</t>
        </is>
      </c>
      <c r="C1698" s="101" t="inlineStr">
        <is>
          <t>Custo de gestão administrativa (rateado — Cryslaine Fonseca Rosal)</t>
        </is>
      </c>
      <c r="D1698" s="102" t="n">
        <v>1</v>
      </c>
      <c r="E1698" s="103" t="n">
        <v>1417.36</v>
      </c>
      <c r="F1698" s="104">
        <f>IFERROR(D1698*E1698,0)</f>
        <v/>
      </c>
      <c r="G1698" s="101">
        <f>INDEX(SETORES!$B:$B,MATCH(A1698,SETORES!$A:$A,0))</f>
        <v/>
      </c>
      <c r="H1698" s="101" t="inlineStr">
        <is>
          <t>Julho/2026</t>
        </is>
      </c>
    </row>
    <row r="1699" hidden="1" ht="14.25" customHeight="1" s="64">
      <c r="A1699" s="106" t="inlineStr">
        <is>
          <t>Serviços Gerais</t>
        </is>
      </c>
      <c r="B1699" s="106" t="inlineStr">
        <is>
          <t>Custo Fixo</t>
        </is>
      </c>
      <c r="C1699" s="106" t="inlineStr">
        <is>
          <t>Custo de gestão administrativa (rateado — Cryslaine Fonseca Rosal)</t>
        </is>
      </c>
      <c r="D1699" s="107" t="n">
        <v>1</v>
      </c>
      <c r="E1699" s="108" t="n">
        <v>1063.02</v>
      </c>
      <c r="F1699" s="109">
        <f>IFERROR(D1699*E1699,0)</f>
        <v/>
      </c>
      <c r="G1699" s="106">
        <f>INDEX(SETORES!$B:$B,MATCH(A1699,SETORES!$A:$A,0))</f>
        <v/>
      </c>
      <c r="H1699" s="106" t="inlineStr">
        <is>
          <t>Julho/2026</t>
        </is>
      </c>
    </row>
    <row r="1700" hidden="1" ht="14.25" customHeight="1" s="64">
      <c r="A1700" s="106" t="inlineStr">
        <is>
          <t>Backoffice Comercial Varejo</t>
        </is>
      </c>
      <c r="B1700" s="106" t="inlineStr">
        <is>
          <t>Custo Fixo</t>
        </is>
      </c>
      <c r="C1700" s="106" t="inlineStr">
        <is>
          <t>Energia elétrica (rateio)</t>
        </is>
      </c>
      <c r="D1700" s="107" t="n">
        <v>1</v>
      </c>
      <c r="E1700" s="108" t="n">
        <v>16.546</v>
      </c>
      <c r="F1700" s="109" t="n">
        <v>16.546</v>
      </c>
      <c r="G1700" s="106" t="inlineStr">
        <is>
          <t>Clientes</t>
        </is>
      </c>
      <c r="H1700" s="106" t="inlineStr">
        <is>
          <t>Julho/2026</t>
        </is>
      </c>
    </row>
    <row r="1701" hidden="1" ht="14.25" customHeight="1" s="64">
      <c r="A1701" s="101" t="inlineStr">
        <is>
          <t>Backoffice Comercial Varejo</t>
        </is>
      </c>
      <c r="B1701" s="101" t="inlineStr">
        <is>
          <t>Custo Fixo</t>
        </is>
      </c>
      <c r="C1701" s="101" t="inlineStr">
        <is>
          <t>Água e esgoto (rateio)</t>
        </is>
      </c>
      <c r="D1701" s="102" t="n">
        <v>1</v>
      </c>
      <c r="E1701" s="103" t="n">
        <v>0.0485</v>
      </c>
      <c r="F1701" s="104" t="n">
        <v>0.0485</v>
      </c>
      <c r="G1701" s="101" t="inlineStr">
        <is>
          <t>Clientes</t>
        </is>
      </c>
      <c r="H1701" s="101" t="inlineStr">
        <is>
          <t>Julho/2026</t>
        </is>
      </c>
    </row>
    <row r="1702" hidden="1" ht="14.25" customHeight="1" s="64">
      <c r="A1702" s="106" t="inlineStr">
        <is>
          <t>Marketing</t>
        </is>
      </c>
      <c r="B1702" s="106" t="inlineStr">
        <is>
          <t>Custo Fixo</t>
        </is>
      </c>
      <c r="C1702" s="106" t="inlineStr">
        <is>
          <t>Energia elétrica (rateio)</t>
        </is>
      </c>
      <c r="D1702" s="107" t="n">
        <v>1</v>
      </c>
      <c r="E1702" s="108" t="n">
        <v>99.276</v>
      </c>
      <c r="F1702" s="109" t="n">
        <v>99.276</v>
      </c>
      <c r="G1702" s="106" t="inlineStr">
        <is>
          <t>Clientes</t>
        </is>
      </c>
      <c r="H1702" s="106" t="inlineStr">
        <is>
          <t>Julho/2026</t>
        </is>
      </c>
    </row>
    <row r="1703" hidden="1" ht="14.25" customHeight="1" s="64">
      <c r="A1703" s="101" t="inlineStr">
        <is>
          <t>Marketing</t>
        </is>
      </c>
      <c r="B1703" s="101" t="inlineStr">
        <is>
          <t>Custo Fixo</t>
        </is>
      </c>
      <c r="C1703" s="101" t="inlineStr">
        <is>
          <t>Água e esgoto (rateio)</t>
        </is>
      </c>
      <c r="D1703" s="102" t="n">
        <v>1</v>
      </c>
      <c r="E1703" s="103" t="n">
        <v>0.291</v>
      </c>
      <c r="F1703" s="104" t="n">
        <v>0.291</v>
      </c>
      <c r="G1703" s="101" t="inlineStr">
        <is>
          <t>Clientes</t>
        </is>
      </c>
      <c r="H1703" s="101" t="inlineStr">
        <is>
          <t>Julho/2026</t>
        </is>
      </c>
    </row>
    <row r="1704" hidden="1" ht="14.25" customHeight="1" s="64">
      <c r="A1704" s="106" t="inlineStr">
        <is>
          <t>Comercial Corporativo</t>
        </is>
      </c>
      <c r="B1704" s="106" t="inlineStr">
        <is>
          <t>Custo Fixo</t>
        </is>
      </c>
      <c r="C1704" s="106" t="inlineStr">
        <is>
          <t>Energia elétrica (rateio)</t>
        </is>
      </c>
      <c r="D1704" s="107" t="n">
        <v>1</v>
      </c>
      <c r="E1704" s="108" t="n">
        <v>91.003</v>
      </c>
      <c r="F1704" s="109" t="n">
        <v>91.003</v>
      </c>
      <c r="G1704" s="106" t="inlineStr">
        <is>
          <t>Clientes</t>
        </is>
      </c>
      <c r="H1704" s="106" t="inlineStr">
        <is>
          <t>Julho/2026</t>
        </is>
      </c>
    </row>
    <row r="1705" hidden="1" ht="14.25" customHeight="1" s="64">
      <c r="A1705" s="101" t="inlineStr">
        <is>
          <t>Comercial Corporativo</t>
        </is>
      </c>
      <c r="B1705" s="101" t="inlineStr">
        <is>
          <t>Custo Fixo</t>
        </is>
      </c>
      <c r="C1705" s="101" t="inlineStr">
        <is>
          <t>Água e esgoto (rateio)</t>
        </is>
      </c>
      <c r="D1705" s="102" t="n">
        <v>1</v>
      </c>
      <c r="E1705" s="103" t="n">
        <v>0.2667</v>
      </c>
      <c r="F1705" s="104" t="n">
        <v>0.2667</v>
      </c>
      <c r="G1705" s="101" t="inlineStr">
        <is>
          <t>Clientes</t>
        </is>
      </c>
      <c r="H1705" s="101" t="inlineStr">
        <is>
          <t>Julho/2026</t>
        </is>
      </c>
    </row>
    <row r="1706" hidden="1" ht="14.25" customHeight="1" s="64">
      <c r="A1706" s="106" t="inlineStr">
        <is>
          <t>TIC</t>
        </is>
      </c>
      <c r="B1706" s="106" t="inlineStr">
        <is>
          <t>Custo Fixo</t>
        </is>
      </c>
      <c r="C1706" s="106" t="inlineStr">
        <is>
          <t>Energia elétrica (rateio)</t>
        </is>
      </c>
      <c r="D1706" s="107" t="n">
        <v>1</v>
      </c>
      <c r="E1706" s="108" t="n">
        <v>57.911</v>
      </c>
      <c r="F1706" s="109" t="n">
        <v>57.911</v>
      </c>
      <c r="G1706" s="106" t="inlineStr">
        <is>
          <t>Clientes</t>
        </is>
      </c>
      <c r="H1706" s="106" t="inlineStr">
        <is>
          <t>Julho/2026</t>
        </is>
      </c>
    </row>
    <row r="1707" hidden="1" ht="14.25" customHeight="1" s="64">
      <c r="A1707" s="101" t="inlineStr">
        <is>
          <t>TIC</t>
        </is>
      </c>
      <c r="B1707" s="101" t="inlineStr">
        <is>
          <t>Custo Fixo</t>
        </is>
      </c>
      <c r="C1707" s="101" t="inlineStr">
        <is>
          <t>Água e esgoto (rateio)</t>
        </is>
      </c>
      <c r="D1707" s="102" t="n">
        <v>1</v>
      </c>
      <c r="E1707" s="103" t="n">
        <v>0.1697</v>
      </c>
      <c r="F1707" s="104" t="n">
        <v>0.1697</v>
      </c>
      <c r="G1707" s="101" t="inlineStr">
        <is>
          <t>Clientes</t>
        </is>
      </c>
      <c r="H1707" s="101" t="inlineStr">
        <is>
          <t>Julho/2026</t>
        </is>
      </c>
    </row>
    <row r="1708" hidden="1" ht="14.25" customHeight="1" s="64">
      <c r="A1708" s="106" t="inlineStr">
        <is>
          <t>Diretoria Adm</t>
        </is>
      </c>
      <c r="B1708" s="106" t="inlineStr">
        <is>
          <t>Custo Fixo</t>
        </is>
      </c>
      <c r="C1708" s="106" t="inlineStr">
        <is>
          <t>Energia elétrica (rateio)</t>
        </is>
      </c>
      <c r="D1708" s="107" t="n">
        <v>1</v>
      </c>
      <c r="E1708" s="108" t="n">
        <v>24.819</v>
      </c>
      <c r="F1708" s="109" t="n">
        <v>24.819</v>
      </c>
      <c r="G1708" s="106" t="inlineStr">
        <is>
          <t>Clientes</t>
        </is>
      </c>
      <c r="H1708" s="106" t="inlineStr">
        <is>
          <t>Julho/2026</t>
        </is>
      </c>
    </row>
    <row r="1709" hidden="1" ht="14.25" customHeight="1" s="64">
      <c r="A1709" s="101" t="inlineStr">
        <is>
          <t>Diretoria Adm</t>
        </is>
      </c>
      <c r="B1709" s="101" t="inlineStr">
        <is>
          <t>Custo Fixo</t>
        </is>
      </c>
      <c r="C1709" s="101" t="inlineStr">
        <is>
          <t>Água e esgoto (rateio)</t>
        </is>
      </c>
      <c r="D1709" s="102" t="n">
        <v>1</v>
      </c>
      <c r="E1709" s="103" t="n">
        <v>0.0727</v>
      </c>
      <c r="F1709" s="104" t="n">
        <v>0.0727</v>
      </c>
      <c r="G1709" s="101" t="inlineStr">
        <is>
          <t>Clientes</t>
        </is>
      </c>
      <c r="H1709" s="101" t="inlineStr">
        <is>
          <t>Julho/2026</t>
        </is>
      </c>
    </row>
    <row r="1710" hidden="1" ht="14.25" customHeight="1" s="64">
      <c r="A1710" s="106" t="inlineStr">
        <is>
          <t>Backoffice Comercial Varejo</t>
        </is>
      </c>
      <c r="B1710" s="106" t="inlineStr">
        <is>
          <t>Custo Fixo</t>
        </is>
      </c>
      <c r="C1710" s="106" t="inlineStr">
        <is>
          <t>Gympass</t>
        </is>
      </c>
      <c r="D1710" s="107" t="n">
        <v>2</v>
      </c>
      <c r="E1710" s="108" t="n">
        <v>9.92</v>
      </c>
      <c r="F1710" s="109">
        <f>IFERROR(D1710*E1710,0)</f>
        <v/>
      </c>
      <c r="G1710" s="106">
        <f>INDEX(SETORES!$B:$B,MATCH(A1710,SETORES!$A:$A,0))</f>
        <v/>
      </c>
      <c r="H1710" s="106" t="inlineStr">
        <is>
          <t>Julho/2026</t>
        </is>
      </c>
    </row>
    <row r="1711" hidden="1" ht="14.25" customHeight="1" s="64">
      <c r="A1711" s="101" t="inlineStr">
        <is>
          <t>Backoffice Comercial Varejo</t>
        </is>
      </c>
      <c r="B1711" s="101" t="inlineStr">
        <is>
          <t>Custo Fixo</t>
        </is>
      </c>
      <c r="C1711" s="101" t="inlineStr">
        <is>
          <t>Stargrid</t>
        </is>
      </c>
      <c r="D1711" s="102" t="n">
        <v>2</v>
      </c>
      <c r="E1711" s="103" t="n">
        <v>2.05</v>
      </c>
      <c r="F1711" s="104">
        <f>IFERROR(D1711*E1711,0)</f>
        <v/>
      </c>
      <c r="G1711" s="101">
        <f>INDEX(SETORES!$B:$B,MATCH(A1711,SETORES!$A:$A,0))</f>
        <v/>
      </c>
      <c r="H1711" s="101" t="inlineStr">
        <is>
          <t>Julho/2026</t>
        </is>
      </c>
    </row>
    <row r="1712" hidden="1" ht="14.25" customHeight="1" s="64">
      <c r="A1712" s="101" t="inlineStr">
        <is>
          <t>Backoffice Comercial Varejo</t>
        </is>
      </c>
      <c r="B1712" s="101" t="inlineStr">
        <is>
          <t>Custo Fixo</t>
        </is>
      </c>
      <c r="C1712" s="101" t="inlineStr">
        <is>
          <t>Despesas com RH</t>
        </is>
      </c>
      <c r="D1712" s="102" t="n">
        <v>2</v>
      </c>
      <c r="E1712" s="103" t="n">
        <v>29.74</v>
      </c>
      <c r="F1712" s="104">
        <f>IFERROR(D1712*E1712,0)</f>
        <v/>
      </c>
      <c r="G1712" s="101">
        <f>INDEX(SETORES!$B:$B,MATCH(A1712,SETORES!$A:$A,0))</f>
        <v/>
      </c>
      <c r="H1712" s="101" t="inlineStr">
        <is>
          <t>Julho/2026</t>
        </is>
      </c>
    </row>
    <row r="1713" hidden="1" ht="14.25" customHeight="1" s="64">
      <c r="A1713" s="101" t="inlineStr">
        <is>
          <t>Backoffice Comercial Varejo</t>
        </is>
      </c>
      <c r="B1713" s="101" t="inlineStr">
        <is>
          <t>Custo Fixo</t>
        </is>
      </c>
      <c r="C1713" s="101" t="inlineStr">
        <is>
          <t>Despesas com DP</t>
        </is>
      </c>
      <c r="D1713" s="102" t="n">
        <v>2</v>
      </c>
      <c r="E1713" s="103" t="n">
        <v>43.54</v>
      </c>
      <c r="F1713" s="104">
        <f>IFERROR(D1713*E1713,0)</f>
        <v/>
      </c>
      <c r="G1713" s="101">
        <f>INDEX(SETORES!$B:$B,MATCH(A1713,SETORES!$A:$A,0))</f>
        <v/>
      </c>
      <c r="H1713" s="101" t="inlineStr">
        <is>
          <t>Julho/2026</t>
        </is>
      </c>
    </row>
    <row r="1714" hidden="1" ht="14.25" customHeight="1" s="64">
      <c r="A1714" s="101" t="inlineStr">
        <is>
          <t>Backoffice Comercial Varejo</t>
        </is>
      </c>
      <c r="B1714" s="101" t="inlineStr">
        <is>
          <t>Custo Fixo</t>
        </is>
      </c>
      <c r="C1714" s="101" t="inlineStr">
        <is>
          <t>Despesas com SST</t>
        </is>
      </c>
      <c r="D1714" s="102" t="n">
        <v>2</v>
      </c>
      <c r="E1714" s="103" t="n">
        <v>47.66</v>
      </c>
      <c r="F1714" s="104">
        <f>IFERROR(D1714*E1714,0)</f>
        <v/>
      </c>
      <c r="G1714" s="101">
        <f>INDEX(SETORES!$B:$B,MATCH(A1714,SETORES!$A:$A,0))</f>
        <v/>
      </c>
      <c r="H1714" s="101" t="inlineStr">
        <is>
          <t>Julho/2026</t>
        </is>
      </c>
    </row>
    <row r="1715" hidden="1" ht="14.25" customHeight="1" s="64">
      <c r="A1715" s="106" t="inlineStr">
        <is>
          <t>Backoffice Comercial Varejo</t>
        </is>
      </c>
      <c r="B1715" s="106" t="inlineStr">
        <is>
          <t>Custo Fixo</t>
        </is>
      </c>
      <c r="C1715" s="106" t="inlineStr">
        <is>
          <t>Licença de e-mail corporativo</t>
        </is>
      </c>
      <c r="D1715" s="107" t="n">
        <v>2</v>
      </c>
      <c r="E1715" s="108" t="n">
        <v>50</v>
      </c>
      <c r="F1715" s="109">
        <f>IFERROR(D1715*E1715,0)</f>
        <v/>
      </c>
      <c r="G1715" s="106">
        <f>INDEX(SETORES!$B:$B,MATCH(A1715,SETORES!$A:$A,0))</f>
        <v/>
      </c>
      <c r="H1715" s="106" t="inlineStr">
        <is>
          <t>Julho/2026</t>
        </is>
      </c>
    </row>
    <row r="1716" hidden="1" ht="14.25" customHeight="1" s="64">
      <c r="A1716" s="101" t="inlineStr">
        <is>
          <t>Backoffice Comercial Varejo</t>
        </is>
      </c>
      <c r="B1716" s="101" t="inlineStr">
        <is>
          <t>Custo Fixo</t>
        </is>
      </c>
      <c r="C1716" s="101" t="inlineStr">
        <is>
          <t>Chip móvel corporativo</t>
        </is>
      </c>
      <c r="D1716" s="102" t="n">
        <v>1</v>
      </c>
      <c r="E1716" s="103" t="n">
        <v>30</v>
      </c>
      <c r="F1716" s="104">
        <f>IFERROR(D1716*E1716,0)</f>
        <v/>
      </c>
      <c r="G1716" s="101">
        <f>INDEX(SETORES!$B:$B,MATCH(A1716,SETORES!$A:$A,0))</f>
        <v/>
      </c>
      <c r="H1716" s="101" t="inlineStr">
        <is>
          <t>Julho/2026</t>
        </is>
      </c>
    </row>
    <row r="1717" hidden="1" ht="14.25" customHeight="1" s="64">
      <c r="A1717" s="106" t="inlineStr">
        <is>
          <t>Serviços Gerais</t>
        </is>
      </c>
      <c r="B1717" s="106" t="inlineStr">
        <is>
          <t>Custo Fixo</t>
        </is>
      </c>
      <c r="C1717" s="106" t="inlineStr">
        <is>
          <t>Gympass</t>
        </is>
      </c>
      <c r="D1717" s="107" t="n">
        <v>6</v>
      </c>
      <c r="E1717" s="108" t="n">
        <v>9.92</v>
      </c>
      <c r="F1717" s="109">
        <f>IFERROR(D1717*E1717,0)</f>
        <v/>
      </c>
      <c r="G1717" s="106">
        <f>INDEX(SETORES!$B:$B,MATCH(A1717,SETORES!$A:$A,0))</f>
        <v/>
      </c>
      <c r="H1717" s="106" t="inlineStr">
        <is>
          <t>Julho/2026</t>
        </is>
      </c>
    </row>
    <row r="1718" hidden="1" ht="14.25" customHeight="1" s="64">
      <c r="A1718" s="101" t="inlineStr">
        <is>
          <t>Serviços Gerais</t>
        </is>
      </c>
      <c r="B1718" s="101" t="inlineStr">
        <is>
          <t>Custo Fixo</t>
        </is>
      </c>
      <c r="C1718" s="101" t="inlineStr">
        <is>
          <t>Stargrid</t>
        </is>
      </c>
      <c r="D1718" s="102" t="n">
        <v>6</v>
      </c>
      <c r="E1718" s="103" t="n">
        <v>2.05</v>
      </c>
      <c r="F1718" s="104">
        <f>IFERROR(D1718*E1718,0)</f>
        <v/>
      </c>
      <c r="G1718" s="101">
        <f>INDEX(SETORES!$B:$B,MATCH(A1718,SETORES!$A:$A,0))</f>
        <v/>
      </c>
      <c r="H1718" s="101" t="inlineStr">
        <is>
          <t>Julho/2026</t>
        </is>
      </c>
    </row>
    <row r="1719" hidden="1" ht="14.25" customHeight="1" s="64">
      <c r="A1719" s="101" t="inlineStr">
        <is>
          <t>Serviços Gerais</t>
        </is>
      </c>
      <c r="B1719" s="101" t="inlineStr">
        <is>
          <t>Custo Fixo</t>
        </is>
      </c>
      <c r="C1719" s="101" t="inlineStr">
        <is>
          <t>Despesas com RH</t>
        </is>
      </c>
      <c r="D1719" s="102" t="n">
        <v>6</v>
      </c>
      <c r="E1719" s="103" t="n">
        <v>29.74</v>
      </c>
      <c r="F1719" s="104">
        <f>IFERROR(D1719*E1719,0)</f>
        <v/>
      </c>
      <c r="G1719" s="101">
        <f>INDEX(SETORES!$B:$B,MATCH(A1719,SETORES!$A:$A,0))</f>
        <v/>
      </c>
      <c r="H1719" s="101" t="inlineStr">
        <is>
          <t>Julho/2026</t>
        </is>
      </c>
    </row>
    <row r="1720" hidden="1" ht="14.25" customHeight="1" s="64">
      <c r="A1720" s="101" t="inlineStr">
        <is>
          <t>Serviços Gerais</t>
        </is>
      </c>
      <c r="B1720" s="101" t="inlineStr">
        <is>
          <t>Custo Fixo</t>
        </is>
      </c>
      <c r="C1720" s="101" t="inlineStr">
        <is>
          <t>Despesas com DP</t>
        </is>
      </c>
      <c r="D1720" s="102" t="n">
        <v>6</v>
      </c>
      <c r="E1720" s="103" t="n">
        <v>43.54</v>
      </c>
      <c r="F1720" s="104">
        <f>IFERROR(D1720*E1720,0)</f>
        <v/>
      </c>
      <c r="G1720" s="101">
        <f>INDEX(SETORES!$B:$B,MATCH(A1720,SETORES!$A:$A,0))</f>
        <v/>
      </c>
      <c r="H1720" s="101" t="inlineStr">
        <is>
          <t>Julho/2026</t>
        </is>
      </c>
    </row>
    <row r="1721" hidden="1" ht="14.25" customHeight="1" s="64">
      <c r="A1721" s="101" t="inlineStr">
        <is>
          <t>Serviços Gerais</t>
        </is>
      </c>
      <c r="B1721" s="101" t="inlineStr">
        <is>
          <t>Custo Fixo</t>
        </is>
      </c>
      <c r="C1721" s="101" t="inlineStr">
        <is>
          <t>Despesas com SST</t>
        </is>
      </c>
      <c r="D1721" s="102" t="n">
        <v>6</v>
      </c>
      <c r="E1721" s="103" t="n">
        <v>47.66</v>
      </c>
      <c r="F1721" s="104">
        <f>IFERROR(D1721*E1721,0)</f>
        <v/>
      </c>
      <c r="G1721" s="101">
        <f>INDEX(SETORES!$B:$B,MATCH(A1721,SETORES!$A:$A,0))</f>
        <v/>
      </c>
      <c r="H1721" s="101" t="inlineStr">
        <is>
          <t>Julho/2026</t>
        </is>
      </c>
    </row>
    <row r="1722" hidden="1" ht="14.25" customHeight="1" s="64">
      <c r="A1722" s="106" t="inlineStr">
        <is>
          <t>Compras</t>
        </is>
      </c>
      <c r="B1722" s="106" t="inlineStr">
        <is>
          <t>Custo Variável</t>
        </is>
      </c>
      <c r="C1722" s="106" t="inlineStr">
        <is>
          <t>Fardamento novo</t>
        </is>
      </c>
      <c r="D1722" s="107" t="n">
        <v>2</v>
      </c>
      <c r="E1722" s="108" t="n">
        <v>45</v>
      </c>
      <c r="F1722" s="109">
        <f>IFERROR(D1722*E1722,0)</f>
        <v/>
      </c>
      <c r="G1722" s="106">
        <f>INDEX(SETORES!$B:$B,MATCH(A1722,SETORES!$A:$A,0))</f>
        <v/>
      </c>
      <c r="H1722" s="106" t="inlineStr">
        <is>
          <t>Julho/2026</t>
        </is>
      </c>
    </row>
    <row r="1723" hidden="1" ht="14.25" customHeight="1" s="64">
      <c r="A1723" s="101" t="inlineStr">
        <is>
          <t>Fique Móvel</t>
        </is>
      </c>
      <c r="B1723" s="101" t="inlineStr">
        <is>
          <t>Custo Variável</t>
        </is>
      </c>
      <c r="C1723" s="101" t="inlineStr">
        <is>
          <t>Fardamento novo</t>
        </is>
      </c>
      <c r="D1723" s="102" t="n">
        <v>2</v>
      </c>
      <c r="E1723" s="103" t="n">
        <v>45</v>
      </c>
      <c r="F1723" s="104">
        <f>IFERROR(D1723*E1723,0)</f>
        <v/>
      </c>
      <c r="G1723" s="101">
        <f>INDEX(SETORES!$B:$B,MATCH(A1723,SETORES!$A:$A,0))</f>
        <v/>
      </c>
      <c r="H1723" s="101" t="inlineStr">
        <is>
          <t>Julho/2026</t>
        </is>
      </c>
    </row>
    <row r="1724" hidden="1" ht="14.25" customHeight="1" s="64">
      <c r="A1724" s="106" t="inlineStr">
        <is>
          <t>Manutenção Predial</t>
        </is>
      </c>
      <c r="B1724" s="106" t="inlineStr">
        <is>
          <t>Custo Variável</t>
        </is>
      </c>
      <c r="C1724" s="106" t="inlineStr">
        <is>
          <t>Fardamento novo</t>
        </is>
      </c>
      <c r="D1724" s="107" t="n">
        <v>3</v>
      </c>
      <c r="E1724" s="108" t="n">
        <v>30</v>
      </c>
      <c r="F1724" s="109">
        <f>IFERROR(D1724*E1724,0)</f>
        <v/>
      </c>
      <c r="G1724" s="106">
        <f>INDEX(SETORES!$B:$B,MATCH(A1724,SETORES!$A:$A,0))</f>
        <v/>
      </c>
      <c r="H1724" s="106" t="inlineStr">
        <is>
          <t>Julho/2026</t>
        </is>
      </c>
    </row>
    <row r="1725" hidden="1" ht="14.25" customHeight="1" s="64">
      <c r="A1725" s="101" t="inlineStr">
        <is>
          <t>Manutenção Predial</t>
        </is>
      </c>
      <c r="B1725" s="101" t="inlineStr">
        <is>
          <t>Custo Variável</t>
        </is>
      </c>
      <c r="C1725" s="101" t="inlineStr">
        <is>
          <t>Fardamento substituição</t>
        </is>
      </c>
      <c r="D1725" s="102" t="n">
        <v>1</v>
      </c>
      <c r="E1725" s="103" t="n">
        <v>45</v>
      </c>
      <c r="F1725" s="104">
        <f>IFERROR(D1725*E1725,0)</f>
        <v/>
      </c>
      <c r="G1725" s="101">
        <f>INDEX(SETORES!$B:$B,MATCH(A1725,SETORES!$A:$A,0))</f>
        <v/>
      </c>
      <c r="H1725" s="101" t="inlineStr">
        <is>
          <t>Julho/2026</t>
        </is>
      </c>
    </row>
    <row r="1726" hidden="1" ht="14.25" customHeight="1" s="64">
      <c r="A1726" s="106" t="inlineStr">
        <is>
          <t>Marketing</t>
        </is>
      </c>
      <c r="B1726" s="106" t="inlineStr">
        <is>
          <t>Custo Variável</t>
        </is>
      </c>
      <c r="C1726" s="106" t="inlineStr">
        <is>
          <t>Fardamento novo</t>
        </is>
      </c>
      <c r="D1726" s="107" t="n">
        <v>2</v>
      </c>
      <c r="E1726" s="108" t="n">
        <v>45</v>
      </c>
      <c r="F1726" s="109">
        <f>IFERROR(D1726*E1726,0)</f>
        <v/>
      </c>
      <c r="G1726" s="106">
        <f>INDEX(SETORES!$B:$B,MATCH(A1726,SETORES!$A:$A,0))</f>
        <v/>
      </c>
      <c r="H1726" s="106" t="inlineStr">
        <is>
          <t>Julho/2026</t>
        </is>
      </c>
    </row>
    <row r="1727" hidden="1" ht="14.25" customHeight="1" s="64">
      <c r="A1727" s="101" t="inlineStr">
        <is>
          <t>Serviços Gerais</t>
        </is>
      </c>
      <c r="B1727" s="101" t="inlineStr">
        <is>
          <t>Custo Variável</t>
        </is>
      </c>
      <c r="C1727" s="101" t="inlineStr">
        <is>
          <t>Fardamento substituição</t>
        </is>
      </c>
      <c r="D1727" s="102" t="n">
        <v>4</v>
      </c>
      <c r="E1727" s="103" t="n">
        <v>121.25</v>
      </c>
      <c r="F1727" s="104">
        <f>IFERROR(D1727*E1727,0)</f>
        <v/>
      </c>
      <c r="G1727" s="101">
        <f>INDEX(SETORES!$B:$B,MATCH(A1727,SETORES!$A:$A,0))</f>
        <v/>
      </c>
      <c r="H1727" s="101" t="inlineStr">
        <is>
          <t>Julho/2026</t>
        </is>
      </c>
    </row>
    <row r="1728" hidden="1" ht="14.25" customHeight="1" s="64">
      <c r="A1728" s="106" t="inlineStr">
        <is>
          <t>Suporte da Central</t>
        </is>
      </c>
      <c r="B1728" s="106" t="inlineStr">
        <is>
          <t>Custo Variável</t>
        </is>
      </c>
      <c r="C1728" s="106" t="inlineStr">
        <is>
          <t>Fardamento novo</t>
        </is>
      </c>
      <c r="D1728" s="107" t="n">
        <v>2</v>
      </c>
      <c r="E1728" s="108" t="n">
        <v>45</v>
      </c>
      <c r="F1728" s="109">
        <f>IFERROR(D1728*E1728,0)</f>
        <v/>
      </c>
      <c r="G1728" s="106">
        <f>INDEX(SETORES!$B:$B,MATCH(A1728,SETORES!$A:$A,0))</f>
        <v/>
      </c>
      <c r="H1728" s="106" t="inlineStr">
        <is>
          <t>Julho/2026</t>
        </is>
      </c>
    </row>
    <row r="1729" hidden="1" ht="14.25" customHeight="1" s="64">
      <c r="A1729" s="101" t="inlineStr">
        <is>
          <t>Suporte Orbix</t>
        </is>
      </c>
      <c r="B1729" s="101" t="inlineStr">
        <is>
          <t>Custo Variável</t>
        </is>
      </c>
      <c r="C1729" s="101" t="inlineStr">
        <is>
          <t>Fardamento substituição</t>
        </is>
      </c>
      <c r="D1729" s="102" t="n">
        <v>1</v>
      </c>
      <c r="E1729" s="103" t="n">
        <v>68</v>
      </c>
      <c r="F1729" s="104">
        <f>IFERROR(D1729*E1729,0)</f>
        <v/>
      </c>
      <c r="G1729" s="101">
        <f>INDEX(SETORES!$B:$B,MATCH(A1729,SETORES!$A:$A,0))</f>
        <v/>
      </c>
      <c r="H1729" s="101" t="inlineStr">
        <is>
          <t>Julho/2026</t>
        </is>
      </c>
    </row>
    <row r="1730" hidden="1" ht="14.25" customHeight="1" s="64">
      <c r="A1730" s="106" t="inlineStr">
        <is>
          <t>Televendas</t>
        </is>
      </c>
      <c r="B1730" s="106" t="inlineStr">
        <is>
          <t>Custo Variável</t>
        </is>
      </c>
      <c r="C1730" s="106" t="inlineStr">
        <is>
          <t>Fardamento novo</t>
        </is>
      </c>
      <c r="D1730" s="107" t="n">
        <v>2</v>
      </c>
      <c r="E1730" s="108" t="n">
        <v>68</v>
      </c>
      <c r="F1730" s="109">
        <f>IFERROR(D1730*E1730,0)</f>
        <v/>
      </c>
      <c r="G1730" s="106">
        <f>INDEX(SETORES!$B:$B,MATCH(A1730,SETORES!$A:$A,0))</f>
        <v/>
      </c>
      <c r="H1730" s="106" t="inlineStr">
        <is>
          <t>Julho/2026</t>
        </is>
      </c>
    </row>
    <row r="1731" hidden="1" ht="14.25" customHeight="1" s="64">
      <c r="A1731" s="101" t="inlineStr">
        <is>
          <t>TIC</t>
        </is>
      </c>
      <c r="B1731" s="101" t="inlineStr">
        <is>
          <t>Custo Variável</t>
        </is>
      </c>
      <c r="C1731" s="101" t="inlineStr">
        <is>
          <t>Fardamento novo</t>
        </is>
      </c>
      <c r="D1731" s="102" t="n">
        <v>4</v>
      </c>
      <c r="E1731" s="103" t="n">
        <v>45</v>
      </c>
      <c r="F1731" s="104">
        <f>IFERROR(D1731*E1731,0)</f>
        <v/>
      </c>
      <c r="G1731" s="101">
        <f>INDEX(SETORES!$B:$B,MATCH(A1731,SETORES!$A:$A,0))</f>
        <v/>
      </c>
      <c r="H1731" s="101" t="inlineStr">
        <is>
          <t>Julho/2026</t>
        </is>
      </c>
    </row>
    <row r="1732" hidden="1" ht="14.25" customHeight="1" s="64">
      <c r="A1732" s="101" t="inlineStr">
        <is>
          <t>Televendas</t>
        </is>
      </c>
      <c r="B1732" s="101" t="inlineStr">
        <is>
          <t>Custo Fixo</t>
        </is>
      </c>
      <c r="C1732" s="101" t="inlineStr">
        <is>
          <t>Software MATRIX (rateio equipe Relacionamento)</t>
        </is>
      </c>
      <c r="D1732" s="102" t="n">
        <v>1</v>
      </c>
      <c r="E1732" s="103" t="n">
        <v>719.456231</v>
      </c>
      <c r="F1732" s="104">
        <f>IFERROR(D1732*E1732,0)</f>
        <v/>
      </c>
      <c r="G1732" s="101">
        <f>INDEX(SETORES!$B:$B,MATCH(A1732,SETORES!$A:$A,0))</f>
        <v/>
      </c>
      <c r="H1732" s="101" t="inlineStr">
        <is>
          <t>Julho/2026</t>
        </is>
      </c>
    </row>
    <row r="1733" hidden="1" ht="14.25" customHeight="1" s="64">
      <c r="A1733" s="106" t="inlineStr">
        <is>
          <t>Cozinha</t>
        </is>
      </c>
      <c r="B1733" s="106" t="inlineStr">
        <is>
          <t>Custo Fixo</t>
        </is>
      </c>
      <c r="C1733" s="106" t="inlineStr">
        <is>
          <t>Custo de gestão administrativa (rateado — Cryslaine Fonseca Rosal)</t>
        </is>
      </c>
      <c r="D1733" s="107" t="n">
        <v>1</v>
      </c>
      <c r="E1733" s="108" t="n">
        <v>885.85</v>
      </c>
      <c r="F1733" s="109">
        <f>IFERROR(D1733*E1733,0)</f>
        <v/>
      </c>
      <c r="G1733" s="106" t="inlineStr">
        <is>
          <t>Funcionários</t>
        </is>
      </c>
      <c r="H1733" s="106" t="inlineStr">
        <is>
          <t>Julho/2026</t>
        </is>
      </c>
    </row>
    <row r="1734" hidden="1" ht="14.25" customHeight="1" s="64">
      <c r="A1734" s="101" t="inlineStr">
        <is>
          <t>Cozinha</t>
        </is>
      </c>
      <c r="B1734" s="101" t="inlineStr">
        <is>
          <t>Custo Fixo</t>
        </is>
      </c>
      <c r="C1734" s="101" t="inlineStr">
        <is>
          <t>Gympass</t>
        </is>
      </c>
      <c r="D1734" s="102" t="n">
        <v>5</v>
      </c>
      <c r="E1734" s="103" t="n">
        <v>9.92</v>
      </c>
      <c r="F1734" s="104">
        <f>IFERROR(D1734*E1734,0)</f>
        <v/>
      </c>
      <c r="G1734" s="101" t="inlineStr">
        <is>
          <t>Funcionários</t>
        </is>
      </c>
      <c r="H1734" s="101" t="inlineStr">
        <is>
          <t>Julho/2026</t>
        </is>
      </c>
    </row>
    <row r="1735" hidden="1" ht="14.25" customHeight="1" s="64">
      <c r="A1735" s="106" t="inlineStr">
        <is>
          <t>Cozinha</t>
        </is>
      </c>
      <c r="B1735" s="106" t="inlineStr">
        <is>
          <t>Custo Fixo</t>
        </is>
      </c>
      <c r="C1735" s="106" t="inlineStr">
        <is>
          <t>Stargrid</t>
        </is>
      </c>
      <c r="D1735" s="107" t="n">
        <v>5</v>
      </c>
      <c r="E1735" s="108" t="n">
        <v>2.05</v>
      </c>
      <c r="F1735" s="109">
        <f>IFERROR(D1735*E1735,0)</f>
        <v/>
      </c>
      <c r="G1735" s="106" t="inlineStr">
        <is>
          <t>Funcionários</t>
        </is>
      </c>
      <c r="H1735" s="106" t="inlineStr">
        <is>
          <t>Julho/2026</t>
        </is>
      </c>
    </row>
    <row r="1736" hidden="1" ht="14.25" customHeight="1" s="64">
      <c r="A1736" s="106" t="inlineStr">
        <is>
          <t>Cozinha</t>
        </is>
      </c>
      <c r="B1736" s="106" t="inlineStr">
        <is>
          <t>Custo Fixo</t>
        </is>
      </c>
      <c r="C1736" s="106" t="inlineStr">
        <is>
          <t>Despesas com RH</t>
        </is>
      </c>
      <c r="D1736" s="107" t="n">
        <v>5</v>
      </c>
      <c r="E1736" s="108" t="n">
        <v>29.74</v>
      </c>
      <c r="F1736" s="109">
        <f>IFERROR(D1736*E1736,0)</f>
        <v/>
      </c>
      <c r="G1736" s="106" t="inlineStr">
        <is>
          <t>Funcionários</t>
        </is>
      </c>
      <c r="H1736" s="106" t="inlineStr">
        <is>
          <t>Julho/2026</t>
        </is>
      </c>
    </row>
    <row r="1737" hidden="1" ht="14.25" customHeight="1" s="64">
      <c r="A1737" s="101" t="inlineStr">
        <is>
          <t>Cozinha</t>
        </is>
      </c>
      <c r="B1737" s="101" t="inlineStr">
        <is>
          <t>Custo Fixo</t>
        </is>
      </c>
      <c r="C1737" s="101" t="inlineStr">
        <is>
          <t>Despesas com DP</t>
        </is>
      </c>
      <c r="D1737" s="102" t="n">
        <v>5</v>
      </c>
      <c r="E1737" s="103" t="n">
        <v>43.54</v>
      </c>
      <c r="F1737" s="104">
        <f>IFERROR(D1737*E1737,0)</f>
        <v/>
      </c>
      <c r="G1737" s="101" t="inlineStr">
        <is>
          <t>Funcionários</t>
        </is>
      </c>
      <c r="H1737" s="101" t="inlineStr">
        <is>
          <t>Julho/2026</t>
        </is>
      </c>
    </row>
    <row r="1738" hidden="1" ht="14.25" customHeight="1" s="64">
      <c r="A1738" s="106" t="inlineStr">
        <is>
          <t>Cozinha</t>
        </is>
      </c>
      <c r="B1738" s="106" t="inlineStr">
        <is>
          <t>Custo Fixo</t>
        </is>
      </c>
      <c r="C1738" s="106" t="inlineStr">
        <is>
          <t>Despesas com SST</t>
        </is>
      </c>
      <c r="D1738" s="107" t="n">
        <v>5</v>
      </c>
      <c r="E1738" s="108" t="n">
        <v>47.66</v>
      </c>
      <c r="F1738" s="109">
        <f>IFERROR(D1738*E1738,0)</f>
        <v/>
      </c>
      <c r="G1738" s="106" t="inlineStr">
        <is>
          <t>Funcionários</t>
        </is>
      </c>
      <c r="H1738" s="106" t="inlineStr">
        <is>
          <t>Julho/2026</t>
        </is>
      </c>
    </row>
    <row r="1739" hidden="1" ht="14.25" customHeight="1" s="64">
      <c r="A1739" s="101" t="inlineStr">
        <is>
          <t>Cozinha</t>
        </is>
      </c>
      <c r="B1739" s="101" t="inlineStr">
        <is>
          <t>Custo Variável</t>
        </is>
      </c>
      <c r="C1739" s="101" t="inlineStr">
        <is>
          <t>Alimentação (compras semanais para a cozinha)</t>
        </is>
      </c>
      <c r="D1739" s="102" t="n">
        <v>1</v>
      </c>
      <c r="E1739" s="103" t="n">
        <v>89474.31</v>
      </c>
      <c r="F1739" s="104">
        <f>IFERROR(E1739,0)</f>
        <v/>
      </c>
      <c r="G1739" s="101" t="inlineStr">
        <is>
          <t>Funcionários</t>
        </is>
      </c>
      <c r="H1739" s="101" t="inlineStr">
        <is>
          <t>Julho/2026</t>
        </is>
      </c>
    </row>
    <row r="1740" hidden="1" ht="14.25" customHeight="1" s="64">
      <c r="A1740" s="106" t="inlineStr">
        <is>
          <t>Cozinha</t>
        </is>
      </c>
      <c r="B1740" s="106" t="inlineStr">
        <is>
          <t>Custo Variável</t>
        </is>
      </c>
      <c r="C1740" s="106" t="inlineStr">
        <is>
          <t>Material de limpeza (compras mensais para distribuição — Cozinha)</t>
        </is>
      </c>
      <c r="D1740" s="107" t="n">
        <v>1</v>
      </c>
      <c r="E1740" s="108" t="n">
        <v>1800.06</v>
      </c>
      <c r="F1740" s="109">
        <f>IFERROR(E1740,0)</f>
        <v/>
      </c>
      <c r="G1740" s="106" t="inlineStr">
        <is>
          <t>Funcionários</t>
        </is>
      </c>
      <c r="H1740" s="106" t="inlineStr">
        <is>
          <t>Julho/2026</t>
        </is>
      </c>
    </row>
    <row r="1741" hidden="1" ht="14.25" customHeight="1" s="64">
      <c r="A1741" s="101" t="inlineStr">
        <is>
          <t>Cozinha</t>
        </is>
      </c>
      <c r="B1741" s="101" t="inlineStr">
        <is>
          <t>Custo Variável</t>
        </is>
      </c>
      <c r="C1741" s="101" t="inlineStr">
        <is>
          <t>Gás de cozinha (compras mensais para a cozinha)</t>
        </is>
      </c>
      <c r="D1741" s="102" t="n">
        <v>1</v>
      </c>
      <c r="E1741" s="103" t="n">
        <v>1170</v>
      </c>
      <c r="F1741" s="104">
        <f>IFERROR(E1741,0)</f>
        <v/>
      </c>
      <c r="G1741" s="101" t="inlineStr">
        <is>
          <t>Funcionários</t>
        </is>
      </c>
      <c r="H1741" s="101" t="inlineStr">
        <is>
          <t>Julho/2026</t>
        </is>
      </c>
    </row>
    <row r="1742" hidden="1" ht="14.25" customHeight="1" s="64">
      <c r="A1742" s="106" t="inlineStr">
        <is>
          <t>Cozinha</t>
        </is>
      </c>
      <c r="B1742" s="106" t="inlineStr">
        <is>
          <t>Custo Variável</t>
        </is>
      </c>
      <c r="C1742" s="106" t="inlineStr">
        <is>
          <t>Crédito — Refeições pagas pelos colaboradores (valor simbólico, Refeitório)</t>
        </is>
      </c>
      <c r="D1742" s="107" t="n">
        <v>1</v>
      </c>
      <c r="E1742" s="108" t="n">
        <v>-12600</v>
      </c>
      <c r="F1742" s="109">
        <f>IFERROR(E1742,0)</f>
        <v/>
      </c>
      <c r="G1742" s="106" t="inlineStr">
        <is>
          <t>Funcionários</t>
        </is>
      </c>
      <c r="H1742" s="106" t="inlineStr">
        <is>
          <t>Julho/2026</t>
        </is>
      </c>
    </row>
    <row r="1743" hidden="1" ht="14.25" customHeight="1" s="64">
      <c r="A1743" s="101" t="inlineStr">
        <is>
          <t>Desenvolvimento</t>
        </is>
      </c>
      <c r="B1743" s="101" t="inlineStr">
        <is>
          <t>Custo Fixo</t>
        </is>
      </c>
      <c r="C1743" s="101" t="inlineStr">
        <is>
          <t>Folha de pagamento (salários)</t>
        </is>
      </c>
      <c r="D1743" s="102" t="n">
        <v>1</v>
      </c>
      <c r="E1743" s="103" t="n">
        <v>18352.58</v>
      </c>
      <c r="F1743" s="104">
        <f>D1743*E1743</f>
        <v/>
      </c>
      <c r="G1743" s="101" t="n"/>
      <c r="H1743" s="101" t="inlineStr">
        <is>
          <t>Maio/2026</t>
        </is>
      </c>
    </row>
    <row r="1744" hidden="1" ht="14.25" customHeight="1" s="64">
      <c r="A1744" s="101" t="inlineStr">
        <is>
          <t>Desenvolvimento</t>
        </is>
      </c>
      <c r="B1744" s="101" t="inlineStr">
        <is>
          <t>Custo Fixo</t>
        </is>
      </c>
      <c r="C1744" s="101" t="inlineStr">
        <is>
          <t>Folha de pagamento (salários)</t>
        </is>
      </c>
      <c r="D1744" s="102" t="n">
        <v>1</v>
      </c>
      <c r="E1744" s="103" t="n">
        <v>20632.94</v>
      </c>
      <c r="F1744" s="104">
        <f>D1744*E1744</f>
        <v/>
      </c>
      <c r="G1744" s="101" t="n"/>
      <c r="H1744" s="101" t="inlineStr">
        <is>
          <t>Junho/2026</t>
        </is>
      </c>
    </row>
    <row r="1745" hidden="1" ht="14.25" customHeight="1" s="64">
      <c r="A1745" s="101" t="inlineStr">
        <is>
          <t>Desenvolvimento</t>
        </is>
      </c>
      <c r="B1745" s="101" t="inlineStr">
        <is>
          <t>Custo Fixo</t>
        </is>
      </c>
      <c r="C1745" s="101" t="inlineStr">
        <is>
          <t>Folha de pagamento (salários)</t>
        </is>
      </c>
      <c r="D1745" s="102" t="n">
        <v>1</v>
      </c>
      <c r="E1745" s="103" t="n">
        <v>20362.12</v>
      </c>
      <c r="F1745" s="104">
        <f>D1745*E1745</f>
        <v/>
      </c>
      <c r="G1745" s="101" t="n"/>
      <c r="H1745" s="101" t="inlineStr">
        <is>
          <t>Julho/2026</t>
        </is>
      </c>
    </row>
    <row r="1746" hidden="1" ht="14.25" customHeight="1" s="64">
      <c r="A1746" s="106" t="inlineStr">
        <is>
          <t>Logística</t>
        </is>
      </c>
      <c r="B1746" s="106" t="inlineStr">
        <is>
          <t>Custo Fixo</t>
        </is>
      </c>
      <c r="C1746" s="106" t="inlineStr">
        <is>
          <t>Custo de gestão administrativa (rateado — Demetrius Ribeiro de Aquino)</t>
        </is>
      </c>
      <c r="D1746" s="107" t="n">
        <v>1</v>
      </c>
      <c r="E1746" s="108" t="n">
        <v>9389.277631999999</v>
      </c>
      <c r="F1746" s="109" t="n">
        <v>9389.277631999999</v>
      </c>
      <c r="G1746" s="106" t="inlineStr">
        <is>
          <t>Clientes</t>
        </is>
      </c>
      <c r="H1746" s="106" t="inlineStr">
        <is>
          <t>Maio/2026</t>
        </is>
      </c>
    </row>
    <row r="1747" hidden="1" ht="14.25" customHeight="1" s="64">
      <c r="A1747" s="106" t="inlineStr">
        <is>
          <t>Oficina</t>
        </is>
      </c>
      <c r="B1747" s="106" t="inlineStr">
        <is>
          <t>Custo Fixo</t>
        </is>
      </c>
      <c r="C1747" s="106" t="inlineStr">
        <is>
          <t>Custo de gestão administrativa (rateado — Demetrius Ribeiro de Aquino)</t>
        </is>
      </c>
      <c r="D1747" s="107" t="n">
        <v>1</v>
      </c>
      <c r="E1747" s="108" t="n">
        <v>3129.759211</v>
      </c>
      <c r="F1747" s="109" t="n">
        <v>3129.759211</v>
      </c>
      <c r="G1747" s="106" t="inlineStr">
        <is>
          <t>Clientes</t>
        </is>
      </c>
      <c r="H1747" s="106" t="inlineStr">
        <is>
          <t>Maio/2026</t>
        </is>
      </c>
    </row>
    <row r="1748" hidden="1" ht="14.25" customHeight="1" s="64">
      <c r="A1748" s="106" t="inlineStr">
        <is>
          <t>Logística</t>
        </is>
      </c>
      <c r="B1748" s="106" t="inlineStr">
        <is>
          <t>Custo Fixo</t>
        </is>
      </c>
      <c r="C1748" s="106" t="inlineStr">
        <is>
          <t>Custo de gestão administrativa (rateado — Demetrius Ribeiro de Aquino)</t>
        </is>
      </c>
      <c r="D1748" s="107" t="n">
        <v>1</v>
      </c>
      <c r="E1748" s="108" t="n">
        <v>13318.46125</v>
      </c>
      <c r="F1748" s="109" t="n">
        <v>13318.46125</v>
      </c>
      <c r="G1748" s="106" t="inlineStr">
        <is>
          <t>Clientes</t>
        </is>
      </c>
      <c r="H1748" s="106" t="inlineStr">
        <is>
          <t>Junho/2026</t>
        </is>
      </c>
    </row>
    <row r="1749" hidden="1" ht="14.25" customHeight="1" s="64">
      <c r="A1749" s="106" t="inlineStr">
        <is>
          <t>Oficina</t>
        </is>
      </c>
      <c r="B1749" s="106" t="inlineStr">
        <is>
          <t>Custo Fixo</t>
        </is>
      </c>
      <c r="C1749" s="106" t="inlineStr">
        <is>
          <t>Custo de gestão administrativa (rateado — Demetrius Ribeiro de Aquino)</t>
        </is>
      </c>
      <c r="D1749" s="107" t="n">
        <v>1</v>
      </c>
      <c r="E1749" s="108" t="n">
        <v>3805.274643</v>
      </c>
      <c r="F1749" s="109" t="n">
        <v>3805.274643</v>
      </c>
      <c r="G1749" s="106" t="inlineStr">
        <is>
          <t>Clientes</t>
        </is>
      </c>
      <c r="H1749" s="106" t="inlineStr">
        <is>
          <t>Junho/2026</t>
        </is>
      </c>
    </row>
    <row r="1750" hidden="1" ht="14.25" customHeight="1" s="64">
      <c r="A1750" s="106" t="inlineStr">
        <is>
          <t>Logística</t>
        </is>
      </c>
      <c r="B1750" s="106" t="inlineStr">
        <is>
          <t>Custo Fixo</t>
        </is>
      </c>
      <c r="C1750" s="106" t="inlineStr">
        <is>
          <t>Custo de gestão administrativa (rateado — Demetrius Ribeiro de Aquino)</t>
        </is>
      </c>
      <c r="D1750" s="107" t="n">
        <v>1</v>
      </c>
      <c r="E1750" s="108" t="n">
        <v>10847.070633</v>
      </c>
      <c r="F1750" s="109" t="n">
        <v>10847.070633</v>
      </c>
      <c r="G1750" s="106" t="inlineStr">
        <is>
          <t>Clientes</t>
        </is>
      </c>
      <c r="H1750" s="106" t="inlineStr">
        <is>
          <t>Julho/2026</t>
        </is>
      </c>
    </row>
    <row r="1751" hidden="1" ht="14.25" customHeight="1" s="64">
      <c r="A1751" s="106" t="inlineStr">
        <is>
          <t>Oficina</t>
        </is>
      </c>
      <c r="B1751" s="106" t="inlineStr">
        <is>
          <t>Custo Fixo</t>
        </is>
      </c>
      <c r="C1751" s="106" t="inlineStr">
        <is>
          <t>Custo de gestão administrativa (rateado — Demetrius Ribeiro de Aquino)</t>
        </is>
      </c>
      <c r="D1751" s="107" t="n">
        <v>1</v>
      </c>
      <c r="E1751" s="108" t="n">
        <v>3099.163038</v>
      </c>
      <c r="F1751" s="109" t="n">
        <v>3099.163038</v>
      </c>
      <c r="G1751" s="106" t="inlineStr">
        <is>
          <t>Clientes</t>
        </is>
      </c>
      <c r="H1751" s="106" t="inlineStr">
        <is>
          <t>Julho/2026</t>
        </is>
      </c>
    </row>
    <row r="1752" hidden="1" ht="14.25" customHeight="1" s="64">
      <c r="A1752" s="110" t="inlineStr">
        <is>
          <t>Configuração</t>
        </is>
      </c>
      <c r="B1752" s="110" t="inlineStr">
        <is>
          <t>Custo Fixo</t>
        </is>
      </c>
      <c r="C1752" s="110" t="inlineStr">
        <is>
          <t>Folha de pagamento (salários)</t>
        </is>
      </c>
      <c r="D1752" s="110" t="n">
        <v>1</v>
      </c>
      <c r="E1752" s="110" t="n">
        <v>35280.97</v>
      </c>
      <c r="F1752" s="110">
        <f>D1752*E1752</f>
        <v/>
      </c>
      <c r="G1752" s="110" t="inlineStr">
        <is>
          <t>Clientes</t>
        </is>
      </c>
      <c r="H1752" s="110" t="inlineStr">
        <is>
          <t>Maio/2026</t>
        </is>
      </c>
    </row>
    <row r="1753" hidden="1" ht="14.25" customHeight="1" s="64">
      <c r="A1753" s="110" t="inlineStr">
        <is>
          <t>Configuração</t>
        </is>
      </c>
      <c r="B1753" s="110" t="inlineStr">
        <is>
          <t>Custo Fixo</t>
        </is>
      </c>
      <c r="C1753" s="110" t="inlineStr">
        <is>
          <t>Folha de pagamento (salários)</t>
        </is>
      </c>
      <c r="D1753" s="110" t="n">
        <v>1</v>
      </c>
      <c r="E1753" s="110" t="n">
        <v>45450.81</v>
      </c>
      <c r="F1753" s="110">
        <f>D1753*E1753</f>
        <v/>
      </c>
      <c r="G1753" s="110" t="inlineStr">
        <is>
          <t>Clientes</t>
        </is>
      </c>
      <c r="H1753" s="110" t="inlineStr">
        <is>
          <t>Junho/2026</t>
        </is>
      </c>
    </row>
    <row r="1754" hidden="1" ht="14.25" customHeight="1" s="64">
      <c r="A1754" s="110" t="inlineStr">
        <is>
          <t>Configuração</t>
        </is>
      </c>
      <c r="B1754" s="110" t="inlineStr">
        <is>
          <t>Custo Fixo</t>
        </is>
      </c>
      <c r="C1754" s="110" t="inlineStr">
        <is>
          <t>Folha de pagamento (salários)</t>
        </is>
      </c>
      <c r="D1754" s="110" t="n">
        <v>1</v>
      </c>
      <c r="E1754" s="110" t="n">
        <v>38158.16</v>
      </c>
      <c r="F1754" s="110">
        <f>D1754*E1754</f>
        <v/>
      </c>
      <c r="G1754" s="110" t="inlineStr">
        <is>
          <t>Clientes</t>
        </is>
      </c>
      <c r="H1754" s="110" t="inlineStr">
        <is>
          <t>Julho/2026</t>
        </is>
      </c>
    </row>
    <row r="1755" hidden="1" ht="14.25" customHeight="1" s="64">
      <c r="A1755" s="110" t="inlineStr">
        <is>
          <t>Cozinha</t>
        </is>
      </c>
      <c r="B1755" s="110" t="inlineStr">
        <is>
          <t>Custo Variável</t>
        </is>
      </c>
      <c r="C1755" s="110" t="inlineStr">
        <is>
          <t>Rescisões trabalhistas</t>
        </is>
      </c>
      <c r="D1755" s="110" t="n">
        <v>1</v>
      </c>
      <c r="E1755" s="110" t="n">
        <v>11025.81</v>
      </c>
      <c r="F1755" s="110">
        <f>D1755*E1755</f>
        <v/>
      </c>
      <c r="G1755" s="110" t="inlineStr">
        <is>
          <t>Funcionários</t>
        </is>
      </c>
      <c r="H1755" s="110" t="inlineStr">
        <is>
          <t>Julho/2026</t>
        </is>
      </c>
    </row>
    <row r="1756" hidden="1" ht="14.25" customHeight="1" s="64">
      <c r="A1756" s="110" t="inlineStr">
        <is>
          <t>Marketing</t>
        </is>
      </c>
      <c r="B1756" s="110" t="inlineStr">
        <is>
          <t>Custo Variável</t>
        </is>
      </c>
      <c r="C1756" s="110" t="inlineStr">
        <is>
          <t>Rescisões trabalhistas</t>
        </is>
      </c>
      <c r="D1756" s="110" t="n">
        <v>1</v>
      </c>
      <c r="E1756" s="110" t="n">
        <v>9553.58</v>
      </c>
      <c r="F1756" s="110">
        <f>D1756*E1756</f>
        <v/>
      </c>
      <c r="G1756" s="110" t="inlineStr">
        <is>
          <t>Clientes</t>
        </is>
      </c>
      <c r="H1756" s="110" t="inlineStr">
        <is>
          <t>Julho/2026</t>
        </is>
      </c>
    </row>
    <row r="1757" hidden="1" ht="14.25" customHeight="1" s="64">
      <c r="A1757" s="110" t="inlineStr">
        <is>
          <t>Configuração</t>
        </is>
      </c>
      <c r="B1757" s="110" t="inlineStr">
        <is>
          <t>Custo Variável</t>
        </is>
      </c>
      <c r="C1757" s="110" t="inlineStr">
        <is>
          <t>Rescisões trabalhistas</t>
        </is>
      </c>
      <c r="D1757" s="110" t="n">
        <v>1</v>
      </c>
      <c r="E1757" s="110" t="n">
        <v>8880.360000000001</v>
      </c>
      <c r="F1757" s="110">
        <f>D1757*E1757</f>
        <v/>
      </c>
      <c r="G1757" s="110" t="inlineStr">
        <is>
          <t>Clientes</t>
        </is>
      </c>
      <c r="H1757" s="110" t="inlineStr">
        <is>
          <t>Julho/2026</t>
        </is>
      </c>
    </row>
    <row r="1758" ht="14.25" customHeight="1" s="64">
      <c r="A1758" s="110" t="inlineStr">
        <is>
          <t>Administrativo</t>
        </is>
      </c>
      <c r="B1758" s="110" t="inlineStr">
        <is>
          <t>Custo Fixo</t>
        </is>
      </c>
      <c r="C1758" s="110" t="inlineStr">
        <is>
          <t>Software de sistema eletronico de alarme</t>
        </is>
      </c>
      <c r="D1758" s="110" t="n">
        <v>1</v>
      </c>
      <c r="E1758" s="110" t="n">
        <v>436</v>
      </c>
      <c r="F1758" s="110">
        <f>D1758*E1758</f>
        <v/>
      </c>
      <c r="G1758" s="110" t="inlineStr">
        <is>
          <t>Funcionários</t>
        </is>
      </c>
      <c r="H1758" s="110" t="inlineStr">
        <is>
          <t>Maio/2026</t>
        </is>
      </c>
    </row>
    <row r="1759" ht="14.25" customHeight="1" s="64">
      <c r="A1759" s="110" t="inlineStr">
        <is>
          <t>Administrativo</t>
        </is>
      </c>
      <c r="B1759" s="110" t="inlineStr">
        <is>
          <t>Custo Fixo</t>
        </is>
      </c>
      <c r="C1759" s="110" t="inlineStr">
        <is>
          <t>Software de sistema eletronico de alarme</t>
        </is>
      </c>
      <c r="D1759" s="110" t="n">
        <v>1</v>
      </c>
      <c r="E1759" s="110" t="n">
        <v>436</v>
      </c>
      <c r="F1759" s="110">
        <f>D1759*E1759</f>
        <v/>
      </c>
      <c r="G1759" s="110" t="inlineStr">
        <is>
          <t>Funcionários</t>
        </is>
      </c>
      <c r="H1759" s="110" t="inlineStr">
        <is>
          <t>Junho/2026</t>
        </is>
      </c>
    </row>
    <row r="1760" hidden="1" ht="14.25" customHeight="1" s="64">
      <c r="A1760" s="106" t="inlineStr">
        <is>
          <t>Gestão de Atendimento</t>
        </is>
      </c>
      <c r="B1760" s="106" t="inlineStr">
        <is>
          <t>Custo Fixo</t>
        </is>
      </c>
      <c r="C1760" s="106" t="inlineStr">
        <is>
          <t>Material de escritório (suprimentos de informática)</t>
        </is>
      </c>
      <c r="D1760" s="107" t="n">
        <v>1</v>
      </c>
      <c r="E1760" s="108" t="n">
        <v>840.67</v>
      </c>
      <c r="F1760" s="109">
        <f>IFERROR(D1760*E1760,0)</f>
        <v/>
      </c>
      <c r="G1760" s="106">
        <f>INDEX(SETORES!$B:$B,MATCH(A1760,SETORES!$A:$A,0))</f>
        <v/>
      </c>
      <c r="H1760" s="106" t="inlineStr">
        <is>
          <t>Agosto/2026</t>
        </is>
      </c>
    </row>
    <row r="1761" hidden="1" ht="14.25" customHeight="1" s="64">
      <c r="A1761" s="106" t="inlineStr">
        <is>
          <t>Gestão de Atendimento</t>
        </is>
      </c>
      <c r="B1761" s="106" t="inlineStr">
        <is>
          <t>Custo Fixo</t>
        </is>
      </c>
      <c r="C1761" s="106" t="inlineStr">
        <is>
          <t>Material de uso coletivo (copa/limpeza)</t>
        </is>
      </c>
      <c r="D1761" s="107" t="n">
        <v>1</v>
      </c>
      <c r="E1761" s="108" t="n">
        <v>882.22</v>
      </c>
      <c r="F1761" s="109">
        <f>IFERROR(D1761*E1761,0)</f>
        <v/>
      </c>
      <c r="G1761" s="106">
        <f>INDEX(SETORES!$B:$B,MATCH(A1761,SETORES!$A:$A,0))</f>
        <v/>
      </c>
      <c r="H1761" s="106" t="inlineStr">
        <is>
          <t>Agosto/2026</t>
        </is>
      </c>
    </row>
    <row r="1762" hidden="1" ht="14.25" customHeight="1" s="64">
      <c r="A1762" s="106" t="inlineStr">
        <is>
          <t>Gestão de Atendimento</t>
        </is>
      </c>
      <c r="B1762" s="106" t="inlineStr">
        <is>
          <t>Custo Fixo</t>
        </is>
      </c>
      <c r="C1762" s="106" t="inlineStr">
        <is>
          <t>Energia elétrica (rateio)</t>
        </is>
      </c>
      <c r="D1762" s="107" t="n"/>
      <c r="E1762" s="108" t="n"/>
      <c r="F1762" s="109">
        <f>IFERROR(D1762*E1762,0)</f>
        <v/>
      </c>
      <c r="G1762" s="106">
        <f>INDEX(SETORES!$B:$B,MATCH(A1762,SETORES!$A:$A,0))</f>
        <v/>
      </c>
      <c r="H1762" s="106" t="inlineStr">
        <is>
          <t>Agosto/2026</t>
        </is>
      </c>
    </row>
    <row r="1763" hidden="1" ht="14.25" customHeight="1" s="64">
      <c r="A1763" s="106" t="inlineStr">
        <is>
          <t>Gestão de Atendimento</t>
        </is>
      </c>
      <c r="B1763" s="106" t="inlineStr">
        <is>
          <t>Custo Fixo</t>
        </is>
      </c>
      <c r="C1763" s="106" t="inlineStr">
        <is>
          <t>Água e esgoto (rateio)</t>
        </is>
      </c>
      <c r="D1763" s="107" t="n"/>
      <c r="E1763" s="108" t="n"/>
      <c r="F1763" s="109">
        <f>IFERROR(D1763*E1763,0)</f>
        <v/>
      </c>
      <c r="G1763" s="106">
        <f>INDEX(SETORES!$B:$B,MATCH(A1763,SETORES!$A:$A,0))</f>
        <v/>
      </c>
      <c r="H1763" s="106" t="inlineStr">
        <is>
          <t>Agosto/2026</t>
        </is>
      </c>
    </row>
    <row r="1764" hidden="1" ht="14.25" customHeight="1" s="64">
      <c r="A1764" s="106" t="inlineStr">
        <is>
          <t>Gestão de Atendimento</t>
        </is>
      </c>
      <c r="B1764" s="106" t="inlineStr">
        <is>
          <t>Custo Fixo</t>
        </is>
      </c>
      <c r="C1764" s="106" t="inlineStr">
        <is>
          <t>Telefonia móvel corporativa</t>
        </is>
      </c>
      <c r="D1764" s="107" t="n"/>
      <c r="E1764" s="108" t="n"/>
      <c r="F1764" s="109">
        <f>IFERROR(D1764*E1764,0)</f>
        <v/>
      </c>
      <c r="G1764" s="106">
        <f>INDEX(SETORES!$B:$B,MATCH(A1764,SETORES!$A:$A,0))</f>
        <v/>
      </c>
      <c r="H1764" s="106" t="inlineStr">
        <is>
          <t>Agosto/2026</t>
        </is>
      </c>
    </row>
    <row r="1765" hidden="1" ht="14.25" customHeight="1" s="64">
      <c r="A1765" s="106" t="inlineStr">
        <is>
          <t>Gestão de Atendimento</t>
        </is>
      </c>
      <c r="B1765" s="106" t="inlineStr">
        <is>
          <t>Custo Fixo</t>
        </is>
      </c>
      <c r="C1765" s="106" t="inlineStr">
        <is>
          <t>Folha de pagamento (salários)</t>
        </is>
      </c>
      <c r="D1765" s="107" t="n">
        <v>1</v>
      </c>
      <c r="E1765" s="108" t="n">
        <v>55556.32</v>
      </c>
      <c r="F1765" s="109">
        <f>IFERROR(D1765*E1765,0)</f>
        <v/>
      </c>
      <c r="G1765" s="106">
        <f>INDEX(SETORES!$B:$B,MATCH(A1765,SETORES!$A:$A,0))</f>
        <v/>
      </c>
      <c r="H1765" s="106" t="inlineStr">
        <is>
          <t>Agosto/2026</t>
        </is>
      </c>
    </row>
    <row r="1766" hidden="1" ht="14.25" customHeight="1" s="64">
      <c r="A1766" s="106" t="inlineStr">
        <is>
          <t>Gestão de Atendimento</t>
        </is>
      </c>
      <c r="B1766" s="106" t="inlineStr">
        <is>
          <t>Custo Variável</t>
        </is>
      </c>
      <c r="C1766" s="106" t="inlineStr">
        <is>
          <t>Fardamento novo</t>
        </is>
      </c>
      <c r="D1766" s="107" t="n">
        <v>1</v>
      </c>
      <c r="E1766" s="108" t="n">
        <v>180</v>
      </c>
      <c r="F1766" s="109">
        <f>IFERROR(D1766*E1766,0)</f>
        <v/>
      </c>
      <c r="G1766" s="106">
        <f>INDEX(SETORES!$B:$B,MATCH(A1766,SETORES!$A:$A,0))</f>
        <v/>
      </c>
      <c r="H1766" s="106" t="inlineStr">
        <is>
          <t>Agosto/2026</t>
        </is>
      </c>
    </row>
    <row r="1767" hidden="1" ht="14.25" customHeight="1" s="64">
      <c r="A1767" s="106" t="inlineStr">
        <is>
          <t>Gestão de Atendimento</t>
        </is>
      </c>
      <c r="B1767" s="106" t="inlineStr">
        <is>
          <t>Custo Variável</t>
        </is>
      </c>
      <c r="C1767" s="106" t="inlineStr">
        <is>
          <t>Fardamento substituição</t>
        </is>
      </c>
      <c r="D1767" s="107" t="n"/>
      <c r="E1767" s="108" t="n"/>
      <c r="F1767" s="109">
        <f>IFERROR(D1767*E1767,0)</f>
        <v/>
      </c>
      <c r="G1767" s="106">
        <f>INDEX(SETORES!$B:$B,MATCH(A1767,SETORES!$A:$A,0))</f>
        <v/>
      </c>
      <c r="H1767" s="106" t="inlineStr">
        <is>
          <t>Agosto/2026</t>
        </is>
      </c>
    </row>
    <row r="1768" hidden="1" ht="14.25" customHeight="1" s="64">
      <c r="A1768" s="106" t="inlineStr">
        <is>
          <t>Gestão de Atendimento</t>
        </is>
      </c>
      <c r="B1768" s="106" t="inlineStr">
        <is>
          <t>Custo Variável</t>
        </is>
      </c>
      <c r="C1768" s="106" t="inlineStr">
        <is>
          <t>Exames médicos</t>
        </is>
      </c>
      <c r="D1768" s="107" t="n"/>
      <c r="E1768" s="108" t="n"/>
      <c r="F1768" s="109">
        <f>IFERROR(D1768*E1768,0)</f>
        <v/>
      </c>
      <c r="G1768" s="106">
        <f>INDEX(SETORES!$B:$B,MATCH(A1768,SETORES!$A:$A,0))</f>
        <v/>
      </c>
      <c r="H1768" s="106" t="inlineStr">
        <is>
          <t>Agosto/2026</t>
        </is>
      </c>
    </row>
    <row r="1769" hidden="1" ht="14.25" customHeight="1" s="64">
      <c r="A1769" s="106" t="inlineStr">
        <is>
          <t>Gestão de Atendimento</t>
        </is>
      </c>
      <c r="B1769" s="106" t="inlineStr">
        <is>
          <t>Custo Fixo</t>
        </is>
      </c>
      <c r="C1769" s="106" t="inlineStr">
        <is>
          <t>Licença de e-mail corporativo</t>
        </is>
      </c>
      <c r="D1769" s="107" t="n">
        <v>17</v>
      </c>
      <c r="E1769" s="108" t="n">
        <v>50</v>
      </c>
      <c r="F1769" s="109">
        <f>IFERROR(D1769*E1769,0)</f>
        <v/>
      </c>
      <c r="G1769" s="106">
        <f>INDEX(SETORES!$B:$B,MATCH(A1769,SETORES!$A:$A,0))</f>
        <v/>
      </c>
      <c r="H1769" s="106" t="inlineStr">
        <is>
          <t>Agosto/2026</t>
        </is>
      </c>
    </row>
    <row r="1770" hidden="1" ht="14.25" customHeight="1" s="64">
      <c r="A1770" s="106" t="inlineStr">
        <is>
          <t>Gestão de Atendimento</t>
        </is>
      </c>
      <c r="B1770" s="106" t="inlineStr">
        <is>
          <t>Custo Fixo</t>
        </is>
      </c>
      <c r="C1770" s="106" t="inlineStr">
        <is>
          <t>Gympass</t>
        </is>
      </c>
      <c r="D1770" s="107" t="n"/>
      <c r="E1770" s="108" t="n"/>
      <c r="F1770" s="109">
        <f>IFERROR(D1770*E1770,0)</f>
        <v/>
      </c>
      <c r="G1770" s="106">
        <f>INDEX(SETORES!$B:$B,MATCH(A1770,SETORES!$A:$A,0))</f>
        <v/>
      </c>
      <c r="H1770" s="106" t="inlineStr">
        <is>
          <t>Agosto/2026</t>
        </is>
      </c>
    </row>
    <row r="1771" hidden="1" ht="14.25" customHeight="1" s="64">
      <c r="A1771" s="106" t="inlineStr">
        <is>
          <t>Gestão de Atendimento</t>
        </is>
      </c>
      <c r="B1771" s="106" t="inlineStr">
        <is>
          <t>Custo Fixo</t>
        </is>
      </c>
      <c r="C1771" s="106" t="inlineStr">
        <is>
          <t>Stargrid</t>
        </is>
      </c>
      <c r="D1771" s="107" t="n">
        <v>17</v>
      </c>
      <c r="E1771" s="108" t="n">
        <v>1.87</v>
      </c>
      <c r="F1771" s="109">
        <f>IFERROR(D1771*E1771,0)</f>
        <v/>
      </c>
      <c r="G1771" s="106">
        <f>INDEX(SETORES!$B:$B,MATCH(A1771,SETORES!$A:$A,0))</f>
        <v/>
      </c>
      <c r="H1771" s="106" t="inlineStr">
        <is>
          <t>Agosto/2026</t>
        </is>
      </c>
    </row>
    <row r="1772" hidden="1" ht="14.25" customHeight="1" s="64">
      <c r="A1772" s="106" t="inlineStr">
        <is>
          <t>RH</t>
        </is>
      </c>
      <c r="B1772" s="106" t="inlineStr">
        <is>
          <t>Custo Fixo</t>
        </is>
      </c>
      <c r="C1772" s="106" t="inlineStr">
        <is>
          <t>Software exclusivo fiberschool (RH)</t>
        </is>
      </c>
      <c r="D1772" s="107" t="n">
        <v>1</v>
      </c>
      <c r="E1772" s="108" t="n">
        <v>2500</v>
      </c>
      <c r="F1772" s="109">
        <f>IFERROR(D1772*E1772,0)</f>
        <v/>
      </c>
      <c r="G1772" s="106">
        <f>INDEX(SETORES!$B:$B,MATCH(A1772,SETORES!$A:$A,0))</f>
        <v/>
      </c>
      <c r="H1772" s="106" t="inlineStr">
        <is>
          <t>Agosto/2026</t>
        </is>
      </c>
    </row>
    <row r="1773" hidden="1" ht="14.25" customHeight="1" s="64">
      <c r="A1773" s="106" t="inlineStr">
        <is>
          <t>RH</t>
        </is>
      </c>
      <c r="B1773" s="106" t="inlineStr">
        <is>
          <t>Custo Fixo</t>
        </is>
      </c>
      <c r="C1773" s="106" t="inlineStr">
        <is>
          <t>Software RH1000 (RH)</t>
        </is>
      </c>
      <c r="D1773" s="107" t="n">
        <v>1</v>
      </c>
      <c r="E1773" s="108" t="n">
        <v>2612.9</v>
      </c>
      <c r="F1773" s="109">
        <f>IFERROR(D1773*E1773,0)</f>
        <v/>
      </c>
      <c r="G1773" s="106">
        <f>INDEX(SETORES!$B:$B,MATCH(A1773,SETORES!$A:$A,0))</f>
        <v/>
      </c>
      <c r="H1773" s="106" t="inlineStr">
        <is>
          <t>Agosto/2026</t>
        </is>
      </c>
    </row>
    <row r="1774" ht="14.25" customHeight="1" s="64">
      <c r="A1774" s="106" t="inlineStr">
        <is>
          <t>Administrativo</t>
        </is>
      </c>
      <c r="B1774" s="106" t="inlineStr">
        <is>
          <t>Custo Fixo</t>
        </is>
      </c>
      <c r="C1774" s="106" t="inlineStr">
        <is>
          <t>Sistema de assinatura eletronica (autentique) (TIC)</t>
        </is>
      </c>
      <c r="D1774" s="107" t="n">
        <v>1</v>
      </c>
      <c r="E1774" s="108" t="n">
        <v>99</v>
      </c>
      <c r="F1774" s="109">
        <f>IFERROR(D1774*E1774,0)</f>
        <v/>
      </c>
      <c r="G1774" s="106">
        <f>INDEX(SETORES!$B:$B,MATCH(A1774,SETORES!$A:$A,0))</f>
        <v/>
      </c>
      <c r="H1774" s="106" t="inlineStr">
        <is>
          <t>Agosto/2026</t>
        </is>
      </c>
    </row>
    <row r="1775" hidden="1" ht="14.25" customHeight="1" s="64">
      <c r="A1775" s="106" t="inlineStr">
        <is>
          <t>Financeiro</t>
        </is>
      </c>
      <c r="B1775" s="106" t="inlineStr">
        <is>
          <t>Custo Fixo</t>
        </is>
      </c>
      <c r="C1775" s="106" t="inlineStr">
        <is>
          <t>Plataforma do aplicativo Vexpenses (financeiro)</t>
        </is>
      </c>
      <c r="D1775" s="107" t="n"/>
      <c r="E1775" s="108" t="n"/>
      <c r="F1775" s="109">
        <f>IFERROR(D1775*E1775,0)</f>
        <v/>
      </c>
      <c r="G1775" s="106">
        <f>INDEX(SETORES!$B:$B,MATCH(A1775,SETORES!$A:$A,0))</f>
        <v/>
      </c>
      <c r="H1775" s="106" t="inlineStr">
        <is>
          <t>Agosto/2026</t>
        </is>
      </c>
    </row>
    <row r="1776" hidden="1" ht="14.25" customHeight="1" s="64">
      <c r="A1776" s="106" t="inlineStr">
        <is>
          <t>DP</t>
        </is>
      </c>
      <c r="B1776" s="106" t="inlineStr">
        <is>
          <t>Custo Fixo</t>
        </is>
      </c>
      <c r="C1776" s="106" t="inlineStr">
        <is>
          <t>Licenças de software/sistemas corporativos (DP)</t>
        </is>
      </c>
      <c r="D1776" s="107" t="n">
        <v>1</v>
      </c>
      <c r="E1776" s="108" t="n">
        <v>2559.44</v>
      </c>
      <c r="F1776" s="109">
        <f>IFERROR(D1776*E1776,0)</f>
        <v/>
      </c>
      <c r="G1776" s="106">
        <f>INDEX(SETORES!$B:$B,MATCH(A1776,SETORES!$A:$A,0))</f>
        <v/>
      </c>
      <c r="H1776" s="106" t="inlineStr">
        <is>
          <t>Agosto/2026</t>
        </is>
      </c>
    </row>
    <row r="1777" hidden="1" ht="14.25" customHeight="1" s="64">
      <c r="A1777" s="106" t="inlineStr">
        <is>
          <t>DP</t>
        </is>
      </c>
      <c r="B1777" s="106" t="inlineStr">
        <is>
          <t>Custo Fixo</t>
        </is>
      </c>
      <c r="C1777" s="106" t="inlineStr">
        <is>
          <t>Sistema de ponto eletrônico (KAIROS) (DP)</t>
        </is>
      </c>
      <c r="D1777" s="107" t="n"/>
      <c r="E1777" s="108" t="n"/>
      <c r="F1777" s="109">
        <f>IFERROR(D1777*E1777,0)</f>
        <v/>
      </c>
      <c r="G1777" s="106">
        <f>INDEX(SETORES!$B:$B,MATCH(A1777,SETORES!$A:$A,0))</f>
        <v/>
      </c>
      <c r="H1777" s="106" t="inlineStr">
        <is>
          <t>Agosto/2026</t>
        </is>
      </c>
    </row>
    <row r="1778" hidden="1" ht="14.25" customHeight="1" s="64">
      <c r="A1778" s="106" t="inlineStr">
        <is>
          <t>RH</t>
        </is>
      </c>
      <c r="B1778" s="106" t="inlineStr">
        <is>
          <t>Custo Fixo</t>
        </is>
      </c>
      <c r="C1778" s="106" t="inlineStr">
        <is>
          <t>Plataforma de comunicação interna (Useflow) (RH)</t>
        </is>
      </c>
      <c r="D1778" s="107" t="n">
        <v>1</v>
      </c>
      <c r="E1778" s="108" t="n">
        <v>2000</v>
      </c>
      <c r="F1778" s="109">
        <f>IFERROR(D1778*E1778,0)</f>
        <v/>
      </c>
      <c r="G1778" s="106">
        <f>INDEX(SETORES!$B:$B,MATCH(A1778,SETORES!$A:$A,0))</f>
        <v/>
      </c>
      <c r="H1778" s="106" t="inlineStr">
        <is>
          <t>Agosto/2026</t>
        </is>
      </c>
    </row>
    <row r="1779" hidden="1" ht="14.25" customHeight="1" s="64">
      <c r="A1779" s="106" t="inlineStr">
        <is>
          <t>DP</t>
        </is>
      </c>
      <c r="B1779" s="106" t="inlineStr">
        <is>
          <t>Custo Fixo</t>
        </is>
      </c>
      <c r="C1779" s="106" t="inlineStr">
        <is>
          <t>Software exclusivo B2D (Arquivar) (DP)</t>
        </is>
      </c>
      <c r="D1779" s="107" t="n"/>
      <c r="E1779" s="108" t="n"/>
      <c r="F1779" s="109">
        <f>IFERROR(D1779*E1779,0)</f>
        <v/>
      </c>
      <c r="G1779" s="106">
        <f>INDEX(SETORES!$B:$B,MATCH(A1779,SETORES!$A:$A,0))</f>
        <v/>
      </c>
      <c r="H1779" s="106" t="inlineStr">
        <is>
          <t>Agosto/2026</t>
        </is>
      </c>
    </row>
    <row r="1780" hidden="1" ht="14.25" customHeight="1" s="64">
      <c r="A1780" s="106" t="inlineStr">
        <is>
          <t>DP</t>
        </is>
      </c>
      <c r="B1780" s="106" t="inlineStr">
        <is>
          <t>Custo Fixo</t>
        </is>
      </c>
      <c r="C1780" s="106" t="inlineStr">
        <is>
          <t>Software Dominio portal do empregado (DP)</t>
        </is>
      </c>
      <c r="D1780" s="107" t="n"/>
      <c r="E1780" s="108" t="n"/>
      <c r="F1780" s="109">
        <f>IFERROR(D1780*E1780,0)</f>
        <v/>
      </c>
      <c r="G1780" s="106">
        <f>INDEX(SETORES!$B:$B,MATCH(A1780,SETORES!$A:$A,0))</f>
        <v/>
      </c>
      <c r="H1780" s="106" t="inlineStr">
        <is>
          <t>Agosto/2026</t>
        </is>
      </c>
    </row>
    <row r="1781" hidden="1" ht="14.25" customHeight="1" s="64">
      <c r="A1781" s="106" t="inlineStr">
        <is>
          <t>Contabilidade</t>
        </is>
      </c>
      <c r="B1781" s="106" t="inlineStr">
        <is>
          <t>Custo Fixo</t>
        </is>
      </c>
      <c r="C1781" s="106" t="inlineStr">
        <is>
          <t>Licenças de software/sistemas corporativos (Contabilidade)</t>
        </is>
      </c>
      <c r="D1781" s="107" t="n">
        <v>1</v>
      </c>
      <c r="E1781" s="108" t="n">
        <v>2559.45</v>
      </c>
      <c r="F1781" s="109">
        <f>IFERROR(D1781*E1781,0)</f>
        <v/>
      </c>
      <c r="G1781" s="106">
        <f>INDEX(SETORES!$B:$B,MATCH(A1781,SETORES!$A:$A,0))</f>
        <v/>
      </c>
      <c r="H1781" s="106" t="inlineStr">
        <is>
          <t>Agosto/2026</t>
        </is>
      </c>
    </row>
    <row r="1782" ht="14.25" customHeight="1" s="64">
      <c r="A1782" s="106" t="inlineStr">
        <is>
          <t>Administrativo</t>
        </is>
      </c>
      <c r="B1782" s="106" t="inlineStr">
        <is>
          <t>Custo Fixo</t>
        </is>
      </c>
      <c r="C1782" s="106" t="inlineStr">
        <is>
          <t>Software Power BI Dynamics (f001796)</t>
        </is>
      </c>
      <c r="D1782" s="107" t="n">
        <v>1</v>
      </c>
      <c r="E1782" s="108" t="n">
        <v>1787.09</v>
      </c>
      <c r="F1782" s="109">
        <f>IFERROR(D1782*E1782,0)</f>
        <v/>
      </c>
      <c r="G1782" s="106">
        <f>INDEX(SETORES!$B:$B,MATCH(A1782,SETORES!$A:$A,0))</f>
        <v/>
      </c>
      <c r="H1782" s="106" t="inlineStr">
        <is>
          <t>Agosto/2026</t>
        </is>
      </c>
    </row>
    <row r="1783" hidden="1" ht="14.25" customHeight="1" s="64">
      <c r="A1783" s="106" t="inlineStr">
        <is>
          <t>Engenharia</t>
        </is>
      </c>
      <c r="B1783" s="106" t="inlineStr">
        <is>
          <t>Custo Fixo</t>
        </is>
      </c>
      <c r="C1783" s="106" t="inlineStr">
        <is>
          <t>Software de geolocalização (Engenharia)</t>
        </is>
      </c>
      <c r="D1783" s="107" t="n"/>
      <c r="E1783" s="108" t="n"/>
      <c r="F1783" s="109">
        <f>IFERROR(D1783*E1783,0)</f>
        <v/>
      </c>
      <c r="G1783" s="106">
        <f>INDEX(SETORES!$B:$B,MATCH(A1783,SETORES!$A:$A,0))</f>
        <v/>
      </c>
      <c r="H1783" s="106" t="inlineStr">
        <is>
          <t>Agosto/2026</t>
        </is>
      </c>
    </row>
    <row r="1784" hidden="1" ht="14.25" customHeight="1" s="64">
      <c r="A1784" s="106" t="inlineStr">
        <is>
          <t>Logística</t>
        </is>
      </c>
      <c r="B1784" s="106" t="inlineStr">
        <is>
          <t>Custo Fixo</t>
        </is>
      </c>
      <c r="C1784" s="106" t="inlineStr">
        <is>
          <t>Software Full time (Logística)</t>
        </is>
      </c>
      <c r="D1784" s="107" t="n"/>
      <c r="E1784" s="108" t="n"/>
      <c r="F1784" s="109">
        <f>IFERROR(D1784*E1784,0)</f>
        <v/>
      </c>
      <c r="G1784" s="106">
        <f>INDEX(SETORES!$B:$B,MATCH(A1784,SETORES!$A:$A,0))</f>
        <v/>
      </c>
      <c r="H1784" s="106" t="inlineStr">
        <is>
          <t>Agosto/2026</t>
        </is>
      </c>
    </row>
    <row r="1785" ht="14.25" customHeight="1" s="64">
      <c r="A1785" s="106" t="inlineStr">
        <is>
          <t>Administrativo</t>
        </is>
      </c>
      <c r="B1785" s="106" t="inlineStr">
        <is>
          <t>Custo Fixo</t>
        </is>
      </c>
      <c r="C1785" s="106" t="inlineStr">
        <is>
          <t>Software de sistema eletronico de alarme (administrativo)</t>
        </is>
      </c>
      <c r="D1785" s="107" t="n"/>
      <c r="E1785" s="108" t="n"/>
      <c r="F1785" s="109">
        <f>IFERROR(D1785*E1785,0)</f>
        <v/>
      </c>
      <c r="G1785" s="106">
        <f>INDEX(SETORES!$B:$B,MATCH(A1785,SETORES!$A:$A,0))</f>
        <v/>
      </c>
      <c r="H1785" s="106" t="inlineStr">
        <is>
          <t>Agosto/2026</t>
        </is>
      </c>
    </row>
    <row r="1786" hidden="1" ht="14.25" customHeight="1" s="64">
      <c r="A1786" s="106" t="inlineStr">
        <is>
          <t>CAC</t>
        </is>
      </c>
      <c r="B1786" s="106" t="inlineStr">
        <is>
          <t>Custo Fixo</t>
        </is>
      </c>
      <c r="C1786" s="106" t="inlineStr">
        <is>
          <t>Material de escritório (suprimentos de informática)</t>
        </is>
      </c>
      <c r="D1786" s="107" t="n"/>
      <c r="E1786" s="108" t="n"/>
      <c r="F1786" s="109">
        <f>IFERROR(D1786*E1786,0)</f>
        <v/>
      </c>
      <c r="G1786" s="106">
        <f>INDEX(SETORES!$B:$B,MATCH(A1786,SETORES!$A:$A,0))</f>
        <v/>
      </c>
      <c r="H1786" s="106" t="inlineStr">
        <is>
          <t>Agosto/2026</t>
        </is>
      </c>
    </row>
    <row r="1787" hidden="1" ht="14.25" customHeight="1" s="64">
      <c r="A1787" s="106" t="inlineStr">
        <is>
          <t>CAC</t>
        </is>
      </c>
      <c r="B1787" s="106" t="inlineStr">
        <is>
          <t>Custo Fixo</t>
        </is>
      </c>
      <c r="C1787" s="106" t="inlineStr">
        <is>
          <t>Material de uso coletivo (copa/limpeza)</t>
        </is>
      </c>
      <c r="D1787" s="107" t="n"/>
      <c r="E1787" s="108" t="n"/>
      <c r="F1787" s="109">
        <f>IFERROR(D1787*E1787,0)</f>
        <v/>
      </c>
      <c r="G1787" s="106">
        <f>INDEX(SETORES!$B:$B,MATCH(A1787,SETORES!$A:$A,0))</f>
        <v/>
      </c>
      <c r="H1787" s="106" t="inlineStr">
        <is>
          <t>Agosto/2026</t>
        </is>
      </c>
    </row>
    <row r="1788" hidden="1" ht="14.25" customHeight="1" s="64">
      <c r="A1788" s="106" t="inlineStr">
        <is>
          <t>CAC</t>
        </is>
      </c>
      <c r="B1788" s="106" t="inlineStr">
        <is>
          <t>Custo Fixo</t>
        </is>
      </c>
      <c r="C1788" s="106" t="inlineStr">
        <is>
          <t>Energia elétrica (rateio)</t>
        </is>
      </c>
      <c r="D1788" s="107" t="n"/>
      <c r="E1788" s="108" t="n"/>
      <c r="F1788" s="109">
        <f>IFERROR(D1788*E1788,0)</f>
        <v/>
      </c>
      <c r="G1788" s="106">
        <f>INDEX(SETORES!$B:$B,MATCH(A1788,SETORES!$A:$A,0))</f>
        <v/>
      </c>
      <c r="H1788" s="106" t="inlineStr">
        <is>
          <t>Agosto/2026</t>
        </is>
      </c>
    </row>
    <row r="1789" hidden="1" ht="14.25" customHeight="1" s="64">
      <c r="A1789" s="106" t="inlineStr">
        <is>
          <t>CAC</t>
        </is>
      </c>
      <c r="B1789" s="106" t="inlineStr">
        <is>
          <t>Custo Fixo</t>
        </is>
      </c>
      <c r="C1789" s="106" t="inlineStr">
        <is>
          <t>Água e esgoto (rateio)</t>
        </is>
      </c>
      <c r="D1789" s="107" t="n"/>
      <c r="E1789" s="108" t="n"/>
      <c r="F1789" s="109">
        <f>IFERROR(D1789*E1789,0)</f>
        <v/>
      </c>
      <c r="G1789" s="106">
        <f>INDEX(SETORES!$B:$B,MATCH(A1789,SETORES!$A:$A,0))</f>
        <v/>
      </c>
      <c r="H1789" s="106" t="inlineStr">
        <is>
          <t>Agosto/2026</t>
        </is>
      </c>
    </row>
    <row r="1790" hidden="1" ht="14.25" customHeight="1" s="64">
      <c r="A1790" s="106" t="inlineStr">
        <is>
          <t>CAC</t>
        </is>
      </c>
      <c r="B1790" s="106" t="inlineStr">
        <is>
          <t>Custo Fixo</t>
        </is>
      </c>
      <c r="C1790" s="106" t="inlineStr">
        <is>
          <t>Telefonia móvel corporativa</t>
        </is>
      </c>
      <c r="D1790" s="107" t="n"/>
      <c r="E1790" s="108" t="n"/>
      <c r="F1790" s="109">
        <f>IFERROR(D1790*E1790,0)</f>
        <v/>
      </c>
      <c r="G1790" s="106">
        <f>INDEX(SETORES!$B:$B,MATCH(A1790,SETORES!$A:$A,0))</f>
        <v/>
      </c>
      <c r="H1790" s="106" t="inlineStr">
        <is>
          <t>Agosto/2026</t>
        </is>
      </c>
    </row>
    <row r="1791" hidden="1" ht="14.25" customHeight="1" s="64">
      <c r="A1791" s="106" t="inlineStr">
        <is>
          <t>CAC</t>
        </is>
      </c>
      <c r="B1791" s="106" t="inlineStr">
        <is>
          <t>Custo Fixo</t>
        </is>
      </c>
      <c r="C1791" s="106" t="inlineStr">
        <is>
          <t>Folha de pagamento (salários)</t>
        </is>
      </c>
      <c r="D1791" s="107" t="n">
        <v>1</v>
      </c>
      <c r="E1791" s="108" t="n">
        <v>21051.01</v>
      </c>
      <c r="F1791" s="109">
        <f>IFERROR(D1791*E1791,0)</f>
        <v/>
      </c>
      <c r="G1791" s="106">
        <f>INDEX(SETORES!$B:$B,MATCH(A1791,SETORES!$A:$A,0))</f>
        <v/>
      </c>
      <c r="H1791" s="106" t="inlineStr">
        <is>
          <t>Agosto/2026</t>
        </is>
      </c>
    </row>
    <row r="1792" hidden="1" ht="14.25" customHeight="1" s="64">
      <c r="A1792" s="106" t="inlineStr">
        <is>
          <t>CAC</t>
        </is>
      </c>
      <c r="B1792" s="106" t="inlineStr">
        <is>
          <t>Custo Variável</t>
        </is>
      </c>
      <c r="C1792" s="106" t="inlineStr">
        <is>
          <t>Fardamento novo</t>
        </is>
      </c>
      <c r="D1792" s="107" t="n"/>
      <c r="E1792" s="108" t="n"/>
      <c r="F1792" s="109">
        <f>IFERROR(D1792*E1792,0)</f>
        <v/>
      </c>
      <c r="G1792" s="106">
        <f>INDEX(SETORES!$B:$B,MATCH(A1792,SETORES!$A:$A,0))</f>
        <v/>
      </c>
      <c r="H1792" s="106" t="inlineStr">
        <is>
          <t>Agosto/2026</t>
        </is>
      </c>
    </row>
    <row r="1793" hidden="1" ht="14.25" customHeight="1" s="64">
      <c r="A1793" s="106" t="inlineStr">
        <is>
          <t>CAC</t>
        </is>
      </c>
      <c r="B1793" s="106" t="inlineStr">
        <is>
          <t>Custo Variável</t>
        </is>
      </c>
      <c r="C1793" s="106" t="inlineStr">
        <is>
          <t>Fardamento substituição</t>
        </is>
      </c>
      <c r="D1793" s="107" t="n"/>
      <c r="E1793" s="108" t="n"/>
      <c r="F1793" s="109">
        <f>IFERROR(D1793*E1793,0)</f>
        <v/>
      </c>
      <c r="G1793" s="106">
        <f>INDEX(SETORES!$B:$B,MATCH(A1793,SETORES!$A:$A,0))</f>
        <v/>
      </c>
      <c r="H1793" s="106" t="inlineStr">
        <is>
          <t>Agosto/2026</t>
        </is>
      </c>
    </row>
    <row r="1794" hidden="1" ht="14.25" customHeight="1" s="64">
      <c r="A1794" s="106" t="inlineStr">
        <is>
          <t>CAC</t>
        </is>
      </c>
      <c r="B1794" s="106" t="inlineStr">
        <is>
          <t>Custo Variável</t>
        </is>
      </c>
      <c r="C1794" s="106" t="inlineStr">
        <is>
          <t>Exames médicos</t>
        </is>
      </c>
      <c r="D1794" s="107" t="n"/>
      <c r="E1794" s="108" t="n"/>
      <c r="F1794" s="109">
        <f>IFERROR(D1794*E1794,0)</f>
        <v/>
      </c>
      <c r="G1794" s="106">
        <f>INDEX(SETORES!$B:$B,MATCH(A1794,SETORES!$A:$A,0))</f>
        <v/>
      </c>
      <c r="H1794" s="106" t="inlineStr">
        <is>
          <t>Agosto/2026</t>
        </is>
      </c>
    </row>
    <row r="1795" hidden="1" ht="14.25" customHeight="1" s="64">
      <c r="A1795" s="106" t="inlineStr">
        <is>
          <t>CAC</t>
        </is>
      </c>
      <c r="B1795" s="106" t="inlineStr">
        <is>
          <t>Custo Fixo</t>
        </is>
      </c>
      <c r="C1795" s="106" t="inlineStr">
        <is>
          <t>Licença de e-mail corporativo</t>
        </is>
      </c>
      <c r="D1795" s="107" t="n">
        <v>5</v>
      </c>
      <c r="E1795" s="108" t="n">
        <v>50</v>
      </c>
      <c r="F1795" s="109">
        <f>IFERROR(D1795*E1795,0)</f>
        <v/>
      </c>
      <c r="G1795" s="106">
        <f>INDEX(SETORES!$B:$B,MATCH(A1795,SETORES!$A:$A,0))</f>
        <v/>
      </c>
      <c r="H1795" s="106" t="inlineStr">
        <is>
          <t>Agosto/2026</t>
        </is>
      </c>
    </row>
    <row r="1796" hidden="1" ht="14.25" customHeight="1" s="64">
      <c r="A1796" s="106" t="inlineStr">
        <is>
          <t>CAC</t>
        </is>
      </c>
      <c r="B1796" s="106" t="inlineStr">
        <is>
          <t>Custo Fixo</t>
        </is>
      </c>
      <c r="C1796" s="106" t="inlineStr">
        <is>
          <t>Gympass</t>
        </is>
      </c>
      <c r="D1796" s="107" t="n"/>
      <c r="E1796" s="108" t="n"/>
      <c r="F1796" s="109">
        <f>IFERROR(D1796*E1796,0)</f>
        <v/>
      </c>
      <c r="G1796" s="106">
        <f>INDEX(SETORES!$B:$B,MATCH(A1796,SETORES!$A:$A,0))</f>
        <v/>
      </c>
      <c r="H1796" s="106" t="inlineStr">
        <is>
          <t>Agosto/2026</t>
        </is>
      </c>
    </row>
    <row r="1797" hidden="1" ht="14.25" customHeight="1" s="64">
      <c r="A1797" s="106" t="inlineStr">
        <is>
          <t>CAC</t>
        </is>
      </c>
      <c r="B1797" s="106" t="inlineStr">
        <is>
          <t>Custo Fixo</t>
        </is>
      </c>
      <c r="C1797" s="106" t="inlineStr">
        <is>
          <t>Stargrid</t>
        </is>
      </c>
      <c r="D1797" s="107" t="n">
        <v>5</v>
      </c>
      <c r="E1797" s="108" t="n">
        <v>1.87</v>
      </c>
      <c r="F1797" s="109">
        <f>IFERROR(D1797*E1797,0)</f>
        <v/>
      </c>
      <c r="G1797" s="106">
        <f>INDEX(SETORES!$B:$B,MATCH(A1797,SETORES!$A:$A,0))</f>
        <v/>
      </c>
      <c r="H1797" s="106" t="inlineStr">
        <is>
          <t>Agosto/2026</t>
        </is>
      </c>
    </row>
    <row r="1798" hidden="1" ht="14.25" customHeight="1" s="64">
      <c r="A1798" s="106" t="inlineStr">
        <is>
          <t>Cobrança</t>
        </is>
      </c>
      <c r="B1798" s="106" t="inlineStr">
        <is>
          <t>Custo Fixo</t>
        </is>
      </c>
      <c r="C1798" s="106" t="inlineStr">
        <is>
          <t>Material de escritório (suprimentos de informática)</t>
        </is>
      </c>
      <c r="D1798" s="107" t="n">
        <v>1</v>
      </c>
      <c r="E1798" s="108" t="n">
        <v>3.74</v>
      </c>
      <c r="F1798" s="109">
        <f>IFERROR(D1798*E1798,0)</f>
        <v/>
      </c>
      <c r="G1798" s="106">
        <f>INDEX(SETORES!$B:$B,MATCH(A1798,SETORES!$A:$A,0))</f>
        <v/>
      </c>
      <c r="H1798" s="106" t="inlineStr">
        <is>
          <t>Agosto/2026</t>
        </is>
      </c>
    </row>
    <row r="1799" hidden="1" ht="14.25" customHeight="1" s="64">
      <c r="A1799" s="106" t="inlineStr">
        <is>
          <t>Cobrança</t>
        </is>
      </c>
      <c r="B1799" s="106" t="inlineStr">
        <is>
          <t>Custo Fixo</t>
        </is>
      </c>
      <c r="C1799" s="106" t="inlineStr">
        <is>
          <t>Material de uso coletivo (copa/limpeza)</t>
        </is>
      </c>
      <c r="D1799" s="107" t="n">
        <v>1</v>
      </c>
      <c r="E1799" s="108" t="n">
        <v>657.21</v>
      </c>
      <c r="F1799" s="109">
        <f>IFERROR(D1799*E1799,0)</f>
        <v/>
      </c>
      <c r="G1799" s="106">
        <f>INDEX(SETORES!$B:$B,MATCH(A1799,SETORES!$A:$A,0))</f>
        <v/>
      </c>
      <c r="H1799" s="106" t="inlineStr">
        <is>
          <t>Agosto/2026</t>
        </is>
      </c>
    </row>
    <row r="1800" hidden="1" ht="14.25" customHeight="1" s="64">
      <c r="A1800" s="106" t="inlineStr">
        <is>
          <t>Cobrança</t>
        </is>
      </c>
      <c r="B1800" s="106" t="inlineStr">
        <is>
          <t>Custo Fixo</t>
        </is>
      </c>
      <c r="C1800" s="106" t="inlineStr">
        <is>
          <t>Energia elétrica (rateio)</t>
        </is>
      </c>
      <c r="D1800" s="107" t="n"/>
      <c r="E1800" s="108" t="n"/>
      <c r="F1800" s="109">
        <f>IFERROR(D1800*E1800,0)</f>
        <v/>
      </c>
      <c r="G1800" s="106">
        <f>INDEX(SETORES!$B:$B,MATCH(A1800,SETORES!$A:$A,0))</f>
        <v/>
      </c>
      <c r="H1800" s="106" t="inlineStr">
        <is>
          <t>Agosto/2026</t>
        </is>
      </c>
    </row>
    <row r="1801" hidden="1" ht="14.25" customHeight="1" s="64">
      <c r="A1801" s="106" t="inlineStr">
        <is>
          <t>Cobrança</t>
        </is>
      </c>
      <c r="B1801" s="106" t="inlineStr">
        <is>
          <t>Custo Fixo</t>
        </is>
      </c>
      <c r="C1801" s="106" t="inlineStr">
        <is>
          <t>Água e esgoto (rateio)</t>
        </is>
      </c>
      <c r="D1801" s="107" t="n"/>
      <c r="E1801" s="108" t="n"/>
      <c r="F1801" s="109">
        <f>IFERROR(D1801*E1801,0)</f>
        <v/>
      </c>
      <c r="G1801" s="106">
        <f>INDEX(SETORES!$B:$B,MATCH(A1801,SETORES!$A:$A,0))</f>
        <v/>
      </c>
      <c r="H1801" s="106" t="inlineStr">
        <is>
          <t>Agosto/2026</t>
        </is>
      </c>
    </row>
    <row r="1802" hidden="1" ht="14.25" customHeight="1" s="64">
      <c r="A1802" s="106" t="inlineStr">
        <is>
          <t>Cobrança</t>
        </is>
      </c>
      <c r="B1802" s="106" t="inlineStr">
        <is>
          <t>Custo Fixo</t>
        </is>
      </c>
      <c r="C1802" s="106" t="inlineStr">
        <is>
          <t>Telefonia móvel corporativa</t>
        </is>
      </c>
      <c r="D1802" s="107" t="n"/>
      <c r="E1802" s="108" t="n"/>
      <c r="F1802" s="109">
        <f>IFERROR(D1802*E1802,0)</f>
        <v/>
      </c>
      <c r="G1802" s="106">
        <f>INDEX(SETORES!$B:$B,MATCH(A1802,SETORES!$A:$A,0))</f>
        <v/>
      </c>
      <c r="H1802" s="106" t="inlineStr">
        <is>
          <t>Agosto/2026</t>
        </is>
      </c>
    </row>
    <row r="1803" hidden="1" ht="14.25" customHeight="1" s="64">
      <c r="A1803" s="106" t="inlineStr">
        <is>
          <t>Cobrança</t>
        </is>
      </c>
      <c r="B1803" s="106" t="inlineStr">
        <is>
          <t>Custo Fixo</t>
        </is>
      </c>
      <c r="C1803" s="106" t="inlineStr">
        <is>
          <t>Folha de pagamento (salários)</t>
        </is>
      </c>
      <c r="D1803" s="107" t="n">
        <v>1</v>
      </c>
      <c r="E1803" s="108" t="n">
        <v>42492.05</v>
      </c>
      <c r="F1803" s="109">
        <f>IFERROR(D1803*E1803,0)</f>
        <v/>
      </c>
      <c r="G1803" s="106">
        <f>INDEX(SETORES!$B:$B,MATCH(A1803,SETORES!$A:$A,0))</f>
        <v/>
      </c>
      <c r="H1803" s="106" t="inlineStr">
        <is>
          <t>Agosto/2026</t>
        </is>
      </c>
    </row>
    <row r="1804" hidden="1" ht="14.25" customHeight="1" s="64">
      <c r="A1804" s="106" t="inlineStr">
        <is>
          <t>Cobrança</t>
        </is>
      </c>
      <c r="B1804" s="106" t="inlineStr">
        <is>
          <t>Custo Variável</t>
        </is>
      </c>
      <c r="C1804" s="106" t="inlineStr">
        <is>
          <t>Fardamento novo</t>
        </is>
      </c>
      <c r="D1804" s="107" t="n"/>
      <c r="E1804" s="108" t="n"/>
      <c r="F1804" s="109">
        <f>IFERROR(D1804*E1804,0)</f>
        <v/>
      </c>
      <c r="G1804" s="106">
        <f>INDEX(SETORES!$B:$B,MATCH(A1804,SETORES!$A:$A,0))</f>
        <v/>
      </c>
      <c r="H1804" s="106" t="inlineStr">
        <is>
          <t>Agosto/2026</t>
        </is>
      </c>
    </row>
    <row r="1805" hidden="1" ht="14.25" customHeight="1" s="64">
      <c r="A1805" s="106" t="inlineStr">
        <is>
          <t>Cobrança</t>
        </is>
      </c>
      <c r="B1805" s="106" t="inlineStr">
        <is>
          <t>Custo Variável</t>
        </is>
      </c>
      <c r="C1805" s="106" t="inlineStr">
        <is>
          <t>Fardamento substituição</t>
        </is>
      </c>
      <c r="D1805" s="107" t="n"/>
      <c r="E1805" s="108" t="n"/>
      <c r="F1805" s="109">
        <f>IFERROR(D1805*E1805,0)</f>
        <v/>
      </c>
      <c r="G1805" s="106">
        <f>INDEX(SETORES!$B:$B,MATCH(A1805,SETORES!$A:$A,0))</f>
        <v/>
      </c>
      <c r="H1805" s="106" t="inlineStr">
        <is>
          <t>Agosto/2026</t>
        </is>
      </c>
    </row>
    <row r="1806" hidden="1" ht="14.25" customHeight="1" s="64">
      <c r="A1806" s="106" t="inlineStr">
        <is>
          <t>Cobrança</t>
        </is>
      </c>
      <c r="B1806" s="106" t="inlineStr">
        <is>
          <t>Custo Variável</t>
        </is>
      </c>
      <c r="C1806" s="106" t="inlineStr">
        <is>
          <t>Rescisões trabalhistas</t>
        </is>
      </c>
      <c r="D1806" s="107" t="n"/>
      <c r="E1806" s="108" t="n"/>
      <c r="F1806" s="109">
        <f>IFERROR(D1806*E1806,0)</f>
        <v/>
      </c>
      <c r="G1806" s="106">
        <f>INDEX(SETORES!$B:$B,MATCH(A1806,SETORES!$A:$A,0))</f>
        <v/>
      </c>
      <c r="H1806" s="106" t="inlineStr">
        <is>
          <t>Agosto/2026</t>
        </is>
      </c>
    </row>
    <row r="1807" hidden="1" ht="14.25" customHeight="1" s="64">
      <c r="A1807" s="106" t="inlineStr">
        <is>
          <t>Cobrança</t>
        </is>
      </c>
      <c r="B1807" s="106" t="inlineStr">
        <is>
          <t>Custo Fixo</t>
        </is>
      </c>
      <c r="C1807" s="106" t="inlineStr">
        <is>
          <t>Licença de e-mail corporativo</t>
        </is>
      </c>
      <c r="D1807" s="107" t="n">
        <v>13</v>
      </c>
      <c r="E1807" s="108" t="n">
        <v>50</v>
      </c>
      <c r="F1807" s="109">
        <f>IFERROR(D1807*E1807,0)</f>
        <v/>
      </c>
      <c r="G1807" s="106">
        <f>INDEX(SETORES!$B:$B,MATCH(A1807,SETORES!$A:$A,0))</f>
        <v/>
      </c>
      <c r="H1807" s="106" t="inlineStr">
        <is>
          <t>Agosto/2026</t>
        </is>
      </c>
    </row>
    <row r="1808" hidden="1" ht="14.25" customHeight="1" s="64">
      <c r="A1808" s="106" t="inlineStr">
        <is>
          <t>Cobrança</t>
        </is>
      </c>
      <c r="B1808" s="106" t="inlineStr">
        <is>
          <t>Custo Fixo</t>
        </is>
      </c>
      <c r="C1808" s="106" t="inlineStr">
        <is>
          <t>Software MATRIX (rateio equipe Relacionamento)</t>
        </is>
      </c>
      <c r="D1808" s="107" t="n"/>
      <c r="E1808" s="108" t="n"/>
      <c r="F1808" s="109">
        <f>IFERROR(D1808*E1808,0)</f>
        <v/>
      </c>
      <c r="G1808" s="106">
        <f>INDEX(SETORES!$B:$B,MATCH(A1808,SETORES!$A:$A,0))</f>
        <v/>
      </c>
      <c r="H1808" s="106" t="inlineStr">
        <is>
          <t>Agosto/2026</t>
        </is>
      </c>
    </row>
    <row r="1809" hidden="1" ht="14.25" customHeight="1" s="64">
      <c r="A1809" s="106" t="inlineStr">
        <is>
          <t>Cobrança</t>
        </is>
      </c>
      <c r="B1809" s="106" t="inlineStr">
        <is>
          <t>Custo Fixo</t>
        </is>
      </c>
      <c r="C1809" s="106" t="inlineStr">
        <is>
          <t>Impressora (rateio equipe Relacionamento)</t>
        </is>
      </c>
      <c r="D1809" s="107" t="n"/>
      <c r="E1809" s="108" t="n"/>
      <c r="F1809" s="109">
        <f>IFERROR(D1809*E1809,0)</f>
        <v/>
      </c>
      <c r="G1809" s="106">
        <f>INDEX(SETORES!$B:$B,MATCH(A1809,SETORES!$A:$A,0))</f>
        <v/>
      </c>
      <c r="H1809" s="106" t="inlineStr">
        <is>
          <t>Agosto/2026</t>
        </is>
      </c>
    </row>
    <row r="1810" hidden="1" ht="14.25" customHeight="1" s="64">
      <c r="A1810" s="106" t="inlineStr">
        <is>
          <t>Cobrança</t>
        </is>
      </c>
      <c r="B1810" s="106" t="inlineStr">
        <is>
          <t>Custo Fixo</t>
        </is>
      </c>
      <c r="C1810" s="106" t="inlineStr">
        <is>
          <t>Gympass</t>
        </is>
      </c>
      <c r="D1810" s="107" t="n"/>
      <c r="E1810" s="108" t="n"/>
      <c r="F1810" s="109">
        <f>IFERROR(D1810*E1810,0)</f>
        <v/>
      </c>
      <c r="G1810" s="106">
        <f>INDEX(SETORES!$B:$B,MATCH(A1810,SETORES!$A:$A,0))</f>
        <v/>
      </c>
      <c r="H1810" s="106" t="inlineStr">
        <is>
          <t>Agosto/2026</t>
        </is>
      </c>
    </row>
    <row r="1811" hidden="1" ht="14.25" customHeight="1" s="64">
      <c r="A1811" s="106" t="inlineStr">
        <is>
          <t>Cobrança</t>
        </is>
      </c>
      <c r="B1811" s="106" t="inlineStr">
        <is>
          <t>Custo Fixo</t>
        </is>
      </c>
      <c r="C1811" s="106" t="inlineStr">
        <is>
          <t>Stargrid</t>
        </is>
      </c>
      <c r="D1811" s="107" t="n">
        <v>13</v>
      </c>
      <c r="E1811" s="108" t="n">
        <v>1.87</v>
      </c>
      <c r="F1811" s="109">
        <f>IFERROR(D1811*E1811,0)</f>
        <v/>
      </c>
      <c r="G1811" s="106">
        <f>INDEX(SETORES!$B:$B,MATCH(A1811,SETORES!$A:$A,0))</f>
        <v/>
      </c>
      <c r="H1811" s="106" t="inlineStr">
        <is>
          <t>Agosto/2026</t>
        </is>
      </c>
    </row>
    <row r="1812" hidden="1" ht="14.25" customHeight="1" s="64">
      <c r="A1812" s="106" t="inlineStr">
        <is>
          <t>Comercial Corporativo</t>
        </is>
      </c>
      <c r="B1812" s="106" t="inlineStr">
        <is>
          <t>Custo Variável</t>
        </is>
      </c>
      <c r="C1812" s="106" t="inlineStr">
        <is>
          <t>Endomarketing</t>
        </is>
      </c>
      <c r="D1812" s="107" t="n"/>
      <c r="E1812" s="108" t="n"/>
      <c r="F1812" s="109">
        <f>IFERROR(D1812*E1812,0)</f>
        <v/>
      </c>
      <c r="G1812" s="106">
        <f>INDEX(SETORES!$B:$B,MATCH(A1812,SETORES!$A:$A,0))</f>
        <v/>
      </c>
      <c r="H1812" s="106" t="inlineStr">
        <is>
          <t>Agosto/2026</t>
        </is>
      </c>
    </row>
    <row r="1813" hidden="1" ht="14.25" customHeight="1" s="64">
      <c r="A1813" s="106" t="inlineStr">
        <is>
          <t>Comercial Corporativo</t>
        </is>
      </c>
      <c r="B1813" s="106" t="inlineStr">
        <is>
          <t>Custo Variável</t>
        </is>
      </c>
      <c r="C1813" s="106" t="inlineStr">
        <is>
          <t>Marketing direto</t>
        </is>
      </c>
      <c r="D1813" s="107" t="n"/>
      <c r="E1813" s="108" t="n"/>
      <c r="F1813" s="109">
        <f>IFERROR(D1813*E1813,0)</f>
        <v/>
      </c>
      <c r="G1813" s="106">
        <f>INDEX(SETORES!$B:$B,MATCH(A1813,SETORES!$A:$A,0))</f>
        <v/>
      </c>
      <c r="H1813" s="106" t="inlineStr">
        <is>
          <t>Agosto/2026</t>
        </is>
      </c>
    </row>
    <row r="1814" hidden="1" ht="14.25" customHeight="1" s="64">
      <c r="A1814" s="106" t="inlineStr">
        <is>
          <t>Comercial Corporativo</t>
        </is>
      </c>
      <c r="B1814" s="106" t="inlineStr">
        <is>
          <t>Custo Fixo</t>
        </is>
      </c>
      <c r="C1814" s="106" t="inlineStr">
        <is>
          <t>E-mail do departamento</t>
        </is>
      </c>
      <c r="D1814" s="107" t="n">
        <v>12</v>
      </c>
      <c r="E1814" s="108" t="n">
        <v>50</v>
      </c>
      <c r="F1814" s="109">
        <f>IFERROR(D1814*E1814,0)</f>
        <v/>
      </c>
      <c r="G1814" s="106">
        <f>INDEX(SETORES!$B:$B,MATCH(A1814,SETORES!$A:$A,0))</f>
        <v/>
      </c>
      <c r="H1814" s="106" t="inlineStr">
        <is>
          <t>Agosto/2026</t>
        </is>
      </c>
    </row>
    <row r="1815" hidden="1" ht="14.25" customHeight="1" s="64">
      <c r="A1815" s="106" t="inlineStr">
        <is>
          <t>Comercial Corporativo</t>
        </is>
      </c>
      <c r="B1815" s="106" t="inlineStr">
        <is>
          <t>Custo Fixo</t>
        </is>
      </c>
      <c r="C1815" s="106" t="inlineStr">
        <is>
          <t>Folha de pagamento (salários)</t>
        </is>
      </c>
      <c r="D1815" s="107" t="n">
        <v>1</v>
      </c>
      <c r="E1815" s="108" t="n">
        <v>189839.41</v>
      </c>
      <c r="F1815" s="109">
        <f>IFERROR(D1815*E1815,0)</f>
        <v/>
      </c>
      <c r="G1815" s="106">
        <f>INDEX(SETORES!$B:$B,MATCH(A1815,SETORES!$A:$A,0))</f>
        <v/>
      </c>
      <c r="H1815" s="106" t="inlineStr">
        <is>
          <t>Agosto/2026</t>
        </is>
      </c>
    </row>
    <row r="1816" hidden="1" ht="14.25" customHeight="1" s="64">
      <c r="A1816" s="106" t="inlineStr">
        <is>
          <t>Comercial Corporativo</t>
        </is>
      </c>
      <c r="B1816" s="106" t="inlineStr">
        <is>
          <t>Custo Fixo</t>
        </is>
      </c>
      <c r="C1816" s="106" t="inlineStr">
        <is>
          <t>Linhas moveis (FIQUE MÓVEL)</t>
        </is>
      </c>
      <c r="D1816" s="107" t="n"/>
      <c r="E1816" s="108" t="n"/>
      <c r="F1816" s="109">
        <f>IFERROR(D1816*E1816,0)</f>
        <v/>
      </c>
      <c r="G1816" s="106">
        <f>INDEX(SETORES!$B:$B,MATCH(A1816,SETORES!$A:$A,0))</f>
        <v/>
      </c>
      <c r="H1816" s="106" t="inlineStr">
        <is>
          <t>Agosto/2026</t>
        </is>
      </c>
    </row>
    <row r="1817" hidden="1" ht="14.25" customHeight="1" s="64">
      <c r="A1817" s="106" t="inlineStr">
        <is>
          <t>Comercial Corporativo</t>
        </is>
      </c>
      <c r="B1817" s="106" t="inlineStr">
        <is>
          <t>Custo Fixo</t>
        </is>
      </c>
      <c r="C1817" s="106" t="inlineStr">
        <is>
          <t>Despesas com RH</t>
        </is>
      </c>
      <c r="D1817" s="107" t="n">
        <v>12</v>
      </c>
      <c r="E1817" s="108" t="n">
        <v>32.55</v>
      </c>
      <c r="F1817" s="109">
        <f>IFERROR(D1817*E1817,0)</f>
        <v/>
      </c>
      <c r="G1817" s="106">
        <f>INDEX(SETORES!$B:$B,MATCH(A1817,SETORES!$A:$A,0))</f>
        <v/>
      </c>
      <c r="H1817" s="106" t="inlineStr">
        <is>
          <t>Agosto/2026</t>
        </is>
      </c>
    </row>
    <row r="1818" hidden="1" ht="14.25" customHeight="1" s="64">
      <c r="A1818" s="106" t="inlineStr">
        <is>
          <t>Comercial Corporativo</t>
        </is>
      </c>
      <c r="B1818" s="106" t="inlineStr">
        <is>
          <t>Custo Fixo</t>
        </is>
      </c>
      <c r="C1818" s="106" t="inlineStr">
        <is>
          <t>Despesas com DP</t>
        </is>
      </c>
      <c r="D1818" s="107" t="n">
        <v>12</v>
      </c>
      <c r="E1818" s="108" t="n">
        <v>52.09</v>
      </c>
      <c r="F1818" s="109">
        <f>IFERROR(D1818*E1818,0)</f>
        <v/>
      </c>
      <c r="G1818" s="106">
        <f>INDEX(SETORES!$B:$B,MATCH(A1818,SETORES!$A:$A,0))</f>
        <v/>
      </c>
      <c r="H1818" s="106" t="inlineStr">
        <is>
          <t>Agosto/2026</t>
        </is>
      </c>
    </row>
    <row r="1819" hidden="1" ht="14.25" customHeight="1" s="64">
      <c r="A1819" s="106" t="inlineStr">
        <is>
          <t>Comercial Corporativo</t>
        </is>
      </c>
      <c r="B1819" s="106" t="inlineStr">
        <is>
          <t>Custo Fixo</t>
        </is>
      </c>
      <c r="C1819" s="106" t="inlineStr">
        <is>
          <t>Despesas com SST</t>
        </is>
      </c>
      <c r="D1819" s="107" t="n">
        <v>12</v>
      </c>
      <c r="E1819" s="108" t="n">
        <v>52.35</v>
      </c>
      <c r="F1819" s="109">
        <f>IFERROR(D1819*E1819,0)</f>
        <v/>
      </c>
      <c r="G1819" s="106">
        <f>INDEX(SETORES!$B:$B,MATCH(A1819,SETORES!$A:$A,0))</f>
        <v/>
      </c>
      <c r="H1819" s="106" t="inlineStr">
        <is>
          <t>Agosto/2026</t>
        </is>
      </c>
    </row>
    <row r="1820" hidden="1" ht="14.25" customHeight="1" s="64">
      <c r="A1820" s="106" t="inlineStr">
        <is>
          <t>Comercial Corporativo</t>
        </is>
      </c>
      <c r="B1820" s="106" t="inlineStr">
        <is>
          <t>Custo Variável</t>
        </is>
      </c>
      <c r="C1820" s="106" t="inlineStr">
        <is>
          <t>Exames médicos</t>
        </is>
      </c>
      <c r="D1820" s="107" t="n"/>
      <c r="E1820" s="108" t="n"/>
      <c r="F1820" s="109">
        <f>IFERROR(D1820*E1820,0)</f>
        <v/>
      </c>
      <c r="G1820" s="106">
        <f>INDEX(SETORES!$B:$B,MATCH(A1820,SETORES!$A:$A,0))</f>
        <v/>
      </c>
      <c r="H1820" s="106" t="inlineStr">
        <is>
          <t>Agosto/2026</t>
        </is>
      </c>
    </row>
    <row r="1821" hidden="1" ht="14.25" customHeight="1" s="64">
      <c r="A1821" s="106" t="inlineStr">
        <is>
          <t>Comercial Corporativo</t>
        </is>
      </c>
      <c r="B1821" s="106" t="inlineStr">
        <is>
          <t>Custo Variável</t>
        </is>
      </c>
      <c r="C1821" s="106" t="inlineStr">
        <is>
          <t>Novo Fardamento</t>
        </is>
      </c>
      <c r="D1821" s="107" t="n">
        <v>1</v>
      </c>
      <c r="E1821" s="108" t="n">
        <v>90</v>
      </c>
      <c r="F1821" s="109">
        <f>IFERROR(D1821*E1821,0)</f>
        <v/>
      </c>
      <c r="G1821" s="106">
        <f>INDEX(SETORES!$B:$B,MATCH(A1821,SETORES!$A:$A,0))</f>
        <v/>
      </c>
      <c r="H1821" s="106" t="inlineStr">
        <is>
          <t>Agosto/2026</t>
        </is>
      </c>
    </row>
    <row r="1822" hidden="1" ht="14.25" customHeight="1" s="64">
      <c r="A1822" s="106" t="inlineStr">
        <is>
          <t>Comercial Corporativo</t>
        </is>
      </c>
      <c r="B1822" s="106" t="inlineStr">
        <is>
          <t>Custo Variável</t>
        </is>
      </c>
      <c r="C1822" s="106" t="inlineStr">
        <is>
          <t>Devolução de fardamento</t>
        </is>
      </c>
      <c r="D1822" s="107" t="n"/>
      <c r="E1822" s="108" t="n"/>
      <c r="F1822" s="109">
        <f>IFERROR(D1822*E1822,0)</f>
        <v/>
      </c>
      <c r="G1822" s="106">
        <f>INDEX(SETORES!$B:$B,MATCH(A1822,SETORES!$A:$A,0))</f>
        <v/>
      </c>
      <c r="H1822" s="106" t="inlineStr">
        <is>
          <t>Agosto/2026</t>
        </is>
      </c>
    </row>
    <row r="1823" hidden="1" ht="14.25" customHeight="1" s="64">
      <c r="A1823" s="106" t="inlineStr">
        <is>
          <t>Comercial Corporativo</t>
        </is>
      </c>
      <c r="B1823" s="106" t="inlineStr">
        <is>
          <t>Custo Variável</t>
        </is>
      </c>
      <c r="C1823" s="106" t="inlineStr">
        <is>
          <t>Substituição extra de Fardamento</t>
        </is>
      </c>
      <c r="D1823" s="107" t="n"/>
      <c r="E1823" s="108" t="n"/>
      <c r="F1823" s="109">
        <f>IFERROR(D1823*E1823,0)</f>
        <v/>
      </c>
      <c r="G1823" s="106">
        <f>INDEX(SETORES!$B:$B,MATCH(A1823,SETORES!$A:$A,0))</f>
        <v/>
      </c>
      <c r="H1823" s="106" t="inlineStr">
        <is>
          <t>Agosto/2026</t>
        </is>
      </c>
    </row>
    <row r="1824" hidden="1" ht="14.25" customHeight="1" s="64">
      <c r="A1824" s="106" t="inlineStr">
        <is>
          <t>Comercial Corporativo</t>
        </is>
      </c>
      <c r="B1824" s="106" t="inlineStr">
        <is>
          <t>Custo Variável</t>
        </is>
      </c>
      <c r="C1824" s="106" t="inlineStr">
        <is>
          <t>Consumo de combustível</t>
        </is>
      </c>
      <c r="D1824" s="107" t="n">
        <v>1</v>
      </c>
      <c r="E1824" s="108" t="n">
        <v>3995.53</v>
      </c>
      <c r="F1824" s="109">
        <f>IFERROR(D1824*E1824,0)</f>
        <v/>
      </c>
      <c r="G1824" s="106">
        <f>INDEX(SETORES!$B:$B,MATCH(A1824,SETORES!$A:$A,0))</f>
        <v/>
      </c>
      <c r="H1824" s="106" t="inlineStr">
        <is>
          <t>Agosto/2026</t>
        </is>
      </c>
    </row>
    <row r="1825" hidden="1" ht="14.25" customHeight="1" s="64">
      <c r="A1825" s="106" t="inlineStr">
        <is>
          <t>Comercial Corporativo</t>
        </is>
      </c>
      <c r="B1825" s="106" t="inlineStr">
        <is>
          <t>Custo Fixo</t>
        </is>
      </c>
      <c r="C1825" s="106" t="inlineStr">
        <is>
          <t>Gympass</t>
        </is>
      </c>
      <c r="D1825" s="107" t="n"/>
      <c r="E1825" s="108" t="n"/>
      <c r="F1825" s="109">
        <f>IFERROR(D1825*E1825,0)</f>
        <v/>
      </c>
      <c r="G1825" s="106">
        <f>INDEX(SETORES!$B:$B,MATCH(A1825,SETORES!$A:$A,0))</f>
        <v/>
      </c>
      <c r="H1825" s="106" t="inlineStr">
        <is>
          <t>Agosto/2026</t>
        </is>
      </c>
    </row>
    <row r="1826" hidden="1" ht="14.25" customHeight="1" s="64">
      <c r="A1826" s="106" t="inlineStr">
        <is>
          <t>Comercial Corporativo</t>
        </is>
      </c>
      <c r="B1826" s="106" t="inlineStr">
        <is>
          <t>Custo Fixo</t>
        </is>
      </c>
      <c r="C1826" s="106" t="inlineStr">
        <is>
          <t>Stargrid</t>
        </is>
      </c>
      <c r="D1826" s="107" t="n">
        <v>12</v>
      </c>
      <c r="E1826" s="108" t="n">
        <v>1.87</v>
      </c>
      <c r="F1826" s="109">
        <f>IFERROR(D1826*E1826,0)</f>
        <v/>
      </c>
      <c r="G1826" s="106">
        <f>INDEX(SETORES!$B:$B,MATCH(A1826,SETORES!$A:$A,0))</f>
        <v/>
      </c>
      <c r="H1826" s="106" t="inlineStr">
        <is>
          <t>Agosto/2026</t>
        </is>
      </c>
    </row>
    <row r="1827" hidden="1" ht="14.25" customHeight="1" s="64">
      <c r="A1827" s="106" t="inlineStr">
        <is>
          <t>Comercial Corporativo</t>
        </is>
      </c>
      <c r="B1827" s="106" t="inlineStr">
        <is>
          <t>Custo Variável</t>
        </is>
      </c>
      <c r="C1827" s="106" t="inlineStr">
        <is>
          <t>Rescisões/Despesas Trabalhistas extra folha</t>
        </is>
      </c>
      <c r="D1827" s="107" t="n"/>
      <c r="E1827" s="108" t="n"/>
      <c r="F1827" s="109">
        <f>IFERROR(D1827*E1827,0)</f>
        <v/>
      </c>
      <c r="G1827" s="106">
        <f>INDEX(SETORES!$B:$B,MATCH(A1827,SETORES!$A:$A,0))</f>
        <v/>
      </c>
      <c r="H1827" s="106" t="inlineStr">
        <is>
          <t>Agosto/2026</t>
        </is>
      </c>
    </row>
    <row r="1828" hidden="1" ht="14.25" customHeight="1" s="64">
      <c r="A1828" s="106" t="inlineStr">
        <is>
          <t>Comercial Corporativo</t>
        </is>
      </c>
      <c r="B1828" s="106" t="inlineStr">
        <is>
          <t>Custo Fixo</t>
        </is>
      </c>
      <c r="C1828" s="106" t="inlineStr">
        <is>
          <t>Datlo</t>
        </is>
      </c>
      <c r="D1828" s="107" t="n">
        <v>1</v>
      </c>
      <c r="E1828" s="108" t="n">
        <v>2997</v>
      </c>
      <c r="F1828" s="109">
        <f>IFERROR(D1828*E1828,0)</f>
        <v/>
      </c>
      <c r="G1828" s="106">
        <f>INDEX(SETORES!$B:$B,MATCH(A1828,SETORES!$A:$A,0))</f>
        <v/>
      </c>
      <c r="H1828" s="106" t="inlineStr">
        <is>
          <t>Agosto/2026</t>
        </is>
      </c>
    </row>
    <row r="1829" hidden="1" ht="14.25" customHeight="1" s="64">
      <c r="A1829" s="106" t="inlineStr">
        <is>
          <t>Comercial Corporativo</t>
        </is>
      </c>
      <c r="B1829" s="106" t="inlineStr">
        <is>
          <t>Custo Fixo</t>
        </is>
      </c>
      <c r="C1829" s="106" t="inlineStr">
        <is>
          <t>Agendor (válido por 3 meses)</t>
        </is>
      </c>
      <c r="D1829" s="107" t="n">
        <v>1</v>
      </c>
      <c r="E1829" s="108" t="n">
        <v>545.99</v>
      </c>
      <c r="F1829" s="109">
        <f>IFERROR(D1829*E1829,0)</f>
        <v/>
      </c>
      <c r="G1829" s="106">
        <f>INDEX(SETORES!$B:$B,MATCH(A1829,SETORES!$A:$A,0))</f>
        <v/>
      </c>
      <c r="H1829" s="106" t="inlineStr">
        <is>
          <t>Agosto/2026</t>
        </is>
      </c>
    </row>
    <row r="1830" hidden="1" ht="14.25" customHeight="1" s="64">
      <c r="A1830" s="106" t="inlineStr">
        <is>
          <t>Comercial Corporativo</t>
        </is>
      </c>
      <c r="B1830" s="106" t="inlineStr">
        <is>
          <t>Custo Fixo</t>
        </is>
      </c>
      <c r="C1830" s="106" t="inlineStr">
        <is>
          <t>Dynamics (f001796)</t>
        </is>
      </c>
      <c r="D1830" s="107" t="n"/>
      <c r="E1830" s="108" t="n"/>
      <c r="F1830" s="109">
        <f>IFERROR(D1830*E1830,0)</f>
        <v/>
      </c>
      <c r="G1830" s="106">
        <f>INDEX(SETORES!$B:$B,MATCH(A1830,SETORES!$A:$A,0))</f>
        <v/>
      </c>
      <c r="H1830" s="106" t="inlineStr">
        <is>
          <t>Agosto/2026</t>
        </is>
      </c>
    </row>
    <row r="1831" hidden="1" ht="14.25" customHeight="1" s="64">
      <c r="A1831" s="106" t="inlineStr">
        <is>
          <t>Comercial Corporativo</t>
        </is>
      </c>
      <c r="B1831" s="106" t="inlineStr">
        <is>
          <t>Custo Fixo</t>
        </is>
      </c>
      <c r="C1831" s="106" t="inlineStr">
        <is>
          <t>Salesforce</t>
        </is>
      </c>
      <c r="D1831" s="107" t="n">
        <v>1</v>
      </c>
      <c r="E1831" s="108" t="n">
        <v>3042.34</v>
      </c>
      <c r="F1831" s="109">
        <f>IFERROR(D1831*E1831,0)</f>
        <v/>
      </c>
      <c r="G1831" s="106">
        <f>INDEX(SETORES!$B:$B,MATCH(A1831,SETORES!$A:$A,0))</f>
        <v/>
      </c>
      <c r="H1831" s="106" t="inlineStr">
        <is>
          <t>Agosto/2026</t>
        </is>
      </c>
    </row>
    <row r="1832" hidden="1" ht="14.25" customHeight="1" s="64">
      <c r="A1832" s="106" t="inlineStr">
        <is>
          <t>Compras</t>
        </is>
      </c>
      <c r="B1832" s="106" t="inlineStr">
        <is>
          <t>Custo Fixo</t>
        </is>
      </c>
      <c r="C1832" s="106" t="inlineStr">
        <is>
          <t>Material de escritório (suprimentos de informática)</t>
        </is>
      </c>
      <c r="D1832" s="107" t="n"/>
      <c r="E1832" s="108" t="n"/>
      <c r="F1832" s="109">
        <f>IFERROR(D1832*E1832,0)</f>
        <v/>
      </c>
      <c r="G1832" s="106">
        <f>INDEX(SETORES!$B:$B,MATCH(A1832,SETORES!$A:$A,0))</f>
        <v/>
      </c>
      <c r="H1832" s="106" t="inlineStr">
        <is>
          <t>Agosto/2026</t>
        </is>
      </c>
    </row>
    <row r="1833" hidden="1" ht="14.25" customHeight="1" s="64">
      <c r="A1833" s="106" t="inlineStr">
        <is>
          <t>Compras</t>
        </is>
      </c>
      <c r="B1833" s="106" t="inlineStr">
        <is>
          <t>Custo Fixo</t>
        </is>
      </c>
      <c r="C1833" s="106" t="inlineStr">
        <is>
          <t>Material de uso coletivo (copa/limpeza)</t>
        </is>
      </c>
      <c r="D1833" s="107" t="n"/>
      <c r="E1833" s="108" t="n"/>
      <c r="F1833" s="109">
        <f>IFERROR(D1833*E1833,0)</f>
        <v/>
      </c>
      <c r="G1833" s="106">
        <f>INDEX(SETORES!$B:$B,MATCH(A1833,SETORES!$A:$A,0))</f>
        <v/>
      </c>
      <c r="H1833" s="106" t="inlineStr">
        <is>
          <t>Agosto/2026</t>
        </is>
      </c>
    </row>
    <row r="1834" hidden="1" ht="14.25" customHeight="1" s="64">
      <c r="A1834" s="106" t="inlineStr">
        <is>
          <t>Compras</t>
        </is>
      </c>
      <c r="B1834" s="106" t="inlineStr">
        <is>
          <t>Custo Fixo</t>
        </is>
      </c>
      <c r="C1834" s="106" t="inlineStr">
        <is>
          <t>Energia elétrica (rateio)</t>
        </is>
      </c>
      <c r="D1834" s="107" t="n"/>
      <c r="E1834" s="108" t="n"/>
      <c r="F1834" s="109">
        <f>IFERROR(D1834*E1834,0)</f>
        <v/>
      </c>
      <c r="G1834" s="106">
        <f>INDEX(SETORES!$B:$B,MATCH(A1834,SETORES!$A:$A,0))</f>
        <v/>
      </c>
      <c r="H1834" s="106" t="inlineStr">
        <is>
          <t>Agosto/2026</t>
        </is>
      </c>
    </row>
    <row r="1835" hidden="1" ht="14.25" customHeight="1" s="64">
      <c r="A1835" s="106" t="inlineStr">
        <is>
          <t>Compras</t>
        </is>
      </c>
      <c r="B1835" s="106" t="inlineStr">
        <is>
          <t>Custo Fixo</t>
        </is>
      </c>
      <c r="C1835" s="106" t="inlineStr">
        <is>
          <t>Água e esgoto (rateio)</t>
        </is>
      </c>
      <c r="D1835" s="107" t="n"/>
      <c r="E1835" s="108" t="n"/>
      <c r="F1835" s="109">
        <f>IFERROR(D1835*E1835,0)</f>
        <v/>
      </c>
      <c r="G1835" s="106">
        <f>INDEX(SETORES!$B:$B,MATCH(A1835,SETORES!$A:$A,0))</f>
        <v/>
      </c>
      <c r="H1835" s="106" t="inlineStr">
        <is>
          <t>Agosto/2026</t>
        </is>
      </c>
    </row>
    <row r="1836" hidden="1" ht="14.25" customHeight="1" s="64">
      <c r="A1836" s="106" t="inlineStr">
        <is>
          <t>Compras</t>
        </is>
      </c>
      <c r="B1836" s="106" t="inlineStr">
        <is>
          <t>Custo Fixo</t>
        </is>
      </c>
      <c r="C1836" s="106" t="inlineStr">
        <is>
          <t>Telefonia móvel corporativa</t>
        </is>
      </c>
      <c r="D1836" s="107" t="n"/>
      <c r="E1836" s="108" t="n"/>
      <c r="F1836" s="109">
        <f>IFERROR(D1836*E1836,0)</f>
        <v/>
      </c>
      <c r="G1836" s="106">
        <f>INDEX(SETORES!$B:$B,MATCH(A1836,SETORES!$A:$A,0))</f>
        <v/>
      </c>
      <c r="H1836" s="106" t="inlineStr">
        <is>
          <t>Agosto/2026</t>
        </is>
      </c>
    </row>
    <row r="1837" hidden="1" ht="14.25" customHeight="1" s="64">
      <c r="A1837" s="106" t="inlineStr">
        <is>
          <t>Compras</t>
        </is>
      </c>
      <c r="B1837" s="106" t="inlineStr">
        <is>
          <t>Custo Fixo</t>
        </is>
      </c>
      <c r="C1837" s="106" t="inlineStr">
        <is>
          <t>Folha de pagamento (salários)</t>
        </is>
      </c>
      <c r="D1837" s="107" t="n">
        <v>1</v>
      </c>
      <c r="E1837" s="108" t="n">
        <v>24935.86</v>
      </c>
      <c r="F1837" s="109">
        <f>IFERROR(D1837*E1837,0)</f>
        <v/>
      </c>
      <c r="G1837" s="106">
        <f>INDEX(SETORES!$B:$B,MATCH(A1837,SETORES!$A:$A,0))</f>
        <v/>
      </c>
      <c r="H1837" s="106" t="inlineStr">
        <is>
          <t>Agosto/2026</t>
        </is>
      </c>
    </row>
    <row r="1838" hidden="1" ht="14.25" customHeight="1" s="64">
      <c r="A1838" s="106" t="inlineStr">
        <is>
          <t>Compras</t>
        </is>
      </c>
      <c r="B1838" s="106" t="inlineStr">
        <is>
          <t>Custo Variável</t>
        </is>
      </c>
      <c r="C1838" s="106" t="inlineStr">
        <is>
          <t>Rateio de transporte coletivo</t>
        </is>
      </c>
      <c r="D1838" s="107" t="n"/>
      <c r="E1838" s="108" t="n"/>
      <c r="F1838" s="109">
        <f>IFERROR(D1838*E1838,0)</f>
        <v/>
      </c>
      <c r="G1838" s="106">
        <f>INDEX(SETORES!$B:$B,MATCH(A1838,SETORES!$A:$A,0))</f>
        <v/>
      </c>
      <c r="H1838" s="106" t="inlineStr">
        <is>
          <t>Agosto/2026</t>
        </is>
      </c>
    </row>
    <row r="1839" hidden="1" ht="14.25" customHeight="1" s="64">
      <c r="A1839" s="106" t="inlineStr">
        <is>
          <t>Compras</t>
        </is>
      </c>
      <c r="B1839" s="106" t="inlineStr">
        <is>
          <t>Custo Fixo</t>
        </is>
      </c>
      <c r="C1839" s="106" t="inlineStr">
        <is>
          <t>Licença de e-mail corporativo</t>
        </is>
      </c>
      <c r="D1839" s="107" t="n">
        <v>5</v>
      </c>
      <c r="E1839" s="108" t="n">
        <v>50</v>
      </c>
      <c r="F1839" s="109">
        <f>IFERROR(D1839*E1839,0)</f>
        <v/>
      </c>
      <c r="G1839" s="106">
        <f>INDEX(SETORES!$B:$B,MATCH(A1839,SETORES!$A:$A,0))</f>
        <v/>
      </c>
      <c r="H1839" s="106" t="inlineStr">
        <is>
          <t>Agosto/2026</t>
        </is>
      </c>
    </row>
    <row r="1840" hidden="1" ht="14.25" customHeight="1" s="64">
      <c r="A1840" s="106" t="inlineStr">
        <is>
          <t>Compras</t>
        </is>
      </c>
      <c r="B1840" s="106" t="inlineStr">
        <is>
          <t>Custo Fixo</t>
        </is>
      </c>
      <c r="C1840" s="106" t="inlineStr">
        <is>
          <t>Impressora</t>
        </is>
      </c>
      <c r="D1840" s="107" t="n"/>
      <c r="E1840" s="108" t="n"/>
      <c r="F1840" s="109">
        <f>IFERROR(D1840*E1840,0)</f>
        <v/>
      </c>
      <c r="G1840" s="106">
        <f>INDEX(SETORES!$B:$B,MATCH(A1840,SETORES!$A:$A,0))</f>
        <v/>
      </c>
      <c r="H1840" s="106" t="inlineStr">
        <is>
          <t>Agosto/2026</t>
        </is>
      </c>
    </row>
    <row r="1841" hidden="1" ht="14.25" customHeight="1" s="64">
      <c r="A1841" s="106" t="inlineStr">
        <is>
          <t>Compras</t>
        </is>
      </c>
      <c r="B1841" s="106" t="inlineStr">
        <is>
          <t>Custo Fixo</t>
        </is>
      </c>
      <c r="C1841" s="106" t="inlineStr">
        <is>
          <t>Gympass</t>
        </is>
      </c>
      <c r="D1841" s="107" t="n"/>
      <c r="E1841" s="108" t="n"/>
      <c r="F1841" s="109">
        <f>IFERROR(D1841*E1841,0)</f>
        <v/>
      </c>
      <c r="G1841" s="106">
        <f>INDEX(SETORES!$B:$B,MATCH(A1841,SETORES!$A:$A,0))</f>
        <v/>
      </c>
      <c r="H1841" s="106" t="inlineStr">
        <is>
          <t>Agosto/2026</t>
        </is>
      </c>
    </row>
    <row r="1842" hidden="1" ht="14.25" customHeight="1" s="64">
      <c r="A1842" s="106" t="inlineStr">
        <is>
          <t>Compras</t>
        </is>
      </c>
      <c r="B1842" s="106" t="inlineStr">
        <is>
          <t>Custo Fixo</t>
        </is>
      </c>
      <c r="C1842" s="106" t="inlineStr">
        <is>
          <t>Stargrid</t>
        </is>
      </c>
      <c r="D1842" s="107" t="n">
        <v>5</v>
      </c>
      <c r="E1842" s="108" t="n">
        <v>1.87</v>
      </c>
      <c r="F1842" s="109">
        <f>IFERROR(D1842*E1842,0)</f>
        <v/>
      </c>
      <c r="G1842" s="106">
        <f>INDEX(SETORES!$B:$B,MATCH(A1842,SETORES!$A:$A,0))</f>
        <v/>
      </c>
      <c r="H1842" s="106" t="inlineStr">
        <is>
          <t>Agosto/2026</t>
        </is>
      </c>
    </row>
    <row r="1843" hidden="1" ht="14.25" customHeight="1" s="64">
      <c r="A1843" s="106" t="inlineStr">
        <is>
          <t>Contabilidade</t>
        </is>
      </c>
      <c r="B1843" s="106" t="inlineStr">
        <is>
          <t>Custo Fixo</t>
        </is>
      </c>
      <c r="C1843" s="106" t="inlineStr">
        <is>
          <t>Material de escritório (suprimentos de informática)</t>
        </is>
      </c>
      <c r="D1843" s="107" t="n"/>
      <c r="E1843" s="108" t="n"/>
      <c r="F1843" s="109">
        <f>IFERROR(D1843*E1843,0)</f>
        <v/>
      </c>
      <c r="G1843" s="106">
        <f>INDEX(SETORES!$B:$B,MATCH(A1843,SETORES!$A:$A,0))</f>
        <v/>
      </c>
      <c r="H1843" s="106" t="inlineStr">
        <is>
          <t>Agosto/2026</t>
        </is>
      </c>
    </row>
    <row r="1844" hidden="1" ht="14.25" customHeight="1" s="64">
      <c r="A1844" s="106" t="inlineStr">
        <is>
          <t>Contabilidade</t>
        </is>
      </c>
      <c r="B1844" s="106" t="inlineStr">
        <is>
          <t>Custo Fixo</t>
        </is>
      </c>
      <c r="C1844" s="106" t="inlineStr">
        <is>
          <t>Material de uso coletivo (copa/limpeza)</t>
        </is>
      </c>
      <c r="D1844" s="107" t="n">
        <v>1</v>
      </c>
      <c r="E1844" s="108" t="n">
        <v>241.44</v>
      </c>
      <c r="F1844" s="109">
        <f>IFERROR(D1844*E1844,0)</f>
        <v/>
      </c>
      <c r="G1844" s="106">
        <f>INDEX(SETORES!$B:$B,MATCH(A1844,SETORES!$A:$A,0))</f>
        <v/>
      </c>
      <c r="H1844" s="106" t="inlineStr">
        <is>
          <t>Agosto/2026</t>
        </is>
      </c>
    </row>
    <row r="1845" hidden="1" ht="14.25" customHeight="1" s="64">
      <c r="A1845" s="106" t="inlineStr">
        <is>
          <t>Contabilidade</t>
        </is>
      </c>
      <c r="B1845" s="106" t="inlineStr">
        <is>
          <t>Custo Fixo</t>
        </is>
      </c>
      <c r="C1845" s="106" t="inlineStr">
        <is>
          <t>Energia elétrica (rateio)</t>
        </is>
      </c>
      <c r="D1845" s="107" t="n"/>
      <c r="E1845" s="108" t="n"/>
      <c r="F1845" s="109">
        <f>IFERROR(D1845*E1845,0)</f>
        <v/>
      </c>
      <c r="G1845" s="106">
        <f>INDEX(SETORES!$B:$B,MATCH(A1845,SETORES!$A:$A,0))</f>
        <v/>
      </c>
      <c r="H1845" s="106" t="inlineStr">
        <is>
          <t>Agosto/2026</t>
        </is>
      </c>
    </row>
    <row r="1846" hidden="1" ht="14.25" customHeight="1" s="64">
      <c r="A1846" s="106" t="inlineStr">
        <is>
          <t>Contabilidade</t>
        </is>
      </c>
      <c r="B1846" s="106" t="inlineStr">
        <is>
          <t>Custo Fixo</t>
        </is>
      </c>
      <c r="C1846" s="106" t="inlineStr">
        <is>
          <t>Água e esgoto (rateio)</t>
        </is>
      </c>
      <c r="D1846" s="107" t="n"/>
      <c r="E1846" s="108" t="n"/>
      <c r="F1846" s="109">
        <f>IFERROR(D1846*E1846,0)</f>
        <v/>
      </c>
      <c r="G1846" s="106">
        <f>INDEX(SETORES!$B:$B,MATCH(A1846,SETORES!$A:$A,0))</f>
        <v/>
      </c>
      <c r="H1846" s="106" t="inlineStr">
        <is>
          <t>Agosto/2026</t>
        </is>
      </c>
    </row>
    <row r="1847" hidden="1" ht="14.25" customHeight="1" s="64">
      <c r="A1847" s="106" t="inlineStr">
        <is>
          <t>Contabilidade</t>
        </is>
      </c>
      <c r="B1847" s="106" t="inlineStr">
        <is>
          <t>Custo Fixo</t>
        </is>
      </c>
      <c r="C1847" s="106" t="inlineStr">
        <is>
          <t>Telefonia móvel corporativa</t>
        </is>
      </c>
      <c r="D1847" s="107" t="n"/>
      <c r="E1847" s="108" t="n"/>
      <c r="F1847" s="109">
        <f>IFERROR(D1847*E1847,0)</f>
        <v/>
      </c>
      <c r="G1847" s="106">
        <f>INDEX(SETORES!$B:$B,MATCH(A1847,SETORES!$A:$A,0))</f>
        <v/>
      </c>
      <c r="H1847" s="106" t="inlineStr">
        <is>
          <t>Agosto/2026</t>
        </is>
      </c>
    </row>
    <row r="1848" hidden="1" ht="14.25" customHeight="1" s="64">
      <c r="A1848" s="106" t="inlineStr">
        <is>
          <t>Contabilidade</t>
        </is>
      </c>
      <c r="B1848" s="106" t="inlineStr">
        <is>
          <t>Custo Fixo</t>
        </is>
      </c>
      <c r="C1848" s="106" t="inlineStr">
        <is>
          <t>Folha de pagamento (salários)</t>
        </is>
      </c>
      <c r="D1848" s="107" t="n">
        <v>1</v>
      </c>
      <c r="E1848" s="108" t="n">
        <v>36209.58</v>
      </c>
      <c r="F1848" s="109">
        <f>IFERROR(D1848*E1848,0)</f>
        <v/>
      </c>
      <c r="G1848" s="106">
        <f>INDEX(SETORES!$B:$B,MATCH(A1848,SETORES!$A:$A,0))</f>
        <v/>
      </c>
      <c r="H1848" s="106" t="inlineStr">
        <is>
          <t>Agosto/2026</t>
        </is>
      </c>
    </row>
    <row r="1849" hidden="1" ht="14.25" customHeight="1" s="64">
      <c r="A1849" s="106" t="inlineStr">
        <is>
          <t>Contabilidade</t>
        </is>
      </c>
      <c r="B1849" s="106" t="inlineStr">
        <is>
          <t>Custo Variável</t>
        </is>
      </c>
      <c r="C1849" s="106" t="inlineStr">
        <is>
          <t>Auditoria contábil externa (fiber finance)</t>
        </is>
      </c>
      <c r="D1849" s="107" t="n"/>
      <c r="E1849" s="108" t="n"/>
      <c r="F1849" s="109">
        <f>IFERROR(D1849*E1849,0)</f>
        <v/>
      </c>
      <c r="G1849" s="106">
        <f>INDEX(SETORES!$B:$B,MATCH(A1849,SETORES!$A:$A,0))</f>
        <v/>
      </c>
      <c r="H1849" s="106" t="inlineStr">
        <is>
          <t>Agosto/2026</t>
        </is>
      </c>
    </row>
    <row r="1850" hidden="1" ht="14.25" customHeight="1" s="64">
      <c r="A1850" s="106" t="inlineStr">
        <is>
          <t>Contabilidade</t>
        </is>
      </c>
      <c r="B1850" s="106" t="inlineStr">
        <is>
          <t>Custo Variável</t>
        </is>
      </c>
      <c r="C1850" s="106" t="inlineStr">
        <is>
          <t>Fardamento novo</t>
        </is>
      </c>
      <c r="D1850" s="107" t="n">
        <v>1</v>
      </c>
      <c r="E1850" s="108" t="n">
        <v>90</v>
      </c>
      <c r="F1850" s="109">
        <f>IFERROR(D1850*E1850,0)</f>
        <v/>
      </c>
      <c r="G1850" s="106">
        <f>INDEX(SETORES!$B:$B,MATCH(A1850,SETORES!$A:$A,0))</f>
        <v/>
      </c>
      <c r="H1850" s="106" t="inlineStr">
        <is>
          <t>Agosto/2026</t>
        </is>
      </c>
    </row>
    <row r="1851" hidden="1" ht="14.25" customHeight="1" s="64">
      <c r="A1851" s="106" t="inlineStr">
        <is>
          <t>Contabilidade</t>
        </is>
      </c>
      <c r="B1851" s="106" t="inlineStr">
        <is>
          <t>Custo Variável</t>
        </is>
      </c>
      <c r="C1851" s="106" t="inlineStr">
        <is>
          <t>Fardamento substituição</t>
        </is>
      </c>
      <c r="D1851" s="107" t="n"/>
      <c r="E1851" s="108" t="n"/>
      <c r="F1851" s="109">
        <f>IFERROR(D1851*E1851,0)</f>
        <v/>
      </c>
      <c r="G1851" s="106">
        <f>INDEX(SETORES!$B:$B,MATCH(A1851,SETORES!$A:$A,0))</f>
        <v/>
      </c>
      <c r="H1851" s="106" t="inlineStr">
        <is>
          <t>Agosto/2026</t>
        </is>
      </c>
    </row>
    <row r="1852" hidden="1" ht="14.25" customHeight="1" s="64">
      <c r="A1852" s="106" t="inlineStr">
        <is>
          <t>Contabilidade</t>
        </is>
      </c>
      <c r="B1852" s="106" t="inlineStr">
        <is>
          <t>Custo Variável</t>
        </is>
      </c>
      <c r="C1852" s="106" t="inlineStr">
        <is>
          <t>Rescisões trabalhistas</t>
        </is>
      </c>
      <c r="D1852" s="107" t="n"/>
      <c r="E1852" s="108" t="n"/>
      <c r="F1852" s="109">
        <f>IFERROR(D1852*E1852,0)</f>
        <v/>
      </c>
      <c r="G1852" s="106">
        <f>INDEX(SETORES!$B:$B,MATCH(A1852,SETORES!$A:$A,0))</f>
        <v/>
      </c>
      <c r="H1852" s="106" t="inlineStr">
        <is>
          <t>Agosto/2026</t>
        </is>
      </c>
    </row>
    <row r="1853" hidden="1" ht="14.25" customHeight="1" s="64">
      <c r="A1853" s="106" t="inlineStr">
        <is>
          <t>Contabilidade</t>
        </is>
      </c>
      <c r="B1853" s="106" t="inlineStr">
        <is>
          <t>Custo Fixo</t>
        </is>
      </c>
      <c r="C1853" s="106" t="inlineStr">
        <is>
          <t>Licença de e-mail corporativo</t>
        </is>
      </c>
      <c r="D1853" s="107" t="n">
        <v>6</v>
      </c>
      <c r="E1853" s="108" t="n">
        <v>50</v>
      </c>
      <c r="F1853" s="109">
        <f>IFERROR(D1853*E1853,0)</f>
        <v/>
      </c>
      <c r="G1853" s="106">
        <f>INDEX(SETORES!$B:$B,MATCH(A1853,SETORES!$A:$A,0))</f>
        <v/>
      </c>
      <c r="H1853" s="106" t="inlineStr">
        <is>
          <t>Agosto/2026</t>
        </is>
      </c>
    </row>
    <row r="1854" hidden="1" ht="14.25" customHeight="1" s="64">
      <c r="A1854" s="106" t="inlineStr">
        <is>
          <t>Contabilidade</t>
        </is>
      </c>
      <c r="B1854" s="106" t="inlineStr">
        <is>
          <t>Custo Fixo</t>
        </is>
      </c>
      <c r="C1854" s="106" t="inlineStr">
        <is>
          <t>Gympass</t>
        </is>
      </c>
      <c r="D1854" s="107" t="n"/>
      <c r="E1854" s="108" t="n"/>
      <c r="F1854" s="109">
        <f>IFERROR(D1854*E1854,0)</f>
        <v/>
      </c>
      <c r="G1854" s="106">
        <f>INDEX(SETORES!$B:$B,MATCH(A1854,SETORES!$A:$A,0))</f>
        <v/>
      </c>
      <c r="H1854" s="106" t="inlineStr">
        <is>
          <t>Agosto/2026</t>
        </is>
      </c>
    </row>
    <row r="1855" hidden="1" ht="14.25" customHeight="1" s="64">
      <c r="A1855" s="106" t="inlineStr">
        <is>
          <t>Contabilidade</t>
        </is>
      </c>
      <c r="B1855" s="106" t="inlineStr">
        <is>
          <t>Custo Fixo</t>
        </is>
      </c>
      <c r="C1855" s="106" t="inlineStr">
        <is>
          <t>Stargrid</t>
        </is>
      </c>
      <c r="D1855" s="107" t="n">
        <v>6</v>
      </c>
      <c r="E1855" s="108" t="n">
        <v>1.87</v>
      </c>
      <c r="F1855" s="109">
        <f>IFERROR(D1855*E1855,0)</f>
        <v/>
      </c>
      <c r="G1855" s="106">
        <f>INDEX(SETORES!$B:$B,MATCH(A1855,SETORES!$A:$A,0))</f>
        <v/>
      </c>
      <c r="H1855" s="106" t="inlineStr">
        <is>
          <t>Agosto/2026</t>
        </is>
      </c>
    </row>
    <row r="1856" hidden="1" ht="14.25" customHeight="1" s="64">
      <c r="A1856" s="106" t="inlineStr">
        <is>
          <t>Contabilidade</t>
        </is>
      </c>
      <c r="B1856" s="106" t="inlineStr">
        <is>
          <t>Custo Variável</t>
        </is>
      </c>
      <c r="C1856" s="106" t="inlineStr">
        <is>
          <t>Consultoria contábil PJ (Wadson Genuíno)</t>
        </is>
      </c>
      <c r="D1856" s="107" t="n"/>
      <c r="E1856" s="108" t="n"/>
      <c r="F1856" s="109">
        <f>IFERROR(D1856*E1856,0)</f>
        <v/>
      </c>
      <c r="G1856" s="106">
        <f>INDEX(SETORES!$B:$B,MATCH(A1856,SETORES!$A:$A,0))</f>
        <v/>
      </c>
      <c r="H1856" s="106" t="inlineStr">
        <is>
          <t>Agosto/2026</t>
        </is>
      </c>
    </row>
    <row r="1857" hidden="1" ht="14.25" customHeight="1" s="64">
      <c r="A1857" s="106" t="inlineStr">
        <is>
          <t>Controladoria</t>
        </is>
      </c>
      <c r="B1857" s="106" t="inlineStr">
        <is>
          <t>Custo Fixo</t>
        </is>
      </c>
      <c r="C1857" s="106" t="inlineStr">
        <is>
          <t>Material de escritório (suprimentos de informática)</t>
        </is>
      </c>
      <c r="D1857" s="107" t="n"/>
      <c r="E1857" s="108" t="n"/>
      <c r="F1857" s="109">
        <f>IFERROR(D1857*E1857,0)</f>
        <v/>
      </c>
      <c r="G1857" s="106">
        <f>INDEX(SETORES!$B:$B,MATCH(A1857,SETORES!$A:$A,0))</f>
        <v/>
      </c>
      <c r="H1857" s="106" t="inlineStr">
        <is>
          <t>Agosto/2026</t>
        </is>
      </c>
    </row>
    <row r="1858" hidden="1" ht="14.25" customHeight="1" s="64">
      <c r="A1858" s="106" t="inlineStr">
        <is>
          <t>Controladoria</t>
        </is>
      </c>
      <c r="B1858" s="106" t="inlineStr">
        <is>
          <t>Custo Fixo</t>
        </is>
      </c>
      <c r="C1858" s="106" t="inlineStr">
        <is>
          <t>Material de uso coletivo (copa/limpeza)</t>
        </is>
      </c>
      <c r="D1858" s="107" t="n">
        <v>1</v>
      </c>
      <c r="E1858" s="108" t="n">
        <v>36.22</v>
      </c>
      <c r="F1858" s="109">
        <f>IFERROR(D1858*E1858,0)</f>
        <v/>
      </c>
      <c r="G1858" s="106">
        <f>INDEX(SETORES!$B:$B,MATCH(A1858,SETORES!$A:$A,0))</f>
        <v/>
      </c>
      <c r="H1858" s="106" t="inlineStr">
        <is>
          <t>Agosto/2026</t>
        </is>
      </c>
    </row>
    <row r="1859" hidden="1" ht="14.25" customHeight="1" s="64">
      <c r="A1859" s="106" t="inlineStr">
        <is>
          <t>Controladoria</t>
        </is>
      </c>
      <c r="B1859" s="106" t="inlineStr">
        <is>
          <t>Custo Fixo</t>
        </is>
      </c>
      <c r="C1859" s="106" t="inlineStr">
        <is>
          <t>Energia elétrica (rateio)</t>
        </is>
      </c>
      <c r="D1859" s="107" t="n"/>
      <c r="E1859" s="108" t="n"/>
      <c r="F1859" s="109">
        <f>IFERROR(D1859*E1859,0)</f>
        <v/>
      </c>
      <c r="G1859" s="106">
        <f>INDEX(SETORES!$B:$B,MATCH(A1859,SETORES!$A:$A,0))</f>
        <v/>
      </c>
      <c r="H1859" s="106" t="inlineStr">
        <is>
          <t>Agosto/2026</t>
        </is>
      </c>
    </row>
    <row r="1860" hidden="1" ht="14.25" customHeight="1" s="64">
      <c r="A1860" s="106" t="inlineStr">
        <is>
          <t>Controladoria</t>
        </is>
      </c>
      <c r="B1860" s="106" t="inlineStr">
        <is>
          <t>Custo Fixo</t>
        </is>
      </c>
      <c r="C1860" s="106" t="inlineStr">
        <is>
          <t>Água e esgoto (rateio)</t>
        </is>
      </c>
      <c r="D1860" s="107" t="n"/>
      <c r="E1860" s="108" t="n"/>
      <c r="F1860" s="109">
        <f>IFERROR(D1860*E1860,0)</f>
        <v/>
      </c>
      <c r="G1860" s="106">
        <f>INDEX(SETORES!$B:$B,MATCH(A1860,SETORES!$A:$A,0))</f>
        <v/>
      </c>
      <c r="H1860" s="106" t="inlineStr">
        <is>
          <t>Agosto/2026</t>
        </is>
      </c>
    </row>
    <row r="1861" hidden="1" ht="14.25" customHeight="1" s="64">
      <c r="A1861" s="106" t="inlineStr">
        <is>
          <t>Controladoria</t>
        </is>
      </c>
      <c r="B1861" s="106" t="inlineStr">
        <is>
          <t>Custo Fixo</t>
        </is>
      </c>
      <c r="C1861" s="106" t="inlineStr">
        <is>
          <t>Chip móvel corporativo</t>
        </is>
      </c>
      <c r="D1861" s="107" t="n"/>
      <c r="E1861" s="108" t="n"/>
      <c r="F1861" s="109">
        <f>IFERROR(D1861*E1861,0)</f>
        <v/>
      </c>
      <c r="G1861" s="106">
        <f>INDEX(SETORES!$B:$B,MATCH(A1861,SETORES!$A:$A,0))</f>
        <v/>
      </c>
      <c r="H1861" s="106" t="inlineStr">
        <is>
          <t>Agosto/2026</t>
        </is>
      </c>
    </row>
    <row r="1862" hidden="1" ht="14.25" customHeight="1" s="64">
      <c r="A1862" s="106" t="inlineStr">
        <is>
          <t>Controladoria</t>
        </is>
      </c>
      <c r="B1862" s="106" t="inlineStr">
        <is>
          <t>Custo Fixo</t>
        </is>
      </c>
      <c r="C1862" s="106" t="inlineStr">
        <is>
          <t>Folha de pagamento (salários)</t>
        </is>
      </c>
      <c r="D1862" s="107" t="n">
        <v>1</v>
      </c>
      <c r="E1862" s="108" t="n">
        <v>18000</v>
      </c>
      <c r="F1862" s="109">
        <f>IFERROR(D1862*E1862,0)</f>
        <v/>
      </c>
      <c r="G1862" s="106">
        <f>INDEX(SETORES!$B:$B,MATCH(A1862,SETORES!$A:$A,0))</f>
        <v/>
      </c>
      <c r="H1862" s="106" t="inlineStr">
        <is>
          <t>Agosto/2026</t>
        </is>
      </c>
    </row>
    <row r="1863" hidden="1" ht="14.25" customHeight="1" s="64">
      <c r="A1863" s="106" t="inlineStr">
        <is>
          <t>Controladoria</t>
        </is>
      </c>
      <c r="B1863" s="106" t="inlineStr">
        <is>
          <t>Custo Fixo</t>
        </is>
      </c>
      <c r="C1863" s="106" t="inlineStr">
        <is>
          <t>Gympass</t>
        </is>
      </c>
      <c r="D1863" s="107" t="n"/>
      <c r="E1863" s="108" t="n"/>
      <c r="F1863" s="109">
        <f>IFERROR(D1863*E1863,0)</f>
        <v/>
      </c>
      <c r="G1863" s="106">
        <f>INDEX(SETORES!$B:$B,MATCH(A1863,SETORES!$A:$A,0))</f>
        <v/>
      </c>
      <c r="H1863" s="106" t="inlineStr">
        <is>
          <t>Agosto/2026</t>
        </is>
      </c>
    </row>
    <row r="1864" hidden="1" ht="14.25" customHeight="1" s="64">
      <c r="A1864" s="106" t="inlineStr">
        <is>
          <t>Controladoria</t>
        </is>
      </c>
      <c r="B1864" s="106" t="inlineStr">
        <is>
          <t>Custo Fixo</t>
        </is>
      </c>
      <c r="C1864" s="106" t="inlineStr">
        <is>
          <t>Stargrid</t>
        </is>
      </c>
      <c r="D1864" s="107" t="n">
        <v>1</v>
      </c>
      <c r="E1864" s="108" t="n">
        <v>1.87</v>
      </c>
      <c r="F1864" s="109">
        <f>IFERROR(D1864*E1864,0)</f>
        <v/>
      </c>
      <c r="G1864" s="106">
        <f>INDEX(SETORES!$B:$B,MATCH(A1864,SETORES!$A:$A,0))</f>
        <v/>
      </c>
      <c r="H1864" s="106" t="inlineStr">
        <is>
          <t>Agosto/2026</t>
        </is>
      </c>
    </row>
    <row r="1865" hidden="1" ht="14.25" customHeight="1" s="64">
      <c r="A1865" s="106" t="inlineStr">
        <is>
          <t>DP</t>
        </is>
      </c>
      <c r="B1865" s="106" t="inlineStr">
        <is>
          <t>Custo Fixo</t>
        </is>
      </c>
      <c r="C1865" s="106" t="inlineStr">
        <is>
          <t>Material de escritório (suprimentos de informática)</t>
        </is>
      </c>
      <c r="D1865" s="107" t="n">
        <v>1</v>
      </c>
      <c r="E1865" s="108" t="n">
        <v>9.24</v>
      </c>
      <c r="F1865" s="109">
        <f>IFERROR(D1865*E1865,0)</f>
        <v/>
      </c>
      <c r="G1865" s="106">
        <f>INDEX(SETORES!$B:$B,MATCH(A1865,SETORES!$A:$A,0))</f>
        <v/>
      </c>
      <c r="H1865" s="106" t="inlineStr">
        <is>
          <t>Agosto/2026</t>
        </is>
      </c>
    </row>
    <row r="1866" hidden="1" ht="14.25" customHeight="1" s="64">
      <c r="A1866" s="106" t="inlineStr">
        <is>
          <t>DP</t>
        </is>
      </c>
      <c r="B1866" s="106" t="inlineStr">
        <is>
          <t>Custo Fixo</t>
        </is>
      </c>
      <c r="C1866" s="106" t="inlineStr">
        <is>
          <t>Material de uso coletivo (copa/limpeza)</t>
        </is>
      </c>
      <c r="D1866" s="107" t="n">
        <v>1</v>
      </c>
      <c r="E1866" s="108" t="n">
        <v>204.89</v>
      </c>
      <c r="F1866" s="109">
        <f>IFERROR(D1866*E1866,0)</f>
        <v/>
      </c>
      <c r="G1866" s="106">
        <f>INDEX(SETORES!$B:$B,MATCH(A1866,SETORES!$A:$A,0))</f>
        <v/>
      </c>
      <c r="H1866" s="106" t="inlineStr">
        <is>
          <t>Agosto/2026</t>
        </is>
      </c>
    </row>
    <row r="1867" hidden="1" ht="14.25" customHeight="1" s="64">
      <c r="A1867" s="106" t="inlineStr">
        <is>
          <t>DP</t>
        </is>
      </c>
      <c r="B1867" s="106" t="inlineStr">
        <is>
          <t>Custo Fixo</t>
        </is>
      </c>
      <c r="C1867" s="106" t="inlineStr">
        <is>
          <t>Energia elétrica (rateio)</t>
        </is>
      </c>
      <c r="D1867" s="107" t="n"/>
      <c r="E1867" s="108" t="n"/>
      <c r="F1867" s="109">
        <f>IFERROR(D1867*E1867,0)</f>
        <v/>
      </c>
      <c r="G1867" s="106">
        <f>INDEX(SETORES!$B:$B,MATCH(A1867,SETORES!$A:$A,0))</f>
        <v/>
      </c>
      <c r="H1867" s="106" t="inlineStr">
        <is>
          <t>Agosto/2026</t>
        </is>
      </c>
    </row>
    <row r="1868" hidden="1" ht="14.25" customHeight="1" s="64">
      <c r="A1868" s="106" t="inlineStr">
        <is>
          <t>DP</t>
        </is>
      </c>
      <c r="B1868" s="106" t="inlineStr">
        <is>
          <t>Custo Fixo</t>
        </is>
      </c>
      <c r="C1868" s="106" t="inlineStr">
        <is>
          <t>Água e esgoto (rateio)</t>
        </is>
      </c>
      <c r="D1868" s="107" t="n"/>
      <c r="E1868" s="108" t="n"/>
      <c r="F1868" s="109">
        <f>IFERROR(D1868*E1868,0)</f>
        <v/>
      </c>
      <c r="G1868" s="106">
        <f>INDEX(SETORES!$B:$B,MATCH(A1868,SETORES!$A:$A,0))</f>
        <v/>
      </c>
      <c r="H1868" s="106" t="inlineStr">
        <is>
          <t>Agosto/2026</t>
        </is>
      </c>
    </row>
    <row r="1869" hidden="1" ht="14.25" customHeight="1" s="64">
      <c r="A1869" s="106" t="inlineStr">
        <is>
          <t>DP</t>
        </is>
      </c>
      <c r="B1869" s="106" t="inlineStr">
        <is>
          <t>Custo Fixo</t>
        </is>
      </c>
      <c r="C1869" s="106" t="inlineStr">
        <is>
          <t>Telefonia móvel corporativa</t>
        </is>
      </c>
      <c r="D1869" s="107" t="n"/>
      <c r="E1869" s="108" t="n"/>
      <c r="F1869" s="109">
        <f>IFERROR(D1869*E1869,0)</f>
        <v/>
      </c>
      <c r="G1869" s="106">
        <f>INDEX(SETORES!$B:$B,MATCH(A1869,SETORES!$A:$A,0))</f>
        <v/>
      </c>
      <c r="H1869" s="106" t="inlineStr">
        <is>
          <t>Agosto/2026</t>
        </is>
      </c>
    </row>
    <row r="1870" hidden="1" ht="14.25" customHeight="1" s="64">
      <c r="A1870" s="106" t="inlineStr">
        <is>
          <t>DP</t>
        </is>
      </c>
      <c r="B1870" s="106" t="inlineStr">
        <is>
          <t>Custo Fixo</t>
        </is>
      </c>
      <c r="C1870" s="106" t="inlineStr">
        <is>
          <t>Folha de pagamento (salários)</t>
        </is>
      </c>
      <c r="D1870" s="107" t="n">
        <v>1</v>
      </c>
      <c r="E1870" s="108" t="n">
        <v>48158.28</v>
      </c>
      <c r="F1870" s="109">
        <f>IFERROR(D1870*E1870,0)</f>
        <v/>
      </c>
      <c r="G1870" s="106">
        <f>INDEX(SETORES!$B:$B,MATCH(A1870,SETORES!$A:$A,0))</f>
        <v/>
      </c>
      <c r="H1870" s="106" t="inlineStr">
        <is>
          <t>Agosto/2026</t>
        </is>
      </c>
    </row>
    <row r="1871" hidden="1" ht="14.25" customHeight="1" s="64">
      <c r="A1871" s="106" t="inlineStr">
        <is>
          <t>Logística</t>
        </is>
      </c>
      <c r="B1871" s="106" t="inlineStr">
        <is>
          <t>Custo Variável</t>
        </is>
      </c>
      <c r="C1871" s="106" t="inlineStr">
        <is>
          <t>Exames médicos</t>
        </is>
      </c>
      <c r="D1871" s="107" t="n"/>
      <c r="E1871" s="108" t="n"/>
      <c r="F1871" s="109">
        <f>IFERROR(D1871*E1871,0)</f>
        <v/>
      </c>
      <c r="G1871" s="106">
        <f>INDEX(SETORES!$B:$B,MATCH(A1871,SETORES!$A:$A,0))</f>
        <v/>
      </c>
      <c r="H1871" s="106" t="inlineStr">
        <is>
          <t>Agosto/2026</t>
        </is>
      </c>
    </row>
    <row r="1872" hidden="1" ht="14.25" customHeight="1" s="64">
      <c r="A1872" s="106" t="inlineStr">
        <is>
          <t>Oficina</t>
        </is>
      </c>
      <c r="B1872" s="106" t="inlineStr">
        <is>
          <t>Custo Variável</t>
        </is>
      </c>
      <c r="C1872" s="106" t="inlineStr">
        <is>
          <t>Exames médicos</t>
        </is>
      </c>
      <c r="D1872" s="107" t="n"/>
      <c r="E1872" s="108" t="n"/>
      <c r="F1872" s="109">
        <f>IFERROR(D1872*E1872,0)</f>
        <v/>
      </c>
      <c r="G1872" s="106">
        <f>INDEX(SETORES!$B:$B,MATCH(A1872,SETORES!$A:$A,0))</f>
        <v/>
      </c>
      <c r="H1872" s="106" t="inlineStr">
        <is>
          <t>Agosto/2026</t>
        </is>
      </c>
    </row>
    <row r="1873" hidden="1" ht="14.25" customHeight="1" s="64">
      <c r="A1873" s="106" t="inlineStr">
        <is>
          <t>DP</t>
        </is>
      </c>
      <c r="B1873" s="106" t="inlineStr">
        <is>
          <t>Custo Variável</t>
        </is>
      </c>
      <c r="C1873" s="106" t="inlineStr">
        <is>
          <t>Exames médicos</t>
        </is>
      </c>
      <c r="D1873" s="107" t="n"/>
      <c r="E1873" s="108" t="n"/>
      <c r="F1873" s="109">
        <f>IFERROR(D1873*E1873,0)</f>
        <v/>
      </c>
      <c r="G1873" s="106">
        <f>INDEX(SETORES!$B:$B,MATCH(A1873,SETORES!$A:$A,0))</f>
        <v/>
      </c>
      <c r="H1873" s="106" t="inlineStr">
        <is>
          <t>Agosto/2026</t>
        </is>
      </c>
    </row>
    <row r="1874" hidden="1" ht="14.25" customHeight="1" s="64">
      <c r="A1874" s="106" t="inlineStr">
        <is>
          <t>DP</t>
        </is>
      </c>
      <c r="B1874" s="106" t="inlineStr">
        <is>
          <t>Custo Variável</t>
        </is>
      </c>
      <c r="C1874" s="106" t="inlineStr">
        <is>
          <t>Homologações e rescisões</t>
        </is>
      </c>
      <c r="D1874" s="107" t="n"/>
      <c r="E1874" s="108" t="n"/>
      <c r="F1874" s="109">
        <f>IFERROR(D1874*E1874,0)</f>
        <v/>
      </c>
      <c r="G1874" s="106">
        <f>INDEX(SETORES!$B:$B,MATCH(A1874,SETORES!$A:$A,0))</f>
        <v/>
      </c>
      <c r="H1874" s="106" t="inlineStr">
        <is>
          <t>Agosto/2026</t>
        </is>
      </c>
    </row>
    <row r="1875" hidden="1" ht="14.25" customHeight="1" s="64">
      <c r="A1875" s="106" t="inlineStr">
        <is>
          <t>DP</t>
        </is>
      </c>
      <c r="B1875" s="106" t="inlineStr">
        <is>
          <t>Custo Variável</t>
        </is>
      </c>
      <c r="C1875" s="106" t="inlineStr">
        <is>
          <t>Fardamento novo</t>
        </is>
      </c>
      <c r="D1875" s="107" t="n">
        <v>1</v>
      </c>
      <c r="E1875" s="108" t="n">
        <v>180</v>
      </c>
      <c r="F1875" s="109">
        <f>IFERROR(D1875*E1875,0)</f>
        <v/>
      </c>
      <c r="G1875" s="106">
        <f>INDEX(SETORES!$B:$B,MATCH(A1875,SETORES!$A:$A,0))</f>
        <v/>
      </c>
      <c r="H1875" s="106" t="inlineStr">
        <is>
          <t>Agosto/2026</t>
        </is>
      </c>
    </row>
    <row r="1876" hidden="1" ht="14.25" customHeight="1" s="64">
      <c r="A1876" s="106" t="inlineStr">
        <is>
          <t>DP</t>
        </is>
      </c>
      <c r="B1876" s="106" t="inlineStr">
        <is>
          <t>Custo Variável</t>
        </is>
      </c>
      <c r="C1876" s="106" t="inlineStr">
        <is>
          <t>Fardamento substituição</t>
        </is>
      </c>
      <c r="D1876" s="107" t="n">
        <v>1</v>
      </c>
      <c r="E1876" s="108" t="n">
        <v>272</v>
      </c>
      <c r="F1876" s="109">
        <f>IFERROR(D1876*E1876,0)</f>
        <v/>
      </c>
      <c r="G1876" s="106">
        <f>INDEX(SETORES!$B:$B,MATCH(A1876,SETORES!$A:$A,0))</f>
        <v/>
      </c>
      <c r="H1876" s="106" t="inlineStr">
        <is>
          <t>Agosto/2026</t>
        </is>
      </c>
    </row>
    <row r="1877" hidden="1" ht="14.25" customHeight="1" s="64">
      <c r="A1877" s="106" t="inlineStr">
        <is>
          <t>DP</t>
        </is>
      </c>
      <c r="B1877" s="106" t="inlineStr">
        <is>
          <t>Custo Fixo</t>
        </is>
      </c>
      <c r="C1877" s="106" t="inlineStr">
        <is>
          <t>Licença de e-mail corporativo</t>
        </is>
      </c>
      <c r="D1877" s="107" t="n">
        <v>9</v>
      </c>
      <c r="E1877" s="108" t="n">
        <v>50</v>
      </c>
      <c r="F1877" s="109">
        <f>IFERROR(D1877*E1877,0)</f>
        <v/>
      </c>
      <c r="G1877" s="106">
        <f>INDEX(SETORES!$B:$B,MATCH(A1877,SETORES!$A:$A,0))</f>
        <v/>
      </c>
      <c r="H1877" s="106" t="inlineStr">
        <is>
          <t>Agosto/2026</t>
        </is>
      </c>
    </row>
    <row r="1878" hidden="1" ht="14.25" customHeight="1" s="64">
      <c r="A1878" s="106" t="inlineStr">
        <is>
          <t>DP</t>
        </is>
      </c>
      <c r="B1878" s="106" t="inlineStr">
        <is>
          <t>Custo Fixo</t>
        </is>
      </c>
      <c r="C1878" s="106" t="inlineStr">
        <is>
          <t>Impressora</t>
        </is>
      </c>
      <c r="D1878" s="107" t="n"/>
      <c r="E1878" s="108" t="n"/>
      <c r="F1878" s="109">
        <f>IFERROR(D1878*E1878,0)</f>
        <v/>
      </c>
      <c r="G1878" s="106">
        <f>INDEX(SETORES!$B:$B,MATCH(A1878,SETORES!$A:$A,0))</f>
        <v/>
      </c>
      <c r="H1878" s="106" t="inlineStr">
        <is>
          <t>Agosto/2026</t>
        </is>
      </c>
    </row>
    <row r="1879" hidden="1" ht="14.25" customHeight="1" s="64">
      <c r="A1879" s="106" t="inlineStr">
        <is>
          <t>DP</t>
        </is>
      </c>
      <c r="B1879" s="106" t="inlineStr">
        <is>
          <t>Custo Fixo</t>
        </is>
      </c>
      <c r="C1879" s="106" t="inlineStr">
        <is>
          <t>Gympass</t>
        </is>
      </c>
      <c r="D1879" s="107" t="n"/>
      <c r="E1879" s="108" t="n"/>
      <c r="F1879" s="109">
        <f>IFERROR(D1879*E1879,0)</f>
        <v/>
      </c>
      <c r="G1879" s="106">
        <f>INDEX(SETORES!$B:$B,MATCH(A1879,SETORES!$A:$A,0))</f>
        <v/>
      </c>
      <c r="H1879" s="106" t="inlineStr">
        <is>
          <t>Agosto/2026</t>
        </is>
      </c>
    </row>
    <row r="1880" hidden="1" ht="14.25" customHeight="1" s="64">
      <c r="A1880" s="106" t="inlineStr">
        <is>
          <t>DP</t>
        </is>
      </c>
      <c r="B1880" s="106" t="inlineStr">
        <is>
          <t>Custo Fixo</t>
        </is>
      </c>
      <c r="C1880" s="106" t="inlineStr">
        <is>
          <t>Stargrid</t>
        </is>
      </c>
      <c r="D1880" s="107" t="n">
        <v>9</v>
      </c>
      <c r="E1880" s="108" t="n">
        <v>1.87</v>
      </c>
      <c r="F1880" s="109">
        <f>IFERROR(D1880*E1880,0)</f>
        <v/>
      </c>
      <c r="G1880" s="106">
        <f>INDEX(SETORES!$B:$B,MATCH(A1880,SETORES!$A:$A,0))</f>
        <v/>
      </c>
      <c r="H1880" s="106" t="inlineStr">
        <is>
          <t>Agosto/2026</t>
        </is>
      </c>
    </row>
    <row r="1881" hidden="1" ht="14.25" customHeight="1" s="64">
      <c r="A1881" s="106" t="inlineStr">
        <is>
          <t>Diretoria Operacional</t>
        </is>
      </c>
      <c r="B1881" s="106" t="inlineStr">
        <is>
          <t>Custo Fixo</t>
        </is>
      </c>
      <c r="C1881" s="106" t="inlineStr">
        <is>
          <t>Material de escritório (suprimentos de informática)</t>
        </is>
      </c>
      <c r="D1881" s="107" t="n">
        <v>1</v>
      </c>
      <c r="E1881" s="108" t="n">
        <v>9.31</v>
      </c>
      <c r="F1881" s="109">
        <f>IFERROR(D1881*E1881,0)</f>
        <v/>
      </c>
      <c r="G1881" s="106">
        <f>INDEX(SETORES!$B:$B,MATCH(A1881,SETORES!$A:$A,0))</f>
        <v/>
      </c>
      <c r="H1881" s="106" t="inlineStr">
        <is>
          <t>Agosto/2026</t>
        </is>
      </c>
    </row>
    <row r="1882" hidden="1" ht="14.25" customHeight="1" s="64">
      <c r="A1882" s="106" t="inlineStr">
        <is>
          <t>Diretoria Operacional</t>
        </is>
      </c>
      <c r="B1882" s="106" t="inlineStr">
        <is>
          <t>Custo Fixo</t>
        </is>
      </c>
      <c r="C1882" s="106" t="inlineStr">
        <is>
          <t>Material de uso coletivo (copa/limpeza)</t>
        </is>
      </c>
      <c r="D1882" s="107" t="n">
        <v>1</v>
      </c>
      <c r="E1882" s="108" t="n">
        <v>70.76000000000001</v>
      </c>
      <c r="F1882" s="109">
        <f>IFERROR(D1882*E1882,0)</f>
        <v/>
      </c>
      <c r="G1882" s="106">
        <f>INDEX(SETORES!$B:$B,MATCH(A1882,SETORES!$A:$A,0))</f>
        <v/>
      </c>
      <c r="H1882" s="106" t="inlineStr">
        <is>
          <t>Agosto/2026</t>
        </is>
      </c>
    </row>
    <row r="1883" hidden="1" ht="14.25" customHeight="1" s="64">
      <c r="A1883" s="106" t="inlineStr">
        <is>
          <t>Diretoria Operacional</t>
        </is>
      </c>
      <c r="B1883" s="106" t="inlineStr">
        <is>
          <t>Custo Fixo</t>
        </is>
      </c>
      <c r="C1883" s="106" t="inlineStr">
        <is>
          <t>Energia elétrica (rateio)</t>
        </is>
      </c>
      <c r="D1883" s="107" t="n"/>
      <c r="E1883" s="108" t="n"/>
      <c r="F1883" s="109">
        <f>IFERROR(D1883*E1883,0)</f>
        <v/>
      </c>
      <c r="G1883" s="106">
        <f>INDEX(SETORES!$B:$B,MATCH(A1883,SETORES!$A:$A,0))</f>
        <v/>
      </c>
      <c r="H1883" s="106" t="inlineStr">
        <is>
          <t>Agosto/2026</t>
        </is>
      </c>
    </row>
    <row r="1884" hidden="1" ht="14.25" customHeight="1" s="64">
      <c r="A1884" s="106" t="inlineStr">
        <is>
          <t>Diretoria Operacional</t>
        </is>
      </c>
      <c r="B1884" s="106" t="inlineStr">
        <is>
          <t>Custo Fixo</t>
        </is>
      </c>
      <c r="C1884" s="106" t="inlineStr">
        <is>
          <t>Água e esgoto (rateio)</t>
        </is>
      </c>
      <c r="D1884" s="107" t="n"/>
      <c r="E1884" s="108" t="n"/>
      <c r="F1884" s="109">
        <f>IFERROR(D1884*E1884,0)</f>
        <v/>
      </c>
      <c r="G1884" s="106">
        <f>INDEX(SETORES!$B:$B,MATCH(A1884,SETORES!$A:$A,0))</f>
        <v/>
      </c>
      <c r="H1884" s="106" t="inlineStr">
        <is>
          <t>Agosto/2026</t>
        </is>
      </c>
    </row>
    <row r="1885" hidden="1" ht="14.25" customHeight="1" s="64">
      <c r="A1885" s="106" t="inlineStr">
        <is>
          <t>Diretoria Operacional</t>
        </is>
      </c>
      <c r="B1885" s="106" t="inlineStr">
        <is>
          <t>Custo Fixo</t>
        </is>
      </c>
      <c r="C1885" s="106" t="inlineStr">
        <is>
          <t>Telefonia móvel corporativa</t>
        </is>
      </c>
      <c r="D1885" s="107" t="n"/>
      <c r="E1885" s="108" t="n"/>
      <c r="F1885" s="109">
        <f>IFERROR(D1885*E1885,0)</f>
        <v/>
      </c>
      <c r="G1885" s="106">
        <f>INDEX(SETORES!$B:$B,MATCH(A1885,SETORES!$A:$A,0))</f>
        <v/>
      </c>
      <c r="H1885" s="106" t="inlineStr">
        <is>
          <t>Agosto/2026</t>
        </is>
      </c>
    </row>
    <row r="1886" hidden="1" ht="14.25" customHeight="1" s="64">
      <c r="A1886" s="106" t="inlineStr">
        <is>
          <t>Diretoria Operacional</t>
        </is>
      </c>
      <c r="B1886" s="106" t="inlineStr">
        <is>
          <t>Custo Fixo</t>
        </is>
      </c>
      <c r="C1886" s="106" t="inlineStr">
        <is>
          <t>Folha de pagamento (salários)</t>
        </is>
      </c>
      <c r="D1886" s="107" t="n">
        <v>1</v>
      </c>
      <c r="E1886" s="108" t="n">
        <v>28328.94</v>
      </c>
      <c r="F1886" s="109">
        <f>IFERROR(D1886*E1886,0)</f>
        <v/>
      </c>
      <c r="G1886" s="106">
        <f>INDEX(SETORES!$B:$B,MATCH(A1886,SETORES!$A:$A,0))</f>
        <v/>
      </c>
      <c r="H1886" s="106" t="inlineStr">
        <is>
          <t>Agosto/2026</t>
        </is>
      </c>
    </row>
    <row r="1887" hidden="1" ht="14.25" customHeight="1" s="64">
      <c r="A1887" s="106" t="inlineStr">
        <is>
          <t>Diretoria Operacional</t>
        </is>
      </c>
      <c r="B1887" s="106" t="inlineStr">
        <is>
          <t>Custo Variável</t>
        </is>
      </c>
      <c r="C1887" s="106" t="inlineStr">
        <is>
          <t>Viagens e hospedagem corporativas</t>
        </is>
      </c>
      <c r="D1887" s="107" t="n"/>
      <c r="E1887" s="108" t="n"/>
      <c r="F1887" s="109">
        <f>IFERROR(D1887*E1887,0)</f>
        <v/>
      </c>
      <c r="G1887" s="106">
        <f>INDEX(SETORES!$B:$B,MATCH(A1887,SETORES!$A:$A,0))</f>
        <v/>
      </c>
      <c r="H1887" s="106" t="inlineStr">
        <is>
          <t>Agosto/2026</t>
        </is>
      </c>
    </row>
    <row r="1888" hidden="1" ht="14.25" customHeight="1" s="64">
      <c r="A1888" s="106" t="inlineStr">
        <is>
          <t>Diretoria Operacional</t>
        </is>
      </c>
      <c r="B1888" s="106" t="inlineStr">
        <is>
          <t>Custo Variável</t>
        </is>
      </c>
      <c r="C1888" s="106" t="inlineStr">
        <is>
          <t>Fardamento novo</t>
        </is>
      </c>
      <c r="D1888" s="107" t="n"/>
      <c r="E1888" s="108" t="n"/>
      <c r="F1888" s="109">
        <f>IFERROR(D1888*E1888,0)</f>
        <v/>
      </c>
      <c r="G1888" s="106">
        <f>INDEX(SETORES!$B:$B,MATCH(A1888,SETORES!$A:$A,0))</f>
        <v/>
      </c>
      <c r="H1888" s="106" t="inlineStr">
        <is>
          <t>Agosto/2026</t>
        </is>
      </c>
    </row>
    <row r="1889" hidden="1" ht="14.25" customHeight="1" s="64">
      <c r="A1889" s="106" t="inlineStr">
        <is>
          <t>Diretoria Operacional</t>
        </is>
      </c>
      <c r="B1889" s="106" t="inlineStr">
        <is>
          <t>Custo Variável</t>
        </is>
      </c>
      <c r="C1889" s="106" t="inlineStr">
        <is>
          <t>Fardamento substituição</t>
        </is>
      </c>
      <c r="D1889" s="107" t="n"/>
      <c r="E1889" s="108" t="n"/>
      <c r="F1889" s="109">
        <f>IFERROR(D1889*E1889,0)</f>
        <v/>
      </c>
      <c r="G1889" s="106">
        <f>INDEX(SETORES!$B:$B,MATCH(A1889,SETORES!$A:$A,0))</f>
        <v/>
      </c>
      <c r="H1889" s="106" t="inlineStr">
        <is>
          <t>Agosto/2026</t>
        </is>
      </c>
    </row>
    <row r="1890" hidden="1" ht="14.25" customHeight="1" s="64">
      <c r="A1890" s="106" t="inlineStr">
        <is>
          <t>Diretoria Operacional</t>
        </is>
      </c>
      <c r="B1890" s="106" t="inlineStr">
        <is>
          <t>Custo Fixo</t>
        </is>
      </c>
      <c r="C1890" s="106" t="inlineStr">
        <is>
          <t>Licença de e-mail corporativo</t>
        </is>
      </c>
      <c r="D1890" s="107" t="n">
        <v>2</v>
      </c>
      <c r="E1890" s="108" t="n">
        <v>50</v>
      </c>
      <c r="F1890" s="109">
        <f>IFERROR(D1890*E1890,0)</f>
        <v/>
      </c>
      <c r="G1890" s="106">
        <f>INDEX(SETORES!$B:$B,MATCH(A1890,SETORES!$A:$A,0))</f>
        <v/>
      </c>
      <c r="H1890" s="106" t="inlineStr">
        <is>
          <t>Agosto/2026</t>
        </is>
      </c>
    </row>
    <row r="1891" hidden="1" ht="14.25" customHeight="1" s="64">
      <c r="A1891" s="106" t="inlineStr">
        <is>
          <t>Diretoria Operacional</t>
        </is>
      </c>
      <c r="B1891" s="106" t="inlineStr">
        <is>
          <t>Custo Fixo</t>
        </is>
      </c>
      <c r="C1891" s="106" t="inlineStr">
        <is>
          <t>Gympass</t>
        </is>
      </c>
      <c r="D1891" s="107" t="n"/>
      <c r="E1891" s="108" t="n"/>
      <c r="F1891" s="109">
        <f>IFERROR(D1891*E1891,0)</f>
        <v/>
      </c>
      <c r="G1891" s="106">
        <f>INDEX(SETORES!$B:$B,MATCH(A1891,SETORES!$A:$A,0))</f>
        <v/>
      </c>
      <c r="H1891" s="106" t="inlineStr">
        <is>
          <t>Agosto/2026</t>
        </is>
      </c>
    </row>
    <row r="1892" hidden="1" ht="14.25" customHeight="1" s="64">
      <c r="A1892" s="106" t="inlineStr">
        <is>
          <t>Diretoria Operacional</t>
        </is>
      </c>
      <c r="B1892" s="106" t="inlineStr">
        <is>
          <t>Custo Fixo</t>
        </is>
      </c>
      <c r="C1892" s="106" t="inlineStr">
        <is>
          <t>Stargrid</t>
        </is>
      </c>
      <c r="D1892" s="107" t="n">
        <v>2</v>
      </c>
      <c r="E1892" s="108" t="n">
        <v>1.87</v>
      </c>
      <c r="F1892" s="109">
        <f>IFERROR(D1892*E1892,0)</f>
        <v/>
      </c>
      <c r="G1892" s="106">
        <f>INDEX(SETORES!$B:$B,MATCH(A1892,SETORES!$A:$A,0))</f>
        <v/>
      </c>
      <c r="H1892" s="106" t="inlineStr">
        <is>
          <t>Agosto/2026</t>
        </is>
      </c>
    </row>
    <row r="1893" hidden="1" ht="14.25" customHeight="1" s="64">
      <c r="A1893" s="106" t="inlineStr">
        <is>
          <t>Engenharia</t>
        </is>
      </c>
      <c r="B1893" s="106" t="inlineStr">
        <is>
          <t>Custo Fixo</t>
        </is>
      </c>
      <c r="C1893" s="106" t="inlineStr">
        <is>
          <t>Material de escritório (suprimentos de informática)</t>
        </is>
      </c>
      <c r="D1893" s="107" t="n"/>
      <c r="E1893" s="108" t="n"/>
      <c r="F1893" s="109">
        <f>IFERROR(D1893*E1893,0)</f>
        <v/>
      </c>
      <c r="G1893" s="106">
        <f>INDEX(SETORES!$B:$B,MATCH(A1893,SETORES!$A:$A,0))</f>
        <v/>
      </c>
      <c r="H1893" s="106" t="inlineStr">
        <is>
          <t>Agosto/2026</t>
        </is>
      </c>
    </row>
    <row r="1894" hidden="1" ht="14.25" customHeight="1" s="64">
      <c r="A1894" s="106" t="inlineStr">
        <is>
          <t>Engenharia</t>
        </is>
      </c>
      <c r="B1894" s="106" t="inlineStr">
        <is>
          <t>Custo Fixo</t>
        </is>
      </c>
      <c r="C1894" s="106" t="inlineStr">
        <is>
          <t>Material de uso coletivo (copa/limpeza)</t>
        </is>
      </c>
      <c r="D1894" s="107" t="n"/>
      <c r="E1894" s="108" t="n"/>
      <c r="F1894" s="109">
        <f>IFERROR(D1894*E1894,0)</f>
        <v/>
      </c>
      <c r="G1894" s="106">
        <f>INDEX(SETORES!$B:$B,MATCH(A1894,SETORES!$A:$A,0))</f>
        <v/>
      </c>
      <c r="H1894" s="106" t="inlineStr">
        <is>
          <t>Agosto/2026</t>
        </is>
      </c>
    </row>
    <row r="1895" hidden="1" ht="14.25" customHeight="1" s="64">
      <c r="A1895" s="106" t="inlineStr">
        <is>
          <t>Engenharia</t>
        </is>
      </c>
      <c r="B1895" s="106" t="inlineStr">
        <is>
          <t>Custo Variável</t>
        </is>
      </c>
      <c r="C1895" s="106" t="inlineStr">
        <is>
          <t>Endomarketing</t>
        </is>
      </c>
      <c r="D1895" s="107" t="n"/>
      <c r="E1895" s="108" t="n"/>
      <c r="F1895" s="109">
        <f>IFERROR(D1895*E1895,0)</f>
        <v/>
      </c>
      <c r="G1895" s="106">
        <f>INDEX(SETORES!$B:$B,MATCH(A1895,SETORES!$A:$A,0))</f>
        <v/>
      </c>
      <c r="H1895" s="106" t="inlineStr">
        <is>
          <t>Agosto/2026</t>
        </is>
      </c>
    </row>
    <row r="1896" hidden="1" ht="14.25" customHeight="1" s="64">
      <c r="A1896" s="106" t="inlineStr">
        <is>
          <t>Engenharia</t>
        </is>
      </c>
      <c r="B1896" s="106" t="inlineStr">
        <is>
          <t>Custo Fixo</t>
        </is>
      </c>
      <c r="C1896" s="106" t="inlineStr">
        <is>
          <t>Energia elétrica (rateio)</t>
        </is>
      </c>
      <c r="D1896" s="107" t="n"/>
      <c r="E1896" s="108" t="n"/>
      <c r="F1896" s="109">
        <f>IFERROR(D1896*E1896,0)</f>
        <v/>
      </c>
      <c r="G1896" s="106">
        <f>INDEX(SETORES!$B:$B,MATCH(A1896,SETORES!$A:$A,0))</f>
        <v/>
      </c>
      <c r="H1896" s="106" t="inlineStr">
        <is>
          <t>Agosto/2026</t>
        </is>
      </c>
    </row>
    <row r="1897" hidden="1" ht="14.25" customHeight="1" s="64">
      <c r="A1897" s="106" t="inlineStr">
        <is>
          <t>Engenharia</t>
        </is>
      </c>
      <c r="B1897" s="106" t="inlineStr">
        <is>
          <t>Custo Fixo</t>
        </is>
      </c>
      <c r="C1897" s="106" t="inlineStr">
        <is>
          <t>Água e esgoto (rateio)</t>
        </is>
      </c>
      <c r="D1897" s="107" t="n"/>
      <c r="E1897" s="108" t="n"/>
      <c r="F1897" s="109">
        <f>IFERROR(D1897*E1897,0)</f>
        <v/>
      </c>
      <c r="G1897" s="106">
        <f>INDEX(SETORES!$B:$B,MATCH(A1897,SETORES!$A:$A,0))</f>
        <v/>
      </c>
      <c r="H1897" s="106" t="inlineStr">
        <is>
          <t>Agosto/2026</t>
        </is>
      </c>
    </row>
    <row r="1898" hidden="1" ht="14.25" customHeight="1" s="64">
      <c r="A1898" s="106" t="inlineStr">
        <is>
          <t>Engenharia</t>
        </is>
      </c>
      <c r="B1898" s="106" t="inlineStr">
        <is>
          <t>Custo Fixo</t>
        </is>
      </c>
      <c r="C1898" s="106" t="inlineStr">
        <is>
          <t>Telefonia móvel corporativa</t>
        </is>
      </c>
      <c r="D1898" s="107" t="n"/>
      <c r="E1898" s="108" t="n"/>
      <c r="F1898" s="109">
        <f>IFERROR(D1898*E1898,0)</f>
        <v/>
      </c>
      <c r="G1898" s="106">
        <f>INDEX(SETORES!$B:$B,MATCH(A1898,SETORES!$A:$A,0))</f>
        <v/>
      </c>
      <c r="H1898" s="106" t="inlineStr">
        <is>
          <t>Agosto/2026</t>
        </is>
      </c>
    </row>
    <row r="1899" hidden="1" ht="14.25" customHeight="1" s="64">
      <c r="A1899" s="106" t="inlineStr">
        <is>
          <t>Engenharia</t>
        </is>
      </c>
      <c r="B1899" s="106" t="inlineStr">
        <is>
          <t>Custo Fixo</t>
        </is>
      </c>
      <c r="C1899" s="106" t="inlineStr">
        <is>
          <t>Folha de pagamento (salários)</t>
        </is>
      </c>
      <c r="D1899" s="107" t="n">
        <v>1</v>
      </c>
      <c r="E1899" s="108" t="n">
        <v>64244.34</v>
      </c>
      <c r="F1899" s="109">
        <f>IFERROR(D1899*E1899,0)</f>
        <v/>
      </c>
      <c r="G1899" s="106">
        <f>INDEX(SETORES!$B:$B,MATCH(A1899,SETORES!$A:$A,0))</f>
        <v/>
      </c>
      <c r="H1899" s="106" t="inlineStr">
        <is>
          <t>Agosto/2026</t>
        </is>
      </c>
    </row>
    <row r="1900" hidden="1" ht="14.25" customHeight="1" s="64">
      <c r="A1900" s="106" t="inlineStr">
        <is>
          <t>Engenharia</t>
        </is>
      </c>
      <c r="B1900" s="106" t="inlineStr">
        <is>
          <t>Custo Variável</t>
        </is>
      </c>
      <c r="C1900" s="106" t="inlineStr">
        <is>
          <t>Fardamento novo</t>
        </is>
      </c>
      <c r="D1900" s="107" t="n">
        <v>1</v>
      </c>
      <c r="E1900" s="108" t="n">
        <v>90</v>
      </c>
      <c r="F1900" s="109">
        <f>IFERROR(D1900*E1900,0)</f>
        <v/>
      </c>
      <c r="G1900" s="106">
        <f>INDEX(SETORES!$B:$B,MATCH(A1900,SETORES!$A:$A,0))</f>
        <v/>
      </c>
      <c r="H1900" s="106" t="inlineStr">
        <is>
          <t>Agosto/2026</t>
        </is>
      </c>
    </row>
    <row r="1901" hidden="1" ht="14.25" customHeight="1" s="64">
      <c r="A1901" s="106" t="inlineStr">
        <is>
          <t>Engenharia</t>
        </is>
      </c>
      <c r="B1901" s="106" t="inlineStr">
        <is>
          <t>Custo Variável</t>
        </is>
      </c>
      <c r="C1901" s="106" t="inlineStr">
        <is>
          <t>Fardamento substituição</t>
        </is>
      </c>
      <c r="D1901" s="107" t="n"/>
      <c r="E1901" s="108" t="n"/>
      <c r="F1901" s="109">
        <f>IFERROR(D1901*E1901,0)</f>
        <v/>
      </c>
      <c r="G1901" s="106">
        <f>INDEX(SETORES!$B:$B,MATCH(A1901,SETORES!$A:$A,0))</f>
        <v/>
      </c>
      <c r="H1901" s="106" t="inlineStr">
        <is>
          <t>Agosto/2026</t>
        </is>
      </c>
    </row>
    <row r="1902" hidden="1" ht="14.25" customHeight="1" s="64">
      <c r="A1902" s="106" t="inlineStr">
        <is>
          <t>Engenharia</t>
        </is>
      </c>
      <c r="B1902" s="106" t="inlineStr">
        <is>
          <t>Custo Variável</t>
        </is>
      </c>
      <c r="C1902" s="106" t="inlineStr">
        <is>
          <t>Rateio de transporte coletivo</t>
        </is>
      </c>
      <c r="D1902" s="107" t="n"/>
      <c r="E1902" s="108" t="n"/>
      <c r="F1902" s="109">
        <f>IFERROR(D1902*E1902,0)</f>
        <v/>
      </c>
      <c r="G1902" s="106">
        <f>INDEX(SETORES!$B:$B,MATCH(A1902,SETORES!$A:$A,0))</f>
        <v/>
      </c>
      <c r="H1902" s="106" t="inlineStr">
        <is>
          <t>Agosto/2026</t>
        </is>
      </c>
    </row>
    <row r="1903" hidden="1" ht="14.25" customHeight="1" s="64">
      <c r="A1903" s="106" t="inlineStr">
        <is>
          <t>Engenharia</t>
        </is>
      </c>
      <c r="B1903" s="106" t="inlineStr">
        <is>
          <t>Custo Variável</t>
        </is>
      </c>
      <c r="C1903" s="106" t="inlineStr">
        <is>
          <t>Rescisões trabalhistas</t>
        </is>
      </c>
      <c r="D1903" s="107" t="n"/>
      <c r="E1903" s="108" t="n"/>
      <c r="F1903" s="109">
        <f>IFERROR(D1903*E1903,0)</f>
        <v/>
      </c>
      <c r="G1903" s="106">
        <f>INDEX(SETORES!$B:$B,MATCH(A1903,SETORES!$A:$A,0))</f>
        <v/>
      </c>
      <c r="H1903" s="106" t="inlineStr">
        <is>
          <t>Agosto/2026</t>
        </is>
      </c>
    </row>
    <row r="1904" hidden="1" ht="14.25" customHeight="1" s="64">
      <c r="A1904" s="106" t="inlineStr">
        <is>
          <t>Engenharia</t>
        </is>
      </c>
      <c r="B1904" s="106" t="inlineStr">
        <is>
          <t>Custo Fixo</t>
        </is>
      </c>
      <c r="C1904" s="106" t="inlineStr">
        <is>
          <t>Licença de e-mail corporativo</t>
        </is>
      </c>
      <c r="D1904" s="107" t="n">
        <v>9</v>
      </c>
      <c r="E1904" s="108" t="n">
        <v>50</v>
      </c>
      <c r="F1904" s="109">
        <f>IFERROR(D1904*E1904,0)</f>
        <v/>
      </c>
      <c r="G1904" s="106">
        <f>INDEX(SETORES!$B:$B,MATCH(A1904,SETORES!$A:$A,0))</f>
        <v/>
      </c>
      <c r="H1904" s="106" t="inlineStr">
        <is>
          <t>Agosto/2026</t>
        </is>
      </c>
    </row>
    <row r="1905" hidden="1" ht="14.25" customHeight="1" s="64">
      <c r="A1905" s="106" t="inlineStr">
        <is>
          <t>Engenharia</t>
        </is>
      </c>
      <c r="B1905" s="106" t="inlineStr">
        <is>
          <t>Custo Variável</t>
        </is>
      </c>
      <c r="C1905" s="106" t="inlineStr">
        <is>
          <t>Combustível de frota</t>
        </is>
      </c>
      <c r="D1905" s="107" t="n">
        <v>1</v>
      </c>
      <c r="E1905" s="108" t="n">
        <v>4864.24</v>
      </c>
      <c r="F1905" s="109">
        <f>IFERROR(D1905*E1905,0)</f>
        <v/>
      </c>
      <c r="G1905" s="106">
        <f>INDEX(SETORES!$B:$B,MATCH(A1905,SETORES!$A:$A,0))</f>
        <v/>
      </c>
      <c r="H1905" s="106" t="inlineStr">
        <is>
          <t>Agosto/2026</t>
        </is>
      </c>
    </row>
    <row r="1906" hidden="1" ht="14.25" customHeight="1" s="64">
      <c r="A1906" s="106" t="inlineStr">
        <is>
          <t>Engenharia</t>
        </is>
      </c>
      <c r="B1906" s="106" t="inlineStr">
        <is>
          <t>Custo Fixo</t>
        </is>
      </c>
      <c r="C1906" s="106" t="inlineStr">
        <is>
          <t>Impressora</t>
        </is>
      </c>
      <c r="D1906" s="107" t="n"/>
      <c r="E1906" s="108" t="n"/>
      <c r="F1906" s="109">
        <f>IFERROR(D1906*E1906,0)</f>
        <v/>
      </c>
      <c r="G1906" s="106">
        <f>INDEX(SETORES!$B:$B,MATCH(A1906,SETORES!$A:$A,0))</f>
        <v/>
      </c>
      <c r="H1906" s="106" t="inlineStr">
        <is>
          <t>Agosto/2026</t>
        </is>
      </c>
    </row>
    <row r="1907" hidden="1" ht="14.25" customHeight="1" s="64">
      <c r="A1907" s="106" t="inlineStr">
        <is>
          <t>Engenharia</t>
        </is>
      </c>
      <c r="B1907" s="106" t="inlineStr">
        <is>
          <t>Custo Fixo</t>
        </is>
      </c>
      <c r="C1907" s="106" t="inlineStr">
        <is>
          <t>Gympass</t>
        </is>
      </c>
      <c r="D1907" s="107" t="n"/>
      <c r="E1907" s="108" t="n"/>
      <c r="F1907" s="109">
        <f>IFERROR(D1907*E1907,0)</f>
        <v/>
      </c>
      <c r="G1907" s="106">
        <f>INDEX(SETORES!$B:$B,MATCH(A1907,SETORES!$A:$A,0))</f>
        <v/>
      </c>
      <c r="H1907" s="106" t="inlineStr">
        <is>
          <t>Agosto/2026</t>
        </is>
      </c>
    </row>
    <row r="1908" hidden="1" ht="14.25" customHeight="1" s="64">
      <c r="A1908" s="106" t="inlineStr">
        <is>
          <t>Engenharia</t>
        </is>
      </c>
      <c r="B1908" s="106" t="inlineStr">
        <is>
          <t>Custo Fixo</t>
        </is>
      </c>
      <c r="C1908" s="106" t="inlineStr">
        <is>
          <t>Stargrid</t>
        </is>
      </c>
      <c r="D1908" s="107" t="n">
        <v>9</v>
      </c>
      <c r="E1908" s="108" t="n">
        <v>1.87</v>
      </c>
      <c r="F1908" s="109">
        <f>IFERROR(D1908*E1908,0)</f>
        <v/>
      </c>
      <c r="G1908" s="106">
        <f>INDEX(SETORES!$B:$B,MATCH(A1908,SETORES!$A:$A,0))</f>
        <v/>
      </c>
      <c r="H1908" s="106" t="inlineStr">
        <is>
          <t>Agosto/2026</t>
        </is>
      </c>
    </row>
    <row r="1909" hidden="1" ht="14.25" customHeight="1" s="64">
      <c r="A1909" s="106" t="inlineStr">
        <is>
          <t>Estoque</t>
        </is>
      </c>
      <c r="B1909" s="106" t="inlineStr">
        <is>
          <t>Custo Fixo</t>
        </is>
      </c>
      <c r="C1909" s="106" t="inlineStr">
        <is>
          <t>Material de escritório (suprimentos de informática)</t>
        </is>
      </c>
      <c r="D1909" s="107" t="n"/>
      <c r="E1909" s="108" t="n"/>
      <c r="F1909" s="109">
        <f>IFERROR(D1909*E1909,0)</f>
        <v/>
      </c>
      <c r="G1909" s="106">
        <f>INDEX(SETORES!$B:$B,MATCH(A1909,SETORES!$A:$A,0))</f>
        <v/>
      </c>
      <c r="H1909" s="106" t="inlineStr">
        <is>
          <t>Agosto/2026</t>
        </is>
      </c>
    </row>
    <row r="1910" hidden="1" ht="14.25" customHeight="1" s="64">
      <c r="A1910" s="106" t="inlineStr">
        <is>
          <t>Estoque</t>
        </is>
      </c>
      <c r="B1910" s="106" t="inlineStr">
        <is>
          <t>Custo Fixo</t>
        </is>
      </c>
      <c r="C1910" s="106" t="inlineStr">
        <is>
          <t>Material de uso coletivo (copa/limpeza)</t>
        </is>
      </c>
      <c r="D1910" s="107" t="n">
        <v>1</v>
      </c>
      <c r="E1910" s="108" t="n">
        <v>828.61</v>
      </c>
      <c r="F1910" s="109">
        <f>IFERROR(D1910*E1910,0)</f>
        <v/>
      </c>
      <c r="G1910" s="106">
        <f>INDEX(SETORES!$B:$B,MATCH(A1910,SETORES!$A:$A,0))</f>
        <v/>
      </c>
      <c r="H1910" s="106" t="inlineStr">
        <is>
          <t>Agosto/2026</t>
        </is>
      </c>
    </row>
    <row r="1911" hidden="1" ht="14.25" customHeight="1" s="64">
      <c r="A1911" s="106" t="inlineStr">
        <is>
          <t>Estoque</t>
        </is>
      </c>
      <c r="B1911" s="106" t="inlineStr">
        <is>
          <t>Custo Fixo</t>
        </is>
      </c>
      <c r="C1911" s="106" t="inlineStr">
        <is>
          <t>Energia elétrica (rateio)</t>
        </is>
      </c>
      <c r="D1911" s="107" t="n"/>
      <c r="E1911" s="108" t="n"/>
      <c r="F1911" s="109">
        <f>IFERROR(D1911*E1911,0)</f>
        <v/>
      </c>
      <c r="G1911" s="106">
        <f>INDEX(SETORES!$B:$B,MATCH(A1911,SETORES!$A:$A,0))</f>
        <v/>
      </c>
      <c r="H1911" s="106" t="inlineStr">
        <is>
          <t>Agosto/2026</t>
        </is>
      </c>
    </row>
    <row r="1912" hidden="1" ht="14.25" customHeight="1" s="64">
      <c r="A1912" s="106" t="inlineStr">
        <is>
          <t>Estoque</t>
        </is>
      </c>
      <c r="B1912" s="106" t="inlineStr">
        <is>
          <t>Custo Fixo</t>
        </is>
      </c>
      <c r="C1912" s="106" t="inlineStr">
        <is>
          <t>Água e esgoto (rateio)</t>
        </is>
      </c>
      <c r="D1912" s="107" t="n"/>
      <c r="E1912" s="108" t="n"/>
      <c r="F1912" s="109">
        <f>IFERROR(D1912*E1912,0)</f>
        <v/>
      </c>
      <c r="G1912" s="106">
        <f>INDEX(SETORES!$B:$B,MATCH(A1912,SETORES!$A:$A,0))</f>
        <v/>
      </c>
      <c r="H1912" s="106" t="inlineStr">
        <is>
          <t>Agosto/2026</t>
        </is>
      </c>
    </row>
    <row r="1913" hidden="1" ht="14.25" customHeight="1" s="64">
      <c r="A1913" s="106" t="inlineStr">
        <is>
          <t>Estoque</t>
        </is>
      </c>
      <c r="B1913" s="106" t="inlineStr">
        <is>
          <t>Custo Fixo</t>
        </is>
      </c>
      <c r="C1913" s="106" t="inlineStr">
        <is>
          <t>Telefonia móvel corporativa</t>
        </is>
      </c>
      <c r="D1913" s="107" t="n"/>
      <c r="E1913" s="108" t="n"/>
      <c r="F1913" s="109">
        <f>IFERROR(D1913*E1913,0)</f>
        <v/>
      </c>
      <c r="G1913" s="106">
        <f>INDEX(SETORES!$B:$B,MATCH(A1913,SETORES!$A:$A,0))</f>
        <v/>
      </c>
      <c r="H1913" s="106" t="inlineStr">
        <is>
          <t>Agosto/2026</t>
        </is>
      </c>
    </row>
    <row r="1914" hidden="1" ht="14.25" customHeight="1" s="64">
      <c r="A1914" s="106" t="inlineStr">
        <is>
          <t>Estoque</t>
        </is>
      </c>
      <c r="B1914" s="106" t="inlineStr">
        <is>
          <t>Custo Fixo</t>
        </is>
      </c>
      <c r="C1914" s="106" t="inlineStr">
        <is>
          <t>Folha de pagamento (salários)</t>
        </is>
      </c>
      <c r="D1914" s="107" t="n">
        <v>1</v>
      </c>
      <c r="E1914" s="108" t="n">
        <v>96388.89999999999</v>
      </c>
      <c r="F1914" s="109">
        <f>IFERROR(D1914*E1914,0)</f>
        <v/>
      </c>
      <c r="G1914" s="106">
        <f>INDEX(SETORES!$B:$B,MATCH(A1914,SETORES!$A:$A,0))</f>
        <v/>
      </c>
      <c r="H1914" s="106" t="inlineStr">
        <is>
          <t>Agosto/2026</t>
        </is>
      </c>
    </row>
    <row r="1915" hidden="1" ht="14.25" customHeight="1" s="64">
      <c r="A1915" s="106" t="inlineStr">
        <is>
          <t>Estoque</t>
        </is>
      </c>
      <c r="B1915" s="106" t="inlineStr">
        <is>
          <t>Custo Variável</t>
        </is>
      </c>
      <c r="C1915" s="106" t="inlineStr">
        <is>
          <t>Fardamento novo</t>
        </is>
      </c>
      <c r="D1915" s="107" t="n"/>
      <c r="E1915" s="108" t="n"/>
      <c r="F1915" s="109">
        <f>IFERROR(D1915*E1915,0)</f>
        <v/>
      </c>
      <c r="G1915" s="106">
        <f>INDEX(SETORES!$B:$B,MATCH(A1915,SETORES!$A:$A,0))</f>
        <v/>
      </c>
      <c r="H1915" s="106" t="inlineStr">
        <is>
          <t>Agosto/2026</t>
        </is>
      </c>
    </row>
    <row r="1916" hidden="1" ht="14.25" customHeight="1" s="64">
      <c r="A1916" s="106" t="inlineStr">
        <is>
          <t>Estoque</t>
        </is>
      </c>
      <c r="B1916" s="106" t="inlineStr">
        <is>
          <t>Custo Variável</t>
        </is>
      </c>
      <c r="C1916" s="106" t="inlineStr">
        <is>
          <t>Fardamento substituição</t>
        </is>
      </c>
      <c r="D1916" s="107" t="n"/>
      <c r="E1916" s="108" t="n"/>
      <c r="F1916" s="109">
        <f>IFERROR(D1916*E1916,0)</f>
        <v/>
      </c>
      <c r="G1916" s="106">
        <f>INDEX(SETORES!$B:$B,MATCH(A1916,SETORES!$A:$A,0))</f>
        <v/>
      </c>
      <c r="H1916" s="106" t="inlineStr">
        <is>
          <t>Agosto/2026</t>
        </is>
      </c>
    </row>
    <row r="1917" hidden="1" ht="14.25" customHeight="1" s="64">
      <c r="A1917" s="106" t="inlineStr">
        <is>
          <t>Estoque</t>
        </is>
      </c>
      <c r="B1917" s="106" t="inlineStr">
        <is>
          <t>Custo Variável</t>
        </is>
      </c>
      <c r="C1917" s="106" t="inlineStr">
        <is>
          <t>Rateio de transporte coletivo</t>
        </is>
      </c>
      <c r="D1917" s="107" t="n"/>
      <c r="E1917" s="108" t="n"/>
      <c r="F1917" s="109">
        <f>IFERROR(D1917*E1917,0)</f>
        <v/>
      </c>
      <c r="G1917" s="106">
        <f>INDEX(SETORES!$B:$B,MATCH(A1917,SETORES!$A:$A,0))</f>
        <v/>
      </c>
      <c r="H1917" s="106" t="inlineStr">
        <is>
          <t>Agosto/2026</t>
        </is>
      </c>
    </row>
    <row r="1918" hidden="1" ht="14.25" customHeight="1" s="64">
      <c r="A1918" s="106" t="inlineStr">
        <is>
          <t>Estoque</t>
        </is>
      </c>
      <c r="B1918" s="106" t="inlineStr">
        <is>
          <t>Custo Variável</t>
        </is>
      </c>
      <c r="C1918" s="106" t="inlineStr">
        <is>
          <t>Rescisões trabalhistas</t>
        </is>
      </c>
      <c r="D1918" s="107" t="n"/>
      <c r="E1918" s="108" t="n"/>
      <c r="F1918" s="109">
        <f>IFERROR(D1918*E1918,0)</f>
        <v/>
      </c>
      <c r="G1918" s="106">
        <f>INDEX(SETORES!$B:$B,MATCH(A1918,SETORES!$A:$A,0))</f>
        <v/>
      </c>
      <c r="H1918" s="106" t="inlineStr">
        <is>
          <t>Agosto/2026</t>
        </is>
      </c>
    </row>
    <row r="1919" hidden="1" ht="14.25" customHeight="1" s="64">
      <c r="A1919" s="106" t="inlineStr">
        <is>
          <t>Estoque</t>
        </is>
      </c>
      <c r="B1919" s="106" t="inlineStr">
        <is>
          <t>Custo Variável</t>
        </is>
      </c>
      <c r="C1919" s="106" t="inlineStr">
        <is>
          <t>Exames médicos</t>
        </is>
      </c>
      <c r="D1919" s="107" t="n"/>
      <c r="E1919" s="108" t="n"/>
      <c r="F1919" s="109">
        <f>IFERROR(D1919*E1919,0)</f>
        <v/>
      </c>
      <c r="G1919" s="106">
        <f>INDEX(SETORES!$B:$B,MATCH(A1919,SETORES!$A:$A,0))</f>
        <v/>
      </c>
      <c r="H1919" s="106" t="inlineStr">
        <is>
          <t>Agosto/2026</t>
        </is>
      </c>
    </row>
    <row r="1920" hidden="1" ht="14.25" customHeight="1" s="64">
      <c r="A1920" s="106" t="inlineStr">
        <is>
          <t>Estoque</t>
        </is>
      </c>
      <c r="B1920" s="106" t="inlineStr">
        <is>
          <t>Custo Fixo</t>
        </is>
      </c>
      <c r="C1920" s="106" t="inlineStr">
        <is>
          <t>Licença de e-mail corporativo</t>
        </is>
      </c>
      <c r="D1920" s="107" t="n">
        <v>16</v>
      </c>
      <c r="E1920" s="108" t="n">
        <v>50</v>
      </c>
      <c r="F1920" s="109">
        <f>IFERROR(D1920*E1920,0)</f>
        <v/>
      </c>
      <c r="G1920" s="106">
        <f>INDEX(SETORES!$B:$B,MATCH(A1920,SETORES!$A:$A,0))</f>
        <v/>
      </c>
      <c r="H1920" s="106" t="inlineStr">
        <is>
          <t>Agosto/2026</t>
        </is>
      </c>
    </row>
    <row r="1921" hidden="1" ht="14.25" customHeight="1" s="64">
      <c r="A1921" s="106" t="inlineStr">
        <is>
          <t>Estoque</t>
        </is>
      </c>
      <c r="B1921" s="106" t="inlineStr">
        <is>
          <t>Custo Fixo</t>
        </is>
      </c>
      <c r="C1921" s="106" t="inlineStr">
        <is>
          <t>Impressora</t>
        </is>
      </c>
      <c r="D1921" s="107" t="n"/>
      <c r="E1921" s="108" t="n"/>
      <c r="F1921" s="109">
        <f>IFERROR(D1921*E1921,0)</f>
        <v/>
      </c>
      <c r="G1921" s="106">
        <f>INDEX(SETORES!$B:$B,MATCH(A1921,SETORES!$A:$A,0))</f>
        <v/>
      </c>
      <c r="H1921" s="106" t="inlineStr">
        <is>
          <t>Agosto/2026</t>
        </is>
      </c>
    </row>
    <row r="1922" hidden="1" ht="14.25" customHeight="1" s="64">
      <c r="A1922" s="106" t="inlineStr">
        <is>
          <t>Estoque</t>
        </is>
      </c>
      <c r="B1922" s="106" t="inlineStr">
        <is>
          <t>Custo Fixo</t>
        </is>
      </c>
      <c r="C1922" s="106" t="inlineStr">
        <is>
          <t>Gympass</t>
        </is>
      </c>
      <c r="D1922" s="107" t="n"/>
      <c r="E1922" s="108" t="n"/>
      <c r="F1922" s="109">
        <f>IFERROR(D1922*E1922,0)</f>
        <v/>
      </c>
      <c r="G1922" s="106">
        <f>INDEX(SETORES!$B:$B,MATCH(A1922,SETORES!$A:$A,0))</f>
        <v/>
      </c>
      <c r="H1922" s="106" t="inlineStr">
        <is>
          <t>Agosto/2026</t>
        </is>
      </c>
    </row>
    <row r="1923" hidden="1" ht="14.25" customHeight="1" s="64">
      <c r="A1923" s="106" t="inlineStr">
        <is>
          <t>Estoque</t>
        </is>
      </c>
      <c r="B1923" s="106" t="inlineStr">
        <is>
          <t>Custo Fixo</t>
        </is>
      </c>
      <c r="C1923" s="106" t="inlineStr">
        <is>
          <t>Stargrid</t>
        </is>
      </c>
      <c r="D1923" s="107" t="n">
        <v>16</v>
      </c>
      <c r="E1923" s="108" t="n">
        <v>1.87</v>
      </c>
      <c r="F1923" s="109">
        <f>IFERROR(D1923*E1923,0)</f>
        <v/>
      </c>
      <c r="G1923" s="106">
        <f>INDEX(SETORES!$B:$B,MATCH(A1923,SETORES!$A:$A,0))</f>
        <v/>
      </c>
      <c r="H1923" s="106" t="inlineStr">
        <is>
          <t>Agosto/2026</t>
        </is>
      </c>
    </row>
    <row r="1924" hidden="1" ht="14.25" customHeight="1" s="64">
      <c r="A1924" s="106" t="inlineStr">
        <is>
          <t>Financeiro</t>
        </is>
      </c>
      <c r="B1924" s="106" t="inlineStr">
        <is>
          <t>Custo Fixo</t>
        </is>
      </c>
      <c r="C1924" s="106" t="inlineStr">
        <is>
          <t>Material de escritório (suprimentos de informática)</t>
        </is>
      </c>
      <c r="D1924" s="107" t="n">
        <v>1</v>
      </c>
      <c r="E1924" s="108" t="n">
        <v>4.82</v>
      </c>
      <c r="F1924" s="109">
        <f>IFERROR(D1924*E1924,0)</f>
        <v/>
      </c>
      <c r="G1924" s="106">
        <f>INDEX(SETORES!$B:$B,MATCH(A1924,SETORES!$A:$A,0))</f>
        <v/>
      </c>
      <c r="H1924" s="106" t="inlineStr">
        <is>
          <t>Agosto/2026</t>
        </is>
      </c>
    </row>
    <row r="1925" hidden="1" ht="14.25" customHeight="1" s="64">
      <c r="A1925" s="106" t="inlineStr">
        <is>
          <t>Financeiro</t>
        </is>
      </c>
      <c r="B1925" s="106" t="inlineStr">
        <is>
          <t>Custo Fixo</t>
        </is>
      </c>
      <c r="C1925" s="106" t="inlineStr">
        <is>
          <t>Material de uso coletivo (copa/limpeza)</t>
        </is>
      </c>
      <c r="D1925" s="107" t="n">
        <v>1</v>
      </c>
      <c r="E1925" s="108" t="n">
        <v>438.85</v>
      </c>
      <c r="F1925" s="109">
        <f>IFERROR(D1925*E1925,0)</f>
        <v/>
      </c>
      <c r="G1925" s="106">
        <f>INDEX(SETORES!$B:$B,MATCH(A1925,SETORES!$A:$A,0))</f>
        <v/>
      </c>
      <c r="H1925" s="106" t="inlineStr">
        <is>
          <t>Agosto/2026</t>
        </is>
      </c>
    </row>
    <row r="1926" hidden="1" ht="14.25" customHeight="1" s="64">
      <c r="A1926" s="106" t="inlineStr">
        <is>
          <t>Financeiro</t>
        </is>
      </c>
      <c r="B1926" s="106" t="inlineStr">
        <is>
          <t>Custo Fixo</t>
        </is>
      </c>
      <c r="C1926" s="106" t="inlineStr">
        <is>
          <t>Energia elétrica (rateio)</t>
        </is>
      </c>
      <c r="D1926" s="107" t="n"/>
      <c r="E1926" s="108" t="n"/>
      <c r="F1926" s="109">
        <f>IFERROR(D1926*E1926,0)</f>
        <v/>
      </c>
      <c r="G1926" s="106">
        <f>INDEX(SETORES!$B:$B,MATCH(A1926,SETORES!$A:$A,0))</f>
        <v/>
      </c>
      <c r="H1926" s="106" t="inlineStr">
        <is>
          <t>Agosto/2026</t>
        </is>
      </c>
    </row>
    <row r="1927" hidden="1" ht="14.25" customHeight="1" s="64">
      <c r="A1927" s="106" t="inlineStr">
        <is>
          <t>Financeiro</t>
        </is>
      </c>
      <c r="B1927" s="106" t="inlineStr">
        <is>
          <t>Custo Fixo</t>
        </is>
      </c>
      <c r="C1927" s="106" t="inlineStr">
        <is>
          <t>Água e esgoto (rateio)</t>
        </is>
      </c>
      <c r="D1927" s="107" t="n"/>
      <c r="E1927" s="108" t="n"/>
      <c r="F1927" s="109">
        <f>IFERROR(D1927*E1927,0)</f>
        <v/>
      </c>
      <c r="G1927" s="106">
        <f>INDEX(SETORES!$B:$B,MATCH(A1927,SETORES!$A:$A,0))</f>
        <v/>
      </c>
      <c r="H1927" s="106" t="inlineStr">
        <is>
          <t>Agosto/2026</t>
        </is>
      </c>
    </row>
    <row r="1928" hidden="1" ht="14.25" customHeight="1" s="64">
      <c r="A1928" s="106" t="inlineStr">
        <is>
          <t>Financeiro</t>
        </is>
      </c>
      <c r="B1928" s="106" t="inlineStr">
        <is>
          <t>Custo Fixo</t>
        </is>
      </c>
      <c r="C1928" s="106" t="inlineStr">
        <is>
          <t>Telefonia móvel corporativa</t>
        </is>
      </c>
      <c r="D1928" s="107" t="n"/>
      <c r="E1928" s="108" t="n"/>
      <c r="F1928" s="109">
        <f>IFERROR(D1928*E1928,0)</f>
        <v/>
      </c>
      <c r="G1928" s="106">
        <f>INDEX(SETORES!$B:$B,MATCH(A1928,SETORES!$A:$A,0))</f>
        <v/>
      </c>
      <c r="H1928" s="106" t="inlineStr">
        <is>
          <t>Agosto/2026</t>
        </is>
      </c>
    </row>
    <row r="1929" hidden="1" ht="14.25" customHeight="1" s="64">
      <c r="A1929" s="106" t="inlineStr">
        <is>
          <t>Financeiro</t>
        </is>
      </c>
      <c r="B1929" s="106" t="inlineStr">
        <is>
          <t>Custo Fixo</t>
        </is>
      </c>
      <c r="C1929" s="106" t="inlineStr">
        <is>
          <t>Folha de pagamento (salários)</t>
        </is>
      </c>
      <c r="D1929" s="107" t="n">
        <v>1</v>
      </c>
      <c r="E1929" s="108" t="n">
        <v>33181.94</v>
      </c>
      <c r="F1929" s="109">
        <f>IFERROR(D1929*E1929,0)</f>
        <v/>
      </c>
      <c r="G1929" s="106">
        <f>INDEX(SETORES!$B:$B,MATCH(A1929,SETORES!$A:$A,0))</f>
        <v/>
      </c>
      <c r="H1929" s="106" t="inlineStr">
        <is>
          <t>Agosto/2026</t>
        </is>
      </c>
    </row>
    <row r="1930" hidden="1" ht="14.25" customHeight="1" s="64">
      <c r="A1930" s="106" t="inlineStr">
        <is>
          <t>Financeiro</t>
        </is>
      </c>
      <c r="B1930" s="106" t="inlineStr">
        <is>
          <t>Custo Fixo</t>
        </is>
      </c>
      <c r="C1930" s="106" t="inlineStr">
        <is>
          <t>Licenças de software/sistemas corporativos (Financeiro)</t>
        </is>
      </c>
      <c r="D1930" s="107" t="n"/>
      <c r="E1930" s="108" t="n"/>
      <c r="F1930" s="109">
        <f>IFERROR(D1930*E1930,0)</f>
        <v/>
      </c>
      <c r="G1930" s="106">
        <f>INDEX(SETORES!$B:$B,MATCH(A1930,SETORES!$A:$A,0))</f>
        <v/>
      </c>
      <c r="H1930" s="106" t="inlineStr">
        <is>
          <t>Agosto/2026</t>
        </is>
      </c>
    </row>
    <row r="1931" hidden="1" ht="14.25" customHeight="1" s="64">
      <c r="A1931" s="106" t="inlineStr">
        <is>
          <t>Financeiro</t>
        </is>
      </c>
      <c r="B1931" s="106" t="inlineStr">
        <is>
          <t>Custo Variável</t>
        </is>
      </c>
      <c r="C1931" s="106" t="inlineStr">
        <is>
          <t>Fardamento novo</t>
        </is>
      </c>
      <c r="D1931" s="107" t="n"/>
      <c r="E1931" s="108" t="n"/>
      <c r="F1931" s="109">
        <f>IFERROR(D1931*E1931,0)</f>
        <v/>
      </c>
      <c r="G1931" s="106">
        <f>INDEX(SETORES!$B:$B,MATCH(A1931,SETORES!$A:$A,0))</f>
        <v/>
      </c>
      <c r="H1931" s="106" t="inlineStr">
        <is>
          <t>Agosto/2026</t>
        </is>
      </c>
    </row>
    <row r="1932" hidden="1" ht="14.25" customHeight="1" s="64">
      <c r="A1932" s="106" t="inlineStr">
        <is>
          <t>Financeiro</t>
        </is>
      </c>
      <c r="B1932" s="106" t="inlineStr">
        <is>
          <t>Custo Variável</t>
        </is>
      </c>
      <c r="C1932" s="106" t="inlineStr">
        <is>
          <t>Fardamento substituição</t>
        </is>
      </c>
      <c r="D1932" s="107" t="n"/>
      <c r="E1932" s="108" t="n"/>
      <c r="F1932" s="109">
        <f>IFERROR(D1932*E1932,0)</f>
        <v/>
      </c>
      <c r="G1932" s="106">
        <f>INDEX(SETORES!$B:$B,MATCH(A1932,SETORES!$A:$A,0))</f>
        <v/>
      </c>
      <c r="H1932" s="106" t="inlineStr">
        <is>
          <t>Agosto/2026</t>
        </is>
      </c>
    </row>
    <row r="1933" hidden="1" ht="14.25" customHeight="1" s="64">
      <c r="A1933" s="106" t="inlineStr">
        <is>
          <t>Financeiro</t>
        </is>
      </c>
      <c r="B1933" s="106" t="inlineStr">
        <is>
          <t>Custo Fixo</t>
        </is>
      </c>
      <c r="C1933" s="106" t="inlineStr">
        <is>
          <t>Licença de e-mail corporativo</t>
        </is>
      </c>
      <c r="D1933" s="107" t="n">
        <v>8</v>
      </c>
      <c r="E1933" s="108" t="n">
        <v>50</v>
      </c>
      <c r="F1933" s="109">
        <f>IFERROR(D1933*E1933,0)</f>
        <v/>
      </c>
      <c r="G1933" s="106">
        <f>INDEX(SETORES!$B:$B,MATCH(A1933,SETORES!$A:$A,0))</f>
        <v/>
      </c>
      <c r="H1933" s="106" t="inlineStr">
        <is>
          <t>Agosto/2026</t>
        </is>
      </c>
    </row>
    <row r="1934" hidden="1" ht="14.25" customHeight="1" s="64">
      <c r="A1934" s="106" t="inlineStr">
        <is>
          <t>Financeiro</t>
        </is>
      </c>
      <c r="B1934" s="106" t="inlineStr">
        <is>
          <t>Custo Fixo</t>
        </is>
      </c>
      <c r="C1934" s="106" t="inlineStr">
        <is>
          <t>Impressora</t>
        </is>
      </c>
      <c r="D1934" s="107" t="n"/>
      <c r="E1934" s="108" t="n"/>
      <c r="F1934" s="109">
        <f>IFERROR(D1934*E1934,0)</f>
        <v/>
      </c>
      <c r="G1934" s="106">
        <f>INDEX(SETORES!$B:$B,MATCH(A1934,SETORES!$A:$A,0))</f>
        <v/>
      </c>
      <c r="H1934" s="106" t="inlineStr">
        <is>
          <t>Agosto/2026</t>
        </is>
      </c>
    </row>
    <row r="1935" hidden="1" ht="14.25" customHeight="1" s="64">
      <c r="A1935" s="106" t="inlineStr">
        <is>
          <t>Financeiro</t>
        </is>
      </c>
      <c r="B1935" s="106" t="inlineStr">
        <is>
          <t>Custo Fixo</t>
        </is>
      </c>
      <c r="C1935" s="106" t="inlineStr">
        <is>
          <t>Gympass</t>
        </is>
      </c>
      <c r="D1935" s="107" t="n"/>
      <c r="E1935" s="108" t="n"/>
      <c r="F1935" s="109">
        <f>IFERROR(D1935*E1935,0)</f>
        <v/>
      </c>
      <c r="G1935" s="106">
        <f>INDEX(SETORES!$B:$B,MATCH(A1935,SETORES!$A:$A,0))</f>
        <v/>
      </c>
      <c r="H1935" s="106" t="inlineStr">
        <is>
          <t>Agosto/2026</t>
        </is>
      </c>
    </row>
    <row r="1936" hidden="1" ht="14.25" customHeight="1" s="64">
      <c r="A1936" s="106" t="inlineStr">
        <is>
          <t>Financeiro</t>
        </is>
      </c>
      <c r="B1936" s="106" t="inlineStr">
        <is>
          <t>Custo Fixo</t>
        </is>
      </c>
      <c r="C1936" s="106" t="inlineStr">
        <is>
          <t>Stargrid</t>
        </is>
      </c>
      <c r="D1936" s="107" t="n">
        <v>8</v>
      </c>
      <c r="E1936" s="108" t="n">
        <v>1.87</v>
      </c>
      <c r="F1936" s="109">
        <f>IFERROR(D1936*E1936,0)</f>
        <v/>
      </c>
      <c r="G1936" s="106">
        <f>INDEX(SETORES!$B:$B,MATCH(A1936,SETORES!$A:$A,0))</f>
        <v/>
      </c>
      <c r="H1936" s="106" t="inlineStr">
        <is>
          <t>Agosto/2026</t>
        </is>
      </c>
    </row>
    <row r="1937" hidden="1" ht="14.25" customHeight="1" s="64">
      <c r="A1937" s="106" t="inlineStr">
        <is>
          <t>Logística</t>
        </is>
      </c>
      <c r="B1937" s="106" t="inlineStr">
        <is>
          <t>Custo Fixo</t>
        </is>
      </c>
      <c r="C1937" s="106" t="inlineStr">
        <is>
          <t>Material de escritório (suprimentos de informática)</t>
        </is>
      </c>
      <c r="D1937" s="107" t="n">
        <v>1</v>
      </c>
      <c r="E1937" s="108" t="n">
        <v>89.59</v>
      </c>
      <c r="F1937" s="109">
        <f>IFERROR(D1937*E1937,0)</f>
        <v/>
      </c>
      <c r="G1937" s="106">
        <f>INDEX(SETORES!$B:$B,MATCH(A1937,SETORES!$A:$A,0))</f>
        <v/>
      </c>
      <c r="H1937" s="106" t="inlineStr">
        <is>
          <t>Agosto/2026</t>
        </is>
      </c>
    </row>
    <row r="1938" hidden="1" ht="14.25" customHeight="1" s="64">
      <c r="A1938" s="106" t="inlineStr">
        <is>
          <t>Logística</t>
        </is>
      </c>
      <c r="B1938" s="106" t="inlineStr">
        <is>
          <t>Custo Fixo</t>
        </is>
      </c>
      <c r="C1938" s="106" t="inlineStr">
        <is>
          <t>Material de uso coletivo (copa/limpeza)</t>
        </is>
      </c>
      <c r="D1938" s="107" t="n">
        <v>1</v>
      </c>
      <c r="E1938" s="108" t="n">
        <v>830.33</v>
      </c>
      <c r="F1938" s="109">
        <f>IFERROR(D1938*E1938,0)</f>
        <v/>
      </c>
      <c r="G1938" s="106">
        <f>INDEX(SETORES!$B:$B,MATCH(A1938,SETORES!$A:$A,0))</f>
        <v/>
      </c>
      <c r="H1938" s="106" t="inlineStr">
        <is>
          <t>Agosto/2026</t>
        </is>
      </c>
    </row>
    <row r="1939" hidden="1" ht="14.25" customHeight="1" s="64">
      <c r="A1939" s="106" t="inlineStr">
        <is>
          <t>Logística</t>
        </is>
      </c>
      <c r="B1939" s="106" t="inlineStr">
        <is>
          <t>Custo Fixo</t>
        </is>
      </c>
      <c r="C1939" s="106" t="inlineStr">
        <is>
          <t>Energia elétrica (rateio)</t>
        </is>
      </c>
      <c r="D1939" s="107" t="n"/>
      <c r="E1939" s="108" t="n"/>
      <c r="F1939" s="109">
        <f>IFERROR(D1939*E1939,0)</f>
        <v/>
      </c>
      <c r="G1939" s="106">
        <f>INDEX(SETORES!$B:$B,MATCH(A1939,SETORES!$A:$A,0))</f>
        <v/>
      </c>
      <c r="H1939" s="106" t="inlineStr">
        <is>
          <t>Agosto/2026</t>
        </is>
      </c>
    </row>
    <row r="1940" hidden="1" ht="14.25" customHeight="1" s="64">
      <c r="A1940" s="106" t="inlineStr">
        <is>
          <t>Logística</t>
        </is>
      </c>
      <c r="B1940" s="106" t="inlineStr">
        <is>
          <t>Custo Fixo</t>
        </is>
      </c>
      <c r="C1940" s="106" t="inlineStr">
        <is>
          <t>Água e esgoto (rateio)</t>
        </is>
      </c>
      <c r="D1940" s="107" t="n"/>
      <c r="E1940" s="108" t="n"/>
      <c r="F1940" s="109">
        <f>IFERROR(D1940*E1940,0)</f>
        <v/>
      </c>
      <c r="G1940" s="106">
        <f>INDEX(SETORES!$B:$B,MATCH(A1940,SETORES!$A:$A,0))</f>
        <v/>
      </c>
      <c r="H1940" s="106" t="inlineStr">
        <is>
          <t>Agosto/2026</t>
        </is>
      </c>
    </row>
    <row r="1941" hidden="1" ht="14.25" customHeight="1" s="64">
      <c r="A1941" s="106" t="inlineStr">
        <is>
          <t>Logística</t>
        </is>
      </c>
      <c r="B1941" s="106" t="inlineStr">
        <is>
          <t>Custo Fixo</t>
        </is>
      </c>
      <c r="C1941" s="106" t="inlineStr">
        <is>
          <t>Telefonia móvel corporativa</t>
        </is>
      </c>
      <c r="D1941" s="107" t="n"/>
      <c r="E1941" s="108" t="n"/>
      <c r="F1941" s="109">
        <f>IFERROR(D1941*E1941,0)</f>
        <v/>
      </c>
      <c r="G1941" s="106">
        <f>INDEX(SETORES!$B:$B,MATCH(A1941,SETORES!$A:$A,0))</f>
        <v/>
      </c>
      <c r="H1941" s="106" t="inlineStr">
        <is>
          <t>Agosto/2026</t>
        </is>
      </c>
    </row>
    <row r="1942" hidden="1" ht="14.25" customHeight="1" s="64">
      <c r="A1942" s="106" t="inlineStr">
        <is>
          <t>Logística</t>
        </is>
      </c>
      <c r="B1942" s="106" t="inlineStr">
        <is>
          <t>Custo Fixo</t>
        </is>
      </c>
      <c r="C1942" s="106" t="inlineStr">
        <is>
          <t>Folha de pagamento (salários)</t>
        </is>
      </c>
      <c r="D1942" s="107" t="n">
        <v>1</v>
      </c>
      <c r="E1942" s="108" t="n">
        <v>92482.67999999999</v>
      </c>
      <c r="F1942" s="109">
        <f>IFERROR(D1942*E1942,0)</f>
        <v/>
      </c>
      <c r="G1942" s="106">
        <f>INDEX(SETORES!$B:$B,MATCH(A1942,SETORES!$A:$A,0))</f>
        <v/>
      </c>
      <c r="H1942" s="106" t="inlineStr">
        <is>
          <t>Agosto/2026</t>
        </is>
      </c>
    </row>
    <row r="1943" hidden="1" ht="14.25" customHeight="1" s="64">
      <c r="A1943" s="106" t="inlineStr">
        <is>
          <t>Logística</t>
        </is>
      </c>
      <c r="B1943" s="106" t="inlineStr">
        <is>
          <t>Custo Variável</t>
        </is>
      </c>
      <c r="C1943" s="106" t="inlineStr">
        <is>
          <t>Combustível de frota</t>
        </is>
      </c>
      <c r="D1943" s="107" t="n">
        <v>1</v>
      </c>
      <c r="E1943" s="108" t="n">
        <v>39191.62</v>
      </c>
      <c r="F1943" s="109">
        <f>IFERROR(D1943*E1943,0)</f>
        <v/>
      </c>
      <c r="G1943" s="106">
        <f>INDEX(SETORES!$B:$B,MATCH(A1943,SETORES!$A:$A,0))</f>
        <v/>
      </c>
      <c r="H1943" s="106" t="inlineStr">
        <is>
          <t>Agosto/2026</t>
        </is>
      </c>
    </row>
    <row r="1944" hidden="1" ht="14.25" customHeight="1" s="64">
      <c r="A1944" s="106" t="inlineStr">
        <is>
          <t>Logística</t>
        </is>
      </c>
      <c r="B1944" s="106" t="inlineStr">
        <is>
          <t>Custo Variável</t>
        </is>
      </c>
      <c r="C1944" s="106" t="inlineStr">
        <is>
          <t>Manutenção de veículos</t>
        </is>
      </c>
      <c r="D1944" s="107" t="n"/>
      <c r="E1944" s="108" t="n"/>
      <c r="F1944" s="109">
        <f>IFERROR(D1944*E1944,0)</f>
        <v/>
      </c>
      <c r="G1944" s="106">
        <f>INDEX(SETORES!$B:$B,MATCH(A1944,SETORES!$A:$A,0))</f>
        <v/>
      </c>
      <c r="H1944" s="106" t="inlineStr">
        <is>
          <t>Agosto/2026</t>
        </is>
      </c>
    </row>
    <row r="1945" hidden="1" ht="14.25" customHeight="1" s="64">
      <c r="A1945" s="106" t="inlineStr">
        <is>
          <t>Logística</t>
        </is>
      </c>
      <c r="B1945" s="106" t="inlineStr">
        <is>
          <t>Custo Variável</t>
        </is>
      </c>
      <c r="C1945" s="106" t="inlineStr">
        <is>
          <t>Fardamento novo</t>
        </is>
      </c>
      <c r="D1945" s="107" t="n">
        <v>1</v>
      </c>
      <c r="E1945" s="108" t="n">
        <v>90</v>
      </c>
      <c r="F1945" s="109">
        <f>IFERROR(D1945*E1945,0)</f>
        <v/>
      </c>
      <c r="G1945" s="106">
        <f>INDEX(SETORES!$B:$B,MATCH(A1945,SETORES!$A:$A,0))</f>
        <v/>
      </c>
      <c r="H1945" s="106" t="inlineStr">
        <is>
          <t>Agosto/2026</t>
        </is>
      </c>
    </row>
    <row r="1946" hidden="1" ht="14.25" customHeight="1" s="64">
      <c r="A1946" s="106" t="inlineStr">
        <is>
          <t>Logística</t>
        </is>
      </c>
      <c r="B1946" s="106" t="inlineStr">
        <is>
          <t>Custo Variável</t>
        </is>
      </c>
      <c r="C1946" s="106" t="inlineStr">
        <is>
          <t>Fardamento substituição</t>
        </is>
      </c>
      <c r="D1946" s="107" t="n"/>
      <c r="E1946" s="108" t="n"/>
      <c r="F1946" s="109">
        <f>IFERROR(D1946*E1946,0)</f>
        <v/>
      </c>
      <c r="G1946" s="106">
        <f>INDEX(SETORES!$B:$B,MATCH(A1946,SETORES!$A:$A,0))</f>
        <v/>
      </c>
      <c r="H1946" s="106" t="inlineStr">
        <is>
          <t>Agosto/2026</t>
        </is>
      </c>
    </row>
    <row r="1947" hidden="1" ht="14.25" customHeight="1" s="64">
      <c r="A1947" s="106" t="inlineStr">
        <is>
          <t>Logística</t>
        </is>
      </c>
      <c r="B1947" s="106" t="inlineStr">
        <is>
          <t>Custo Variável</t>
        </is>
      </c>
      <c r="C1947" s="106" t="inlineStr">
        <is>
          <t>EPIs - Equipamento de Proteção Individual</t>
        </is>
      </c>
      <c r="D1947" s="107" t="n"/>
      <c r="E1947" s="108" t="n"/>
      <c r="F1947" s="109">
        <f>IFERROR(D1947*E1947,0)</f>
        <v/>
      </c>
      <c r="G1947" s="106">
        <f>INDEX(SETORES!$B:$B,MATCH(A1947,SETORES!$A:$A,0))</f>
        <v/>
      </c>
      <c r="H1947" s="106" t="inlineStr">
        <is>
          <t>Agosto/2026</t>
        </is>
      </c>
    </row>
    <row r="1948" hidden="1" ht="14.25" customHeight="1" s="64">
      <c r="A1948" s="106" t="inlineStr">
        <is>
          <t>Logística</t>
        </is>
      </c>
      <c r="B1948" s="106" t="inlineStr">
        <is>
          <t>Custo Variável</t>
        </is>
      </c>
      <c r="C1948" s="106" t="inlineStr">
        <is>
          <t>Rateio de transporte coletivo</t>
        </is>
      </c>
      <c r="D1948" s="107" t="n"/>
      <c r="E1948" s="108" t="n"/>
      <c r="F1948" s="109">
        <f>IFERROR(D1948*E1948,0)</f>
        <v/>
      </c>
      <c r="G1948" s="106">
        <f>INDEX(SETORES!$B:$B,MATCH(A1948,SETORES!$A:$A,0))</f>
        <v/>
      </c>
      <c r="H1948" s="106" t="inlineStr">
        <is>
          <t>Agosto/2026</t>
        </is>
      </c>
    </row>
    <row r="1949" hidden="1" ht="14.25" customHeight="1" s="64">
      <c r="A1949" s="106" t="inlineStr">
        <is>
          <t>Logística</t>
        </is>
      </c>
      <c r="B1949" s="106" t="inlineStr">
        <is>
          <t>Custo Fixo</t>
        </is>
      </c>
      <c r="C1949" s="106" t="inlineStr">
        <is>
          <t>Licença de e-mail corporativo</t>
        </is>
      </c>
      <c r="D1949" s="107" t="n">
        <v>16</v>
      </c>
      <c r="E1949" s="108" t="n">
        <v>50</v>
      </c>
      <c r="F1949" s="109">
        <f>IFERROR(D1949*E1949,0)</f>
        <v/>
      </c>
      <c r="G1949" s="106">
        <f>INDEX(SETORES!$B:$B,MATCH(A1949,SETORES!$A:$A,0))</f>
        <v/>
      </c>
      <c r="H1949" s="106" t="inlineStr">
        <is>
          <t>Agosto/2026</t>
        </is>
      </c>
    </row>
    <row r="1950" hidden="1" ht="14.25" customHeight="1" s="64">
      <c r="A1950" s="106" t="inlineStr">
        <is>
          <t>Logística</t>
        </is>
      </c>
      <c r="B1950" s="106" t="inlineStr">
        <is>
          <t>Custo Fixo</t>
        </is>
      </c>
      <c r="C1950" s="106" t="inlineStr">
        <is>
          <t>Impressora</t>
        </is>
      </c>
      <c r="D1950" s="107" t="n"/>
      <c r="E1950" s="108" t="n"/>
      <c r="F1950" s="109">
        <f>IFERROR(D1950*E1950,0)</f>
        <v/>
      </c>
      <c r="G1950" s="106">
        <f>INDEX(SETORES!$B:$B,MATCH(A1950,SETORES!$A:$A,0))</f>
        <v/>
      </c>
      <c r="H1950" s="106" t="inlineStr">
        <is>
          <t>Agosto/2026</t>
        </is>
      </c>
    </row>
    <row r="1951" hidden="1" ht="14.25" customHeight="1" s="64">
      <c r="A1951" s="106" t="inlineStr">
        <is>
          <t>Logística</t>
        </is>
      </c>
      <c r="B1951" s="106" t="inlineStr">
        <is>
          <t>Custo Fixo</t>
        </is>
      </c>
      <c r="C1951" s="106" t="inlineStr">
        <is>
          <t>Gympass</t>
        </is>
      </c>
      <c r="D1951" s="107" t="n"/>
      <c r="E1951" s="108" t="n"/>
      <c r="F1951" s="109">
        <f>IFERROR(D1951*E1951,0)</f>
        <v/>
      </c>
      <c r="G1951" s="106">
        <f>INDEX(SETORES!$B:$B,MATCH(A1951,SETORES!$A:$A,0))</f>
        <v/>
      </c>
      <c r="H1951" s="106" t="inlineStr">
        <is>
          <t>Agosto/2026</t>
        </is>
      </c>
    </row>
    <row r="1952" hidden="1" ht="14.25" customHeight="1" s="64">
      <c r="A1952" s="106" t="inlineStr">
        <is>
          <t>Logística</t>
        </is>
      </c>
      <c r="B1952" s="106" t="inlineStr">
        <is>
          <t>Custo Fixo</t>
        </is>
      </c>
      <c r="C1952" s="106" t="inlineStr">
        <is>
          <t>Stargrid</t>
        </is>
      </c>
      <c r="D1952" s="107" t="n">
        <v>16</v>
      </c>
      <c r="E1952" s="108" t="n">
        <v>1.87</v>
      </c>
      <c r="F1952" s="109">
        <f>IFERROR(D1952*E1952,0)</f>
        <v/>
      </c>
      <c r="G1952" s="106">
        <f>INDEX(SETORES!$B:$B,MATCH(A1952,SETORES!$A:$A,0))</f>
        <v/>
      </c>
      <c r="H1952" s="106" t="inlineStr">
        <is>
          <t>Agosto/2026</t>
        </is>
      </c>
    </row>
    <row r="1953" hidden="1" ht="14.25" customHeight="1" s="64">
      <c r="A1953" s="106" t="inlineStr">
        <is>
          <t>Manutenção Predial</t>
        </is>
      </c>
      <c r="B1953" s="106" t="inlineStr">
        <is>
          <t>Custo Fixo</t>
        </is>
      </c>
      <c r="C1953" s="106" t="inlineStr">
        <is>
          <t>Material de escritório (suprimentos de informática)</t>
        </is>
      </c>
      <c r="D1953" s="107" t="n"/>
      <c r="E1953" s="108" t="n"/>
      <c r="F1953" s="109">
        <f>IFERROR(D1953*E1953,0)</f>
        <v/>
      </c>
      <c r="G1953" s="106">
        <f>INDEX(SETORES!$B:$B,MATCH(A1953,SETORES!$A:$A,0))</f>
        <v/>
      </c>
      <c r="H1953" s="106" t="inlineStr">
        <is>
          <t>Agosto/2026</t>
        </is>
      </c>
    </row>
    <row r="1954" hidden="1" ht="14.25" customHeight="1" s="64">
      <c r="A1954" s="106" t="inlineStr">
        <is>
          <t>Manutenção Predial</t>
        </is>
      </c>
      <c r="B1954" s="106" t="inlineStr">
        <is>
          <t>Custo Fixo</t>
        </is>
      </c>
      <c r="C1954" s="106" t="inlineStr">
        <is>
          <t>Material de uso coletivo (copa/limpeza)</t>
        </is>
      </c>
      <c r="D1954" s="107" t="n"/>
      <c r="E1954" s="108" t="n"/>
      <c r="F1954" s="109">
        <f>IFERROR(D1954*E1954,0)</f>
        <v/>
      </c>
      <c r="G1954" s="106">
        <f>INDEX(SETORES!$B:$B,MATCH(A1954,SETORES!$A:$A,0))</f>
        <v/>
      </c>
      <c r="H1954" s="106" t="inlineStr">
        <is>
          <t>Agosto/2026</t>
        </is>
      </c>
    </row>
    <row r="1955" hidden="1" ht="14.25" customHeight="1" s="64">
      <c r="A1955" s="106" t="inlineStr">
        <is>
          <t>Manutenção Predial</t>
        </is>
      </c>
      <c r="B1955" s="106" t="inlineStr">
        <is>
          <t>Custo Fixo</t>
        </is>
      </c>
      <c r="C1955" s="106" t="inlineStr">
        <is>
          <t>Telefonia móvel corporativa</t>
        </is>
      </c>
      <c r="D1955" s="107" t="n"/>
      <c r="E1955" s="108" t="n"/>
      <c r="F1955" s="109">
        <f>IFERROR(D1955*E1955,0)</f>
        <v/>
      </c>
      <c r="G1955" s="106">
        <f>INDEX(SETORES!$B:$B,MATCH(A1955,SETORES!$A:$A,0))</f>
        <v/>
      </c>
      <c r="H1955" s="106" t="inlineStr">
        <is>
          <t>Agosto/2026</t>
        </is>
      </c>
    </row>
    <row r="1956" hidden="1" ht="14.25" customHeight="1" s="64">
      <c r="A1956" s="106" t="inlineStr">
        <is>
          <t>Manutenção Predial</t>
        </is>
      </c>
      <c r="B1956" s="106" t="inlineStr">
        <is>
          <t>Custo Fixo</t>
        </is>
      </c>
      <c r="C1956" s="106" t="inlineStr">
        <is>
          <t>Folha de pagamento (salários)</t>
        </is>
      </c>
      <c r="D1956" s="107" t="n">
        <v>1</v>
      </c>
      <c r="E1956" s="108" t="n">
        <v>116417.9</v>
      </c>
      <c r="F1956" s="109">
        <f>IFERROR(D1956*E1956,0)</f>
        <v/>
      </c>
      <c r="G1956" s="106">
        <f>INDEX(SETORES!$B:$B,MATCH(A1956,SETORES!$A:$A,0))</f>
        <v/>
      </c>
      <c r="H1956" s="106" t="inlineStr">
        <is>
          <t>Agosto/2026</t>
        </is>
      </c>
    </row>
    <row r="1957" hidden="1" ht="14.25" customHeight="1" s="64">
      <c r="A1957" s="106" t="inlineStr">
        <is>
          <t>Manutenção Predial</t>
        </is>
      </c>
      <c r="B1957" s="106" t="inlineStr">
        <is>
          <t>Custo Variável</t>
        </is>
      </c>
      <c r="C1957" s="106" t="inlineStr">
        <is>
          <t>Investimento de equipamentos (não patrimoniável)</t>
        </is>
      </c>
      <c r="D1957" s="107" t="n"/>
      <c r="E1957" s="108" t="n"/>
      <c r="F1957" s="109">
        <f>IFERROR(D1957*E1957,0)</f>
        <v/>
      </c>
      <c r="G1957" s="106">
        <f>INDEX(SETORES!$B:$B,MATCH(A1957,SETORES!$A:$A,0))</f>
        <v/>
      </c>
      <c r="H1957" s="106" t="inlineStr">
        <is>
          <t>Agosto/2026</t>
        </is>
      </c>
    </row>
    <row r="1958" hidden="1" ht="14.25" customHeight="1" s="64">
      <c r="A1958" s="106" t="inlineStr">
        <is>
          <t>Manutenção Predial</t>
        </is>
      </c>
      <c r="B1958" s="106" t="inlineStr">
        <is>
          <t>Custo Variável</t>
        </is>
      </c>
      <c r="C1958" s="106" t="inlineStr">
        <is>
          <t>EPIs - Equipamento de Proteção Individual</t>
        </is>
      </c>
      <c r="D1958" s="107" t="n"/>
      <c r="E1958" s="108" t="n"/>
      <c r="F1958" s="109">
        <f>IFERROR(D1958*E1958,0)</f>
        <v/>
      </c>
      <c r="G1958" s="106">
        <f>INDEX(SETORES!$B:$B,MATCH(A1958,SETORES!$A:$A,0))</f>
        <v/>
      </c>
      <c r="H1958" s="106" t="inlineStr">
        <is>
          <t>Agosto/2026</t>
        </is>
      </c>
    </row>
    <row r="1959" hidden="1" ht="14.25" customHeight="1" s="64">
      <c r="A1959" s="106" t="inlineStr">
        <is>
          <t>Manutenção Predial</t>
        </is>
      </c>
      <c r="B1959" s="106" t="inlineStr">
        <is>
          <t>Custo Fixo</t>
        </is>
      </c>
      <c r="C1959" s="106" t="inlineStr">
        <is>
          <t>Licença de e-mail corporativo</t>
        </is>
      </c>
      <c r="D1959" s="107" t="n">
        <v>15</v>
      </c>
      <c r="E1959" s="108" t="n">
        <v>50</v>
      </c>
      <c r="F1959" s="109">
        <f>IFERROR(D1959*E1959,0)</f>
        <v/>
      </c>
      <c r="G1959" s="106">
        <f>INDEX(SETORES!$B:$B,MATCH(A1959,SETORES!$A:$A,0))</f>
        <v/>
      </c>
      <c r="H1959" s="106" t="inlineStr">
        <is>
          <t>Agosto/2026</t>
        </is>
      </c>
    </row>
    <row r="1960" hidden="1" ht="14.25" customHeight="1" s="64">
      <c r="A1960" s="106" t="inlineStr">
        <is>
          <t>Manutenção Predial</t>
        </is>
      </c>
      <c r="B1960" s="106" t="inlineStr">
        <is>
          <t>Custo Variável</t>
        </is>
      </c>
      <c r="C1960" s="106" t="inlineStr">
        <is>
          <t>Combustível de frota</t>
        </is>
      </c>
      <c r="D1960" s="107" t="n">
        <v>1</v>
      </c>
      <c r="E1960" s="108" t="n">
        <v>11623.33</v>
      </c>
      <c r="F1960" s="109">
        <f>IFERROR(D1960*E1960,0)</f>
        <v/>
      </c>
      <c r="G1960" s="106">
        <f>INDEX(SETORES!$B:$B,MATCH(A1960,SETORES!$A:$A,0))</f>
        <v/>
      </c>
      <c r="H1960" s="106" t="inlineStr">
        <is>
          <t>Agosto/2026</t>
        </is>
      </c>
    </row>
    <row r="1961" hidden="1" ht="14.25" customHeight="1" s="64">
      <c r="A1961" s="106" t="inlineStr">
        <is>
          <t>Manutenção Predial</t>
        </is>
      </c>
      <c r="B1961" s="106" t="inlineStr">
        <is>
          <t>Custo Fixo</t>
        </is>
      </c>
      <c r="C1961" s="106" t="inlineStr">
        <is>
          <t>Gympass</t>
        </is>
      </c>
      <c r="D1961" s="107" t="n"/>
      <c r="E1961" s="108" t="n"/>
      <c r="F1961" s="109">
        <f>IFERROR(D1961*E1961,0)</f>
        <v/>
      </c>
      <c r="G1961" s="106">
        <f>INDEX(SETORES!$B:$B,MATCH(A1961,SETORES!$A:$A,0))</f>
        <v/>
      </c>
      <c r="H1961" s="106" t="inlineStr">
        <is>
          <t>Agosto/2026</t>
        </is>
      </c>
    </row>
    <row r="1962" hidden="1" ht="14.25" customHeight="1" s="64">
      <c r="A1962" s="106" t="inlineStr">
        <is>
          <t>Manutenção Predial</t>
        </is>
      </c>
      <c r="B1962" s="106" t="inlineStr">
        <is>
          <t>Custo Fixo</t>
        </is>
      </c>
      <c r="C1962" s="106" t="inlineStr">
        <is>
          <t>Stargrid</t>
        </is>
      </c>
      <c r="D1962" s="107" t="n">
        <v>15</v>
      </c>
      <c r="E1962" s="108" t="n">
        <v>1.87</v>
      </c>
      <c r="F1962" s="109">
        <f>IFERROR(D1962*E1962,0)</f>
        <v/>
      </c>
      <c r="G1962" s="106">
        <f>INDEX(SETORES!$B:$B,MATCH(A1962,SETORES!$A:$A,0))</f>
        <v/>
      </c>
      <c r="H1962" s="106" t="inlineStr">
        <is>
          <t>Agosto/2026</t>
        </is>
      </c>
    </row>
    <row r="1963" hidden="1" ht="14.25" customHeight="1" s="64">
      <c r="A1963" s="106" t="inlineStr">
        <is>
          <t>NOC</t>
        </is>
      </c>
      <c r="B1963" s="106" t="inlineStr">
        <is>
          <t>Custo Fixo</t>
        </is>
      </c>
      <c r="C1963" s="106" t="inlineStr">
        <is>
          <t>Material de escritório (suprimentos de informática)</t>
        </is>
      </c>
      <c r="D1963" s="107" t="n">
        <v>1</v>
      </c>
      <c r="E1963" s="108" t="n">
        <v>37.24</v>
      </c>
      <c r="F1963" s="109">
        <f>IFERROR(D1963*E1963,0)</f>
        <v/>
      </c>
      <c r="G1963" s="106">
        <f>INDEX(SETORES!$B:$B,MATCH(A1963,SETORES!$A:$A,0))</f>
        <v/>
      </c>
      <c r="H1963" s="106" t="inlineStr">
        <is>
          <t>Agosto/2026</t>
        </is>
      </c>
    </row>
    <row r="1964" hidden="1" ht="14.25" customHeight="1" s="64">
      <c r="A1964" s="106" t="inlineStr">
        <is>
          <t>NOC</t>
        </is>
      </c>
      <c r="B1964" s="106" t="inlineStr">
        <is>
          <t>Custo Fixo</t>
        </is>
      </c>
      <c r="C1964" s="106" t="inlineStr">
        <is>
          <t>Material de uso coletivo (copa/limpeza)</t>
        </is>
      </c>
      <c r="D1964" s="107" t="n">
        <v>1</v>
      </c>
      <c r="E1964" s="108" t="n">
        <v>288.15</v>
      </c>
      <c r="F1964" s="109">
        <f>IFERROR(D1964*E1964,0)</f>
        <v/>
      </c>
      <c r="G1964" s="106">
        <f>INDEX(SETORES!$B:$B,MATCH(A1964,SETORES!$A:$A,0))</f>
        <v/>
      </c>
      <c r="H1964" s="106" t="inlineStr">
        <is>
          <t>Agosto/2026</t>
        </is>
      </c>
    </row>
    <row r="1965" hidden="1" ht="14.25" customHeight="1" s="64">
      <c r="A1965" s="106" t="inlineStr">
        <is>
          <t>NOC</t>
        </is>
      </c>
      <c r="B1965" s="106" t="inlineStr">
        <is>
          <t>Custo Fixo</t>
        </is>
      </c>
      <c r="C1965" s="106" t="inlineStr">
        <is>
          <t>Energia elétrica (rateio)</t>
        </is>
      </c>
      <c r="D1965" s="107" t="n"/>
      <c r="E1965" s="108" t="n"/>
      <c r="F1965" s="109">
        <f>IFERROR(D1965*E1965,0)</f>
        <v/>
      </c>
      <c r="G1965" s="106">
        <f>INDEX(SETORES!$B:$B,MATCH(A1965,SETORES!$A:$A,0))</f>
        <v/>
      </c>
      <c r="H1965" s="106" t="inlineStr">
        <is>
          <t>Agosto/2026</t>
        </is>
      </c>
    </row>
    <row r="1966" hidden="1" ht="14.25" customHeight="1" s="64">
      <c r="A1966" s="106" t="inlineStr">
        <is>
          <t>NOC</t>
        </is>
      </c>
      <c r="B1966" s="106" t="inlineStr">
        <is>
          <t>Custo Fixo</t>
        </is>
      </c>
      <c r="C1966" s="106" t="inlineStr">
        <is>
          <t>Água e esgoto (rateio)</t>
        </is>
      </c>
      <c r="D1966" s="107" t="n"/>
      <c r="E1966" s="108" t="n"/>
      <c r="F1966" s="109">
        <f>IFERROR(D1966*E1966,0)</f>
        <v/>
      </c>
      <c r="G1966" s="106">
        <f>INDEX(SETORES!$B:$B,MATCH(A1966,SETORES!$A:$A,0))</f>
        <v/>
      </c>
      <c r="H1966" s="106" t="inlineStr">
        <is>
          <t>Agosto/2026</t>
        </is>
      </c>
    </row>
    <row r="1967" hidden="1" ht="14.25" customHeight="1" s="64">
      <c r="A1967" s="106" t="inlineStr">
        <is>
          <t>NOC</t>
        </is>
      </c>
      <c r="B1967" s="106" t="inlineStr">
        <is>
          <t>Custo Fixo</t>
        </is>
      </c>
      <c r="C1967" s="106" t="inlineStr">
        <is>
          <t>Telefonia móvel corporativa</t>
        </is>
      </c>
      <c r="D1967" s="107" t="n"/>
      <c r="E1967" s="108" t="n"/>
      <c r="F1967" s="109">
        <f>IFERROR(D1967*E1967,0)</f>
        <v/>
      </c>
      <c r="G1967" s="106">
        <f>INDEX(SETORES!$B:$B,MATCH(A1967,SETORES!$A:$A,0))</f>
        <v/>
      </c>
      <c r="H1967" s="106" t="inlineStr">
        <is>
          <t>Agosto/2026</t>
        </is>
      </c>
    </row>
    <row r="1968" hidden="1" ht="14.25" customHeight="1" s="64">
      <c r="A1968" s="106" t="inlineStr">
        <is>
          <t>NOC</t>
        </is>
      </c>
      <c r="B1968" s="106" t="inlineStr">
        <is>
          <t>Custo Fixo</t>
        </is>
      </c>
      <c r="C1968" s="106" t="inlineStr">
        <is>
          <t>Folha de pagamento (salários)</t>
        </is>
      </c>
      <c r="D1968" s="107" t="n">
        <v>1</v>
      </c>
      <c r="E1968" s="108" t="n">
        <v>42164.64</v>
      </c>
      <c r="F1968" s="109">
        <f>IFERROR(D1968*E1968,0)</f>
        <v/>
      </c>
      <c r="G1968" s="106">
        <f>INDEX(SETORES!$B:$B,MATCH(A1968,SETORES!$A:$A,0))</f>
        <v/>
      </c>
      <c r="H1968" s="106" t="inlineStr">
        <is>
          <t>Agosto/2026</t>
        </is>
      </c>
    </row>
    <row r="1969" hidden="1" ht="14.25" customHeight="1" s="64">
      <c r="A1969" s="106" t="inlineStr">
        <is>
          <t>NOC</t>
        </is>
      </c>
      <c r="B1969" s="106" t="inlineStr">
        <is>
          <t>Custo Fixo</t>
        </is>
      </c>
      <c r="C1969" s="106" t="inlineStr">
        <is>
          <t>Licença de e-mail corporativo</t>
        </is>
      </c>
      <c r="D1969" s="107" t="n">
        <v>3</v>
      </c>
      <c r="E1969" s="108" t="n">
        <v>50</v>
      </c>
      <c r="F1969" s="109">
        <f>IFERROR(D1969*E1969,0)</f>
        <v/>
      </c>
      <c r="G1969" s="106">
        <f>INDEX(SETORES!$B:$B,MATCH(A1969,SETORES!$A:$A,0))</f>
        <v/>
      </c>
      <c r="H1969" s="106" t="inlineStr">
        <is>
          <t>Agosto/2026</t>
        </is>
      </c>
    </row>
    <row r="1970" hidden="1" ht="14.25" customHeight="1" s="64">
      <c r="A1970" s="106" t="inlineStr">
        <is>
          <t>NOC</t>
        </is>
      </c>
      <c r="B1970" s="106" t="inlineStr">
        <is>
          <t>Custo Variável</t>
        </is>
      </c>
      <c r="C1970" s="106" t="inlineStr">
        <is>
          <t>Combustível de frota</t>
        </is>
      </c>
      <c r="D1970" s="107" t="n">
        <v>1</v>
      </c>
      <c r="E1970" s="108" t="n">
        <v>1882.43</v>
      </c>
      <c r="F1970" s="109">
        <f>IFERROR(D1970*E1970,0)</f>
        <v/>
      </c>
      <c r="G1970" s="106">
        <f>INDEX(SETORES!$B:$B,MATCH(A1970,SETORES!$A:$A,0))</f>
        <v/>
      </c>
      <c r="H1970" s="106" t="inlineStr">
        <is>
          <t>Agosto/2026</t>
        </is>
      </c>
    </row>
    <row r="1971" hidden="1" ht="14.25" customHeight="1" s="64">
      <c r="A1971" s="106" t="inlineStr">
        <is>
          <t>NOC</t>
        </is>
      </c>
      <c r="B1971" s="106" t="inlineStr">
        <is>
          <t>Custo Fixo</t>
        </is>
      </c>
      <c r="C1971" s="106" t="inlineStr">
        <is>
          <t>Gympass</t>
        </is>
      </c>
      <c r="D1971" s="107" t="n"/>
      <c r="E1971" s="108" t="n"/>
      <c r="F1971" s="109">
        <f>IFERROR(D1971*E1971,0)</f>
        <v/>
      </c>
      <c r="G1971" s="106">
        <f>INDEX(SETORES!$B:$B,MATCH(A1971,SETORES!$A:$A,0))</f>
        <v/>
      </c>
      <c r="H1971" s="106" t="inlineStr">
        <is>
          <t>Agosto/2026</t>
        </is>
      </c>
    </row>
    <row r="1972" hidden="1" ht="14.25" customHeight="1" s="64">
      <c r="A1972" s="106" t="inlineStr">
        <is>
          <t>NOC</t>
        </is>
      </c>
      <c r="B1972" s="106" t="inlineStr">
        <is>
          <t>Custo Fixo</t>
        </is>
      </c>
      <c r="C1972" s="106" t="inlineStr">
        <is>
          <t>Stargrid</t>
        </is>
      </c>
      <c r="D1972" s="107" t="n">
        <v>3</v>
      </c>
      <c r="E1972" s="108" t="n">
        <v>1.87</v>
      </c>
      <c r="F1972" s="109">
        <f>IFERROR(D1972*E1972,0)</f>
        <v/>
      </c>
      <c r="G1972" s="106">
        <f>INDEX(SETORES!$B:$B,MATCH(A1972,SETORES!$A:$A,0))</f>
        <v/>
      </c>
      <c r="H1972" s="106" t="inlineStr">
        <is>
          <t>Agosto/2026</t>
        </is>
      </c>
    </row>
    <row r="1973" hidden="1" ht="14.25" customHeight="1" s="64">
      <c r="A1973" s="106" t="inlineStr">
        <is>
          <t>NRC</t>
        </is>
      </c>
      <c r="B1973" s="106" t="inlineStr">
        <is>
          <t>Custo Fixo</t>
        </is>
      </c>
      <c r="C1973" s="106" t="inlineStr">
        <is>
          <t>Material de escritório (suprimentos de informática)</t>
        </is>
      </c>
      <c r="D1973" s="107" t="n">
        <v>1</v>
      </c>
      <c r="E1973" s="108" t="n">
        <v>12.09</v>
      </c>
      <c r="F1973" s="109">
        <f>IFERROR(D1973*E1973,0)</f>
        <v/>
      </c>
      <c r="G1973" s="106">
        <f>INDEX(SETORES!$B:$B,MATCH(A1973,SETORES!$A:$A,0))</f>
        <v/>
      </c>
      <c r="H1973" s="106" t="inlineStr">
        <is>
          <t>Agosto/2026</t>
        </is>
      </c>
    </row>
    <row r="1974" hidden="1" ht="14.25" customHeight="1" s="64">
      <c r="A1974" s="106" t="inlineStr">
        <is>
          <t>NRC</t>
        </is>
      </c>
      <c r="B1974" s="106" t="inlineStr">
        <is>
          <t>Custo Fixo</t>
        </is>
      </c>
      <c r="C1974" s="106" t="inlineStr">
        <is>
          <t>Material de uso coletivo (copa/limpeza)</t>
        </is>
      </c>
      <c r="D1974" s="107" t="n">
        <v>1</v>
      </c>
      <c r="E1974" s="108" t="n">
        <v>2123.29</v>
      </c>
      <c r="F1974" s="109">
        <f>IFERROR(D1974*E1974,0)</f>
        <v/>
      </c>
      <c r="G1974" s="106">
        <f>INDEX(SETORES!$B:$B,MATCH(A1974,SETORES!$A:$A,0))</f>
        <v/>
      </c>
      <c r="H1974" s="106" t="inlineStr">
        <is>
          <t>Agosto/2026</t>
        </is>
      </c>
    </row>
    <row r="1975" hidden="1" ht="14.25" customHeight="1" s="64">
      <c r="A1975" s="106" t="inlineStr">
        <is>
          <t>NRC</t>
        </is>
      </c>
      <c r="B1975" s="106" t="inlineStr">
        <is>
          <t>Custo Fixo</t>
        </is>
      </c>
      <c r="C1975" s="106" t="inlineStr">
        <is>
          <t>Energia elétrica (rateio)</t>
        </is>
      </c>
      <c r="D1975" s="107" t="n"/>
      <c r="E1975" s="108" t="n"/>
      <c r="F1975" s="109">
        <f>IFERROR(D1975*E1975,0)</f>
        <v/>
      </c>
      <c r="G1975" s="106">
        <f>INDEX(SETORES!$B:$B,MATCH(A1975,SETORES!$A:$A,0))</f>
        <v/>
      </c>
      <c r="H1975" s="106" t="inlineStr">
        <is>
          <t>Agosto/2026</t>
        </is>
      </c>
    </row>
    <row r="1976" hidden="1" ht="14.25" customHeight="1" s="64">
      <c r="A1976" s="106" t="inlineStr">
        <is>
          <t>NRC</t>
        </is>
      </c>
      <c r="B1976" s="106" t="inlineStr">
        <is>
          <t>Custo Fixo</t>
        </is>
      </c>
      <c r="C1976" s="106" t="inlineStr">
        <is>
          <t>Água e esgoto (rateio)</t>
        </is>
      </c>
      <c r="D1976" s="107" t="n"/>
      <c r="E1976" s="108" t="n"/>
      <c r="F1976" s="109">
        <f>IFERROR(D1976*E1976,0)</f>
        <v/>
      </c>
      <c r="G1976" s="106">
        <f>INDEX(SETORES!$B:$B,MATCH(A1976,SETORES!$A:$A,0))</f>
        <v/>
      </c>
      <c r="H1976" s="106" t="inlineStr">
        <is>
          <t>Agosto/2026</t>
        </is>
      </c>
    </row>
    <row r="1977" hidden="1" ht="14.25" customHeight="1" s="64">
      <c r="A1977" s="106" t="inlineStr">
        <is>
          <t>NRC</t>
        </is>
      </c>
      <c r="B1977" s="106" t="inlineStr">
        <is>
          <t>Custo Fixo</t>
        </is>
      </c>
      <c r="C1977" s="106" t="inlineStr">
        <is>
          <t>Telefonia móvel corporativa</t>
        </is>
      </c>
      <c r="D1977" s="107" t="n"/>
      <c r="E1977" s="108" t="n"/>
      <c r="F1977" s="109">
        <f>IFERROR(D1977*E1977,0)</f>
        <v/>
      </c>
      <c r="G1977" s="106">
        <f>INDEX(SETORES!$B:$B,MATCH(A1977,SETORES!$A:$A,0))</f>
        <v/>
      </c>
      <c r="H1977" s="106" t="inlineStr">
        <is>
          <t>Agosto/2026</t>
        </is>
      </c>
    </row>
    <row r="1978" hidden="1" ht="14.25" customHeight="1" s="64">
      <c r="A1978" s="106" t="inlineStr">
        <is>
          <t>NRC</t>
        </is>
      </c>
      <c r="B1978" s="106" t="inlineStr">
        <is>
          <t>Custo Fixo</t>
        </is>
      </c>
      <c r="C1978" s="106" t="inlineStr">
        <is>
          <t>Folha de pagamento (salários)</t>
        </is>
      </c>
      <c r="D1978" s="107" t="n">
        <v>1</v>
      </c>
      <c r="E1978" s="108" t="n">
        <v>145351.16</v>
      </c>
      <c r="F1978" s="109">
        <f>IFERROR(D1978*E1978,0)</f>
        <v/>
      </c>
      <c r="G1978" s="106">
        <f>INDEX(SETORES!$B:$B,MATCH(A1978,SETORES!$A:$A,0))</f>
        <v/>
      </c>
      <c r="H1978" s="106" t="inlineStr">
        <is>
          <t>Agosto/2026</t>
        </is>
      </c>
    </row>
    <row r="1979" hidden="1" ht="14.25" customHeight="1" s="64">
      <c r="A1979" s="106" t="inlineStr">
        <is>
          <t>NRC</t>
        </is>
      </c>
      <c r="B1979" s="106" t="inlineStr">
        <is>
          <t>Custo Fixo</t>
        </is>
      </c>
      <c r="C1979" s="106" t="inlineStr">
        <is>
          <t>Licenças de software/sistemas corporativos</t>
        </is>
      </c>
      <c r="D1979" s="107" t="n"/>
      <c r="E1979" s="108" t="n"/>
      <c r="F1979" s="109">
        <f>IFERROR(D1979*E1979,0)</f>
        <v/>
      </c>
      <c r="G1979" s="106">
        <f>INDEX(SETORES!$B:$B,MATCH(A1979,SETORES!$A:$A,0))</f>
        <v/>
      </c>
      <c r="H1979" s="106" t="inlineStr">
        <is>
          <t>Agosto/2026</t>
        </is>
      </c>
    </row>
    <row r="1980" hidden="1" ht="14.25" customHeight="1" s="64">
      <c r="A1980" s="106" t="inlineStr">
        <is>
          <t>NRC</t>
        </is>
      </c>
      <c r="B1980" s="106" t="inlineStr">
        <is>
          <t>Custo Variável</t>
        </is>
      </c>
      <c r="C1980" s="106" t="inlineStr">
        <is>
          <t>Fardamento novo</t>
        </is>
      </c>
      <c r="D1980" s="107" t="n"/>
      <c r="E1980" s="108" t="n"/>
      <c r="F1980" s="109">
        <f>IFERROR(D1980*E1980,0)</f>
        <v/>
      </c>
      <c r="G1980" s="106">
        <f>INDEX(SETORES!$B:$B,MATCH(A1980,SETORES!$A:$A,0))</f>
        <v/>
      </c>
      <c r="H1980" s="106" t="inlineStr">
        <is>
          <t>Agosto/2026</t>
        </is>
      </c>
    </row>
    <row r="1981" hidden="1" ht="14.25" customHeight="1" s="64">
      <c r="A1981" s="106" t="inlineStr">
        <is>
          <t>NRC</t>
        </is>
      </c>
      <c r="B1981" s="106" t="inlineStr">
        <is>
          <t>Custo Variável</t>
        </is>
      </c>
      <c r="C1981" s="106" t="inlineStr">
        <is>
          <t>Fardamento substituição</t>
        </is>
      </c>
      <c r="D1981" s="107" t="n"/>
      <c r="E1981" s="108" t="n"/>
      <c r="F1981" s="109">
        <f>IFERROR(D1981*E1981,0)</f>
        <v/>
      </c>
      <c r="G1981" s="106">
        <f>INDEX(SETORES!$B:$B,MATCH(A1981,SETORES!$A:$A,0))</f>
        <v/>
      </c>
      <c r="H1981" s="106" t="inlineStr">
        <is>
          <t>Agosto/2026</t>
        </is>
      </c>
    </row>
    <row r="1982" hidden="1" ht="14.25" customHeight="1" s="64">
      <c r="A1982" s="106" t="inlineStr">
        <is>
          <t>NRC</t>
        </is>
      </c>
      <c r="B1982" s="106" t="inlineStr">
        <is>
          <t>Custo Variável</t>
        </is>
      </c>
      <c r="C1982" s="106" t="inlineStr">
        <is>
          <t>Rescisões trabalhistas</t>
        </is>
      </c>
      <c r="D1982" s="107" t="n"/>
      <c r="E1982" s="108" t="n"/>
      <c r="F1982" s="109">
        <f>IFERROR(D1982*E1982,0)</f>
        <v/>
      </c>
      <c r="G1982" s="106">
        <f>INDEX(SETORES!$B:$B,MATCH(A1982,SETORES!$A:$A,0))</f>
        <v/>
      </c>
      <c r="H1982" s="106" t="inlineStr">
        <is>
          <t>Agosto/2026</t>
        </is>
      </c>
    </row>
    <row r="1983" hidden="1" ht="14.25" customHeight="1" s="64">
      <c r="A1983" s="106" t="inlineStr">
        <is>
          <t>NRC</t>
        </is>
      </c>
      <c r="B1983" s="106" t="inlineStr">
        <is>
          <t>Custo Fixo</t>
        </is>
      </c>
      <c r="C1983" s="106" t="inlineStr">
        <is>
          <t>Licença de e-mail corporativo</t>
        </is>
      </c>
      <c r="D1983" s="107" t="n">
        <v>42</v>
      </c>
      <c r="E1983" s="108" t="n">
        <v>50</v>
      </c>
      <c r="F1983" s="109">
        <f>IFERROR(D1983*E1983,0)</f>
        <v/>
      </c>
      <c r="G1983" s="106">
        <f>INDEX(SETORES!$B:$B,MATCH(A1983,SETORES!$A:$A,0))</f>
        <v/>
      </c>
      <c r="H1983" s="106" t="inlineStr">
        <is>
          <t>Agosto/2026</t>
        </is>
      </c>
    </row>
    <row r="1984" hidden="1" ht="14.25" customHeight="1" s="64">
      <c r="A1984" s="106" t="inlineStr">
        <is>
          <t>NRC</t>
        </is>
      </c>
      <c r="B1984" s="106" t="inlineStr">
        <is>
          <t>Custo Fixo</t>
        </is>
      </c>
      <c r="C1984" s="106" t="inlineStr">
        <is>
          <t>Software MATRIX (rateio equipe Relacionamento)</t>
        </is>
      </c>
      <c r="D1984" s="107" t="n"/>
      <c r="E1984" s="108" t="n"/>
      <c r="F1984" s="109">
        <f>IFERROR(D1984*E1984,0)</f>
        <v/>
      </c>
      <c r="G1984" s="106">
        <f>INDEX(SETORES!$B:$B,MATCH(A1984,SETORES!$A:$A,0))</f>
        <v/>
      </c>
      <c r="H1984" s="106" t="inlineStr">
        <is>
          <t>Agosto/2026</t>
        </is>
      </c>
    </row>
    <row r="1985" hidden="1" ht="14.25" customHeight="1" s="64">
      <c r="A1985" s="106" t="inlineStr">
        <is>
          <t>NRC</t>
        </is>
      </c>
      <c r="B1985" s="106" t="inlineStr">
        <is>
          <t>Custo Fixo</t>
        </is>
      </c>
      <c r="C1985" s="106" t="inlineStr">
        <is>
          <t>Impressora (rateio equipe Relacionamento)</t>
        </is>
      </c>
      <c r="D1985" s="107" t="n"/>
      <c r="E1985" s="108" t="n"/>
      <c r="F1985" s="109">
        <f>IFERROR(D1985*E1985,0)</f>
        <v/>
      </c>
      <c r="G1985" s="106">
        <f>INDEX(SETORES!$B:$B,MATCH(A1985,SETORES!$A:$A,0))</f>
        <v/>
      </c>
      <c r="H1985" s="106" t="inlineStr">
        <is>
          <t>Agosto/2026</t>
        </is>
      </c>
    </row>
    <row r="1986" hidden="1" ht="14.25" customHeight="1" s="64">
      <c r="A1986" s="106" t="inlineStr">
        <is>
          <t>NRC</t>
        </is>
      </c>
      <c r="B1986" s="106" t="inlineStr">
        <is>
          <t>Custo Fixo</t>
        </is>
      </c>
      <c r="C1986" s="106" t="inlineStr">
        <is>
          <t>Gympass</t>
        </is>
      </c>
      <c r="D1986" s="107" t="n"/>
      <c r="E1986" s="108" t="n"/>
      <c r="F1986" s="109">
        <f>IFERROR(D1986*E1986,0)</f>
        <v/>
      </c>
      <c r="G1986" s="106">
        <f>INDEX(SETORES!$B:$B,MATCH(A1986,SETORES!$A:$A,0))</f>
        <v/>
      </c>
      <c r="H1986" s="106" t="inlineStr">
        <is>
          <t>Agosto/2026</t>
        </is>
      </c>
    </row>
    <row r="1987" hidden="1" ht="14.25" customHeight="1" s="64">
      <c r="A1987" s="106" t="inlineStr">
        <is>
          <t>NRC</t>
        </is>
      </c>
      <c r="B1987" s="106" t="inlineStr">
        <is>
          <t>Custo Fixo</t>
        </is>
      </c>
      <c r="C1987" s="106" t="inlineStr">
        <is>
          <t>Stargrid</t>
        </is>
      </c>
      <c r="D1987" s="107" t="n">
        <v>42</v>
      </c>
      <c r="E1987" s="108" t="n">
        <v>1.87</v>
      </c>
      <c r="F1987" s="109">
        <f>IFERROR(D1987*E1987,0)</f>
        <v/>
      </c>
      <c r="G1987" s="106">
        <f>INDEX(SETORES!$B:$B,MATCH(A1987,SETORES!$A:$A,0))</f>
        <v/>
      </c>
      <c r="H1987" s="106" t="inlineStr">
        <is>
          <t>Agosto/2026</t>
        </is>
      </c>
    </row>
    <row r="1988" hidden="1" ht="14.25" customHeight="1" s="64">
      <c r="A1988" s="106" t="inlineStr">
        <is>
          <t>Obras</t>
        </is>
      </c>
      <c r="B1988" s="106" t="inlineStr">
        <is>
          <t>Custo Fixo</t>
        </is>
      </c>
      <c r="C1988" s="106" t="inlineStr">
        <is>
          <t>Telefonia móvel corporativa</t>
        </is>
      </c>
      <c r="D1988" s="107" t="n"/>
      <c r="E1988" s="108" t="n"/>
      <c r="F1988" s="109">
        <f>IFERROR(D1988*E1988,0)</f>
        <v/>
      </c>
      <c r="G1988" s="106">
        <f>INDEX(SETORES!$B:$B,MATCH(A1988,SETORES!$A:$A,0))</f>
        <v/>
      </c>
      <c r="H1988" s="106" t="inlineStr">
        <is>
          <t>Agosto/2026</t>
        </is>
      </c>
    </row>
    <row r="1989" hidden="1" ht="14.25" customHeight="1" s="64">
      <c r="A1989" s="106" t="inlineStr">
        <is>
          <t>Obras</t>
        </is>
      </c>
      <c r="B1989" s="106" t="inlineStr">
        <is>
          <t>Custo Fixo</t>
        </is>
      </c>
      <c r="C1989" s="106" t="inlineStr">
        <is>
          <t>Folha de pagamento (salários)</t>
        </is>
      </c>
      <c r="D1989" s="107" t="n">
        <v>1</v>
      </c>
      <c r="E1989" s="108" t="n">
        <v>155833.72</v>
      </c>
      <c r="F1989" s="109">
        <f>IFERROR(D1989*E1989,0)</f>
        <v/>
      </c>
      <c r="G1989" s="106">
        <f>INDEX(SETORES!$B:$B,MATCH(A1989,SETORES!$A:$A,0))</f>
        <v/>
      </c>
      <c r="H1989" s="106" t="inlineStr">
        <is>
          <t>Agosto/2026</t>
        </is>
      </c>
    </row>
    <row r="1990" hidden="1" ht="14.25" customHeight="1" s="64">
      <c r="A1990" s="106" t="inlineStr">
        <is>
          <t>Obras</t>
        </is>
      </c>
      <c r="B1990" s="106" t="inlineStr">
        <is>
          <t>Custo Variável</t>
        </is>
      </c>
      <c r="C1990" s="106" t="inlineStr">
        <is>
          <t>Investimento de equipamentos (não patrimoniável)</t>
        </is>
      </c>
      <c r="D1990" s="107" t="n"/>
      <c r="E1990" s="108" t="n"/>
      <c r="F1990" s="109">
        <f>IFERROR(D1990*E1990,0)</f>
        <v/>
      </c>
      <c r="G1990" s="106">
        <f>INDEX(SETORES!$B:$B,MATCH(A1990,SETORES!$A:$A,0))</f>
        <v/>
      </c>
      <c r="H1990" s="106" t="inlineStr">
        <is>
          <t>Agosto/2026</t>
        </is>
      </c>
    </row>
    <row r="1991" hidden="1" ht="14.25" customHeight="1" s="64">
      <c r="A1991" s="106" t="inlineStr">
        <is>
          <t>Obras</t>
        </is>
      </c>
      <c r="B1991" s="106" t="inlineStr">
        <is>
          <t>Custo Variável</t>
        </is>
      </c>
      <c r="C1991" s="106" t="inlineStr">
        <is>
          <t>EPIs - Equipamento de Proteção Individual</t>
        </is>
      </c>
      <c r="D1991" s="107" t="n"/>
      <c r="E1991" s="108" t="n"/>
      <c r="F1991" s="109">
        <f>IFERROR(D1991*E1991,0)</f>
        <v/>
      </c>
      <c r="G1991" s="106">
        <f>INDEX(SETORES!$B:$B,MATCH(A1991,SETORES!$A:$A,0))</f>
        <v/>
      </c>
      <c r="H1991" s="106" t="inlineStr">
        <is>
          <t>Agosto/2026</t>
        </is>
      </c>
    </row>
    <row r="1992" hidden="1" ht="14.25" customHeight="1" s="64">
      <c r="A1992" s="106" t="inlineStr">
        <is>
          <t>Obras</t>
        </is>
      </c>
      <c r="B1992" s="106" t="inlineStr">
        <is>
          <t>Custo Variável</t>
        </is>
      </c>
      <c r="C1992" s="106" t="inlineStr">
        <is>
          <t>Rescisões trabalhistas</t>
        </is>
      </c>
      <c r="D1992" s="107" t="n"/>
      <c r="E1992" s="108" t="n"/>
      <c r="F1992" s="109">
        <f>IFERROR(D1992*E1992,0)</f>
        <v/>
      </c>
      <c r="G1992" s="106">
        <f>INDEX(SETORES!$B:$B,MATCH(A1992,SETORES!$A:$A,0))</f>
        <v/>
      </c>
      <c r="H1992" s="106" t="inlineStr">
        <is>
          <t>Agosto/2026</t>
        </is>
      </c>
    </row>
    <row r="1993" hidden="1" ht="14.25" customHeight="1" s="64">
      <c r="A1993" s="106" t="inlineStr">
        <is>
          <t>Obras</t>
        </is>
      </c>
      <c r="B1993" s="106" t="inlineStr">
        <is>
          <t>Custo Fixo</t>
        </is>
      </c>
      <c r="C1993" s="106" t="inlineStr">
        <is>
          <t>Licença de e-mail corporativo</t>
        </is>
      </c>
      <c r="D1993" s="107" t="n">
        <v>24</v>
      </c>
      <c r="E1993" s="108" t="n">
        <v>50</v>
      </c>
      <c r="F1993" s="109">
        <f>IFERROR(D1993*E1993,0)</f>
        <v/>
      </c>
      <c r="G1993" s="106">
        <f>INDEX(SETORES!$B:$B,MATCH(A1993,SETORES!$A:$A,0))</f>
        <v/>
      </c>
      <c r="H1993" s="106" t="inlineStr">
        <is>
          <t>Agosto/2026</t>
        </is>
      </c>
    </row>
    <row r="1994" hidden="1" ht="14.25" customHeight="1" s="64">
      <c r="A1994" s="106" t="inlineStr">
        <is>
          <t>Obras</t>
        </is>
      </c>
      <c r="B1994" s="106" t="inlineStr">
        <is>
          <t>Custo Variável</t>
        </is>
      </c>
      <c r="C1994" s="106" t="inlineStr">
        <is>
          <t>Combustível de frota</t>
        </is>
      </c>
      <c r="D1994" s="107" t="n">
        <v>1</v>
      </c>
      <c r="E1994" s="108" t="n">
        <v>11761.57</v>
      </c>
      <c r="F1994" s="109">
        <f>IFERROR(D1994*E1994,0)</f>
        <v/>
      </c>
      <c r="G1994" s="106">
        <f>INDEX(SETORES!$B:$B,MATCH(A1994,SETORES!$A:$A,0))</f>
        <v/>
      </c>
      <c r="H1994" s="106" t="inlineStr">
        <is>
          <t>Agosto/2026</t>
        </is>
      </c>
    </row>
    <row r="1995" hidden="1" ht="14.25" customHeight="1" s="64">
      <c r="A1995" s="106" t="inlineStr">
        <is>
          <t>Obras</t>
        </is>
      </c>
      <c r="B1995" s="106" t="inlineStr">
        <is>
          <t>Custo Fixo</t>
        </is>
      </c>
      <c r="C1995" s="106" t="inlineStr">
        <is>
          <t>Gympass</t>
        </is>
      </c>
      <c r="D1995" s="107" t="n"/>
      <c r="E1995" s="108" t="n"/>
      <c r="F1995" s="109">
        <f>IFERROR(D1995*E1995,0)</f>
        <v/>
      </c>
      <c r="G1995" s="106">
        <f>INDEX(SETORES!$B:$B,MATCH(A1995,SETORES!$A:$A,0))</f>
        <v/>
      </c>
      <c r="H1995" s="106" t="inlineStr">
        <is>
          <t>Agosto/2026</t>
        </is>
      </c>
    </row>
    <row r="1996" hidden="1" ht="14.25" customHeight="1" s="64">
      <c r="A1996" s="106" t="inlineStr">
        <is>
          <t>Obras</t>
        </is>
      </c>
      <c r="B1996" s="106" t="inlineStr">
        <is>
          <t>Custo Fixo</t>
        </is>
      </c>
      <c r="C1996" s="106" t="inlineStr">
        <is>
          <t>Stargrid</t>
        </is>
      </c>
      <c r="D1996" s="107" t="n">
        <v>24</v>
      </c>
      <c r="E1996" s="108" t="n">
        <v>1.87</v>
      </c>
      <c r="F1996" s="109">
        <f>IFERROR(D1996*E1996,0)</f>
        <v/>
      </c>
      <c r="G1996" s="106">
        <f>INDEX(SETORES!$B:$B,MATCH(A1996,SETORES!$A:$A,0))</f>
        <v/>
      </c>
      <c r="H1996" s="106" t="inlineStr">
        <is>
          <t>Agosto/2026</t>
        </is>
      </c>
    </row>
    <row r="1997" hidden="1" ht="14.25" customHeight="1" s="64">
      <c r="A1997" s="106" t="inlineStr">
        <is>
          <t>Oficina</t>
        </is>
      </c>
      <c r="B1997" s="106" t="inlineStr">
        <is>
          <t>Custo Fixo</t>
        </is>
      </c>
      <c r="C1997" s="106" t="inlineStr">
        <is>
          <t>Material de escritório (suprimentos de informática)</t>
        </is>
      </c>
      <c r="D1997" s="107" t="n"/>
      <c r="E1997" s="108" t="n"/>
      <c r="F1997" s="109">
        <f>IFERROR(D1997*E1997,0)</f>
        <v/>
      </c>
      <c r="G1997" s="106">
        <f>INDEX(SETORES!$B:$B,MATCH(A1997,SETORES!$A:$A,0))</f>
        <v/>
      </c>
      <c r="H1997" s="106" t="inlineStr">
        <is>
          <t>Agosto/2026</t>
        </is>
      </c>
    </row>
    <row r="1998" hidden="1" ht="14.25" customHeight="1" s="64">
      <c r="A1998" s="106" t="inlineStr">
        <is>
          <t>Oficina</t>
        </is>
      </c>
      <c r="B1998" s="106" t="inlineStr">
        <is>
          <t>Custo Fixo</t>
        </is>
      </c>
      <c r="C1998" s="106" t="inlineStr">
        <is>
          <t>Material de uso coletivo (copa/limpeza)</t>
        </is>
      </c>
      <c r="D1998" s="107" t="n"/>
      <c r="E1998" s="108" t="n"/>
      <c r="F1998" s="109">
        <f>IFERROR(D1998*E1998,0)</f>
        <v/>
      </c>
      <c r="G1998" s="106">
        <f>INDEX(SETORES!$B:$B,MATCH(A1998,SETORES!$A:$A,0))</f>
        <v/>
      </c>
      <c r="H1998" s="106" t="inlineStr">
        <is>
          <t>Agosto/2026</t>
        </is>
      </c>
    </row>
    <row r="1999" hidden="1" ht="14.25" customHeight="1" s="64">
      <c r="A1999" s="106" t="inlineStr">
        <is>
          <t>Oficina</t>
        </is>
      </c>
      <c r="B1999" s="106" t="inlineStr">
        <is>
          <t>Custo Fixo</t>
        </is>
      </c>
      <c r="C1999" s="106" t="inlineStr">
        <is>
          <t>Software da oficina (soutech soluções)</t>
        </is>
      </c>
      <c r="D1999" s="107" t="n">
        <v>1</v>
      </c>
      <c r="E1999" s="108" t="n">
        <v>1800</v>
      </c>
      <c r="F1999" s="109">
        <f>IFERROR(D1999*E1999,0)</f>
        <v/>
      </c>
      <c r="G1999" s="106">
        <f>INDEX(SETORES!$B:$B,MATCH(A1999,SETORES!$A:$A,0))</f>
        <v/>
      </c>
      <c r="H1999" s="106" t="inlineStr">
        <is>
          <t>Agosto/2026</t>
        </is>
      </c>
    </row>
    <row r="2000" hidden="1" ht="14.25" customHeight="1" s="64">
      <c r="A2000" s="106" t="inlineStr">
        <is>
          <t>Oficina</t>
        </is>
      </c>
      <c r="B2000" s="106" t="inlineStr">
        <is>
          <t>Custo Fixo</t>
        </is>
      </c>
      <c r="C2000" s="106" t="inlineStr">
        <is>
          <t>Energia elétrica (rateio)</t>
        </is>
      </c>
      <c r="D2000" s="107" t="n"/>
      <c r="E2000" s="108" t="n"/>
      <c r="F2000" s="109">
        <f>IFERROR(D2000*E2000,0)</f>
        <v/>
      </c>
      <c r="G2000" s="106">
        <f>INDEX(SETORES!$B:$B,MATCH(A2000,SETORES!$A:$A,0))</f>
        <v/>
      </c>
      <c r="H2000" s="106" t="inlineStr">
        <is>
          <t>Agosto/2026</t>
        </is>
      </c>
    </row>
    <row r="2001" hidden="1" ht="14.25" customHeight="1" s="64">
      <c r="A2001" s="106" t="inlineStr">
        <is>
          <t>Oficina</t>
        </is>
      </c>
      <c r="B2001" s="106" t="inlineStr">
        <is>
          <t>Custo Fixo</t>
        </is>
      </c>
      <c r="C2001" s="106" t="inlineStr">
        <is>
          <t>Água e esgoto (rateio)</t>
        </is>
      </c>
      <c r="D2001" s="107" t="n"/>
      <c r="E2001" s="108" t="n"/>
      <c r="F2001" s="109">
        <f>IFERROR(D2001*E2001,0)</f>
        <v/>
      </c>
      <c r="G2001" s="106">
        <f>INDEX(SETORES!$B:$B,MATCH(A2001,SETORES!$A:$A,0))</f>
        <v/>
      </c>
      <c r="H2001" s="106" t="inlineStr">
        <is>
          <t>Agosto/2026</t>
        </is>
      </c>
    </row>
    <row r="2002" hidden="1" ht="14.25" customHeight="1" s="64">
      <c r="A2002" s="106" t="inlineStr">
        <is>
          <t>Oficina</t>
        </is>
      </c>
      <c r="B2002" s="106" t="inlineStr">
        <is>
          <t>Custo Fixo</t>
        </is>
      </c>
      <c r="C2002" s="106" t="inlineStr">
        <is>
          <t>Telefonia móvel corporativa</t>
        </is>
      </c>
      <c r="D2002" s="107" t="n"/>
      <c r="E2002" s="108" t="n"/>
      <c r="F2002" s="109">
        <f>IFERROR(D2002*E2002,0)</f>
        <v/>
      </c>
      <c r="G2002" s="106">
        <f>INDEX(SETORES!$B:$B,MATCH(A2002,SETORES!$A:$A,0))</f>
        <v/>
      </c>
      <c r="H2002" s="106" t="inlineStr">
        <is>
          <t>Agosto/2026</t>
        </is>
      </c>
    </row>
    <row r="2003" hidden="1" ht="14.25" customHeight="1" s="64">
      <c r="A2003" s="106" t="inlineStr">
        <is>
          <t>Oficina</t>
        </is>
      </c>
      <c r="B2003" s="106" t="inlineStr">
        <is>
          <t>Custo Fixo</t>
        </is>
      </c>
      <c r="C2003" s="106" t="inlineStr">
        <is>
          <t>Folha de pagamento (salários)</t>
        </is>
      </c>
      <c r="D2003" s="107" t="n">
        <v>1</v>
      </c>
      <c r="E2003" s="108" t="n">
        <v>25793.59</v>
      </c>
      <c r="F2003" s="109">
        <f>IFERROR(D2003*E2003,0)</f>
        <v/>
      </c>
      <c r="G2003" s="106">
        <f>INDEX(SETORES!$B:$B,MATCH(A2003,SETORES!$A:$A,0))</f>
        <v/>
      </c>
      <c r="H2003" s="106" t="inlineStr">
        <is>
          <t>Agosto/2026</t>
        </is>
      </c>
    </row>
    <row r="2004" hidden="1" ht="14.25" customHeight="1" s="64">
      <c r="A2004" s="106" t="inlineStr">
        <is>
          <t>Oficina</t>
        </is>
      </c>
      <c r="B2004" s="106" t="inlineStr">
        <is>
          <t>Custo Variável</t>
        </is>
      </c>
      <c r="C2004" s="106" t="inlineStr">
        <is>
          <t>Combustível de frota</t>
        </is>
      </c>
      <c r="D2004" s="107" t="n"/>
      <c r="E2004" s="108" t="n"/>
      <c r="F2004" s="109">
        <f>IFERROR(D2004*E2004,0)</f>
        <v/>
      </c>
      <c r="G2004" s="106">
        <f>INDEX(SETORES!$B:$B,MATCH(A2004,SETORES!$A:$A,0))</f>
        <v/>
      </c>
      <c r="H2004" s="106" t="inlineStr">
        <is>
          <t>Agosto/2026</t>
        </is>
      </c>
    </row>
    <row r="2005" hidden="1" ht="14.25" customHeight="1" s="64">
      <c r="A2005" s="106" t="inlineStr">
        <is>
          <t>Oficina</t>
        </is>
      </c>
      <c r="B2005" s="106" t="inlineStr">
        <is>
          <t>Custo Variável</t>
        </is>
      </c>
      <c r="C2005" s="106" t="inlineStr">
        <is>
          <t>Manutenção de veículos</t>
        </is>
      </c>
      <c r="D2005" s="107" t="n"/>
      <c r="E2005" s="108" t="n"/>
      <c r="F2005" s="109">
        <f>IFERROR(D2005*E2005,0)</f>
        <v/>
      </c>
      <c r="G2005" s="106">
        <f>INDEX(SETORES!$B:$B,MATCH(A2005,SETORES!$A:$A,0))</f>
        <v/>
      </c>
      <c r="H2005" s="106" t="inlineStr">
        <is>
          <t>Agosto/2026</t>
        </is>
      </c>
    </row>
    <row r="2006" hidden="1" ht="14.25" customHeight="1" s="64">
      <c r="A2006" s="106" t="inlineStr">
        <is>
          <t>Oficina</t>
        </is>
      </c>
      <c r="B2006" s="106" t="inlineStr">
        <is>
          <t>Custo Variável</t>
        </is>
      </c>
      <c r="C2006" s="106" t="inlineStr">
        <is>
          <t>Rateio de transporte coletivo</t>
        </is>
      </c>
      <c r="D2006" s="107" t="n"/>
      <c r="E2006" s="108" t="n"/>
      <c r="F2006" s="109">
        <f>IFERROR(D2006*E2006,0)</f>
        <v/>
      </c>
      <c r="G2006" s="106">
        <f>INDEX(SETORES!$B:$B,MATCH(A2006,SETORES!$A:$A,0))</f>
        <v/>
      </c>
      <c r="H2006" s="106" t="inlineStr">
        <is>
          <t>Agosto/2026</t>
        </is>
      </c>
    </row>
    <row r="2007" hidden="1" ht="14.25" customHeight="1" s="64">
      <c r="A2007" s="106" t="inlineStr">
        <is>
          <t>Oficina</t>
        </is>
      </c>
      <c r="B2007" s="106" t="inlineStr">
        <is>
          <t>Custo Fixo</t>
        </is>
      </c>
      <c r="C2007" s="106" t="inlineStr">
        <is>
          <t>Gympass</t>
        </is>
      </c>
      <c r="D2007" s="107" t="n"/>
      <c r="E2007" s="108" t="n"/>
      <c r="F2007" s="109">
        <f>IFERROR(D2007*E2007,0)</f>
        <v/>
      </c>
      <c r="G2007" s="106">
        <f>INDEX(SETORES!$B:$B,MATCH(A2007,SETORES!$A:$A,0))</f>
        <v/>
      </c>
      <c r="H2007" s="106" t="inlineStr">
        <is>
          <t>Agosto/2026</t>
        </is>
      </c>
    </row>
    <row r="2008" hidden="1" ht="14.25" customHeight="1" s="64">
      <c r="A2008" s="106" t="inlineStr">
        <is>
          <t>Oficina</t>
        </is>
      </c>
      <c r="B2008" s="106" t="inlineStr">
        <is>
          <t>Custo Fixo</t>
        </is>
      </c>
      <c r="C2008" s="106" t="inlineStr">
        <is>
          <t>Stargrid</t>
        </is>
      </c>
      <c r="D2008" s="107" t="n">
        <v>4</v>
      </c>
      <c r="E2008" s="108" t="n">
        <v>1.87</v>
      </c>
      <c r="F2008" s="109">
        <f>IFERROR(D2008*E2008,0)</f>
        <v/>
      </c>
      <c r="G2008" s="106">
        <f>INDEX(SETORES!$B:$B,MATCH(A2008,SETORES!$A:$A,0))</f>
        <v/>
      </c>
      <c r="H2008" s="106" t="inlineStr">
        <is>
          <t>Agosto/2026</t>
        </is>
      </c>
    </row>
    <row r="2009" hidden="1" ht="14.25" customHeight="1" s="64">
      <c r="A2009" s="106" t="inlineStr">
        <is>
          <t>RH</t>
        </is>
      </c>
      <c r="B2009" s="106" t="inlineStr">
        <is>
          <t>Custo Fixo</t>
        </is>
      </c>
      <c r="C2009" s="106" t="inlineStr">
        <is>
          <t>Material de escritório (suprimentos de informática)</t>
        </is>
      </c>
      <c r="D2009" s="107" t="n">
        <v>1</v>
      </c>
      <c r="E2009" s="108" t="n">
        <v>9.85</v>
      </c>
      <c r="F2009" s="109">
        <f>IFERROR(D2009*E2009,0)</f>
        <v/>
      </c>
      <c r="G2009" s="106">
        <f>INDEX(SETORES!$B:$B,MATCH(A2009,SETORES!$A:$A,0))</f>
        <v/>
      </c>
      <c r="H2009" s="106" t="inlineStr">
        <is>
          <t>Agosto/2026</t>
        </is>
      </c>
    </row>
    <row r="2010" hidden="1" ht="14.25" customHeight="1" s="64">
      <c r="A2010" s="106" t="inlineStr">
        <is>
          <t>RH</t>
        </is>
      </c>
      <c r="B2010" s="106" t="inlineStr">
        <is>
          <t>Custo Fixo</t>
        </is>
      </c>
      <c r="C2010" s="106" t="inlineStr">
        <is>
          <t>Material de uso coletivo (copa/limpeza)</t>
        </is>
      </c>
      <c r="D2010" s="107" t="n">
        <v>1</v>
      </c>
      <c r="E2010" s="108" t="n">
        <v>167.98</v>
      </c>
      <c r="F2010" s="109">
        <f>IFERROR(D2010*E2010,0)</f>
        <v/>
      </c>
      <c r="G2010" s="106">
        <f>INDEX(SETORES!$B:$B,MATCH(A2010,SETORES!$A:$A,0))</f>
        <v/>
      </c>
      <c r="H2010" s="106" t="inlineStr">
        <is>
          <t>Agosto/2026</t>
        </is>
      </c>
    </row>
    <row r="2011" hidden="1" ht="14.25" customHeight="1" s="64">
      <c r="A2011" s="106" t="inlineStr">
        <is>
          <t>RH</t>
        </is>
      </c>
      <c r="B2011" s="106" t="inlineStr">
        <is>
          <t>Custo Fixo</t>
        </is>
      </c>
      <c r="C2011" s="106" t="inlineStr">
        <is>
          <t>Energia elétrica (rateio)</t>
        </is>
      </c>
      <c r="D2011" s="107" t="n"/>
      <c r="E2011" s="108" t="n"/>
      <c r="F2011" s="109">
        <f>IFERROR(D2011*E2011,0)</f>
        <v/>
      </c>
      <c r="G2011" s="106">
        <f>INDEX(SETORES!$B:$B,MATCH(A2011,SETORES!$A:$A,0))</f>
        <v/>
      </c>
      <c r="H2011" s="106" t="inlineStr">
        <is>
          <t>Agosto/2026</t>
        </is>
      </c>
    </row>
    <row r="2012" hidden="1" ht="14.25" customHeight="1" s="64">
      <c r="A2012" s="106" t="inlineStr">
        <is>
          <t>RH</t>
        </is>
      </c>
      <c r="B2012" s="106" t="inlineStr">
        <is>
          <t>Custo Fixo</t>
        </is>
      </c>
      <c r="C2012" s="106" t="inlineStr">
        <is>
          <t>Água e esgoto (rateio)</t>
        </is>
      </c>
      <c r="D2012" s="107" t="n"/>
      <c r="E2012" s="108" t="n"/>
      <c r="F2012" s="109">
        <f>IFERROR(D2012*E2012,0)</f>
        <v/>
      </c>
      <c r="G2012" s="106">
        <f>INDEX(SETORES!$B:$B,MATCH(A2012,SETORES!$A:$A,0))</f>
        <v/>
      </c>
      <c r="H2012" s="106" t="inlineStr">
        <is>
          <t>Agosto/2026</t>
        </is>
      </c>
    </row>
    <row r="2013" hidden="1" ht="14.25" customHeight="1" s="64">
      <c r="A2013" s="106" t="inlineStr">
        <is>
          <t>RH</t>
        </is>
      </c>
      <c r="B2013" s="106" t="inlineStr">
        <is>
          <t>Custo Fixo</t>
        </is>
      </c>
      <c r="C2013" s="106" t="inlineStr">
        <is>
          <t>Telefonia móvel corporativa</t>
        </is>
      </c>
      <c r="D2013" s="107" t="n"/>
      <c r="E2013" s="108" t="n"/>
      <c r="F2013" s="109">
        <f>IFERROR(D2013*E2013,0)</f>
        <v/>
      </c>
      <c r="G2013" s="106">
        <f>INDEX(SETORES!$B:$B,MATCH(A2013,SETORES!$A:$A,0))</f>
        <v/>
      </c>
      <c r="H2013" s="106" t="inlineStr">
        <is>
          <t>Agosto/2026</t>
        </is>
      </c>
    </row>
    <row r="2014" hidden="1" ht="14.25" customHeight="1" s="64">
      <c r="A2014" s="106" t="inlineStr">
        <is>
          <t>RH</t>
        </is>
      </c>
      <c r="B2014" s="106" t="inlineStr">
        <is>
          <t>Custo Fixo</t>
        </is>
      </c>
      <c r="C2014" s="106" t="inlineStr">
        <is>
          <t>Folha de pagamento (salários)</t>
        </is>
      </c>
      <c r="D2014" s="107" t="n">
        <v>1</v>
      </c>
      <c r="E2014" s="108" t="n">
        <v>30326.87</v>
      </c>
      <c r="F2014" s="109">
        <f>IFERROR(D2014*E2014,0)</f>
        <v/>
      </c>
      <c r="G2014" s="106">
        <f>INDEX(SETORES!$B:$B,MATCH(A2014,SETORES!$A:$A,0))</f>
        <v/>
      </c>
      <c r="H2014" s="106" t="inlineStr">
        <is>
          <t>Agosto/2026</t>
        </is>
      </c>
    </row>
    <row r="2015" hidden="1" ht="14.25" customHeight="1" s="64">
      <c r="A2015" s="106" t="inlineStr">
        <is>
          <t>RH</t>
        </is>
      </c>
      <c r="B2015" s="106" t="inlineStr">
        <is>
          <t>Custo Variável</t>
        </is>
      </c>
      <c r="C2015" s="106" t="inlineStr">
        <is>
          <t>Fardamento novo (compra corporativa)</t>
        </is>
      </c>
      <c r="D2015" s="107" t="n"/>
      <c r="E2015" s="108" t="n"/>
      <c r="F2015" s="109">
        <f>IFERROR(D2015*E2015,0)</f>
        <v/>
      </c>
      <c r="G2015" s="106">
        <f>INDEX(SETORES!$B:$B,MATCH(A2015,SETORES!$A:$A,0))</f>
        <v/>
      </c>
      <c r="H2015" s="106" t="inlineStr">
        <is>
          <t>Agosto/2026</t>
        </is>
      </c>
    </row>
    <row r="2016" hidden="1" ht="14.25" customHeight="1" s="64">
      <c r="A2016" s="106" t="inlineStr">
        <is>
          <t>RH</t>
        </is>
      </c>
      <c r="B2016" s="106" t="inlineStr">
        <is>
          <t>Custo Variável</t>
        </is>
      </c>
      <c r="C2016" s="106" t="inlineStr">
        <is>
          <t>Fardamento substituição (compra corporativa)</t>
        </is>
      </c>
      <c r="D2016" s="107" t="n"/>
      <c r="E2016" s="108" t="n"/>
      <c r="F2016" s="109">
        <f>IFERROR(D2016*E2016,0)</f>
        <v/>
      </c>
      <c r="G2016" s="106">
        <f>INDEX(SETORES!$B:$B,MATCH(A2016,SETORES!$A:$A,0))</f>
        <v/>
      </c>
      <c r="H2016" s="106" t="inlineStr">
        <is>
          <t>Agosto/2026</t>
        </is>
      </c>
    </row>
    <row r="2017" hidden="1" ht="14.25" customHeight="1" s="64">
      <c r="A2017" s="106" t="inlineStr">
        <is>
          <t>RH</t>
        </is>
      </c>
      <c r="B2017" s="106" t="inlineStr">
        <is>
          <t>Custo Fixo</t>
        </is>
      </c>
      <c r="C2017" s="106" t="inlineStr">
        <is>
          <t>Treinamento e capacitação</t>
        </is>
      </c>
      <c r="D2017" s="107" t="n"/>
      <c r="E2017" s="108" t="n"/>
      <c r="F2017" s="109">
        <f>IFERROR(D2017*E2017,0)</f>
        <v/>
      </c>
      <c r="G2017" s="106">
        <f>INDEX(SETORES!$B:$B,MATCH(A2017,SETORES!$A:$A,0))</f>
        <v/>
      </c>
      <c r="H2017" s="106" t="inlineStr">
        <is>
          <t>Agosto/2026</t>
        </is>
      </c>
    </row>
    <row r="2018" hidden="1" ht="14.25" customHeight="1" s="64">
      <c r="A2018" s="106" t="inlineStr">
        <is>
          <t>RH</t>
        </is>
      </c>
      <c r="B2018" s="106" t="inlineStr">
        <is>
          <t>Custo Variável</t>
        </is>
      </c>
      <c r="C2018" s="106" t="inlineStr">
        <is>
          <t>Recrutamento e seleção</t>
        </is>
      </c>
      <c r="D2018" s="107" t="n"/>
      <c r="E2018" s="108" t="n"/>
      <c r="F2018" s="109">
        <f>IFERROR(D2018*E2018,0)</f>
        <v/>
      </c>
      <c r="G2018" s="106">
        <f>INDEX(SETORES!$B:$B,MATCH(A2018,SETORES!$A:$A,0))</f>
        <v/>
      </c>
      <c r="H2018" s="106" t="inlineStr">
        <is>
          <t>Agosto/2026</t>
        </is>
      </c>
    </row>
    <row r="2019" hidden="1" ht="14.25" customHeight="1" s="64">
      <c r="A2019" s="106" t="inlineStr">
        <is>
          <t>RH</t>
        </is>
      </c>
      <c r="B2019" s="106" t="inlineStr">
        <is>
          <t>Custo Fixo</t>
        </is>
      </c>
      <c r="C2019" s="106" t="inlineStr">
        <is>
          <t>Ações de endomarketing</t>
        </is>
      </c>
      <c r="D2019" s="107" t="n"/>
      <c r="E2019" s="108" t="n"/>
      <c r="F2019" s="109">
        <f>IFERROR(D2019*E2019,0)</f>
        <v/>
      </c>
      <c r="G2019" s="106">
        <f>INDEX(SETORES!$B:$B,MATCH(A2019,SETORES!$A:$A,0))</f>
        <v/>
      </c>
      <c r="H2019" s="106" t="inlineStr">
        <is>
          <t>Agosto/2026</t>
        </is>
      </c>
    </row>
    <row r="2020" hidden="1" ht="14.25" customHeight="1" s="64">
      <c r="A2020" s="106" t="inlineStr">
        <is>
          <t>RH</t>
        </is>
      </c>
      <c r="B2020" s="106" t="inlineStr">
        <is>
          <t>Custo Fixo</t>
        </is>
      </c>
      <c r="C2020" s="106" t="inlineStr">
        <is>
          <t>Pesquisa de clima organizacional</t>
        </is>
      </c>
      <c r="D2020" s="107" t="n"/>
      <c r="E2020" s="108" t="n"/>
      <c r="F2020" s="109">
        <f>IFERROR(D2020*E2020,0)</f>
        <v/>
      </c>
      <c r="G2020" s="106">
        <f>INDEX(SETORES!$B:$B,MATCH(A2020,SETORES!$A:$A,0))</f>
        <v/>
      </c>
      <c r="H2020" s="106" t="inlineStr">
        <is>
          <t>Agosto/2026</t>
        </is>
      </c>
    </row>
    <row r="2021" hidden="1" ht="14.25" customHeight="1" s="64">
      <c r="A2021" s="106" t="inlineStr">
        <is>
          <t>RH</t>
        </is>
      </c>
      <c r="B2021" s="106" t="inlineStr">
        <is>
          <t>Custo Fixo</t>
        </is>
      </c>
      <c r="C2021" s="106" t="inlineStr">
        <is>
          <t>Licença de e-mail corporativo</t>
        </is>
      </c>
      <c r="D2021" s="107" t="n">
        <v>6</v>
      </c>
      <c r="E2021" s="108" t="n">
        <v>50</v>
      </c>
      <c r="F2021" s="109">
        <f>IFERROR(D2021*E2021,0)</f>
        <v/>
      </c>
      <c r="G2021" s="106">
        <f>INDEX(SETORES!$B:$B,MATCH(A2021,SETORES!$A:$A,0))</f>
        <v/>
      </c>
      <c r="H2021" s="106" t="inlineStr">
        <is>
          <t>Agosto/2026</t>
        </is>
      </c>
    </row>
    <row r="2022" hidden="1" ht="14.25" customHeight="1" s="64">
      <c r="A2022" s="106" t="inlineStr">
        <is>
          <t>RH</t>
        </is>
      </c>
      <c r="B2022" s="106" t="inlineStr">
        <is>
          <t>Custo Fixo</t>
        </is>
      </c>
      <c r="C2022" s="106" t="inlineStr">
        <is>
          <t>Impressora</t>
        </is>
      </c>
      <c r="D2022" s="107" t="n"/>
      <c r="E2022" s="108" t="n"/>
      <c r="F2022" s="109">
        <f>IFERROR(D2022*E2022,0)</f>
        <v/>
      </c>
      <c r="G2022" s="106">
        <f>INDEX(SETORES!$B:$B,MATCH(A2022,SETORES!$A:$A,0))</f>
        <v/>
      </c>
      <c r="H2022" s="106" t="inlineStr">
        <is>
          <t>Agosto/2026</t>
        </is>
      </c>
    </row>
    <row r="2023" hidden="1" ht="14.25" customHeight="1" s="64">
      <c r="A2023" s="106" t="inlineStr">
        <is>
          <t>RH</t>
        </is>
      </c>
      <c r="B2023" s="106" t="inlineStr">
        <is>
          <t>Custo Fixo</t>
        </is>
      </c>
      <c r="C2023" s="106" t="inlineStr">
        <is>
          <t>Gympass</t>
        </is>
      </c>
      <c r="D2023" s="107" t="n"/>
      <c r="E2023" s="108" t="n"/>
      <c r="F2023" s="109">
        <f>IFERROR(D2023*E2023,0)</f>
        <v/>
      </c>
      <c r="G2023" s="106">
        <f>INDEX(SETORES!$B:$B,MATCH(A2023,SETORES!$A:$A,0))</f>
        <v/>
      </c>
      <c r="H2023" s="106" t="inlineStr">
        <is>
          <t>Agosto/2026</t>
        </is>
      </c>
    </row>
    <row r="2024" hidden="1" ht="14.25" customHeight="1" s="64">
      <c r="A2024" s="106" t="inlineStr">
        <is>
          <t>RH</t>
        </is>
      </c>
      <c r="B2024" s="106" t="inlineStr">
        <is>
          <t>Custo Fixo</t>
        </is>
      </c>
      <c r="C2024" s="106" t="inlineStr">
        <is>
          <t>Stargrid</t>
        </is>
      </c>
      <c r="D2024" s="107" t="n">
        <v>6</v>
      </c>
      <c r="E2024" s="108" t="n">
        <v>1.87</v>
      </c>
      <c r="F2024" s="109">
        <f>IFERROR(D2024*E2024,0)</f>
        <v/>
      </c>
      <c r="G2024" s="106">
        <f>INDEX(SETORES!$B:$B,MATCH(A2024,SETORES!$A:$A,0))</f>
        <v/>
      </c>
      <c r="H2024" s="106" t="inlineStr">
        <is>
          <t>Agosto/2026</t>
        </is>
      </c>
    </row>
    <row r="2025" hidden="1" ht="14.25" customHeight="1" s="64">
      <c r="A2025" s="106" t="inlineStr">
        <is>
          <t>Retenção</t>
        </is>
      </c>
      <c r="B2025" s="106" t="inlineStr">
        <is>
          <t>Custo Fixo</t>
        </is>
      </c>
      <c r="C2025" s="106" t="inlineStr">
        <is>
          <t>Material de escritório (suprimentos de informática)</t>
        </is>
      </c>
      <c r="D2025" s="107" t="n">
        <v>1</v>
      </c>
      <c r="E2025" s="108" t="n">
        <v>3.45</v>
      </c>
      <c r="F2025" s="109">
        <f>IFERROR(D2025*E2025,0)</f>
        <v/>
      </c>
      <c r="G2025" s="106">
        <f>INDEX(SETORES!$B:$B,MATCH(A2025,SETORES!$A:$A,0))</f>
        <v/>
      </c>
      <c r="H2025" s="106" t="inlineStr">
        <is>
          <t>Agosto/2026</t>
        </is>
      </c>
    </row>
    <row r="2026" hidden="1" ht="14.25" customHeight="1" s="64">
      <c r="A2026" s="106" t="inlineStr">
        <is>
          <t>Retenção</t>
        </is>
      </c>
      <c r="B2026" s="106" t="inlineStr">
        <is>
          <t>Custo Fixo</t>
        </is>
      </c>
      <c r="C2026" s="106" t="inlineStr">
        <is>
          <t>Material de uso coletivo (copa/limpeza)</t>
        </is>
      </c>
      <c r="D2026" s="107" t="n">
        <v>1</v>
      </c>
      <c r="E2026" s="108" t="n">
        <v>606.65</v>
      </c>
      <c r="F2026" s="109">
        <f>IFERROR(D2026*E2026,0)</f>
        <v/>
      </c>
      <c r="G2026" s="106">
        <f>INDEX(SETORES!$B:$B,MATCH(A2026,SETORES!$A:$A,0))</f>
        <v/>
      </c>
      <c r="H2026" s="106" t="inlineStr">
        <is>
          <t>Agosto/2026</t>
        </is>
      </c>
    </row>
    <row r="2027" hidden="1" ht="14.25" customHeight="1" s="64">
      <c r="A2027" s="106" t="inlineStr">
        <is>
          <t>Retenção</t>
        </is>
      </c>
      <c r="B2027" s="106" t="inlineStr">
        <is>
          <t>Custo Fixo</t>
        </is>
      </c>
      <c r="C2027" s="106" t="inlineStr">
        <is>
          <t>Energia elétrica (rateio)</t>
        </is>
      </c>
      <c r="D2027" s="107" t="n"/>
      <c r="E2027" s="108" t="n"/>
      <c r="F2027" s="109">
        <f>IFERROR(D2027*E2027,0)</f>
        <v/>
      </c>
      <c r="G2027" s="106">
        <f>INDEX(SETORES!$B:$B,MATCH(A2027,SETORES!$A:$A,0))</f>
        <v/>
      </c>
      <c r="H2027" s="106" t="inlineStr">
        <is>
          <t>Agosto/2026</t>
        </is>
      </c>
    </row>
    <row r="2028" hidden="1" ht="14.25" customHeight="1" s="64">
      <c r="A2028" s="106" t="inlineStr">
        <is>
          <t>Retenção</t>
        </is>
      </c>
      <c r="B2028" s="106" t="inlineStr">
        <is>
          <t>Custo Fixo</t>
        </is>
      </c>
      <c r="C2028" s="106" t="inlineStr">
        <is>
          <t>Água e esgoto (rateio)</t>
        </is>
      </c>
      <c r="D2028" s="107" t="n"/>
      <c r="E2028" s="108" t="n"/>
      <c r="F2028" s="109">
        <f>IFERROR(D2028*E2028,0)</f>
        <v/>
      </c>
      <c r="G2028" s="106">
        <f>INDEX(SETORES!$B:$B,MATCH(A2028,SETORES!$A:$A,0))</f>
        <v/>
      </c>
      <c r="H2028" s="106" t="inlineStr">
        <is>
          <t>Agosto/2026</t>
        </is>
      </c>
    </row>
    <row r="2029" hidden="1" ht="14.25" customHeight="1" s="64">
      <c r="A2029" s="106" t="inlineStr">
        <is>
          <t>Retenção</t>
        </is>
      </c>
      <c r="B2029" s="106" t="inlineStr">
        <is>
          <t>Custo Fixo</t>
        </is>
      </c>
      <c r="C2029" s="106" t="inlineStr">
        <is>
          <t>Telefonia móvel corporativa</t>
        </is>
      </c>
      <c r="D2029" s="107" t="n"/>
      <c r="E2029" s="108" t="n"/>
      <c r="F2029" s="109">
        <f>IFERROR(D2029*E2029,0)</f>
        <v/>
      </c>
      <c r="G2029" s="106">
        <f>INDEX(SETORES!$B:$B,MATCH(A2029,SETORES!$A:$A,0))</f>
        <v/>
      </c>
      <c r="H2029" s="106" t="inlineStr">
        <is>
          <t>Agosto/2026</t>
        </is>
      </c>
    </row>
    <row r="2030" hidden="1" ht="14.25" customHeight="1" s="64">
      <c r="A2030" s="106" t="inlineStr">
        <is>
          <t>Retenção</t>
        </is>
      </c>
      <c r="B2030" s="106" t="inlineStr">
        <is>
          <t>Custo Fixo</t>
        </is>
      </c>
      <c r="C2030" s="106" t="inlineStr">
        <is>
          <t>Folha de pagamento (salários)</t>
        </is>
      </c>
      <c r="D2030" s="107" t="n">
        <v>1</v>
      </c>
      <c r="E2030" s="108" t="n">
        <v>41989.1</v>
      </c>
      <c r="F2030" s="109">
        <f>IFERROR(D2030*E2030,0)</f>
        <v/>
      </c>
      <c r="G2030" s="106">
        <f>INDEX(SETORES!$B:$B,MATCH(A2030,SETORES!$A:$A,0))</f>
        <v/>
      </c>
      <c r="H2030" s="106" t="inlineStr">
        <is>
          <t>Agosto/2026</t>
        </is>
      </c>
    </row>
    <row r="2031" hidden="1" ht="14.25" customHeight="1" s="64">
      <c r="A2031" s="106" t="inlineStr">
        <is>
          <t>Retenção</t>
        </is>
      </c>
      <c r="B2031" s="106" t="inlineStr">
        <is>
          <t>Custo Variável</t>
        </is>
      </c>
      <c r="C2031" s="106" t="inlineStr">
        <is>
          <t>Fardamento novo</t>
        </is>
      </c>
      <c r="D2031" s="107" t="n"/>
      <c r="E2031" s="108" t="n"/>
      <c r="F2031" s="109">
        <f>IFERROR(D2031*E2031,0)</f>
        <v/>
      </c>
      <c r="G2031" s="106">
        <f>INDEX(SETORES!$B:$B,MATCH(A2031,SETORES!$A:$A,0))</f>
        <v/>
      </c>
      <c r="H2031" s="106" t="inlineStr">
        <is>
          <t>Agosto/2026</t>
        </is>
      </c>
    </row>
    <row r="2032" hidden="1" ht="14.25" customHeight="1" s="64">
      <c r="A2032" s="106" t="inlineStr">
        <is>
          <t>Retenção</t>
        </is>
      </c>
      <c r="B2032" s="106" t="inlineStr">
        <is>
          <t>Custo Variável</t>
        </is>
      </c>
      <c r="C2032" s="106" t="inlineStr">
        <is>
          <t>Fardamento substituição</t>
        </is>
      </c>
      <c r="D2032" s="107" t="n"/>
      <c r="E2032" s="108" t="n"/>
      <c r="F2032" s="109">
        <f>IFERROR(D2032*E2032,0)</f>
        <v/>
      </c>
      <c r="G2032" s="106">
        <f>INDEX(SETORES!$B:$B,MATCH(A2032,SETORES!$A:$A,0))</f>
        <v/>
      </c>
      <c r="H2032" s="106" t="inlineStr">
        <is>
          <t>Agosto/2026</t>
        </is>
      </c>
    </row>
    <row r="2033" hidden="1" ht="14.25" customHeight="1" s="64">
      <c r="A2033" s="106" t="inlineStr">
        <is>
          <t>Retenção</t>
        </is>
      </c>
      <c r="B2033" s="106" t="inlineStr">
        <is>
          <t>Custo Variável</t>
        </is>
      </c>
      <c r="C2033" s="106" t="inlineStr">
        <is>
          <t>Rescisões trabalhistas</t>
        </is>
      </c>
      <c r="D2033" s="107" t="n"/>
      <c r="E2033" s="108" t="n"/>
      <c r="F2033" s="109">
        <f>IFERROR(D2033*E2033,0)</f>
        <v/>
      </c>
      <c r="G2033" s="106">
        <f>INDEX(SETORES!$B:$B,MATCH(A2033,SETORES!$A:$A,0))</f>
        <v/>
      </c>
      <c r="H2033" s="106" t="inlineStr">
        <is>
          <t>Agosto/2026</t>
        </is>
      </c>
    </row>
    <row r="2034" hidden="1" ht="14.25" customHeight="1" s="64">
      <c r="A2034" s="106" t="inlineStr">
        <is>
          <t>Retenção</t>
        </is>
      </c>
      <c r="B2034" s="106" t="inlineStr">
        <is>
          <t>Custo Fixo</t>
        </is>
      </c>
      <c r="C2034" s="106" t="inlineStr">
        <is>
          <t>Licença de e-mail corporativo</t>
        </is>
      </c>
      <c r="D2034" s="107" t="n">
        <v>12</v>
      </c>
      <c r="E2034" s="108" t="n">
        <v>50</v>
      </c>
      <c r="F2034" s="109">
        <f>IFERROR(D2034*E2034,0)</f>
        <v/>
      </c>
      <c r="G2034" s="106">
        <f>INDEX(SETORES!$B:$B,MATCH(A2034,SETORES!$A:$A,0))</f>
        <v/>
      </c>
      <c r="H2034" s="106" t="inlineStr">
        <is>
          <t>Agosto/2026</t>
        </is>
      </c>
    </row>
    <row r="2035" hidden="1" ht="14.25" customHeight="1" s="64">
      <c r="A2035" s="106" t="inlineStr">
        <is>
          <t>Retenção</t>
        </is>
      </c>
      <c r="B2035" s="106" t="inlineStr">
        <is>
          <t>Custo Fixo</t>
        </is>
      </c>
      <c r="C2035" s="106" t="inlineStr">
        <is>
          <t>Software MATRIX (rateio equipe Relacionamento)</t>
        </is>
      </c>
      <c r="D2035" s="107" t="n"/>
      <c r="E2035" s="108" t="n"/>
      <c r="F2035" s="109">
        <f>IFERROR(D2035*E2035,0)</f>
        <v/>
      </c>
      <c r="G2035" s="106">
        <f>INDEX(SETORES!$B:$B,MATCH(A2035,SETORES!$A:$A,0))</f>
        <v/>
      </c>
      <c r="H2035" s="106" t="inlineStr">
        <is>
          <t>Agosto/2026</t>
        </is>
      </c>
    </row>
    <row r="2036" hidden="1" ht="14.25" customHeight="1" s="64">
      <c r="A2036" s="106" t="inlineStr">
        <is>
          <t>Retenção</t>
        </is>
      </c>
      <c r="B2036" s="106" t="inlineStr">
        <is>
          <t>Custo Fixo</t>
        </is>
      </c>
      <c r="C2036" s="106" t="inlineStr">
        <is>
          <t>Impressora (rateio equipe Relacionamento)</t>
        </is>
      </c>
      <c r="D2036" s="107" t="n"/>
      <c r="E2036" s="108" t="n"/>
      <c r="F2036" s="109">
        <f>IFERROR(D2036*E2036,0)</f>
        <v/>
      </c>
      <c r="G2036" s="106">
        <f>INDEX(SETORES!$B:$B,MATCH(A2036,SETORES!$A:$A,0))</f>
        <v/>
      </c>
      <c r="H2036" s="106" t="inlineStr">
        <is>
          <t>Agosto/2026</t>
        </is>
      </c>
    </row>
    <row r="2037" hidden="1" ht="14.25" customHeight="1" s="64">
      <c r="A2037" s="106" t="inlineStr">
        <is>
          <t>Retenção</t>
        </is>
      </c>
      <c r="B2037" s="106" t="inlineStr">
        <is>
          <t>Custo Fixo</t>
        </is>
      </c>
      <c r="C2037" s="106" t="inlineStr">
        <is>
          <t>Gympass</t>
        </is>
      </c>
      <c r="D2037" s="107" t="n"/>
      <c r="E2037" s="108" t="n"/>
      <c r="F2037" s="109">
        <f>IFERROR(D2037*E2037,0)</f>
        <v/>
      </c>
      <c r="G2037" s="106">
        <f>INDEX(SETORES!$B:$B,MATCH(A2037,SETORES!$A:$A,0))</f>
        <v/>
      </c>
      <c r="H2037" s="106" t="inlineStr">
        <is>
          <t>Agosto/2026</t>
        </is>
      </c>
    </row>
    <row r="2038" hidden="1" ht="14.25" customHeight="1" s="64">
      <c r="A2038" s="106" t="inlineStr">
        <is>
          <t>Retenção</t>
        </is>
      </c>
      <c r="B2038" s="106" t="inlineStr">
        <is>
          <t>Custo Fixo</t>
        </is>
      </c>
      <c r="C2038" s="106" t="inlineStr">
        <is>
          <t>Stargrid</t>
        </is>
      </c>
      <c r="D2038" s="107" t="n">
        <v>12</v>
      </c>
      <c r="E2038" s="108" t="n">
        <v>1.87</v>
      </c>
      <c r="F2038" s="109">
        <f>IFERROR(D2038*E2038,0)</f>
        <v/>
      </c>
      <c r="G2038" s="106">
        <f>INDEX(SETORES!$B:$B,MATCH(A2038,SETORES!$A:$A,0))</f>
        <v/>
      </c>
      <c r="H2038" s="106" t="inlineStr">
        <is>
          <t>Agosto/2026</t>
        </is>
      </c>
    </row>
    <row r="2039" hidden="1" ht="14.25" customHeight="1" s="64">
      <c r="A2039" s="106" t="inlineStr">
        <is>
          <t>Segurança do Trabalho</t>
        </is>
      </c>
      <c r="B2039" s="106" t="inlineStr">
        <is>
          <t>Custo Fixo</t>
        </is>
      </c>
      <c r="C2039" s="106" t="inlineStr">
        <is>
          <t>Material de escritório (suprimentos de informática)</t>
        </is>
      </c>
      <c r="D2039" s="107" t="n">
        <v>1</v>
      </c>
      <c r="E2039" s="108" t="n">
        <v>56.96</v>
      </c>
      <c r="F2039" s="109">
        <f>IFERROR(D2039*E2039,0)</f>
        <v/>
      </c>
      <c r="G2039" s="106">
        <f>INDEX(SETORES!$B:$B,MATCH(A2039,SETORES!$A:$A,0))</f>
        <v/>
      </c>
      <c r="H2039" s="106" t="inlineStr">
        <is>
          <t>Agosto/2026</t>
        </is>
      </c>
    </row>
    <row r="2040" hidden="1" ht="14.25" customHeight="1" s="64">
      <c r="A2040" s="106" t="inlineStr">
        <is>
          <t>Segurança do Trabalho</t>
        </is>
      </c>
      <c r="B2040" s="106" t="inlineStr">
        <is>
          <t>Custo Fixo</t>
        </is>
      </c>
      <c r="C2040" s="106" t="inlineStr">
        <is>
          <t>Material de uso coletivo (copa/limpeza)</t>
        </is>
      </c>
      <c r="D2040" s="107" t="n"/>
      <c r="E2040" s="108" t="n"/>
      <c r="F2040" s="109">
        <f>IFERROR(D2040*E2040,0)</f>
        <v/>
      </c>
      <c r="G2040" s="106">
        <f>INDEX(SETORES!$B:$B,MATCH(A2040,SETORES!$A:$A,0))</f>
        <v/>
      </c>
      <c r="H2040" s="106" t="inlineStr">
        <is>
          <t>Agosto/2026</t>
        </is>
      </c>
    </row>
    <row r="2041" hidden="1" ht="14.25" customHeight="1" s="64">
      <c r="A2041" s="106" t="inlineStr">
        <is>
          <t>Segurança do Trabalho</t>
        </is>
      </c>
      <c r="B2041" s="106" t="inlineStr">
        <is>
          <t>Custo Fixo</t>
        </is>
      </c>
      <c r="C2041" s="106" t="inlineStr">
        <is>
          <t>Energia elétrica (rateio)</t>
        </is>
      </c>
      <c r="D2041" s="107" t="n"/>
      <c r="E2041" s="108" t="n"/>
      <c r="F2041" s="109">
        <f>IFERROR(D2041*E2041,0)</f>
        <v/>
      </c>
      <c r="G2041" s="106">
        <f>INDEX(SETORES!$B:$B,MATCH(A2041,SETORES!$A:$A,0))</f>
        <v/>
      </c>
      <c r="H2041" s="106" t="inlineStr">
        <is>
          <t>Agosto/2026</t>
        </is>
      </c>
    </row>
    <row r="2042" hidden="1" ht="14.25" customHeight="1" s="64">
      <c r="A2042" s="106" t="inlineStr">
        <is>
          <t>Segurança do Trabalho</t>
        </is>
      </c>
      <c r="B2042" s="106" t="inlineStr">
        <is>
          <t>Custo Fixo</t>
        </is>
      </c>
      <c r="C2042" s="106" t="inlineStr">
        <is>
          <t>Água e esgoto (rateio)</t>
        </is>
      </c>
      <c r="D2042" s="107" t="n"/>
      <c r="E2042" s="108" t="n"/>
      <c r="F2042" s="109">
        <f>IFERROR(D2042*E2042,0)</f>
        <v/>
      </c>
      <c r="G2042" s="106">
        <f>INDEX(SETORES!$B:$B,MATCH(A2042,SETORES!$A:$A,0))</f>
        <v/>
      </c>
      <c r="H2042" s="106" t="inlineStr">
        <is>
          <t>Agosto/2026</t>
        </is>
      </c>
    </row>
    <row r="2043" hidden="1" ht="14.25" customHeight="1" s="64">
      <c r="A2043" s="106" t="inlineStr">
        <is>
          <t>Segurança do Trabalho</t>
        </is>
      </c>
      <c r="B2043" s="106" t="inlineStr">
        <is>
          <t>Custo Fixo</t>
        </is>
      </c>
      <c r="C2043" s="106" t="inlineStr">
        <is>
          <t>Telefonia móvel corporativa</t>
        </is>
      </c>
      <c r="D2043" s="107" t="n"/>
      <c r="E2043" s="108" t="n"/>
      <c r="F2043" s="109">
        <f>IFERROR(D2043*E2043,0)</f>
        <v/>
      </c>
      <c r="G2043" s="106">
        <f>INDEX(SETORES!$B:$B,MATCH(A2043,SETORES!$A:$A,0))</f>
        <v/>
      </c>
      <c r="H2043" s="106" t="inlineStr">
        <is>
          <t>Agosto/2026</t>
        </is>
      </c>
    </row>
    <row r="2044" hidden="1" ht="14.25" customHeight="1" s="64">
      <c r="A2044" s="106" t="inlineStr">
        <is>
          <t>Segurança do Trabalho</t>
        </is>
      </c>
      <c r="B2044" s="106" t="inlineStr">
        <is>
          <t>Custo Fixo</t>
        </is>
      </c>
      <c r="C2044" s="106" t="inlineStr">
        <is>
          <t>Folha de pagamento (salários)</t>
        </is>
      </c>
      <c r="D2044" s="107" t="n">
        <v>1</v>
      </c>
      <c r="E2044" s="108" t="n">
        <v>43760.48</v>
      </c>
      <c r="F2044" s="109">
        <f>IFERROR(D2044*E2044,0)</f>
        <v/>
      </c>
      <c r="G2044" s="106">
        <f>INDEX(SETORES!$B:$B,MATCH(A2044,SETORES!$A:$A,0))</f>
        <v/>
      </c>
      <c r="H2044" s="106" t="inlineStr">
        <is>
          <t>Agosto/2026</t>
        </is>
      </c>
    </row>
    <row r="2045" hidden="1" ht="14.25" customHeight="1" s="64">
      <c r="A2045" s="106" t="inlineStr">
        <is>
          <t>Segurança do Trabalho</t>
        </is>
      </c>
      <c r="B2045" s="106" t="inlineStr">
        <is>
          <t>Custo Variável</t>
        </is>
      </c>
      <c r="C2045" s="106" t="inlineStr">
        <is>
          <t>EPIs - Equipamento de Proteção Individual</t>
        </is>
      </c>
      <c r="D2045" s="107" t="n"/>
      <c r="E2045" s="108" t="n"/>
      <c r="F2045" s="109">
        <f>IFERROR(D2045*E2045,0)</f>
        <v/>
      </c>
      <c r="G2045" s="106">
        <f>INDEX(SETORES!$B:$B,MATCH(A2045,SETORES!$A:$A,0))</f>
        <v/>
      </c>
      <c r="H2045" s="106" t="inlineStr">
        <is>
          <t>Agosto/2026</t>
        </is>
      </c>
    </row>
    <row r="2046" hidden="1" ht="14.25" customHeight="1" s="64">
      <c r="A2046" s="106" t="inlineStr">
        <is>
          <t>Cobrança</t>
        </is>
      </c>
      <c r="B2046" s="106" t="inlineStr">
        <is>
          <t>Custo Variável</t>
        </is>
      </c>
      <c r="C2046" s="106" t="inlineStr">
        <is>
          <t>Exames médicos</t>
        </is>
      </c>
      <c r="D2046" s="107" t="n"/>
      <c r="E2046" s="108" t="n"/>
      <c r="F2046" s="109">
        <f>IFERROR(D2046*E2046,0)</f>
        <v/>
      </c>
      <c r="G2046" s="106">
        <f>INDEX(SETORES!$B:$B,MATCH(A2046,SETORES!$A:$A,0))</f>
        <v/>
      </c>
      <c r="H2046" s="106" t="inlineStr">
        <is>
          <t>Agosto/2026</t>
        </is>
      </c>
    </row>
    <row r="2047" hidden="1" ht="14.25" customHeight="1" s="64">
      <c r="A2047" s="106" t="inlineStr">
        <is>
          <t>NRC</t>
        </is>
      </c>
      <c r="B2047" s="106" t="inlineStr">
        <is>
          <t>Custo Variável</t>
        </is>
      </c>
      <c r="C2047" s="106" t="inlineStr">
        <is>
          <t>Exames médicos</t>
        </is>
      </c>
      <c r="D2047" s="107" t="n"/>
      <c r="E2047" s="108" t="n"/>
      <c r="F2047" s="109">
        <f>IFERROR(D2047*E2047,0)</f>
        <v/>
      </c>
      <c r="G2047" s="106">
        <f>INDEX(SETORES!$B:$B,MATCH(A2047,SETORES!$A:$A,0))</f>
        <v/>
      </c>
      <c r="H2047" s="106" t="inlineStr">
        <is>
          <t>Agosto/2026</t>
        </is>
      </c>
    </row>
    <row r="2048" hidden="1" ht="14.25" customHeight="1" s="64">
      <c r="A2048" s="106" t="inlineStr">
        <is>
          <t>Suporte da Central</t>
        </is>
      </c>
      <c r="B2048" s="106" t="inlineStr">
        <is>
          <t>Custo Variável</t>
        </is>
      </c>
      <c r="C2048" s="106" t="inlineStr">
        <is>
          <t>Exames médicos</t>
        </is>
      </c>
      <c r="D2048" s="107" t="n"/>
      <c r="E2048" s="108" t="n"/>
      <c r="F2048" s="109">
        <f>IFERROR(D2048*E2048,0)</f>
        <v/>
      </c>
      <c r="G2048" s="106">
        <f>INDEX(SETORES!$B:$B,MATCH(A2048,SETORES!$A:$A,0))</f>
        <v/>
      </c>
      <c r="H2048" s="106" t="inlineStr">
        <is>
          <t>Agosto/2026</t>
        </is>
      </c>
    </row>
    <row r="2049" hidden="1" ht="14.25" customHeight="1" s="64">
      <c r="A2049" s="106" t="inlineStr">
        <is>
          <t>Manutenção Predial</t>
        </is>
      </c>
      <c r="B2049" s="106" t="inlineStr">
        <is>
          <t>Custo Variável</t>
        </is>
      </c>
      <c r="C2049" s="106" t="inlineStr">
        <is>
          <t>Exames médicos</t>
        </is>
      </c>
      <c r="D2049" s="107" t="n"/>
      <c r="E2049" s="108" t="n"/>
      <c r="F2049" s="109">
        <f>IFERROR(D2049*E2049,0)</f>
        <v/>
      </c>
      <c r="G2049" s="106">
        <f>INDEX(SETORES!$B:$B,MATCH(A2049,SETORES!$A:$A,0))</f>
        <v/>
      </c>
      <c r="H2049" s="106" t="inlineStr">
        <is>
          <t>Agosto/2026</t>
        </is>
      </c>
    </row>
    <row r="2050" hidden="1" ht="14.25" customHeight="1" s="64">
      <c r="A2050" s="106" t="inlineStr">
        <is>
          <t>Segurança do Trabalho</t>
        </is>
      </c>
      <c r="B2050" s="106" t="inlineStr">
        <is>
          <t>Custo Variável</t>
        </is>
      </c>
      <c r="C2050" s="106" t="inlineStr">
        <is>
          <t>Exames médicos</t>
        </is>
      </c>
      <c r="D2050" s="107" t="n"/>
      <c r="E2050" s="108" t="n"/>
      <c r="F2050" s="109">
        <f>IFERROR(D2050*E2050,0)</f>
        <v/>
      </c>
      <c r="G2050" s="106">
        <f>INDEX(SETORES!$B:$B,MATCH(A2050,SETORES!$A:$A,0))</f>
        <v/>
      </c>
      <c r="H2050" s="106" t="inlineStr">
        <is>
          <t>Agosto/2026</t>
        </is>
      </c>
    </row>
    <row r="2051" hidden="1" ht="14.25" customHeight="1" s="64">
      <c r="A2051" s="106" t="inlineStr">
        <is>
          <t>Segurança do Trabalho</t>
        </is>
      </c>
      <c r="B2051" s="106" t="inlineStr">
        <is>
          <t>Custo Variável</t>
        </is>
      </c>
      <c r="C2051" s="106" t="inlineStr">
        <is>
          <t>Fardamento novo</t>
        </is>
      </c>
      <c r="D2051" s="107" t="n"/>
      <c r="E2051" s="108" t="n"/>
      <c r="F2051" s="109">
        <f>IFERROR(D2051*E2051,0)</f>
        <v/>
      </c>
      <c r="G2051" s="106">
        <f>INDEX(SETORES!$B:$B,MATCH(A2051,SETORES!$A:$A,0))</f>
        <v/>
      </c>
      <c r="H2051" s="106" t="inlineStr">
        <is>
          <t>Agosto/2026</t>
        </is>
      </c>
    </row>
    <row r="2052" hidden="1" ht="14.25" customHeight="1" s="64">
      <c r="A2052" s="106" t="inlineStr">
        <is>
          <t>Segurança do Trabalho</t>
        </is>
      </c>
      <c r="B2052" s="106" t="inlineStr">
        <is>
          <t>Custo Variável</t>
        </is>
      </c>
      <c r="C2052" s="106" t="inlineStr">
        <is>
          <t>Fardamento substituição</t>
        </is>
      </c>
      <c r="D2052" s="107" t="n">
        <v>1</v>
      </c>
      <c r="E2052" s="108" t="n">
        <v>204</v>
      </c>
      <c r="F2052" s="109">
        <f>IFERROR(D2052*E2052,0)</f>
        <v/>
      </c>
      <c r="G2052" s="106">
        <f>INDEX(SETORES!$B:$B,MATCH(A2052,SETORES!$A:$A,0))</f>
        <v/>
      </c>
      <c r="H2052" s="106" t="inlineStr">
        <is>
          <t>Agosto/2026</t>
        </is>
      </c>
    </row>
    <row r="2053" hidden="1" ht="14.25" customHeight="1" s="64">
      <c r="A2053" s="106" t="inlineStr">
        <is>
          <t>Segurança do Trabalho</t>
        </is>
      </c>
      <c r="B2053" s="106" t="inlineStr">
        <is>
          <t>Custo Variável</t>
        </is>
      </c>
      <c r="C2053" s="106" t="inlineStr">
        <is>
          <t>Rateio de transporte coletivo</t>
        </is>
      </c>
      <c r="D2053" s="107" t="n"/>
      <c r="E2053" s="108" t="n"/>
      <c r="F2053" s="109">
        <f>IFERROR(D2053*E2053,0)</f>
        <v/>
      </c>
      <c r="G2053" s="106">
        <f>INDEX(SETORES!$B:$B,MATCH(A2053,SETORES!$A:$A,0))</f>
        <v/>
      </c>
      <c r="H2053" s="106" t="inlineStr">
        <is>
          <t>Agosto/2026</t>
        </is>
      </c>
    </row>
    <row r="2054" hidden="1" ht="14.25" customHeight="1" s="64">
      <c r="A2054" s="106" t="inlineStr">
        <is>
          <t>Segurança do Trabalho</t>
        </is>
      </c>
      <c r="B2054" s="106" t="inlineStr">
        <is>
          <t>Custo Variável</t>
        </is>
      </c>
      <c r="C2054" s="106" t="inlineStr">
        <is>
          <t>Médico do trabalho</t>
        </is>
      </c>
      <c r="D2054" s="107" t="n">
        <v>1</v>
      </c>
      <c r="E2054" s="108" t="n">
        <v>7689.5</v>
      </c>
      <c r="F2054" s="109">
        <f>IFERROR(D2054*E2054,0)</f>
        <v/>
      </c>
      <c r="G2054" s="106">
        <f>INDEX(SETORES!$B:$B,MATCH(A2054,SETORES!$A:$A,0))</f>
        <v/>
      </c>
      <c r="H2054" s="106" t="inlineStr">
        <is>
          <t>Agosto/2026</t>
        </is>
      </c>
    </row>
    <row r="2055" hidden="1" ht="14.25" customHeight="1" s="64">
      <c r="A2055" s="106" t="inlineStr">
        <is>
          <t>Segurança do Trabalho</t>
        </is>
      </c>
      <c r="B2055" s="106" t="inlineStr">
        <is>
          <t>Custo Fixo</t>
        </is>
      </c>
      <c r="C2055" s="106" t="inlineStr">
        <is>
          <t>Licença de e-mail corporativo</t>
        </is>
      </c>
      <c r="D2055" s="107" t="n">
        <v>8</v>
      </c>
      <c r="E2055" s="108" t="n">
        <v>50</v>
      </c>
      <c r="F2055" s="109">
        <f>IFERROR(D2055*E2055,0)</f>
        <v/>
      </c>
      <c r="G2055" s="106">
        <f>INDEX(SETORES!$B:$B,MATCH(A2055,SETORES!$A:$A,0))</f>
        <v/>
      </c>
      <c r="H2055" s="106" t="inlineStr">
        <is>
          <t>Agosto/2026</t>
        </is>
      </c>
    </row>
    <row r="2056" hidden="1" ht="14.25" customHeight="1" s="64">
      <c r="A2056" s="106" t="inlineStr">
        <is>
          <t>Segurança do Trabalho</t>
        </is>
      </c>
      <c r="B2056" s="106" t="inlineStr">
        <is>
          <t>Custo Variável</t>
        </is>
      </c>
      <c r="C2056" s="106" t="inlineStr">
        <is>
          <t>Combustível de frota</t>
        </is>
      </c>
      <c r="D2056" s="107" t="n">
        <v>1</v>
      </c>
      <c r="E2056" s="108" t="n">
        <v>4175.57</v>
      </c>
      <c r="F2056" s="109">
        <f>IFERROR(D2056*E2056,0)</f>
        <v/>
      </c>
      <c r="G2056" s="106">
        <f>INDEX(SETORES!$B:$B,MATCH(A2056,SETORES!$A:$A,0))</f>
        <v/>
      </c>
      <c r="H2056" s="106" t="inlineStr">
        <is>
          <t>Agosto/2026</t>
        </is>
      </c>
    </row>
    <row r="2057" hidden="1" ht="14.25" customHeight="1" s="64">
      <c r="A2057" s="106" t="inlineStr">
        <is>
          <t>Segurança do Trabalho</t>
        </is>
      </c>
      <c r="B2057" s="106" t="inlineStr">
        <is>
          <t>Custo Fixo</t>
        </is>
      </c>
      <c r="C2057" s="106" t="inlineStr">
        <is>
          <t>Impressora</t>
        </is>
      </c>
      <c r="D2057" s="107" t="n"/>
      <c r="E2057" s="108" t="n"/>
      <c r="F2057" s="109">
        <f>IFERROR(D2057*E2057,0)</f>
        <v/>
      </c>
      <c r="G2057" s="106">
        <f>INDEX(SETORES!$B:$B,MATCH(A2057,SETORES!$A:$A,0))</f>
        <v/>
      </c>
      <c r="H2057" s="106" t="inlineStr">
        <is>
          <t>Agosto/2026</t>
        </is>
      </c>
    </row>
    <row r="2058" hidden="1" ht="14.25" customHeight="1" s="64">
      <c r="A2058" s="106" t="inlineStr">
        <is>
          <t>Segurança do Trabalho</t>
        </is>
      </c>
      <c r="B2058" s="106" t="inlineStr">
        <is>
          <t>Custo Fixo</t>
        </is>
      </c>
      <c r="C2058" s="106" t="inlineStr">
        <is>
          <t>Gympass</t>
        </is>
      </c>
      <c r="D2058" s="107" t="n"/>
      <c r="E2058" s="108" t="n"/>
      <c r="F2058" s="109">
        <f>IFERROR(D2058*E2058,0)</f>
        <v/>
      </c>
      <c r="G2058" s="106">
        <f>INDEX(SETORES!$B:$B,MATCH(A2058,SETORES!$A:$A,0))</f>
        <v/>
      </c>
      <c r="H2058" s="106" t="inlineStr">
        <is>
          <t>Agosto/2026</t>
        </is>
      </c>
    </row>
    <row r="2059" hidden="1" ht="14.25" customHeight="1" s="64">
      <c r="A2059" s="106" t="inlineStr">
        <is>
          <t>Segurança do Trabalho</t>
        </is>
      </c>
      <c r="B2059" s="106" t="inlineStr">
        <is>
          <t>Custo Fixo</t>
        </is>
      </c>
      <c r="C2059" s="106" t="inlineStr">
        <is>
          <t>Stargrid</t>
        </is>
      </c>
      <c r="D2059" s="107" t="n">
        <v>8</v>
      </c>
      <c r="E2059" s="108" t="n">
        <v>1.87</v>
      </c>
      <c r="F2059" s="109">
        <f>IFERROR(D2059*E2059,0)</f>
        <v/>
      </c>
      <c r="G2059" s="106">
        <f>INDEX(SETORES!$B:$B,MATCH(A2059,SETORES!$A:$A,0))</f>
        <v/>
      </c>
      <c r="H2059" s="106" t="inlineStr">
        <is>
          <t>Agosto/2026</t>
        </is>
      </c>
    </row>
    <row r="2060" hidden="1" ht="14.25" customHeight="1" s="64">
      <c r="A2060" s="106" t="inlineStr">
        <is>
          <t>Suporte Orbix</t>
        </is>
      </c>
      <c r="B2060" s="106" t="inlineStr">
        <is>
          <t>Custo Fixo</t>
        </is>
      </c>
      <c r="C2060" s="106" t="inlineStr">
        <is>
          <t>Material de escritório (suprimentos de informática)</t>
        </is>
      </c>
      <c r="D2060" s="107" t="n">
        <v>1</v>
      </c>
      <c r="E2060" s="108" t="n">
        <v>2.3</v>
      </c>
      <c r="F2060" s="109">
        <f>IFERROR(D2060*E2060,0)</f>
        <v/>
      </c>
      <c r="G2060" s="106">
        <f>INDEX(SETORES!$B:$B,MATCH(A2060,SETORES!$A:$A,0))</f>
        <v/>
      </c>
      <c r="H2060" s="106" t="inlineStr">
        <is>
          <t>Agosto/2026</t>
        </is>
      </c>
    </row>
    <row r="2061" hidden="1" ht="14.25" customHeight="1" s="64">
      <c r="A2061" s="106" t="inlineStr">
        <is>
          <t>Suporte Orbix</t>
        </is>
      </c>
      <c r="B2061" s="106" t="inlineStr">
        <is>
          <t>Custo Fixo</t>
        </is>
      </c>
      <c r="C2061" s="106" t="inlineStr">
        <is>
          <t>Material de uso coletivo (copa/limpeza)</t>
        </is>
      </c>
      <c r="D2061" s="107" t="n">
        <v>1</v>
      </c>
      <c r="E2061" s="108" t="n">
        <v>404.44</v>
      </c>
      <c r="F2061" s="109">
        <f>IFERROR(D2061*E2061,0)</f>
        <v/>
      </c>
      <c r="G2061" s="106">
        <f>INDEX(SETORES!$B:$B,MATCH(A2061,SETORES!$A:$A,0))</f>
        <v/>
      </c>
      <c r="H2061" s="106" t="inlineStr">
        <is>
          <t>Agosto/2026</t>
        </is>
      </c>
    </row>
    <row r="2062" hidden="1" ht="14.25" customHeight="1" s="64">
      <c r="A2062" s="106" t="inlineStr">
        <is>
          <t>Suporte Orbix</t>
        </is>
      </c>
      <c r="B2062" s="106" t="inlineStr">
        <is>
          <t>Custo Fixo</t>
        </is>
      </c>
      <c r="C2062" s="106" t="inlineStr">
        <is>
          <t>Energia elétrica (rateio)</t>
        </is>
      </c>
      <c r="D2062" s="107" t="n"/>
      <c r="E2062" s="108" t="n"/>
      <c r="F2062" s="109">
        <f>IFERROR(D2062*E2062,0)</f>
        <v/>
      </c>
      <c r="G2062" s="106">
        <f>INDEX(SETORES!$B:$B,MATCH(A2062,SETORES!$A:$A,0))</f>
        <v/>
      </c>
      <c r="H2062" s="106" t="inlineStr">
        <is>
          <t>Agosto/2026</t>
        </is>
      </c>
    </row>
    <row r="2063" hidden="1" ht="14.25" customHeight="1" s="64">
      <c r="A2063" s="106" t="inlineStr">
        <is>
          <t>Suporte Orbix</t>
        </is>
      </c>
      <c r="B2063" s="106" t="inlineStr">
        <is>
          <t>Custo Fixo</t>
        </is>
      </c>
      <c r="C2063" s="106" t="inlineStr">
        <is>
          <t>Água e esgoto (rateio)</t>
        </is>
      </c>
      <c r="D2063" s="107" t="n"/>
      <c r="E2063" s="108" t="n"/>
      <c r="F2063" s="109">
        <f>IFERROR(D2063*E2063,0)</f>
        <v/>
      </c>
      <c r="G2063" s="106">
        <f>INDEX(SETORES!$B:$B,MATCH(A2063,SETORES!$A:$A,0))</f>
        <v/>
      </c>
      <c r="H2063" s="106" t="inlineStr">
        <is>
          <t>Agosto/2026</t>
        </is>
      </c>
    </row>
    <row r="2064" hidden="1" ht="14.25" customHeight="1" s="64">
      <c r="A2064" s="106" t="inlineStr">
        <is>
          <t>Suporte Orbix</t>
        </is>
      </c>
      <c r="B2064" s="106" t="inlineStr">
        <is>
          <t>Custo Fixo</t>
        </is>
      </c>
      <c r="C2064" s="106" t="inlineStr">
        <is>
          <t>Telefonia móvel corporativa</t>
        </is>
      </c>
      <c r="D2064" s="107" t="n"/>
      <c r="E2064" s="108" t="n"/>
      <c r="F2064" s="109">
        <f>IFERROR(D2064*E2064,0)</f>
        <v/>
      </c>
      <c r="G2064" s="106">
        <f>INDEX(SETORES!$B:$B,MATCH(A2064,SETORES!$A:$A,0))</f>
        <v/>
      </c>
      <c r="H2064" s="106" t="inlineStr">
        <is>
          <t>Agosto/2026</t>
        </is>
      </c>
    </row>
    <row r="2065" hidden="1" ht="14.25" customHeight="1" s="64">
      <c r="A2065" s="106" t="inlineStr">
        <is>
          <t>Suporte Orbix</t>
        </is>
      </c>
      <c r="B2065" s="106" t="inlineStr">
        <is>
          <t>Custo Fixo</t>
        </is>
      </c>
      <c r="C2065" s="106" t="inlineStr">
        <is>
          <t>Folha de pagamento (salários)</t>
        </is>
      </c>
      <c r="D2065" s="107" t="n">
        <v>1</v>
      </c>
      <c r="E2065" s="108" t="n">
        <v>30736.23</v>
      </c>
      <c r="F2065" s="109">
        <f>IFERROR(D2065*E2065,0)</f>
        <v/>
      </c>
      <c r="G2065" s="106">
        <f>INDEX(SETORES!$B:$B,MATCH(A2065,SETORES!$A:$A,0))</f>
        <v/>
      </c>
      <c r="H2065" s="106" t="inlineStr">
        <is>
          <t>Agosto/2026</t>
        </is>
      </c>
    </row>
    <row r="2066" hidden="1" ht="14.25" customHeight="1" s="64">
      <c r="A2066" s="106" t="inlineStr">
        <is>
          <t>Suporte Orbix</t>
        </is>
      </c>
      <c r="B2066" s="106" t="inlineStr">
        <is>
          <t>Custo Fixo</t>
        </is>
      </c>
      <c r="C2066" s="106" t="inlineStr">
        <is>
          <t>Licença de e-mail corporativo</t>
        </is>
      </c>
      <c r="D2066" s="107" t="n">
        <v>8</v>
      </c>
      <c r="E2066" s="108" t="n">
        <v>50</v>
      </c>
      <c r="F2066" s="109">
        <f>IFERROR(D2066*E2066,0)</f>
        <v/>
      </c>
      <c r="G2066" s="106">
        <f>INDEX(SETORES!$B:$B,MATCH(A2066,SETORES!$A:$A,0))</f>
        <v/>
      </c>
      <c r="H2066" s="106" t="inlineStr">
        <is>
          <t>Agosto/2026</t>
        </is>
      </c>
    </row>
    <row r="2067" hidden="1" ht="14.25" customHeight="1" s="64">
      <c r="A2067" s="106" t="inlineStr">
        <is>
          <t>Suporte Orbix</t>
        </is>
      </c>
      <c r="B2067" s="106" t="inlineStr">
        <is>
          <t>Custo Fixo</t>
        </is>
      </c>
      <c r="C2067" s="106" t="inlineStr">
        <is>
          <t>Software MATRIX (rateio equipe Relacionamento)</t>
        </is>
      </c>
      <c r="D2067" s="107" t="n"/>
      <c r="E2067" s="108" t="n"/>
      <c r="F2067" s="109">
        <f>IFERROR(D2067*E2067,0)</f>
        <v/>
      </c>
      <c r="G2067" s="106">
        <f>INDEX(SETORES!$B:$B,MATCH(A2067,SETORES!$A:$A,0))</f>
        <v/>
      </c>
      <c r="H2067" s="106" t="inlineStr">
        <is>
          <t>Agosto/2026</t>
        </is>
      </c>
    </row>
    <row r="2068" hidden="1" ht="14.25" customHeight="1" s="64">
      <c r="A2068" s="106" t="inlineStr">
        <is>
          <t>Suporte Orbix</t>
        </is>
      </c>
      <c r="B2068" s="106" t="inlineStr">
        <is>
          <t>Custo Fixo</t>
        </is>
      </c>
      <c r="C2068" s="106" t="inlineStr">
        <is>
          <t>Impressora (rateio equipe Relacionamento)</t>
        </is>
      </c>
      <c r="D2068" s="107" t="n"/>
      <c r="E2068" s="108" t="n"/>
      <c r="F2068" s="109">
        <f>IFERROR(D2068*E2068,0)</f>
        <v/>
      </c>
      <c r="G2068" s="106">
        <f>INDEX(SETORES!$B:$B,MATCH(A2068,SETORES!$A:$A,0))</f>
        <v/>
      </c>
      <c r="H2068" s="106" t="inlineStr">
        <is>
          <t>Agosto/2026</t>
        </is>
      </c>
    </row>
    <row r="2069" hidden="1" ht="14.25" customHeight="1" s="64">
      <c r="A2069" s="106" t="inlineStr">
        <is>
          <t>Suporte Orbix</t>
        </is>
      </c>
      <c r="B2069" s="106" t="inlineStr">
        <is>
          <t>Custo Fixo</t>
        </is>
      </c>
      <c r="C2069" s="106" t="inlineStr">
        <is>
          <t>Gympass</t>
        </is>
      </c>
      <c r="D2069" s="107" t="n"/>
      <c r="E2069" s="108" t="n"/>
      <c r="F2069" s="109">
        <f>IFERROR(D2069*E2069,0)</f>
        <v/>
      </c>
      <c r="G2069" s="106">
        <f>INDEX(SETORES!$B:$B,MATCH(A2069,SETORES!$A:$A,0))</f>
        <v/>
      </c>
      <c r="H2069" s="106" t="inlineStr">
        <is>
          <t>Agosto/2026</t>
        </is>
      </c>
    </row>
    <row r="2070" hidden="1" ht="14.25" customHeight="1" s="64">
      <c r="A2070" s="106" t="inlineStr">
        <is>
          <t>Suporte Orbix</t>
        </is>
      </c>
      <c r="B2070" s="106" t="inlineStr">
        <is>
          <t>Custo Fixo</t>
        </is>
      </c>
      <c r="C2070" s="106" t="inlineStr">
        <is>
          <t>Stargrid</t>
        </is>
      </c>
      <c r="D2070" s="107" t="n">
        <v>8</v>
      </c>
      <c r="E2070" s="108" t="n">
        <v>1.87</v>
      </c>
      <c r="F2070" s="109">
        <f>IFERROR(D2070*E2070,0)</f>
        <v/>
      </c>
      <c r="G2070" s="106">
        <f>INDEX(SETORES!$B:$B,MATCH(A2070,SETORES!$A:$A,0))</f>
        <v/>
      </c>
      <c r="H2070" s="106" t="inlineStr">
        <is>
          <t>Agosto/2026</t>
        </is>
      </c>
    </row>
    <row r="2071" hidden="1" ht="14.25" customHeight="1" s="64">
      <c r="A2071" s="106" t="inlineStr">
        <is>
          <t>Suporte da Central</t>
        </is>
      </c>
      <c r="B2071" s="106" t="inlineStr">
        <is>
          <t>Custo Fixo</t>
        </is>
      </c>
      <c r="C2071" s="106" t="inlineStr">
        <is>
          <t>Material de escritório (suprimentos de informática)</t>
        </is>
      </c>
      <c r="D2071" s="107" t="n">
        <v>1</v>
      </c>
      <c r="E2071" s="108" t="n">
        <v>9.5</v>
      </c>
      <c r="F2071" s="109">
        <f>IFERROR(D2071*E2071,0)</f>
        <v/>
      </c>
      <c r="G2071" s="106">
        <f>INDEX(SETORES!$B:$B,MATCH(A2071,SETORES!$A:$A,0))</f>
        <v/>
      </c>
      <c r="H2071" s="106" t="inlineStr">
        <is>
          <t>Agosto/2026</t>
        </is>
      </c>
    </row>
    <row r="2072" hidden="1" ht="14.25" customHeight="1" s="64">
      <c r="A2072" s="106" t="inlineStr">
        <is>
          <t>Suporte da Central</t>
        </is>
      </c>
      <c r="B2072" s="106" t="inlineStr">
        <is>
          <t>Custo Fixo</t>
        </is>
      </c>
      <c r="C2072" s="106" t="inlineStr">
        <is>
          <t>Material de uso coletivo (copa/limpeza)</t>
        </is>
      </c>
      <c r="D2072" s="107" t="n">
        <v>1</v>
      </c>
      <c r="E2072" s="108" t="n">
        <v>1668.3</v>
      </c>
      <c r="F2072" s="109">
        <f>IFERROR(D2072*E2072,0)</f>
        <v/>
      </c>
      <c r="G2072" s="106">
        <f>INDEX(SETORES!$B:$B,MATCH(A2072,SETORES!$A:$A,0))</f>
        <v/>
      </c>
      <c r="H2072" s="106" t="inlineStr">
        <is>
          <t>Agosto/2026</t>
        </is>
      </c>
    </row>
    <row r="2073" hidden="1" ht="14.25" customHeight="1" s="64">
      <c r="A2073" s="106" t="inlineStr">
        <is>
          <t>Suporte da Central</t>
        </is>
      </c>
      <c r="B2073" s="106" t="inlineStr">
        <is>
          <t>Custo Fixo</t>
        </is>
      </c>
      <c r="C2073" s="106" t="inlineStr">
        <is>
          <t>Energia elétrica (rateio)</t>
        </is>
      </c>
      <c r="D2073" s="107" t="n"/>
      <c r="E2073" s="108" t="n"/>
      <c r="F2073" s="109">
        <f>IFERROR(D2073*E2073,0)</f>
        <v/>
      </c>
      <c r="G2073" s="106">
        <f>INDEX(SETORES!$B:$B,MATCH(A2073,SETORES!$A:$A,0))</f>
        <v/>
      </c>
      <c r="H2073" s="106" t="inlineStr">
        <is>
          <t>Agosto/2026</t>
        </is>
      </c>
    </row>
    <row r="2074" hidden="1" ht="14.25" customHeight="1" s="64">
      <c r="A2074" s="106" t="inlineStr">
        <is>
          <t>Suporte da Central</t>
        </is>
      </c>
      <c r="B2074" s="106" t="inlineStr">
        <is>
          <t>Custo Fixo</t>
        </is>
      </c>
      <c r="C2074" s="106" t="inlineStr">
        <is>
          <t>Água e esgoto (rateio)</t>
        </is>
      </c>
      <c r="D2074" s="107" t="n"/>
      <c r="E2074" s="108" t="n"/>
      <c r="F2074" s="109">
        <f>IFERROR(D2074*E2074,0)</f>
        <v/>
      </c>
      <c r="G2074" s="106">
        <f>INDEX(SETORES!$B:$B,MATCH(A2074,SETORES!$A:$A,0))</f>
        <v/>
      </c>
      <c r="H2074" s="106" t="inlineStr">
        <is>
          <t>Agosto/2026</t>
        </is>
      </c>
    </row>
    <row r="2075" hidden="1" ht="14.25" customHeight="1" s="64">
      <c r="A2075" s="106" t="inlineStr">
        <is>
          <t>Suporte da Central</t>
        </is>
      </c>
      <c r="B2075" s="106" t="inlineStr">
        <is>
          <t>Custo Fixo</t>
        </is>
      </c>
      <c r="C2075" s="106" t="inlineStr">
        <is>
          <t>Telefonia móvel corporativa</t>
        </is>
      </c>
      <c r="D2075" s="107" t="n"/>
      <c r="E2075" s="108" t="n"/>
      <c r="F2075" s="109">
        <f>IFERROR(D2075*E2075,0)</f>
        <v/>
      </c>
      <c r="G2075" s="106">
        <f>INDEX(SETORES!$B:$B,MATCH(A2075,SETORES!$A:$A,0))</f>
        <v/>
      </c>
      <c r="H2075" s="106" t="inlineStr">
        <is>
          <t>Agosto/2026</t>
        </is>
      </c>
    </row>
    <row r="2076" hidden="1" ht="14.25" customHeight="1" s="64">
      <c r="A2076" s="106" t="inlineStr">
        <is>
          <t>Suporte da Central</t>
        </is>
      </c>
      <c r="B2076" s="106" t="inlineStr">
        <is>
          <t>Custo Fixo</t>
        </is>
      </c>
      <c r="C2076" s="106" t="inlineStr">
        <is>
          <t>Folha de pagamento (salários)</t>
        </is>
      </c>
      <c r="D2076" s="107" t="n">
        <v>1</v>
      </c>
      <c r="E2076" s="108" t="n">
        <v>106886.23</v>
      </c>
      <c r="F2076" s="109">
        <f>IFERROR(D2076*E2076,0)</f>
        <v/>
      </c>
      <c r="G2076" s="106">
        <f>INDEX(SETORES!$B:$B,MATCH(A2076,SETORES!$A:$A,0))</f>
        <v/>
      </c>
      <c r="H2076" s="106" t="inlineStr">
        <is>
          <t>Agosto/2026</t>
        </is>
      </c>
    </row>
    <row r="2077" hidden="1" ht="14.25" customHeight="1" s="64">
      <c r="A2077" s="106" t="inlineStr">
        <is>
          <t>Suporte da Central</t>
        </is>
      </c>
      <c r="B2077" s="106" t="inlineStr">
        <is>
          <t>Custo Fixo</t>
        </is>
      </c>
      <c r="C2077" s="106" t="inlineStr">
        <is>
          <t>Licença de e-mail corporativo</t>
        </is>
      </c>
      <c r="D2077" s="107" t="n">
        <v>33</v>
      </c>
      <c r="E2077" s="108" t="n">
        <v>50</v>
      </c>
      <c r="F2077" s="109">
        <f>IFERROR(D2077*E2077,0)</f>
        <v/>
      </c>
      <c r="G2077" s="106">
        <f>INDEX(SETORES!$B:$B,MATCH(A2077,SETORES!$A:$A,0))</f>
        <v/>
      </c>
      <c r="H2077" s="106" t="inlineStr">
        <is>
          <t>Agosto/2026</t>
        </is>
      </c>
    </row>
    <row r="2078" hidden="1" ht="14.25" customHeight="1" s="64">
      <c r="A2078" s="106" t="inlineStr">
        <is>
          <t>Suporte da Central</t>
        </is>
      </c>
      <c r="B2078" s="106" t="inlineStr">
        <is>
          <t>Custo Fixo</t>
        </is>
      </c>
      <c r="C2078" s="106" t="inlineStr">
        <is>
          <t>Software MATRIX (rateio equipe Relacionamento)</t>
        </is>
      </c>
      <c r="D2078" s="107" t="n"/>
      <c r="E2078" s="108" t="n"/>
      <c r="F2078" s="109">
        <f>IFERROR(D2078*E2078,0)</f>
        <v/>
      </c>
      <c r="G2078" s="106">
        <f>INDEX(SETORES!$B:$B,MATCH(A2078,SETORES!$A:$A,0))</f>
        <v/>
      </c>
      <c r="H2078" s="106" t="inlineStr">
        <is>
          <t>Agosto/2026</t>
        </is>
      </c>
    </row>
    <row r="2079" hidden="1" ht="14.25" customHeight="1" s="64">
      <c r="A2079" s="106" t="inlineStr">
        <is>
          <t>Suporte da Central</t>
        </is>
      </c>
      <c r="B2079" s="106" t="inlineStr">
        <is>
          <t>Custo Fixo</t>
        </is>
      </c>
      <c r="C2079" s="106" t="inlineStr">
        <is>
          <t>Impressora (rateio equipe Relacionamento)</t>
        </is>
      </c>
      <c r="D2079" s="107" t="n"/>
      <c r="E2079" s="108" t="n"/>
      <c r="F2079" s="109">
        <f>IFERROR(D2079*E2079,0)</f>
        <v/>
      </c>
      <c r="G2079" s="106">
        <f>INDEX(SETORES!$B:$B,MATCH(A2079,SETORES!$A:$A,0))</f>
        <v/>
      </c>
      <c r="H2079" s="106" t="inlineStr">
        <is>
          <t>Agosto/2026</t>
        </is>
      </c>
    </row>
    <row r="2080" hidden="1" ht="14.25" customHeight="1" s="64">
      <c r="A2080" s="106" t="inlineStr">
        <is>
          <t>Suporte da Central</t>
        </is>
      </c>
      <c r="B2080" s="106" t="inlineStr">
        <is>
          <t>Custo Fixo</t>
        </is>
      </c>
      <c r="C2080" s="106" t="inlineStr">
        <is>
          <t>Gympass</t>
        </is>
      </c>
      <c r="D2080" s="107" t="n"/>
      <c r="E2080" s="108" t="n"/>
      <c r="F2080" s="109">
        <f>IFERROR(D2080*E2080,0)</f>
        <v/>
      </c>
      <c r="G2080" s="106">
        <f>INDEX(SETORES!$B:$B,MATCH(A2080,SETORES!$A:$A,0))</f>
        <v/>
      </c>
      <c r="H2080" s="106" t="inlineStr">
        <is>
          <t>Agosto/2026</t>
        </is>
      </c>
    </row>
    <row r="2081" hidden="1" ht="14.25" customHeight="1" s="64">
      <c r="A2081" s="106" t="inlineStr">
        <is>
          <t>Suporte da Central</t>
        </is>
      </c>
      <c r="B2081" s="106" t="inlineStr">
        <is>
          <t>Custo Fixo</t>
        </is>
      </c>
      <c r="C2081" s="106" t="inlineStr">
        <is>
          <t>Stargrid</t>
        </is>
      </c>
      <c r="D2081" s="107" t="n">
        <v>33</v>
      </c>
      <c r="E2081" s="108" t="n">
        <v>1.87</v>
      </c>
      <c r="F2081" s="109">
        <f>IFERROR(D2081*E2081,0)</f>
        <v/>
      </c>
      <c r="G2081" s="106">
        <f>INDEX(SETORES!$B:$B,MATCH(A2081,SETORES!$A:$A,0))</f>
        <v/>
      </c>
      <c r="H2081" s="106" t="inlineStr">
        <is>
          <t>Agosto/2026</t>
        </is>
      </c>
    </row>
    <row r="2082" hidden="1" ht="14.25" customHeight="1" s="64">
      <c r="A2082" s="106" t="inlineStr">
        <is>
          <t>Televendas</t>
        </is>
      </c>
      <c r="B2082" s="106" t="inlineStr">
        <is>
          <t>Custo Fixo</t>
        </is>
      </c>
      <c r="C2082" s="106" t="inlineStr">
        <is>
          <t>Material de escritório (suprimentos de informática)</t>
        </is>
      </c>
      <c r="D2082" s="107" t="n">
        <v>1</v>
      </c>
      <c r="E2082" s="108" t="n">
        <v>3.17</v>
      </c>
      <c r="F2082" s="109">
        <f>IFERROR(D2082*E2082,0)</f>
        <v/>
      </c>
      <c r="G2082" s="106">
        <f>INDEX(SETORES!$B:$B,MATCH(A2082,SETORES!$A:$A,0))</f>
        <v/>
      </c>
      <c r="H2082" s="106" t="inlineStr">
        <is>
          <t>Agosto/2026</t>
        </is>
      </c>
    </row>
    <row r="2083" hidden="1" ht="14.25" customHeight="1" s="64">
      <c r="A2083" s="106" t="inlineStr">
        <is>
          <t>Televendas</t>
        </is>
      </c>
      <c r="B2083" s="106" t="inlineStr">
        <is>
          <t>Custo Fixo</t>
        </is>
      </c>
      <c r="C2083" s="106" t="inlineStr">
        <is>
          <t>Material de uso coletivo (copa/limpeza)</t>
        </is>
      </c>
      <c r="D2083" s="107" t="n">
        <v>1</v>
      </c>
      <c r="E2083" s="108" t="n">
        <v>556.1</v>
      </c>
      <c r="F2083" s="109">
        <f>IFERROR(D2083*E2083,0)</f>
        <v/>
      </c>
      <c r="G2083" s="106">
        <f>INDEX(SETORES!$B:$B,MATCH(A2083,SETORES!$A:$A,0))</f>
        <v/>
      </c>
      <c r="H2083" s="106" t="inlineStr">
        <is>
          <t>Agosto/2026</t>
        </is>
      </c>
    </row>
    <row r="2084" hidden="1" ht="14.25" customHeight="1" s="64">
      <c r="A2084" s="106" t="inlineStr">
        <is>
          <t>Televendas</t>
        </is>
      </c>
      <c r="B2084" s="106" t="inlineStr">
        <is>
          <t>Custo Fixo</t>
        </is>
      </c>
      <c r="C2084" s="106" t="inlineStr">
        <is>
          <t>Energia elétrica (rateio)</t>
        </is>
      </c>
      <c r="D2084" s="107" t="n"/>
      <c r="E2084" s="108" t="n"/>
      <c r="F2084" s="109">
        <f>IFERROR(D2084*E2084,0)</f>
        <v/>
      </c>
      <c r="G2084" s="106">
        <f>INDEX(SETORES!$B:$B,MATCH(A2084,SETORES!$A:$A,0))</f>
        <v/>
      </c>
      <c r="H2084" s="106" t="inlineStr">
        <is>
          <t>Agosto/2026</t>
        </is>
      </c>
    </row>
    <row r="2085" hidden="1" ht="14.25" customHeight="1" s="64">
      <c r="A2085" s="106" t="inlineStr">
        <is>
          <t>Televendas</t>
        </is>
      </c>
      <c r="B2085" s="106" t="inlineStr">
        <is>
          <t>Custo Fixo</t>
        </is>
      </c>
      <c r="C2085" s="106" t="inlineStr">
        <is>
          <t>Água e esgoto (rateio)</t>
        </is>
      </c>
      <c r="D2085" s="107" t="n"/>
      <c r="E2085" s="108" t="n"/>
      <c r="F2085" s="109">
        <f>IFERROR(D2085*E2085,0)</f>
        <v/>
      </c>
      <c r="G2085" s="106">
        <f>INDEX(SETORES!$B:$B,MATCH(A2085,SETORES!$A:$A,0))</f>
        <v/>
      </c>
      <c r="H2085" s="106" t="inlineStr">
        <is>
          <t>Agosto/2026</t>
        </is>
      </c>
    </row>
    <row r="2086" hidden="1" ht="14.25" customHeight="1" s="64">
      <c r="A2086" s="106" t="inlineStr">
        <is>
          <t>Televendas</t>
        </is>
      </c>
      <c r="B2086" s="106" t="inlineStr">
        <is>
          <t>Custo Fixo</t>
        </is>
      </c>
      <c r="C2086" s="106" t="inlineStr">
        <is>
          <t>Telefonia móvel corporativa</t>
        </is>
      </c>
      <c r="D2086" s="107" t="n"/>
      <c r="E2086" s="108" t="n"/>
      <c r="F2086" s="109">
        <f>IFERROR(D2086*E2086,0)</f>
        <v/>
      </c>
      <c r="G2086" s="106">
        <f>INDEX(SETORES!$B:$B,MATCH(A2086,SETORES!$A:$A,0))</f>
        <v/>
      </c>
      <c r="H2086" s="106" t="inlineStr">
        <is>
          <t>Agosto/2026</t>
        </is>
      </c>
    </row>
    <row r="2087" hidden="1" ht="14.25" customHeight="1" s="64">
      <c r="A2087" s="106" t="inlineStr">
        <is>
          <t>Televendas</t>
        </is>
      </c>
      <c r="B2087" s="106" t="inlineStr">
        <is>
          <t>Custo Fixo</t>
        </is>
      </c>
      <c r="C2087" s="106" t="inlineStr">
        <is>
          <t>Folha de pagamento (salários)</t>
        </is>
      </c>
      <c r="D2087" s="107" t="n">
        <v>1</v>
      </c>
      <c r="E2087" s="108" t="n">
        <v>128483.01</v>
      </c>
      <c r="F2087" s="109">
        <f>IFERROR(D2087*E2087,0)</f>
        <v/>
      </c>
      <c r="G2087" s="106">
        <f>INDEX(SETORES!$B:$B,MATCH(A2087,SETORES!$A:$A,0))</f>
        <v/>
      </c>
      <c r="H2087" s="106" t="inlineStr">
        <is>
          <t>Agosto/2026</t>
        </is>
      </c>
    </row>
    <row r="2088" hidden="1" ht="14.25" customHeight="1" s="64">
      <c r="A2088" s="106" t="inlineStr">
        <is>
          <t>Televendas</t>
        </is>
      </c>
      <c r="B2088" s="106" t="inlineStr">
        <is>
          <t>Custo Fixo</t>
        </is>
      </c>
      <c r="C2088" s="106" t="inlineStr">
        <is>
          <t>Licença de e-mail corporativo</t>
        </is>
      </c>
      <c r="D2088" s="107" t="n">
        <v>11</v>
      </c>
      <c r="E2088" s="108" t="n">
        <v>50</v>
      </c>
      <c r="F2088" s="109">
        <f>IFERROR(D2088*E2088,0)</f>
        <v/>
      </c>
      <c r="G2088" s="106">
        <f>INDEX(SETORES!$B:$B,MATCH(A2088,SETORES!$A:$A,0))</f>
        <v/>
      </c>
      <c r="H2088" s="106" t="inlineStr">
        <is>
          <t>Agosto/2026</t>
        </is>
      </c>
    </row>
    <row r="2089" hidden="1" ht="14.25" customHeight="1" s="64">
      <c r="A2089" s="106" t="inlineStr">
        <is>
          <t>Televendas</t>
        </is>
      </c>
      <c r="B2089" s="106" t="inlineStr">
        <is>
          <t>Custo Fixo</t>
        </is>
      </c>
      <c r="C2089" s="106" t="inlineStr">
        <is>
          <t>Gympass</t>
        </is>
      </c>
      <c r="D2089" s="107" t="n"/>
      <c r="E2089" s="108" t="n"/>
      <c r="F2089" s="109">
        <f>IFERROR(D2089*E2089,0)</f>
        <v/>
      </c>
      <c r="G2089" s="106">
        <f>INDEX(SETORES!$B:$B,MATCH(A2089,SETORES!$A:$A,0))</f>
        <v/>
      </c>
      <c r="H2089" s="106" t="inlineStr">
        <is>
          <t>Agosto/2026</t>
        </is>
      </c>
    </row>
    <row r="2090" hidden="1" ht="14.25" customHeight="1" s="64">
      <c r="A2090" s="106" t="inlineStr">
        <is>
          <t>Televendas</t>
        </is>
      </c>
      <c r="B2090" s="106" t="inlineStr">
        <is>
          <t>Custo Fixo</t>
        </is>
      </c>
      <c r="C2090" s="106" t="inlineStr">
        <is>
          <t>Stargrid</t>
        </is>
      </c>
      <c r="D2090" s="107" t="n">
        <v>11</v>
      </c>
      <c r="E2090" s="108" t="n">
        <v>1.87</v>
      </c>
      <c r="F2090" s="109">
        <f>IFERROR(D2090*E2090,0)</f>
        <v/>
      </c>
      <c r="G2090" s="106">
        <f>INDEX(SETORES!$B:$B,MATCH(A2090,SETORES!$A:$A,0))</f>
        <v/>
      </c>
      <c r="H2090" s="106" t="inlineStr">
        <is>
          <t>Agosto/2026</t>
        </is>
      </c>
    </row>
    <row r="2091" ht="14.25" customHeight="1" s="64">
      <c r="A2091" s="106" t="inlineStr">
        <is>
          <t>Administrativo</t>
        </is>
      </c>
      <c r="B2091" s="106" t="inlineStr">
        <is>
          <t>Custo Fixo</t>
        </is>
      </c>
      <c r="C2091" s="106" t="inlineStr">
        <is>
          <t>Licença Google Workspace</t>
        </is>
      </c>
      <c r="D2091" s="107" t="n">
        <v>1</v>
      </c>
      <c r="E2091" s="108" t="n">
        <v>21454</v>
      </c>
      <c r="F2091" s="109">
        <f>IFERROR(D2091*E2091,0)</f>
        <v/>
      </c>
      <c r="G2091" s="106">
        <f>INDEX(SETORES!$B:$B,MATCH(A2091,SETORES!$A:$A,0))</f>
        <v/>
      </c>
      <c r="H2091" s="106" t="inlineStr">
        <is>
          <t>Agosto/2026</t>
        </is>
      </c>
    </row>
    <row r="2092" hidden="1" ht="14.25" customHeight="1" s="64">
      <c r="A2092" s="106" t="inlineStr">
        <is>
          <t>Gestão de Atendimento</t>
        </is>
      </c>
      <c r="B2092" s="106" t="inlineStr">
        <is>
          <t>Custo Fixo</t>
        </is>
      </c>
      <c r="C2092" s="106" t="inlineStr">
        <is>
          <t>Despesas com RH</t>
        </is>
      </c>
      <c r="D2092" s="107" t="n">
        <v>17</v>
      </c>
      <c r="E2092" s="108" t="n">
        <v>32.55</v>
      </c>
      <c r="F2092" s="109">
        <f>IFERROR(D2092*E2092,0)</f>
        <v/>
      </c>
      <c r="G2092" s="106">
        <f>INDEX(SETORES!$B:$B,MATCH(A2092,SETORES!$A:$A,0))</f>
        <v/>
      </c>
      <c r="H2092" s="106" t="inlineStr">
        <is>
          <t>Agosto/2026</t>
        </is>
      </c>
    </row>
    <row r="2093" hidden="1" ht="14.25" customHeight="1" s="64">
      <c r="A2093" s="106" t="inlineStr">
        <is>
          <t>Gestão de Atendimento</t>
        </is>
      </c>
      <c r="B2093" s="106" t="inlineStr">
        <is>
          <t>Custo Fixo</t>
        </is>
      </c>
      <c r="C2093" s="106" t="inlineStr">
        <is>
          <t>Despesas com DP</t>
        </is>
      </c>
      <c r="D2093" s="107" t="n">
        <v>17</v>
      </c>
      <c r="E2093" s="108" t="n">
        <v>52.09</v>
      </c>
      <c r="F2093" s="109">
        <f>IFERROR(D2093*E2093,0)</f>
        <v/>
      </c>
      <c r="G2093" s="106">
        <f>INDEX(SETORES!$B:$B,MATCH(A2093,SETORES!$A:$A,0))</f>
        <v/>
      </c>
      <c r="H2093" s="106" t="inlineStr">
        <is>
          <t>Agosto/2026</t>
        </is>
      </c>
    </row>
    <row r="2094" hidden="1" ht="14.25" customHeight="1" s="64">
      <c r="A2094" s="106" t="inlineStr">
        <is>
          <t>Gestão de Atendimento</t>
        </is>
      </c>
      <c r="B2094" s="106" t="inlineStr">
        <is>
          <t>Custo Fixo</t>
        </is>
      </c>
      <c r="C2094" s="106" t="inlineStr">
        <is>
          <t>Despesas com SST</t>
        </is>
      </c>
      <c r="D2094" s="107" t="n">
        <v>17</v>
      </c>
      <c r="E2094" s="108" t="n">
        <v>52.35</v>
      </c>
      <c r="F2094" s="109">
        <f>IFERROR(D2094*E2094,0)</f>
        <v/>
      </c>
      <c r="G2094" s="106">
        <f>INDEX(SETORES!$B:$B,MATCH(A2094,SETORES!$A:$A,0))</f>
        <v/>
      </c>
      <c r="H2094" s="106" t="inlineStr">
        <is>
          <t>Agosto/2026</t>
        </is>
      </c>
    </row>
    <row r="2095" hidden="1" ht="14.25" customHeight="1" s="64">
      <c r="A2095" s="106" t="inlineStr">
        <is>
          <t>CAC</t>
        </is>
      </c>
      <c r="B2095" s="106" t="inlineStr">
        <is>
          <t>Custo Fixo</t>
        </is>
      </c>
      <c r="C2095" s="106" t="inlineStr">
        <is>
          <t>Despesas com RH</t>
        </is>
      </c>
      <c r="D2095" s="107" t="n">
        <v>5</v>
      </c>
      <c r="E2095" s="108" t="n">
        <v>32.55</v>
      </c>
      <c r="F2095" s="109">
        <f>IFERROR(D2095*E2095,0)</f>
        <v/>
      </c>
      <c r="G2095" s="106">
        <f>INDEX(SETORES!$B:$B,MATCH(A2095,SETORES!$A:$A,0))</f>
        <v/>
      </c>
      <c r="H2095" s="106" t="inlineStr">
        <is>
          <t>Agosto/2026</t>
        </is>
      </c>
    </row>
    <row r="2096" hidden="1" ht="14.25" customHeight="1" s="64">
      <c r="A2096" s="106" t="inlineStr">
        <is>
          <t>CAC</t>
        </is>
      </c>
      <c r="B2096" s="106" t="inlineStr">
        <is>
          <t>Custo Fixo</t>
        </is>
      </c>
      <c r="C2096" s="106" t="inlineStr">
        <is>
          <t>Despesas com DP</t>
        </is>
      </c>
      <c r="D2096" s="107" t="n">
        <v>5</v>
      </c>
      <c r="E2096" s="108" t="n">
        <v>52.09</v>
      </c>
      <c r="F2096" s="109">
        <f>IFERROR(D2096*E2096,0)</f>
        <v/>
      </c>
      <c r="G2096" s="106">
        <f>INDEX(SETORES!$B:$B,MATCH(A2096,SETORES!$A:$A,0))</f>
        <v/>
      </c>
      <c r="H2096" s="106" t="inlineStr">
        <is>
          <t>Agosto/2026</t>
        </is>
      </c>
    </row>
    <row r="2097" hidden="1" ht="14.25" customHeight="1" s="64">
      <c r="A2097" s="106" t="inlineStr">
        <is>
          <t>CAC</t>
        </is>
      </c>
      <c r="B2097" s="106" t="inlineStr">
        <is>
          <t>Custo Fixo</t>
        </is>
      </c>
      <c r="C2097" s="106" t="inlineStr">
        <is>
          <t>Despesas com SST</t>
        </is>
      </c>
      <c r="D2097" s="107" t="n">
        <v>5</v>
      </c>
      <c r="E2097" s="108" t="n">
        <v>52.35</v>
      </c>
      <c r="F2097" s="109">
        <f>IFERROR(D2097*E2097,0)</f>
        <v/>
      </c>
      <c r="G2097" s="106">
        <f>INDEX(SETORES!$B:$B,MATCH(A2097,SETORES!$A:$A,0))</f>
        <v/>
      </c>
      <c r="H2097" s="106" t="inlineStr">
        <is>
          <t>Agosto/2026</t>
        </is>
      </c>
    </row>
    <row r="2098" hidden="1" ht="14.25" customHeight="1" s="64">
      <c r="A2098" s="106" t="inlineStr">
        <is>
          <t>Cobrança</t>
        </is>
      </c>
      <c r="B2098" s="106" t="inlineStr">
        <is>
          <t>Custo Fixo</t>
        </is>
      </c>
      <c r="C2098" s="106" t="inlineStr">
        <is>
          <t>Despesas com RH</t>
        </is>
      </c>
      <c r="D2098" s="107" t="n">
        <v>13</v>
      </c>
      <c r="E2098" s="108" t="n">
        <v>32.55</v>
      </c>
      <c r="F2098" s="109">
        <f>IFERROR(D2098*E2098,0)</f>
        <v/>
      </c>
      <c r="G2098" s="106">
        <f>INDEX(SETORES!$B:$B,MATCH(A2098,SETORES!$A:$A,0))</f>
        <v/>
      </c>
      <c r="H2098" s="106" t="inlineStr">
        <is>
          <t>Agosto/2026</t>
        </is>
      </c>
    </row>
    <row r="2099" hidden="1" ht="14.25" customHeight="1" s="64">
      <c r="A2099" s="106" t="inlineStr">
        <is>
          <t>Cobrança</t>
        </is>
      </c>
      <c r="B2099" s="106" t="inlineStr">
        <is>
          <t>Custo Fixo</t>
        </is>
      </c>
      <c r="C2099" s="106" t="inlineStr">
        <is>
          <t>Despesas com DP</t>
        </is>
      </c>
      <c r="D2099" s="107" t="n">
        <v>13</v>
      </c>
      <c r="E2099" s="108" t="n">
        <v>52.09</v>
      </c>
      <c r="F2099" s="109">
        <f>IFERROR(D2099*E2099,0)</f>
        <v/>
      </c>
      <c r="G2099" s="106">
        <f>INDEX(SETORES!$B:$B,MATCH(A2099,SETORES!$A:$A,0))</f>
        <v/>
      </c>
      <c r="H2099" s="106" t="inlineStr">
        <is>
          <t>Agosto/2026</t>
        </is>
      </c>
    </row>
    <row r="2100" hidden="1" ht="14.25" customHeight="1" s="64">
      <c r="A2100" s="106" t="inlineStr">
        <is>
          <t>Cobrança</t>
        </is>
      </c>
      <c r="B2100" s="106" t="inlineStr">
        <is>
          <t>Custo Fixo</t>
        </is>
      </c>
      <c r="C2100" s="106" t="inlineStr">
        <is>
          <t>Despesas com SST</t>
        </is>
      </c>
      <c r="D2100" s="107" t="n">
        <v>13</v>
      </c>
      <c r="E2100" s="108" t="n">
        <v>52.35</v>
      </c>
      <c r="F2100" s="109">
        <f>IFERROR(D2100*E2100,0)</f>
        <v/>
      </c>
      <c r="G2100" s="106">
        <f>INDEX(SETORES!$B:$B,MATCH(A2100,SETORES!$A:$A,0))</f>
        <v/>
      </c>
      <c r="H2100" s="106" t="inlineStr">
        <is>
          <t>Agosto/2026</t>
        </is>
      </c>
    </row>
    <row r="2101" hidden="1" ht="14.25" customHeight="1" s="64">
      <c r="A2101" s="106" t="inlineStr">
        <is>
          <t>Compras</t>
        </is>
      </c>
      <c r="B2101" s="106" t="inlineStr">
        <is>
          <t>Custo Fixo</t>
        </is>
      </c>
      <c r="C2101" s="106" t="inlineStr">
        <is>
          <t>Despesas com RH</t>
        </is>
      </c>
      <c r="D2101" s="107" t="n">
        <v>5</v>
      </c>
      <c r="E2101" s="108" t="n">
        <v>32.55</v>
      </c>
      <c r="F2101" s="109">
        <f>IFERROR(D2101*E2101,0)</f>
        <v/>
      </c>
      <c r="G2101" s="106">
        <f>INDEX(SETORES!$B:$B,MATCH(A2101,SETORES!$A:$A,0))</f>
        <v/>
      </c>
      <c r="H2101" s="106" t="inlineStr">
        <is>
          <t>Agosto/2026</t>
        </is>
      </c>
    </row>
    <row r="2102" hidden="1" ht="14.25" customHeight="1" s="64">
      <c r="A2102" s="106" t="inlineStr">
        <is>
          <t>Compras</t>
        </is>
      </c>
      <c r="B2102" s="106" t="inlineStr">
        <is>
          <t>Custo Fixo</t>
        </is>
      </c>
      <c r="C2102" s="106" t="inlineStr">
        <is>
          <t>Despesas com DP</t>
        </is>
      </c>
      <c r="D2102" s="107" t="n">
        <v>5</v>
      </c>
      <c r="E2102" s="108" t="n">
        <v>52.09</v>
      </c>
      <c r="F2102" s="109">
        <f>IFERROR(D2102*E2102,0)</f>
        <v/>
      </c>
      <c r="G2102" s="106">
        <f>INDEX(SETORES!$B:$B,MATCH(A2102,SETORES!$A:$A,0))</f>
        <v/>
      </c>
      <c r="H2102" s="106" t="inlineStr">
        <is>
          <t>Agosto/2026</t>
        </is>
      </c>
    </row>
    <row r="2103" hidden="1" ht="14.25" customHeight="1" s="64">
      <c r="A2103" s="106" t="inlineStr">
        <is>
          <t>Compras</t>
        </is>
      </c>
      <c r="B2103" s="106" t="inlineStr">
        <is>
          <t>Custo Fixo</t>
        </is>
      </c>
      <c r="C2103" s="106" t="inlineStr">
        <is>
          <t>Despesas com SST</t>
        </is>
      </c>
      <c r="D2103" s="107" t="n">
        <v>5</v>
      </c>
      <c r="E2103" s="108" t="n">
        <v>52.35</v>
      </c>
      <c r="F2103" s="109">
        <f>IFERROR(D2103*E2103,0)</f>
        <v/>
      </c>
      <c r="G2103" s="106">
        <f>INDEX(SETORES!$B:$B,MATCH(A2103,SETORES!$A:$A,0))</f>
        <v/>
      </c>
      <c r="H2103" s="106" t="inlineStr">
        <is>
          <t>Agosto/2026</t>
        </is>
      </c>
    </row>
    <row r="2104" hidden="1" ht="14.25" customHeight="1" s="64">
      <c r="A2104" s="106" t="inlineStr">
        <is>
          <t>Contabilidade</t>
        </is>
      </c>
      <c r="B2104" s="106" t="inlineStr">
        <is>
          <t>Custo Fixo</t>
        </is>
      </c>
      <c r="C2104" s="106" t="inlineStr">
        <is>
          <t>Despesas com RH</t>
        </is>
      </c>
      <c r="D2104" s="107" t="n">
        <v>6</v>
      </c>
      <c r="E2104" s="108" t="n">
        <v>32.55</v>
      </c>
      <c r="F2104" s="109">
        <f>IFERROR(D2104*E2104,0)</f>
        <v/>
      </c>
      <c r="G2104" s="106">
        <f>INDEX(SETORES!$B:$B,MATCH(A2104,SETORES!$A:$A,0))</f>
        <v/>
      </c>
      <c r="H2104" s="106" t="inlineStr">
        <is>
          <t>Agosto/2026</t>
        </is>
      </c>
    </row>
    <row r="2105" hidden="1" ht="14.25" customHeight="1" s="64">
      <c r="A2105" s="106" t="inlineStr">
        <is>
          <t>Contabilidade</t>
        </is>
      </c>
      <c r="B2105" s="106" t="inlineStr">
        <is>
          <t>Custo Fixo</t>
        </is>
      </c>
      <c r="C2105" s="106" t="inlineStr">
        <is>
          <t>Despesas com DP</t>
        </is>
      </c>
      <c r="D2105" s="107" t="n">
        <v>6</v>
      </c>
      <c r="E2105" s="108" t="n">
        <v>52.09</v>
      </c>
      <c r="F2105" s="109">
        <f>IFERROR(D2105*E2105,0)</f>
        <v/>
      </c>
      <c r="G2105" s="106">
        <f>INDEX(SETORES!$B:$B,MATCH(A2105,SETORES!$A:$A,0))</f>
        <v/>
      </c>
      <c r="H2105" s="106" t="inlineStr">
        <is>
          <t>Agosto/2026</t>
        </is>
      </c>
    </row>
    <row r="2106" hidden="1" ht="14.25" customHeight="1" s="64">
      <c r="A2106" s="106" t="inlineStr">
        <is>
          <t>Contabilidade</t>
        </is>
      </c>
      <c r="B2106" s="106" t="inlineStr">
        <is>
          <t>Custo Fixo</t>
        </is>
      </c>
      <c r="C2106" s="106" t="inlineStr">
        <is>
          <t>Despesas com SST</t>
        </is>
      </c>
      <c r="D2106" s="107" t="n">
        <v>6</v>
      </c>
      <c r="E2106" s="108" t="n">
        <v>52.35</v>
      </c>
      <c r="F2106" s="109">
        <f>IFERROR(D2106*E2106,0)</f>
        <v/>
      </c>
      <c r="G2106" s="106">
        <f>INDEX(SETORES!$B:$B,MATCH(A2106,SETORES!$A:$A,0))</f>
        <v/>
      </c>
      <c r="H2106" s="106" t="inlineStr">
        <is>
          <t>Agosto/2026</t>
        </is>
      </c>
    </row>
    <row r="2107" hidden="1" ht="14.25" customHeight="1" s="64">
      <c r="A2107" s="106" t="inlineStr">
        <is>
          <t>Controladoria</t>
        </is>
      </c>
      <c r="B2107" s="106" t="inlineStr">
        <is>
          <t>Custo Fixo</t>
        </is>
      </c>
      <c r="C2107" s="106" t="inlineStr">
        <is>
          <t>Despesas com RH</t>
        </is>
      </c>
      <c r="D2107" s="107" t="n">
        <v>1</v>
      </c>
      <c r="E2107" s="108" t="n">
        <v>32.55</v>
      </c>
      <c r="F2107" s="109">
        <f>IFERROR(D2107*E2107,0)</f>
        <v/>
      </c>
      <c r="G2107" s="106">
        <f>INDEX(SETORES!$B:$B,MATCH(A2107,SETORES!$A:$A,0))</f>
        <v/>
      </c>
      <c r="H2107" s="106" t="inlineStr">
        <is>
          <t>Agosto/2026</t>
        </is>
      </c>
    </row>
    <row r="2108" hidden="1" ht="14.25" customHeight="1" s="64">
      <c r="A2108" s="106" t="inlineStr">
        <is>
          <t>Controladoria</t>
        </is>
      </c>
      <c r="B2108" s="106" t="inlineStr">
        <is>
          <t>Custo Fixo</t>
        </is>
      </c>
      <c r="C2108" s="106" t="inlineStr">
        <is>
          <t>Despesas com DP</t>
        </is>
      </c>
      <c r="D2108" s="107" t="n">
        <v>1</v>
      </c>
      <c r="E2108" s="108" t="n">
        <v>52.09</v>
      </c>
      <c r="F2108" s="109">
        <f>IFERROR(D2108*E2108,0)</f>
        <v/>
      </c>
      <c r="G2108" s="106">
        <f>INDEX(SETORES!$B:$B,MATCH(A2108,SETORES!$A:$A,0))</f>
        <v/>
      </c>
      <c r="H2108" s="106" t="inlineStr">
        <is>
          <t>Agosto/2026</t>
        </is>
      </c>
    </row>
    <row r="2109" hidden="1" ht="14.25" customHeight="1" s="64">
      <c r="A2109" s="106" t="inlineStr">
        <is>
          <t>Controladoria</t>
        </is>
      </c>
      <c r="B2109" s="106" t="inlineStr">
        <is>
          <t>Custo Fixo</t>
        </is>
      </c>
      <c r="C2109" s="106" t="inlineStr">
        <is>
          <t>Despesas com SST</t>
        </is>
      </c>
      <c r="D2109" s="107" t="n">
        <v>1</v>
      </c>
      <c r="E2109" s="108" t="n">
        <v>52.35</v>
      </c>
      <c r="F2109" s="109">
        <f>IFERROR(D2109*E2109,0)</f>
        <v/>
      </c>
      <c r="G2109" s="106">
        <f>INDEX(SETORES!$B:$B,MATCH(A2109,SETORES!$A:$A,0))</f>
        <v/>
      </c>
      <c r="H2109" s="106" t="inlineStr">
        <is>
          <t>Agosto/2026</t>
        </is>
      </c>
    </row>
    <row r="2110" hidden="1" ht="14.25" customHeight="1" s="64">
      <c r="A2110" s="106" t="inlineStr">
        <is>
          <t>DP</t>
        </is>
      </c>
      <c r="B2110" s="106" t="inlineStr">
        <is>
          <t>Custo Fixo</t>
        </is>
      </c>
      <c r="C2110" s="106" t="inlineStr">
        <is>
          <t>Despesas com RH</t>
        </is>
      </c>
      <c r="D2110" s="107" t="n">
        <v>9</v>
      </c>
      <c r="E2110" s="108" t="n">
        <v>32.55</v>
      </c>
      <c r="F2110" s="109">
        <f>IFERROR(D2110*E2110,0)</f>
        <v/>
      </c>
      <c r="G2110" s="106">
        <f>INDEX(SETORES!$B:$B,MATCH(A2110,SETORES!$A:$A,0))</f>
        <v/>
      </c>
      <c r="H2110" s="106" t="inlineStr">
        <is>
          <t>Agosto/2026</t>
        </is>
      </c>
    </row>
    <row r="2111" hidden="1" ht="14.25" customHeight="1" s="64">
      <c r="A2111" s="106" t="inlineStr">
        <is>
          <t>DP</t>
        </is>
      </c>
      <c r="B2111" s="106" t="inlineStr">
        <is>
          <t>Custo Fixo</t>
        </is>
      </c>
      <c r="C2111" s="106" t="inlineStr">
        <is>
          <t>Despesas com DP</t>
        </is>
      </c>
      <c r="D2111" s="107" t="n">
        <v>9</v>
      </c>
      <c r="E2111" s="108" t="n">
        <v>52.09</v>
      </c>
      <c r="F2111" s="109">
        <f>IFERROR(D2111*E2111,0)</f>
        <v/>
      </c>
      <c r="G2111" s="106">
        <f>INDEX(SETORES!$B:$B,MATCH(A2111,SETORES!$A:$A,0))</f>
        <v/>
      </c>
      <c r="H2111" s="106" t="inlineStr">
        <is>
          <t>Agosto/2026</t>
        </is>
      </c>
    </row>
    <row r="2112" hidden="1" ht="14.25" customHeight="1" s="64">
      <c r="A2112" s="106" t="inlineStr">
        <is>
          <t>DP</t>
        </is>
      </c>
      <c r="B2112" s="106" t="inlineStr">
        <is>
          <t>Custo Fixo</t>
        </is>
      </c>
      <c r="C2112" s="106" t="inlineStr">
        <is>
          <t>Despesas com SST</t>
        </is>
      </c>
      <c r="D2112" s="107" t="n">
        <v>9</v>
      </c>
      <c r="E2112" s="108" t="n">
        <v>52.35</v>
      </c>
      <c r="F2112" s="109">
        <f>IFERROR(D2112*E2112,0)</f>
        <v/>
      </c>
      <c r="G2112" s="106">
        <f>INDEX(SETORES!$B:$B,MATCH(A2112,SETORES!$A:$A,0))</f>
        <v/>
      </c>
      <c r="H2112" s="106" t="inlineStr">
        <is>
          <t>Agosto/2026</t>
        </is>
      </c>
    </row>
    <row r="2113" hidden="1" ht="14.25" customHeight="1" s="64">
      <c r="A2113" s="106" t="inlineStr">
        <is>
          <t>Diretoria Operacional</t>
        </is>
      </c>
      <c r="B2113" s="106" t="inlineStr">
        <is>
          <t>Custo Fixo</t>
        </is>
      </c>
      <c r="C2113" s="106" t="inlineStr">
        <is>
          <t>Despesas com RH</t>
        </is>
      </c>
      <c r="D2113" s="107" t="n">
        <v>2</v>
      </c>
      <c r="E2113" s="108" t="n">
        <v>32.55</v>
      </c>
      <c r="F2113" s="109">
        <f>IFERROR(D2113*E2113,0)</f>
        <v/>
      </c>
      <c r="G2113" s="106">
        <f>INDEX(SETORES!$B:$B,MATCH(A2113,SETORES!$A:$A,0))</f>
        <v/>
      </c>
      <c r="H2113" s="106" t="inlineStr">
        <is>
          <t>Agosto/2026</t>
        </is>
      </c>
    </row>
    <row r="2114" hidden="1" ht="14.25" customHeight="1" s="64">
      <c r="A2114" s="106" t="inlineStr">
        <is>
          <t>Diretoria Operacional</t>
        </is>
      </c>
      <c r="B2114" s="106" t="inlineStr">
        <is>
          <t>Custo Fixo</t>
        </is>
      </c>
      <c r="C2114" s="106" t="inlineStr">
        <is>
          <t>Despesas com DP</t>
        </is>
      </c>
      <c r="D2114" s="107" t="n">
        <v>2</v>
      </c>
      <c r="E2114" s="108" t="n">
        <v>52.09</v>
      </c>
      <c r="F2114" s="109">
        <f>IFERROR(D2114*E2114,0)</f>
        <v/>
      </c>
      <c r="G2114" s="106">
        <f>INDEX(SETORES!$B:$B,MATCH(A2114,SETORES!$A:$A,0))</f>
        <v/>
      </c>
      <c r="H2114" s="106" t="inlineStr">
        <is>
          <t>Agosto/2026</t>
        </is>
      </c>
    </row>
    <row r="2115" hidden="1" ht="14.25" customHeight="1" s="64">
      <c r="A2115" s="106" t="inlineStr">
        <is>
          <t>Diretoria Operacional</t>
        </is>
      </c>
      <c r="B2115" s="106" t="inlineStr">
        <is>
          <t>Custo Fixo</t>
        </is>
      </c>
      <c r="C2115" s="106" t="inlineStr">
        <is>
          <t>Despesas com SST</t>
        </is>
      </c>
      <c r="D2115" s="107" t="n">
        <v>2</v>
      </c>
      <c r="E2115" s="108" t="n">
        <v>52.35</v>
      </c>
      <c r="F2115" s="109">
        <f>IFERROR(D2115*E2115,0)</f>
        <v/>
      </c>
      <c r="G2115" s="106">
        <f>INDEX(SETORES!$B:$B,MATCH(A2115,SETORES!$A:$A,0))</f>
        <v/>
      </c>
      <c r="H2115" s="106" t="inlineStr">
        <is>
          <t>Agosto/2026</t>
        </is>
      </c>
    </row>
    <row r="2116" hidden="1" ht="14.25" customHeight="1" s="64">
      <c r="A2116" s="106" t="inlineStr">
        <is>
          <t>Engenharia</t>
        </is>
      </c>
      <c r="B2116" s="106" t="inlineStr">
        <is>
          <t>Custo Fixo</t>
        </is>
      </c>
      <c r="C2116" s="106" t="inlineStr">
        <is>
          <t>Despesas com RH</t>
        </is>
      </c>
      <c r="D2116" s="107" t="n">
        <v>9</v>
      </c>
      <c r="E2116" s="108" t="n">
        <v>32.55</v>
      </c>
      <c r="F2116" s="109">
        <f>IFERROR(D2116*E2116,0)</f>
        <v/>
      </c>
      <c r="G2116" s="106">
        <f>INDEX(SETORES!$B:$B,MATCH(A2116,SETORES!$A:$A,0))</f>
        <v/>
      </c>
      <c r="H2116" s="106" t="inlineStr">
        <is>
          <t>Agosto/2026</t>
        </is>
      </c>
    </row>
    <row r="2117" hidden="1" ht="14.25" customHeight="1" s="64">
      <c r="A2117" s="106" t="inlineStr">
        <is>
          <t>Engenharia</t>
        </is>
      </c>
      <c r="B2117" s="106" t="inlineStr">
        <is>
          <t>Custo Fixo</t>
        </is>
      </c>
      <c r="C2117" s="106" t="inlineStr">
        <is>
          <t>Despesas com DP</t>
        </is>
      </c>
      <c r="D2117" s="107" t="n">
        <v>9</v>
      </c>
      <c r="E2117" s="108" t="n">
        <v>52.09</v>
      </c>
      <c r="F2117" s="109">
        <f>IFERROR(D2117*E2117,0)</f>
        <v/>
      </c>
      <c r="G2117" s="106">
        <f>INDEX(SETORES!$B:$B,MATCH(A2117,SETORES!$A:$A,0))</f>
        <v/>
      </c>
      <c r="H2117" s="106" t="inlineStr">
        <is>
          <t>Agosto/2026</t>
        </is>
      </c>
    </row>
    <row r="2118" hidden="1" ht="14.25" customHeight="1" s="64">
      <c r="A2118" s="106" t="inlineStr">
        <is>
          <t>Engenharia</t>
        </is>
      </c>
      <c r="B2118" s="106" t="inlineStr">
        <is>
          <t>Custo Fixo</t>
        </is>
      </c>
      <c r="C2118" s="106" t="inlineStr">
        <is>
          <t>Despesas com SST</t>
        </is>
      </c>
      <c r="D2118" s="107" t="n">
        <v>9</v>
      </c>
      <c r="E2118" s="108" t="n">
        <v>52.35</v>
      </c>
      <c r="F2118" s="109">
        <f>IFERROR(D2118*E2118,0)</f>
        <v/>
      </c>
      <c r="G2118" s="106">
        <f>INDEX(SETORES!$B:$B,MATCH(A2118,SETORES!$A:$A,0))</f>
        <v/>
      </c>
      <c r="H2118" s="106" t="inlineStr">
        <is>
          <t>Agosto/2026</t>
        </is>
      </c>
    </row>
    <row r="2119" hidden="1" ht="14.25" customHeight="1" s="64">
      <c r="A2119" s="106" t="inlineStr">
        <is>
          <t>Estoque</t>
        </is>
      </c>
      <c r="B2119" s="106" t="inlineStr">
        <is>
          <t>Custo Fixo</t>
        </is>
      </c>
      <c r="C2119" s="106" t="inlineStr">
        <is>
          <t>Despesas com RH</t>
        </is>
      </c>
      <c r="D2119" s="107" t="n">
        <v>16</v>
      </c>
      <c r="E2119" s="108" t="n">
        <v>32.55</v>
      </c>
      <c r="F2119" s="109">
        <f>IFERROR(D2119*E2119,0)</f>
        <v/>
      </c>
      <c r="G2119" s="106">
        <f>INDEX(SETORES!$B:$B,MATCH(A2119,SETORES!$A:$A,0))</f>
        <v/>
      </c>
      <c r="H2119" s="106" t="inlineStr">
        <is>
          <t>Agosto/2026</t>
        </is>
      </c>
    </row>
    <row r="2120" hidden="1" ht="14.25" customHeight="1" s="64">
      <c r="A2120" s="106" t="inlineStr">
        <is>
          <t>Estoque</t>
        </is>
      </c>
      <c r="B2120" s="106" t="inlineStr">
        <is>
          <t>Custo Fixo</t>
        </is>
      </c>
      <c r="C2120" s="106" t="inlineStr">
        <is>
          <t>Despesas com DP</t>
        </is>
      </c>
      <c r="D2120" s="107" t="n">
        <v>16</v>
      </c>
      <c r="E2120" s="108" t="n">
        <v>52.09</v>
      </c>
      <c r="F2120" s="109">
        <f>IFERROR(D2120*E2120,0)</f>
        <v/>
      </c>
      <c r="G2120" s="106">
        <f>INDEX(SETORES!$B:$B,MATCH(A2120,SETORES!$A:$A,0))</f>
        <v/>
      </c>
      <c r="H2120" s="106" t="inlineStr">
        <is>
          <t>Agosto/2026</t>
        </is>
      </c>
    </row>
    <row r="2121" hidden="1" ht="14.25" customHeight="1" s="64">
      <c r="A2121" s="106" t="inlineStr">
        <is>
          <t>Estoque</t>
        </is>
      </c>
      <c r="B2121" s="106" t="inlineStr">
        <is>
          <t>Custo Fixo</t>
        </is>
      </c>
      <c r="C2121" s="106" t="inlineStr">
        <is>
          <t>Despesas com SST</t>
        </is>
      </c>
      <c r="D2121" s="107" t="n">
        <v>16</v>
      </c>
      <c r="E2121" s="108" t="n">
        <v>52.35</v>
      </c>
      <c r="F2121" s="109">
        <f>IFERROR(D2121*E2121,0)</f>
        <v/>
      </c>
      <c r="G2121" s="106">
        <f>INDEX(SETORES!$B:$B,MATCH(A2121,SETORES!$A:$A,0))</f>
        <v/>
      </c>
      <c r="H2121" s="106" t="inlineStr">
        <is>
          <t>Agosto/2026</t>
        </is>
      </c>
    </row>
    <row r="2122" hidden="1" ht="14.25" customHeight="1" s="64">
      <c r="A2122" s="106" t="inlineStr">
        <is>
          <t>Financeiro</t>
        </is>
      </c>
      <c r="B2122" s="106" t="inlineStr">
        <is>
          <t>Custo Fixo</t>
        </is>
      </c>
      <c r="C2122" s="106" t="inlineStr">
        <is>
          <t>Despesas com RH</t>
        </is>
      </c>
      <c r="D2122" s="107" t="n">
        <v>8</v>
      </c>
      <c r="E2122" s="108" t="n">
        <v>32.55</v>
      </c>
      <c r="F2122" s="109">
        <f>IFERROR(D2122*E2122,0)</f>
        <v/>
      </c>
      <c r="G2122" s="106">
        <f>INDEX(SETORES!$B:$B,MATCH(A2122,SETORES!$A:$A,0))</f>
        <v/>
      </c>
      <c r="H2122" s="106" t="inlineStr">
        <is>
          <t>Agosto/2026</t>
        </is>
      </c>
    </row>
    <row r="2123" hidden="1" ht="14.25" customHeight="1" s="64">
      <c r="A2123" s="106" t="inlineStr">
        <is>
          <t>Financeiro</t>
        </is>
      </c>
      <c r="B2123" s="106" t="inlineStr">
        <is>
          <t>Custo Fixo</t>
        </is>
      </c>
      <c r="C2123" s="106" t="inlineStr">
        <is>
          <t>Despesas com DP</t>
        </is>
      </c>
      <c r="D2123" s="107" t="n">
        <v>8</v>
      </c>
      <c r="E2123" s="108" t="n">
        <v>52.09</v>
      </c>
      <c r="F2123" s="109">
        <f>IFERROR(D2123*E2123,0)</f>
        <v/>
      </c>
      <c r="G2123" s="106">
        <f>INDEX(SETORES!$B:$B,MATCH(A2123,SETORES!$A:$A,0))</f>
        <v/>
      </c>
      <c r="H2123" s="106" t="inlineStr">
        <is>
          <t>Agosto/2026</t>
        </is>
      </c>
    </row>
    <row r="2124" hidden="1" ht="14.25" customHeight="1" s="64">
      <c r="A2124" s="106" t="inlineStr">
        <is>
          <t>Financeiro</t>
        </is>
      </c>
      <c r="B2124" s="106" t="inlineStr">
        <is>
          <t>Custo Fixo</t>
        </is>
      </c>
      <c r="C2124" s="106" t="inlineStr">
        <is>
          <t>Despesas com SST</t>
        </is>
      </c>
      <c r="D2124" s="107" t="n">
        <v>8</v>
      </c>
      <c r="E2124" s="108" t="n">
        <v>52.35</v>
      </c>
      <c r="F2124" s="109">
        <f>IFERROR(D2124*E2124,0)</f>
        <v/>
      </c>
      <c r="G2124" s="106">
        <f>INDEX(SETORES!$B:$B,MATCH(A2124,SETORES!$A:$A,0))</f>
        <v/>
      </c>
      <c r="H2124" s="106" t="inlineStr">
        <is>
          <t>Agosto/2026</t>
        </is>
      </c>
    </row>
    <row r="2125" hidden="1" ht="14.25" customHeight="1" s="64">
      <c r="A2125" s="106" t="inlineStr">
        <is>
          <t>Logística</t>
        </is>
      </c>
      <c r="B2125" s="106" t="inlineStr">
        <is>
          <t>Custo Fixo</t>
        </is>
      </c>
      <c r="C2125" s="106" t="inlineStr">
        <is>
          <t>Despesas com RH</t>
        </is>
      </c>
      <c r="D2125" s="107" t="n">
        <v>16</v>
      </c>
      <c r="E2125" s="108" t="n">
        <v>32.55</v>
      </c>
      <c r="F2125" s="109">
        <f>IFERROR(D2125*E2125,0)</f>
        <v/>
      </c>
      <c r="G2125" s="106">
        <f>INDEX(SETORES!$B:$B,MATCH(A2125,SETORES!$A:$A,0))</f>
        <v/>
      </c>
      <c r="H2125" s="106" t="inlineStr">
        <is>
          <t>Agosto/2026</t>
        </is>
      </c>
    </row>
    <row r="2126" hidden="1" ht="14.25" customHeight="1" s="64">
      <c r="A2126" s="106" t="inlineStr">
        <is>
          <t>Logística</t>
        </is>
      </c>
      <c r="B2126" s="106" t="inlineStr">
        <is>
          <t>Custo Fixo</t>
        </is>
      </c>
      <c r="C2126" s="106" t="inlineStr">
        <is>
          <t>Despesas com DP</t>
        </is>
      </c>
      <c r="D2126" s="107" t="n">
        <v>16</v>
      </c>
      <c r="E2126" s="108" t="n">
        <v>52.09</v>
      </c>
      <c r="F2126" s="109">
        <f>IFERROR(D2126*E2126,0)</f>
        <v/>
      </c>
      <c r="G2126" s="106">
        <f>INDEX(SETORES!$B:$B,MATCH(A2126,SETORES!$A:$A,0))</f>
        <v/>
      </c>
      <c r="H2126" s="106" t="inlineStr">
        <is>
          <t>Agosto/2026</t>
        </is>
      </c>
    </row>
    <row r="2127" hidden="1" ht="14.25" customHeight="1" s="64">
      <c r="A2127" s="106" t="inlineStr">
        <is>
          <t>Logística</t>
        </is>
      </c>
      <c r="B2127" s="106" t="inlineStr">
        <is>
          <t>Custo Fixo</t>
        </is>
      </c>
      <c r="C2127" s="106" t="inlineStr">
        <is>
          <t>Despesas com SST</t>
        </is>
      </c>
      <c r="D2127" s="107" t="n">
        <v>16</v>
      </c>
      <c r="E2127" s="108" t="n">
        <v>52.35</v>
      </c>
      <c r="F2127" s="109">
        <f>IFERROR(D2127*E2127,0)</f>
        <v/>
      </c>
      <c r="G2127" s="106">
        <f>INDEX(SETORES!$B:$B,MATCH(A2127,SETORES!$A:$A,0))</f>
        <v/>
      </c>
      <c r="H2127" s="106" t="inlineStr">
        <is>
          <t>Agosto/2026</t>
        </is>
      </c>
    </row>
    <row r="2128" hidden="1" ht="14.25" customHeight="1" s="64">
      <c r="A2128" s="106" t="inlineStr">
        <is>
          <t>Manutenção Predial</t>
        </is>
      </c>
      <c r="B2128" s="106" t="inlineStr">
        <is>
          <t>Custo Fixo</t>
        </is>
      </c>
      <c r="C2128" s="106" t="inlineStr">
        <is>
          <t>Despesas com RH</t>
        </is>
      </c>
      <c r="D2128" s="107" t="n">
        <v>15</v>
      </c>
      <c r="E2128" s="108" t="n">
        <v>32.55</v>
      </c>
      <c r="F2128" s="109">
        <f>IFERROR(D2128*E2128,0)</f>
        <v/>
      </c>
      <c r="G2128" s="106">
        <f>INDEX(SETORES!$B:$B,MATCH(A2128,SETORES!$A:$A,0))</f>
        <v/>
      </c>
      <c r="H2128" s="106" t="inlineStr">
        <is>
          <t>Agosto/2026</t>
        </is>
      </c>
    </row>
    <row r="2129" hidden="1" ht="14.25" customHeight="1" s="64">
      <c r="A2129" s="106" t="inlineStr">
        <is>
          <t>Manutenção Predial</t>
        </is>
      </c>
      <c r="B2129" s="106" t="inlineStr">
        <is>
          <t>Custo Fixo</t>
        </is>
      </c>
      <c r="C2129" s="106" t="inlineStr">
        <is>
          <t>Despesas com DP</t>
        </is>
      </c>
      <c r="D2129" s="107" t="n">
        <v>15</v>
      </c>
      <c r="E2129" s="108" t="n">
        <v>52.09</v>
      </c>
      <c r="F2129" s="109">
        <f>IFERROR(D2129*E2129,0)</f>
        <v/>
      </c>
      <c r="G2129" s="106">
        <f>INDEX(SETORES!$B:$B,MATCH(A2129,SETORES!$A:$A,0))</f>
        <v/>
      </c>
      <c r="H2129" s="106" t="inlineStr">
        <is>
          <t>Agosto/2026</t>
        </is>
      </c>
    </row>
    <row r="2130" hidden="1" ht="14.25" customHeight="1" s="64">
      <c r="A2130" s="106" t="inlineStr">
        <is>
          <t>Manutenção Predial</t>
        </is>
      </c>
      <c r="B2130" s="106" t="inlineStr">
        <is>
          <t>Custo Fixo</t>
        </is>
      </c>
      <c r="C2130" s="106" t="inlineStr">
        <is>
          <t>Despesas com SST</t>
        </is>
      </c>
      <c r="D2130" s="107" t="n">
        <v>15</v>
      </c>
      <c r="E2130" s="108" t="n">
        <v>52.35</v>
      </c>
      <c r="F2130" s="109">
        <f>IFERROR(D2130*E2130,0)</f>
        <v/>
      </c>
      <c r="G2130" s="106">
        <f>INDEX(SETORES!$B:$B,MATCH(A2130,SETORES!$A:$A,0))</f>
        <v/>
      </c>
      <c r="H2130" s="106" t="inlineStr">
        <is>
          <t>Agosto/2026</t>
        </is>
      </c>
    </row>
    <row r="2131" hidden="1" ht="14.25" customHeight="1" s="64">
      <c r="A2131" s="106" t="inlineStr">
        <is>
          <t>NOC</t>
        </is>
      </c>
      <c r="B2131" s="106" t="inlineStr">
        <is>
          <t>Custo Fixo</t>
        </is>
      </c>
      <c r="C2131" s="106" t="inlineStr">
        <is>
          <t>Despesas com RH</t>
        </is>
      </c>
      <c r="D2131" s="107" t="n">
        <v>3</v>
      </c>
      <c r="E2131" s="108" t="n">
        <v>32.55</v>
      </c>
      <c r="F2131" s="109">
        <f>IFERROR(D2131*E2131,0)</f>
        <v/>
      </c>
      <c r="G2131" s="106">
        <f>INDEX(SETORES!$B:$B,MATCH(A2131,SETORES!$A:$A,0))</f>
        <v/>
      </c>
      <c r="H2131" s="106" t="inlineStr">
        <is>
          <t>Agosto/2026</t>
        </is>
      </c>
    </row>
    <row r="2132" hidden="1" ht="14.25" customHeight="1" s="64">
      <c r="A2132" s="106" t="inlineStr">
        <is>
          <t>NOC</t>
        </is>
      </c>
      <c r="B2132" s="106" t="inlineStr">
        <is>
          <t>Custo Fixo</t>
        </is>
      </c>
      <c r="C2132" s="106" t="inlineStr">
        <is>
          <t>Despesas com DP</t>
        </is>
      </c>
      <c r="D2132" s="107" t="n">
        <v>3</v>
      </c>
      <c r="E2132" s="108" t="n">
        <v>52.09</v>
      </c>
      <c r="F2132" s="109">
        <f>IFERROR(D2132*E2132,0)</f>
        <v/>
      </c>
      <c r="G2132" s="106">
        <f>INDEX(SETORES!$B:$B,MATCH(A2132,SETORES!$A:$A,0))</f>
        <v/>
      </c>
      <c r="H2132" s="106" t="inlineStr">
        <is>
          <t>Agosto/2026</t>
        </is>
      </c>
    </row>
    <row r="2133" hidden="1" ht="14.25" customHeight="1" s="64">
      <c r="A2133" s="106" t="inlineStr">
        <is>
          <t>NOC</t>
        </is>
      </c>
      <c r="B2133" s="106" t="inlineStr">
        <is>
          <t>Custo Fixo</t>
        </is>
      </c>
      <c r="C2133" s="106" t="inlineStr">
        <is>
          <t>Despesas com SST</t>
        </is>
      </c>
      <c r="D2133" s="107" t="n">
        <v>3</v>
      </c>
      <c r="E2133" s="108" t="n">
        <v>52.35</v>
      </c>
      <c r="F2133" s="109">
        <f>IFERROR(D2133*E2133,0)</f>
        <v/>
      </c>
      <c r="G2133" s="106">
        <f>INDEX(SETORES!$B:$B,MATCH(A2133,SETORES!$A:$A,0))</f>
        <v/>
      </c>
      <c r="H2133" s="106" t="inlineStr">
        <is>
          <t>Agosto/2026</t>
        </is>
      </c>
    </row>
    <row r="2134" hidden="1" ht="14.25" customHeight="1" s="64">
      <c r="A2134" s="106" t="inlineStr">
        <is>
          <t>NRC</t>
        </is>
      </c>
      <c r="B2134" s="106" t="inlineStr">
        <is>
          <t>Custo Fixo</t>
        </is>
      </c>
      <c r="C2134" s="106" t="inlineStr">
        <is>
          <t>Despesas com RH</t>
        </is>
      </c>
      <c r="D2134" s="107" t="n">
        <v>42</v>
      </c>
      <c r="E2134" s="108" t="n">
        <v>32.55</v>
      </c>
      <c r="F2134" s="109">
        <f>IFERROR(D2134*E2134,0)</f>
        <v/>
      </c>
      <c r="G2134" s="106">
        <f>INDEX(SETORES!$B:$B,MATCH(A2134,SETORES!$A:$A,0))</f>
        <v/>
      </c>
      <c r="H2134" s="106" t="inlineStr">
        <is>
          <t>Agosto/2026</t>
        </is>
      </c>
    </row>
    <row r="2135" hidden="1" ht="14.25" customHeight="1" s="64">
      <c r="A2135" s="106" t="inlineStr">
        <is>
          <t>NRC</t>
        </is>
      </c>
      <c r="B2135" s="106" t="inlineStr">
        <is>
          <t>Custo Fixo</t>
        </is>
      </c>
      <c r="C2135" s="106" t="inlineStr">
        <is>
          <t>Despesas com DP</t>
        </is>
      </c>
      <c r="D2135" s="107" t="n">
        <v>42</v>
      </c>
      <c r="E2135" s="108" t="n">
        <v>52.09</v>
      </c>
      <c r="F2135" s="109">
        <f>IFERROR(D2135*E2135,0)</f>
        <v/>
      </c>
      <c r="G2135" s="106">
        <f>INDEX(SETORES!$B:$B,MATCH(A2135,SETORES!$A:$A,0))</f>
        <v/>
      </c>
      <c r="H2135" s="106" t="inlineStr">
        <is>
          <t>Agosto/2026</t>
        </is>
      </c>
    </row>
    <row r="2136" hidden="1" ht="14.25" customHeight="1" s="64">
      <c r="A2136" s="106" t="inlineStr">
        <is>
          <t>NRC</t>
        </is>
      </c>
      <c r="B2136" s="106" t="inlineStr">
        <is>
          <t>Custo Fixo</t>
        </is>
      </c>
      <c r="C2136" s="106" t="inlineStr">
        <is>
          <t>Despesas com SST</t>
        </is>
      </c>
      <c r="D2136" s="107" t="n">
        <v>42</v>
      </c>
      <c r="E2136" s="108" t="n">
        <v>52.35</v>
      </c>
      <c r="F2136" s="109">
        <f>IFERROR(D2136*E2136,0)</f>
        <v/>
      </c>
      <c r="G2136" s="106">
        <f>INDEX(SETORES!$B:$B,MATCH(A2136,SETORES!$A:$A,0))</f>
        <v/>
      </c>
      <c r="H2136" s="106" t="inlineStr">
        <is>
          <t>Agosto/2026</t>
        </is>
      </c>
    </row>
    <row r="2137" hidden="1" ht="14.25" customHeight="1" s="64">
      <c r="A2137" s="106" t="inlineStr">
        <is>
          <t>Obras</t>
        </is>
      </c>
      <c r="B2137" s="106" t="inlineStr">
        <is>
          <t>Custo Fixo</t>
        </is>
      </c>
      <c r="C2137" s="106" t="inlineStr">
        <is>
          <t>Despesas com RH</t>
        </is>
      </c>
      <c r="D2137" s="107" t="n">
        <v>24</v>
      </c>
      <c r="E2137" s="108" t="n">
        <v>32.55</v>
      </c>
      <c r="F2137" s="109">
        <f>IFERROR(D2137*E2137,0)</f>
        <v/>
      </c>
      <c r="G2137" s="106">
        <f>INDEX(SETORES!$B:$B,MATCH(A2137,SETORES!$A:$A,0))</f>
        <v/>
      </c>
      <c r="H2137" s="106" t="inlineStr">
        <is>
          <t>Agosto/2026</t>
        </is>
      </c>
    </row>
    <row r="2138" hidden="1" ht="14.25" customHeight="1" s="64">
      <c r="A2138" s="106" t="inlineStr">
        <is>
          <t>Obras</t>
        </is>
      </c>
      <c r="B2138" s="106" t="inlineStr">
        <is>
          <t>Custo Fixo</t>
        </is>
      </c>
      <c r="C2138" s="106" t="inlineStr">
        <is>
          <t>Despesas com DP</t>
        </is>
      </c>
      <c r="D2138" s="107" t="n">
        <v>24</v>
      </c>
      <c r="E2138" s="108" t="n">
        <v>52.09</v>
      </c>
      <c r="F2138" s="109">
        <f>IFERROR(D2138*E2138,0)</f>
        <v/>
      </c>
      <c r="G2138" s="106">
        <f>INDEX(SETORES!$B:$B,MATCH(A2138,SETORES!$A:$A,0))</f>
        <v/>
      </c>
      <c r="H2138" s="106" t="inlineStr">
        <is>
          <t>Agosto/2026</t>
        </is>
      </c>
    </row>
    <row r="2139" hidden="1" ht="14.25" customHeight="1" s="64">
      <c r="A2139" s="106" t="inlineStr">
        <is>
          <t>Obras</t>
        </is>
      </c>
      <c r="B2139" s="106" t="inlineStr">
        <is>
          <t>Custo Fixo</t>
        </is>
      </c>
      <c r="C2139" s="106" t="inlineStr">
        <is>
          <t>Despesas com SST</t>
        </is>
      </c>
      <c r="D2139" s="107" t="n">
        <v>24</v>
      </c>
      <c r="E2139" s="108" t="n">
        <v>52.35</v>
      </c>
      <c r="F2139" s="109">
        <f>IFERROR(D2139*E2139,0)</f>
        <v/>
      </c>
      <c r="G2139" s="106">
        <f>INDEX(SETORES!$B:$B,MATCH(A2139,SETORES!$A:$A,0))</f>
        <v/>
      </c>
      <c r="H2139" s="106" t="inlineStr">
        <is>
          <t>Agosto/2026</t>
        </is>
      </c>
    </row>
    <row r="2140" hidden="1" ht="14.25" customHeight="1" s="64">
      <c r="A2140" s="106" t="inlineStr">
        <is>
          <t>Oficina</t>
        </is>
      </c>
      <c r="B2140" s="106" t="inlineStr">
        <is>
          <t>Custo Fixo</t>
        </is>
      </c>
      <c r="C2140" s="106" t="inlineStr">
        <is>
          <t>Despesas com RH</t>
        </is>
      </c>
      <c r="D2140" s="107" t="n">
        <v>4</v>
      </c>
      <c r="E2140" s="108" t="n">
        <v>32.55</v>
      </c>
      <c r="F2140" s="109">
        <f>IFERROR(D2140*E2140,0)</f>
        <v/>
      </c>
      <c r="G2140" s="106">
        <f>INDEX(SETORES!$B:$B,MATCH(A2140,SETORES!$A:$A,0))</f>
        <v/>
      </c>
      <c r="H2140" s="106" t="inlineStr">
        <is>
          <t>Agosto/2026</t>
        </is>
      </c>
    </row>
    <row r="2141" hidden="1" ht="14.25" customHeight="1" s="64">
      <c r="A2141" s="106" t="inlineStr">
        <is>
          <t>Oficina</t>
        </is>
      </c>
      <c r="B2141" s="106" t="inlineStr">
        <is>
          <t>Custo Fixo</t>
        </is>
      </c>
      <c r="C2141" s="106" t="inlineStr">
        <is>
          <t>Despesas com DP</t>
        </is>
      </c>
      <c r="D2141" s="107" t="n">
        <v>4</v>
      </c>
      <c r="E2141" s="108" t="n">
        <v>52.09</v>
      </c>
      <c r="F2141" s="109">
        <f>IFERROR(D2141*E2141,0)</f>
        <v/>
      </c>
      <c r="G2141" s="106">
        <f>INDEX(SETORES!$B:$B,MATCH(A2141,SETORES!$A:$A,0))</f>
        <v/>
      </c>
      <c r="H2141" s="106" t="inlineStr">
        <is>
          <t>Agosto/2026</t>
        </is>
      </c>
    </row>
    <row r="2142" hidden="1" ht="14.25" customHeight="1" s="64">
      <c r="A2142" s="106" t="inlineStr">
        <is>
          <t>Oficina</t>
        </is>
      </c>
      <c r="B2142" s="106" t="inlineStr">
        <is>
          <t>Custo Fixo</t>
        </is>
      </c>
      <c r="C2142" s="106" t="inlineStr">
        <is>
          <t>Despesas com SST</t>
        </is>
      </c>
      <c r="D2142" s="107" t="n">
        <v>4</v>
      </c>
      <c r="E2142" s="108" t="n">
        <v>52.35</v>
      </c>
      <c r="F2142" s="109">
        <f>IFERROR(D2142*E2142,0)</f>
        <v/>
      </c>
      <c r="G2142" s="106">
        <f>INDEX(SETORES!$B:$B,MATCH(A2142,SETORES!$A:$A,0))</f>
        <v/>
      </c>
      <c r="H2142" s="106" t="inlineStr">
        <is>
          <t>Agosto/2026</t>
        </is>
      </c>
    </row>
    <row r="2143" hidden="1" ht="14.25" customHeight="1" s="64">
      <c r="A2143" s="106" t="inlineStr">
        <is>
          <t>RH</t>
        </is>
      </c>
      <c r="B2143" s="106" t="inlineStr">
        <is>
          <t>Custo Fixo</t>
        </is>
      </c>
      <c r="C2143" s="106" t="inlineStr">
        <is>
          <t>Despesas com RH</t>
        </is>
      </c>
      <c r="D2143" s="107" t="n">
        <v>6</v>
      </c>
      <c r="E2143" s="108" t="n">
        <v>32.55</v>
      </c>
      <c r="F2143" s="109">
        <f>IFERROR(D2143*E2143,0)</f>
        <v/>
      </c>
      <c r="G2143" s="106">
        <f>INDEX(SETORES!$B:$B,MATCH(A2143,SETORES!$A:$A,0))</f>
        <v/>
      </c>
      <c r="H2143" s="106" t="inlineStr">
        <is>
          <t>Agosto/2026</t>
        </is>
      </c>
    </row>
    <row r="2144" hidden="1" ht="14.25" customHeight="1" s="64">
      <c r="A2144" s="106" t="inlineStr">
        <is>
          <t>RH</t>
        </is>
      </c>
      <c r="B2144" s="106" t="inlineStr">
        <is>
          <t>Custo Fixo</t>
        </is>
      </c>
      <c r="C2144" s="106" t="inlineStr">
        <is>
          <t>Despesas com DP</t>
        </is>
      </c>
      <c r="D2144" s="107" t="n">
        <v>6</v>
      </c>
      <c r="E2144" s="108" t="n">
        <v>52.09</v>
      </c>
      <c r="F2144" s="109">
        <f>IFERROR(D2144*E2144,0)</f>
        <v/>
      </c>
      <c r="G2144" s="106">
        <f>INDEX(SETORES!$B:$B,MATCH(A2144,SETORES!$A:$A,0))</f>
        <v/>
      </c>
      <c r="H2144" s="106" t="inlineStr">
        <is>
          <t>Agosto/2026</t>
        </is>
      </c>
    </row>
    <row r="2145" hidden="1" ht="14.25" customHeight="1" s="64">
      <c r="A2145" s="106" t="inlineStr">
        <is>
          <t>RH</t>
        </is>
      </c>
      <c r="B2145" s="106" t="inlineStr">
        <is>
          <t>Custo Fixo</t>
        </is>
      </c>
      <c r="C2145" s="106" t="inlineStr">
        <is>
          <t>Despesas com SST</t>
        </is>
      </c>
      <c r="D2145" s="107" t="n">
        <v>6</v>
      </c>
      <c r="E2145" s="108" t="n">
        <v>52.35</v>
      </c>
      <c r="F2145" s="109">
        <f>IFERROR(D2145*E2145,0)</f>
        <v/>
      </c>
      <c r="G2145" s="106">
        <f>INDEX(SETORES!$B:$B,MATCH(A2145,SETORES!$A:$A,0))</f>
        <v/>
      </c>
      <c r="H2145" s="106" t="inlineStr">
        <is>
          <t>Agosto/2026</t>
        </is>
      </c>
    </row>
    <row r="2146" hidden="1" ht="14.25" customHeight="1" s="64">
      <c r="A2146" s="106" t="inlineStr">
        <is>
          <t>Retenção</t>
        </is>
      </c>
      <c r="B2146" s="106" t="inlineStr">
        <is>
          <t>Custo Fixo</t>
        </is>
      </c>
      <c r="C2146" s="106" t="inlineStr">
        <is>
          <t>Despesas com RH</t>
        </is>
      </c>
      <c r="D2146" s="107" t="n">
        <v>12</v>
      </c>
      <c r="E2146" s="108" t="n">
        <v>32.55</v>
      </c>
      <c r="F2146" s="109">
        <f>IFERROR(D2146*E2146,0)</f>
        <v/>
      </c>
      <c r="G2146" s="106">
        <f>INDEX(SETORES!$B:$B,MATCH(A2146,SETORES!$A:$A,0))</f>
        <v/>
      </c>
      <c r="H2146" s="106" t="inlineStr">
        <is>
          <t>Agosto/2026</t>
        </is>
      </c>
    </row>
    <row r="2147" hidden="1" ht="14.25" customHeight="1" s="64">
      <c r="A2147" s="106" t="inlineStr">
        <is>
          <t>Retenção</t>
        </is>
      </c>
      <c r="B2147" s="106" t="inlineStr">
        <is>
          <t>Custo Fixo</t>
        </is>
      </c>
      <c r="C2147" s="106" t="inlineStr">
        <is>
          <t>Despesas com DP</t>
        </is>
      </c>
      <c r="D2147" s="107" t="n">
        <v>12</v>
      </c>
      <c r="E2147" s="108" t="n">
        <v>52.09</v>
      </c>
      <c r="F2147" s="109">
        <f>IFERROR(D2147*E2147,0)</f>
        <v/>
      </c>
      <c r="G2147" s="106">
        <f>INDEX(SETORES!$B:$B,MATCH(A2147,SETORES!$A:$A,0))</f>
        <v/>
      </c>
      <c r="H2147" s="106" t="inlineStr">
        <is>
          <t>Agosto/2026</t>
        </is>
      </c>
    </row>
    <row r="2148" hidden="1" ht="14.25" customHeight="1" s="64">
      <c r="A2148" s="106" t="inlineStr">
        <is>
          <t>Retenção</t>
        </is>
      </c>
      <c r="B2148" s="106" t="inlineStr">
        <is>
          <t>Custo Fixo</t>
        </is>
      </c>
      <c r="C2148" s="106" t="inlineStr">
        <is>
          <t>Despesas com SST</t>
        </is>
      </c>
      <c r="D2148" s="107" t="n">
        <v>12</v>
      </c>
      <c r="E2148" s="108" t="n">
        <v>52.35</v>
      </c>
      <c r="F2148" s="109">
        <f>IFERROR(D2148*E2148,0)</f>
        <v/>
      </c>
      <c r="G2148" s="106">
        <f>INDEX(SETORES!$B:$B,MATCH(A2148,SETORES!$A:$A,0))</f>
        <v/>
      </c>
      <c r="H2148" s="106" t="inlineStr">
        <is>
          <t>Agosto/2026</t>
        </is>
      </c>
    </row>
    <row r="2149" hidden="1" ht="14.25" customHeight="1" s="64">
      <c r="A2149" s="106" t="inlineStr">
        <is>
          <t>Segurança do Trabalho</t>
        </is>
      </c>
      <c r="B2149" s="106" t="inlineStr">
        <is>
          <t>Custo Fixo</t>
        </is>
      </c>
      <c r="C2149" s="106" t="inlineStr">
        <is>
          <t>Despesas com RH</t>
        </is>
      </c>
      <c r="D2149" s="107" t="n">
        <v>8</v>
      </c>
      <c r="E2149" s="108" t="n">
        <v>32.55</v>
      </c>
      <c r="F2149" s="109">
        <f>IFERROR(D2149*E2149,0)</f>
        <v/>
      </c>
      <c r="G2149" s="106">
        <f>INDEX(SETORES!$B:$B,MATCH(A2149,SETORES!$A:$A,0))</f>
        <v/>
      </c>
      <c r="H2149" s="106" t="inlineStr">
        <is>
          <t>Agosto/2026</t>
        </is>
      </c>
    </row>
    <row r="2150" hidden="1" ht="14.25" customHeight="1" s="64">
      <c r="A2150" s="106" t="inlineStr">
        <is>
          <t>Segurança do Trabalho</t>
        </is>
      </c>
      <c r="B2150" s="106" t="inlineStr">
        <is>
          <t>Custo Fixo</t>
        </is>
      </c>
      <c r="C2150" s="106" t="inlineStr">
        <is>
          <t>Despesas com DP</t>
        </is>
      </c>
      <c r="D2150" s="107" t="n">
        <v>8</v>
      </c>
      <c r="E2150" s="108" t="n">
        <v>52.09</v>
      </c>
      <c r="F2150" s="109">
        <f>IFERROR(D2150*E2150,0)</f>
        <v/>
      </c>
      <c r="G2150" s="106">
        <f>INDEX(SETORES!$B:$B,MATCH(A2150,SETORES!$A:$A,0))</f>
        <v/>
      </c>
      <c r="H2150" s="106" t="inlineStr">
        <is>
          <t>Agosto/2026</t>
        </is>
      </c>
    </row>
    <row r="2151" hidden="1" ht="14.25" customHeight="1" s="64">
      <c r="A2151" s="106" t="inlineStr">
        <is>
          <t>Segurança do Trabalho</t>
        </is>
      </c>
      <c r="B2151" s="106" t="inlineStr">
        <is>
          <t>Custo Fixo</t>
        </is>
      </c>
      <c r="C2151" s="106" t="inlineStr">
        <is>
          <t>Despesas com SST</t>
        </is>
      </c>
      <c r="D2151" s="107" t="n">
        <v>8</v>
      </c>
      <c r="E2151" s="108" t="n">
        <v>52.35</v>
      </c>
      <c r="F2151" s="109">
        <f>IFERROR(D2151*E2151,0)</f>
        <v/>
      </c>
      <c r="G2151" s="106">
        <f>INDEX(SETORES!$B:$B,MATCH(A2151,SETORES!$A:$A,0))</f>
        <v/>
      </c>
      <c r="H2151" s="106" t="inlineStr">
        <is>
          <t>Agosto/2026</t>
        </is>
      </c>
    </row>
    <row r="2152" hidden="1" ht="14.25" customHeight="1" s="64">
      <c r="A2152" s="106" t="inlineStr">
        <is>
          <t>Suporte Orbix</t>
        </is>
      </c>
      <c r="B2152" s="106" t="inlineStr">
        <is>
          <t>Custo Fixo</t>
        </is>
      </c>
      <c r="C2152" s="106" t="inlineStr">
        <is>
          <t>Despesas com RH</t>
        </is>
      </c>
      <c r="D2152" s="107" t="n">
        <v>8</v>
      </c>
      <c r="E2152" s="108" t="n">
        <v>32.55</v>
      </c>
      <c r="F2152" s="109">
        <f>IFERROR(D2152*E2152,0)</f>
        <v/>
      </c>
      <c r="G2152" s="106">
        <f>INDEX(SETORES!$B:$B,MATCH(A2152,SETORES!$A:$A,0))</f>
        <v/>
      </c>
      <c r="H2152" s="106" t="inlineStr">
        <is>
          <t>Agosto/2026</t>
        </is>
      </c>
    </row>
    <row r="2153" hidden="1" ht="14.25" customHeight="1" s="64">
      <c r="A2153" s="106" t="inlineStr">
        <is>
          <t>Suporte Orbix</t>
        </is>
      </c>
      <c r="B2153" s="106" t="inlineStr">
        <is>
          <t>Custo Fixo</t>
        </is>
      </c>
      <c r="C2153" s="106" t="inlineStr">
        <is>
          <t>Despesas com DP</t>
        </is>
      </c>
      <c r="D2153" s="107" t="n">
        <v>8</v>
      </c>
      <c r="E2153" s="108" t="n">
        <v>52.09</v>
      </c>
      <c r="F2153" s="109">
        <f>IFERROR(D2153*E2153,0)</f>
        <v/>
      </c>
      <c r="G2153" s="106">
        <f>INDEX(SETORES!$B:$B,MATCH(A2153,SETORES!$A:$A,0))</f>
        <v/>
      </c>
      <c r="H2153" s="106" t="inlineStr">
        <is>
          <t>Agosto/2026</t>
        </is>
      </c>
    </row>
    <row r="2154" hidden="1" ht="14.25" customHeight="1" s="64">
      <c r="A2154" s="106" t="inlineStr">
        <is>
          <t>Suporte Orbix</t>
        </is>
      </c>
      <c r="B2154" s="106" t="inlineStr">
        <is>
          <t>Custo Fixo</t>
        </is>
      </c>
      <c r="C2154" s="106" t="inlineStr">
        <is>
          <t>Despesas com SST</t>
        </is>
      </c>
      <c r="D2154" s="107" t="n">
        <v>8</v>
      </c>
      <c r="E2154" s="108" t="n">
        <v>52.35</v>
      </c>
      <c r="F2154" s="109">
        <f>IFERROR(D2154*E2154,0)</f>
        <v/>
      </c>
      <c r="G2154" s="106">
        <f>INDEX(SETORES!$B:$B,MATCH(A2154,SETORES!$A:$A,0))</f>
        <v/>
      </c>
      <c r="H2154" s="106" t="inlineStr">
        <is>
          <t>Agosto/2026</t>
        </is>
      </c>
    </row>
    <row r="2155" hidden="1" ht="14.25" customHeight="1" s="64">
      <c r="A2155" s="106" t="inlineStr">
        <is>
          <t>Suporte da Central</t>
        </is>
      </c>
      <c r="B2155" s="106" t="inlineStr">
        <is>
          <t>Custo Fixo</t>
        </is>
      </c>
      <c r="C2155" s="106" t="inlineStr">
        <is>
          <t>Despesas com RH</t>
        </is>
      </c>
      <c r="D2155" s="107" t="n">
        <v>33</v>
      </c>
      <c r="E2155" s="108" t="n">
        <v>32.55</v>
      </c>
      <c r="F2155" s="109">
        <f>IFERROR(D2155*E2155,0)</f>
        <v/>
      </c>
      <c r="G2155" s="106">
        <f>INDEX(SETORES!$B:$B,MATCH(A2155,SETORES!$A:$A,0))</f>
        <v/>
      </c>
      <c r="H2155" s="106" t="inlineStr">
        <is>
          <t>Agosto/2026</t>
        </is>
      </c>
    </row>
    <row r="2156" hidden="1" ht="14.25" customHeight="1" s="64">
      <c r="A2156" s="106" t="inlineStr">
        <is>
          <t>Suporte da Central</t>
        </is>
      </c>
      <c r="B2156" s="106" t="inlineStr">
        <is>
          <t>Custo Fixo</t>
        </is>
      </c>
      <c r="C2156" s="106" t="inlineStr">
        <is>
          <t>Despesas com DP</t>
        </is>
      </c>
      <c r="D2156" s="107" t="n">
        <v>33</v>
      </c>
      <c r="E2156" s="108" t="n">
        <v>52.09</v>
      </c>
      <c r="F2156" s="109">
        <f>IFERROR(D2156*E2156,0)</f>
        <v/>
      </c>
      <c r="G2156" s="106">
        <f>INDEX(SETORES!$B:$B,MATCH(A2156,SETORES!$A:$A,0))</f>
        <v/>
      </c>
      <c r="H2156" s="106" t="inlineStr">
        <is>
          <t>Agosto/2026</t>
        </is>
      </c>
    </row>
    <row r="2157" hidden="1" ht="14.25" customHeight="1" s="64">
      <c r="A2157" s="106" t="inlineStr">
        <is>
          <t>Suporte da Central</t>
        </is>
      </c>
      <c r="B2157" s="106" t="inlineStr">
        <is>
          <t>Custo Fixo</t>
        </is>
      </c>
      <c r="C2157" s="106" t="inlineStr">
        <is>
          <t>Despesas com SST</t>
        </is>
      </c>
      <c r="D2157" s="107" t="n">
        <v>33</v>
      </c>
      <c r="E2157" s="108" t="n">
        <v>52.35</v>
      </c>
      <c r="F2157" s="109">
        <f>IFERROR(D2157*E2157,0)</f>
        <v/>
      </c>
      <c r="G2157" s="106">
        <f>INDEX(SETORES!$B:$B,MATCH(A2157,SETORES!$A:$A,0))</f>
        <v/>
      </c>
      <c r="H2157" s="106" t="inlineStr">
        <is>
          <t>Agosto/2026</t>
        </is>
      </c>
    </row>
    <row r="2158" hidden="1" ht="14.25" customHeight="1" s="64">
      <c r="A2158" s="106" t="inlineStr">
        <is>
          <t>Televendas</t>
        </is>
      </c>
      <c r="B2158" s="106" t="inlineStr">
        <is>
          <t>Custo Fixo</t>
        </is>
      </c>
      <c r="C2158" s="106" t="inlineStr">
        <is>
          <t>Despesas com RH</t>
        </is>
      </c>
      <c r="D2158" s="107" t="n">
        <v>11</v>
      </c>
      <c r="E2158" s="108" t="n">
        <v>32.55</v>
      </c>
      <c r="F2158" s="109">
        <f>IFERROR(D2158*E2158,0)</f>
        <v/>
      </c>
      <c r="G2158" s="106">
        <f>INDEX(SETORES!$B:$B,MATCH(A2158,SETORES!$A:$A,0))</f>
        <v/>
      </c>
      <c r="H2158" s="106" t="inlineStr">
        <is>
          <t>Agosto/2026</t>
        </is>
      </c>
    </row>
    <row r="2159" hidden="1" ht="14.25" customHeight="1" s="64">
      <c r="A2159" s="106" t="inlineStr">
        <is>
          <t>Televendas</t>
        </is>
      </c>
      <c r="B2159" s="106" t="inlineStr">
        <is>
          <t>Custo Fixo</t>
        </is>
      </c>
      <c r="C2159" s="106" t="inlineStr">
        <is>
          <t>Despesas com DP</t>
        </is>
      </c>
      <c r="D2159" s="107" t="n">
        <v>11</v>
      </c>
      <c r="E2159" s="108" t="n">
        <v>52.09</v>
      </c>
      <c r="F2159" s="109">
        <f>IFERROR(D2159*E2159,0)</f>
        <v/>
      </c>
      <c r="G2159" s="106">
        <f>INDEX(SETORES!$B:$B,MATCH(A2159,SETORES!$A:$A,0))</f>
        <v/>
      </c>
      <c r="H2159" s="106" t="inlineStr">
        <is>
          <t>Agosto/2026</t>
        </is>
      </c>
    </row>
    <row r="2160" hidden="1" ht="14.25" customHeight="1" s="64">
      <c r="A2160" s="106" t="inlineStr">
        <is>
          <t>Televendas</t>
        </is>
      </c>
      <c r="B2160" s="106" t="inlineStr">
        <is>
          <t>Custo Fixo</t>
        </is>
      </c>
      <c r="C2160" s="106" t="inlineStr">
        <is>
          <t>Despesas com SST</t>
        </is>
      </c>
      <c r="D2160" s="107" t="n">
        <v>11</v>
      </c>
      <c r="E2160" s="108" t="n">
        <v>52.35</v>
      </c>
      <c r="F2160" s="109">
        <f>IFERROR(D2160*E2160,0)</f>
        <v/>
      </c>
      <c r="G2160" s="106">
        <f>INDEX(SETORES!$B:$B,MATCH(A2160,SETORES!$A:$A,0))</f>
        <v/>
      </c>
      <c r="H2160" s="106" t="inlineStr">
        <is>
          <t>Agosto/2026</t>
        </is>
      </c>
    </row>
    <row r="2161" hidden="1" ht="14.25" customHeight="1" s="64">
      <c r="A2161" s="106" t="inlineStr">
        <is>
          <t>Comercial Corporativo</t>
        </is>
      </c>
      <c r="B2161" s="106" t="inlineStr">
        <is>
          <t>Custo Fixo</t>
        </is>
      </c>
      <c r="C2161" s="106" t="inlineStr">
        <is>
          <t>Plataforma de licitações (pago anual em julho, ref. 12 meses)</t>
        </is>
      </c>
      <c r="D2161" s="107" t="n"/>
      <c r="E2161" s="108" t="n"/>
      <c r="F2161" s="109">
        <f>IFERROR(D2161*E2161,0)</f>
        <v/>
      </c>
      <c r="G2161" s="106">
        <f>INDEX(SETORES!$B:$B,MATCH(A2161,SETORES!$A:$A,0))</f>
        <v/>
      </c>
      <c r="H2161" s="106" t="inlineStr">
        <is>
          <t>Agosto/2026</t>
        </is>
      </c>
    </row>
    <row r="2162" hidden="1" ht="14.25" customHeight="1" s="64">
      <c r="A2162" s="106" t="inlineStr">
        <is>
          <t>Televendas</t>
        </is>
      </c>
      <c r="B2162" s="106" t="inlineStr">
        <is>
          <t>Custo Fixo</t>
        </is>
      </c>
      <c r="C2162" s="106" t="inlineStr">
        <is>
          <t>Impressora (rateio equipe Relacionamento)</t>
        </is>
      </c>
      <c r="D2162" s="107" t="n"/>
      <c r="E2162" s="108" t="n"/>
      <c r="F2162" s="109">
        <f>IFERROR(D2162*E2162,0)</f>
        <v/>
      </c>
      <c r="G2162" s="106">
        <f>INDEX(SETORES!$B:$B,MATCH(A2162,SETORES!$A:$A,0))</f>
        <v/>
      </c>
      <c r="H2162" s="106" t="inlineStr">
        <is>
          <t>Agosto/2026</t>
        </is>
      </c>
    </row>
    <row r="2163" hidden="1" ht="14.25" customHeight="1" s="64">
      <c r="A2163" s="106" t="inlineStr">
        <is>
          <t>Compras</t>
        </is>
      </c>
      <c r="B2163" s="106" t="inlineStr">
        <is>
          <t>Custo Variável</t>
        </is>
      </c>
      <c r="C2163" s="106" t="inlineStr">
        <is>
          <t>Combustível de frota</t>
        </is>
      </c>
      <c r="D2163" s="107" t="n">
        <v>1</v>
      </c>
      <c r="E2163" s="108" t="n">
        <v>0</v>
      </c>
      <c r="F2163" s="109">
        <f>IFERROR(D2163*E2163,0)</f>
        <v/>
      </c>
      <c r="G2163" s="106">
        <f>INDEX(SETORES!$B:$B,MATCH(A2163,SETORES!$A:$A,0))</f>
        <v/>
      </c>
      <c r="H2163" s="106" t="inlineStr">
        <is>
          <t>Agosto/2026</t>
        </is>
      </c>
    </row>
    <row r="2164" hidden="1" ht="14.25" customHeight="1" s="64">
      <c r="A2164" s="106" t="inlineStr">
        <is>
          <t>Contabilidade</t>
        </is>
      </c>
      <c r="B2164" s="106" t="inlineStr">
        <is>
          <t>Custo Variável</t>
        </is>
      </c>
      <c r="C2164" s="106" t="inlineStr">
        <is>
          <t>Exames médicos</t>
        </is>
      </c>
      <c r="D2164" s="107" t="n"/>
      <c r="E2164" s="108" t="n"/>
      <c r="F2164" s="109">
        <f>IFERROR(D2164*E2164,0)</f>
        <v/>
      </c>
      <c r="G2164" s="106">
        <f>INDEX(SETORES!$B:$B,MATCH(A2164,SETORES!$A:$A,0))</f>
        <v/>
      </c>
      <c r="H2164" s="106" t="inlineStr">
        <is>
          <t>Agosto/2026</t>
        </is>
      </c>
    </row>
    <row r="2165" hidden="1" ht="14.25" customHeight="1" s="64">
      <c r="A2165" s="106" t="inlineStr">
        <is>
          <t>Suporte da Central</t>
        </is>
      </c>
      <c r="B2165" s="106" t="inlineStr">
        <is>
          <t>Custo Variável</t>
        </is>
      </c>
      <c r="C2165" s="106" t="inlineStr">
        <is>
          <t>Rescisões trabalhistas</t>
        </is>
      </c>
      <c r="D2165" s="107" t="n"/>
      <c r="E2165" s="108" t="n"/>
      <c r="F2165" s="109">
        <f>IFERROR(D2165*E2165,0)</f>
        <v/>
      </c>
      <c r="G2165" s="106">
        <f>INDEX(SETORES!$B:$B,MATCH(A2165,SETORES!$A:$A,0))</f>
        <v/>
      </c>
      <c r="H2165" s="106" t="inlineStr">
        <is>
          <t>Agosto/2026</t>
        </is>
      </c>
    </row>
    <row r="2166" hidden="1" ht="14.25" customHeight="1" s="64">
      <c r="A2166" s="106" t="inlineStr">
        <is>
          <t>Televendas</t>
        </is>
      </c>
      <c r="B2166" s="106" t="inlineStr">
        <is>
          <t>Custo Variável</t>
        </is>
      </c>
      <c r="C2166" s="106" t="inlineStr">
        <is>
          <t>Rescisões trabalhistas</t>
        </is>
      </c>
      <c r="D2166" s="107" t="n"/>
      <c r="E2166" s="108" t="n"/>
      <c r="F2166" s="109">
        <f>IFERROR(D2166*E2166,0)</f>
        <v/>
      </c>
      <c r="G2166" s="106">
        <f>INDEX(SETORES!$B:$B,MATCH(A2166,SETORES!$A:$A,0))</f>
        <v/>
      </c>
      <c r="H2166" s="106" t="inlineStr">
        <is>
          <t>Agosto/2026</t>
        </is>
      </c>
    </row>
    <row r="2167" hidden="1" ht="14.25" customHeight="1" s="64">
      <c r="A2167" s="106" t="inlineStr">
        <is>
          <t>CAC</t>
        </is>
      </c>
      <c r="B2167" s="106" t="inlineStr">
        <is>
          <t>Custo Variável</t>
        </is>
      </c>
      <c r="C2167" s="106" t="inlineStr">
        <is>
          <t>Rescisões trabalhistas</t>
        </is>
      </c>
      <c r="D2167" s="107" t="n"/>
      <c r="E2167" s="108" t="n"/>
      <c r="F2167" s="109">
        <f>IFERROR(D2167*E2167,0)</f>
        <v/>
      </c>
      <c r="G2167" s="106">
        <f>INDEX(SETORES!$B:$B,MATCH(A2167,SETORES!$A:$A,0))</f>
        <v/>
      </c>
      <c r="H2167" s="106" t="inlineStr">
        <is>
          <t>Agosto/2026</t>
        </is>
      </c>
    </row>
    <row r="2168" hidden="1" ht="14.25" customHeight="1" s="64">
      <c r="A2168" s="106" t="inlineStr">
        <is>
          <t>NOC</t>
        </is>
      </c>
      <c r="B2168" s="106" t="inlineStr">
        <is>
          <t>Custo Variável</t>
        </is>
      </c>
      <c r="C2168" s="106" t="inlineStr">
        <is>
          <t>Rescisões trabalhistas</t>
        </is>
      </c>
      <c r="D2168" s="107" t="n"/>
      <c r="E2168" s="108" t="n"/>
      <c r="F2168" s="109">
        <f>IFERROR(D2168*E2168,0)</f>
        <v/>
      </c>
      <c r="G2168" s="106">
        <f>INDEX(SETORES!$B:$B,MATCH(A2168,SETORES!$A:$A,0))</f>
        <v/>
      </c>
      <c r="H2168" s="106" t="inlineStr">
        <is>
          <t>Agosto/2026</t>
        </is>
      </c>
    </row>
    <row r="2169" hidden="1" ht="14.25" customHeight="1" s="64">
      <c r="A2169" s="106" t="inlineStr">
        <is>
          <t>Segurança do Trabalho</t>
        </is>
      </c>
      <c r="B2169" s="106" t="inlineStr">
        <is>
          <t>Custo Variável</t>
        </is>
      </c>
      <c r="C2169" s="106" t="inlineStr">
        <is>
          <t>Rescisões trabalhistas</t>
        </is>
      </c>
      <c r="D2169" s="107" t="n"/>
      <c r="E2169" s="108" t="n"/>
      <c r="F2169" s="109">
        <f>IFERROR(D2169*E2169,0)</f>
        <v/>
      </c>
      <c r="G2169" s="106">
        <f>INDEX(SETORES!$B:$B,MATCH(A2169,SETORES!$A:$A,0))</f>
        <v/>
      </c>
      <c r="H2169" s="106" t="inlineStr">
        <is>
          <t>Agosto/2026</t>
        </is>
      </c>
    </row>
    <row r="2170" ht="14.25" customHeight="1" s="64">
      <c r="A2170" s="106" t="inlineStr">
        <is>
          <t>Administrativo</t>
        </is>
      </c>
      <c r="B2170" s="106" t="inlineStr">
        <is>
          <t>Custo Variável</t>
        </is>
      </c>
      <c r="C2170" s="106" t="inlineStr">
        <is>
          <t>Rescisões trabalhistas</t>
        </is>
      </c>
      <c r="D2170" s="107" t="n"/>
      <c r="E2170" s="108" t="n"/>
      <c r="F2170" s="109">
        <f>IFERROR(D2170*E2170,0)</f>
        <v/>
      </c>
      <c r="G2170" s="106">
        <f>INDEX(SETORES!$B:$B,MATCH(A2170,SETORES!$A:$A,0))</f>
        <v/>
      </c>
      <c r="H2170" s="106" t="inlineStr">
        <is>
          <t>Agosto/2026</t>
        </is>
      </c>
    </row>
    <row r="2171" hidden="1" ht="14.25" customHeight="1" s="64">
      <c r="A2171" s="106" t="inlineStr">
        <is>
          <t>Suporte Orbix</t>
        </is>
      </c>
      <c r="B2171" s="106" t="inlineStr">
        <is>
          <t>Custo Variável</t>
        </is>
      </c>
      <c r="C2171" s="106" t="inlineStr">
        <is>
          <t>Rescisões trabalhistas</t>
        </is>
      </c>
      <c r="D2171" s="107" t="n"/>
      <c r="E2171" s="108" t="n"/>
      <c r="F2171" s="109">
        <f>IFERROR(D2171*E2171,0)</f>
        <v/>
      </c>
      <c r="G2171" s="106">
        <f>INDEX(SETORES!$B:$B,MATCH(A2171,SETORES!$A:$A,0))</f>
        <v/>
      </c>
      <c r="H2171" s="106" t="inlineStr">
        <is>
          <t>Agosto/2026</t>
        </is>
      </c>
    </row>
    <row r="2172" hidden="1" ht="14.25" customHeight="1" s="64">
      <c r="A2172" s="106" t="inlineStr">
        <is>
          <t>Controladoria</t>
        </is>
      </c>
      <c r="B2172" s="106" t="inlineStr">
        <is>
          <t>Custo Variável</t>
        </is>
      </c>
      <c r="C2172" s="106" t="inlineStr">
        <is>
          <t>Combustível de frota</t>
        </is>
      </c>
      <c r="D2172" s="107" t="n">
        <v>1</v>
      </c>
      <c r="E2172" s="108" t="n">
        <v>1581.98</v>
      </c>
      <c r="F2172" s="109">
        <f>IFERROR(D2172*E2172,0)</f>
        <v/>
      </c>
      <c r="G2172" s="106">
        <f>INDEX(SETORES!$B:$B,MATCH(A2172,SETORES!$A:$A,0))</f>
        <v/>
      </c>
      <c r="H2172" s="106" t="inlineStr">
        <is>
          <t>Agosto/2026</t>
        </is>
      </c>
    </row>
    <row r="2173" hidden="1" ht="14.25" customHeight="1" s="64">
      <c r="A2173" s="106" t="inlineStr">
        <is>
          <t>Logística</t>
        </is>
      </c>
      <c r="B2173" s="106" t="inlineStr">
        <is>
          <t>Custo Variável</t>
        </is>
      </c>
      <c r="C2173" s="106" t="inlineStr">
        <is>
          <t>Combustível de frota (gerador e veículos sem condutor identificado)</t>
        </is>
      </c>
      <c r="D2173" s="107" t="n"/>
      <c r="E2173" s="108" t="n"/>
      <c r="F2173" s="109">
        <f>IFERROR(D2173*E2173,0)</f>
        <v/>
      </c>
      <c r="G2173" s="106">
        <f>INDEX(SETORES!$B:$B,MATCH(A2173,SETORES!$A:$A,0))</f>
        <v/>
      </c>
      <c r="H2173" s="106" t="inlineStr">
        <is>
          <t>Agosto/2026</t>
        </is>
      </c>
    </row>
    <row r="2174" hidden="1" ht="14.25" customHeight="1" s="64">
      <c r="A2174" s="106" t="inlineStr">
        <is>
          <t>Qualidade</t>
        </is>
      </c>
      <c r="B2174" s="106" t="inlineStr">
        <is>
          <t>Custo Fixo</t>
        </is>
      </c>
      <c r="C2174" s="106" t="inlineStr">
        <is>
          <t>Folha de pagamento (salários)</t>
        </is>
      </c>
      <c r="D2174" s="107" t="n">
        <v>1</v>
      </c>
      <c r="E2174" s="108" t="n">
        <v>42206.73</v>
      </c>
      <c r="F2174" s="109">
        <f>IFERROR(D2174*E2174,0)</f>
        <v/>
      </c>
      <c r="G2174" s="106">
        <f>INDEX(SETORES!$B:$B,MATCH(A2174,SETORES!$A:$A,0))</f>
        <v/>
      </c>
      <c r="H2174" s="106" t="inlineStr">
        <is>
          <t>Agosto/2026</t>
        </is>
      </c>
    </row>
    <row r="2175" hidden="1" ht="14.25" customHeight="1" s="64">
      <c r="A2175" s="106" t="inlineStr">
        <is>
          <t>Qualidade</t>
        </is>
      </c>
      <c r="B2175" s="106" t="inlineStr">
        <is>
          <t>Custo Fixo</t>
        </is>
      </c>
      <c r="C2175" s="106" t="inlineStr">
        <is>
          <t>Material de uso coletivo (copa/limpeza)</t>
        </is>
      </c>
      <c r="D2175" s="107" t="n">
        <v>1</v>
      </c>
      <c r="E2175" s="108" t="n">
        <v>350.54</v>
      </c>
      <c r="F2175" s="109">
        <f>IFERROR(D2175*E2175,0)</f>
        <v/>
      </c>
      <c r="G2175" s="106">
        <f>INDEX(SETORES!$B:$B,MATCH(A2175,SETORES!$A:$A,0))</f>
        <v/>
      </c>
      <c r="H2175" s="106" t="inlineStr">
        <is>
          <t>Agosto/2026</t>
        </is>
      </c>
    </row>
    <row r="2176" hidden="1" ht="14.25" customHeight="1" s="64">
      <c r="A2176" s="106" t="inlineStr">
        <is>
          <t>Qualidade</t>
        </is>
      </c>
      <c r="B2176" s="106" t="inlineStr">
        <is>
          <t>Custo Variável</t>
        </is>
      </c>
      <c r="C2176" s="106" t="inlineStr">
        <is>
          <t>Exames médicos</t>
        </is>
      </c>
      <c r="D2176" s="107" t="n"/>
      <c r="E2176" s="108" t="n"/>
      <c r="F2176" s="109">
        <f>IFERROR(D2176*E2176,0)</f>
        <v/>
      </c>
      <c r="G2176" s="106">
        <f>INDEX(SETORES!$B:$B,MATCH(A2176,SETORES!$A:$A,0))</f>
        <v/>
      </c>
      <c r="H2176" s="106" t="inlineStr">
        <is>
          <t>Agosto/2026</t>
        </is>
      </c>
    </row>
    <row r="2177" hidden="1" ht="14.25" customHeight="1" s="64">
      <c r="A2177" s="106" t="inlineStr">
        <is>
          <t>Jurídico</t>
        </is>
      </c>
      <c r="B2177" s="106" t="inlineStr">
        <is>
          <t>Custo Fixo</t>
        </is>
      </c>
      <c r="C2177" s="106" t="inlineStr">
        <is>
          <t>Folha de pagamento (salários)</t>
        </is>
      </c>
      <c r="D2177" s="107" t="n">
        <v>1</v>
      </c>
      <c r="E2177" s="108" t="n">
        <v>7846.31</v>
      </c>
      <c r="F2177" s="109">
        <f>IFERROR(D2177*E2177,0)</f>
        <v/>
      </c>
      <c r="G2177" s="106">
        <f>INDEX(SETORES!$B:$B,MATCH(A2177,SETORES!$A:$A,0))</f>
        <v/>
      </c>
      <c r="H2177" s="106" t="inlineStr">
        <is>
          <t>Agosto/2026</t>
        </is>
      </c>
    </row>
    <row r="2178" hidden="1" ht="14.25" customHeight="1" s="64">
      <c r="A2178" s="106" t="inlineStr">
        <is>
          <t>Jurídico</t>
        </is>
      </c>
      <c r="B2178" s="106" t="inlineStr">
        <is>
          <t>Custo Fixo</t>
        </is>
      </c>
      <c r="C2178" s="106" t="inlineStr">
        <is>
          <t>Material de uso coletivo (copa/limpeza)</t>
        </is>
      </c>
      <c r="D2178" s="107" t="n">
        <v>1</v>
      </c>
      <c r="E2178" s="108" t="n">
        <v>150.42</v>
      </c>
      <c r="F2178" s="109">
        <f>IFERROR(D2178*E2178,0)</f>
        <v/>
      </c>
      <c r="G2178" s="106">
        <f>INDEX(SETORES!$B:$B,MATCH(A2178,SETORES!$A:$A,0))</f>
        <v/>
      </c>
      <c r="H2178" s="106" t="inlineStr">
        <is>
          <t>Agosto/2026</t>
        </is>
      </c>
    </row>
    <row r="2179" hidden="1" ht="14.25" customHeight="1" s="64">
      <c r="A2179" s="106" t="inlineStr">
        <is>
          <t>Jurídico</t>
        </is>
      </c>
      <c r="B2179" s="106" t="inlineStr">
        <is>
          <t>Custo Variável</t>
        </is>
      </c>
      <c r="C2179" s="106" t="inlineStr">
        <is>
          <t>Combustível de frota</t>
        </is>
      </c>
      <c r="D2179" s="107" t="n">
        <v>1</v>
      </c>
      <c r="E2179" s="108" t="n">
        <v>1280.1</v>
      </c>
      <c r="F2179" s="109">
        <f>IFERROR(D2179*E2179,0)</f>
        <v/>
      </c>
      <c r="G2179" s="106">
        <f>INDEX(SETORES!$B:$B,MATCH(A2179,SETORES!$A:$A,0))</f>
        <v/>
      </c>
      <c r="H2179" s="106" t="inlineStr">
        <is>
          <t>Agosto/2026</t>
        </is>
      </c>
    </row>
    <row r="2180" hidden="1" ht="14.25" customHeight="1" s="64">
      <c r="A2180" s="106" t="inlineStr">
        <is>
          <t>Marketing</t>
        </is>
      </c>
      <c r="B2180" s="106" t="inlineStr">
        <is>
          <t>Custo Fixo</t>
        </is>
      </c>
      <c r="C2180" s="106" t="inlineStr">
        <is>
          <t>Folha de pagamento (salários)</t>
        </is>
      </c>
      <c r="D2180" s="107" t="n">
        <v>1</v>
      </c>
      <c r="E2180" s="108" t="n">
        <v>62265.7</v>
      </c>
      <c r="F2180" s="109">
        <f>IFERROR(D2180*E2180,0)</f>
        <v/>
      </c>
      <c r="G2180" s="106">
        <f>INDEX(SETORES!$B:$B,MATCH(A2180,SETORES!$A:$A,0))</f>
        <v/>
      </c>
      <c r="H2180" s="106" t="inlineStr">
        <is>
          <t>Agosto/2026</t>
        </is>
      </c>
    </row>
    <row r="2181" hidden="1" ht="14.25" customHeight="1" s="64">
      <c r="A2181" s="106" t="inlineStr">
        <is>
          <t>Marketing</t>
        </is>
      </c>
      <c r="B2181" s="106" t="inlineStr">
        <is>
          <t>Custo Fixo</t>
        </is>
      </c>
      <c r="C2181" s="106" t="inlineStr">
        <is>
          <t>Material de uso coletivo (copa/limpeza)</t>
        </is>
      </c>
      <c r="D2181" s="107" t="n">
        <v>1</v>
      </c>
      <c r="E2181" s="108" t="n">
        <v>507.51</v>
      </c>
      <c r="F2181" s="109">
        <f>IFERROR(D2181*E2181,0)</f>
        <v/>
      </c>
      <c r="G2181" s="106">
        <f>INDEX(SETORES!$B:$B,MATCH(A2181,SETORES!$A:$A,0))</f>
        <v/>
      </c>
      <c r="H2181" s="106" t="inlineStr">
        <is>
          <t>Agosto/2026</t>
        </is>
      </c>
    </row>
    <row r="2182" hidden="1" ht="14.25" customHeight="1" s="64">
      <c r="A2182" s="106" t="inlineStr">
        <is>
          <t>Marketing</t>
        </is>
      </c>
      <c r="B2182" s="106" t="inlineStr">
        <is>
          <t>Custo Variável</t>
        </is>
      </c>
      <c r="C2182" s="106" t="inlineStr">
        <is>
          <t>Combustível de frota</t>
        </is>
      </c>
      <c r="D2182" s="107" t="n">
        <v>1</v>
      </c>
      <c r="E2182" s="108" t="n">
        <v>1514.08</v>
      </c>
      <c r="F2182" s="109">
        <f>IFERROR(D2182*E2182,0)</f>
        <v/>
      </c>
      <c r="G2182" s="106">
        <f>INDEX(SETORES!$B:$B,MATCH(A2182,SETORES!$A:$A,0))</f>
        <v/>
      </c>
      <c r="H2182" s="106" t="inlineStr">
        <is>
          <t>Agosto/2026</t>
        </is>
      </c>
    </row>
    <row r="2183" hidden="1" ht="14.25" customHeight="1" s="64">
      <c r="A2183" s="106" t="inlineStr">
        <is>
          <t>Marketing</t>
        </is>
      </c>
      <c r="B2183" s="106" t="inlineStr">
        <is>
          <t>Custo Variável</t>
        </is>
      </c>
      <c r="C2183" s="106" t="inlineStr">
        <is>
          <t>Exames médicos</t>
        </is>
      </c>
      <c r="D2183" s="107" t="n"/>
      <c r="E2183" s="108" t="n"/>
      <c r="F2183" s="109">
        <f>IFERROR(D2183*E2183,0)</f>
        <v/>
      </c>
      <c r="G2183" s="106">
        <f>INDEX(SETORES!$B:$B,MATCH(A2183,SETORES!$A:$A,0))</f>
        <v/>
      </c>
      <c r="H2183" s="106" t="inlineStr">
        <is>
          <t>Agosto/2026</t>
        </is>
      </c>
    </row>
    <row r="2184" hidden="1" ht="14.25" customHeight="1" s="64">
      <c r="A2184" s="106" t="inlineStr">
        <is>
          <t>TIC</t>
        </is>
      </c>
      <c r="B2184" s="106" t="inlineStr">
        <is>
          <t>Custo Fixo</t>
        </is>
      </c>
      <c r="C2184" s="106" t="inlineStr">
        <is>
          <t>Folha de pagamento (salários)</t>
        </is>
      </c>
      <c r="D2184" s="107" t="n">
        <v>1</v>
      </c>
      <c r="E2184" s="108" t="n">
        <v>35073.9</v>
      </c>
      <c r="F2184" s="109">
        <f>IFERROR(D2184*E2184,0)</f>
        <v/>
      </c>
      <c r="G2184" s="106">
        <f>INDEX(SETORES!$B:$B,MATCH(A2184,SETORES!$A:$A,0))</f>
        <v/>
      </c>
      <c r="H2184" s="106" t="inlineStr">
        <is>
          <t>Agosto/2026</t>
        </is>
      </c>
    </row>
    <row r="2185" hidden="1" ht="14.25" customHeight="1" s="64">
      <c r="A2185" s="106" t="inlineStr">
        <is>
          <t>TIC</t>
        </is>
      </c>
      <c r="B2185" s="106" t="inlineStr">
        <is>
          <t>Custo Fixo</t>
        </is>
      </c>
      <c r="C2185" s="106" t="inlineStr">
        <is>
          <t>Material de uso coletivo (copa/limpeza)</t>
        </is>
      </c>
      <c r="D2185" s="107" t="n">
        <v>1</v>
      </c>
      <c r="E2185" s="108" t="n">
        <v>107.14</v>
      </c>
      <c r="F2185" s="109">
        <f>IFERROR(D2185*E2185,0)</f>
        <v/>
      </c>
      <c r="G2185" s="106">
        <f>INDEX(SETORES!$B:$B,MATCH(A2185,SETORES!$A:$A,0))</f>
        <v/>
      </c>
      <c r="H2185" s="106" t="inlineStr">
        <is>
          <t>Agosto/2026</t>
        </is>
      </c>
    </row>
    <row r="2186" hidden="1" ht="14.25" customHeight="1" s="64">
      <c r="A2186" s="106" t="inlineStr">
        <is>
          <t>COE</t>
        </is>
      </c>
      <c r="B2186" s="106" t="inlineStr">
        <is>
          <t>Custo Fixo</t>
        </is>
      </c>
      <c r="C2186" s="106" t="inlineStr">
        <is>
          <t>Folha de pagamento (salários)</t>
        </is>
      </c>
      <c r="D2186" s="107" t="n">
        <v>1</v>
      </c>
      <c r="E2186" s="108" t="n">
        <v>71692.57000000001</v>
      </c>
      <c r="F2186" s="109">
        <f>IFERROR(D2186*E2186,0)</f>
        <v/>
      </c>
      <c r="G2186" s="106">
        <f>INDEX(SETORES!$B:$B,MATCH(A2186,SETORES!$A:$A,0))</f>
        <v/>
      </c>
      <c r="H2186" s="106" t="inlineStr">
        <is>
          <t>Agosto/2026</t>
        </is>
      </c>
    </row>
    <row r="2187" hidden="1" ht="14.25" customHeight="1" s="64">
      <c r="A2187" s="106" t="inlineStr">
        <is>
          <t>Fique Móvel</t>
        </is>
      </c>
      <c r="B2187" s="106" t="inlineStr">
        <is>
          <t>Custo Fixo</t>
        </is>
      </c>
      <c r="C2187" s="106" t="inlineStr">
        <is>
          <t>Folha de pagamento (salários)</t>
        </is>
      </c>
      <c r="D2187" s="107" t="n">
        <v>1</v>
      </c>
      <c r="E2187" s="108" t="n">
        <v>13644.85</v>
      </c>
      <c r="F2187" s="109">
        <f>IFERROR(D2187*E2187,0)</f>
        <v/>
      </c>
      <c r="G2187" s="106">
        <f>INDEX(SETORES!$B:$B,MATCH(A2187,SETORES!$A:$A,0))</f>
        <v/>
      </c>
      <c r="H2187" s="106" t="inlineStr">
        <is>
          <t>Agosto/2026</t>
        </is>
      </c>
    </row>
    <row r="2188" hidden="1" ht="14.25" customHeight="1" s="64">
      <c r="A2188" s="106" t="inlineStr">
        <is>
          <t>Lançamento</t>
        </is>
      </c>
      <c r="B2188" s="106" t="inlineStr">
        <is>
          <t>Custo Fixo</t>
        </is>
      </c>
      <c r="C2188" s="106" t="inlineStr">
        <is>
          <t>Folha de pagamento (salários)</t>
        </is>
      </c>
      <c r="D2188" s="107" t="n">
        <v>1</v>
      </c>
      <c r="E2188" s="108" t="n">
        <v>184970.83</v>
      </c>
      <c r="F2188" s="109">
        <f>IFERROR(D2188*E2188,0)</f>
        <v/>
      </c>
      <c r="G2188" s="106">
        <f>INDEX(SETORES!$B:$B,MATCH(A2188,SETORES!$A:$A,0))</f>
        <v/>
      </c>
      <c r="H2188" s="106" t="inlineStr">
        <is>
          <t>Agosto/2026</t>
        </is>
      </c>
    </row>
    <row r="2189" hidden="1" ht="14.25" customHeight="1" s="64">
      <c r="A2189" s="106" t="inlineStr">
        <is>
          <t>Lançamento</t>
        </is>
      </c>
      <c r="B2189" s="106" t="inlineStr">
        <is>
          <t>Custo Variável</t>
        </is>
      </c>
      <c r="C2189" s="106" t="inlineStr">
        <is>
          <t>Combustível de frota</t>
        </is>
      </c>
      <c r="D2189" s="107" t="n">
        <v>1</v>
      </c>
      <c r="E2189" s="108" t="n">
        <v>12181.5</v>
      </c>
      <c r="F2189" s="109">
        <f>IFERROR(D2189*E2189,0)</f>
        <v/>
      </c>
      <c r="G2189" s="106">
        <f>INDEX(SETORES!$B:$B,MATCH(A2189,SETORES!$A:$A,0))</f>
        <v/>
      </c>
      <c r="H2189" s="106" t="inlineStr">
        <is>
          <t>Agosto/2026</t>
        </is>
      </c>
    </row>
    <row r="2190" hidden="1" ht="14.25" customHeight="1" s="64">
      <c r="A2190" s="106" t="inlineStr">
        <is>
          <t>Lançamento</t>
        </is>
      </c>
      <c r="B2190" s="106" t="inlineStr">
        <is>
          <t>Custo Variável</t>
        </is>
      </c>
      <c r="C2190" s="106" t="inlineStr">
        <is>
          <t>EPIs - Equipamento de Proteção Individual</t>
        </is>
      </c>
      <c r="D2190" s="107" t="n"/>
      <c r="E2190" s="108" t="n"/>
      <c r="F2190" s="109">
        <f>IFERROR(D2190*E2190,0)</f>
        <v/>
      </c>
      <c r="G2190" s="106">
        <f>INDEX(SETORES!$B:$B,MATCH(A2190,SETORES!$A:$A,0))</f>
        <v/>
      </c>
      <c r="H2190" s="106" t="inlineStr">
        <is>
          <t>Agosto/2026</t>
        </is>
      </c>
    </row>
    <row r="2191" hidden="1" ht="14.25" customHeight="1" s="64">
      <c r="A2191" s="106" t="inlineStr">
        <is>
          <t>Fusão</t>
        </is>
      </c>
      <c r="B2191" s="106" t="inlineStr">
        <is>
          <t>Custo Fixo</t>
        </is>
      </c>
      <c r="C2191" s="106" t="inlineStr">
        <is>
          <t>Folha de pagamento (salários)</t>
        </is>
      </c>
      <c r="D2191" s="107" t="n">
        <v>1</v>
      </c>
      <c r="E2191" s="108" t="n">
        <v>108616.1</v>
      </c>
      <c r="F2191" s="109">
        <f>IFERROR(D2191*E2191,0)</f>
        <v/>
      </c>
      <c r="G2191" s="106">
        <f>INDEX(SETORES!$B:$B,MATCH(A2191,SETORES!$A:$A,0))</f>
        <v/>
      </c>
      <c r="H2191" s="106" t="inlineStr">
        <is>
          <t>Agosto/2026</t>
        </is>
      </c>
    </row>
    <row r="2192" hidden="1" ht="14.25" customHeight="1" s="64">
      <c r="A2192" s="106" t="inlineStr">
        <is>
          <t>Fusão</t>
        </is>
      </c>
      <c r="B2192" s="106" t="inlineStr">
        <is>
          <t>Custo Variável</t>
        </is>
      </c>
      <c r="C2192" s="106" t="inlineStr">
        <is>
          <t>Combustível de frota</t>
        </is>
      </c>
      <c r="D2192" s="107" t="n">
        <v>1</v>
      </c>
      <c r="E2192" s="108" t="n">
        <v>19762.11</v>
      </c>
      <c r="F2192" s="109">
        <f>IFERROR(D2192*E2192,0)</f>
        <v/>
      </c>
      <c r="G2192" s="106">
        <f>INDEX(SETORES!$B:$B,MATCH(A2192,SETORES!$A:$A,0))</f>
        <v/>
      </c>
      <c r="H2192" s="106" t="inlineStr">
        <is>
          <t>Agosto/2026</t>
        </is>
      </c>
    </row>
    <row r="2193" hidden="1" ht="14.25" customHeight="1" s="64">
      <c r="A2193" s="106" t="inlineStr">
        <is>
          <t>Fusão</t>
        </is>
      </c>
      <c r="B2193" s="106" t="inlineStr">
        <is>
          <t>Custo Variável</t>
        </is>
      </c>
      <c r="C2193" s="106" t="inlineStr">
        <is>
          <t>EPIs - Equipamento de Proteção Individual</t>
        </is>
      </c>
      <c r="D2193" s="107" t="n"/>
      <c r="E2193" s="108" t="n"/>
      <c r="F2193" s="109">
        <f>IFERROR(D2193*E2193,0)</f>
        <v/>
      </c>
      <c r="G2193" s="106">
        <f>INDEX(SETORES!$B:$B,MATCH(A2193,SETORES!$A:$A,0))</f>
        <v/>
      </c>
      <c r="H2193" s="106" t="inlineStr">
        <is>
          <t>Agosto/2026</t>
        </is>
      </c>
    </row>
    <row r="2194" hidden="1" ht="14.25" customHeight="1" s="64">
      <c r="A2194" s="106" t="inlineStr">
        <is>
          <t>Diretoria Adm</t>
        </is>
      </c>
      <c r="B2194" s="106" t="inlineStr">
        <is>
          <t>Custo Fixo</t>
        </is>
      </c>
      <c r="C2194" s="106" t="inlineStr">
        <is>
          <t>Folha de pagamento (salários)</t>
        </is>
      </c>
      <c r="D2194" s="107" t="n">
        <v>1</v>
      </c>
      <c r="E2194" s="108" t="n">
        <v>11133.4</v>
      </c>
      <c r="F2194" s="109">
        <f>IFERROR(D2194*E2194,0)</f>
        <v/>
      </c>
      <c r="G2194" s="106">
        <f>INDEX(SETORES!$B:$B,MATCH(A2194,SETORES!$A:$A,0))</f>
        <v/>
      </c>
      <c r="H2194" s="106" t="inlineStr">
        <is>
          <t>Agosto/2026</t>
        </is>
      </c>
    </row>
    <row r="2195" hidden="1" ht="14.25" customHeight="1" s="64">
      <c r="A2195" s="106" t="inlineStr">
        <is>
          <t>Diretoria Adm</t>
        </is>
      </c>
      <c r="B2195" s="106" t="inlineStr">
        <is>
          <t>Custo Fixo</t>
        </is>
      </c>
      <c r="C2195" s="106" t="inlineStr">
        <is>
          <t>Material de escritório (suprimentos de informática)</t>
        </is>
      </c>
      <c r="D2195" s="107" t="n"/>
      <c r="E2195" s="108" t="n"/>
      <c r="F2195" s="109">
        <f>IFERROR(D2195*E2195,0)</f>
        <v/>
      </c>
      <c r="G2195" s="106">
        <f>INDEX(SETORES!$B:$B,MATCH(A2195,SETORES!$A:$A,0))</f>
        <v/>
      </c>
      <c r="H2195" s="106" t="inlineStr">
        <is>
          <t>Agosto/2026</t>
        </is>
      </c>
    </row>
    <row r="2196" hidden="1" ht="14.25" customHeight="1" s="64">
      <c r="A2196" s="106" t="inlineStr">
        <is>
          <t>Diretoria Adm</t>
        </is>
      </c>
      <c r="B2196" s="106" t="inlineStr">
        <is>
          <t>Custo Fixo</t>
        </is>
      </c>
      <c r="C2196" s="106" t="inlineStr">
        <is>
          <t>Material de uso coletivo (copa/limpeza)</t>
        </is>
      </c>
      <c r="D2196" s="107" t="n"/>
      <c r="E2196" s="108" t="n"/>
      <c r="F2196" s="109">
        <f>IFERROR(D2196*E2196,0)</f>
        <v/>
      </c>
      <c r="G2196" s="106">
        <f>INDEX(SETORES!$B:$B,MATCH(A2196,SETORES!$A:$A,0))</f>
        <v/>
      </c>
      <c r="H2196" s="106" t="inlineStr">
        <is>
          <t>Agosto/2026</t>
        </is>
      </c>
    </row>
    <row r="2197" hidden="1" ht="14.25" customHeight="1" s="64">
      <c r="A2197" s="106" t="inlineStr">
        <is>
          <t>Comercial Corporativo</t>
        </is>
      </c>
      <c r="B2197" s="106" t="inlineStr">
        <is>
          <t>Custo Fixo</t>
        </is>
      </c>
      <c r="C2197" s="106" t="inlineStr">
        <is>
          <t>Material de uso coletivo (copa/limpeza)</t>
        </is>
      </c>
      <c r="D2197" s="107" t="n"/>
      <c r="E2197" s="108" t="n"/>
      <c r="F2197" s="109">
        <f>IFERROR(D2197*E2197,0)</f>
        <v/>
      </c>
      <c r="G2197" s="106">
        <f>INDEX(SETORES!$B:$B,MATCH(A2197,SETORES!$A:$A,0))</f>
        <v/>
      </c>
      <c r="H2197" s="106" t="inlineStr">
        <is>
          <t>Agosto/2026</t>
        </is>
      </c>
    </row>
    <row r="2198" hidden="1" ht="14.25" customHeight="1" s="64">
      <c r="A2198" s="106" t="inlineStr">
        <is>
          <t>Fique Móvel</t>
        </is>
      </c>
      <c r="B2198" s="106" t="inlineStr">
        <is>
          <t>Custo Fixo</t>
        </is>
      </c>
      <c r="C2198" s="106" t="inlineStr">
        <is>
          <t>Material de uso coletivo (copa/limpeza)</t>
        </is>
      </c>
      <c r="D2198" s="107" t="n">
        <v>1</v>
      </c>
      <c r="E2198" s="108" t="n">
        <v>175.81</v>
      </c>
      <c r="F2198" s="109">
        <f>IFERROR(D2198*E2198,0)</f>
        <v/>
      </c>
      <c r="G2198" s="106">
        <f>INDEX(SETORES!$B:$B,MATCH(A2198,SETORES!$A:$A,0))</f>
        <v/>
      </c>
      <c r="H2198" s="106" t="inlineStr">
        <is>
          <t>Agosto/2026</t>
        </is>
      </c>
    </row>
    <row r="2199" hidden="1" ht="14.25" customHeight="1" s="64">
      <c r="A2199" s="106" t="inlineStr">
        <is>
          <t>Qualidade</t>
        </is>
      </c>
      <c r="B2199" s="106" t="inlineStr">
        <is>
          <t>Custo Fixo</t>
        </is>
      </c>
      <c r="C2199" s="106" t="inlineStr">
        <is>
          <t>Gympass</t>
        </is>
      </c>
      <c r="D2199" s="107" t="n"/>
      <c r="E2199" s="108" t="n"/>
      <c r="F2199" s="109">
        <f>IFERROR(D2199*E2199,0)</f>
        <v/>
      </c>
      <c r="G2199" s="106">
        <f>INDEX(SETORES!$B:$B,MATCH(A2199,SETORES!$A:$A,0))</f>
        <v/>
      </c>
      <c r="H2199" s="106" t="inlineStr">
        <is>
          <t>Agosto/2026</t>
        </is>
      </c>
    </row>
    <row r="2200" hidden="1" ht="14.25" customHeight="1" s="64">
      <c r="A2200" s="106" t="inlineStr">
        <is>
          <t>Qualidade</t>
        </is>
      </c>
      <c r="B2200" s="106" t="inlineStr">
        <is>
          <t>Custo Fixo</t>
        </is>
      </c>
      <c r="C2200" s="106" t="inlineStr">
        <is>
          <t>Stargrid</t>
        </is>
      </c>
      <c r="D2200" s="107" t="n">
        <v>11</v>
      </c>
      <c r="E2200" s="108" t="n">
        <v>1.87</v>
      </c>
      <c r="F2200" s="109">
        <f>IFERROR(D2200*E2200,0)</f>
        <v/>
      </c>
      <c r="G2200" s="106">
        <f>INDEX(SETORES!$B:$B,MATCH(A2200,SETORES!$A:$A,0))</f>
        <v/>
      </c>
      <c r="H2200" s="106" t="inlineStr">
        <is>
          <t>Agosto/2026</t>
        </is>
      </c>
    </row>
    <row r="2201" hidden="1" ht="14.25" customHeight="1" s="64">
      <c r="A2201" s="106" t="inlineStr">
        <is>
          <t>Qualidade</t>
        </is>
      </c>
      <c r="B2201" s="106" t="inlineStr">
        <is>
          <t>Custo Fixo</t>
        </is>
      </c>
      <c r="C2201" s="106" t="inlineStr">
        <is>
          <t>Licença de e-mail corporativo</t>
        </is>
      </c>
      <c r="D2201" s="107" t="n">
        <v>11</v>
      </c>
      <c r="E2201" s="108" t="n">
        <v>50</v>
      </c>
      <c r="F2201" s="109">
        <f>IFERROR(D2201*E2201,0)</f>
        <v/>
      </c>
      <c r="G2201" s="106">
        <f>INDEX(SETORES!$B:$B,MATCH(A2201,SETORES!$A:$A,0))</f>
        <v/>
      </c>
      <c r="H2201" s="106" t="inlineStr">
        <is>
          <t>Agosto/2026</t>
        </is>
      </c>
    </row>
    <row r="2202" hidden="1" ht="14.25" customHeight="1" s="64">
      <c r="A2202" s="106" t="inlineStr">
        <is>
          <t>Qualidade</t>
        </is>
      </c>
      <c r="B2202" s="106" t="inlineStr">
        <is>
          <t>Custo Fixo</t>
        </is>
      </c>
      <c r="C2202" s="106" t="inlineStr">
        <is>
          <t>Despesas com RH</t>
        </is>
      </c>
      <c r="D2202" s="107" t="n">
        <v>11</v>
      </c>
      <c r="E2202" s="108" t="n">
        <v>32.55</v>
      </c>
      <c r="F2202" s="109">
        <f>IFERROR(D2202*E2202,0)</f>
        <v/>
      </c>
      <c r="G2202" s="106">
        <f>INDEX(SETORES!$B:$B,MATCH(A2202,SETORES!$A:$A,0))</f>
        <v/>
      </c>
      <c r="H2202" s="106" t="inlineStr">
        <is>
          <t>Agosto/2026</t>
        </is>
      </c>
    </row>
    <row r="2203" hidden="1" ht="14.25" customHeight="1" s="64">
      <c r="A2203" s="106" t="inlineStr">
        <is>
          <t>Qualidade</t>
        </is>
      </c>
      <c r="B2203" s="106" t="inlineStr">
        <is>
          <t>Custo Fixo</t>
        </is>
      </c>
      <c r="C2203" s="106" t="inlineStr">
        <is>
          <t>Despesas com DP</t>
        </is>
      </c>
      <c r="D2203" s="107" t="n">
        <v>11</v>
      </c>
      <c r="E2203" s="108" t="n">
        <v>52.09</v>
      </c>
      <c r="F2203" s="109">
        <f>IFERROR(D2203*E2203,0)</f>
        <v/>
      </c>
      <c r="G2203" s="106">
        <f>INDEX(SETORES!$B:$B,MATCH(A2203,SETORES!$A:$A,0))</f>
        <v/>
      </c>
      <c r="H2203" s="106" t="inlineStr">
        <is>
          <t>Agosto/2026</t>
        </is>
      </c>
    </row>
    <row r="2204" hidden="1" ht="14.25" customHeight="1" s="64">
      <c r="A2204" s="106" t="inlineStr">
        <is>
          <t>Qualidade</t>
        </is>
      </c>
      <c r="B2204" s="106" t="inlineStr">
        <is>
          <t>Custo Fixo</t>
        </is>
      </c>
      <c r="C2204" s="106" t="inlineStr">
        <is>
          <t>Despesas com SST</t>
        </is>
      </c>
      <c r="D2204" s="107" t="n">
        <v>11</v>
      </c>
      <c r="E2204" s="108" t="n">
        <v>52.35</v>
      </c>
      <c r="F2204" s="109">
        <f>IFERROR(D2204*E2204,0)</f>
        <v/>
      </c>
      <c r="G2204" s="106">
        <f>INDEX(SETORES!$B:$B,MATCH(A2204,SETORES!$A:$A,0))</f>
        <v/>
      </c>
      <c r="H2204" s="106" t="inlineStr">
        <is>
          <t>Agosto/2026</t>
        </is>
      </c>
    </row>
    <row r="2205" hidden="1" ht="14.25" customHeight="1" s="64">
      <c r="A2205" s="106" t="inlineStr">
        <is>
          <t>Jurídico</t>
        </is>
      </c>
      <c r="B2205" s="106" t="inlineStr">
        <is>
          <t>Custo Fixo</t>
        </is>
      </c>
      <c r="C2205" s="106" t="inlineStr">
        <is>
          <t>Gympass</t>
        </is>
      </c>
      <c r="D2205" s="107" t="n"/>
      <c r="E2205" s="108" t="n"/>
      <c r="F2205" s="109">
        <f>IFERROR(D2205*E2205,0)</f>
        <v/>
      </c>
      <c r="G2205" s="106">
        <f>INDEX(SETORES!$B:$B,MATCH(A2205,SETORES!$A:$A,0))</f>
        <v/>
      </c>
      <c r="H2205" s="106" t="inlineStr">
        <is>
          <t>Agosto/2026</t>
        </is>
      </c>
    </row>
    <row r="2206" hidden="1" ht="14.25" customHeight="1" s="64">
      <c r="A2206" s="106" t="inlineStr">
        <is>
          <t>Jurídico</t>
        </is>
      </c>
      <c r="B2206" s="106" t="inlineStr">
        <is>
          <t>Custo Fixo</t>
        </is>
      </c>
      <c r="C2206" s="106" t="inlineStr">
        <is>
          <t>Stargrid</t>
        </is>
      </c>
      <c r="D2206" s="107" t="n">
        <v>2</v>
      </c>
      <c r="E2206" s="108" t="n">
        <v>1.87</v>
      </c>
      <c r="F2206" s="109">
        <f>IFERROR(D2206*E2206,0)</f>
        <v/>
      </c>
      <c r="G2206" s="106">
        <f>INDEX(SETORES!$B:$B,MATCH(A2206,SETORES!$A:$A,0))</f>
        <v/>
      </c>
      <c r="H2206" s="106" t="inlineStr">
        <is>
          <t>Agosto/2026</t>
        </is>
      </c>
    </row>
    <row r="2207" hidden="1" ht="14.25" customHeight="1" s="64">
      <c r="A2207" s="106" t="inlineStr">
        <is>
          <t>Jurídico</t>
        </is>
      </c>
      <c r="B2207" s="106" t="inlineStr">
        <is>
          <t>Custo Fixo</t>
        </is>
      </c>
      <c r="C2207" s="106" t="inlineStr">
        <is>
          <t>Licença de e-mail corporativo</t>
        </is>
      </c>
      <c r="D2207" s="107" t="n">
        <v>2</v>
      </c>
      <c r="E2207" s="108" t="n">
        <v>50</v>
      </c>
      <c r="F2207" s="109">
        <f>IFERROR(D2207*E2207,0)</f>
        <v/>
      </c>
      <c r="G2207" s="106">
        <f>INDEX(SETORES!$B:$B,MATCH(A2207,SETORES!$A:$A,0))</f>
        <v/>
      </c>
      <c r="H2207" s="106" t="inlineStr">
        <is>
          <t>Agosto/2026</t>
        </is>
      </c>
    </row>
    <row r="2208" hidden="1" ht="14.25" customHeight="1" s="64">
      <c r="A2208" s="106" t="inlineStr">
        <is>
          <t>Jurídico</t>
        </is>
      </c>
      <c r="B2208" s="106" t="inlineStr">
        <is>
          <t>Custo Fixo</t>
        </is>
      </c>
      <c r="C2208" s="106" t="inlineStr">
        <is>
          <t>Despesas com RH</t>
        </is>
      </c>
      <c r="D2208" s="107" t="n">
        <v>2</v>
      </c>
      <c r="E2208" s="108" t="n">
        <v>32.55</v>
      </c>
      <c r="F2208" s="109">
        <f>IFERROR(D2208*E2208,0)</f>
        <v/>
      </c>
      <c r="G2208" s="106">
        <f>INDEX(SETORES!$B:$B,MATCH(A2208,SETORES!$A:$A,0))</f>
        <v/>
      </c>
      <c r="H2208" s="106" t="inlineStr">
        <is>
          <t>Agosto/2026</t>
        </is>
      </c>
    </row>
    <row r="2209" hidden="1" ht="14.25" customHeight="1" s="64">
      <c r="A2209" s="106" t="inlineStr">
        <is>
          <t>Jurídico</t>
        </is>
      </c>
      <c r="B2209" s="106" t="inlineStr">
        <is>
          <t>Custo Fixo</t>
        </is>
      </c>
      <c r="C2209" s="106" t="inlineStr">
        <is>
          <t>Despesas com DP</t>
        </is>
      </c>
      <c r="D2209" s="107" t="n">
        <v>2</v>
      </c>
      <c r="E2209" s="108" t="n">
        <v>52.09</v>
      </c>
      <c r="F2209" s="109">
        <f>IFERROR(D2209*E2209,0)</f>
        <v/>
      </c>
      <c r="G2209" s="106">
        <f>INDEX(SETORES!$B:$B,MATCH(A2209,SETORES!$A:$A,0))</f>
        <v/>
      </c>
      <c r="H2209" s="106" t="inlineStr">
        <is>
          <t>Agosto/2026</t>
        </is>
      </c>
    </row>
    <row r="2210" hidden="1" ht="14.25" customHeight="1" s="64">
      <c r="A2210" s="106" t="inlineStr">
        <is>
          <t>Jurídico</t>
        </is>
      </c>
      <c r="B2210" s="106" t="inlineStr">
        <is>
          <t>Custo Fixo</t>
        </is>
      </c>
      <c r="C2210" s="106" t="inlineStr">
        <is>
          <t>Despesas com SST</t>
        </is>
      </c>
      <c r="D2210" s="107" t="n">
        <v>2</v>
      </c>
      <c r="E2210" s="108" t="n">
        <v>52.35</v>
      </c>
      <c r="F2210" s="109">
        <f>IFERROR(D2210*E2210,0)</f>
        <v/>
      </c>
      <c r="G2210" s="106">
        <f>INDEX(SETORES!$B:$B,MATCH(A2210,SETORES!$A:$A,0))</f>
        <v/>
      </c>
      <c r="H2210" s="106" t="inlineStr">
        <is>
          <t>Agosto/2026</t>
        </is>
      </c>
    </row>
    <row r="2211" hidden="1" ht="14.25" customHeight="1" s="64">
      <c r="A2211" s="106" t="inlineStr">
        <is>
          <t>Marketing</t>
        </is>
      </c>
      <c r="B2211" s="106" t="inlineStr">
        <is>
          <t>Custo Fixo</t>
        </is>
      </c>
      <c r="C2211" s="106" t="inlineStr">
        <is>
          <t>Gympass</t>
        </is>
      </c>
      <c r="D2211" s="107" t="n"/>
      <c r="E2211" s="108" t="n"/>
      <c r="F2211" s="109">
        <f>IFERROR(D2211*E2211,0)</f>
        <v/>
      </c>
      <c r="G2211" s="106">
        <f>INDEX(SETORES!$B:$B,MATCH(A2211,SETORES!$A:$A,0))</f>
        <v/>
      </c>
      <c r="H2211" s="106" t="inlineStr">
        <is>
          <t>Agosto/2026</t>
        </is>
      </c>
    </row>
    <row r="2212" hidden="1" ht="14.25" customHeight="1" s="64">
      <c r="A2212" s="106" t="inlineStr">
        <is>
          <t>Marketing</t>
        </is>
      </c>
      <c r="B2212" s="106" t="inlineStr">
        <is>
          <t>Custo Fixo</t>
        </is>
      </c>
      <c r="C2212" s="106" t="inlineStr">
        <is>
          <t>Stargrid</t>
        </is>
      </c>
      <c r="D2212" s="107" t="n">
        <v>17</v>
      </c>
      <c r="E2212" s="108" t="n">
        <v>1.87</v>
      </c>
      <c r="F2212" s="109">
        <f>IFERROR(D2212*E2212,0)</f>
        <v/>
      </c>
      <c r="G2212" s="106">
        <f>INDEX(SETORES!$B:$B,MATCH(A2212,SETORES!$A:$A,0))</f>
        <v/>
      </c>
      <c r="H2212" s="106" t="inlineStr">
        <is>
          <t>Agosto/2026</t>
        </is>
      </c>
    </row>
    <row r="2213" hidden="1" ht="14.25" customHeight="1" s="64">
      <c r="A2213" s="106" t="inlineStr">
        <is>
          <t>Marketing</t>
        </is>
      </c>
      <c r="B2213" s="106" t="inlineStr">
        <is>
          <t>Custo Fixo</t>
        </is>
      </c>
      <c r="C2213" s="106" t="inlineStr">
        <is>
          <t>Licença de e-mail corporativo</t>
        </is>
      </c>
      <c r="D2213" s="107" t="n">
        <v>17</v>
      </c>
      <c r="E2213" s="108" t="n">
        <v>50</v>
      </c>
      <c r="F2213" s="109">
        <f>IFERROR(D2213*E2213,0)</f>
        <v/>
      </c>
      <c r="G2213" s="106">
        <f>INDEX(SETORES!$B:$B,MATCH(A2213,SETORES!$A:$A,0))</f>
        <v/>
      </c>
      <c r="H2213" s="106" t="inlineStr">
        <is>
          <t>Agosto/2026</t>
        </is>
      </c>
    </row>
    <row r="2214" hidden="1" ht="14.25" customHeight="1" s="64">
      <c r="A2214" s="106" t="inlineStr">
        <is>
          <t>Marketing</t>
        </is>
      </c>
      <c r="B2214" s="106" t="inlineStr">
        <is>
          <t>Custo Fixo</t>
        </is>
      </c>
      <c r="C2214" s="106" t="inlineStr">
        <is>
          <t>Despesas com RH</t>
        </is>
      </c>
      <c r="D2214" s="107" t="n">
        <v>17</v>
      </c>
      <c r="E2214" s="108" t="n">
        <v>32.55</v>
      </c>
      <c r="F2214" s="109">
        <f>IFERROR(D2214*E2214,0)</f>
        <v/>
      </c>
      <c r="G2214" s="106">
        <f>INDEX(SETORES!$B:$B,MATCH(A2214,SETORES!$A:$A,0))</f>
        <v/>
      </c>
      <c r="H2214" s="106" t="inlineStr">
        <is>
          <t>Agosto/2026</t>
        </is>
      </c>
    </row>
    <row r="2215" hidden="1" ht="14.25" customHeight="1" s="64">
      <c r="A2215" s="106" t="inlineStr">
        <is>
          <t>Marketing</t>
        </is>
      </c>
      <c r="B2215" s="106" t="inlineStr">
        <is>
          <t>Custo Fixo</t>
        </is>
      </c>
      <c r="C2215" s="106" t="inlineStr">
        <is>
          <t>Despesas com DP</t>
        </is>
      </c>
      <c r="D2215" s="107" t="n">
        <v>17</v>
      </c>
      <c r="E2215" s="108" t="n">
        <v>52.09</v>
      </c>
      <c r="F2215" s="109">
        <f>IFERROR(D2215*E2215,0)</f>
        <v/>
      </c>
      <c r="G2215" s="106">
        <f>INDEX(SETORES!$B:$B,MATCH(A2215,SETORES!$A:$A,0))</f>
        <v/>
      </c>
      <c r="H2215" s="106" t="inlineStr">
        <is>
          <t>Agosto/2026</t>
        </is>
      </c>
    </row>
    <row r="2216" hidden="1" ht="14.25" customHeight="1" s="64">
      <c r="A2216" s="106" t="inlineStr">
        <is>
          <t>Marketing</t>
        </is>
      </c>
      <c r="B2216" s="106" t="inlineStr">
        <is>
          <t>Custo Fixo</t>
        </is>
      </c>
      <c r="C2216" s="106" t="inlineStr">
        <is>
          <t>Despesas com SST</t>
        </is>
      </c>
      <c r="D2216" s="107" t="n">
        <v>17</v>
      </c>
      <c r="E2216" s="108" t="n">
        <v>52.35</v>
      </c>
      <c r="F2216" s="109">
        <f>IFERROR(D2216*E2216,0)</f>
        <v/>
      </c>
      <c r="G2216" s="106">
        <f>INDEX(SETORES!$B:$B,MATCH(A2216,SETORES!$A:$A,0))</f>
        <v/>
      </c>
      <c r="H2216" s="106" t="inlineStr">
        <is>
          <t>Agosto/2026</t>
        </is>
      </c>
    </row>
    <row r="2217" hidden="1" ht="14.25" customHeight="1" s="64">
      <c r="A2217" s="106" t="inlineStr">
        <is>
          <t>TIC</t>
        </is>
      </c>
      <c r="B2217" s="106" t="inlineStr">
        <is>
          <t>Custo Fixo</t>
        </is>
      </c>
      <c r="C2217" s="106" t="inlineStr">
        <is>
          <t>Gympass</t>
        </is>
      </c>
      <c r="D2217" s="107" t="n"/>
      <c r="E2217" s="108" t="n"/>
      <c r="F2217" s="109">
        <f>IFERROR(D2217*E2217,0)</f>
        <v/>
      </c>
      <c r="G2217" s="106">
        <f>INDEX(SETORES!$B:$B,MATCH(A2217,SETORES!$A:$A,0))</f>
        <v/>
      </c>
      <c r="H2217" s="106" t="inlineStr">
        <is>
          <t>Agosto/2026</t>
        </is>
      </c>
    </row>
    <row r="2218" hidden="1" ht="14.25" customHeight="1" s="64">
      <c r="A2218" s="106" t="inlineStr">
        <is>
          <t>TIC</t>
        </is>
      </c>
      <c r="B2218" s="106" t="inlineStr">
        <is>
          <t>Custo Fixo</t>
        </is>
      </c>
      <c r="C2218" s="106" t="inlineStr">
        <is>
          <t>Stargrid</t>
        </is>
      </c>
      <c r="D2218" s="107" t="n">
        <v>7</v>
      </c>
      <c r="E2218" s="108" t="n">
        <v>1.87</v>
      </c>
      <c r="F2218" s="109">
        <f>IFERROR(D2218*E2218,0)</f>
        <v/>
      </c>
      <c r="G2218" s="106">
        <f>INDEX(SETORES!$B:$B,MATCH(A2218,SETORES!$A:$A,0))</f>
        <v/>
      </c>
      <c r="H2218" s="106" t="inlineStr">
        <is>
          <t>Agosto/2026</t>
        </is>
      </c>
    </row>
    <row r="2219" hidden="1" ht="14.25" customHeight="1" s="64">
      <c r="A2219" s="106" t="inlineStr">
        <is>
          <t>TIC</t>
        </is>
      </c>
      <c r="B2219" s="106" t="inlineStr">
        <is>
          <t>Custo Fixo</t>
        </is>
      </c>
      <c r="C2219" s="106" t="inlineStr">
        <is>
          <t>Licença de e-mail corporativo</t>
        </is>
      </c>
      <c r="D2219" s="107" t="n">
        <v>7</v>
      </c>
      <c r="E2219" s="108" t="n">
        <v>50</v>
      </c>
      <c r="F2219" s="109">
        <f>IFERROR(D2219*E2219,0)</f>
        <v/>
      </c>
      <c r="G2219" s="106">
        <f>INDEX(SETORES!$B:$B,MATCH(A2219,SETORES!$A:$A,0))</f>
        <v/>
      </c>
      <c r="H2219" s="106" t="inlineStr">
        <is>
          <t>Agosto/2026</t>
        </is>
      </c>
    </row>
    <row r="2220" hidden="1" ht="14.25" customHeight="1" s="64">
      <c r="A2220" s="106" t="inlineStr">
        <is>
          <t>TIC</t>
        </is>
      </c>
      <c r="B2220" s="106" t="inlineStr">
        <is>
          <t>Custo Fixo</t>
        </is>
      </c>
      <c r="C2220" s="106" t="inlineStr">
        <is>
          <t>Despesas com RH</t>
        </is>
      </c>
      <c r="D2220" s="107" t="n">
        <v>7</v>
      </c>
      <c r="E2220" s="108" t="n">
        <v>32.55</v>
      </c>
      <c r="F2220" s="109">
        <f>IFERROR(D2220*E2220,0)</f>
        <v/>
      </c>
      <c r="G2220" s="106">
        <f>INDEX(SETORES!$B:$B,MATCH(A2220,SETORES!$A:$A,0))</f>
        <v/>
      </c>
      <c r="H2220" s="106" t="inlineStr">
        <is>
          <t>Agosto/2026</t>
        </is>
      </c>
    </row>
    <row r="2221" hidden="1" ht="14.25" customHeight="1" s="64">
      <c r="A2221" s="106" t="inlineStr">
        <is>
          <t>TIC</t>
        </is>
      </c>
      <c r="B2221" s="106" t="inlineStr">
        <is>
          <t>Custo Fixo</t>
        </is>
      </c>
      <c r="C2221" s="106" t="inlineStr">
        <is>
          <t>Despesas com DP</t>
        </is>
      </c>
      <c r="D2221" s="107" t="n">
        <v>7</v>
      </c>
      <c r="E2221" s="108" t="n">
        <v>52.09</v>
      </c>
      <c r="F2221" s="109">
        <f>IFERROR(D2221*E2221,0)</f>
        <v/>
      </c>
      <c r="G2221" s="106">
        <f>INDEX(SETORES!$B:$B,MATCH(A2221,SETORES!$A:$A,0))</f>
        <v/>
      </c>
      <c r="H2221" s="106" t="inlineStr">
        <is>
          <t>Agosto/2026</t>
        </is>
      </c>
    </row>
    <row r="2222" hidden="1" ht="14.25" customHeight="1" s="64">
      <c r="A2222" s="106" t="inlineStr">
        <is>
          <t>TIC</t>
        </is>
      </c>
      <c r="B2222" s="106" t="inlineStr">
        <is>
          <t>Custo Fixo</t>
        </is>
      </c>
      <c r="C2222" s="106" t="inlineStr">
        <is>
          <t>Despesas com SST</t>
        </is>
      </c>
      <c r="D2222" s="107" t="n">
        <v>7</v>
      </c>
      <c r="E2222" s="108" t="n">
        <v>52.35</v>
      </c>
      <c r="F2222" s="109">
        <f>IFERROR(D2222*E2222,0)</f>
        <v/>
      </c>
      <c r="G2222" s="106">
        <f>INDEX(SETORES!$B:$B,MATCH(A2222,SETORES!$A:$A,0))</f>
        <v/>
      </c>
      <c r="H2222" s="106" t="inlineStr">
        <is>
          <t>Agosto/2026</t>
        </is>
      </c>
    </row>
    <row r="2223" hidden="1" ht="14.25" customHeight="1" s="64">
      <c r="A2223" s="106" t="inlineStr">
        <is>
          <t>COE</t>
        </is>
      </c>
      <c r="B2223" s="106" t="inlineStr">
        <is>
          <t>Custo Fixo</t>
        </is>
      </c>
      <c r="C2223" s="106" t="inlineStr">
        <is>
          <t>Gympass</t>
        </is>
      </c>
      <c r="D2223" s="107" t="n"/>
      <c r="E2223" s="108" t="n"/>
      <c r="F2223" s="109">
        <f>IFERROR(D2223*E2223,0)</f>
        <v/>
      </c>
      <c r="G2223" s="106">
        <f>INDEX(SETORES!$B:$B,MATCH(A2223,SETORES!$A:$A,0))</f>
        <v/>
      </c>
      <c r="H2223" s="106" t="inlineStr">
        <is>
          <t>Agosto/2026</t>
        </is>
      </c>
    </row>
    <row r="2224" hidden="1" ht="14.25" customHeight="1" s="64">
      <c r="A2224" s="106" t="inlineStr">
        <is>
          <t>COE</t>
        </is>
      </c>
      <c r="B2224" s="106" t="inlineStr">
        <is>
          <t>Custo Fixo</t>
        </is>
      </c>
      <c r="C2224" s="106" t="inlineStr">
        <is>
          <t>Stargrid</t>
        </is>
      </c>
      <c r="D2224" s="107" t="n">
        <v>11</v>
      </c>
      <c r="E2224" s="108" t="n">
        <v>1.87</v>
      </c>
      <c r="F2224" s="109">
        <f>IFERROR(D2224*E2224,0)</f>
        <v/>
      </c>
      <c r="G2224" s="106">
        <f>INDEX(SETORES!$B:$B,MATCH(A2224,SETORES!$A:$A,0))</f>
        <v/>
      </c>
      <c r="H2224" s="106" t="inlineStr">
        <is>
          <t>Agosto/2026</t>
        </is>
      </c>
    </row>
    <row r="2225" hidden="1" ht="14.25" customHeight="1" s="64">
      <c r="A2225" s="106" t="inlineStr">
        <is>
          <t>COE</t>
        </is>
      </c>
      <c r="B2225" s="106" t="inlineStr">
        <is>
          <t>Custo Fixo</t>
        </is>
      </c>
      <c r="C2225" s="106" t="inlineStr">
        <is>
          <t>Licença de e-mail corporativo</t>
        </is>
      </c>
      <c r="D2225" s="107" t="n">
        <v>11</v>
      </c>
      <c r="E2225" s="108" t="n">
        <v>50</v>
      </c>
      <c r="F2225" s="109">
        <f>IFERROR(D2225*E2225,0)</f>
        <v/>
      </c>
      <c r="G2225" s="106">
        <f>INDEX(SETORES!$B:$B,MATCH(A2225,SETORES!$A:$A,0))</f>
        <v/>
      </c>
      <c r="H2225" s="106" t="inlineStr">
        <is>
          <t>Agosto/2026</t>
        </is>
      </c>
    </row>
    <row r="2226" hidden="1" ht="14.25" customHeight="1" s="64">
      <c r="A2226" s="106" t="inlineStr">
        <is>
          <t>COE</t>
        </is>
      </c>
      <c r="B2226" s="106" t="inlineStr">
        <is>
          <t>Custo Fixo</t>
        </is>
      </c>
      <c r="C2226" s="106" t="inlineStr">
        <is>
          <t>Despesas com RH</t>
        </is>
      </c>
      <c r="D2226" s="107" t="n">
        <v>11</v>
      </c>
      <c r="E2226" s="108" t="n">
        <v>32.55</v>
      </c>
      <c r="F2226" s="109">
        <f>IFERROR(D2226*E2226,0)</f>
        <v/>
      </c>
      <c r="G2226" s="106">
        <f>INDEX(SETORES!$B:$B,MATCH(A2226,SETORES!$A:$A,0))</f>
        <v/>
      </c>
      <c r="H2226" s="106" t="inlineStr">
        <is>
          <t>Agosto/2026</t>
        </is>
      </c>
    </row>
    <row r="2227" hidden="1" ht="14.25" customHeight="1" s="64">
      <c r="A2227" s="106" t="inlineStr">
        <is>
          <t>COE</t>
        </is>
      </c>
      <c r="B2227" s="106" t="inlineStr">
        <is>
          <t>Custo Fixo</t>
        </is>
      </c>
      <c r="C2227" s="106" t="inlineStr">
        <is>
          <t>Despesas com DP</t>
        </is>
      </c>
      <c r="D2227" s="107" t="n">
        <v>11</v>
      </c>
      <c r="E2227" s="108" t="n">
        <v>52.09</v>
      </c>
      <c r="F2227" s="109">
        <f>IFERROR(D2227*E2227,0)</f>
        <v/>
      </c>
      <c r="G2227" s="106">
        <f>INDEX(SETORES!$B:$B,MATCH(A2227,SETORES!$A:$A,0))</f>
        <v/>
      </c>
      <c r="H2227" s="106" t="inlineStr">
        <is>
          <t>Agosto/2026</t>
        </is>
      </c>
    </row>
    <row r="2228" hidden="1" ht="14.25" customHeight="1" s="64">
      <c r="A2228" s="106" t="inlineStr">
        <is>
          <t>COE</t>
        </is>
      </c>
      <c r="B2228" s="106" t="inlineStr">
        <is>
          <t>Custo Fixo</t>
        </is>
      </c>
      <c r="C2228" s="106" t="inlineStr">
        <is>
          <t>Despesas com SST</t>
        </is>
      </c>
      <c r="D2228" s="107" t="n">
        <v>11</v>
      </c>
      <c r="E2228" s="108" t="n">
        <v>52.35</v>
      </c>
      <c r="F2228" s="109">
        <f>IFERROR(D2228*E2228,0)</f>
        <v/>
      </c>
      <c r="G2228" s="106">
        <f>INDEX(SETORES!$B:$B,MATCH(A2228,SETORES!$A:$A,0))</f>
        <v/>
      </c>
      <c r="H2228" s="106" t="inlineStr">
        <is>
          <t>Agosto/2026</t>
        </is>
      </c>
    </row>
    <row r="2229" hidden="1" ht="14.25" customHeight="1" s="64">
      <c r="A2229" s="106" t="inlineStr">
        <is>
          <t>Fique Móvel</t>
        </is>
      </c>
      <c r="B2229" s="106" t="inlineStr">
        <is>
          <t>Custo Fixo</t>
        </is>
      </c>
      <c r="C2229" s="106" t="inlineStr">
        <is>
          <t>Gympass</t>
        </is>
      </c>
      <c r="D2229" s="107" t="n"/>
      <c r="E2229" s="108" t="n"/>
      <c r="F2229" s="109">
        <f>IFERROR(D2229*E2229,0)</f>
        <v/>
      </c>
      <c r="G2229" s="106">
        <f>INDEX(SETORES!$B:$B,MATCH(A2229,SETORES!$A:$A,0))</f>
        <v/>
      </c>
      <c r="H2229" s="106" t="inlineStr">
        <is>
          <t>Agosto/2026</t>
        </is>
      </c>
    </row>
    <row r="2230" hidden="1" ht="14.25" customHeight="1" s="64">
      <c r="A2230" s="106" t="inlineStr">
        <is>
          <t>Fique Móvel</t>
        </is>
      </c>
      <c r="B2230" s="106" t="inlineStr">
        <is>
          <t>Custo Fixo</t>
        </is>
      </c>
      <c r="C2230" s="106" t="inlineStr">
        <is>
          <t>Stargrid</t>
        </is>
      </c>
      <c r="D2230" s="107" t="n">
        <v>3</v>
      </c>
      <c r="E2230" s="108" t="n">
        <v>1.87</v>
      </c>
      <c r="F2230" s="109">
        <f>IFERROR(D2230*E2230,0)</f>
        <v/>
      </c>
      <c r="G2230" s="106">
        <f>INDEX(SETORES!$B:$B,MATCH(A2230,SETORES!$A:$A,0))</f>
        <v/>
      </c>
      <c r="H2230" s="106" t="inlineStr">
        <is>
          <t>Agosto/2026</t>
        </is>
      </c>
    </row>
    <row r="2231" hidden="1" ht="14.25" customHeight="1" s="64">
      <c r="A2231" s="106" t="inlineStr">
        <is>
          <t>Fique Móvel</t>
        </is>
      </c>
      <c r="B2231" s="106" t="inlineStr">
        <is>
          <t>Custo Fixo</t>
        </is>
      </c>
      <c r="C2231" s="106" t="inlineStr">
        <is>
          <t>Licença de e-mail corporativo</t>
        </is>
      </c>
      <c r="D2231" s="107" t="n">
        <v>3</v>
      </c>
      <c r="E2231" s="108" t="n">
        <v>50</v>
      </c>
      <c r="F2231" s="109">
        <f>IFERROR(D2231*E2231,0)</f>
        <v/>
      </c>
      <c r="G2231" s="106">
        <f>INDEX(SETORES!$B:$B,MATCH(A2231,SETORES!$A:$A,0))</f>
        <v/>
      </c>
      <c r="H2231" s="106" t="inlineStr">
        <is>
          <t>Agosto/2026</t>
        </is>
      </c>
    </row>
    <row r="2232" hidden="1" ht="14.25" customHeight="1" s="64">
      <c r="A2232" s="106" t="inlineStr">
        <is>
          <t>Fique Móvel</t>
        </is>
      </c>
      <c r="B2232" s="106" t="inlineStr">
        <is>
          <t>Custo Fixo</t>
        </is>
      </c>
      <c r="C2232" s="106" t="inlineStr">
        <is>
          <t>Despesas com RH</t>
        </is>
      </c>
      <c r="D2232" s="107" t="n">
        <v>3</v>
      </c>
      <c r="E2232" s="108" t="n">
        <v>32.55</v>
      </c>
      <c r="F2232" s="109">
        <f>IFERROR(D2232*E2232,0)</f>
        <v/>
      </c>
      <c r="G2232" s="106">
        <f>INDEX(SETORES!$B:$B,MATCH(A2232,SETORES!$A:$A,0))</f>
        <v/>
      </c>
      <c r="H2232" s="106" t="inlineStr">
        <is>
          <t>Agosto/2026</t>
        </is>
      </c>
    </row>
    <row r="2233" hidden="1" ht="14.25" customHeight="1" s="64">
      <c r="A2233" s="106" t="inlineStr">
        <is>
          <t>Fique Móvel</t>
        </is>
      </c>
      <c r="B2233" s="106" t="inlineStr">
        <is>
          <t>Custo Fixo</t>
        </is>
      </c>
      <c r="C2233" s="106" t="inlineStr">
        <is>
          <t>Despesas com DP</t>
        </is>
      </c>
      <c r="D2233" s="107" t="n">
        <v>3</v>
      </c>
      <c r="E2233" s="108" t="n">
        <v>52.09</v>
      </c>
      <c r="F2233" s="109">
        <f>IFERROR(D2233*E2233,0)</f>
        <v/>
      </c>
      <c r="G2233" s="106">
        <f>INDEX(SETORES!$B:$B,MATCH(A2233,SETORES!$A:$A,0))</f>
        <v/>
      </c>
      <c r="H2233" s="106" t="inlineStr">
        <is>
          <t>Agosto/2026</t>
        </is>
      </c>
    </row>
    <row r="2234" hidden="1" ht="14.25" customHeight="1" s="64">
      <c r="A2234" s="106" t="inlineStr">
        <is>
          <t>Fique Móvel</t>
        </is>
      </c>
      <c r="B2234" s="106" t="inlineStr">
        <is>
          <t>Custo Fixo</t>
        </is>
      </c>
      <c r="C2234" s="106" t="inlineStr">
        <is>
          <t>Despesas com SST</t>
        </is>
      </c>
      <c r="D2234" s="107" t="n">
        <v>3</v>
      </c>
      <c r="E2234" s="108" t="n">
        <v>52.35</v>
      </c>
      <c r="F2234" s="109">
        <f>IFERROR(D2234*E2234,0)</f>
        <v/>
      </c>
      <c r="G2234" s="106">
        <f>INDEX(SETORES!$B:$B,MATCH(A2234,SETORES!$A:$A,0))</f>
        <v/>
      </c>
      <c r="H2234" s="106" t="inlineStr">
        <is>
          <t>Agosto/2026</t>
        </is>
      </c>
    </row>
    <row r="2235" hidden="1" ht="14.25" customHeight="1" s="64">
      <c r="A2235" s="106" t="inlineStr">
        <is>
          <t>Lançamento</t>
        </is>
      </c>
      <c r="B2235" s="106" t="inlineStr">
        <is>
          <t>Custo Fixo</t>
        </is>
      </c>
      <c r="C2235" s="106" t="inlineStr">
        <is>
          <t>Gympass</t>
        </is>
      </c>
      <c r="D2235" s="107" t="n"/>
      <c r="E2235" s="108" t="n"/>
      <c r="F2235" s="109">
        <f>IFERROR(D2235*E2235,0)</f>
        <v/>
      </c>
      <c r="G2235" s="106">
        <f>INDEX(SETORES!$B:$B,MATCH(A2235,SETORES!$A:$A,0))</f>
        <v/>
      </c>
      <c r="H2235" s="106" t="inlineStr">
        <is>
          <t>Agosto/2026</t>
        </is>
      </c>
    </row>
    <row r="2236" hidden="1" ht="14.25" customHeight="1" s="64">
      <c r="A2236" s="106" t="inlineStr">
        <is>
          <t>Lançamento</t>
        </is>
      </c>
      <c r="B2236" s="106" t="inlineStr">
        <is>
          <t>Custo Fixo</t>
        </is>
      </c>
      <c r="C2236" s="106" t="inlineStr">
        <is>
          <t>Stargrid</t>
        </is>
      </c>
      <c r="D2236" s="107" t="n">
        <v>24</v>
      </c>
      <c r="E2236" s="108" t="n">
        <v>1.87</v>
      </c>
      <c r="F2236" s="109">
        <f>IFERROR(D2236*E2236,0)</f>
        <v/>
      </c>
      <c r="G2236" s="106">
        <f>INDEX(SETORES!$B:$B,MATCH(A2236,SETORES!$A:$A,0))</f>
        <v/>
      </c>
      <c r="H2236" s="106" t="inlineStr">
        <is>
          <t>Agosto/2026</t>
        </is>
      </c>
    </row>
    <row r="2237" hidden="1" ht="14.25" customHeight="1" s="64">
      <c r="A2237" s="106" t="inlineStr">
        <is>
          <t>Lançamento</t>
        </is>
      </c>
      <c r="B2237" s="106" t="inlineStr">
        <is>
          <t>Custo Fixo</t>
        </is>
      </c>
      <c r="C2237" s="106" t="inlineStr">
        <is>
          <t>Licença de e-mail corporativo</t>
        </is>
      </c>
      <c r="D2237" s="107" t="n">
        <v>24</v>
      </c>
      <c r="E2237" s="108" t="n">
        <v>50</v>
      </c>
      <c r="F2237" s="109">
        <f>IFERROR(D2237*E2237,0)</f>
        <v/>
      </c>
      <c r="G2237" s="106">
        <f>INDEX(SETORES!$B:$B,MATCH(A2237,SETORES!$A:$A,0))</f>
        <v/>
      </c>
      <c r="H2237" s="106" t="inlineStr">
        <is>
          <t>Agosto/2026</t>
        </is>
      </c>
    </row>
    <row r="2238" hidden="1" ht="14.25" customHeight="1" s="64">
      <c r="A2238" s="106" t="inlineStr">
        <is>
          <t>Lançamento</t>
        </is>
      </c>
      <c r="B2238" s="106" t="inlineStr">
        <is>
          <t>Custo Fixo</t>
        </is>
      </c>
      <c r="C2238" s="106" t="inlineStr">
        <is>
          <t>Despesas com RH</t>
        </is>
      </c>
      <c r="D2238" s="107" t="n">
        <v>24</v>
      </c>
      <c r="E2238" s="108" t="n">
        <v>32.55</v>
      </c>
      <c r="F2238" s="109">
        <f>IFERROR(D2238*E2238,0)</f>
        <v/>
      </c>
      <c r="G2238" s="106">
        <f>INDEX(SETORES!$B:$B,MATCH(A2238,SETORES!$A:$A,0))</f>
        <v/>
      </c>
      <c r="H2238" s="106" t="inlineStr">
        <is>
          <t>Agosto/2026</t>
        </is>
      </c>
    </row>
    <row r="2239" hidden="1" ht="14.25" customHeight="1" s="64">
      <c r="A2239" s="106" t="inlineStr">
        <is>
          <t>Lançamento</t>
        </is>
      </c>
      <c r="B2239" s="106" t="inlineStr">
        <is>
          <t>Custo Fixo</t>
        </is>
      </c>
      <c r="C2239" s="106" t="inlineStr">
        <is>
          <t>Despesas com DP</t>
        </is>
      </c>
      <c r="D2239" s="107" t="n">
        <v>24</v>
      </c>
      <c r="E2239" s="108" t="n">
        <v>52.09</v>
      </c>
      <c r="F2239" s="109">
        <f>IFERROR(D2239*E2239,0)</f>
        <v/>
      </c>
      <c r="G2239" s="106">
        <f>INDEX(SETORES!$B:$B,MATCH(A2239,SETORES!$A:$A,0))</f>
        <v/>
      </c>
      <c r="H2239" s="106" t="inlineStr">
        <is>
          <t>Agosto/2026</t>
        </is>
      </c>
    </row>
    <row r="2240" hidden="1" ht="14.25" customHeight="1" s="64">
      <c r="A2240" s="106" t="inlineStr">
        <is>
          <t>Lançamento</t>
        </is>
      </c>
      <c r="B2240" s="106" t="inlineStr">
        <is>
          <t>Custo Fixo</t>
        </is>
      </c>
      <c r="C2240" s="106" t="inlineStr">
        <is>
          <t>Despesas com SST</t>
        </is>
      </c>
      <c r="D2240" s="107" t="n">
        <v>24</v>
      </c>
      <c r="E2240" s="108" t="n">
        <v>52.35</v>
      </c>
      <c r="F2240" s="109">
        <f>IFERROR(D2240*E2240,0)</f>
        <v/>
      </c>
      <c r="G2240" s="106">
        <f>INDEX(SETORES!$B:$B,MATCH(A2240,SETORES!$A:$A,0))</f>
        <v/>
      </c>
      <c r="H2240" s="106" t="inlineStr">
        <is>
          <t>Agosto/2026</t>
        </is>
      </c>
    </row>
    <row r="2241" hidden="1" ht="14.25" customHeight="1" s="64">
      <c r="A2241" s="106" t="inlineStr">
        <is>
          <t>Fusão</t>
        </is>
      </c>
      <c r="B2241" s="106" t="inlineStr">
        <is>
          <t>Custo Fixo</t>
        </is>
      </c>
      <c r="C2241" s="106" t="inlineStr">
        <is>
          <t>Gympass</t>
        </is>
      </c>
      <c r="D2241" s="107" t="n"/>
      <c r="E2241" s="108" t="n"/>
      <c r="F2241" s="109">
        <f>IFERROR(D2241*E2241,0)</f>
        <v/>
      </c>
      <c r="G2241" s="106">
        <f>INDEX(SETORES!$B:$B,MATCH(A2241,SETORES!$A:$A,0))</f>
        <v/>
      </c>
      <c r="H2241" s="106" t="inlineStr">
        <is>
          <t>Agosto/2026</t>
        </is>
      </c>
    </row>
    <row r="2242" hidden="1" ht="14.25" customHeight="1" s="64">
      <c r="A2242" s="106" t="inlineStr">
        <is>
          <t>Fusão</t>
        </is>
      </c>
      <c r="B2242" s="106" t="inlineStr">
        <is>
          <t>Custo Fixo</t>
        </is>
      </c>
      <c r="C2242" s="106" t="inlineStr">
        <is>
          <t>Stargrid</t>
        </is>
      </c>
      <c r="D2242" s="107" t="n">
        <v>10</v>
      </c>
      <c r="E2242" s="108" t="n">
        <v>1.87</v>
      </c>
      <c r="F2242" s="109">
        <f>IFERROR(D2242*E2242,0)</f>
        <v/>
      </c>
      <c r="G2242" s="106">
        <f>INDEX(SETORES!$B:$B,MATCH(A2242,SETORES!$A:$A,0))</f>
        <v/>
      </c>
      <c r="H2242" s="106" t="inlineStr">
        <is>
          <t>Agosto/2026</t>
        </is>
      </c>
    </row>
    <row r="2243" hidden="1" ht="14.25" customHeight="1" s="64">
      <c r="A2243" s="106" t="inlineStr">
        <is>
          <t>Fusão</t>
        </is>
      </c>
      <c r="B2243" s="106" t="inlineStr">
        <is>
          <t>Custo Fixo</t>
        </is>
      </c>
      <c r="C2243" s="106" t="inlineStr">
        <is>
          <t>Licença de e-mail corporativo</t>
        </is>
      </c>
      <c r="D2243" s="107" t="n">
        <v>10</v>
      </c>
      <c r="E2243" s="108" t="n">
        <v>50</v>
      </c>
      <c r="F2243" s="109">
        <f>IFERROR(D2243*E2243,0)</f>
        <v/>
      </c>
      <c r="G2243" s="106">
        <f>INDEX(SETORES!$B:$B,MATCH(A2243,SETORES!$A:$A,0))</f>
        <v/>
      </c>
      <c r="H2243" s="106" t="inlineStr">
        <is>
          <t>Agosto/2026</t>
        </is>
      </c>
    </row>
    <row r="2244" hidden="1" ht="14.25" customHeight="1" s="64">
      <c r="A2244" s="106" t="inlineStr">
        <is>
          <t>Fusão</t>
        </is>
      </c>
      <c r="B2244" s="106" t="inlineStr">
        <is>
          <t>Custo Fixo</t>
        </is>
      </c>
      <c r="C2244" s="106" t="inlineStr">
        <is>
          <t>Despesas com RH</t>
        </is>
      </c>
      <c r="D2244" s="107" t="n">
        <v>10</v>
      </c>
      <c r="E2244" s="108" t="n">
        <v>32.55</v>
      </c>
      <c r="F2244" s="109">
        <f>IFERROR(D2244*E2244,0)</f>
        <v/>
      </c>
      <c r="G2244" s="106">
        <f>INDEX(SETORES!$B:$B,MATCH(A2244,SETORES!$A:$A,0))</f>
        <v/>
      </c>
      <c r="H2244" s="106" t="inlineStr">
        <is>
          <t>Agosto/2026</t>
        </is>
      </c>
    </row>
    <row r="2245" hidden="1" ht="14.25" customHeight="1" s="64">
      <c r="A2245" s="106" t="inlineStr">
        <is>
          <t>Fusão</t>
        </is>
      </c>
      <c r="B2245" s="106" t="inlineStr">
        <is>
          <t>Custo Fixo</t>
        </is>
      </c>
      <c r="C2245" s="106" t="inlineStr">
        <is>
          <t>Despesas com DP</t>
        </is>
      </c>
      <c r="D2245" s="107" t="n">
        <v>10</v>
      </c>
      <c r="E2245" s="108" t="n">
        <v>52.09</v>
      </c>
      <c r="F2245" s="109">
        <f>IFERROR(D2245*E2245,0)</f>
        <v/>
      </c>
      <c r="G2245" s="106">
        <f>INDEX(SETORES!$B:$B,MATCH(A2245,SETORES!$A:$A,0))</f>
        <v/>
      </c>
      <c r="H2245" s="106" t="inlineStr">
        <is>
          <t>Agosto/2026</t>
        </is>
      </c>
    </row>
    <row r="2246" hidden="1" ht="14.25" customHeight="1" s="64">
      <c r="A2246" s="106" t="inlineStr">
        <is>
          <t>Fusão</t>
        </is>
      </c>
      <c r="B2246" s="106" t="inlineStr">
        <is>
          <t>Custo Fixo</t>
        </is>
      </c>
      <c r="C2246" s="106" t="inlineStr">
        <is>
          <t>Despesas com SST</t>
        </is>
      </c>
      <c r="D2246" s="107" t="n">
        <v>10</v>
      </c>
      <c r="E2246" s="108" t="n">
        <v>52.35</v>
      </c>
      <c r="F2246" s="109">
        <f>IFERROR(D2246*E2246,0)</f>
        <v/>
      </c>
      <c r="G2246" s="106">
        <f>INDEX(SETORES!$B:$B,MATCH(A2246,SETORES!$A:$A,0))</f>
        <v/>
      </c>
      <c r="H2246" s="106" t="inlineStr">
        <is>
          <t>Agosto/2026</t>
        </is>
      </c>
    </row>
    <row r="2247" hidden="1" ht="14.25" customHeight="1" s="64">
      <c r="A2247" s="106" t="inlineStr">
        <is>
          <t>Diretoria Adm</t>
        </is>
      </c>
      <c r="B2247" s="106" t="inlineStr">
        <is>
          <t>Custo Fixo</t>
        </is>
      </c>
      <c r="C2247" s="106" t="inlineStr">
        <is>
          <t>Gympass</t>
        </is>
      </c>
      <c r="D2247" s="107" t="n"/>
      <c r="E2247" s="108" t="n"/>
      <c r="F2247" s="109">
        <f>IFERROR(D2247*E2247,0)</f>
        <v/>
      </c>
      <c r="G2247" s="106">
        <f>INDEX(SETORES!$B:$B,MATCH(A2247,SETORES!$A:$A,0))</f>
        <v/>
      </c>
      <c r="H2247" s="106" t="inlineStr">
        <is>
          <t>Agosto/2026</t>
        </is>
      </c>
    </row>
    <row r="2248" hidden="1" ht="14.25" customHeight="1" s="64">
      <c r="A2248" s="106" t="inlineStr">
        <is>
          <t>Diretoria Adm</t>
        </is>
      </c>
      <c r="B2248" s="106" t="inlineStr">
        <is>
          <t>Custo Fixo</t>
        </is>
      </c>
      <c r="C2248" s="106" t="inlineStr">
        <is>
          <t>Stargrid</t>
        </is>
      </c>
      <c r="D2248" s="107" t="n">
        <v>2</v>
      </c>
      <c r="E2248" s="108" t="n">
        <v>1.87</v>
      </c>
      <c r="F2248" s="109">
        <f>IFERROR(D2248*E2248,0)</f>
        <v/>
      </c>
      <c r="G2248" s="106">
        <f>INDEX(SETORES!$B:$B,MATCH(A2248,SETORES!$A:$A,0))</f>
        <v/>
      </c>
      <c r="H2248" s="106" t="inlineStr">
        <is>
          <t>Agosto/2026</t>
        </is>
      </c>
    </row>
    <row r="2249" hidden="1" ht="14.25" customHeight="1" s="64">
      <c r="A2249" s="106" t="inlineStr">
        <is>
          <t>Diretoria Adm</t>
        </is>
      </c>
      <c r="B2249" s="106" t="inlineStr">
        <is>
          <t>Custo Fixo</t>
        </is>
      </c>
      <c r="C2249" s="106" t="inlineStr">
        <is>
          <t>Licença de e-mail corporativo</t>
        </is>
      </c>
      <c r="D2249" s="107" t="n">
        <v>2</v>
      </c>
      <c r="E2249" s="108" t="n">
        <v>50</v>
      </c>
      <c r="F2249" s="109">
        <f>IFERROR(D2249*E2249,0)</f>
        <v/>
      </c>
      <c r="G2249" s="106">
        <f>INDEX(SETORES!$B:$B,MATCH(A2249,SETORES!$A:$A,0))</f>
        <v/>
      </c>
      <c r="H2249" s="106" t="inlineStr">
        <is>
          <t>Agosto/2026</t>
        </is>
      </c>
    </row>
    <row r="2250" hidden="1" ht="14.25" customHeight="1" s="64">
      <c r="A2250" s="106" t="inlineStr">
        <is>
          <t>Diretoria Adm</t>
        </is>
      </c>
      <c r="B2250" s="106" t="inlineStr">
        <is>
          <t>Custo Fixo</t>
        </is>
      </c>
      <c r="C2250" s="106" t="inlineStr">
        <is>
          <t>Despesas com RH</t>
        </is>
      </c>
      <c r="D2250" s="107" t="n">
        <v>2</v>
      </c>
      <c r="E2250" s="108" t="n">
        <v>32.55</v>
      </c>
      <c r="F2250" s="109">
        <f>IFERROR(D2250*E2250,0)</f>
        <v/>
      </c>
      <c r="G2250" s="106">
        <f>INDEX(SETORES!$B:$B,MATCH(A2250,SETORES!$A:$A,0))</f>
        <v/>
      </c>
      <c r="H2250" s="106" t="inlineStr">
        <is>
          <t>Agosto/2026</t>
        </is>
      </c>
    </row>
    <row r="2251" hidden="1" ht="14.25" customHeight="1" s="64">
      <c r="A2251" s="106" t="inlineStr">
        <is>
          <t>Diretoria Adm</t>
        </is>
      </c>
      <c r="B2251" s="106" t="inlineStr">
        <is>
          <t>Custo Fixo</t>
        </is>
      </c>
      <c r="C2251" s="106" t="inlineStr">
        <is>
          <t>Despesas com DP</t>
        </is>
      </c>
      <c r="D2251" s="107" t="n">
        <v>2</v>
      </c>
      <c r="E2251" s="108" t="n">
        <v>52.09</v>
      </c>
      <c r="F2251" s="109">
        <f>IFERROR(D2251*E2251,0)</f>
        <v/>
      </c>
      <c r="G2251" s="106">
        <f>INDEX(SETORES!$B:$B,MATCH(A2251,SETORES!$A:$A,0))</f>
        <v/>
      </c>
      <c r="H2251" s="106" t="inlineStr">
        <is>
          <t>Agosto/2026</t>
        </is>
      </c>
    </row>
    <row r="2252" hidden="1" ht="14.25" customHeight="1" s="64">
      <c r="A2252" s="106" t="inlineStr">
        <is>
          <t>Diretoria Adm</t>
        </is>
      </c>
      <c r="B2252" s="106" t="inlineStr">
        <is>
          <t>Custo Fixo</t>
        </is>
      </c>
      <c r="C2252" s="106" t="inlineStr">
        <is>
          <t>Despesas com SST</t>
        </is>
      </c>
      <c r="D2252" s="107" t="n">
        <v>2</v>
      </c>
      <c r="E2252" s="108" t="n">
        <v>52.35</v>
      </c>
      <c r="F2252" s="109">
        <f>IFERROR(D2252*E2252,0)</f>
        <v/>
      </c>
      <c r="G2252" s="106">
        <f>INDEX(SETORES!$B:$B,MATCH(A2252,SETORES!$A:$A,0))</f>
        <v/>
      </c>
      <c r="H2252" s="106" t="inlineStr">
        <is>
          <t>Agosto/2026</t>
        </is>
      </c>
    </row>
    <row r="2253" hidden="1" ht="14.25" customHeight="1" s="64">
      <c r="A2253" s="106" t="inlineStr">
        <is>
          <t>TIC</t>
        </is>
      </c>
      <c r="B2253" s="106" t="inlineStr">
        <is>
          <t>Custo Fixo</t>
        </is>
      </c>
      <c r="C2253" s="106" t="inlineStr">
        <is>
          <t>Impressora</t>
        </is>
      </c>
      <c r="D2253" s="107" t="n"/>
      <c r="E2253" s="108" t="n"/>
      <c r="F2253" s="109">
        <f>IFERROR(D2253*E2253,0)</f>
        <v/>
      </c>
      <c r="G2253" s="106">
        <f>INDEX(SETORES!$B:$B,MATCH(A2253,SETORES!$A:$A,0))</f>
        <v/>
      </c>
      <c r="H2253" s="106" t="inlineStr">
        <is>
          <t>Agosto/2026</t>
        </is>
      </c>
    </row>
    <row r="2254" hidden="1" ht="14.25" customHeight="1" s="64">
      <c r="A2254" s="106" t="inlineStr">
        <is>
          <t>Marketing</t>
        </is>
      </c>
      <c r="B2254" s="106" t="inlineStr">
        <is>
          <t>Custo Fixo</t>
        </is>
      </c>
      <c r="C2254" s="106" t="inlineStr">
        <is>
          <t>Impressora</t>
        </is>
      </c>
      <c r="D2254" s="107" t="n"/>
      <c r="E2254" s="108" t="n"/>
      <c r="F2254" s="109">
        <f>IFERROR(D2254*E2254,0)</f>
        <v/>
      </c>
      <c r="G2254" s="106">
        <f>INDEX(SETORES!$B:$B,MATCH(A2254,SETORES!$A:$A,0))</f>
        <v/>
      </c>
      <c r="H2254" s="106" t="inlineStr">
        <is>
          <t>Agosto/2026</t>
        </is>
      </c>
    </row>
    <row r="2255" hidden="1" ht="14.25" customHeight="1" s="64">
      <c r="A2255" s="106" t="inlineStr">
        <is>
          <t>NOC</t>
        </is>
      </c>
      <c r="B2255" s="106" t="inlineStr">
        <is>
          <t>Custo Fixo</t>
        </is>
      </c>
      <c r="C2255" s="106" t="inlineStr">
        <is>
          <t>Impressora</t>
        </is>
      </c>
      <c r="D2255" s="107" t="n"/>
      <c r="E2255" s="108" t="n"/>
      <c r="F2255" s="109">
        <f>IFERROR(D2255*E2255,0)</f>
        <v/>
      </c>
      <c r="G2255" s="106">
        <f>INDEX(SETORES!$B:$B,MATCH(A2255,SETORES!$A:$A,0))</f>
        <v/>
      </c>
      <c r="H2255" s="106" t="inlineStr">
        <is>
          <t>Agosto/2026</t>
        </is>
      </c>
    </row>
    <row r="2256" hidden="1" ht="14.25" customHeight="1" s="64">
      <c r="A2256" s="106" t="inlineStr">
        <is>
          <t>COE</t>
        </is>
      </c>
      <c r="B2256" s="106" t="inlineStr">
        <is>
          <t>Custo Fixo</t>
        </is>
      </c>
      <c r="C2256" s="106" t="inlineStr">
        <is>
          <t>Impressora</t>
        </is>
      </c>
      <c r="D2256" s="107" t="n"/>
      <c r="E2256" s="108" t="n"/>
      <c r="F2256" s="109">
        <f>IFERROR(D2256*E2256,0)</f>
        <v/>
      </c>
      <c r="G2256" s="106">
        <f>INDEX(SETORES!$B:$B,MATCH(A2256,SETORES!$A:$A,0))</f>
        <v/>
      </c>
      <c r="H2256" s="106" t="inlineStr">
        <is>
          <t>Agosto/2026</t>
        </is>
      </c>
    </row>
    <row r="2257" hidden="1" ht="14.25" customHeight="1" s="64">
      <c r="A2257" s="106" t="inlineStr">
        <is>
          <t>Oficina</t>
        </is>
      </c>
      <c r="B2257" s="106" t="inlineStr">
        <is>
          <t>Custo Fixo</t>
        </is>
      </c>
      <c r="C2257" s="106" t="inlineStr">
        <is>
          <t>Impressora</t>
        </is>
      </c>
      <c r="D2257" s="107" t="n"/>
      <c r="E2257" s="108" t="n"/>
      <c r="F2257" s="109">
        <f>IFERROR(D2257*E2257,0)</f>
        <v/>
      </c>
      <c r="G2257" s="106">
        <f>INDEX(SETORES!$B:$B,MATCH(A2257,SETORES!$A:$A,0))</f>
        <v/>
      </c>
      <c r="H2257" s="106" t="inlineStr">
        <is>
          <t>Agosto/2026</t>
        </is>
      </c>
    </row>
    <row r="2258" hidden="1" ht="14.25" customHeight="1" s="64">
      <c r="A2258" s="106" t="inlineStr">
        <is>
          <t>Jurídico</t>
        </is>
      </c>
      <c r="B2258" s="106" t="inlineStr">
        <is>
          <t>Custo Fixo</t>
        </is>
      </c>
      <c r="C2258" s="106" t="inlineStr">
        <is>
          <t>Impressora</t>
        </is>
      </c>
      <c r="D2258" s="107" t="n"/>
      <c r="E2258" s="108" t="n"/>
      <c r="F2258" s="109">
        <f>IFERROR(D2258*E2258,0)</f>
        <v/>
      </c>
      <c r="G2258" s="106">
        <f>INDEX(SETORES!$B:$B,MATCH(A2258,SETORES!$A:$A,0))</f>
        <v/>
      </c>
      <c r="H2258" s="106" t="inlineStr">
        <is>
          <t>Agosto/2026</t>
        </is>
      </c>
    </row>
    <row r="2259" hidden="1" ht="14.25" customHeight="1" s="64">
      <c r="A2259" s="106" t="inlineStr">
        <is>
          <t>Controladoria</t>
        </is>
      </c>
      <c r="B2259" s="106" t="inlineStr">
        <is>
          <t>Custo Fixo</t>
        </is>
      </c>
      <c r="C2259" s="106" t="inlineStr">
        <is>
          <t>Licença de e-mail corporativo</t>
        </is>
      </c>
      <c r="D2259" s="107" t="n"/>
      <c r="E2259" s="108" t="n"/>
      <c r="F2259" s="109">
        <f>IFERROR(D2259*E2259,0)</f>
        <v/>
      </c>
      <c r="G2259" s="106">
        <f>INDEX(SETORES!$B:$B,MATCH(A2259,SETORES!$A:$A,0))</f>
        <v/>
      </c>
      <c r="H2259" s="106" t="inlineStr">
        <is>
          <t>Agosto/2026</t>
        </is>
      </c>
    </row>
    <row r="2260" hidden="1" ht="14.25" customHeight="1" s="64">
      <c r="A2260" s="106" t="inlineStr">
        <is>
          <t>Jurídico</t>
        </is>
      </c>
      <c r="B2260" s="106" t="inlineStr">
        <is>
          <t>Custo Fixo</t>
        </is>
      </c>
      <c r="C2260" s="106" t="inlineStr">
        <is>
          <t>Consultoria Jurídica</t>
        </is>
      </c>
      <c r="D2260" s="107" t="n">
        <v>1</v>
      </c>
      <c r="E2260" s="108" t="n">
        <v>7500</v>
      </c>
      <c r="F2260" s="109">
        <f>IFERROR(D2260*E2260,0)</f>
        <v/>
      </c>
      <c r="G2260" s="106">
        <f>INDEX(SETORES!$B:$B,MATCH(A2260,SETORES!$A:$A,0))</f>
        <v/>
      </c>
      <c r="H2260" s="106" t="inlineStr">
        <is>
          <t>Agosto/2026</t>
        </is>
      </c>
    </row>
    <row r="2261" hidden="1" ht="14.25" customHeight="1" s="64">
      <c r="A2261" s="106" t="inlineStr">
        <is>
          <t>Cozinha</t>
        </is>
      </c>
      <c r="B2261" s="106" t="inlineStr">
        <is>
          <t>Custo Fixo</t>
        </is>
      </c>
      <c r="C2261" s="106" t="inlineStr">
        <is>
          <t>Folha de pagamento (salários)</t>
        </is>
      </c>
      <c r="D2261" s="107" t="n">
        <v>1</v>
      </c>
      <c r="E2261" s="108" t="n">
        <v>23971.48</v>
      </c>
      <c r="F2261" s="109">
        <f>IFERROR(D2261*E2261,0)</f>
        <v/>
      </c>
      <c r="G2261" s="106">
        <f>INDEX(SETORES!$B:$B,MATCH(A2261,SETORES!$A:$A,0))</f>
        <v/>
      </c>
      <c r="H2261" s="106" t="inlineStr">
        <is>
          <t>Agosto/2026</t>
        </is>
      </c>
    </row>
    <row r="2262" hidden="1" ht="14.25" customHeight="1" s="64">
      <c r="A2262" s="106" t="inlineStr">
        <is>
          <t>Cozinha</t>
        </is>
      </c>
      <c r="B2262" s="106" t="inlineStr">
        <is>
          <t>Custo Fixo</t>
        </is>
      </c>
      <c r="C2262" s="106" t="inlineStr">
        <is>
          <t>Licença de e-mail corporativo</t>
        </is>
      </c>
      <c r="D2262" s="107" t="n">
        <v>4</v>
      </c>
      <c r="E2262" s="108" t="n">
        <v>50</v>
      </c>
      <c r="F2262" s="109">
        <f>IFERROR(D2262*E2262,0)</f>
        <v/>
      </c>
      <c r="G2262" s="106">
        <f>INDEX(SETORES!$B:$B,MATCH(A2262,SETORES!$A:$A,0))</f>
        <v/>
      </c>
      <c r="H2262" s="106" t="inlineStr">
        <is>
          <t>Agosto/2026</t>
        </is>
      </c>
    </row>
    <row r="2263" hidden="1" ht="14.25" customHeight="1" s="64">
      <c r="A2263" s="106" t="inlineStr">
        <is>
          <t>COE</t>
        </is>
      </c>
      <c r="B2263" s="106" t="inlineStr">
        <is>
          <t>Custo Variável</t>
        </is>
      </c>
      <c r="C2263" s="106" t="inlineStr">
        <is>
          <t>Rateio de transporte coletivo</t>
        </is>
      </c>
      <c r="D2263" s="107" t="n"/>
      <c r="E2263" s="108" t="n"/>
      <c r="F2263" s="109">
        <f>IFERROR(D2263*E2263,0)</f>
        <v/>
      </c>
      <c r="G2263" s="106">
        <f>INDEX(SETORES!$B:$B,MATCH(A2263,SETORES!$A:$A,0))</f>
        <v/>
      </c>
      <c r="H2263" s="106" t="inlineStr">
        <is>
          <t>Agosto/2026</t>
        </is>
      </c>
    </row>
    <row r="2264" hidden="1" ht="14.25" customHeight="1" s="64">
      <c r="A2264" s="106" t="inlineStr">
        <is>
          <t>Cozinha</t>
        </is>
      </c>
      <c r="B2264" s="106" t="inlineStr">
        <is>
          <t>Custo Variável</t>
        </is>
      </c>
      <c r="C2264" s="106" t="inlineStr">
        <is>
          <t>Rateio de transporte coletivo</t>
        </is>
      </c>
      <c r="D2264" s="107" t="n"/>
      <c r="E2264" s="108" t="n"/>
      <c r="F2264" s="109">
        <f>IFERROR(D2264*E2264,0)</f>
        <v/>
      </c>
      <c r="G2264" s="106">
        <f>INDEX(SETORES!$B:$B,MATCH(A2264,SETORES!$A:$A,0))</f>
        <v/>
      </c>
      <c r="H2264" s="106" t="inlineStr">
        <is>
          <t>Agosto/2026</t>
        </is>
      </c>
    </row>
    <row r="2265" hidden="1" ht="14.25" customHeight="1" s="64">
      <c r="A2265" s="106" t="inlineStr">
        <is>
          <t>COE</t>
        </is>
      </c>
      <c r="B2265" s="106" t="inlineStr">
        <is>
          <t>Custo Fixo</t>
        </is>
      </c>
      <c r="C2265" s="106" t="inlineStr">
        <is>
          <t>Energia elétrica (rateio)</t>
        </is>
      </c>
      <c r="D2265" s="107" t="n"/>
      <c r="E2265" s="108" t="n"/>
      <c r="F2265" s="109">
        <f>IFERROR(D2265*E2265,0)</f>
        <v/>
      </c>
      <c r="G2265" s="106">
        <f>INDEX(SETORES!$B:$B,MATCH(A2265,SETORES!$A:$A,0))</f>
        <v/>
      </c>
      <c r="H2265" s="106" t="inlineStr">
        <is>
          <t>Agosto/2026</t>
        </is>
      </c>
    </row>
    <row r="2266" hidden="1" ht="14.25" customHeight="1" s="64">
      <c r="A2266" s="106" t="inlineStr">
        <is>
          <t>COE</t>
        </is>
      </c>
      <c r="B2266" s="106" t="inlineStr">
        <is>
          <t>Custo Fixo</t>
        </is>
      </c>
      <c r="C2266" s="106" t="inlineStr">
        <is>
          <t>Água e esgoto (rateio)</t>
        </is>
      </c>
      <c r="D2266" s="107" t="n"/>
      <c r="E2266" s="108" t="n"/>
      <c r="F2266" s="109">
        <f>IFERROR(D2266*E2266,0)</f>
        <v/>
      </c>
      <c r="G2266" s="106">
        <f>INDEX(SETORES!$B:$B,MATCH(A2266,SETORES!$A:$A,0))</f>
        <v/>
      </c>
      <c r="H2266" s="106" t="inlineStr">
        <is>
          <t>Agosto/2026</t>
        </is>
      </c>
    </row>
    <row r="2267" hidden="1" ht="14.25" customHeight="1" s="64">
      <c r="A2267" s="106" t="inlineStr">
        <is>
          <t>Cozinha</t>
        </is>
      </c>
      <c r="B2267" s="106" t="inlineStr">
        <is>
          <t>Custo Fixo</t>
        </is>
      </c>
      <c r="C2267" s="106" t="inlineStr">
        <is>
          <t>Energia elétrica (rateio)</t>
        </is>
      </c>
      <c r="D2267" s="107" t="n"/>
      <c r="E2267" s="108" t="n"/>
      <c r="F2267" s="109">
        <f>IFERROR(D2267*E2267,0)</f>
        <v/>
      </c>
      <c r="G2267" s="106">
        <f>INDEX(SETORES!$B:$B,MATCH(A2267,SETORES!$A:$A,0))</f>
        <v/>
      </c>
      <c r="H2267" s="106" t="inlineStr">
        <is>
          <t>Agosto/2026</t>
        </is>
      </c>
    </row>
    <row r="2268" hidden="1" ht="14.25" customHeight="1" s="64">
      <c r="A2268" s="106" t="inlineStr">
        <is>
          <t>Cozinha</t>
        </is>
      </c>
      <c r="B2268" s="106" t="inlineStr">
        <is>
          <t>Custo Fixo</t>
        </is>
      </c>
      <c r="C2268" s="106" t="inlineStr">
        <is>
          <t>Água e esgoto (rateio)</t>
        </is>
      </c>
      <c r="D2268" s="107" t="n"/>
      <c r="E2268" s="108" t="n"/>
      <c r="F2268" s="109">
        <f>IFERROR(D2268*E2268,0)</f>
        <v/>
      </c>
      <c r="G2268" s="106">
        <f>INDEX(SETORES!$B:$B,MATCH(A2268,SETORES!$A:$A,0))</f>
        <v/>
      </c>
      <c r="H2268" s="106" t="inlineStr">
        <is>
          <t>Agosto/2026</t>
        </is>
      </c>
    </row>
    <row r="2269" hidden="1" ht="14.25" customHeight="1" s="64">
      <c r="A2269" s="106" t="inlineStr">
        <is>
          <t>COE</t>
        </is>
      </c>
      <c r="B2269" s="106" t="inlineStr">
        <is>
          <t>Custo Variável</t>
        </is>
      </c>
      <c r="C2269" s="106" t="inlineStr">
        <is>
          <t>Rescisões trabalhistas</t>
        </is>
      </c>
      <c r="D2269" s="107" t="n"/>
      <c r="E2269" s="108" t="n"/>
      <c r="F2269" s="109">
        <f>IFERROR(D2269*E2269,0)</f>
        <v/>
      </c>
      <c r="G2269" s="106">
        <f>INDEX(SETORES!$B:$B,MATCH(A2269,SETORES!$A:$A,0))</f>
        <v/>
      </c>
      <c r="H2269" s="106" t="inlineStr">
        <is>
          <t>Agosto/2026</t>
        </is>
      </c>
    </row>
    <row r="2270" hidden="1" ht="14.25" customHeight="1" s="64">
      <c r="A2270" s="106" t="inlineStr">
        <is>
          <t>Compras</t>
        </is>
      </c>
      <c r="B2270" s="106" t="inlineStr">
        <is>
          <t>Custo Variável</t>
        </is>
      </c>
      <c r="C2270" s="106" t="inlineStr">
        <is>
          <t>Rescisões trabalhistas</t>
        </is>
      </c>
      <c r="D2270" s="107" t="n"/>
      <c r="E2270" s="108" t="n"/>
      <c r="F2270" s="109">
        <f>IFERROR(D2270*E2270,0)</f>
        <v/>
      </c>
      <c r="G2270" s="106">
        <f>INDEX(SETORES!$B:$B,MATCH(A2270,SETORES!$A:$A,0))</f>
        <v/>
      </c>
      <c r="H2270" s="106" t="inlineStr">
        <is>
          <t>Agosto/2026</t>
        </is>
      </c>
    </row>
    <row r="2271" hidden="1" ht="14.25" customHeight="1" s="64">
      <c r="A2271" s="106" t="inlineStr">
        <is>
          <t>Controladoria</t>
        </is>
      </c>
      <c r="B2271" s="106" t="inlineStr">
        <is>
          <t>Custo Variável</t>
        </is>
      </c>
      <c r="C2271" s="106" t="inlineStr">
        <is>
          <t>Rescisões trabalhistas</t>
        </is>
      </c>
      <c r="D2271" s="107" t="n"/>
      <c r="E2271" s="108" t="n"/>
      <c r="F2271" s="109">
        <f>IFERROR(D2271*E2271,0)</f>
        <v/>
      </c>
      <c r="G2271" s="106">
        <f>INDEX(SETORES!$B:$B,MATCH(A2271,SETORES!$A:$A,0))</f>
        <v/>
      </c>
      <c r="H2271" s="106" t="inlineStr">
        <is>
          <t>Agosto/2026</t>
        </is>
      </c>
    </row>
    <row r="2272" hidden="1" ht="14.25" customHeight="1" s="64">
      <c r="A2272" s="106" t="inlineStr">
        <is>
          <t>Cozinha</t>
        </is>
      </c>
      <c r="B2272" s="106" t="inlineStr">
        <is>
          <t>Custo Variável</t>
        </is>
      </c>
      <c r="C2272" s="106" t="inlineStr">
        <is>
          <t>Rescisões trabalhistas</t>
        </is>
      </c>
      <c r="D2272" s="107" t="n"/>
      <c r="E2272" s="108" t="n"/>
      <c r="F2272" s="109">
        <f>IFERROR(D2272*E2272,0)</f>
        <v/>
      </c>
      <c r="G2272" s="106">
        <f>INDEX(SETORES!$B:$B,MATCH(A2272,SETORES!$A:$A,0))</f>
        <v/>
      </c>
      <c r="H2272" s="106" t="inlineStr">
        <is>
          <t>Agosto/2026</t>
        </is>
      </c>
    </row>
    <row r="2273" hidden="1" ht="14.25" customHeight="1" s="64">
      <c r="A2273" s="106" t="inlineStr">
        <is>
          <t>Diretoria Adm</t>
        </is>
      </c>
      <c r="B2273" s="106" t="inlineStr">
        <is>
          <t>Custo Variável</t>
        </is>
      </c>
      <c r="C2273" s="106" t="inlineStr">
        <is>
          <t>Rescisões trabalhistas</t>
        </is>
      </c>
      <c r="D2273" s="107" t="n"/>
      <c r="E2273" s="108" t="n"/>
      <c r="F2273" s="109">
        <f>IFERROR(D2273*E2273,0)</f>
        <v/>
      </c>
      <c r="G2273" s="106">
        <f>INDEX(SETORES!$B:$B,MATCH(A2273,SETORES!$A:$A,0))</f>
        <v/>
      </c>
      <c r="H2273" s="106" t="inlineStr">
        <is>
          <t>Agosto/2026</t>
        </is>
      </c>
    </row>
    <row r="2274" hidden="1" ht="14.25" customHeight="1" s="64">
      <c r="A2274" s="106" t="inlineStr">
        <is>
          <t>Diretoria Operacional</t>
        </is>
      </c>
      <c r="B2274" s="106" t="inlineStr">
        <is>
          <t>Custo Variável</t>
        </is>
      </c>
      <c r="C2274" s="106" t="inlineStr">
        <is>
          <t>Rescisões trabalhistas</t>
        </is>
      </c>
      <c r="D2274" s="107" t="n"/>
      <c r="E2274" s="108" t="n"/>
      <c r="F2274" s="109">
        <f>IFERROR(D2274*E2274,0)</f>
        <v/>
      </c>
      <c r="G2274" s="106">
        <f>INDEX(SETORES!$B:$B,MATCH(A2274,SETORES!$A:$A,0))</f>
        <v/>
      </c>
      <c r="H2274" s="106" t="inlineStr">
        <is>
          <t>Agosto/2026</t>
        </is>
      </c>
    </row>
    <row r="2275" hidden="1" ht="14.25" customHeight="1" s="64">
      <c r="A2275" s="106" t="inlineStr">
        <is>
          <t>Financeiro</t>
        </is>
      </c>
      <c r="B2275" s="106" t="inlineStr">
        <is>
          <t>Custo Variável</t>
        </is>
      </c>
      <c r="C2275" s="106" t="inlineStr">
        <is>
          <t>Rescisões trabalhistas</t>
        </is>
      </c>
      <c r="D2275" s="107" t="n"/>
      <c r="E2275" s="108" t="n"/>
      <c r="F2275" s="109">
        <f>IFERROR(D2275*E2275,0)</f>
        <v/>
      </c>
      <c r="G2275" s="106">
        <f>INDEX(SETORES!$B:$B,MATCH(A2275,SETORES!$A:$A,0))</f>
        <v/>
      </c>
      <c r="H2275" s="106" t="inlineStr">
        <is>
          <t>Agosto/2026</t>
        </is>
      </c>
    </row>
    <row r="2276" hidden="1" ht="14.25" customHeight="1" s="64">
      <c r="A2276" s="106" t="inlineStr">
        <is>
          <t>Fique Móvel</t>
        </is>
      </c>
      <c r="B2276" s="106" t="inlineStr">
        <is>
          <t>Custo Variável</t>
        </is>
      </c>
      <c r="C2276" s="106" t="inlineStr">
        <is>
          <t>Rescisões trabalhistas</t>
        </is>
      </c>
      <c r="D2276" s="107" t="n"/>
      <c r="E2276" s="108" t="n"/>
      <c r="F2276" s="109">
        <f>IFERROR(D2276*E2276,0)</f>
        <v/>
      </c>
      <c r="G2276" s="106">
        <f>INDEX(SETORES!$B:$B,MATCH(A2276,SETORES!$A:$A,0))</f>
        <v/>
      </c>
      <c r="H2276" s="106" t="inlineStr">
        <is>
          <t>Agosto/2026</t>
        </is>
      </c>
    </row>
    <row r="2277" hidden="1" ht="14.25" customHeight="1" s="64">
      <c r="A2277" s="106" t="inlineStr">
        <is>
          <t>Fusão</t>
        </is>
      </c>
      <c r="B2277" s="106" t="inlineStr">
        <is>
          <t>Custo Variável</t>
        </is>
      </c>
      <c r="C2277" s="106" t="inlineStr">
        <is>
          <t>Rescisões trabalhistas</t>
        </is>
      </c>
      <c r="D2277" s="107" t="n"/>
      <c r="E2277" s="108" t="n"/>
      <c r="F2277" s="109">
        <f>IFERROR(D2277*E2277,0)</f>
        <v/>
      </c>
      <c r="G2277" s="106">
        <f>INDEX(SETORES!$B:$B,MATCH(A2277,SETORES!$A:$A,0))</f>
        <v/>
      </c>
      <c r="H2277" s="106" t="inlineStr">
        <is>
          <t>Agosto/2026</t>
        </is>
      </c>
    </row>
    <row r="2278" hidden="1" ht="14.25" customHeight="1" s="64">
      <c r="A2278" s="106" t="inlineStr">
        <is>
          <t>Gestão de Atendimento</t>
        </is>
      </c>
      <c r="B2278" s="106" t="inlineStr">
        <is>
          <t>Custo Variável</t>
        </is>
      </c>
      <c r="C2278" s="106" t="inlineStr">
        <is>
          <t>Rescisões trabalhistas</t>
        </is>
      </c>
      <c r="D2278" s="107" t="n"/>
      <c r="E2278" s="108" t="n"/>
      <c r="F2278" s="109">
        <f>IFERROR(D2278*E2278,0)</f>
        <v/>
      </c>
      <c r="G2278" s="106">
        <f>INDEX(SETORES!$B:$B,MATCH(A2278,SETORES!$A:$A,0))</f>
        <v/>
      </c>
      <c r="H2278" s="106" t="inlineStr">
        <is>
          <t>Agosto/2026</t>
        </is>
      </c>
    </row>
    <row r="2279" hidden="1" ht="14.25" customHeight="1" s="64">
      <c r="A2279" s="106" t="inlineStr">
        <is>
          <t>Jurídico</t>
        </is>
      </c>
      <c r="B2279" s="106" t="inlineStr">
        <is>
          <t>Custo Variável</t>
        </is>
      </c>
      <c r="C2279" s="106" t="inlineStr">
        <is>
          <t>Rescisões trabalhistas</t>
        </is>
      </c>
      <c r="D2279" s="107" t="n"/>
      <c r="E2279" s="108" t="n"/>
      <c r="F2279" s="109">
        <f>IFERROR(D2279*E2279,0)</f>
        <v/>
      </c>
      <c r="G2279" s="106">
        <f>INDEX(SETORES!$B:$B,MATCH(A2279,SETORES!$A:$A,0))</f>
        <v/>
      </c>
      <c r="H2279" s="106" t="inlineStr">
        <is>
          <t>Agosto/2026</t>
        </is>
      </c>
    </row>
    <row r="2280" hidden="1" ht="14.25" customHeight="1" s="64">
      <c r="A2280" s="106" t="inlineStr">
        <is>
          <t>Logística</t>
        </is>
      </c>
      <c r="B2280" s="106" t="inlineStr">
        <is>
          <t>Custo Variável</t>
        </is>
      </c>
      <c r="C2280" s="106" t="inlineStr">
        <is>
          <t>Rescisões trabalhistas</t>
        </is>
      </c>
      <c r="D2280" s="107" t="n"/>
      <c r="E2280" s="108" t="n"/>
      <c r="F2280" s="109">
        <f>IFERROR(D2280*E2280,0)</f>
        <v/>
      </c>
      <c r="G2280" s="106">
        <f>INDEX(SETORES!$B:$B,MATCH(A2280,SETORES!$A:$A,0))</f>
        <v/>
      </c>
      <c r="H2280" s="106" t="inlineStr">
        <is>
          <t>Agosto/2026</t>
        </is>
      </c>
    </row>
    <row r="2281" hidden="1" ht="14.25" customHeight="1" s="64">
      <c r="A2281" s="106" t="inlineStr">
        <is>
          <t>Marketing</t>
        </is>
      </c>
      <c r="B2281" s="106" t="inlineStr">
        <is>
          <t>Custo Variável</t>
        </is>
      </c>
      <c r="C2281" s="106" t="inlineStr">
        <is>
          <t>Rescisões trabalhistas</t>
        </is>
      </c>
      <c r="D2281" s="107" t="n"/>
      <c r="E2281" s="108" t="n"/>
      <c r="F2281" s="109">
        <f>IFERROR(D2281*E2281,0)</f>
        <v/>
      </c>
      <c r="G2281" s="106">
        <f>INDEX(SETORES!$B:$B,MATCH(A2281,SETORES!$A:$A,0))</f>
        <v/>
      </c>
      <c r="H2281" s="106" t="inlineStr">
        <is>
          <t>Agosto/2026</t>
        </is>
      </c>
    </row>
    <row r="2282" hidden="1" ht="14.25" customHeight="1" s="64">
      <c r="A2282" s="106" t="inlineStr">
        <is>
          <t>Oficina</t>
        </is>
      </c>
      <c r="B2282" s="106" t="inlineStr">
        <is>
          <t>Custo Variável</t>
        </is>
      </c>
      <c r="C2282" s="106" t="inlineStr">
        <is>
          <t>Rescisões trabalhistas</t>
        </is>
      </c>
      <c r="D2282" s="107" t="n"/>
      <c r="E2282" s="108" t="n"/>
      <c r="F2282" s="109">
        <f>IFERROR(D2282*E2282,0)</f>
        <v/>
      </c>
      <c r="G2282" s="106">
        <f>INDEX(SETORES!$B:$B,MATCH(A2282,SETORES!$A:$A,0))</f>
        <v/>
      </c>
      <c r="H2282" s="106" t="inlineStr">
        <is>
          <t>Agosto/2026</t>
        </is>
      </c>
    </row>
    <row r="2283" hidden="1" ht="14.25" customHeight="1" s="64">
      <c r="A2283" s="106" t="inlineStr">
        <is>
          <t>Qualidade</t>
        </is>
      </c>
      <c r="B2283" s="106" t="inlineStr">
        <is>
          <t>Custo Variável</t>
        </is>
      </c>
      <c r="C2283" s="106" t="inlineStr">
        <is>
          <t>Rescisões trabalhistas</t>
        </is>
      </c>
      <c r="D2283" s="107" t="n"/>
      <c r="E2283" s="108" t="n"/>
      <c r="F2283" s="109">
        <f>IFERROR(D2283*E2283,0)</f>
        <v/>
      </c>
      <c r="G2283" s="106">
        <f>INDEX(SETORES!$B:$B,MATCH(A2283,SETORES!$A:$A,0))</f>
        <v/>
      </c>
      <c r="H2283" s="106" t="inlineStr">
        <is>
          <t>Agosto/2026</t>
        </is>
      </c>
    </row>
    <row r="2284" hidden="1" ht="14.25" customHeight="1" s="64">
      <c r="A2284" s="106" t="inlineStr">
        <is>
          <t>RH</t>
        </is>
      </c>
      <c r="B2284" s="106" t="inlineStr">
        <is>
          <t>Custo Variável</t>
        </is>
      </c>
      <c r="C2284" s="106" t="inlineStr">
        <is>
          <t>Rescisões trabalhistas</t>
        </is>
      </c>
      <c r="D2284" s="107" t="n"/>
      <c r="E2284" s="108" t="n"/>
      <c r="F2284" s="109">
        <f>IFERROR(D2284*E2284,0)</f>
        <v/>
      </c>
      <c r="G2284" s="106">
        <f>INDEX(SETORES!$B:$B,MATCH(A2284,SETORES!$A:$A,0))</f>
        <v/>
      </c>
      <c r="H2284" s="106" t="inlineStr">
        <is>
          <t>Agosto/2026</t>
        </is>
      </c>
    </row>
    <row r="2285" hidden="1" ht="14.25" customHeight="1" s="64">
      <c r="A2285" s="106" t="inlineStr">
        <is>
          <t>Fique Móvel</t>
        </is>
      </c>
      <c r="B2285" s="106" t="inlineStr">
        <is>
          <t>Custo Fixo</t>
        </is>
      </c>
      <c r="C2285" s="106" t="inlineStr">
        <is>
          <t>Impressora</t>
        </is>
      </c>
      <c r="D2285" s="107" t="n"/>
      <c r="E2285" s="108" t="n"/>
      <c r="F2285" s="109">
        <f>IFERROR(D2285*E2285,0)</f>
        <v/>
      </c>
      <c r="G2285" s="106">
        <f>INDEX(SETORES!$B:$B,MATCH(A2285,SETORES!$A:$A,0))</f>
        <v/>
      </c>
      <c r="H2285" s="106" t="inlineStr">
        <is>
          <t>Agosto/2026</t>
        </is>
      </c>
    </row>
    <row r="2286" hidden="1" ht="14.25" customHeight="1" s="64">
      <c r="A2286" s="106" t="inlineStr">
        <is>
          <t>Comercial Corporativo</t>
        </is>
      </c>
      <c r="B2286" s="106" t="inlineStr">
        <is>
          <t>Custo Fixo</t>
        </is>
      </c>
      <c r="C2286" s="106" t="inlineStr">
        <is>
          <t>Impressora</t>
        </is>
      </c>
      <c r="D2286" s="107" t="n"/>
      <c r="E2286" s="108" t="n"/>
      <c r="F2286" s="109">
        <f>IFERROR(D2286*E2286,0)</f>
        <v/>
      </c>
      <c r="G2286" s="106">
        <f>INDEX(SETORES!$B:$B,MATCH(A2286,SETORES!$A:$A,0))</f>
        <v/>
      </c>
      <c r="H2286" s="106" t="inlineStr">
        <is>
          <t>Agosto/2026</t>
        </is>
      </c>
    </row>
    <row r="2287" hidden="1" ht="14.25" customHeight="1" s="64">
      <c r="A2287" s="106" t="inlineStr">
        <is>
          <t>Contabilidade</t>
        </is>
      </c>
      <c r="B2287" s="106" t="inlineStr">
        <is>
          <t>Custo Fixo</t>
        </is>
      </c>
      <c r="C2287" s="106" t="inlineStr">
        <is>
          <t>Impressora</t>
        </is>
      </c>
      <c r="D2287" s="107" t="n"/>
      <c r="E2287" s="108" t="n"/>
      <c r="F2287" s="109">
        <f>IFERROR(D2287*E2287,0)</f>
        <v/>
      </c>
      <c r="G2287" s="106">
        <f>INDEX(SETORES!$B:$B,MATCH(A2287,SETORES!$A:$A,0))</f>
        <v/>
      </c>
      <c r="H2287" s="106" t="inlineStr">
        <is>
          <t>Agosto/2026</t>
        </is>
      </c>
    </row>
    <row r="2288" hidden="1" ht="14.25" customHeight="1" s="64">
      <c r="A2288" s="106" t="inlineStr">
        <is>
          <t>Qualidade</t>
        </is>
      </c>
      <c r="B2288" s="106" t="inlineStr">
        <is>
          <t>Custo Fixo</t>
        </is>
      </c>
      <c r="C2288" s="106" t="inlineStr">
        <is>
          <t>Impressora</t>
        </is>
      </c>
      <c r="D2288" s="107" t="n"/>
      <c r="E2288" s="108" t="n"/>
      <c r="F2288" s="109">
        <f>IFERROR(D2288*E2288,0)</f>
        <v/>
      </c>
      <c r="G2288" s="106">
        <f>INDEX(SETORES!$B:$B,MATCH(A2288,SETORES!$A:$A,0))</f>
        <v/>
      </c>
      <c r="H2288" s="106" t="inlineStr">
        <is>
          <t>Agosto/2026</t>
        </is>
      </c>
    </row>
    <row r="2289" hidden="1" ht="14.25" customHeight="1" s="64">
      <c r="A2289" s="106" t="inlineStr">
        <is>
          <t>Diretoria Adm</t>
        </is>
      </c>
      <c r="B2289" s="106" t="inlineStr">
        <is>
          <t>Custo Fixo</t>
        </is>
      </c>
      <c r="C2289" s="106" t="inlineStr">
        <is>
          <t>Impressora</t>
        </is>
      </c>
      <c r="D2289" s="107" t="n"/>
      <c r="E2289" s="108" t="n"/>
      <c r="F2289" s="109">
        <f>IFERROR(D2289*E2289,0)</f>
        <v/>
      </c>
      <c r="G2289" s="106">
        <f>INDEX(SETORES!$B:$B,MATCH(A2289,SETORES!$A:$A,0))</f>
        <v/>
      </c>
      <c r="H2289" s="106" t="inlineStr">
        <is>
          <t>Agosto/2026</t>
        </is>
      </c>
    </row>
    <row r="2290" hidden="1" ht="14.25" customHeight="1" s="64">
      <c r="A2290" s="106" t="inlineStr">
        <is>
          <t>Diretoria Operacional</t>
        </is>
      </c>
      <c r="B2290" s="106" t="inlineStr">
        <is>
          <t>Custo Fixo</t>
        </is>
      </c>
      <c r="C2290" s="106" t="inlineStr">
        <is>
          <t>Impressora</t>
        </is>
      </c>
      <c r="D2290" s="107" t="n"/>
      <c r="E2290" s="108" t="n"/>
      <c r="F2290" s="109">
        <f>IFERROR(D2290*E2290,0)</f>
        <v/>
      </c>
      <c r="G2290" s="106">
        <f>INDEX(SETORES!$B:$B,MATCH(A2290,SETORES!$A:$A,0))</f>
        <v/>
      </c>
      <c r="H2290" s="106" t="inlineStr">
        <is>
          <t>Agosto/2026</t>
        </is>
      </c>
    </row>
    <row r="2291" hidden="1" ht="14.25" customHeight="1" s="64">
      <c r="A2291" s="106" t="inlineStr">
        <is>
          <t>Gestão de Atendimento</t>
        </is>
      </c>
      <c r="B2291" s="106" t="inlineStr">
        <is>
          <t>Custo Fixo</t>
        </is>
      </c>
      <c r="C2291" s="106" t="inlineStr">
        <is>
          <t>Impressora</t>
        </is>
      </c>
      <c r="D2291" s="107" t="n"/>
      <c r="E2291" s="108" t="n"/>
      <c r="F2291" s="109">
        <f>IFERROR(D2291*E2291,0)</f>
        <v/>
      </c>
      <c r="G2291" s="106">
        <f>INDEX(SETORES!$B:$B,MATCH(A2291,SETORES!$A:$A,0))</f>
        <v/>
      </c>
      <c r="H2291" s="106" t="inlineStr">
        <is>
          <t>Agosto/2026</t>
        </is>
      </c>
    </row>
    <row r="2292" hidden="1" ht="14.25" customHeight="1" s="64">
      <c r="A2292" s="106" t="inlineStr">
        <is>
          <t>Controladoria</t>
        </is>
      </c>
      <c r="B2292" s="106" t="inlineStr">
        <is>
          <t>Custo Fixo</t>
        </is>
      </c>
      <c r="C2292" s="106" t="inlineStr">
        <is>
          <t>Impressora</t>
        </is>
      </c>
      <c r="D2292" s="107" t="n"/>
      <c r="E2292" s="108" t="n"/>
      <c r="F2292" s="109">
        <f>IFERROR(D2292*E2292,0)</f>
        <v/>
      </c>
      <c r="G2292" s="106">
        <f>INDEX(SETORES!$B:$B,MATCH(A2292,SETORES!$A:$A,0))</f>
        <v/>
      </c>
      <c r="H2292" s="106" t="inlineStr">
        <is>
          <t>Agosto/2026</t>
        </is>
      </c>
    </row>
    <row r="2293" hidden="1" ht="14.25" customHeight="1" s="64">
      <c r="A2293" s="106" t="inlineStr">
        <is>
          <t>CAC</t>
        </is>
      </c>
      <c r="B2293" s="106" t="inlineStr">
        <is>
          <t>Custo Fixo</t>
        </is>
      </c>
      <c r="C2293" s="106" t="inlineStr">
        <is>
          <t>Chip móvel corporativo</t>
        </is>
      </c>
      <c r="D2293" s="107" t="n">
        <v>1</v>
      </c>
      <c r="E2293" s="108" t="n">
        <v>30</v>
      </c>
      <c r="F2293" s="109">
        <f>IFERROR(D2293*E2293,0)</f>
        <v/>
      </c>
      <c r="G2293" s="106">
        <f>INDEX(SETORES!$B:$B,MATCH(A2293,SETORES!$A:$A,0))</f>
        <v/>
      </c>
      <c r="H2293" s="106" t="inlineStr">
        <is>
          <t>Agosto/2026</t>
        </is>
      </c>
    </row>
    <row r="2294" hidden="1" ht="14.25" customHeight="1" s="64">
      <c r="A2294" s="106" t="inlineStr">
        <is>
          <t>COE</t>
        </is>
      </c>
      <c r="B2294" s="106" t="inlineStr">
        <is>
          <t>Custo Fixo</t>
        </is>
      </c>
      <c r="C2294" s="106" t="inlineStr">
        <is>
          <t>Chip móvel corporativo</t>
        </is>
      </c>
      <c r="D2294" s="107" t="n">
        <v>12</v>
      </c>
      <c r="E2294" s="108" t="n">
        <v>30</v>
      </c>
      <c r="F2294" s="109">
        <f>IFERROR(D2294*E2294,0)</f>
        <v/>
      </c>
      <c r="G2294" s="106">
        <f>INDEX(SETORES!$B:$B,MATCH(A2294,SETORES!$A:$A,0))</f>
        <v/>
      </c>
      <c r="H2294" s="106" t="inlineStr">
        <is>
          <t>Agosto/2026</t>
        </is>
      </c>
    </row>
    <row r="2295" hidden="1" ht="14.25" customHeight="1" s="64">
      <c r="A2295" s="106" t="inlineStr">
        <is>
          <t>Compras</t>
        </is>
      </c>
      <c r="B2295" s="106" t="inlineStr">
        <is>
          <t>Custo Fixo</t>
        </is>
      </c>
      <c r="C2295" s="106" t="inlineStr">
        <is>
          <t>Chip móvel corporativo</t>
        </is>
      </c>
      <c r="D2295" s="107" t="n">
        <v>2</v>
      </c>
      <c r="E2295" s="108" t="n">
        <v>30</v>
      </c>
      <c r="F2295" s="109">
        <f>IFERROR(D2295*E2295,0)</f>
        <v/>
      </c>
      <c r="G2295" s="106">
        <f>INDEX(SETORES!$B:$B,MATCH(A2295,SETORES!$A:$A,0))</f>
        <v/>
      </c>
      <c r="H2295" s="106" t="inlineStr">
        <is>
          <t>Agosto/2026</t>
        </is>
      </c>
    </row>
    <row r="2296" hidden="1" ht="14.25" customHeight="1" s="64">
      <c r="A2296" s="106" t="inlineStr">
        <is>
          <t>Contabilidade</t>
        </is>
      </c>
      <c r="B2296" s="106" t="inlineStr">
        <is>
          <t>Custo Fixo</t>
        </is>
      </c>
      <c r="C2296" s="106" t="inlineStr">
        <is>
          <t>Chip móvel corporativo</t>
        </is>
      </c>
      <c r="D2296" s="107" t="n">
        <v>2</v>
      </c>
      <c r="E2296" s="108" t="n">
        <v>30</v>
      </c>
      <c r="F2296" s="109">
        <f>IFERROR(D2296*E2296,0)</f>
        <v/>
      </c>
      <c r="G2296" s="106">
        <f>INDEX(SETORES!$B:$B,MATCH(A2296,SETORES!$A:$A,0))</f>
        <v/>
      </c>
      <c r="H2296" s="106" t="inlineStr">
        <is>
          <t>Agosto/2026</t>
        </is>
      </c>
    </row>
    <row r="2297" hidden="1" ht="14.25" customHeight="1" s="64">
      <c r="A2297" s="106" t="inlineStr">
        <is>
          <t>DP</t>
        </is>
      </c>
      <c r="B2297" s="106" t="inlineStr">
        <is>
          <t>Custo Fixo</t>
        </is>
      </c>
      <c r="C2297" s="106" t="inlineStr">
        <is>
          <t>Chip móvel corporativo</t>
        </is>
      </c>
      <c r="D2297" s="107" t="n">
        <v>2</v>
      </c>
      <c r="E2297" s="108" t="n">
        <v>30</v>
      </c>
      <c r="F2297" s="109">
        <f>IFERROR(D2297*E2297,0)</f>
        <v/>
      </c>
      <c r="G2297" s="106">
        <f>INDEX(SETORES!$B:$B,MATCH(A2297,SETORES!$A:$A,0))</f>
        <v/>
      </c>
      <c r="H2297" s="106" t="inlineStr">
        <is>
          <t>Agosto/2026</t>
        </is>
      </c>
    </row>
    <row r="2298" hidden="1" ht="14.25" customHeight="1" s="64">
      <c r="A2298" s="106" t="inlineStr">
        <is>
          <t>Engenharia</t>
        </is>
      </c>
      <c r="B2298" s="106" t="inlineStr">
        <is>
          <t>Custo Fixo</t>
        </is>
      </c>
      <c r="C2298" s="106" t="inlineStr">
        <is>
          <t>Chip móvel corporativo</t>
        </is>
      </c>
      <c r="D2298" s="107" t="n">
        <v>8</v>
      </c>
      <c r="E2298" s="108" t="n">
        <v>30</v>
      </c>
      <c r="F2298" s="109">
        <f>IFERROR(D2298*E2298,0)</f>
        <v/>
      </c>
      <c r="G2298" s="106">
        <f>INDEX(SETORES!$B:$B,MATCH(A2298,SETORES!$A:$A,0))</f>
        <v/>
      </c>
      <c r="H2298" s="106" t="inlineStr">
        <is>
          <t>Agosto/2026</t>
        </is>
      </c>
    </row>
    <row r="2299" hidden="1" ht="14.25" customHeight="1" s="64">
      <c r="A2299" s="106" t="inlineStr">
        <is>
          <t>Financeiro</t>
        </is>
      </c>
      <c r="B2299" s="106" t="inlineStr">
        <is>
          <t>Custo Fixo</t>
        </is>
      </c>
      <c r="C2299" s="106" t="inlineStr">
        <is>
          <t>Chip móvel corporativo</t>
        </is>
      </c>
      <c r="D2299" s="107" t="n">
        <v>2</v>
      </c>
      <c r="E2299" s="108" t="n">
        <v>30</v>
      </c>
      <c r="F2299" s="109">
        <f>IFERROR(D2299*E2299,0)</f>
        <v/>
      </c>
      <c r="G2299" s="106">
        <f>INDEX(SETORES!$B:$B,MATCH(A2299,SETORES!$A:$A,0))</f>
        <v/>
      </c>
      <c r="H2299" s="106" t="inlineStr">
        <is>
          <t>Agosto/2026</t>
        </is>
      </c>
    </row>
    <row r="2300" hidden="1" ht="14.25" customHeight="1" s="64">
      <c r="A2300" s="106" t="inlineStr">
        <is>
          <t>Fique Móvel</t>
        </is>
      </c>
      <c r="B2300" s="106" t="inlineStr">
        <is>
          <t>Custo Fixo</t>
        </is>
      </c>
      <c r="C2300" s="106" t="inlineStr">
        <is>
          <t>Chip móvel corporativo</t>
        </is>
      </c>
      <c r="D2300" s="107" t="n">
        <v>2</v>
      </c>
      <c r="E2300" s="108" t="n">
        <v>30</v>
      </c>
      <c r="F2300" s="109">
        <f>IFERROR(D2300*E2300,0)</f>
        <v/>
      </c>
      <c r="G2300" s="106">
        <f>INDEX(SETORES!$B:$B,MATCH(A2300,SETORES!$A:$A,0))</f>
        <v/>
      </c>
      <c r="H2300" s="106" t="inlineStr">
        <is>
          <t>Agosto/2026</t>
        </is>
      </c>
    </row>
    <row r="2301" hidden="1" ht="14.25" customHeight="1" s="64">
      <c r="A2301" s="106" t="inlineStr">
        <is>
          <t>Gestão de Atendimento</t>
        </is>
      </c>
      <c r="B2301" s="106" t="inlineStr">
        <is>
          <t>Custo Fixo</t>
        </is>
      </c>
      <c r="C2301" s="106" t="inlineStr">
        <is>
          <t>Chip móvel corporativo</t>
        </is>
      </c>
      <c r="D2301" s="107" t="n">
        <v>2</v>
      </c>
      <c r="E2301" s="108" t="n">
        <v>30</v>
      </c>
      <c r="F2301" s="109">
        <f>IFERROR(D2301*E2301,0)</f>
        <v/>
      </c>
      <c r="G2301" s="106">
        <f>INDEX(SETORES!$B:$B,MATCH(A2301,SETORES!$A:$A,0))</f>
        <v/>
      </c>
      <c r="H2301" s="106" t="inlineStr">
        <is>
          <t>Agosto/2026</t>
        </is>
      </c>
    </row>
    <row r="2302" hidden="1" ht="14.25" customHeight="1" s="64">
      <c r="A2302" s="106" t="inlineStr">
        <is>
          <t>Jurídico</t>
        </is>
      </c>
      <c r="B2302" s="106" t="inlineStr">
        <is>
          <t>Custo Fixo</t>
        </is>
      </c>
      <c r="C2302" s="106" t="inlineStr">
        <is>
          <t>Chip móvel corporativo</t>
        </is>
      </c>
      <c r="D2302" s="107" t="n">
        <v>2</v>
      </c>
      <c r="E2302" s="108" t="n">
        <v>30</v>
      </c>
      <c r="F2302" s="109">
        <f>IFERROR(D2302*E2302,0)</f>
        <v/>
      </c>
      <c r="G2302" s="106">
        <f>INDEX(SETORES!$B:$B,MATCH(A2302,SETORES!$A:$A,0))</f>
        <v/>
      </c>
      <c r="H2302" s="106" t="inlineStr">
        <is>
          <t>Agosto/2026</t>
        </is>
      </c>
    </row>
    <row r="2303" hidden="1" ht="14.25" customHeight="1" s="64">
      <c r="A2303" s="106" t="inlineStr">
        <is>
          <t>Logística</t>
        </is>
      </c>
      <c r="B2303" s="106" t="inlineStr">
        <is>
          <t>Custo Fixo</t>
        </is>
      </c>
      <c r="C2303" s="106" t="inlineStr">
        <is>
          <t>Chip móvel corporativo</t>
        </is>
      </c>
      <c r="D2303" s="107" t="n">
        <v>7</v>
      </c>
      <c r="E2303" s="108" t="n">
        <v>30</v>
      </c>
      <c r="F2303" s="109">
        <f>IFERROR(D2303*E2303,0)</f>
        <v/>
      </c>
      <c r="G2303" s="106">
        <f>INDEX(SETORES!$B:$B,MATCH(A2303,SETORES!$A:$A,0))</f>
        <v/>
      </c>
      <c r="H2303" s="106" t="inlineStr">
        <is>
          <t>Agosto/2026</t>
        </is>
      </c>
    </row>
    <row r="2304" hidden="1" ht="14.25" customHeight="1" s="64">
      <c r="A2304" s="106" t="inlineStr">
        <is>
          <t>Manutenção Predial</t>
        </is>
      </c>
      <c r="B2304" s="106" t="inlineStr">
        <is>
          <t>Custo Fixo</t>
        </is>
      </c>
      <c r="C2304" s="106" t="inlineStr">
        <is>
          <t>Chip móvel corporativo</t>
        </is>
      </c>
      <c r="D2304" s="107" t="n">
        <v>7</v>
      </c>
      <c r="E2304" s="108" t="n">
        <v>30</v>
      </c>
      <c r="F2304" s="109">
        <f>IFERROR(D2304*E2304,0)</f>
        <v/>
      </c>
      <c r="G2304" s="106">
        <f>INDEX(SETORES!$B:$B,MATCH(A2304,SETORES!$A:$A,0))</f>
        <v/>
      </c>
      <c r="H2304" s="106" t="inlineStr">
        <is>
          <t>Agosto/2026</t>
        </is>
      </c>
    </row>
    <row r="2305" hidden="1" ht="14.25" customHeight="1" s="64">
      <c r="A2305" s="106" t="inlineStr">
        <is>
          <t>Marketing</t>
        </is>
      </c>
      <c r="B2305" s="106" t="inlineStr">
        <is>
          <t>Custo Fixo</t>
        </is>
      </c>
      <c r="C2305" s="106" t="inlineStr">
        <is>
          <t>Chip móvel corporativo</t>
        </is>
      </c>
      <c r="D2305" s="107" t="n">
        <v>10</v>
      </c>
      <c r="E2305" s="108" t="n">
        <v>30</v>
      </c>
      <c r="F2305" s="109">
        <f>IFERROR(D2305*E2305,0)</f>
        <v/>
      </c>
      <c r="G2305" s="106">
        <f>INDEX(SETORES!$B:$B,MATCH(A2305,SETORES!$A:$A,0))</f>
        <v/>
      </c>
      <c r="H2305" s="106" t="inlineStr">
        <is>
          <t>Agosto/2026</t>
        </is>
      </c>
    </row>
    <row r="2306" hidden="1" ht="14.25" customHeight="1" s="64">
      <c r="A2306" s="106" t="inlineStr">
        <is>
          <t>NOC</t>
        </is>
      </c>
      <c r="B2306" s="106" t="inlineStr">
        <is>
          <t>Custo Fixo</t>
        </is>
      </c>
      <c r="C2306" s="106" t="inlineStr">
        <is>
          <t>Chip móvel corporativo</t>
        </is>
      </c>
      <c r="D2306" s="107" t="n">
        <v>3</v>
      </c>
      <c r="E2306" s="108" t="n">
        <v>30</v>
      </c>
      <c r="F2306" s="109">
        <f>IFERROR(D2306*E2306,0)</f>
        <v/>
      </c>
      <c r="G2306" s="106">
        <f>INDEX(SETORES!$B:$B,MATCH(A2306,SETORES!$A:$A,0))</f>
        <v/>
      </c>
      <c r="H2306" s="106" t="inlineStr">
        <is>
          <t>Agosto/2026</t>
        </is>
      </c>
    </row>
    <row r="2307" hidden="1" ht="14.25" customHeight="1" s="64">
      <c r="A2307" s="106" t="inlineStr">
        <is>
          <t>Obras</t>
        </is>
      </c>
      <c r="B2307" s="106" t="inlineStr">
        <is>
          <t>Custo Fixo</t>
        </is>
      </c>
      <c r="C2307" s="106" t="inlineStr">
        <is>
          <t>Chip móvel corporativo</t>
        </is>
      </c>
      <c r="D2307" s="107" t="n">
        <v>5</v>
      </c>
      <c r="E2307" s="108" t="n">
        <v>30</v>
      </c>
      <c r="F2307" s="109">
        <f>IFERROR(D2307*E2307,0)</f>
        <v/>
      </c>
      <c r="G2307" s="106">
        <f>INDEX(SETORES!$B:$B,MATCH(A2307,SETORES!$A:$A,0))</f>
        <v/>
      </c>
      <c r="H2307" s="106" t="inlineStr">
        <is>
          <t>Agosto/2026</t>
        </is>
      </c>
    </row>
    <row r="2308" hidden="1" ht="14.25" customHeight="1" s="64">
      <c r="A2308" s="106" t="inlineStr">
        <is>
          <t>Qualidade</t>
        </is>
      </c>
      <c r="B2308" s="106" t="inlineStr">
        <is>
          <t>Custo Fixo</t>
        </is>
      </c>
      <c r="C2308" s="106" t="inlineStr">
        <is>
          <t>Chip móvel corporativo</t>
        </is>
      </c>
      <c r="D2308" s="107" t="n">
        <v>4</v>
      </c>
      <c r="E2308" s="108" t="n">
        <v>30</v>
      </c>
      <c r="F2308" s="109">
        <f>IFERROR(D2308*E2308,0)</f>
        <v/>
      </c>
      <c r="G2308" s="106">
        <f>INDEX(SETORES!$B:$B,MATCH(A2308,SETORES!$A:$A,0))</f>
        <v/>
      </c>
      <c r="H2308" s="106" t="inlineStr">
        <is>
          <t>Agosto/2026</t>
        </is>
      </c>
    </row>
    <row r="2309" hidden="1" ht="14.25" customHeight="1" s="64">
      <c r="A2309" s="106" t="inlineStr">
        <is>
          <t>RH</t>
        </is>
      </c>
      <c r="B2309" s="106" t="inlineStr">
        <is>
          <t>Custo Fixo</t>
        </is>
      </c>
      <c r="C2309" s="106" t="inlineStr">
        <is>
          <t>Chip móvel corporativo</t>
        </is>
      </c>
      <c r="D2309" s="107" t="n">
        <v>3</v>
      </c>
      <c r="E2309" s="108" t="n">
        <v>30</v>
      </c>
      <c r="F2309" s="109">
        <f>IFERROR(D2309*E2309,0)</f>
        <v/>
      </c>
      <c r="G2309" s="106">
        <f>INDEX(SETORES!$B:$B,MATCH(A2309,SETORES!$A:$A,0))</f>
        <v/>
      </c>
      <c r="H2309" s="106" t="inlineStr">
        <is>
          <t>Agosto/2026</t>
        </is>
      </c>
    </row>
    <row r="2310" hidden="1" ht="14.25" customHeight="1" s="64">
      <c r="A2310" s="106" t="inlineStr">
        <is>
          <t>Segurança do Trabalho</t>
        </is>
      </c>
      <c r="B2310" s="106" t="inlineStr">
        <is>
          <t>Custo Fixo</t>
        </is>
      </c>
      <c r="C2310" s="106" t="inlineStr">
        <is>
          <t>Chip móvel corporativo</t>
        </is>
      </c>
      <c r="D2310" s="107" t="n">
        <v>3</v>
      </c>
      <c r="E2310" s="108" t="n">
        <v>30</v>
      </c>
      <c r="F2310" s="109">
        <f>IFERROR(D2310*E2310,0)</f>
        <v/>
      </c>
      <c r="G2310" s="106">
        <f>INDEX(SETORES!$B:$B,MATCH(A2310,SETORES!$A:$A,0))</f>
        <v/>
      </c>
      <c r="H2310" s="106" t="inlineStr">
        <is>
          <t>Agosto/2026</t>
        </is>
      </c>
    </row>
    <row r="2311" hidden="1" ht="14.25" customHeight="1" s="64">
      <c r="A2311" s="106" t="inlineStr">
        <is>
          <t>TIC</t>
        </is>
      </c>
      <c r="B2311" s="106" t="inlineStr">
        <is>
          <t>Custo Fixo</t>
        </is>
      </c>
      <c r="C2311" s="106" t="inlineStr">
        <is>
          <t>Chip móvel corporativo</t>
        </is>
      </c>
      <c r="D2311" s="107" t="n">
        <v>5</v>
      </c>
      <c r="E2311" s="108" t="n">
        <v>30</v>
      </c>
      <c r="F2311" s="109">
        <f>IFERROR(D2311*E2311,0)</f>
        <v/>
      </c>
      <c r="G2311" s="106">
        <f>INDEX(SETORES!$B:$B,MATCH(A2311,SETORES!$A:$A,0))</f>
        <v/>
      </c>
      <c r="H2311" s="106" t="inlineStr">
        <is>
          <t>Agosto/2026</t>
        </is>
      </c>
    </row>
    <row r="2312" hidden="1" ht="14.25" customHeight="1" s="64">
      <c r="A2312" s="106" t="inlineStr">
        <is>
          <t>Backoffice Comercial Varejo</t>
        </is>
      </c>
      <c r="B2312" s="106" t="inlineStr">
        <is>
          <t>Custo Fixo</t>
        </is>
      </c>
      <c r="C2312" s="106" t="inlineStr">
        <is>
          <t>Folha de pagamento (salários)</t>
        </is>
      </c>
      <c r="D2312" s="107" t="n">
        <v>1</v>
      </c>
      <c r="E2312" s="108" t="n">
        <v>7220.72</v>
      </c>
      <c r="F2312" s="109">
        <f>IFERROR(D2312*E2312,0)</f>
        <v/>
      </c>
      <c r="G2312" s="106">
        <f>INDEX(SETORES!$B:$B,MATCH(A2312,SETORES!$A:$A,0))</f>
        <v/>
      </c>
      <c r="H2312" s="106" t="inlineStr">
        <is>
          <t>Agosto/2026</t>
        </is>
      </c>
    </row>
    <row r="2313" hidden="1" ht="14.25" customHeight="1" s="64">
      <c r="A2313" s="106" t="inlineStr">
        <is>
          <t>Serviços Gerais</t>
        </is>
      </c>
      <c r="B2313" s="106" t="inlineStr">
        <is>
          <t>Custo Fixo</t>
        </is>
      </c>
      <c r="C2313" s="106" t="inlineStr">
        <is>
          <t>Folha de pagamento (salários)</t>
        </is>
      </c>
      <c r="D2313" s="107" t="n">
        <v>1</v>
      </c>
      <c r="E2313" s="108" t="n">
        <v>27256.45</v>
      </c>
      <c r="F2313" s="109">
        <f>IFERROR(D2313*E2313,0)</f>
        <v/>
      </c>
      <c r="G2313" s="106">
        <f>INDEX(SETORES!$B:$B,MATCH(A2313,SETORES!$A:$A,0))</f>
        <v/>
      </c>
      <c r="H2313" s="106" t="inlineStr">
        <is>
          <t>Agosto/2026</t>
        </is>
      </c>
    </row>
    <row r="2314" hidden="1" ht="14.25" customHeight="1" s="64">
      <c r="A2314" s="106" t="inlineStr">
        <is>
          <t>Gestão de Atendimento</t>
        </is>
      </c>
      <c r="B2314" s="106" t="inlineStr">
        <is>
          <t>Custo Fixo</t>
        </is>
      </c>
      <c r="C2314" s="106" t="inlineStr">
        <is>
          <t>Custo de gestão administrativa (rateado — Renata Thaysa dos Santos Cunha)</t>
        </is>
      </c>
      <c r="D2314" s="107" t="n">
        <v>1</v>
      </c>
      <c r="E2314" s="108" t="n">
        <v>4947.47</v>
      </c>
      <c r="F2314" s="109">
        <f>IFERROR(D2314*E2314,0)</f>
        <v/>
      </c>
      <c r="G2314" s="106">
        <f>INDEX(SETORES!$B:$B,MATCH(A2314,SETORES!$A:$A,0))</f>
        <v/>
      </c>
      <c r="H2314" s="106" t="inlineStr">
        <is>
          <t>Agosto/2026</t>
        </is>
      </c>
    </row>
    <row r="2315" hidden="1" ht="14.25" customHeight="1" s="64">
      <c r="A2315" s="106" t="inlineStr">
        <is>
          <t>CAC</t>
        </is>
      </c>
      <c r="B2315" s="106" t="inlineStr">
        <is>
          <t>Custo Fixo</t>
        </is>
      </c>
      <c r="C2315" s="106" t="inlineStr">
        <is>
          <t>Custo de gestão administrativa (rateado — Renata Thaysa dos Santos Cunha)</t>
        </is>
      </c>
      <c r="D2315" s="107" t="n">
        <v>1</v>
      </c>
      <c r="E2315" s="108" t="n">
        <v>1455.14</v>
      </c>
      <c r="F2315" s="109">
        <f>IFERROR(D2315*E2315,0)</f>
        <v/>
      </c>
      <c r="G2315" s="106">
        <f>INDEX(SETORES!$B:$B,MATCH(A2315,SETORES!$A:$A,0))</f>
        <v/>
      </c>
      <c r="H2315" s="106" t="inlineStr">
        <is>
          <t>Agosto/2026</t>
        </is>
      </c>
    </row>
    <row r="2316" hidden="1" ht="14.25" customHeight="1" s="64">
      <c r="A2316" s="106" t="inlineStr">
        <is>
          <t>Backoffice Comercial Varejo</t>
        </is>
      </c>
      <c r="B2316" s="106" t="inlineStr">
        <is>
          <t>Custo Fixo</t>
        </is>
      </c>
      <c r="C2316" s="106" t="inlineStr">
        <is>
          <t>Custo de gestão administrativa (rateado — Renata Thaysa dos Santos Cunha)</t>
        </is>
      </c>
      <c r="D2316" s="107" t="n">
        <v>1</v>
      </c>
      <c r="E2316" s="108" t="n">
        <v>582.0599999999999</v>
      </c>
      <c r="F2316" s="109">
        <f>IFERROR(D2316*E2316,0)</f>
        <v/>
      </c>
      <c r="G2316" s="106">
        <f>INDEX(SETORES!$B:$B,MATCH(A2316,SETORES!$A:$A,0))</f>
        <v/>
      </c>
      <c r="H2316" s="106" t="inlineStr">
        <is>
          <t>Agosto/2026</t>
        </is>
      </c>
    </row>
    <row r="2317" hidden="1" ht="14.25" customHeight="1" s="64">
      <c r="A2317" s="106" t="inlineStr">
        <is>
          <t>NRC</t>
        </is>
      </c>
      <c r="B2317" s="106" t="inlineStr">
        <is>
          <t>Custo Fixo</t>
        </is>
      </c>
      <c r="C2317" s="106" t="inlineStr">
        <is>
          <t>Custo de gestão administrativa (rateado — Ayrton da Silva Lima)</t>
        </is>
      </c>
      <c r="D2317" s="107" t="n">
        <v>1</v>
      </c>
      <c r="E2317" s="108" t="n">
        <v>3272.78</v>
      </c>
      <c r="F2317" s="109">
        <f>IFERROR(D2317*E2317,0)</f>
        <v/>
      </c>
      <c r="G2317" s="106">
        <f>INDEX(SETORES!$B:$B,MATCH(A2317,SETORES!$A:$A,0))</f>
        <v/>
      </c>
      <c r="H2317" s="106" t="inlineStr">
        <is>
          <t>Agosto/2026</t>
        </is>
      </c>
    </row>
    <row r="2318" hidden="1" ht="14.25" customHeight="1" s="64">
      <c r="A2318" s="106" t="inlineStr">
        <is>
          <t>Cobrança</t>
        </is>
      </c>
      <c r="B2318" s="106" t="inlineStr">
        <is>
          <t>Custo Fixo</t>
        </is>
      </c>
      <c r="C2318" s="106" t="inlineStr">
        <is>
          <t>Custo de gestão administrativa (rateado — Ayrton da Silva Lima)</t>
        </is>
      </c>
      <c r="D2318" s="107" t="n">
        <v>1</v>
      </c>
      <c r="E2318" s="108" t="n">
        <v>1013</v>
      </c>
      <c r="F2318" s="109">
        <f>IFERROR(D2318*E2318,0)</f>
        <v/>
      </c>
      <c r="G2318" s="106">
        <f>INDEX(SETORES!$B:$B,MATCH(A2318,SETORES!$A:$A,0))</f>
        <v/>
      </c>
      <c r="H2318" s="106" t="inlineStr">
        <is>
          <t>Agosto/2026</t>
        </is>
      </c>
    </row>
    <row r="2319" hidden="1" ht="14.25" customHeight="1" s="64">
      <c r="A2319" s="106" t="inlineStr">
        <is>
          <t>Retenção</t>
        </is>
      </c>
      <c r="B2319" s="106" t="inlineStr">
        <is>
          <t>Custo Fixo</t>
        </is>
      </c>
      <c r="C2319" s="106" t="inlineStr">
        <is>
          <t>Custo de gestão administrativa (rateado — Ayrton da Silva Lima)</t>
        </is>
      </c>
      <c r="D2319" s="107" t="n">
        <v>1</v>
      </c>
      <c r="E2319" s="108" t="n">
        <v>935.08</v>
      </c>
      <c r="F2319" s="109">
        <f>IFERROR(D2319*E2319,0)</f>
        <v/>
      </c>
      <c r="G2319" s="106">
        <f>INDEX(SETORES!$B:$B,MATCH(A2319,SETORES!$A:$A,0))</f>
        <v/>
      </c>
      <c r="H2319" s="106" t="inlineStr">
        <is>
          <t>Agosto/2026</t>
        </is>
      </c>
    </row>
    <row r="2320" hidden="1" ht="14.25" customHeight="1" s="64">
      <c r="A2320" s="106" t="inlineStr">
        <is>
          <t>Televendas</t>
        </is>
      </c>
      <c r="B2320" s="106" t="inlineStr">
        <is>
          <t>Custo Fixo</t>
        </is>
      </c>
      <c r="C2320" s="106" t="inlineStr">
        <is>
          <t>Custo de gestão administrativa (rateado — Ayrton da Silva Lima)</t>
        </is>
      </c>
      <c r="D2320" s="107" t="n">
        <v>1</v>
      </c>
      <c r="E2320" s="108" t="n">
        <v>857.16</v>
      </c>
      <c r="F2320" s="109">
        <f>IFERROR(D2320*E2320,0)</f>
        <v/>
      </c>
      <c r="G2320" s="106">
        <f>INDEX(SETORES!$B:$B,MATCH(A2320,SETORES!$A:$A,0))</f>
        <v/>
      </c>
      <c r="H2320" s="106" t="inlineStr">
        <is>
          <t>Agosto/2026</t>
        </is>
      </c>
    </row>
    <row r="2321" hidden="1" ht="14.25" customHeight="1" s="64">
      <c r="A2321" s="106" t="inlineStr">
        <is>
          <t>Suporte da Central</t>
        </is>
      </c>
      <c r="B2321" s="106" t="inlineStr">
        <is>
          <t>Custo Fixo</t>
        </is>
      </c>
      <c r="C2321" s="106" t="inlineStr">
        <is>
          <t>Custo de gestão administrativa (rateado — Ayrton da Silva Lima)</t>
        </is>
      </c>
      <c r="D2321" s="107" t="n">
        <v>1</v>
      </c>
      <c r="E2321" s="108" t="n">
        <v>2571.47</v>
      </c>
      <c r="F2321" s="109">
        <f>IFERROR(D2321*E2321,0)</f>
        <v/>
      </c>
      <c r="G2321" s="106">
        <f>INDEX(SETORES!$B:$B,MATCH(A2321,SETORES!$A:$A,0))</f>
        <v/>
      </c>
      <c r="H2321" s="106" t="inlineStr">
        <is>
          <t>Agosto/2026</t>
        </is>
      </c>
    </row>
    <row r="2322" hidden="1" ht="14.25" customHeight="1" s="64">
      <c r="A2322" s="106" t="inlineStr">
        <is>
          <t>Suporte Orbix</t>
        </is>
      </c>
      <c r="B2322" s="106" t="inlineStr">
        <is>
          <t>Custo Fixo</t>
        </is>
      </c>
      <c r="C2322" s="106" t="inlineStr">
        <is>
          <t>Custo de gestão administrativa (rateado — Ayrton da Silva Lima)</t>
        </is>
      </c>
      <c r="D2322" s="107" t="n">
        <v>1</v>
      </c>
      <c r="E2322" s="108" t="n">
        <v>623.39</v>
      </c>
      <c r="F2322" s="109">
        <f>IFERROR(D2322*E2322,0)</f>
        <v/>
      </c>
      <c r="G2322" s="106">
        <f>INDEX(SETORES!$B:$B,MATCH(A2322,SETORES!$A:$A,0))</f>
        <v/>
      </c>
      <c r="H2322" s="106" t="inlineStr">
        <is>
          <t>Agosto/2026</t>
        </is>
      </c>
    </row>
    <row r="2323" hidden="1" ht="14.25" customHeight="1" s="64">
      <c r="A2323" s="106" t="inlineStr">
        <is>
          <t>Engenharia</t>
        </is>
      </c>
      <c r="B2323" s="106" t="inlineStr">
        <is>
          <t>Custo Fixo</t>
        </is>
      </c>
      <c r="C2323" s="106" t="inlineStr">
        <is>
          <t>Custo de gestão administrativa (rateado — Cryslaine Fonseca Rosal)</t>
        </is>
      </c>
      <c r="D2323" s="107" t="n">
        <v>1</v>
      </c>
      <c r="E2323" s="108" t="n">
        <v>1574.51</v>
      </c>
      <c r="F2323" s="109">
        <f>IFERROR(D2323*E2323,0)</f>
        <v/>
      </c>
      <c r="G2323" s="106">
        <f>INDEX(SETORES!$B:$B,MATCH(A2323,SETORES!$A:$A,0))</f>
        <v/>
      </c>
      <c r="H2323" s="106" t="inlineStr">
        <is>
          <t>Agosto/2026</t>
        </is>
      </c>
    </row>
    <row r="2324" hidden="1" ht="14.25" customHeight="1" s="64">
      <c r="A2324" s="106" t="inlineStr">
        <is>
          <t>Obras</t>
        </is>
      </c>
      <c r="B2324" s="106" t="inlineStr">
        <is>
          <t>Custo Fixo</t>
        </is>
      </c>
      <c r="C2324" s="106" t="inlineStr">
        <is>
          <t>Custo de gestão administrativa (rateado — Cryslaine Fonseca Rosal)</t>
        </is>
      </c>
      <c r="D2324" s="107" t="n">
        <v>1</v>
      </c>
      <c r="E2324" s="108" t="n">
        <v>4198.71</v>
      </c>
      <c r="F2324" s="109">
        <f>IFERROR(D2324*E2324,0)</f>
        <v/>
      </c>
      <c r="G2324" s="106">
        <f>INDEX(SETORES!$B:$B,MATCH(A2324,SETORES!$A:$A,0))</f>
        <v/>
      </c>
      <c r="H2324" s="106" t="inlineStr">
        <is>
          <t>Agosto/2026</t>
        </is>
      </c>
    </row>
    <row r="2325" hidden="1" ht="14.25" customHeight="1" s="64">
      <c r="A2325" s="106" t="inlineStr">
        <is>
          <t>Manutenção Predial</t>
        </is>
      </c>
      <c r="B2325" s="106" t="inlineStr">
        <is>
          <t>Custo Fixo</t>
        </is>
      </c>
      <c r="C2325" s="106" t="inlineStr">
        <is>
          <t>Custo de gestão administrativa (rateado — Cryslaine Fonseca Rosal)</t>
        </is>
      </c>
      <c r="D2325" s="107" t="n">
        <v>1</v>
      </c>
      <c r="E2325" s="108" t="n">
        <v>2624.19</v>
      </c>
      <c r="F2325" s="109">
        <f>IFERROR(D2325*E2325,0)</f>
        <v/>
      </c>
      <c r="G2325" s="106">
        <f>INDEX(SETORES!$B:$B,MATCH(A2325,SETORES!$A:$A,0))</f>
        <v/>
      </c>
      <c r="H2325" s="106" t="inlineStr">
        <is>
          <t>Agosto/2026</t>
        </is>
      </c>
    </row>
    <row r="2326" hidden="1" ht="14.25" customHeight="1" s="64">
      <c r="A2326" s="106" t="inlineStr">
        <is>
          <t>Lançamento</t>
        </is>
      </c>
      <c r="B2326" s="106" t="inlineStr">
        <is>
          <t>Custo Fixo</t>
        </is>
      </c>
      <c r="C2326" s="106" t="inlineStr">
        <is>
          <t>Custo de gestão administrativa (rateado — Cryslaine Fonseca Rosal)</t>
        </is>
      </c>
      <c r="D2326" s="107" t="n">
        <v>1</v>
      </c>
      <c r="E2326" s="108" t="n">
        <v>4198.71</v>
      </c>
      <c r="F2326" s="109">
        <f>IFERROR(D2326*E2326,0)</f>
        <v/>
      </c>
      <c r="G2326" s="106">
        <f>INDEX(SETORES!$B:$B,MATCH(A2326,SETORES!$A:$A,0))</f>
        <v/>
      </c>
      <c r="H2326" s="106" t="inlineStr">
        <is>
          <t>Agosto/2026</t>
        </is>
      </c>
    </row>
    <row r="2327" hidden="1" ht="14.25" customHeight="1" s="64">
      <c r="A2327" s="106" t="inlineStr">
        <is>
          <t>Fusão</t>
        </is>
      </c>
      <c r="B2327" s="106" t="inlineStr">
        <is>
          <t>Custo Fixo</t>
        </is>
      </c>
      <c r="C2327" s="106" t="inlineStr">
        <is>
          <t>Custo de gestão administrativa (rateado — Cryslaine Fonseca Rosal)</t>
        </is>
      </c>
      <c r="D2327" s="107" t="n">
        <v>1</v>
      </c>
      <c r="E2327" s="108" t="n">
        <v>1749.46</v>
      </c>
      <c r="F2327" s="109">
        <f>IFERROR(D2327*E2327,0)</f>
        <v/>
      </c>
      <c r="G2327" s="106">
        <f>INDEX(SETORES!$B:$B,MATCH(A2327,SETORES!$A:$A,0))</f>
        <v/>
      </c>
      <c r="H2327" s="106" t="inlineStr">
        <is>
          <t>Agosto/2026</t>
        </is>
      </c>
    </row>
    <row r="2328" hidden="1" ht="14.25" customHeight="1" s="64">
      <c r="A2328" s="106" t="inlineStr">
        <is>
          <t>Serviços Gerais</t>
        </is>
      </c>
      <c r="B2328" s="106" t="inlineStr">
        <is>
          <t>Custo Fixo</t>
        </is>
      </c>
      <c r="C2328" s="106" t="inlineStr">
        <is>
          <t>Custo de gestão administrativa (rateado — Cryslaine Fonseca Rosal)</t>
        </is>
      </c>
      <c r="D2328" s="107" t="n">
        <v>1</v>
      </c>
      <c r="E2328" s="108" t="n">
        <v>1049.68</v>
      </c>
      <c r="F2328" s="109">
        <f>IFERROR(D2328*E2328,0)</f>
        <v/>
      </c>
      <c r="G2328" s="106">
        <f>INDEX(SETORES!$B:$B,MATCH(A2328,SETORES!$A:$A,0))</f>
        <v/>
      </c>
      <c r="H2328" s="106" t="inlineStr">
        <is>
          <t>Agosto/2026</t>
        </is>
      </c>
    </row>
    <row r="2329" hidden="1" ht="14.25" customHeight="1" s="64">
      <c r="A2329" s="106" t="inlineStr">
        <is>
          <t>Backoffice Comercial Varejo</t>
        </is>
      </c>
      <c r="B2329" s="106" t="inlineStr">
        <is>
          <t>Custo Fixo</t>
        </is>
      </c>
      <c r="C2329" s="106" t="inlineStr">
        <is>
          <t>Energia elétrica (rateio)</t>
        </is>
      </c>
      <c r="D2329" s="107" t="n"/>
      <c r="E2329" s="108" t="n"/>
      <c r="F2329" s="109">
        <f>IFERROR(D2329*E2329,0)</f>
        <v/>
      </c>
      <c r="G2329" s="106">
        <f>INDEX(SETORES!$B:$B,MATCH(A2329,SETORES!$A:$A,0))</f>
        <v/>
      </c>
      <c r="H2329" s="106" t="inlineStr">
        <is>
          <t>Agosto/2026</t>
        </is>
      </c>
    </row>
    <row r="2330" hidden="1" ht="14.25" customHeight="1" s="64">
      <c r="A2330" s="106" t="inlineStr">
        <is>
          <t>Backoffice Comercial Varejo</t>
        </is>
      </c>
      <c r="B2330" s="106" t="inlineStr">
        <is>
          <t>Custo Fixo</t>
        </is>
      </c>
      <c r="C2330" s="106" t="inlineStr">
        <is>
          <t>Água e esgoto (rateio)</t>
        </is>
      </c>
      <c r="D2330" s="107" t="n"/>
      <c r="E2330" s="108" t="n"/>
      <c r="F2330" s="109">
        <f>IFERROR(D2330*E2330,0)</f>
        <v/>
      </c>
      <c r="G2330" s="106">
        <f>INDEX(SETORES!$B:$B,MATCH(A2330,SETORES!$A:$A,0))</f>
        <v/>
      </c>
      <c r="H2330" s="106" t="inlineStr">
        <is>
          <t>Agosto/2026</t>
        </is>
      </c>
    </row>
    <row r="2331" hidden="1" ht="14.25" customHeight="1" s="64">
      <c r="A2331" s="106" t="inlineStr">
        <is>
          <t>Marketing</t>
        </is>
      </c>
      <c r="B2331" s="106" t="inlineStr">
        <is>
          <t>Custo Fixo</t>
        </is>
      </c>
      <c r="C2331" s="106" t="inlineStr">
        <is>
          <t>Energia elétrica (rateio)</t>
        </is>
      </c>
      <c r="D2331" s="107" t="n"/>
      <c r="E2331" s="108" t="n"/>
      <c r="F2331" s="109">
        <f>IFERROR(D2331*E2331,0)</f>
        <v/>
      </c>
      <c r="G2331" s="106">
        <f>INDEX(SETORES!$B:$B,MATCH(A2331,SETORES!$A:$A,0))</f>
        <v/>
      </c>
      <c r="H2331" s="106" t="inlineStr">
        <is>
          <t>Agosto/2026</t>
        </is>
      </c>
    </row>
    <row r="2332" hidden="1" ht="14.25" customHeight="1" s="64">
      <c r="A2332" s="106" t="inlineStr">
        <is>
          <t>Marketing</t>
        </is>
      </c>
      <c r="B2332" s="106" t="inlineStr">
        <is>
          <t>Custo Fixo</t>
        </is>
      </c>
      <c r="C2332" s="106" t="inlineStr">
        <is>
          <t>Água e esgoto (rateio)</t>
        </is>
      </c>
      <c r="D2332" s="107" t="n"/>
      <c r="E2332" s="108" t="n"/>
      <c r="F2332" s="109">
        <f>IFERROR(D2332*E2332,0)</f>
        <v/>
      </c>
      <c r="G2332" s="106">
        <f>INDEX(SETORES!$B:$B,MATCH(A2332,SETORES!$A:$A,0))</f>
        <v/>
      </c>
      <c r="H2332" s="106" t="inlineStr">
        <is>
          <t>Agosto/2026</t>
        </is>
      </c>
    </row>
    <row r="2333" hidden="1" ht="14.25" customHeight="1" s="64">
      <c r="A2333" s="106" t="inlineStr">
        <is>
          <t>Comercial Corporativo</t>
        </is>
      </c>
      <c r="B2333" s="106" t="inlineStr">
        <is>
          <t>Custo Fixo</t>
        </is>
      </c>
      <c r="C2333" s="106" t="inlineStr">
        <is>
          <t>Energia elétrica (rateio)</t>
        </is>
      </c>
      <c r="D2333" s="107" t="n"/>
      <c r="E2333" s="108" t="n"/>
      <c r="F2333" s="109">
        <f>IFERROR(D2333*E2333,0)</f>
        <v/>
      </c>
      <c r="G2333" s="106">
        <f>INDEX(SETORES!$B:$B,MATCH(A2333,SETORES!$A:$A,0))</f>
        <v/>
      </c>
      <c r="H2333" s="106" t="inlineStr">
        <is>
          <t>Agosto/2026</t>
        </is>
      </c>
    </row>
    <row r="2334" hidden="1" ht="14.25" customHeight="1" s="64">
      <c r="A2334" s="106" t="inlineStr">
        <is>
          <t>Comercial Corporativo</t>
        </is>
      </c>
      <c r="B2334" s="106" t="inlineStr">
        <is>
          <t>Custo Fixo</t>
        </is>
      </c>
      <c r="C2334" s="106" t="inlineStr">
        <is>
          <t>Água e esgoto (rateio)</t>
        </is>
      </c>
      <c r="D2334" s="107" t="n"/>
      <c r="E2334" s="108" t="n"/>
      <c r="F2334" s="109">
        <f>IFERROR(D2334*E2334,0)</f>
        <v/>
      </c>
      <c r="G2334" s="106">
        <f>INDEX(SETORES!$B:$B,MATCH(A2334,SETORES!$A:$A,0))</f>
        <v/>
      </c>
      <c r="H2334" s="106" t="inlineStr">
        <is>
          <t>Agosto/2026</t>
        </is>
      </c>
    </row>
    <row r="2335" hidden="1" ht="14.25" customHeight="1" s="64">
      <c r="A2335" s="106" t="inlineStr">
        <is>
          <t>TIC</t>
        </is>
      </c>
      <c r="B2335" s="106" t="inlineStr">
        <is>
          <t>Custo Fixo</t>
        </is>
      </c>
      <c r="C2335" s="106" t="inlineStr">
        <is>
          <t>Energia elétrica (rateio)</t>
        </is>
      </c>
      <c r="D2335" s="107" t="n"/>
      <c r="E2335" s="108" t="n"/>
      <c r="F2335" s="109">
        <f>IFERROR(D2335*E2335,0)</f>
        <v/>
      </c>
      <c r="G2335" s="106">
        <f>INDEX(SETORES!$B:$B,MATCH(A2335,SETORES!$A:$A,0))</f>
        <v/>
      </c>
      <c r="H2335" s="106" t="inlineStr">
        <is>
          <t>Agosto/2026</t>
        </is>
      </c>
    </row>
    <row r="2336" hidden="1" ht="14.25" customHeight="1" s="64">
      <c r="A2336" s="106" t="inlineStr">
        <is>
          <t>TIC</t>
        </is>
      </c>
      <c r="B2336" s="106" t="inlineStr">
        <is>
          <t>Custo Fixo</t>
        </is>
      </c>
      <c r="C2336" s="106" t="inlineStr">
        <is>
          <t>Água e esgoto (rateio)</t>
        </is>
      </c>
      <c r="D2336" s="107" t="n"/>
      <c r="E2336" s="108" t="n"/>
      <c r="F2336" s="109">
        <f>IFERROR(D2336*E2336,0)</f>
        <v/>
      </c>
      <c r="G2336" s="106">
        <f>INDEX(SETORES!$B:$B,MATCH(A2336,SETORES!$A:$A,0))</f>
        <v/>
      </c>
      <c r="H2336" s="106" t="inlineStr">
        <is>
          <t>Agosto/2026</t>
        </is>
      </c>
    </row>
    <row r="2337" hidden="1" ht="14.25" customHeight="1" s="64">
      <c r="A2337" s="106" t="inlineStr">
        <is>
          <t>Diretoria Adm</t>
        </is>
      </c>
      <c r="B2337" s="106" t="inlineStr">
        <is>
          <t>Custo Fixo</t>
        </is>
      </c>
      <c r="C2337" s="106" t="inlineStr">
        <is>
          <t>Energia elétrica (rateio)</t>
        </is>
      </c>
      <c r="D2337" s="107" t="n"/>
      <c r="E2337" s="108" t="n"/>
      <c r="F2337" s="109">
        <f>IFERROR(D2337*E2337,0)</f>
        <v/>
      </c>
      <c r="G2337" s="106">
        <f>INDEX(SETORES!$B:$B,MATCH(A2337,SETORES!$A:$A,0))</f>
        <v/>
      </c>
      <c r="H2337" s="106" t="inlineStr">
        <is>
          <t>Agosto/2026</t>
        </is>
      </c>
    </row>
    <row r="2338" hidden="1" ht="14.25" customHeight="1" s="64">
      <c r="A2338" s="106" t="inlineStr">
        <is>
          <t>Diretoria Adm</t>
        </is>
      </c>
      <c r="B2338" s="106" t="inlineStr">
        <is>
          <t>Custo Fixo</t>
        </is>
      </c>
      <c r="C2338" s="106" t="inlineStr">
        <is>
          <t>Água e esgoto (rateio)</t>
        </is>
      </c>
      <c r="D2338" s="107" t="n"/>
      <c r="E2338" s="108" t="n"/>
      <c r="F2338" s="109">
        <f>IFERROR(D2338*E2338,0)</f>
        <v/>
      </c>
      <c r="G2338" s="106">
        <f>INDEX(SETORES!$B:$B,MATCH(A2338,SETORES!$A:$A,0))</f>
        <v/>
      </c>
      <c r="H2338" s="106" t="inlineStr">
        <is>
          <t>Agosto/2026</t>
        </is>
      </c>
    </row>
    <row r="2339" hidden="1" ht="14.25" customHeight="1" s="64">
      <c r="A2339" s="106" t="inlineStr">
        <is>
          <t>Backoffice Comercial Varejo</t>
        </is>
      </c>
      <c r="B2339" s="106" t="inlineStr">
        <is>
          <t>Custo Fixo</t>
        </is>
      </c>
      <c r="C2339" s="106" t="inlineStr">
        <is>
          <t>Gympass</t>
        </is>
      </c>
      <c r="D2339" s="107" t="n"/>
      <c r="E2339" s="108" t="n"/>
      <c r="F2339" s="109">
        <f>IFERROR(D2339*E2339,0)</f>
        <v/>
      </c>
      <c r="G2339" s="106">
        <f>INDEX(SETORES!$B:$B,MATCH(A2339,SETORES!$A:$A,0))</f>
        <v/>
      </c>
      <c r="H2339" s="106" t="inlineStr">
        <is>
          <t>Agosto/2026</t>
        </is>
      </c>
    </row>
    <row r="2340" hidden="1" ht="14.25" customHeight="1" s="64">
      <c r="A2340" s="106" t="inlineStr">
        <is>
          <t>Backoffice Comercial Varejo</t>
        </is>
      </c>
      <c r="B2340" s="106" t="inlineStr">
        <is>
          <t>Custo Fixo</t>
        </is>
      </c>
      <c r="C2340" s="106" t="inlineStr">
        <is>
          <t>Stargrid</t>
        </is>
      </c>
      <c r="D2340" s="107" t="n">
        <v>2</v>
      </c>
      <c r="E2340" s="108" t="n">
        <v>1.87</v>
      </c>
      <c r="F2340" s="109">
        <f>IFERROR(D2340*E2340,0)</f>
        <v/>
      </c>
      <c r="G2340" s="106">
        <f>INDEX(SETORES!$B:$B,MATCH(A2340,SETORES!$A:$A,0))</f>
        <v/>
      </c>
      <c r="H2340" s="106" t="inlineStr">
        <is>
          <t>Agosto/2026</t>
        </is>
      </c>
    </row>
    <row r="2341" hidden="1" ht="14.25" customHeight="1" s="64">
      <c r="A2341" s="106" t="inlineStr">
        <is>
          <t>Backoffice Comercial Varejo</t>
        </is>
      </c>
      <c r="B2341" s="106" t="inlineStr">
        <is>
          <t>Custo Fixo</t>
        </is>
      </c>
      <c r="C2341" s="106" t="inlineStr">
        <is>
          <t>Despesas com RH</t>
        </is>
      </c>
      <c r="D2341" s="107" t="n">
        <v>2</v>
      </c>
      <c r="E2341" s="108" t="n">
        <v>32.55</v>
      </c>
      <c r="F2341" s="109">
        <f>IFERROR(D2341*E2341,0)</f>
        <v/>
      </c>
      <c r="G2341" s="106">
        <f>INDEX(SETORES!$B:$B,MATCH(A2341,SETORES!$A:$A,0))</f>
        <v/>
      </c>
      <c r="H2341" s="106" t="inlineStr">
        <is>
          <t>Agosto/2026</t>
        </is>
      </c>
    </row>
    <row r="2342" hidden="1" ht="14.25" customHeight="1" s="64">
      <c r="A2342" s="106" t="inlineStr">
        <is>
          <t>Backoffice Comercial Varejo</t>
        </is>
      </c>
      <c r="B2342" s="106" t="inlineStr">
        <is>
          <t>Custo Fixo</t>
        </is>
      </c>
      <c r="C2342" s="106" t="inlineStr">
        <is>
          <t>Despesas com DP</t>
        </is>
      </c>
      <c r="D2342" s="107" t="n">
        <v>2</v>
      </c>
      <c r="E2342" s="108" t="n">
        <v>52.09</v>
      </c>
      <c r="F2342" s="109">
        <f>IFERROR(D2342*E2342,0)</f>
        <v/>
      </c>
      <c r="G2342" s="106">
        <f>INDEX(SETORES!$B:$B,MATCH(A2342,SETORES!$A:$A,0))</f>
        <v/>
      </c>
      <c r="H2342" s="106" t="inlineStr">
        <is>
          <t>Agosto/2026</t>
        </is>
      </c>
    </row>
    <row r="2343" hidden="1" ht="14.25" customHeight="1" s="64">
      <c r="A2343" s="106" t="inlineStr">
        <is>
          <t>Backoffice Comercial Varejo</t>
        </is>
      </c>
      <c r="B2343" s="106" t="inlineStr">
        <is>
          <t>Custo Fixo</t>
        </is>
      </c>
      <c r="C2343" s="106" t="inlineStr">
        <is>
          <t>Despesas com SST</t>
        </is>
      </c>
      <c r="D2343" s="107" t="n">
        <v>2</v>
      </c>
      <c r="E2343" s="108" t="n">
        <v>52.35</v>
      </c>
      <c r="F2343" s="109">
        <f>IFERROR(D2343*E2343,0)</f>
        <v/>
      </c>
      <c r="G2343" s="106">
        <f>INDEX(SETORES!$B:$B,MATCH(A2343,SETORES!$A:$A,0))</f>
        <v/>
      </c>
      <c r="H2343" s="106" t="inlineStr">
        <is>
          <t>Agosto/2026</t>
        </is>
      </c>
    </row>
    <row r="2344" hidden="1" ht="14.25" customHeight="1" s="64">
      <c r="A2344" s="106" t="inlineStr">
        <is>
          <t>Backoffice Comercial Varejo</t>
        </is>
      </c>
      <c r="B2344" s="106" t="inlineStr">
        <is>
          <t>Custo Fixo</t>
        </is>
      </c>
      <c r="C2344" s="106" t="inlineStr">
        <is>
          <t>Licença de e-mail corporativo</t>
        </is>
      </c>
      <c r="D2344" s="107" t="n">
        <v>2</v>
      </c>
      <c r="E2344" s="108" t="n">
        <v>50</v>
      </c>
      <c r="F2344" s="109">
        <f>IFERROR(D2344*E2344,0)</f>
        <v/>
      </c>
      <c r="G2344" s="106">
        <f>INDEX(SETORES!$B:$B,MATCH(A2344,SETORES!$A:$A,0))</f>
        <v/>
      </c>
      <c r="H2344" s="106" t="inlineStr">
        <is>
          <t>Agosto/2026</t>
        </is>
      </c>
    </row>
    <row r="2345" hidden="1" ht="14.25" customHeight="1" s="64">
      <c r="A2345" s="106" t="inlineStr">
        <is>
          <t>Backoffice Comercial Varejo</t>
        </is>
      </c>
      <c r="B2345" s="106" t="inlineStr">
        <is>
          <t>Custo Fixo</t>
        </is>
      </c>
      <c r="C2345" s="106" t="inlineStr">
        <is>
          <t>Chip móvel corporativo</t>
        </is>
      </c>
      <c r="D2345" s="107" t="n">
        <v>1</v>
      </c>
      <c r="E2345" s="108" t="n">
        <v>30</v>
      </c>
      <c r="F2345" s="109">
        <f>IFERROR(D2345*E2345,0)</f>
        <v/>
      </c>
      <c r="G2345" s="106">
        <f>INDEX(SETORES!$B:$B,MATCH(A2345,SETORES!$A:$A,0))</f>
        <v/>
      </c>
      <c r="H2345" s="106" t="inlineStr">
        <is>
          <t>Agosto/2026</t>
        </is>
      </c>
    </row>
    <row r="2346" hidden="1" ht="14.25" customHeight="1" s="64">
      <c r="A2346" s="106" t="inlineStr">
        <is>
          <t>Serviços Gerais</t>
        </is>
      </c>
      <c r="B2346" s="106" t="inlineStr">
        <is>
          <t>Custo Fixo</t>
        </is>
      </c>
      <c r="C2346" s="106" t="inlineStr">
        <is>
          <t>Gympass</t>
        </is>
      </c>
      <c r="D2346" s="107" t="n"/>
      <c r="E2346" s="108" t="n"/>
      <c r="F2346" s="109">
        <f>IFERROR(D2346*E2346,0)</f>
        <v/>
      </c>
      <c r="G2346" s="106">
        <f>INDEX(SETORES!$B:$B,MATCH(A2346,SETORES!$A:$A,0))</f>
        <v/>
      </c>
      <c r="H2346" s="106" t="inlineStr">
        <is>
          <t>Agosto/2026</t>
        </is>
      </c>
    </row>
    <row r="2347" hidden="1" ht="14.25" customHeight="1" s="64">
      <c r="A2347" s="106" t="inlineStr">
        <is>
          <t>Serviços Gerais</t>
        </is>
      </c>
      <c r="B2347" s="106" t="inlineStr">
        <is>
          <t>Custo Fixo</t>
        </is>
      </c>
      <c r="C2347" s="106" t="inlineStr">
        <is>
          <t>Stargrid</t>
        </is>
      </c>
      <c r="D2347" s="107" t="n">
        <v>6</v>
      </c>
      <c r="E2347" s="108" t="n">
        <v>1.87</v>
      </c>
      <c r="F2347" s="109">
        <f>IFERROR(D2347*E2347,0)</f>
        <v/>
      </c>
      <c r="G2347" s="106">
        <f>INDEX(SETORES!$B:$B,MATCH(A2347,SETORES!$A:$A,0))</f>
        <v/>
      </c>
      <c r="H2347" s="106" t="inlineStr">
        <is>
          <t>Agosto/2026</t>
        </is>
      </c>
    </row>
    <row r="2348" hidden="1" ht="14.25" customHeight="1" s="64">
      <c r="A2348" s="106" t="inlineStr">
        <is>
          <t>Serviços Gerais</t>
        </is>
      </c>
      <c r="B2348" s="106" t="inlineStr">
        <is>
          <t>Custo Fixo</t>
        </is>
      </c>
      <c r="C2348" s="106" t="inlineStr">
        <is>
          <t>Despesas com RH</t>
        </is>
      </c>
      <c r="D2348" s="107" t="n">
        <v>6</v>
      </c>
      <c r="E2348" s="108" t="n">
        <v>32.55</v>
      </c>
      <c r="F2348" s="109">
        <f>IFERROR(D2348*E2348,0)</f>
        <v/>
      </c>
      <c r="G2348" s="106">
        <f>INDEX(SETORES!$B:$B,MATCH(A2348,SETORES!$A:$A,0))</f>
        <v/>
      </c>
      <c r="H2348" s="106" t="inlineStr">
        <is>
          <t>Agosto/2026</t>
        </is>
      </c>
    </row>
    <row r="2349" hidden="1" ht="14.25" customHeight="1" s="64">
      <c r="A2349" s="106" t="inlineStr">
        <is>
          <t>Serviços Gerais</t>
        </is>
      </c>
      <c r="B2349" s="106" t="inlineStr">
        <is>
          <t>Custo Fixo</t>
        </is>
      </c>
      <c r="C2349" s="106" t="inlineStr">
        <is>
          <t>Despesas com DP</t>
        </is>
      </c>
      <c r="D2349" s="107" t="n">
        <v>6</v>
      </c>
      <c r="E2349" s="108" t="n">
        <v>52.09</v>
      </c>
      <c r="F2349" s="109">
        <f>IFERROR(D2349*E2349,0)</f>
        <v/>
      </c>
      <c r="G2349" s="106">
        <f>INDEX(SETORES!$B:$B,MATCH(A2349,SETORES!$A:$A,0))</f>
        <v/>
      </c>
      <c r="H2349" s="106" t="inlineStr">
        <is>
          <t>Agosto/2026</t>
        </is>
      </c>
    </row>
    <row r="2350" hidden="1" ht="14.25" customHeight="1" s="64">
      <c r="A2350" s="106" t="inlineStr">
        <is>
          <t>Serviços Gerais</t>
        </is>
      </c>
      <c r="B2350" s="106" t="inlineStr">
        <is>
          <t>Custo Fixo</t>
        </is>
      </c>
      <c r="C2350" s="106" t="inlineStr">
        <is>
          <t>Despesas com SST</t>
        </is>
      </c>
      <c r="D2350" s="107" t="n">
        <v>6</v>
      </c>
      <c r="E2350" s="108" t="n">
        <v>52.35</v>
      </c>
      <c r="F2350" s="109">
        <f>IFERROR(D2350*E2350,0)</f>
        <v/>
      </c>
      <c r="G2350" s="106">
        <f>INDEX(SETORES!$B:$B,MATCH(A2350,SETORES!$A:$A,0))</f>
        <v/>
      </c>
      <c r="H2350" s="106" t="inlineStr">
        <is>
          <t>Agosto/2026</t>
        </is>
      </c>
    </row>
    <row r="2351" hidden="1" ht="14.25" customHeight="1" s="64">
      <c r="A2351" s="106" t="inlineStr">
        <is>
          <t>Compras</t>
        </is>
      </c>
      <c r="B2351" s="106" t="inlineStr">
        <is>
          <t>Custo Variável</t>
        </is>
      </c>
      <c r="C2351" s="106" t="inlineStr">
        <is>
          <t>Fardamento novo</t>
        </is>
      </c>
      <c r="D2351" s="107" t="n"/>
      <c r="E2351" s="108" t="n"/>
      <c r="F2351" s="109">
        <f>IFERROR(D2351*E2351,0)</f>
        <v/>
      </c>
      <c r="G2351" s="106">
        <f>INDEX(SETORES!$B:$B,MATCH(A2351,SETORES!$A:$A,0))</f>
        <v/>
      </c>
      <c r="H2351" s="106" t="inlineStr">
        <is>
          <t>Agosto/2026</t>
        </is>
      </c>
    </row>
    <row r="2352" hidden="1" ht="14.25" customHeight="1" s="64">
      <c r="A2352" s="106" t="inlineStr">
        <is>
          <t>Fique Móvel</t>
        </is>
      </c>
      <c r="B2352" s="106" t="inlineStr">
        <is>
          <t>Custo Variável</t>
        </is>
      </c>
      <c r="C2352" s="106" t="inlineStr">
        <is>
          <t>Fardamento novo</t>
        </is>
      </c>
      <c r="D2352" s="107" t="n"/>
      <c r="E2352" s="108" t="n"/>
      <c r="F2352" s="109">
        <f>IFERROR(D2352*E2352,0)</f>
        <v/>
      </c>
      <c r="G2352" s="106">
        <f>INDEX(SETORES!$B:$B,MATCH(A2352,SETORES!$A:$A,0))</f>
        <v/>
      </c>
      <c r="H2352" s="106" t="inlineStr">
        <is>
          <t>Agosto/2026</t>
        </is>
      </c>
    </row>
    <row r="2353" hidden="1" ht="14.25" customHeight="1" s="64">
      <c r="A2353" s="106" t="inlineStr">
        <is>
          <t>Manutenção Predial</t>
        </is>
      </c>
      <c r="B2353" s="106" t="inlineStr">
        <is>
          <t>Custo Variável</t>
        </is>
      </c>
      <c r="C2353" s="106" t="inlineStr">
        <is>
          <t>Fardamento novo</t>
        </is>
      </c>
      <c r="D2353" s="107" t="n"/>
      <c r="E2353" s="108" t="n"/>
      <c r="F2353" s="109">
        <f>IFERROR(D2353*E2353,0)</f>
        <v/>
      </c>
      <c r="G2353" s="106">
        <f>INDEX(SETORES!$B:$B,MATCH(A2353,SETORES!$A:$A,0))</f>
        <v/>
      </c>
      <c r="H2353" s="106" t="inlineStr">
        <is>
          <t>Agosto/2026</t>
        </is>
      </c>
    </row>
    <row r="2354" hidden="1" ht="14.25" customHeight="1" s="64">
      <c r="A2354" s="106" t="inlineStr">
        <is>
          <t>Manutenção Predial</t>
        </is>
      </c>
      <c r="B2354" s="106" t="inlineStr">
        <is>
          <t>Custo Variável</t>
        </is>
      </c>
      <c r="C2354" s="106" t="inlineStr">
        <is>
          <t>Fardamento substituição</t>
        </is>
      </c>
      <c r="D2354" s="107" t="n"/>
      <c r="E2354" s="108" t="n"/>
      <c r="F2354" s="109">
        <f>IFERROR(D2354*E2354,0)</f>
        <v/>
      </c>
      <c r="G2354" s="106">
        <f>INDEX(SETORES!$B:$B,MATCH(A2354,SETORES!$A:$A,0))</f>
        <v/>
      </c>
      <c r="H2354" s="106" t="inlineStr">
        <is>
          <t>Agosto/2026</t>
        </is>
      </c>
    </row>
    <row r="2355" hidden="1" ht="14.25" customHeight="1" s="64">
      <c r="A2355" s="106" t="inlineStr">
        <is>
          <t>Marketing</t>
        </is>
      </c>
      <c r="B2355" s="106" t="inlineStr">
        <is>
          <t>Custo Variável</t>
        </is>
      </c>
      <c r="C2355" s="106" t="inlineStr">
        <is>
          <t>Fardamento novo</t>
        </is>
      </c>
      <c r="D2355" s="107" t="n">
        <v>1</v>
      </c>
      <c r="E2355" s="108" t="n">
        <v>360</v>
      </c>
      <c r="F2355" s="109">
        <f>IFERROR(D2355*E2355,0)</f>
        <v/>
      </c>
      <c r="G2355" s="106">
        <f>INDEX(SETORES!$B:$B,MATCH(A2355,SETORES!$A:$A,0))</f>
        <v/>
      </c>
      <c r="H2355" s="106" t="inlineStr">
        <is>
          <t>Agosto/2026</t>
        </is>
      </c>
    </row>
    <row r="2356" hidden="1" ht="14.25" customHeight="1" s="64">
      <c r="A2356" s="106" t="inlineStr">
        <is>
          <t>Serviços Gerais</t>
        </is>
      </c>
      <c r="B2356" s="106" t="inlineStr">
        <is>
          <t>Custo Variável</t>
        </is>
      </c>
      <c r="C2356" s="106" t="inlineStr">
        <is>
          <t>Fardamento substituição</t>
        </is>
      </c>
      <c r="D2356" s="107" t="n"/>
      <c r="E2356" s="108" t="n"/>
      <c r="F2356" s="109">
        <f>IFERROR(D2356*E2356,0)</f>
        <v/>
      </c>
      <c r="G2356" s="106">
        <f>INDEX(SETORES!$B:$B,MATCH(A2356,SETORES!$A:$A,0))</f>
        <v/>
      </c>
      <c r="H2356" s="106" t="inlineStr">
        <is>
          <t>Agosto/2026</t>
        </is>
      </c>
    </row>
    <row r="2357" hidden="1" ht="14.25" customHeight="1" s="64">
      <c r="A2357" s="106" t="inlineStr">
        <is>
          <t>Suporte da Central</t>
        </is>
      </c>
      <c r="B2357" s="106" t="inlineStr">
        <is>
          <t>Custo Variável</t>
        </is>
      </c>
      <c r="C2357" s="106" t="inlineStr">
        <is>
          <t>Fardamento novo</t>
        </is>
      </c>
      <c r="D2357" s="107" t="n"/>
      <c r="E2357" s="108" t="n"/>
      <c r="F2357" s="109">
        <f>IFERROR(D2357*E2357,0)</f>
        <v/>
      </c>
      <c r="G2357" s="106">
        <f>INDEX(SETORES!$B:$B,MATCH(A2357,SETORES!$A:$A,0))</f>
        <v/>
      </c>
      <c r="H2357" s="106" t="inlineStr">
        <is>
          <t>Agosto/2026</t>
        </is>
      </c>
    </row>
    <row r="2358" hidden="1" ht="14.25" customHeight="1" s="64">
      <c r="A2358" s="106" t="inlineStr">
        <is>
          <t>Suporte Orbix</t>
        </is>
      </c>
      <c r="B2358" s="106" t="inlineStr">
        <is>
          <t>Custo Variável</t>
        </is>
      </c>
      <c r="C2358" s="106" t="inlineStr">
        <is>
          <t>Fardamento substituição</t>
        </is>
      </c>
      <c r="D2358" s="107" t="n"/>
      <c r="E2358" s="108" t="n"/>
      <c r="F2358" s="109">
        <f>IFERROR(D2358*E2358,0)</f>
        <v/>
      </c>
      <c r="G2358" s="106">
        <f>INDEX(SETORES!$B:$B,MATCH(A2358,SETORES!$A:$A,0))</f>
        <v/>
      </c>
      <c r="H2358" s="106" t="inlineStr">
        <is>
          <t>Agosto/2026</t>
        </is>
      </c>
    </row>
    <row r="2359" hidden="1" ht="14.25" customHeight="1" s="64">
      <c r="A2359" s="106" t="inlineStr">
        <is>
          <t>Televendas</t>
        </is>
      </c>
      <c r="B2359" s="106" t="inlineStr">
        <is>
          <t>Custo Variável</t>
        </is>
      </c>
      <c r="C2359" s="106" t="inlineStr">
        <is>
          <t>Fardamento novo</t>
        </is>
      </c>
      <c r="D2359" s="107" t="n"/>
      <c r="E2359" s="108" t="n"/>
      <c r="F2359" s="109">
        <f>IFERROR(D2359*E2359,0)</f>
        <v/>
      </c>
      <c r="G2359" s="106">
        <f>INDEX(SETORES!$B:$B,MATCH(A2359,SETORES!$A:$A,0))</f>
        <v/>
      </c>
      <c r="H2359" s="106" t="inlineStr">
        <is>
          <t>Agosto/2026</t>
        </is>
      </c>
    </row>
    <row r="2360" hidden="1" ht="14.25" customHeight="1" s="64">
      <c r="A2360" s="106" t="inlineStr">
        <is>
          <t>TIC</t>
        </is>
      </c>
      <c r="B2360" s="106" t="inlineStr">
        <is>
          <t>Custo Variável</t>
        </is>
      </c>
      <c r="C2360" s="106" t="inlineStr">
        <is>
          <t>Fardamento novo</t>
        </is>
      </c>
      <c r="D2360" s="107" t="n"/>
      <c r="E2360" s="108" t="n"/>
      <c r="F2360" s="109">
        <f>IFERROR(D2360*E2360,0)</f>
        <v/>
      </c>
      <c r="G2360" s="106">
        <f>INDEX(SETORES!$B:$B,MATCH(A2360,SETORES!$A:$A,0))</f>
        <v/>
      </c>
      <c r="H2360" s="106" t="inlineStr">
        <is>
          <t>Agosto/2026</t>
        </is>
      </c>
    </row>
    <row r="2361" hidden="1" ht="14.25" customHeight="1" s="64">
      <c r="A2361" s="106" t="inlineStr">
        <is>
          <t>Televendas</t>
        </is>
      </c>
      <c r="B2361" s="106" t="inlineStr">
        <is>
          <t>Custo Fixo</t>
        </is>
      </c>
      <c r="C2361" s="106" t="inlineStr">
        <is>
          <t>Software MATRIX (rateio equipe Relacionamento)</t>
        </is>
      </c>
      <c r="D2361" s="107" t="n"/>
      <c r="E2361" s="108" t="n"/>
      <c r="F2361" s="109">
        <f>IFERROR(D2361*E2361,0)</f>
        <v/>
      </c>
      <c r="G2361" s="106">
        <f>INDEX(SETORES!$B:$B,MATCH(A2361,SETORES!$A:$A,0))</f>
        <v/>
      </c>
      <c r="H2361" s="106" t="inlineStr">
        <is>
          <t>Agosto/2026</t>
        </is>
      </c>
    </row>
    <row r="2362" hidden="1" ht="14.25" customHeight="1" s="64">
      <c r="A2362" s="106" t="inlineStr">
        <is>
          <t>Cozinha</t>
        </is>
      </c>
      <c r="B2362" s="106" t="inlineStr">
        <is>
          <t>Custo Fixo</t>
        </is>
      </c>
      <c r="C2362" s="106" t="inlineStr">
        <is>
          <t>Custo de gestão administrativa (rateado — Cryslaine Fonseca Rosal)</t>
        </is>
      </c>
      <c r="D2362" s="107" t="n">
        <v>1</v>
      </c>
      <c r="E2362" s="108" t="n">
        <v>699.78</v>
      </c>
      <c r="F2362" s="109">
        <f>IFERROR(D2362*E2362,0)</f>
        <v/>
      </c>
      <c r="G2362" s="106">
        <f>INDEX(SETORES!$B:$B,MATCH(A2362,SETORES!$A:$A,0))</f>
        <v/>
      </c>
      <c r="H2362" s="106" t="inlineStr">
        <is>
          <t>Agosto/2026</t>
        </is>
      </c>
    </row>
    <row r="2363" hidden="1" ht="14.25" customHeight="1" s="64">
      <c r="A2363" s="106" t="inlineStr">
        <is>
          <t>Cozinha</t>
        </is>
      </c>
      <c r="B2363" s="106" t="inlineStr">
        <is>
          <t>Custo Fixo</t>
        </is>
      </c>
      <c r="C2363" s="106" t="inlineStr">
        <is>
          <t>Gympass</t>
        </is>
      </c>
      <c r="D2363" s="107" t="n"/>
      <c r="E2363" s="108" t="n"/>
      <c r="F2363" s="109">
        <f>IFERROR(D2363*E2363,0)</f>
        <v/>
      </c>
      <c r="G2363" s="106">
        <f>INDEX(SETORES!$B:$B,MATCH(A2363,SETORES!$A:$A,0))</f>
        <v/>
      </c>
      <c r="H2363" s="106" t="inlineStr">
        <is>
          <t>Agosto/2026</t>
        </is>
      </c>
    </row>
    <row r="2364" hidden="1" ht="14.25" customHeight="1" s="64">
      <c r="A2364" s="106" t="inlineStr">
        <is>
          <t>Cozinha</t>
        </is>
      </c>
      <c r="B2364" s="106" t="inlineStr">
        <is>
          <t>Custo Fixo</t>
        </is>
      </c>
      <c r="C2364" s="106" t="inlineStr">
        <is>
          <t>Stargrid</t>
        </is>
      </c>
      <c r="D2364" s="107" t="n">
        <v>4</v>
      </c>
      <c r="E2364" s="108" t="n">
        <v>1.87</v>
      </c>
      <c r="F2364" s="109">
        <f>IFERROR(D2364*E2364,0)</f>
        <v/>
      </c>
      <c r="G2364" s="106">
        <f>INDEX(SETORES!$B:$B,MATCH(A2364,SETORES!$A:$A,0))</f>
        <v/>
      </c>
      <c r="H2364" s="106" t="inlineStr">
        <is>
          <t>Agosto/2026</t>
        </is>
      </c>
    </row>
    <row r="2365" hidden="1" ht="14.25" customHeight="1" s="64">
      <c r="A2365" s="106" t="inlineStr">
        <is>
          <t>Cozinha</t>
        </is>
      </c>
      <c r="B2365" s="106" t="inlineStr">
        <is>
          <t>Custo Fixo</t>
        </is>
      </c>
      <c r="C2365" s="106" t="inlineStr">
        <is>
          <t>Despesas com RH</t>
        </is>
      </c>
      <c r="D2365" s="107" t="n">
        <v>4</v>
      </c>
      <c r="E2365" s="108" t="n">
        <v>32.55</v>
      </c>
      <c r="F2365" s="109">
        <f>IFERROR(D2365*E2365,0)</f>
        <v/>
      </c>
      <c r="G2365" s="106">
        <f>INDEX(SETORES!$B:$B,MATCH(A2365,SETORES!$A:$A,0))</f>
        <v/>
      </c>
      <c r="H2365" s="106" t="inlineStr">
        <is>
          <t>Agosto/2026</t>
        </is>
      </c>
    </row>
    <row r="2366" hidden="1" ht="14.25" customHeight="1" s="64">
      <c r="A2366" s="106" t="inlineStr">
        <is>
          <t>Cozinha</t>
        </is>
      </c>
      <c r="B2366" s="106" t="inlineStr">
        <is>
          <t>Custo Fixo</t>
        </is>
      </c>
      <c r="C2366" s="106" t="inlineStr">
        <is>
          <t>Despesas com DP</t>
        </is>
      </c>
      <c r="D2366" s="107" t="n">
        <v>4</v>
      </c>
      <c r="E2366" s="108" t="n">
        <v>52.09</v>
      </c>
      <c r="F2366" s="109">
        <f>IFERROR(D2366*E2366,0)</f>
        <v/>
      </c>
      <c r="G2366" s="106">
        <f>INDEX(SETORES!$B:$B,MATCH(A2366,SETORES!$A:$A,0))</f>
        <v/>
      </c>
      <c r="H2366" s="106" t="inlineStr">
        <is>
          <t>Agosto/2026</t>
        </is>
      </c>
    </row>
    <row r="2367" hidden="1" ht="14.25" customHeight="1" s="64">
      <c r="A2367" s="106" t="inlineStr">
        <is>
          <t>Cozinha</t>
        </is>
      </c>
      <c r="B2367" s="106" t="inlineStr">
        <is>
          <t>Custo Fixo</t>
        </is>
      </c>
      <c r="C2367" s="106" t="inlineStr">
        <is>
          <t>Despesas com SST</t>
        </is>
      </c>
      <c r="D2367" s="107" t="n">
        <v>4</v>
      </c>
      <c r="E2367" s="108" t="n">
        <v>52.35</v>
      </c>
      <c r="F2367" s="109">
        <f>IFERROR(D2367*E2367,0)</f>
        <v/>
      </c>
      <c r="G2367" s="106">
        <f>INDEX(SETORES!$B:$B,MATCH(A2367,SETORES!$A:$A,0))</f>
        <v/>
      </c>
      <c r="H2367" s="106" t="inlineStr">
        <is>
          <t>Agosto/2026</t>
        </is>
      </c>
    </row>
    <row r="2368" hidden="1" ht="14.25" customHeight="1" s="64">
      <c r="A2368" s="106" t="inlineStr">
        <is>
          <t>Cozinha</t>
        </is>
      </c>
      <c r="B2368" s="106" t="inlineStr">
        <is>
          <t>Custo Variável</t>
        </is>
      </c>
      <c r="C2368" s="106" t="inlineStr">
        <is>
          <t>Alimentação (compras semanais para a cozinha)</t>
        </is>
      </c>
      <c r="D2368" s="107" t="n"/>
      <c r="E2368" s="108" t="n"/>
      <c r="F2368" s="109">
        <f>IFERROR(D2368*E2368,0)</f>
        <v/>
      </c>
      <c r="G2368" s="106">
        <f>INDEX(SETORES!$B:$B,MATCH(A2368,SETORES!$A:$A,0))</f>
        <v/>
      </c>
      <c r="H2368" s="106" t="inlineStr">
        <is>
          <t>Agosto/2026</t>
        </is>
      </c>
    </row>
    <row r="2369" hidden="1" ht="14.25" customHeight="1" s="64">
      <c r="A2369" s="106" t="inlineStr">
        <is>
          <t>Cozinha</t>
        </is>
      </c>
      <c r="B2369" s="106" t="inlineStr">
        <is>
          <t>Custo Variável</t>
        </is>
      </c>
      <c r="C2369" s="106" t="inlineStr">
        <is>
          <t>Material de limpeza (compras mensais para distribuição — Cozinha)</t>
        </is>
      </c>
      <c r="D2369" s="107" t="n"/>
      <c r="E2369" s="108" t="n"/>
      <c r="F2369" s="109">
        <f>IFERROR(D2369*E2369,0)</f>
        <v/>
      </c>
      <c r="G2369" s="106">
        <f>INDEX(SETORES!$B:$B,MATCH(A2369,SETORES!$A:$A,0))</f>
        <v/>
      </c>
      <c r="H2369" s="106" t="inlineStr">
        <is>
          <t>Agosto/2026</t>
        </is>
      </c>
    </row>
    <row r="2370" hidden="1" ht="14.25" customHeight="1" s="64">
      <c r="A2370" s="106" t="inlineStr">
        <is>
          <t>Cozinha</t>
        </is>
      </c>
      <c r="B2370" s="106" t="inlineStr">
        <is>
          <t>Custo Variável</t>
        </is>
      </c>
      <c r="C2370" s="106" t="inlineStr">
        <is>
          <t>Gás de cozinha (compras mensais para a cozinha)</t>
        </is>
      </c>
      <c r="D2370" s="107" t="n"/>
      <c r="E2370" s="108" t="n"/>
      <c r="F2370" s="109">
        <f>IFERROR(D2370*E2370,0)</f>
        <v/>
      </c>
      <c r="G2370" s="106">
        <f>INDEX(SETORES!$B:$B,MATCH(A2370,SETORES!$A:$A,0))</f>
        <v/>
      </c>
      <c r="H2370" s="106" t="inlineStr">
        <is>
          <t>Agosto/2026</t>
        </is>
      </c>
    </row>
    <row r="2371" hidden="1" ht="14.25" customHeight="1" s="64">
      <c r="A2371" s="106" t="inlineStr">
        <is>
          <t>Cozinha</t>
        </is>
      </c>
      <c r="B2371" s="106" t="inlineStr">
        <is>
          <t>Custo Variável</t>
        </is>
      </c>
      <c r="C2371" s="106" t="inlineStr">
        <is>
          <t>Crédito — Refeições pagas pelos colaboradores (valor simbólico, Refeitório)</t>
        </is>
      </c>
      <c r="D2371" s="107" t="n"/>
      <c r="E2371" s="108" t="n"/>
      <c r="F2371" s="109">
        <f>IFERROR(D2371*E2371,0)</f>
        <v/>
      </c>
      <c r="G2371" s="106">
        <f>INDEX(SETORES!$B:$B,MATCH(A2371,SETORES!$A:$A,0))</f>
        <v/>
      </c>
      <c r="H2371" s="106" t="inlineStr">
        <is>
          <t>Agosto/2026</t>
        </is>
      </c>
    </row>
    <row r="2372" hidden="1" ht="14.25" customHeight="1" s="64">
      <c r="A2372" s="106" t="inlineStr">
        <is>
          <t>Desenvolvimento</t>
        </is>
      </c>
      <c r="B2372" s="106" t="inlineStr">
        <is>
          <t>Custo Fixo</t>
        </is>
      </c>
      <c r="C2372" s="106" t="inlineStr">
        <is>
          <t>Folha de pagamento (salários)</t>
        </is>
      </c>
      <c r="D2372" s="107" t="n">
        <v>1</v>
      </c>
      <c r="E2372" s="108" t="n">
        <v>24325.69</v>
      </c>
      <c r="F2372" s="109">
        <f>IFERROR(D2372*E2372,0)</f>
        <v/>
      </c>
      <c r="G2372" s="106">
        <f>INDEX(SETORES!$B:$B,MATCH(A2372,SETORES!$A:$A,0))</f>
        <v/>
      </c>
      <c r="H2372" s="106" t="inlineStr">
        <is>
          <t>Agosto/2026</t>
        </is>
      </c>
    </row>
    <row r="2373" hidden="1" ht="14.25" customHeight="1" s="64">
      <c r="A2373" s="106" t="inlineStr">
        <is>
          <t>Logística</t>
        </is>
      </c>
      <c r="B2373" s="106" t="inlineStr">
        <is>
          <t>Custo Fixo</t>
        </is>
      </c>
      <c r="C2373" s="106" t="inlineStr">
        <is>
          <t>Custo de gestão administrativa (rateado — Demetrius Ribeiro de Aquino)</t>
        </is>
      </c>
      <c r="D2373" s="107" t="n">
        <v>1</v>
      </c>
      <c r="E2373" s="108" t="n">
        <v>11599.66</v>
      </c>
      <c r="F2373" s="109">
        <f>IFERROR(D2373*E2373,0)</f>
        <v/>
      </c>
      <c r="G2373" s="106">
        <f>INDEX(SETORES!$B:$B,MATCH(A2373,SETORES!$A:$A,0))</f>
        <v/>
      </c>
      <c r="H2373" s="106" t="inlineStr">
        <is>
          <t>Agosto/2026</t>
        </is>
      </c>
    </row>
    <row r="2374" hidden="1" ht="14.25" customHeight="1" s="64">
      <c r="A2374" s="106" t="inlineStr">
        <is>
          <t>Oficina</t>
        </is>
      </c>
      <c r="B2374" s="106" t="inlineStr">
        <is>
          <t>Custo Fixo</t>
        </is>
      </c>
      <c r="C2374" s="106" t="inlineStr">
        <is>
          <t>Custo de gestão administrativa (rateado — Demetrius Ribeiro de Aquino)</t>
        </is>
      </c>
      <c r="D2374" s="107" t="n">
        <v>1</v>
      </c>
      <c r="E2374" s="108" t="n">
        <v>2899.91</v>
      </c>
      <c r="F2374" s="109">
        <f>IFERROR(D2374*E2374,0)</f>
        <v/>
      </c>
      <c r="G2374" s="106">
        <f>INDEX(SETORES!$B:$B,MATCH(A2374,SETORES!$A:$A,0))</f>
        <v/>
      </c>
      <c r="H2374" s="106" t="inlineStr">
        <is>
          <t>Agosto/2026</t>
        </is>
      </c>
    </row>
    <row r="2375" hidden="1" ht="14.25" customHeight="1" s="64">
      <c r="A2375" s="106" t="inlineStr">
        <is>
          <t>Configuração</t>
        </is>
      </c>
      <c r="B2375" s="106" t="inlineStr">
        <is>
          <t>Custo Fixo</t>
        </is>
      </c>
      <c r="C2375" s="106" t="inlineStr">
        <is>
          <t>Folha de pagamento (salários)</t>
        </is>
      </c>
      <c r="D2375" s="107" t="n">
        <v>1</v>
      </c>
      <c r="E2375" s="108" t="n">
        <v>46351.21</v>
      </c>
      <c r="F2375" s="109">
        <f>IFERROR(D2375*E2375,0)</f>
        <v/>
      </c>
      <c r="G2375" s="106">
        <f>INDEX(SETORES!$B:$B,MATCH(A2375,SETORES!$A:$A,0))</f>
        <v/>
      </c>
      <c r="H2375" s="106" t="inlineStr">
        <is>
          <t>Agosto/2026</t>
        </is>
      </c>
    </row>
    <row r="2376" hidden="1" ht="14.25" customHeight="1" s="64">
      <c r="A2376" s="106" t="inlineStr">
        <is>
          <t>Cozinha</t>
        </is>
      </c>
      <c r="B2376" s="106" t="inlineStr">
        <is>
          <t>Custo Variável</t>
        </is>
      </c>
      <c r="C2376" s="106" t="inlineStr">
        <is>
          <t>Rescisões trabalhistas</t>
        </is>
      </c>
      <c r="D2376" s="107" t="n"/>
      <c r="E2376" s="108" t="n"/>
      <c r="F2376" s="109">
        <f>IFERROR(D2376*E2376,0)</f>
        <v/>
      </c>
      <c r="G2376" s="106">
        <f>INDEX(SETORES!$B:$B,MATCH(A2376,SETORES!$A:$A,0))</f>
        <v/>
      </c>
      <c r="H2376" s="106" t="inlineStr">
        <is>
          <t>Agosto/2026</t>
        </is>
      </c>
    </row>
    <row r="2377" hidden="1" ht="14.25" customHeight="1" s="64">
      <c r="A2377" s="106" t="inlineStr">
        <is>
          <t>Marketing</t>
        </is>
      </c>
      <c r="B2377" s="106" t="inlineStr">
        <is>
          <t>Custo Variável</t>
        </is>
      </c>
      <c r="C2377" s="106" t="inlineStr">
        <is>
          <t>Rescisões trabalhistas</t>
        </is>
      </c>
      <c r="D2377" s="107" t="n"/>
      <c r="E2377" s="108" t="n"/>
      <c r="F2377" s="109">
        <f>IFERROR(D2377*E2377,0)</f>
        <v/>
      </c>
      <c r="G2377" s="106">
        <f>INDEX(SETORES!$B:$B,MATCH(A2377,SETORES!$A:$A,0))</f>
        <v/>
      </c>
      <c r="H2377" s="106" t="inlineStr">
        <is>
          <t>Agosto/2026</t>
        </is>
      </c>
    </row>
    <row r="2378" hidden="1" ht="14.25" customHeight="1" s="64">
      <c r="A2378" s="106" t="inlineStr">
        <is>
          <t>Configuração</t>
        </is>
      </c>
      <c r="B2378" s="106" t="inlineStr">
        <is>
          <t>Custo Variável</t>
        </is>
      </c>
      <c r="C2378" s="106" t="inlineStr">
        <is>
          <t>Rescisões trabalhistas</t>
        </is>
      </c>
      <c r="D2378" s="107" t="n"/>
      <c r="E2378" s="108" t="n"/>
      <c r="F2378" s="109">
        <f>IFERROR(D2378*E2378,0)</f>
        <v/>
      </c>
      <c r="G2378" s="106">
        <f>INDEX(SETORES!$B:$B,MATCH(A2378,SETORES!$A:$A,0))</f>
        <v/>
      </c>
      <c r="H2378" s="106" t="inlineStr">
        <is>
          <t>Agosto/2026</t>
        </is>
      </c>
    </row>
    <row r="2379" hidden="1" ht="14.25" customHeight="1" s="64">
      <c r="A2379" s="106" t="inlineStr">
        <is>
          <t>Qualidade</t>
        </is>
      </c>
      <c r="B2379" s="106" t="inlineStr">
        <is>
          <t>Custo Variável</t>
        </is>
      </c>
      <c r="C2379" s="106" t="inlineStr">
        <is>
          <t>Fardamento novo</t>
        </is>
      </c>
      <c r="D2379" s="107" t="n">
        <v>1</v>
      </c>
      <c r="E2379" s="108" t="n">
        <v>270</v>
      </c>
      <c r="F2379" s="109">
        <f>IFERROR(D2379*E2379,0)</f>
        <v/>
      </c>
      <c r="G2379" s="106">
        <f>INDEX(SETORES!$B:$B,MATCH(A2379,SETORES!$A:$A,0))</f>
        <v/>
      </c>
      <c r="H2379" s="106" t="inlineStr">
        <is>
          <t>Agosto/2026</t>
        </is>
      </c>
    </row>
    <row r="2380" hidden="1" ht="14.25" customHeight="1" s="64">
      <c r="A2380" s="106" t="inlineStr">
        <is>
          <t>Qualidade</t>
        </is>
      </c>
      <c r="B2380" s="106" t="inlineStr">
        <is>
          <t>Custo Variável</t>
        </is>
      </c>
      <c r="C2380" s="106" t="inlineStr">
        <is>
          <t>Material de escritório (suprimentos de informática)</t>
        </is>
      </c>
      <c r="D2380" s="107" t="n">
        <v>1</v>
      </c>
      <c r="E2380" s="108" t="n">
        <v>69.45</v>
      </c>
      <c r="F2380" s="109">
        <f>IFERROR(D2380*E2380,0)</f>
        <v/>
      </c>
      <c r="G2380" s="106">
        <f>INDEX(SETORES!$B:$B,MATCH(A2380,SETORES!$A:$A,0))</f>
        <v/>
      </c>
      <c r="H2380" s="106" t="inlineStr">
        <is>
          <t>Agosto/2026</t>
        </is>
      </c>
    </row>
    <row r="2381" hidden="1" ht="14.25" customHeight="1" s="64">
      <c r="A2381" s="106" t="inlineStr">
        <is>
          <t>TIC</t>
        </is>
      </c>
      <c r="B2381" s="106" t="inlineStr">
        <is>
          <t>Custo Variável</t>
        </is>
      </c>
      <c r="C2381" s="106" t="inlineStr">
        <is>
          <t>Material de escritório (suprimentos de informática)</t>
        </is>
      </c>
      <c r="D2381" s="107" t="n">
        <v>1</v>
      </c>
      <c r="E2381" s="108" t="n">
        <v>52.84</v>
      </c>
      <c r="F2381" s="109">
        <f>IFERROR(D2381*E2381,0)</f>
        <v/>
      </c>
      <c r="G2381" s="106">
        <f>INDEX(SETORES!$B:$B,MATCH(A2381,SETORES!$A:$A,0))</f>
        <v/>
      </c>
      <c r="H2381" s="106" t="inlineStr">
        <is>
          <t>Agosto/2026</t>
        </is>
      </c>
    </row>
    <row r="2382" hidden="1" ht="14.25" customHeight="1" s="64">
      <c r="A2382" s="106" t="inlineStr">
        <is>
          <t>Comercial Corporativo</t>
        </is>
      </c>
      <c r="B2382" s="106" t="inlineStr">
        <is>
          <t>Custo Variável</t>
        </is>
      </c>
      <c r="C2382" s="106" t="inlineStr">
        <is>
          <t>Material de escritório (suprimentos de informática)</t>
        </is>
      </c>
      <c r="D2382" s="107" t="n">
        <v>1</v>
      </c>
      <c r="E2382" s="108" t="n">
        <v>9.640000000000001</v>
      </c>
      <c r="F2382" s="109">
        <f>IFERROR(D2382*E2382,0)</f>
        <v/>
      </c>
      <c r="G2382" s="106">
        <f>INDEX(SETORES!$B:$B,MATCH(A2382,SETORES!$A:$A,0))</f>
        <v/>
      </c>
      <c r="H2382" s="106" t="inlineStr">
        <is>
          <t>Agosto/2026</t>
        </is>
      </c>
    </row>
    <row r="2383" hidden="1" ht="14.25" customHeight="1" s="64">
      <c r="A2383" s="106" t="inlineStr">
        <is>
          <t>Cozinha</t>
        </is>
      </c>
      <c r="B2383" s="106" t="inlineStr">
        <is>
          <t>Custo Variável</t>
        </is>
      </c>
      <c r="C2383" s="106" t="inlineStr">
        <is>
          <t>Material de uso coletivo (copa/limpeza)</t>
        </is>
      </c>
      <c r="D2383" s="107" t="n">
        <v>1</v>
      </c>
      <c r="E2383" s="108" t="n">
        <v>124.05</v>
      </c>
      <c r="F2383" s="109">
        <f>IFERROR(D2383*E2383,0)</f>
        <v/>
      </c>
      <c r="G2383" s="106">
        <f>INDEX(SETORES!$B:$B,MATCH(A2383,SETORES!$A:$A,0))</f>
        <v/>
      </c>
      <c r="H2383" s="106" t="inlineStr">
        <is>
          <t>Agosto/2026</t>
        </is>
      </c>
    </row>
    <row r="2384" hidden="1" ht="14.25" customHeight="1" s="64">
      <c r="A2384" s="106" t="inlineStr">
        <is>
          <t>Fique Móvel</t>
        </is>
      </c>
      <c r="B2384" s="106" t="inlineStr">
        <is>
          <t>Custo Variável</t>
        </is>
      </c>
      <c r="C2384" s="106" t="inlineStr">
        <is>
          <t>Material de escritório (suprimentos de informática)</t>
        </is>
      </c>
      <c r="D2384" s="107" t="n">
        <v>1</v>
      </c>
      <c r="E2384" s="108" t="n">
        <v>528.1</v>
      </c>
      <c r="F2384" s="109">
        <f>IFERROR(D2384*E2384,0)</f>
        <v/>
      </c>
      <c r="G2384" s="106">
        <f>INDEX(SETORES!$B:$B,MATCH(A2384,SETORES!$A:$A,0))</f>
        <v/>
      </c>
      <c r="H2384" s="106" t="inlineStr">
        <is>
          <t>Agosto/2026</t>
        </is>
      </c>
    </row>
    <row r="2385" hidden="1" ht="14.25" customHeight="1" s="64">
      <c r="A2385" s="106" t="inlineStr">
        <is>
          <t>Gestão de Atendimento</t>
        </is>
      </c>
      <c r="B2385" s="106" t="inlineStr">
        <is>
          <t>Custo Fixo</t>
        </is>
      </c>
      <c r="C2385" s="106" t="inlineStr">
        <is>
          <t>Instalações - corredores e alojamentos (rateio)</t>
        </is>
      </c>
      <c r="D2385" s="107" t="n">
        <v>1</v>
      </c>
      <c r="E2385" s="108" t="n">
        <v>329.56</v>
      </c>
      <c r="F2385" s="109">
        <f>IFERROR(D2385*E2385,0)</f>
        <v/>
      </c>
      <c r="G2385" s="106">
        <f>INDEX(SETORES!$B:$B,MATCH(A2385,SETORES!$A:$A,0))</f>
        <v/>
      </c>
      <c r="H2385" s="106" t="inlineStr">
        <is>
          <t>Agosto/2026</t>
        </is>
      </c>
    </row>
    <row r="2386" hidden="1" ht="14.25" customHeight="1" s="64">
      <c r="A2386" s="106" t="inlineStr">
        <is>
          <t>CAC</t>
        </is>
      </c>
      <c r="B2386" s="106" t="inlineStr">
        <is>
          <t>Custo Fixo</t>
        </is>
      </c>
      <c r="C2386" s="106" t="inlineStr">
        <is>
          <t>Instalações - corredores e alojamentos (rateio)</t>
        </is>
      </c>
      <c r="D2386" s="107" t="n">
        <v>1</v>
      </c>
      <c r="E2386" s="108" t="n">
        <v>96.93000000000001</v>
      </c>
      <c r="F2386" s="109">
        <f>IFERROR(D2386*E2386,0)</f>
        <v/>
      </c>
      <c r="G2386" s="106">
        <f>INDEX(SETORES!$B:$B,MATCH(A2386,SETORES!$A:$A,0))</f>
        <v/>
      </c>
      <c r="H2386" s="106" t="inlineStr">
        <is>
          <t>Agosto/2026</t>
        </is>
      </c>
    </row>
    <row r="2387" hidden="1" ht="14.25" customHeight="1" s="64">
      <c r="A2387" s="106" t="inlineStr">
        <is>
          <t>Cobrança</t>
        </is>
      </c>
      <c r="B2387" s="106" t="inlineStr">
        <is>
          <t>Custo Fixo</t>
        </is>
      </c>
      <c r="C2387" s="106" t="inlineStr">
        <is>
          <t>Instalações - corredores e alojamentos (rateio)</t>
        </is>
      </c>
      <c r="D2387" s="107" t="n">
        <v>1</v>
      </c>
      <c r="E2387" s="108" t="n">
        <v>252.02</v>
      </c>
      <c r="F2387" s="109">
        <f>IFERROR(D2387*E2387,0)</f>
        <v/>
      </c>
      <c r="G2387" s="106">
        <f>INDEX(SETORES!$B:$B,MATCH(A2387,SETORES!$A:$A,0))</f>
        <v/>
      </c>
      <c r="H2387" s="106" t="inlineStr">
        <is>
          <t>Agosto/2026</t>
        </is>
      </c>
    </row>
    <row r="2388" hidden="1" ht="14.25" customHeight="1" s="64">
      <c r="A2388" s="106" t="inlineStr">
        <is>
          <t>Compras</t>
        </is>
      </c>
      <c r="B2388" s="106" t="inlineStr">
        <is>
          <t>Custo Fixo</t>
        </is>
      </c>
      <c r="C2388" s="106" t="inlineStr">
        <is>
          <t>Instalações - corredores e alojamentos (rateio)</t>
        </is>
      </c>
      <c r="D2388" s="107" t="n">
        <v>1</v>
      </c>
      <c r="E2388" s="108" t="n">
        <v>96.93000000000001</v>
      </c>
      <c r="F2388" s="109">
        <f>IFERROR(D2388*E2388,0)</f>
        <v/>
      </c>
      <c r="G2388" s="106">
        <f>INDEX(SETORES!$B:$B,MATCH(A2388,SETORES!$A:$A,0))</f>
        <v/>
      </c>
      <c r="H2388" s="106" t="inlineStr">
        <is>
          <t>Agosto/2026</t>
        </is>
      </c>
    </row>
    <row r="2389" hidden="1" ht="14.25" customHeight="1" s="64">
      <c r="A2389" s="106" t="inlineStr">
        <is>
          <t>Contabilidade</t>
        </is>
      </c>
      <c r="B2389" s="106" t="inlineStr">
        <is>
          <t>Custo Fixo</t>
        </is>
      </c>
      <c r="C2389" s="106" t="inlineStr">
        <is>
          <t>Instalações - corredores e alojamentos (rateio)</t>
        </is>
      </c>
      <c r="D2389" s="107" t="n">
        <v>1</v>
      </c>
      <c r="E2389" s="108" t="n">
        <v>116.32</v>
      </c>
      <c r="F2389" s="109">
        <f>IFERROR(D2389*E2389,0)</f>
        <v/>
      </c>
      <c r="G2389" s="106">
        <f>INDEX(SETORES!$B:$B,MATCH(A2389,SETORES!$A:$A,0))</f>
        <v/>
      </c>
      <c r="H2389" s="106" t="inlineStr">
        <is>
          <t>Agosto/2026</t>
        </is>
      </c>
    </row>
    <row r="2390" hidden="1" ht="14.25" customHeight="1" s="64">
      <c r="A2390" s="106" t="inlineStr">
        <is>
          <t>DP</t>
        </is>
      </c>
      <c r="B2390" s="106" t="inlineStr">
        <is>
          <t>Custo Fixo</t>
        </is>
      </c>
      <c r="C2390" s="106" t="inlineStr">
        <is>
          <t>Instalações - corredores e alojamentos (rateio)</t>
        </is>
      </c>
      <c r="D2390" s="107" t="n">
        <v>1</v>
      </c>
      <c r="E2390" s="108" t="n">
        <v>174.47</v>
      </c>
      <c r="F2390" s="109">
        <f>IFERROR(D2390*E2390,0)</f>
        <v/>
      </c>
      <c r="G2390" s="106">
        <f>INDEX(SETORES!$B:$B,MATCH(A2390,SETORES!$A:$A,0))</f>
        <v/>
      </c>
      <c r="H2390" s="106" t="inlineStr">
        <is>
          <t>Agosto/2026</t>
        </is>
      </c>
    </row>
    <row r="2391" hidden="1" ht="14.25" customHeight="1" s="64">
      <c r="A2391" s="106" t="inlineStr">
        <is>
          <t>Diretoria Operacional</t>
        </is>
      </c>
      <c r="B2391" s="106" t="inlineStr">
        <is>
          <t>Custo Fixo</t>
        </is>
      </c>
      <c r="C2391" s="106" t="inlineStr">
        <is>
          <t>Instalações - corredores e alojamentos (rateio)</t>
        </is>
      </c>
      <c r="D2391" s="107" t="n">
        <v>1</v>
      </c>
      <c r="E2391" s="108" t="n">
        <v>38.77</v>
      </c>
      <c r="F2391" s="109">
        <f>IFERROR(D2391*E2391,0)</f>
        <v/>
      </c>
      <c r="G2391" s="106">
        <f>INDEX(SETORES!$B:$B,MATCH(A2391,SETORES!$A:$A,0))</f>
        <v/>
      </c>
      <c r="H2391" s="106" t="inlineStr">
        <is>
          <t>Agosto/2026</t>
        </is>
      </c>
    </row>
    <row r="2392" hidden="1" ht="14.25" customHeight="1" s="64">
      <c r="A2392" s="106" t="inlineStr">
        <is>
          <t>Engenharia</t>
        </is>
      </c>
      <c r="B2392" s="106" t="inlineStr">
        <is>
          <t>Custo Fixo</t>
        </is>
      </c>
      <c r="C2392" s="106" t="inlineStr">
        <is>
          <t>Instalações - corredores e alojamentos (rateio)</t>
        </is>
      </c>
      <c r="D2392" s="107" t="n">
        <v>1</v>
      </c>
      <c r="E2392" s="108" t="n">
        <v>174.47</v>
      </c>
      <c r="F2392" s="109">
        <f>IFERROR(D2392*E2392,0)</f>
        <v/>
      </c>
      <c r="G2392" s="106">
        <f>INDEX(SETORES!$B:$B,MATCH(A2392,SETORES!$A:$A,0))</f>
        <v/>
      </c>
      <c r="H2392" s="106" t="inlineStr">
        <is>
          <t>Agosto/2026</t>
        </is>
      </c>
    </row>
    <row r="2393" hidden="1" ht="14.25" customHeight="1" s="64">
      <c r="A2393" s="106" t="inlineStr">
        <is>
          <t>Estoque</t>
        </is>
      </c>
      <c r="B2393" s="106" t="inlineStr">
        <is>
          <t>Custo Fixo</t>
        </is>
      </c>
      <c r="C2393" s="106" t="inlineStr">
        <is>
          <t>Instalações - corredores e alojamentos (rateio)</t>
        </is>
      </c>
      <c r="D2393" s="107" t="n">
        <v>1</v>
      </c>
      <c r="E2393" s="108" t="n">
        <v>310.17</v>
      </c>
      <c r="F2393" s="109">
        <f>IFERROR(D2393*E2393,0)</f>
        <v/>
      </c>
      <c r="G2393" s="106">
        <f>INDEX(SETORES!$B:$B,MATCH(A2393,SETORES!$A:$A,0))</f>
        <v/>
      </c>
      <c r="H2393" s="106" t="inlineStr">
        <is>
          <t>Agosto/2026</t>
        </is>
      </c>
    </row>
    <row r="2394" hidden="1" ht="14.25" customHeight="1" s="64">
      <c r="A2394" s="106" t="inlineStr">
        <is>
          <t>Financeiro</t>
        </is>
      </c>
      <c r="B2394" s="106" t="inlineStr">
        <is>
          <t>Custo Fixo</t>
        </is>
      </c>
      <c r="C2394" s="106" t="inlineStr">
        <is>
          <t>Instalações - corredores e alojamentos (rateio)</t>
        </is>
      </c>
      <c r="D2394" s="107" t="n">
        <v>1</v>
      </c>
      <c r="E2394" s="108" t="n">
        <v>155.09</v>
      </c>
      <c r="F2394" s="109">
        <f>IFERROR(D2394*E2394,0)</f>
        <v/>
      </c>
      <c r="G2394" s="106">
        <f>INDEX(SETORES!$B:$B,MATCH(A2394,SETORES!$A:$A,0))</f>
        <v/>
      </c>
      <c r="H2394" s="106" t="inlineStr">
        <is>
          <t>Agosto/2026</t>
        </is>
      </c>
    </row>
    <row r="2395" hidden="1" ht="14.25" customHeight="1" s="64">
      <c r="A2395" s="106" t="inlineStr">
        <is>
          <t>Logística</t>
        </is>
      </c>
      <c r="B2395" s="106" t="inlineStr">
        <is>
          <t>Custo Fixo</t>
        </is>
      </c>
      <c r="C2395" s="106" t="inlineStr">
        <is>
          <t>Instalações - corredores e alojamentos (rateio)</t>
        </is>
      </c>
      <c r="D2395" s="107" t="n">
        <v>1</v>
      </c>
      <c r="E2395" s="108" t="n">
        <v>310.17</v>
      </c>
      <c r="F2395" s="109">
        <f>IFERROR(D2395*E2395,0)</f>
        <v/>
      </c>
      <c r="G2395" s="106">
        <f>INDEX(SETORES!$B:$B,MATCH(A2395,SETORES!$A:$A,0))</f>
        <v/>
      </c>
      <c r="H2395" s="106" t="inlineStr">
        <is>
          <t>Agosto/2026</t>
        </is>
      </c>
    </row>
    <row r="2396" hidden="1" ht="14.25" customHeight="1" s="64">
      <c r="A2396" s="106" t="inlineStr">
        <is>
          <t>NOC</t>
        </is>
      </c>
      <c r="B2396" s="106" t="inlineStr">
        <is>
          <t>Custo Fixo</t>
        </is>
      </c>
      <c r="C2396" s="106" t="inlineStr">
        <is>
          <t>Instalações - corredores e alojamentos (rateio)</t>
        </is>
      </c>
      <c r="D2396" s="107" t="n">
        <v>1</v>
      </c>
      <c r="E2396" s="108" t="n">
        <v>58.16</v>
      </c>
      <c r="F2396" s="109">
        <f>IFERROR(D2396*E2396,0)</f>
        <v/>
      </c>
      <c r="G2396" s="106">
        <f>INDEX(SETORES!$B:$B,MATCH(A2396,SETORES!$A:$A,0))</f>
        <v/>
      </c>
      <c r="H2396" s="106" t="inlineStr">
        <is>
          <t>Agosto/2026</t>
        </is>
      </c>
    </row>
    <row r="2397" hidden="1" ht="14.25" customHeight="1" s="64">
      <c r="A2397" s="106" t="inlineStr">
        <is>
          <t>NRC</t>
        </is>
      </c>
      <c r="B2397" s="106" t="inlineStr">
        <is>
          <t>Custo Fixo</t>
        </is>
      </c>
      <c r="C2397" s="106" t="inlineStr">
        <is>
          <t>Instalações - corredores e alojamentos (rateio)</t>
        </is>
      </c>
      <c r="D2397" s="107" t="n">
        <v>1</v>
      </c>
      <c r="E2397" s="108" t="n">
        <v>814.21</v>
      </c>
      <c r="F2397" s="109">
        <f>IFERROR(D2397*E2397,0)</f>
        <v/>
      </c>
      <c r="G2397" s="106">
        <f>INDEX(SETORES!$B:$B,MATCH(A2397,SETORES!$A:$A,0))</f>
        <v/>
      </c>
      <c r="H2397" s="106" t="inlineStr">
        <is>
          <t>Agosto/2026</t>
        </is>
      </c>
    </row>
    <row r="2398" hidden="1" ht="14.25" customHeight="1" s="64">
      <c r="A2398" s="106" t="inlineStr">
        <is>
          <t>Oficina</t>
        </is>
      </c>
      <c r="B2398" s="106" t="inlineStr">
        <is>
          <t>Custo Fixo</t>
        </is>
      </c>
      <c r="C2398" s="106" t="inlineStr">
        <is>
          <t>Instalações - corredores e alojamentos (rateio)</t>
        </is>
      </c>
      <c r="D2398" s="107" t="n">
        <v>1</v>
      </c>
      <c r="E2398" s="108" t="n">
        <v>77.54000000000001</v>
      </c>
      <c r="F2398" s="109">
        <f>IFERROR(D2398*E2398,0)</f>
        <v/>
      </c>
      <c r="G2398" s="106">
        <f>INDEX(SETORES!$B:$B,MATCH(A2398,SETORES!$A:$A,0))</f>
        <v/>
      </c>
      <c r="H2398" s="106" t="inlineStr">
        <is>
          <t>Agosto/2026</t>
        </is>
      </c>
    </row>
    <row r="2399" hidden="1" ht="14.25" customHeight="1" s="64">
      <c r="A2399" s="106" t="inlineStr">
        <is>
          <t>RH</t>
        </is>
      </c>
      <c r="B2399" s="106" t="inlineStr">
        <is>
          <t>Custo Fixo</t>
        </is>
      </c>
      <c r="C2399" s="106" t="inlineStr">
        <is>
          <t>Instalações - corredores e alojamentos (rateio)</t>
        </is>
      </c>
      <c r="D2399" s="107" t="n">
        <v>1</v>
      </c>
      <c r="E2399" s="108" t="n">
        <v>116.32</v>
      </c>
      <c r="F2399" s="109">
        <f>IFERROR(D2399*E2399,0)</f>
        <v/>
      </c>
      <c r="G2399" s="106">
        <f>INDEX(SETORES!$B:$B,MATCH(A2399,SETORES!$A:$A,0))</f>
        <v/>
      </c>
      <c r="H2399" s="106" t="inlineStr">
        <is>
          <t>Agosto/2026</t>
        </is>
      </c>
    </row>
    <row r="2400" hidden="1" ht="14.25" customHeight="1" s="64">
      <c r="A2400" s="106" t="inlineStr">
        <is>
          <t>Retenção</t>
        </is>
      </c>
      <c r="B2400" s="106" t="inlineStr">
        <is>
          <t>Custo Fixo</t>
        </is>
      </c>
      <c r="C2400" s="106" t="inlineStr">
        <is>
          <t>Instalações - corredores e alojamentos (rateio)</t>
        </is>
      </c>
      <c r="D2400" s="107" t="n">
        <v>1</v>
      </c>
      <c r="E2400" s="108" t="n">
        <v>232.63</v>
      </c>
      <c r="F2400" s="109">
        <f>IFERROR(D2400*E2400,0)</f>
        <v/>
      </c>
      <c r="G2400" s="106">
        <f>INDEX(SETORES!$B:$B,MATCH(A2400,SETORES!$A:$A,0))</f>
        <v/>
      </c>
      <c r="H2400" s="106" t="inlineStr">
        <is>
          <t>Agosto/2026</t>
        </is>
      </c>
    </row>
    <row r="2401" hidden="1" ht="14.25" customHeight="1" s="64">
      <c r="A2401" s="106" t="inlineStr">
        <is>
          <t>Segurança do Trabalho</t>
        </is>
      </c>
      <c r="B2401" s="106" t="inlineStr">
        <is>
          <t>Custo Fixo</t>
        </is>
      </c>
      <c r="C2401" s="106" t="inlineStr">
        <is>
          <t>Instalações - corredores e alojamentos (rateio)</t>
        </is>
      </c>
      <c r="D2401" s="107" t="n">
        <v>1</v>
      </c>
      <c r="E2401" s="108" t="n">
        <v>155.09</v>
      </c>
      <c r="F2401" s="109">
        <f>IFERROR(D2401*E2401,0)</f>
        <v/>
      </c>
      <c r="G2401" s="106">
        <f>INDEX(SETORES!$B:$B,MATCH(A2401,SETORES!$A:$A,0))</f>
        <v/>
      </c>
      <c r="H2401" s="106" t="inlineStr">
        <is>
          <t>Agosto/2026</t>
        </is>
      </c>
    </row>
    <row r="2402" hidden="1" ht="14.25" customHeight="1" s="64">
      <c r="A2402" s="106" t="inlineStr">
        <is>
          <t>Suporte Orbix</t>
        </is>
      </c>
      <c r="B2402" s="106" t="inlineStr">
        <is>
          <t>Custo Fixo</t>
        </is>
      </c>
      <c r="C2402" s="106" t="inlineStr">
        <is>
          <t>Instalações - corredores e alojamentos (rateio)</t>
        </is>
      </c>
      <c r="D2402" s="107" t="n">
        <v>1</v>
      </c>
      <c r="E2402" s="108" t="n">
        <v>155.09</v>
      </c>
      <c r="F2402" s="109">
        <f>IFERROR(D2402*E2402,0)</f>
        <v/>
      </c>
      <c r="G2402" s="106">
        <f>INDEX(SETORES!$B:$B,MATCH(A2402,SETORES!$A:$A,0))</f>
        <v/>
      </c>
      <c r="H2402" s="106" t="inlineStr">
        <is>
          <t>Agosto/2026</t>
        </is>
      </c>
    </row>
    <row r="2403" hidden="1" ht="14.25" customHeight="1" s="64">
      <c r="A2403" s="106" t="inlineStr">
        <is>
          <t>Suporte da Central</t>
        </is>
      </c>
      <c r="B2403" s="106" t="inlineStr">
        <is>
          <t>Custo Fixo</t>
        </is>
      </c>
      <c r="C2403" s="106" t="inlineStr">
        <is>
          <t>Instalações - corredores e alojamentos (rateio)</t>
        </is>
      </c>
      <c r="D2403" s="107" t="n">
        <v>1</v>
      </c>
      <c r="E2403" s="108" t="n">
        <v>639.74</v>
      </c>
      <c r="F2403" s="109">
        <f>IFERROR(D2403*E2403,0)</f>
        <v/>
      </c>
      <c r="G2403" s="106">
        <f>INDEX(SETORES!$B:$B,MATCH(A2403,SETORES!$A:$A,0))</f>
        <v/>
      </c>
      <c r="H2403" s="106" t="inlineStr">
        <is>
          <t>Agosto/2026</t>
        </is>
      </c>
    </row>
    <row r="2404" hidden="1" ht="14.25" customHeight="1" s="64">
      <c r="A2404" s="106" t="inlineStr">
        <is>
          <t>Televendas</t>
        </is>
      </c>
      <c r="B2404" s="106" t="inlineStr">
        <is>
          <t>Custo Fixo</t>
        </is>
      </c>
      <c r="C2404" s="106" t="inlineStr">
        <is>
          <t>Instalações - corredores e alojamentos (rateio)</t>
        </is>
      </c>
      <c r="D2404" s="107" t="n">
        <v>1</v>
      </c>
      <c r="E2404" s="108" t="n">
        <v>213.25</v>
      </c>
      <c r="F2404" s="109">
        <f>IFERROR(D2404*E2404,0)</f>
        <v/>
      </c>
      <c r="G2404" s="106">
        <f>INDEX(SETORES!$B:$B,MATCH(A2404,SETORES!$A:$A,0))</f>
        <v/>
      </c>
      <c r="H2404" s="106" t="inlineStr">
        <is>
          <t>Agosto/2026</t>
        </is>
      </c>
    </row>
    <row r="2405" hidden="1" ht="14.25" customHeight="1" s="64">
      <c r="A2405" s="106" t="inlineStr">
        <is>
          <t>COE</t>
        </is>
      </c>
      <c r="B2405" s="106" t="inlineStr">
        <is>
          <t>Custo Fixo</t>
        </is>
      </c>
      <c r="C2405" s="106" t="inlineStr">
        <is>
          <t>Instalações - corredores e alojamentos (rateio)</t>
        </is>
      </c>
      <c r="D2405" s="107" t="n">
        <v>1</v>
      </c>
      <c r="E2405" s="108" t="n">
        <v>213.25</v>
      </c>
      <c r="F2405" s="109">
        <f>IFERROR(D2405*E2405,0)</f>
        <v/>
      </c>
      <c r="G2405" s="106">
        <f>INDEX(SETORES!$B:$B,MATCH(A2405,SETORES!$A:$A,0))</f>
        <v/>
      </c>
      <c r="H2405" s="106" t="inlineStr">
        <is>
          <t>Agosto/2026</t>
        </is>
      </c>
    </row>
    <row r="2406" hidden="1" ht="14.25" customHeight="1" s="64">
      <c r="A2406" s="106" t="inlineStr">
        <is>
          <t>Cozinha</t>
        </is>
      </c>
      <c r="B2406" s="106" t="inlineStr">
        <is>
          <t>Custo Fixo</t>
        </is>
      </c>
      <c r="C2406" s="106" t="inlineStr">
        <is>
          <t>Instalações - corredores e alojamentos (rateio)</t>
        </is>
      </c>
      <c r="D2406" s="107" t="n">
        <v>1</v>
      </c>
      <c r="E2406" s="108" t="n">
        <v>77.54000000000001</v>
      </c>
      <c r="F2406" s="109">
        <f>IFERROR(D2406*E2406,0)</f>
        <v/>
      </c>
      <c r="G2406" s="106">
        <f>INDEX(SETORES!$B:$B,MATCH(A2406,SETORES!$A:$A,0))</f>
        <v/>
      </c>
      <c r="H2406" s="106" t="inlineStr">
        <is>
          <t>Agosto/2026</t>
        </is>
      </c>
    </row>
    <row r="2407" hidden="1" ht="14.25" customHeight="1" s="64">
      <c r="A2407" s="106" t="inlineStr">
        <is>
          <t>Backoffice Comercial Varejo</t>
        </is>
      </c>
      <c r="B2407" s="106" t="inlineStr">
        <is>
          <t>Custo Fixo</t>
        </is>
      </c>
      <c r="C2407" s="106" t="inlineStr">
        <is>
          <t>Instalações - corredores e alojamentos (rateio)</t>
        </is>
      </c>
      <c r="D2407" s="107" t="n">
        <v>1</v>
      </c>
      <c r="E2407" s="108" t="n">
        <v>38.77</v>
      </c>
      <c r="F2407" s="109">
        <f>IFERROR(D2407*E2407,0)</f>
        <v/>
      </c>
      <c r="G2407" s="106">
        <f>INDEX(SETORES!$B:$B,MATCH(A2407,SETORES!$A:$A,0))</f>
        <v/>
      </c>
      <c r="H2407" s="106" t="inlineStr">
        <is>
          <t>Agosto/2026</t>
        </is>
      </c>
    </row>
    <row r="2408" hidden="1" ht="14.25" customHeight="1" s="64">
      <c r="A2408" s="106" t="inlineStr">
        <is>
          <t>Marketing</t>
        </is>
      </c>
      <c r="B2408" s="106" t="inlineStr">
        <is>
          <t>Custo Fixo</t>
        </is>
      </c>
      <c r="C2408" s="106" t="inlineStr">
        <is>
          <t>Instalações - corredores e alojamentos (rateio)</t>
        </is>
      </c>
      <c r="D2408" s="107" t="n">
        <v>1</v>
      </c>
      <c r="E2408" s="108" t="n">
        <v>329.56</v>
      </c>
      <c r="F2408" s="109">
        <f>IFERROR(D2408*E2408,0)</f>
        <v/>
      </c>
      <c r="G2408" s="106">
        <f>INDEX(SETORES!$B:$B,MATCH(A2408,SETORES!$A:$A,0))</f>
        <v/>
      </c>
      <c r="H2408" s="106" t="inlineStr">
        <is>
          <t>Agosto/2026</t>
        </is>
      </c>
    </row>
    <row r="2409" hidden="1" ht="14.25" customHeight="1" s="64">
      <c r="A2409" s="106" t="inlineStr">
        <is>
          <t>Comercial Corporativo</t>
        </is>
      </c>
      <c r="B2409" s="106" t="inlineStr">
        <is>
          <t>Custo Fixo</t>
        </is>
      </c>
      <c r="C2409" s="106" t="inlineStr">
        <is>
          <t>Instalações - corredores e alojamentos (rateio)</t>
        </is>
      </c>
      <c r="D2409" s="107" t="n">
        <v>1</v>
      </c>
      <c r="E2409" s="108" t="n">
        <v>232.63</v>
      </c>
      <c r="F2409" s="109">
        <f>IFERROR(D2409*E2409,0)</f>
        <v/>
      </c>
      <c r="G2409" s="106">
        <f>INDEX(SETORES!$B:$B,MATCH(A2409,SETORES!$A:$A,0))</f>
        <v/>
      </c>
      <c r="H2409" s="106" t="inlineStr">
        <is>
          <t>Agosto/2026</t>
        </is>
      </c>
    </row>
    <row r="2410" hidden="1" ht="14.25" customHeight="1" s="64">
      <c r="A2410" s="106" t="inlineStr">
        <is>
          <t>TIC</t>
        </is>
      </c>
      <c r="B2410" s="106" t="inlineStr">
        <is>
          <t>Custo Fixo</t>
        </is>
      </c>
      <c r="C2410" s="106" t="inlineStr">
        <is>
          <t>Instalações - corredores e alojamentos (rateio)</t>
        </is>
      </c>
      <c r="D2410" s="107" t="n">
        <v>1</v>
      </c>
      <c r="E2410" s="108" t="n">
        <v>135.7</v>
      </c>
      <c r="F2410" s="109">
        <f>IFERROR(D2410*E2410,0)</f>
        <v/>
      </c>
      <c r="G2410" s="106">
        <f>INDEX(SETORES!$B:$B,MATCH(A2410,SETORES!$A:$A,0))</f>
        <v/>
      </c>
      <c r="H2410" s="106" t="inlineStr">
        <is>
          <t>Agosto/2026</t>
        </is>
      </c>
    </row>
    <row r="2411" hidden="1" ht="14.25" customHeight="1" s="64">
      <c r="A2411" s="106" t="inlineStr">
        <is>
          <t>Diretoria Adm</t>
        </is>
      </c>
      <c r="B2411" s="106" t="inlineStr">
        <is>
          <t>Custo Fixo</t>
        </is>
      </c>
      <c r="C2411" s="106" t="inlineStr">
        <is>
          <t>Instalações - corredores e alojamentos (rateio)</t>
        </is>
      </c>
      <c r="D2411" s="107" t="n">
        <v>1</v>
      </c>
      <c r="E2411" s="108" t="n">
        <v>38.77</v>
      </c>
      <c r="F2411" s="109">
        <f>IFERROR(D2411*E2411,0)</f>
        <v/>
      </c>
      <c r="G2411" s="106">
        <f>INDEX(SETORES!$B:$B,MATCH(A2411,SETORES!$A:$A,0))</f>
        <v/>
      </c>
      <c r="H2411" s="106" t="inlineStr">
        <is>
          <t>Agosto/2026</t>
        </is>
      </c>
    </row>
    <row r="2412" hidden="1" ht="14.25" customHeight="1" s="64">
      <c r="A2412" s="106" t="inlineStr">
        <is>
          <t>Controladoria</t>
        </is>
      </c>
      <c r="B2412" s="106" t="inlineStr">
        <is>
          <t>Custo Fixo</t>
        </is>
      </c>
      <c r="C2412" s="106" t="inlineStr">
        <is>
          <t>Instalações - corredores e alojamentos (rateio)</t>
        </is>
      </c>
      <c r="D2412" s="107" t="n">
        <v>1</v>
      </c>
      <c r="E2412" s="108" t="n">
        <v>19.39</v>
      </c>
      <c r="F2412" s="109">
        <f>IFERROR(D2412*E2412,0)</f>
        <v/>
      </c>
      <c r="G2412" s="106">
        <f>INDEX(SETORES!$B:$B,MATCH(A2412,SETORES!$A:$A,0))</f>
        <v/>
      </c>
      <c r="H2412" s="106" t="inlineStr">
        <is>
          <t>Agosto/2026</t>
        </is>
      </c>
    </row>
    <row r="2413" hidden="1" ht="14.25" customHeight="1" s="64">
      <c r="A2413" s="106" t="inlineStr">
        <is>
          <t>Configuração</t>
        </is>
      </c>
      <c r="B2413" s="106" t="inlineStr">
        <is>
          <t>Custo Fixo</t>
        </is>
      </c>
      <c r="C2413" s="106" t="inlineStr">
        <is>
          <t>Stargrid</t>
        </is>
      </c>
      <c r="D2413" s="107" t="n">
        <v>10</v>
      </c>
      <c r="E2413" s="108" t="n">
        <v>1.87</v>
      </c>
      <c r="F2413" s="109">
        <f>IFERROR(D2413*E2413,0)</f>
        <v/>
      </c>
      <c r="G2413" s="106">
        <f>INDEX(SETORES!$B:$B,MATCH(A2413,SETORES!$A:$A,0))</f>
        <v/>
      </c>
      <c r="H2413" s="106" t="inlineStr">
        <is>
          <t>Agosto/2026</t>
        </is>
      </c>
    </row>
    <row r="2414" hidden="1" ht="14.25" customHeight="1" s="64">
      <c r="A2414" s="106" t="inlineStr">
        <is>
          <t>Configuração</t>
        </is>
      </c>
      <c r="B2414" s="106" t="inlineStr">
        <is>
          <t>Custo Fixo</t>
        </is>
      </c>
      <c r="C2414" s="106" t="inlineStr">
        <is>
          <t>Licença de e-mail corporativo</t>
        </is>
      </c>
      <c r="D2414" s="107" t="n">
        <v>10</v>
      </c>
      <c r="E2414" s="108" t="n">
        <v>50</v>
      </c>
      <c r="F2414" s="109">
        <f>IFERROR(D2414*E2414,0)</f>
        <v/>
      </c>
      <c r="G2414" s="106">
        <f>INDEX(SETORES!$B:$B,MATCH(A2414,SETORES!$A:$A,0))</f>
        <v/>
      </c>
      <c r="H2414" s="106" t="inlineStr">
        <is>
          <t>Agosto/2026</t>
        </is>
      </c>
    </row>
    <row r="2415" hidden="1" ht="14.25" customHeight="1" s="64">
      <c r="A2415" s="106" t="inlineStr">
        <is>
          <t>Desenvolvimento</t>
        </is>
      </c>
      <c r="B2415" s="106" t="inlineStr">
        <is>
          <t>Custo Fixo</t>
        </is>
      </c>
      <c r="C2415" s="106" t="inlineStr">
        <is>
          <t>Stargrid</t>
        </is>
      </c>
      <c r="D2415" s="107" t="n">
        <v>6</v>
      </c>
      <c r="E2415" s="108" t="n">
        <v>1.87</v>
      </c>
      <c r="F2415" s="109">
        <f>IFERROR(D2415*E2415,0)</f>
        <v/>
      </c>
      <c r="G2415" s="106">
        <f>INDEX(SETORES!$B:$B,MATCH(A2415,SETORES!$A:$A,0))</f>
        <v/>
      </c>
      <c r="H2415" s="106" t="inlineStr">
        <is>
          <t>Agosto/2026</t>
        </is>
      </c>
    </row>
    <row r="2416" hidden="1" ht="14.25" customHeight="1" s="64">
      <c r="A2416" s="106" t="inlineStr">
        <is>
          <t>Desenvolvimento</t>
        </is>
      </c>
      <c r="B2416" s="106" t="inlineStr">
        <is>
          <t>Custo Fixo</t>
        </is>
      </c>
      <c r="C2416" s="106" t="inlineStr">
        <is>
          <t>Licença de e-mail corporativo</t>
        </is>
      </c>
      <c r="D2416" s="107" t="n">
        <v>6</v>
      </c>
      <c r="E2416" s="108" t="n">
        <v>50</v>
      </c>
      <c r="F2416" s="109">
        <f>IFERROR(D2416*E2416,0)</f>
        <v/>
      </c>
      <c r="G2416" s="106">
        <f>INDEX(SETORES!$B:$B,MATCH(A2416,SETORES!$A:$A,0))</f>
        <v/>
      </c>
      <c r="H2416" s="106" t="inlineStr">
        <is>
          <t>Agosto/2026</t>
        </is>
      </c>
    </row>
    <row r="2417" ht="14.25" customHeight="1" s="64">
      <c r="A2417" s="110" t="inlineStr">
        <is>
          <t>Projetista</t>
        </is>
      </c>
      <c r="B2417" s="110" t="inlineStr">
        <is>
          <t>Custo Fixo</t>
        </is>
      </c>
      <c r="C2417" s="110" t="inlineStr">
        <is>
          <t>Folha de pagamento (salários)</t>
        </is>
      </c>
      <c r="D2417" s="110" t="n">
        <v>1</v>
      </c>
      <c r="E2417" s="110" t="n">
        <v>15936.7</v>
      </c>
      <c r="F2417" s="110">
        <f>IFERROR(D2417*E2417,0)</f>
        <v/>
      </c>
      <c r="G2417" s="110">
        <f>INDEX(SETORES!$B:$B,MATCH(A2417,SETORES!$A:$A,0))</f>
        <v/>
      </c>
      <c r="H2417" s="110" t="inlineStr">
        <is>
          <t>Maio/2026</t>
        </is>
      </c>
    </row>
    <row r="2418" ht="14.25" customHeight="1" s="64">
      <c r="A2418" s="110" t="inlineStr">
        <is>
          <t>Projetista</t>
        </is>
      </c>
      <c r="B2418" s="110" t="inlineStr">
        <is>
          <t>Custo Fixo</t>
        </is>
      </c>
      <c r="C2418" s="110" t="inlineStr">
        <is>
          <t>Folha de pagamento (salários)</t>
        </is>
      </c>
      <c r="D2418" s="110" t="n">
        <v>1</v>
      </c>
      <c r="E2418" s="110" t="n">
        <v>23431.15</v>
      </c>
      <c r="F2418" s="110">
        <f>IFERROR(D2418*E2418,0)</f>
        <v/>
      </c>
      <c r="G2418" s="110">
        <f>INDEX(SETORES!$B:$B,MATCH(A2418,SETORES!$A:$A,0))</f>
        <v/>
      </c>
      <c r="H2418" s="110" t="inlineStr">
        <is>
          <t>Junho/2026</t>
        </is>
      </c>
    </row>
    <row r="2419" ht="14.25" customHeight="1" s="64">
      <c r="A2419" s="110" t="inlineStr">
        <is>
          <t>Projetista</t>
        </is>
      </c>
      <c r="B2419" s="110" t="inlineStr">
        <is>
          <t>Custo Fixo</t>
        </is>
      </c>
      <c r="C2419" s="110" t="inlineStr">
        <is>
          <t>Folha de pagamento (salários)</t>
        </is>
      </c>
      <c r="D2419" s="110" t="n">
        <v>1</v>
      </c>
      <c r="E2419" s="110" t="n">
        <v>23134.52</v>
      </c>
      <c r="F2419" s="110">
        <f>IFERROR(D2419*E2419,0)</f>
        <v/>
      </c>
      <c r="G2419" s="110">
        <f>INDEX(SETORES!$B:$B,MATCH(A2419,SETORES!$A:$A,0))</f>
        <v/>
      </c>
      <c r="H2419" s="110" t="inlineStr">
        <is>
          <t>Julho/2026</t>
        </is>
      </c>
    </row>
    <row r="2420" ht="14.25" customHeight="1" s="64">
      <c r="A2420" s="110" t="inlineStr">
        <is>
          <t>Projetista</t>
        </is>
      </c>
      <c r="B2420" s="110" t="inlineStr">
        <is>
          <t>Custo Fixo</t>
        </is>
      </c>
      <c r="C2420" s="110" t="inlineStr">
        <is>
          <t>Folha de pagamento (salários)</t>
        </is>
      </c>
      <c r="D2420" s="110" t="n">
        <v>1</v>
      </c>
      <c r="E2420" s="110" t="n">
        <v>25653.46</v>
      </c>
      <c r="F2420" s="110">
        <f>IFERROR(D2420*E2420,0)</f>
        <v/>
      </c>
      <c r="G2420" s="110">
        <f>INDEX(SETORES!$B:$B,MATCH(A2420,SETORES!$A:$A,0))</f>
        <v/>
      </c>
      <c r="H2420" s="110" t="inlineStr">
        <is>
          <t>Agosto/2026</t>
        </is>
      </c>
    </row>
    <row r="2421" ht="14.25" customHeight="1" s="64">
      <c r="A2421" s="110" t="inlineStr">
        <is>
          <t>Suporte da Central</t>
        </is>
      </c>
      <c r="B2421" s="110" t="inlineStr">
        <is>
          <t>Custo Variável</t>
        </is>
      </c>
      <c r="C2421" s="110" t="inlineStr">
        <is>
          <t>Fardamento substituição</t>
        </is>
      </c>
      <c r="D2421" s="110" t="n">
        <v>1</v>
      </c>
      <c r="E2421" s="110" t="n">
        <v>272</v>
      </c>
      <c r="F2421" s="110">
        <f>IFERROR(D2421*E2421,0)</f>
        <v/>
      </c>
      <c r="G2421" s="110">
        <f>INDEX(SETORES!$B:$B,MATCH(A2421,SETORES!$A:$A,0))</f>
        <v/>
      </c>
      <c r="H2421" s="110" t="inlineStr">
        <is>
          <t>Agosto/2026</t>
        </is>
      </c>
    </row>
    <row r="2422" ht="14.25" customHeight="1" s="64">
      <c r="A2422" s="110" t="inlineStr">
        <is>
          <t>Configuração</t>
        </is>
      </c>
      <c r="B2422" s="110" t="inlineStr">
        <is>
          <t>Custo Variável</t>
        </is>
      </c>
      <c r="C2422" s="110" t="inlineStr">
        <is>
          <t>Fardamento novo</t>
        </is>
      </c>
      <c r="D2422" s="110" t="n">
        <v>1</v>
      </c>
      <c r="E2422" s="110" t="n">
        <v>90</v>
      </c>
      <c r="F2422" s="110">
        <f>IFERROR(D2422*E2422,0)</f>
        <v/>
      </c>
      <c r="G2422" s="110">
        <f>INDEX(SETORES!$B:$B,MATCH(A2422,SETORES!$A:$A,0))</f>
        <v/>
      </c>
      <c r="H2422" s="110" t="inlineStr">
        <is>
          <t>Agosto/2026</t>
        </is>
      </c>
    </row>
    <row r="2423">
      <c r="A2423" s="106" t="inlineStr">
        <is>
          <t>Gestão de Atendimento</t>
        </is>
      </c>
      <c r="B2423" s="106" t="inlineStr">
        <is>
          <t>Custo Fixo</t>
        </is>
      </c>
      <c r="C2423" s="106" t="inlineStr">
        <is>
          <t>Material de escritório (suprimentos de informática)</t>
        </is>
      </c>
      <c r="D2423" s="107" t="n">
        <v>1</v>
      </c>
      <c r="E2423" s="108" t="n">
        <v>840.67</v>
      </c>
      <c r="F2423" s="109">
        <f>IFERROR(D2423*E2423,0)</f>
        <v/>
      </c>
      <c r="G2423" s="106">
        <f>INDEX(SETORES!$B:$B,MATCH(A2423,SETORES!$A:$A,0))</f>
        <v/>
      </c>
      <c r="H2423" s="106" t="inlineStr">
        <is>
          <t>Setembro/2026</t>
        </is>
      </c>
    </row>
    <row r="2424">
      <c r="A2424" s="106" t="inlineStr">
        <is>
          <t>Gestão de Atendimento</t>
        </is>
      </c>
      <c r="B2424" s="106" t="inlineStr">
        <is>
          <t>Custo Fixo</t>
        </is>
      </c>
      <c r="C2424" s="106" t="inlineStr">
        <is>
          <t>Material de uso coletivo (copa/limpeza)</t>
        </is>
      </c>
      <c r="D2424" s="107" t="n">
        <v>1</v>
      </c>
      <c r="E2424" s="108" t="n">
        <v>882.22</v>
      </c>
      <c r="F2424" s="109">
        <f>IFERROR(D2424*E2424,0)</f>
        <v/>
      </c>
      <c r="G2424" s="106">
        <f>INDEX(SETORES!$B:$B,MATCH(A2424,SETORES!$A:$A,0))</f>
        <v/>
      </c>
      <c r="H2424" s="106" t="inlineStr">
        <is>
          <t>Setembro/2026</t>
        </is>
      </c>
    </row>
    <row r="2425">
      <c r="A2425" s="106" t="inlineStr">
        <is>
          <t>Gestão de Atendimento</t>
        </is>
      </c>
      <c r="B2425" s="106" t="inlineStr">
        <is>
          <t>Custo Fixo</t>
        </is>
      </c>
      <c r="C2425" s="106" t="inlineStr">
        <is>
          <t>Energia elétrica (rateio)</t>
        </is>
      </c>
      <c r="D2425" s="107" t="n"/>
      <c r="E2425" s="108" t="n"/>
      <c r="F2425" s="109">
        <f>IFERROR(D2425*E2425,0)</f>
        <v/>
      </c>
      <c r="G2425" s="106">
        <f>INDEX(SETORES!$B:$B,MATCH(A2425,SETORES!$A:$A,0))</f>
        <v/>
      </c>
      <c r="H2425" s="106" t="inlineStr">
        <is>
          <t>Setembro/2026</t>
        </is>
      </c>
    </row>
    <row r="2426">
      <c r="A2426" s="106" t="inlineStr">
        <is>
          <t>Gestão de Atendimento</t>
        </is>
      </c>
      <c r="B2426" s="106" t="inlineStr">
        <is>
          <t>Custo Fixo</t>
        </is>
      </c>
      <c r="C2426" s="106" t="inlineStr">
        <is>
          <t>Água e esgoto (rateio)</t>
        </is>
      </c>
      <c r="D2426" s="107" t="n"/>
      <c r="E2426" s="108" t="n"/>
      <c r="F2426" s="109">
        <f>IFERROR(D2426*E2426,0)</f>
        <v/>
      </c>
      <c r="G2426" s="106">
        <f>INDEX(SETORES!$B:$B,MATCH(A2426,SETORES!$A:$A,0))</f>
        <v/>
      </c>
      <c r="H2426" s="106" t="inlineStr">
        <is>
          <t>Setembro/2026</t>
        </is>
      </c>
    </row>
    <row r="2427">
      <c r="A2427" s="106" t="inlineStr">
        <is>
          <t>Gestão de Atendimento</t>
        </is>
      </c>
      <c r="B2427" s="106" t="inlineStr">
        <is>
          <t>Custo Fixo</t>
        </is>
      </c>
      <c r="C2427" s="106" t="inlineStr">
        <is>
          <t>Telefonia móvel corporativa</t>
        </is>
      </c>
      <c r="D2427" s="107" t="n"/>
      <c r="E2427" s="108" t="n"/>
      <c r="F2427" s="109">
        <f>IFERROR(D2427*E2427,0)</f>
        <v/>
      </c>
      <c r="G2427" s="106">
        <f>INDEX(SETORES!$B:$B,MATCH(A2427,SETORES!$A:$A,0))</f>
        <v/>
      </c>
      <c r="H2427" s="106" t="inlineStr">
        <is>
          <t>Setembro/2026</t>
        </is>
      </c>
    </row>
    <row r="2428">
      <c r="A2428" s="106" t="inlineStr">
        <is>
          <t>Gestão de Atendimento</t>
        </is>
      </c>
      <c r="B2428" s="106" t="inlineStr">
        <is>
          <t>Custo Fixo</t>
        </is>
      </c>
      <c r="C2428" s="106" t="inlineStr">
        <is>
          <t>Folha de pagamento (salários)</t>
        </is>
      </c>
      <c r="D2428" s="107" t="n">
        <v>1</v>
      </c>
      <c r="E2428" s="108" t="n">
        <v>55556.32</v>
      </c>
      <c r="F2428" s="109">
        <f>IFERROR(D2428*E2428,0)</f>
        <v/>
      </c>
      <c r="G2428" s="106">
        <f>INDEX(SETORES!$B:$B,MATCH(A2428,SETORES!$A:$A,0))</f>
        <v/>
      </c>
      <c r="H2428" s="106" t="inlineStr">
        <is>
          <t>Setembro/2026</t>
        </is>
      </c>
    </row>
    <row r="2429">
      <c r="A2429" s="106" t="inlineStr">
        <is>
          <t>Gestão de Atendimento</t>
        </is>
      </c>
      <c r="B2429" s="106" t="inlineStr">
        <is>
          <t>Custo Variável</t>
        </is>
      </c>
      <c r="C2429" s="106" t="inlineStr">
        <is>
          <t>Fardamento novo</t>
        </is>
      </c>
      <c r="D2429" s="107" t="n">
        <v>1</v>
      </c>
      <c r="E2429" s="108" t="n">
        <v>180</v>
      </c>
      <c r="F2429" s="109">
        <f>IFERROR(D2429*E2429,0)</f>
        <v/>
      </c>
      <c r="G2429" s="106">
        <f>INDEX(SETORES!$B:$B,MATCH(A2429,SETORES!$A:$A,0))</f>
        <v/>
      </c>
      <c r="H2429" s="106" t="inlineStr">
        <is>
          <t>Setembro/2026</t>
        </is>
      </c>
    </row>
    <row r="2430">
      <c r="A2430" s="106" t="inlineStr">
        <is>
          <t>Gestão de Atendimento</t>
        </is>
      </c>
      <c r="B2430" s="106" t="inlineStr">
        <is>
          <t>Custo Variável</t>
        </is>
      </c>
      <c r="C2430" s="106" t="inlineStr">
        <is>
          <t>Fardamento substituição</t>
        </is>
      </c>
      <c r="D2430" s="107" t="n"/>
      <c r="E2430" s="108" t="n"/>
      <c r="F2430" s="109">
        <f>IFERROR(D2430*E2430,0)</f>
        <v/>
      </c>
      <c r="G2430" s="106">
        <f>INDEX(SETORES!$B:$B,MATCH(A2430,SETORES!$A:$A,0))</f>
        <v/>
      </c>
      <c r="H2430" s="106" t="inlineStr">
        <is>
          <t>Setembro/2026</t>
        </is>
      </c>
    </row>
    <row r="2431">
      <c r="A2431" s="106" t="inlineStr">
        <is>
          <t>Gestão de Atendimento</t>
        </is>
      </c>
      <c r="B2431" s="106" t="inlineStr">
        <is>
          <t>Custo Variável</t>
        </is>
      </c>
      <c r="C2431" s="106" t="inlineStr">
        <is>
          <t>Exames médicos</t>
        </is>
      </c>
      <c r="D2431" s="107" t="n"/>
      <c r="E2431" s="108" t="n"/>
      <c r="F2431" s="109">
        <f>IFERROR(D2431*E2431,0)</f>
        <v/>
      </c>
      <c r="G2431" s="106">
        <f>INDEX(SETORES!$B:$B,MATCH(A2431,SETORES!$A:$A,0))</f>
        <v/>
      </c>
      <c r="H2431" s="106" t="inlineStr">
        <is>
          <t>Setembro/2026</t>
        </is>
      </c>
    </row>
    <row r="2432">
      <c r="A2432" s="106" t="inlineStr">
        <is>
          <t>Gestão de Atendimento</t>
        </is>
      </c>
      <c r="B2432" s="106" t="inlineStr">
        <is>
          <t>Custo Fixo</t>
        </is>
      </c>
      <c r="C2432" s="106" t="inlineStr">
        <is>
          <t>Licença de e-mail corporativo</t>
        </is>
      </c>
      <c r="D2432" s="107" t="n">
        <v>17</v>
      </c>
      <c r="E2432" s="108" t="n">
        <v>50</v>
      </c>
      <c r="F2432" s="109">
        <f>IFERROR(D2432*E2432,0)</f>
        <v/>
      </c>
      <c r="G2432" s="106">
        <f>INDEX(SETORES!$B:$B,MATCH(A2432,SETORES!$A:$A,0))</f>
        <v/>
      </c>
      <c r="H2432" s="106" t="inlineStr">
        <is>
          <t>Setembro/2026</t>
        </is>
      </c>
    </row>
    <row r="2433">
      <c r="A2433" s="106" t="inlineStr">
        <is>
          <t>Gestão de Atendimento</t>
        </is>
      </c>
      <c r="B2433" s="106" t="inlineStr">
        <is>
          <t>Custo Fixo</t>
        </is>
      </c>
      <c r="C2433" s="106" t="inlineStr">
        <is>
          <t>Gympass</t>
        </is>
      </c>
      <c r="D2433" s="107" t="n"/>
      <c r="E2433" s="108" t="n"/>
      <c r="F2433" s="109">
        <f>IFERROR(D2433*E2433,0)</f>
        <v/>
      </c>
      <c r="G2433" s="106">
        <f>INDEX(SETORES!$B:$B,MATCH(A2433,SETORES!$A:$A,0))</f>
        <v/>
      </c>
      <c r="H2433" s="106" t="inlineStr">
        <is>
          <t>Setembro/2026</t>
        </is>
      </c>
    </row>
    <row r="2434">
      <c r="A2434" s="106" t="inlineStr">
        <is>
          <t>Gestão de Atendimento</t>
        </is>
      </c>
      <c r="B2434" s="106" t="inlineStr">
        <is>
          <t>Custo Fixo</t>
        </is>
      </c>
      <c r="C2434" s="106" t="inlineStr">
        <is>
          <t>Stargrid</t>
        </is>
      </c>
      <c r="D2434" s="107" t="n">
        <v>17</v>
      </c>
      <c r="E2434" s="108" t="n">
        <v>1.87</v>
      </c>
      <c r="F2434" s="109">
        <f>IFERROR(D2434*E2434,0)</f>
        <v/>
      </c>
      <c r="G2434" s="106">
        <f>INDEX(SETORES!$B:$B,MATCH(A2434,SETORES!$A:$A,0))</f>
        <v/>
      </c>
      <c r="H2434" s="106" t="inlineStr">
        <is>
          <t>Setembro/2026</t>
        </is>
      </c>
    </row>
    <row r="2435">
      <c r="A2435" s="106" t="inlineStr">
        <is>
          <t>RH</t>
        </is>
      </c>
      <c r="B2435" s="106" t="inlineStr">
        <is>
          <t>Custo Fixo</t>
        </is>
      </c>
      <c r="C2435" s="106" t="inlineStr">
        <is>
          <t>Software exclusivo fiberschool (RH)</t>
        </is>
      </c>
      <c r="D2435" s="107" t="n">
        <v>1</v>
      </c>
      <c r="E2435" s="108" t="n">
        <v>2500</v>
      </c>
      <c r="F2435" s="109">
        <f>IFERROR(D2435*E2435,0)</f>
        <v/>
      </c>
      <c r="G2435" s="106">
        <f>INDEX(SETORES!$B:$B,MATCH(A2435,SETORES!$A:$A,0))</f>
        <v/>
      </c>
      <c r="H2435" s="106" t="inlineStr">
        <is>
          <t>Setembro/2026</t>
        </is>
      </c>
    </row>
    <row r="2436">
      <c r="A2436" s="106" t="inlineStr">
        <is>
          <t>RH</t>
        </is>
      </c>
      <c r="B2436" s="106" t="inlineStr">
        <is>
          <t>Custo Fixo</t>
        </is>
      </c>
      <c r="C2436" s="106" t="inlineStr">
        <is>
          <t>Software RH1000 (RH)</t>
        </is>
      </c>
      <c r="D2436" s="107" t="n">
        <v>1</v>
      </c>
      <c r="E2436" s="108" t="n">
        <v>2612.9</v>
      </c>
      <c r="F2436" s="109">
        <f>IFERROR(D2436*E2436,0)</f>
        <v/>
      </c>
      <c r="G2436" s="106">
        <f>INDEX(SETORES!$B:$B,MATCH(A2436,SETORES!$A:$A,0))</f>
        <v/>
      </c>
      <c r="H2436" s="106" t="inlineStr">
        <is>
          <t>Setembro/2026</t>
        </is>
      </c>
    </row>
    <row r="2437">
      <c r="A2437" s="106" t="inlineStr">
        <is>
          <t>Administrativo</t>
        </is>
      </c>
      <c r="B2437" s="106" t="inlineStr">
        <is>
          <t>Custo Fixo</t>
        </is>
      </c>
      <c r="C2437" s="106" t="inlineStr">
        <is>
          <t>Sistema de assinatura eletronica (autentique) (TIC)</t>
        </is>
      </c>
      <c r="D2437" s="107" t="n">
        <v>1</v>
      </c>
      <c r="E2437" s="108" t="n">
        <v>99</v>
      </c>
      <c r="F2437" s="109">
        <f>IFERROR(D2437*E2437,0)</f>
        <v/>
      </c>
      <c r="G2437" s="106">
        <f>INDEX(SETORES!$B:$B,MATCH(A2437,SETORES!$A:$A,0))</f>
        <v/>
      </c>
      <c r="H2437" s="106" t="inlineStr">
        <is>
          <t>Setembro/2026</t>
        </is>
      </c>
    </row>
    <row r="2438">
      <c r="A2438" s="106" t="inlineStr">
        <is>
          <t>Financeiro</t>
        </is>
      </c>
      <c r="B2438" s="106" t="inlineStr">
        <is>
          <t>Custo Fixo</t>
        </is>
      </c>
      <c r="C2438" s="106" t="inlineStr">
        <is>
          <t>Plataforma do aplicativo Vexpenses (financeiro)</t>
        </is>
      </c>
      <c r="D2438" s="107" t="n"/>
      <c r="E2438" s="108" t="n"/>
      <c r="F2438" s="109">
        <f>IFERROR(D2438*E2438,0)</f>
        <v/>
      </c>
      <c r="G2438" s="106">
        <f>INDEX(SETORES!$B:$B,MATCH(A2438,SETORES!$A:$A,0))</f>
        <v/>
      </c>
      <c r="H2438" s="106" t="inlineStr">
        <is>
          <t>Setembro/2026</t>
        </is>
      </c>
    </row>
    <row r="2439">
      <c r="A2439" s="106" t="inlineStr">
        <is>
          <t>DP</t>
        </is>
      </c>
      <c r="B2439" s="106" t="inlineStr">
        <is>
          <t>Custo Fixo</t>
        </is>
      </c>
      <c r="C2439" s="106" t="inlineStr">
        <is>
          <t>Licenças de software/sistemas corporativos (DP)</t>
        </is>
      </c>
      <c r="D2439" s="107" t="n">
        <v>1</v>
      </c>
      <c r="E2439" s="108" t="n">
        <v>2559.44</v>
      </c>
      <c r="F2439" s="109">
        <f>IFERROR(D2439*E2439,0)</f>
        <v/>
      </c>
      <c r="G2439" s="106">
        <f>INDEX(SETORES!$B:$B,MATCH(A2439,SETORES!$A:$A,0))</f>
        <v/>
      </c>
      <c r="H2439" s="106" t="inlineStr">
        <is>
          <t>Setembro/2026</t>
        </is>
      </c>
    </row>
    <row r="2440">
      <c r="A2440" s="106" t="inlineStr">
        <is>
          <t>DP</t>
        </is>
      </c>
      <c r="B2440" s="106" t="inlineStr">
        <is>
          <t>Custo Fixo</t>
        </is>
      </c>
      <c r="C2440" s="106" t="inlineStr">
        <is>
          <t>Sistema de ponto eletrônico (KAIROS) (DP)</t>
        </is>
      </c>
      <c r="D2440" s="107" t="n"/>
      <c r="E2440" s="108" t="n"/>
      <c r="F2440" s="109">
        <f>IFERROR(D2440*E2440,0)</f>
        <v/>
      </c>
      <c r="G2440" s="106">
        <f>INDEX(SETORES!$B:$B,MATCH(A2440,SETORES!$A:$A,0))</f>
        <v/>
      </c>
      <c r="H2440" s="106" t="inlineStr">
        <is>
          <t>Setembro/2026</t>
        </is>
      </c>
    </row>
    <row r="2441">
      <c r="A2441" s="106" t="inlineStr">
        <is>
          <t>RH</t>
        </is>
      </c>
      <c r="B2441" s="106" t="inlineStr">
        <is>
          <t>Custo Fixo</t>
        </is>
      </c>
      <c r="C2441" s="106" t="inlineStr">
        <is>
          <t>Plataforma de comunicação interna (Useflow) (RH)</t>
        </is>
      </c>
      <c r="D2441" s="107" t="n">
        <v>1</v>
      </c>
      <c r="E2441" s="108" t="n">
        <v>2000</v>
      </c>
      <c r="F2441" s="109">
        <f>IFERROR(D2441*E2441,0)</f>
        <v/>
      </c>
      <c r="G2441" s="106">
        <f>INDEX(SETORES!$B:$B,MATCH(A2441,SETORES!$A:$A,0))</f>
        <v/>
      </c>
      <c r="H2441" s="106" t="inlineStr">
        <is>
          <t>Setembro/2026</t>
        </is>
      </c>
    </row>
    <row r="2442">
      <c r="A2442" s="106" t="inlineStr">
        <is>
          <t>DP</t>
        </is>
      </c>
      <c r="B2442" s="106" t="inlineStr">
        <is>
          <t>Custo Fixo</t>
        </is>
      </c>
      <c r="C2442" s="106" t="inlineStr">
        <is>
          <t>Software exclusivo B2D (Arquivar) (DP)</t>
        </is>
      </c>
      <c r="D2442" s="107" t="n"/>
      <c r="E2442" s="108" t="n"/>
      <c r="F2442" s="109">
        <f>IFERROR(D2442*E2442,0)</f>
        <v/>
      </c>
      <c r="G2442" s="106">
        <f>INDEX(SETORES!$B:$B,MATCH(A2442,SETORES!$A:$A,0))</f>
        <v/>
      </c>
      <c r="H2442" s="106" t="inlineStr">
        <is>
          <t>Setembro/2026</t>
        </is>
      </c>
    </row>
    <row r="2443">
      <c r="A2443" s="106" t="inlineStr">
        <is>
          <t>DP</t>
        </is>
      </c>
      <c r="B2443" s="106" t="inlineStr">
        <is>
          <t>Custo Fixo</t>
        </is>
      </c>
      <c r="C2443" s="106" t="inlineStr">
        <is>
          <t>Software Dominio portal do empregado (DP)</t>
        </is>
      </c>
      <c r="D2443" s="107" t="n"/>
      <c r="E2443" s="108" t="n"/>
      <c r="F2443" s="109">
        <f>IFERROR(D2443*E2443,0)</f>
        <v/>
      </c>
      <c r="G2443" s="106">
        <f>INDEX(SETORES!$B:$B,MATCH(A2443,SETORES!$A:$A,0))</f>
        <v/>
      </c>
      <c r="H2443" s="106" t="inlineStr">
        <is>
          <t>Setembro/2026</t>
        </is>
      </c>
    </row>
    <row r="2444">
      <c r="A2444" s="106" t="inlineStr">
        <is>
          <t>Contabilidade</t>
        </is>
      </c>
      <c r="B2444" s="106" t="inlineStr">
        <is>
          <t>Custo Fixo</t>
        </is>
      </c>
      <c r="C2444" s="106" t="inlineStr">
        <is>
          <t>Licenças de software/sistemas corporativos (Contabilidade)</t>
        </is>
      </c>
      <c r="D2444" s="107" t="n">
        <v>1</v>
      </c>
      <c r="E2444" s="108" t="n">
        <v>2559.45</v>
      </c>
      <c r="F2444" s="109">
        <f>IFERROR(D2444*E2444,0)</f>
        <v/>
      </c>
      <c r="G2444" s="106">
        <f>INDEX(SETORES!$B:$B,MATCH(A2444,SETORES!$A:$A,0))</f>
        <v/>
      </c>
      <c r="H2444" s="106" t="inlineStr">
        <is>
          <t>Setembro/2026</t>
        </is>
      </c>
    </row>
    <row r="2445">
      <c r="A2445" s="106" t="inlineStr">
        <is>
          <t>Administrativo</t>
        </is>
      </c>
      <c r="B2445" s="106" t="inlineStr">
        <is>
          <t>Custo Fixo</t>
        </is>
      </c>
      <c r="C2445" s="106" t="inlineStr">
        <is>
          <t>Software Power BI Dynamics (f001796)</t>
        </is>
      </c>
      <c r="D2445" s="107" t="n">
        <v>1</v>
      </c>
      <c r="E2445" s="108" t="n">
        <v>1787.09</v>
      </c>
      <c r="F2445" s="109">
        <f>IFERROR(D2445*E2445,0)</f>
        <v/>
      </c>
      <c r="G2445" s="106">
        <f>INDEX(SETORES!$B:$B,MATCH(A2445,SETORES!$A:$A,0))</f>
        <v/>
      </c>
      <c r="H2445" s="106" t="inlineStr">
        <is>
          <t>Setembro/2026</t>
        </is>
      </c>
    </row>
    <row r="2446">
      <c r="A2446" s="106" t="inlineStr">
        <is>
          <t>Engenharia</t>
        </is>
      </c>
      <c r="B2446" s="106" t="inlineStr">
        <is>
          <t>Custo Fixo</t>
        </is>
      </c>
      <c r="C2446" s="106" t="inlineStr">
        <is>
          <t>Software de geolocalização (Engenharia)</t>
        </is>
      </c>
      <c r="D2446" s="107" t="n"/>
      <c r="E2446" s="108" t="n"/>
      <c r="F2446" s="109">
        <f>IFERROR(D2446*E2446,0)</f>
        <v/>
      </c>
      <c r="G2446" s="106">
        <f>INDEX(SETORES!$B:$B,MATCH(A2446,SETORES!$A:$A,0))</f>
        <v/>
      </c>
      <c r="H2446" s="106" t="inlineStr">
        <is>
          <t>Setembro/2026</t>
        </is>
      </c>
    </row>
    <row r="2447">
      <c r="A2447" s="106" t="inlineStr">
        <is>
          <t>Logística</t>
        </is>
      </c>
      <c r="B2447" s="106" t="inlineStr">
        <is>
          <t>Custo Fixo</t>
        </is>
      </c>
      <c r="C2447" s="106" t="inlineStr">
        <is>
          <t>Software Full time (Logística)</t>
        </is>
      </c>
      <c r="D2447" s="107" t="n"/>
      <c r="E2447" s="108" t="n"/>
      <c r="F2447" s="109">
        <f>IFERROR(D2447*E2447,0)</f>
        <v/>
      </c>
      <c r="G2447" s="106">
        <f>INDEX(SETORES!$B:$B,MATCH(A2447,SETORES!$A:$A,0))</f>
        <v/>
      </c>
      <c r="H2447" s="106" t="inlineStr">
        <is>
          <t>Setembro/2026</t>
        </is>
      </c>
    </row>
    <row r="2448">
      <c r="A2448" s="106" t="inlineStr">
        <is>
          <t>Administrativo</t>
        </is>
      </c>
      <c r="B2448" s="106" t="inlineStr">
        <is>
          <t>Custo Fixo</t>
        </is>
      </c>
      <c r="C2448" s="106" t="inlineStr">
        <is>
          <t>Software de sistema eletronico de alarme (administrativo)</t>
        </is>
      </c>
      <c r="D2448" s="107" t="n"/>
      <c r="E2448" s="108" t="n"/>
      <c r="F2448" s="109">
        <f>IFERROR(D2448*E2448,0)</f>
        <v/>
      </c>
      <c r="G2448" s="106">
        <f>INDEX(SETORES!$B:$B,MATCH(A2448,SETORES!$A:$A,0))</f>
        <v/>
      </c>
      <c r="H2448" s="106" t="inlineStr">
        <is>
          <t>Setembro/2026</t>
        </is>
      </c>
    </row>
    <row r="2449">
      <c r="A2449" s="106" t="inlineStr">
        <is>
          <t>CAC</t>
        </is>
      </c>
      <c r="B2449" s="106" t="inlineStr">
        <is>
          <t>Custo Fixo</t>
        </is>
      </c>
      <c r="C2449" s="106" t="inlineStr">
        <is>
          <t>Material de escritório (suprimentos de informática)</t>
        </is>
      </c>
      <c r="D2449" s="107" t="n"/>
      <c r="E2449" s="108" t="n"/>
      <c r="F2449" s="109">
        <f>IFERROR(D2449*E2449,0)</f>
        <v/>
      </c>
      <c r="G2449" s="106">
        <f>INDEX(SETORES!$B:$B,MATCH(A2449,SETORES!$A:$A,0))</f>
        <v/>
      </c>
      <c r="H2449" s="106" t="inlineStr">
        <is>
          <t>Setembro/2026</t>
        </is>
      </c>
    </row>
    <row r="2450">
      <c r="A2450" s="106" t="inlineStr">
        <is>
          <t>CAC</t>
        </is>
      </c>
      <c r="B2450" s="106" t="inlineStr">
        <is>
          <t>Custo Fixo</t>
        </is>
      </c>
      <c r="C2450" s="106" t="inlineStr">
        <is>
          <t>Material de uso coletivo (copa/limpeza)</t>
        </is>
      </c>
      <c r="D2450" s="107" t="n"/>
      <c r="E2450" s="108" t="n"/>
      <c r="F2450" s="109">
        <f>IFERROR(D2450*E2450,0)</f>
        <v/>
      </c>
      <c r="G2450" s="106">
        <f>INDEX(SETORES!$B:$B,MATCH(A2450,SETORES!$A:$A,0))</f>
        <v/>
      </c>
      <c r="H2450" s="106" t="inlineStr">
        <is>
          <t>Setembro/2026</t>
        </is>
      </c>
    </row>
    <row r="2451">
      <c r="A2451" s="106" t="inlineStr">
        <is>
          <t>CAC</t>
        </is>
      </c>
      <c r="B2451" s="106" t="inlineStr">
        <is>
          <t>Custo Fixo</t>
        </is>
      </c>
      <c r="C2451" s="106" t="inlineStr">
        <is>
          <t>Energia elétrica (rateio)</t>
        </is>
      </c>
      <c r="D2451" s="107" t="n"/>
      <c r="E2451" s="108" t="n"/>
      <c r="F2451" s="109">
        <f>IFERROR(D2451*E2451,0)</f>
        <v/>
      </c>
      <c r="G2451" s="106">
        <f>INDEX(SETORES!$B:$B,MATCH(A2451,SETORES!$A:$A,0))</f>
        <v/>
      </c>
      <c r="H2451" s="106" t="inlineStr">
        <is>
          <t>Setembro/2026</t>
        </is>
      </c>
    </row>
    <row r="2452">
      <c r="A2452" s="106" t="inlineStr">
        <is>
          <t>CAC</t>
        </is>
      </c>
      <c r="B2452" s="106" t="inlineStr">
        <is>
          <t>Custo Fixo</t>
        </is>
      </c>
      <c r="C2452" s="106" t="inlineStr">
        <is>
          <t>Água e esgoto (rateio)</t>
        </is>
      </c>
      <c r="D2452" s="107" t="n"/>
      <c r="E2452" s="108" t="n"/>
      <c r="F2452" s="109">
        <f>IFERROR(D2452*E2452,0)</f>
        <v/>
      </c>
      <c r="G2452" s="106">
        <f>INDEX(SETORES!$B:$B,MATCH(A2452,SETORES!$A:$A,0))</f>
        <v/>
      </c>
      <c r="H2452" s="106" t="inlineStr">
        <is>
          <t>Setembro/2026</t>
        </is>
      </c>
    </row>
    <row r="2453">
      <c r="A2453" s="106" t="inlineStr">
        <is>
          <t>CAC</t>
        </is>
      </c>
      <c r="B2453" s="106" t="inlineStr">
        <is>
          <t>Custo Fixo</t>
        </is>
      </c>
      <c r="C2453" s="106" t="inlineStr">
        <is>
          <t>Telefonia móvel corporativa</t>
        </is>
      </c>
      <c r="D2453" s="107" t="n"/>
      <c r="E2453" s="108" t="n"/>
      <c r="F2453" s="109">
        <f>IFERROR(D2453*E2453,0)</f>
        <v/>
      </c>
      <c r="G2453" s="106">
        <f>INDEX(SETORES!$B:$B,MATCH(A2453,SETORES!$A:$A,0))</f>
        <v/>
      </c>
      <c r="H2453" s="106" t="inlineStr">
        <is>
          <t>Setembro/2026</t>
        </is>
      </c>
    </row>
    <row r="2454">
      <c r="A2454" s="106" t="inlineStr">
        <is>
          <t>CAC</t>
        </is>
      </c>
      <c r="B2454" s="106" t="inlineStr">
        <is>
          <t>Custo Fixo</t>
        </is>
      </c>
      <c r="C2454" s="106" t="inlineStr">
        <is>
          <t>Folha de pagamento (salários)</t>
        </is>
      </c>
      <c r="D2454" s="107" t="n">
        <v>1</v>
      </c>
      <c r="E2454" s="108" t="n">
        <v>21051.01</v>
      </c>
      <c r="F2454" s="109">
        <f>IFERROR(D2454*E2454,0)</f>
        <v/>
      </c>
      <c r="G2454" s="106">
        <f>INDEX(SETORES!$B:$B,MATCH(A2454,SETORES!$A:$A,0))</f>
        <v/>
      </c>
      <c r="H2454" s="106" t="inlineStr">
        <is>
          <t>Setembro/2026</t>
        </is>
      </c>
    </row>
    <row r="2455">
      <c r="A2455" s="106" t="inlineStr">
        <is>
          <t>CAC</t>
        </is>
      </c>
      <c r="B2455" s="106" t="inlineStr">
        <is>
          <t>Custo Variável</t>
        </is>
      </c>
      <c r="C2455" s="106" t="inlineStr">
        <is>
          <t>Fardamento novo</t>
        </is>
      </c>
      <c r="D2455" s="107" t="n"/>
      <c r="E2455" s="108" t="n"/>
      <c r="F2455" s="109">
        <f>IFERROR(D2455*E2455,0)</f>
        <v/>
      </c>
      <c r="G2455" s="106">
        <f>INDEX(SETORES!$B:$B,MATCH(A2455,SETORES!$A:$A,0))</f>
        <v/>
      </c>
      <c r="H2455" s="106" t="inlineStr">
        <is>
          <t>Setembro/2026</t>
        </is>
      </c>
    </row>
    <row r="2456">
      <c r="A2456" s="106" t="inlineStr">
        <is>
          <t>CAC</t>
        </is>
      </c>
      <c r="B2456" s="106" t="inlineStr">
        <is>
          <t>Custo Variável</t>
        </is>
      </c>
      <c r="C2456" s="106" t="inlineStr">
        <is>
          <t>Fardamento substituição</t>
        </is>
      </c>
      <c r="D2456" s="107" t="n"/>
      <c r="E2456" s="108" t="n"/>
      <c r="F2456" s="109">
        <f>IFERROR(D2456*E2456,0)</f>
        <v/>
      </c>
      <c r="G2456" s="106">
        <f>INDEX(SETORES!$B:$B,MATCH(A2456,SETORES!$A:$A,0))</f>
        <v/>
      </c>
      <c r="H2456" s="106" t="inlineStr">
        <is>
          <t>Setembro/2026</t>
        </is>
      </c>
    </row>
    <row r="2457">
      <c r="A2457" s="106" t="inlineStr">
        <is>
          <t>CAC</t>
        </is>
      </c>
      <c r="B2457" s="106" t="inlineStr">
        <is>
          <t>Custo Variável</t>
        </is>
      </c>
      <c r="C2457" s="106" t="inlineStr">
        <is>
          <t>Exames médicos</t>
        </is>
      </c>
      <c r="D2457" s="107" t="n"/>
      <c r="E2457" s="108" t="n"/>
      <c r="F2457" s="109">
        <f>IFERROR(D2457*E2457,0)</f>
        <v/>
      </c>
      <c r="G2457" s="106">
        <f>INDEX(SETORES!$B:$B,MATCH(A2457,SETORES!$A:$A,0))</f>
        <v/>
      </c>
      <c r="H2457" s="106" t="inlineStr">
        <is>
          <t>Setembro/2026</t>
        </is>
      </c>
    </row>
    <row r="2458">
      <c r="A2458" s="106" t="inlineStr">
        <is>
          <t>CAC</t>
        </is>
      </c>
      <c r="B2458" s="106" t="inlineStr">
        <is>
          <t>Custo Fixo</t>
        </is>
      </c>
      <c r="C2458" s="106" t="inlineStr">
        <is>
          <t>Licença de e-mail corporativo</t>
        </is>
      </c>
      <c r="D2458" s="107" t="n">
        <v>5</v>
      </c>
      <c r="E2458" s="108" t="n">
        <v>50</v>
      </c>
      <c r="F2458" s="109">
        <f>IFERROR(D2458*E2458,0)</f>
        <v/>
      </c>
      <c r="G2458" s="106">
        <f>INDEX(SETORES!$B:$B,MATCH(A2458,SETORES!$A:$A,0))</f>
        <v/>
      </c>
      <c r="H2458" s="106" t="inlineStr">
        <is>
          <t>Setembro/2026</t>
        </is>
      </c>
    </row>
    <row r="2459">
      <c r="A2459" s="106" t="inlineStr">
        <is>
          <t>CAC</t>
        </is>
      </c>
      <c r="B2459" s="106" t="inlineStr">
        <is>
          <t>Custo Fixo</t>
        </is>
      </c>
      <c r="C2459" s="106" t="inlineStr">
        <is>
          <t>Gympass</t>
        </is>
      </c>
      <c r="D2459" s="107" t="n"/>
      <c r="E2459" s="108" t="n"/>
      <c r="F2459" s="109">
        <f>IFERROR(D2459*E2459,0)</f>
        <v/>
      </c>
      <c r="G2459" s="106">
        <f>INDEX(SETORES!$B:$B,MATCH(A2459,SETORES!$A:$A,0))</f>
        <v/>
      </c>
      <c r="H2459" s="106" t="inlineStr">
        <is>
          <t>Setembro/2026</t>
        </is>
      </c>
    </row>
    <row r="2460">
      <c r="A2460" s="106" t="inlineStr">
        <is>
          <t>CAC</t>
        </is>
      </c>
      <c r="B2460" s="106" t="inlineStr">
        <is>
          <t>Custo Fixo</t>
        </is>
      </c>
      <c r="C2460" s="106" t="inlineStr">
        <is>
          <t>Stargrid</t>
        </is>
      </c>
      <c r="D2460" s="107" t="n">
        <v>5</v>
      </c>
      <c r="E2460" s="108" t="n">
        <v>1.87</v>
      </c>
      <c r="F2460" s="109">
        <f>IFERROR(D2460*E2460,0)</f>
        <v/>
      </c>
      <c r="G2460" s="106">
        <f>INDEX(SETORES!$B:$B,MATCH(A2460,SETORES!$A:$A,0))</f>
        <v/>
      </c>
      <c r="H2460" s="106" t="inlineStr">
        <is>
          <t>Setembro/2026</t>
        </is>
      </c>
    </row>
    <row r="2461">
      <c r="A2461" s="106" t="inlineStr">
        <is>
          <t>Cobrança</t>
        </is>
      </c>
      <c r="B2461" s="106" t="inlineStr">
        <is>
          <t>Custo Fixo</t>
        </is>
      </c>
      <c r="C2461" s="106" t="inlineStr">
        <is>
          <t>Material de escritório (suprimentos de informática)</t>
        </is>
      </c>
      <c r="D2461" s="107" t="n">
        <v>1</v>
      </c>
      <c r="E2461" s="108" t="n">
        <v>3.74</v>
      </c>
      <c r="F2461" s="109">
        <f>IFERROR(D2461*E2461,0)</f>
        <v/>
      </c>
      <c r="G2461" s="106">
        <f>INDEX(SETORES!$B:$B,MATCH(A2461,SETORES!$A:$A,0))</f>
        <v/>
      </c>
      <c r="H2461" s="106" t="inlineStr">
        <is>
          <t>Setembro/2026</t>
        </is>
      </c>
    </row>
    <row r="2462">
      <c r="A2462" s="106" t="inlineStr">
        <is>
          <t>Cobrança</t>
        </is>
      </c>
      <c r="B2462" s="106" t="inlineStr">
        <is>
          <t>Custo Fixo</t>
        </is>
      </c>
      <c r="C2462" s="106" t="inlineStr">
        <is>
          <t>Material de uso coletivo (copa/limpeza)</t>
        </is>
      </c>
      <c r="D2462" s="107" t="n">
        <v>1</v>
      </c>
      <c r="E2462" s="108" t="n">
        <v>657.21</v>
      </c>
      <c r="F2462" s="109">
        <f>IFERROR(D2462*E2462,0)</f>
        <v/>
      </c>
      <c r="G2462" s="106">
        <f>INDEX(SETORES!$B:$B,MATCH(A2462,SETORES!$A:$A,0))</f>
        <v/>
      </c>
      <c r="H2462" s="106" t="inlineStr">
        <is>
          <t>Setembro/2026</t>
        </is>
      </c>
    </row>
    <row r="2463">
      <c r="A2463" s="106" t="inlineStr">
        <is>
          <t>Cobrança</t>
        </is>
      </c>
      <c r="B2463" s="106" t="inlineStr">
        <is>
          <t>Custo Fixo</t>
        </is>
      </c>
      <c r="C2463" s="106" t="inlineStr">
        <is>
          <t>Energia elétrica (rateio)</t>
        </is>
      </c>
      <c r="D2463" s="107" t="n"/>
      <c r="E2463" s="108" t="n"/>
      <c r="F2463" s="109">
        <f>IFERROR(D2463*E2463,0)</f>
        <v/>
      </c>
      <c r="G2463" s="106">
        <f>INDEX(SETORES!$B:$B,MATCH(A2463,SETORES!$A:$A,0))</f>
        <v/>
      </c>
      <c r="H2463" s="106" t="inlineStr">
        <is>
          <t>Setembro/2026</t>
        </is>
      </c>
    </row>
    <row r="2464">
      <c r="A2464" s="106" t="inlineStr">
        <is>
          <t>Cobrança</t>
        </is>
      </c>
      <c r="B2464" s="106" t="inlineStr">
        <is>
          <t>Custo Fixo</t>
        </is>
      </c>
      <c r="C2464" s="106" t="inlineStr">
        <is>
          <t>Água e esgoto (rateio)</t>
        </is>
      </c>
      <c r="D2464" s="107" t="n"/>
      <c r="E2464" s="108" t="n"/>
      <c r="F2464" s="109">
        <f>IFERROR(D2464*E2464,0)</f>
        <v/>
      </c>
      <c r="G2464" s="106">
        <f>INDEX(SETORES!$B:$B,MATCH(A2464,SETORES!$A:$A,0))</f>
        <v/>
      </c>
      <c r="H2464" s="106" t="inlineStr">
        <is>
          <t>Setembro/2026</t>
        </is>
      </c>
    </row>
    <row r="2465">
      <c r="A2465" s="106" t="inlineStr">
        <is>
          <t>Cobrança</t>
        </is>
      </c>
      <c r="B2465" s="106" t="inlineStr">
        <is>
          <t>Custo Fixo</t>
        </is>
      </c>
      <c r="C2465" s="106" t="inlineStr">
        <is>
          <t>Telefonia móvel corporativa</t>
        </is>
      </c>
      <c r="D2465" s="107" t="n"/>
      <c r="E2465" s="108" t="n"/>
      <c r="F2465" s="109">
        <f>IFERROR(D2465*E2465,0)</f>
        <v/>
      </c>
      <c r="G2465" s="106">
        <f>INDEX(SETORES!$B:$B,MATCH(A2465,SETORES!$A:$A,0))</f>
        <v/>
      </c>
      <c r="H2465" s="106" t="inlineStr">
        <is>
          <t>Setembro/2026</t>
        </is>
      </c>
    </row>
    <row r="2466">
      <c r="A2466" s="106" t="inlineStr">
        <is>
          <t>Cobrança</t>
        </is>
      </c>
      <c r="B2466" s="106" t="inlineStr">
        <is>
          <t>Custo Fixo</t>
        </is>
      </c>
      <c r="C2466" s="106" t="inlineStr">
        <is>
          <t>Folha de pagamento (salários)</t>
        </is>
      </c>
      <c r="D2466" s="107" t="n">
        <v>1</v>
      </c>
      <c r="E2466" s="108" t="n">
        <v>42492.05</v>
      </c>
      <c r="F2466" s="109">
        <f>IFERROR(D2466*E2466,0)</f>
        <v/>
      </c>
      <c r="G2466" s="106">
        <f>INDEX(SETORES!$B:$B,MATCH(A2466,SETORES!$A:$A,0))</f>
        <v/>
      </c>
      <c r="H2466" s="106" t="inlineStr">
        <is>
          <t>Setembro/2026</t>
        </is>
      </c>
    </row>
    <row r="2467">
      <c r="A2467" s="106" t="inlineStr">
        <is>
          <t>Cobrança</t>
        </is>
      </c>
      <c r="B2467" s="106" t="inlineStr">
        <is>
          <t>Custo Variável</t>
        </is>
      </c>
      <c r="C2467" s="106" t="inlineStr">
        <is>
          <t>Fardamento novo</t>
        </is>
      </c>
      <c r="D2467" s="107" t="n"/>
      <c r="E2467" s="108" t="n"/>
      <c r="F2467" s="109">
        <f>IFERROR(D2467*E2467,0)</f>
        <v/>
      </c>
      <c r="G2467" s="106">
        <f>INDEX(SETORES!$B:$B,MATCH(A2467,SETORES!$A:$A,0))</f>
        <v/>
      </c>
      <c r="H2467" s="106" t="inlineStr">
        <is>
          <t>Setembro/2026</t>
        </is>
      </c>
    </row>
    <row r="2468">
      <c r="A2468" s="106" t="inlineStr">
        <is>
          <t>Cobrança</t>
        </is>
      </c>
      <c r="B2468" s="106" t="inlineStr">
        <is>
          <t>Custo Variável</t>
        </is>
      </c>
      <c r="C2468" s="106" t="inlineStr">
        <is>
          <t>Fardamento substituição</t>
        </is>
      </c>
      <c r="D2468" s="107" t="n"/>
      <c r="E2468" s="108" t="n"/>
      <c r="F2468" s="109">
        <f>IFERROR(D2468*E2468,0)</f>
        <v/>
      </c>
      <c r="G2468" s="106">
        <f>INDEX(SETORES!$B:$B,MATCH(A2468,SETORES!$A:$A,0))</f>
        <v/>
      </c>
      <c r="H2468" s="106" t="inlineStr">
        <is>
          <t>Setembro/2026</t>
        </is>
      </c>
    </row>
    <row r="2469">
      <c r="A2469" s="106" t="inlineStr">
        <is>
          <t>Cobrança</t>
        </is>
      </c>
      <c r="B2469" s="106" t="inlineStr">
        <is>
          <t>Custo Variável</t>
        </is>
      </c>
      <c r="C2469" s="106" t="inlineStr">
        <is>
          <t>Rescisões trabalhistas</t>
        </is>
      </c>
      <c r="D2469" s="107" t="n"/>
      <c r="E2469" s="108" t="n"/>
      <c r="F2469" s="109">
        <f>IFERROR(D2469*E2469,0)</f>
        <v/>
      </c>
      <c r="G2469" s="106">
        <f>INDEX(SETORES!$B:$B,MATCH(A2469,SETORES!$A:$A,0))</f>
        <v/>
      </c>
      <c r="H2469" s="106" t="inlineStr">
        <is>
          <t>Setembro/2026</t>
        </is>
      </c>
    </row>
    <row r="2470">
      <c r="A2470" s="106" t="inlineStr">
        <is>
          <t>Cobrança</t>
        </is>
      </c>
      <c r="B2470" s="106" t="inlineStr">
        <is>
          <t>Custo Fixo</t>
        </is>
      </c>
      <c r="C2470" s="106" t="inlineStr">
        <is>
          <t>Licença de e-mail corporativo</t>
        </is>
      </c>
      <c r="D2470" s="107" t="n">
        <v>13</v>
      </c>
      <c r="E2470" s="108" t="n">
        <v>50</v>
      </c>
      <c r="F2470" s="109">
        <f>IFERROR(D2470*E2470,0)</f>
        <v/>
      </c>
      <c r="G2470" s="106">
        <f>INDEX(SETORES!$B:$B,MATCH(A2470,SETORES!$A:$A,0))</f>
        <v/>
      </c>
      <c r="H2470" s="106" t="inlineStr">
        <is>
          <t>Setembro/2026</t>
        </is>
      </c>
    </row>
    <row r="2471">
      <c r="A2471" s="106" t="inlineStr">
        <is>
          <t>Cobrança</t>
        </is>
      </c>
      <c r="B2471" s="106" t="inlineStr">
        <is>
          <t>Custo Fixo</t>
        </is>
      </c>
      <c r="C2471" s="106" t="inlineStr">
        <is>
          <t>Software MATRIX (rateio equipe Relacionamento)</t>
        </is>
      </c>
      <c r="D2471" s="107" t="n"/>
      <c r="E2471" s="108" t="n"/>
      <c r="F2471" s="109">
        <f>IFERROR(D2471*E2471,0)</f>
        <v/>
      </c>
      <c r="G2471" s="106">
        <f>INDEX(SETORES!$B:$B,MATCH(A2471,SETORES!$A:$A,0))</f>
        <v/>
      </c>
      <c r="H2471" s="106" t="inlineStr">
        <is>
          <t>Setembro/2026</t>
        </is>
      </c>
    </row>
    <row r="2472">
      <c r="A2472" s="106" t="inlineStr">
        <is>
          <t>Cobrança</t>
        </is>
      </c>
      <c r="B2472" s="106" t="inlineStr">
        <is>
          <t>Custo Fixo</t>
        </is>
      </c>
      <c r="C2472" s="106" t="inlineStr">
        <is>
          <t>Impressora (rateio equipe Relacionamento)</t>
        </is>
      </c>
      <c r="D2472" s="107" t="n"/>
      <c r="E2472" s="108" t="n"/>
      <c r="F2472" s="109">
        <f>IFERROR(D2472*E2472,0)</f>
        <v/>
      </c>
      <c r="G2472" s="106">
        <f>INDEX(SETORES!$B:$B,MATCH(A2472,SETORES!$A:$A,0))</f>
        <v/>
      </c>
      <c r="H2472" s="106" t="inlineStr">
        <is>
          <t>Setembro/2026</t>
        </is>
      </c>
    </row>
    <row r="2473">
      <c r="A2473" s="106" t="inlineStr">
        <is>
          <t>Cobrança</t>
        </is>
      </c>
      <c r="B2473" s="106" t="inlineStr">
        <is>
          <t>Custo Fixo</t>
        </is>
      </c>
      <c r="C2473" s="106" t="inlineStr">
        <is>
          <t>Gympass</t>
        </is>
      </c>
      <c r="D2473" s="107" t="n"/>
      <c r="E2473" s="108" t="n"/>
      <c r="F2473" s="109">
        <f>IFERROR(D2473*E2473,0)</f>
        <v/>
      </c>
      <c r="G2473" s="106">
        <f>INDEX(SETORES!$B:$B,MATCH(A2473,SETORES!$A:$A,0))</f>
        <v/>
      </c>
      <c r="H2473" s="106" t="inlineStr">
        <is>
          <t>Setembro/2026</t>
        </is>
      </c>
    </row>
    <row r="2474">
      <c r="A2474" s="106" t="inlineStr">
        <is>
          <t>Cobrança</t>
        </is>
      </c>
      <c r="B2474" s="106" t="inlineStr">
        <is>
          <t>Custo Fixo</t>
        </is>
      </c>
      <c r="C2474" s="106" t="inlineStr">
        <is>
          <t>Stargrid</t>
        </is>
      </c>
      <c r="D2474" s="107" t="n">
        <v>13</v>
      </c>
      <c r="E2474" s="108" t="n">
        <v>1.87</v>
      </c>
      <c r="F2474" s="109">
        <f>IFERROR(D2474*E2474,0)</f>
        <v/>
      </c>
      <c r="G2474" s="106">
        <f>INDEX(SETORES!$B:$B,MATCH(A2474,SETORES!$A:$A,0))</f>
        <v/>
      </c>
      <c r="H2474" s="106" t="inlineStr">
        <is>
          <t>Setembro/2026</t>
        </is>
      </c>
    </row>
    <row r="2475">
      <c r="A2475" s="106" t="inlineStr">
        <is>
          <t>Comercial Corporativo</t>
        </is>
      </c>
      <c r="B2475" s="106" t="inlineStr">
        <is>
          <t>Custo Variável</t>
        </is>
      </c>
      <c r="C2475" s="106" t="inlineStr">
        <is>
          <t>Endomarketing</t>
        </is>
      </c>
      <c r="D2475" s="107" t="n"/>
      <c r="E2475" s="108" t="n"/>
      <c r="F2475" s="109">
        <f>IFERROR(D2475*E2475,0)</f>
        <v/>
      </c>
      <c r="G2475" s="106">
        <f>INDEX(SETORES!$B:$B,MATCH(A2475,SETORES!$A:$A,0))</f>
        <v/>
      </c>
      <c r="H2475" s="106" t="inlineStr">
        <is>
          <t>Setembro/2026</t>
        </is>
      </c>
    </row>
    <row r="2476">
      <c r="A2476" s="106" t="inlineStr">
        <is>
          <t>Comercial Corporativo</t>
        </is>
      </c>
      <c r="B2476" s="106" t="inlineStr">
        <is>
          <t>Custo Variável</t>
        </is>
      </c>
      <c r="C2476" s="106" t="inlineStr">
        <is>
          <t>Marketing direto</t>
        </is>
      </c>
      <c r="D2476" s="107" t="n"/>
      <c r="E2476" s="108" t="n"/>
      <c r="F2476" s="109">
        <f>IFERROR(D2476*E2476,0)</f>
        <v/>
      </c>
      <c r="G2476" s="106">
        <f>INDEX(SETORES!$B:$B,MATCH(A2476,SETORES!$A:$A,0))</f>
        <v/>
      </c>
      <c r="H2476" s="106" t="inlineStr">
        <is>
          <t>Setembro/2026</t>
        </is>
      </c>
    </row>
    <row r="2477">
      <c r="A2477" s="106" t="inlineStr">
        <is>
          <t>Comercial Corporativo</t>
        </is>
      </c>
      <c r="B2477" s="106" t="inlineStr">
        <is>
          <t>Custo Fixo</t>
        </is>
      </c>
      <c r="C2477" s="106" t="inlineStr">
        <is>
          <t>E-mail do departamento</t>
        </is>
      </c>
      <c r="D2477" s="107" t="n">
        <v>12</v>
      </c>
      <c r="E2477" s="108" t="n">
        <v>50</v>
      </c>
      <c r="F2477" s="109">
        <f>IFERROR(D2477*E2477,0)</f>
        <v/>
      </c>
      <c r="G2477" s="106">
        <f>INDEX(SETORES!$B:$B,MATCH(A2477,SETORES!$A:$A,0))</f>
        <v/>
      </c>
      <c r="H2477" s="106" t="inlineStr">
        <is>
          <t>Setembro/2026</t>
        </is>
      </c>
    </row>
    <row r="2478">
      <c r="A2478" s="106" t="inlineStr">
        <is>
          <t>Comercial Corporativo</t>
        </is>
      </c>
      <c r="B2478" s="106" t="inlineStr">
        <is>
          <t>Custo Fixo</t>
        </is>
      </c>
      <c r="C2478" s="106" t="inlineStr">
        <is>
          <t>Folha de pagamento (salários)</t>
        </is>
      </c>
      <c r="D2478" s="107" t="n">
        <v>1</v>
      </c>
      <c r="E2478" s="108" t="n">
        <v>189839.41</v>
      </c>
      <c r="F2478" s="109">
        <f>IFERROR(D2478*E2478,0)</f>
        <v/>
      </c>
      <c r="G2478" s="106">
        <f>INDEX(SETORES!$B:$B,MATCH(A2478,SETORES!$A:$A,0))</f>
        <v/>
      </c>
      <c r="H2478" s="106" t="inlineStr">
        <is>
          <t>Setembro/2026</t>
        </is>
      </c>
    </row>
    <row r="2479">
      <c r="A2479" s="106" t="inlineStr">
        <is>
          <t>Comercial Corporativo</t>
        </is>
      </c>
      <c r="B2479" s="106" t="inlineStr">
        <is>
          <t>Custo Fixo</t>
        </is>
      </c>
      <c r="C2479" s="106" t="inlineStr">
        <is>
          <t>Linhas moveis (FIQUE MÓVEL)</t>
        </is>
      </c>
      <c r="D2479" s="107" t="n"/>
      <c r="E2479" s="108" t="n"/>
      <c r="F2479" s="109">
        <f>IFERROR(D2479*E2479,0)</f>
        <v/>
      </c>
      <c r="G2479" s="106">
        <f>INDEX(SETORES!$B:$B,MATCH(A2479,SETORES!$A:$A,0))</f>
        <v/>
      </c>
      <c r="H2479" s="106" t="inlineStr">
        <is>
          <t>Setembro/2026</t>
        </is>
      </c>
    </row>
    <row r="2480">
      <c r="A2480" s="106" t="inlineStr">
        <is>
          <t>Comercial Corporativo</t>
        </is>
      </c>
      <c r="B2480" s="106" t="inlineStr">
        <is>
          <t>Custo Fixo</t>
        </is>
      </c>
      <c r="C2480" s="106" t="inlineStr">
        <is>
          <t>Despesas com RH</t>
        </is>
      </c>
      <c r="D2480" s="107" t="n">
        <v>12</v>
      </c>
      <c r="E2480" s="108" t="n">
        <v>32.55</v>
      </c>
      <c r="F2480" s="109">
        <f>IFERROR(D2480*E2480,0)</f>
        <v/>
      </c>
      <c r="G2480" s="106">
        <f>INDEX(SETORES!$B:$B,MATCH(A2480,SETORES!$A:$A,0))</f>
        <v/>
      </c>
      <c r="H2480" s="106" t="inlineStr">
        <is>
          <t>Setembro/2026</t>
        </is>
      </c>
    </row>
    <row r="2481">
      <c r="A2481" s="106" t="inlineStr">
        <is>
          <t>Comercial Corporativo</t>
        </is>
      </c>
      <c r="B2481" s="106" t="inlineStr">
        <is>
          <t>Custo Fixo</t>
        </is>
      </c>
      <c r="C2481" s="106" t="inlineStr">
        <is>
          <t>Despesas com DP</t>
        </is>
      </c>
      <c r="D2481" s="107" t="n">
        <v>12</v>
      </c>
      <c r="E2481" s="108" t="n">
        <v>52.09</v>
      </c>
      <c r="F2481" s="109">
        <f>IFERROR(D2481*E2481,0)</f>
        <v/>
      </c>
      <c r="G2481" s="106">
        <f>INDEX(SETORES!$B:$B,MATCH(A2481,SETORES!$A:$A,0))</f>
        <v/>
      </c>
      <c r="H2481" s="106" t="inlineStr">
        <is>
          <t>Setembro/2026</t>
        </is>
      </c>
    </row>
    <row r="2482">
      <c r="A2482" s="106" t="inlineStr">
        <is>
          <t>Comercial Corporativo</t>
        </is>
      </c>
      <c r="B2482" s="106" t="inlineStr">
        <is>
          <t>Custo Fixo</t>
        </is>
      </c>
      <c r="C2482" s="106" t="inlineStr">
        <is>
          <t>Despesas com SST</t>
        </is>
      </c>
      <c r="D2482" s="107" t="n">
        <v>12</v>
      </c>
      <c r="E2482" s="108" t="n">
        <v>52.35</v>
      </c>
      <c r="F2482" s="109">
        <f>IFERROR(D2482*E2482,0)</f>
        <v/>
      </c>
      <c r="G2482" s="106">
        <f>INDEX(SETORES!$B:$B,MATCH(A2482,SETORES!$A:$A,0))</f>
        <v/>
      </c>
      <c r="H2482" s="106" t="inlineStr">
        <is>
          <t>Setembro/2026</t>
        </is>
      </c>
    </row>
    <row r="2483">
      <c r="A2483" s="106" t="inlineStr">
        <is>
          <t>Comercial Corporativo</t>
        </is>
      </c>
      <c r="B2483" s="106" t="inlineStr">
        <is>
          <t>Custo Variável</t>
        </is>
      </c>
      <c r="C2483" s="106" t="inlineStr">
        <is>
          <t>Exames médicos</t>
        </is>
      </c>
      <c r="D2483" s="107" t="n"/>
      <c r="E2483" s="108" t="n"/>
      <c r="F2483" s="109">
        <f>IFERROR(D2483*E2483,0)</f>
        <v/>
      </c>
      <c r="G2483" s="106">
        <f>INDEX(SETORES!$B:$B,MATCH(A2483,SETORES!$A:$A,0))</f>
        <v/>
      </c>
      <c r="H2483" s="106" t="inlineStr">
        <is>
          <t>Setembro/2026</t>
        </is>
      </c>
    </row>
    <row r="2484">
      <c r="A2484" s="106" t="inlineStr">
        <is>
          <t>Comercial Corporativo</t>
        </is>
      </c>
      <c r="B2484" s="106" t="inlineStr">
        <is>
          <t>Custo Variável</t>
        </is>
      </c>
      <c r="C2484" s="106" t="inlineStr">
        <is>
          <t>Novo Fardamento</t>
        </is>
      </c>
      <c r="D2484" s="107" t="n">
        <v>1</v>
      </c>
      <c r="E2484" s="108" t="n">
        <v>90</v>
      </c>
      <c r="F2484" s="109">
        <f>IFERROR(D2484*E2484,0)</f>
        <v/>
      </c>
      <c r="G2484" s="106">
        <f>INDEX(SETORES!$B:$B,MATCH(A2484,SETORES!$A:$A,0))</f>
        <v/>
      </c>
      <c r="H2484" s="106" t="inlineStr">
        <is>
          <t>Setembro/2026</t>
        </is>
      </c>
    </row>
    <row r="2485">
      <c r="A2485" s="106" t="inlineStr">
        <is>
          <t>Comercial Corporativo</t>
        </is>
      </c>
      <c r="B2485" s="106" t="inlineStr">
        <is>
          <t>Custo Variável</t>
        </is>
      </c>
      <c r="C2485" s="106" t="inlineStr">
        <is>
          <t>Devolução de fardamento</t>
        </is>
      </c>
      <c r="D2485" s="107" t="n"/>
      <c r="E2485" s="108" t="n"/>
      <c r="F2485" s="109">
        <f>IFERROR(D2485*E2485,0)</f>
        <v/>
      </c>
      <c r="G2485" s="106">
        <f>INDEX(SETORES!$B:$B,MATCH(A2485,SETORES!$A:$A,0))</f>
        <v/>
      </c>
      <c r="H2485" s="106" t="inlineStr">
        <is>
          <t>Setembro/2026</t>
        </is>
      </c>
    </row>
    <row r="2486">
      <c r="A2486" s="106" t="inlineStr">
        <is>
          <t>Comercial Corporativo</t>
        </is>
      </c>
      <c r="B2486" s="106" t="inlineStr">
        <is>
          <t>Custo Variável</t>
        </is>
      </c>
      <c r="C2486" s="106" t="inlineStr">
        <is>
          <t>Substituição extra de Fardamento</t>
        </is>
      </c>
      <c r="D2486" s="107" t="n"/>
      <c r="E2486" s="108" t="n"/>
      <c r="F2486" s="109">
        <f>IFERROR(D2486*E2486,0)</f>
        <v/>
      </c>
      <c r="G2486" s="106">
        <f>INDEX(SETORES!$B:$B,MATCH(A2486,SETORES!$A:$A,0))</f>
        <v/>
      </c>
      <c r="H2486" s="106" t="inlineStr">
        <is>
          <t>Setembro/2026</t>
        </is>
      </c>
    </row>
    <row r="2487">
      <c r="A2487" s="106" t="inlineStr">
        <is>
          <t>Comercial Corporativo</t>
        </is>
      </c>
      <c r="B2487" s="106" t="inlineStr">
        <is>
          <t>Custo Variável</t>
        </is>
      </c>
      <c r="C2487" s="106" t="inlineStr">
        <is>
          <t>Consumo de combustível</t>
        </is>
      </c>
      <c r="D2487" s="107" t="n">
        <v>1</v>
      </c>
      <c r="E2487" s="108" t="n">
        <v>3995.53</v>
      </c>
      <c r="F2487" s="109">
        <f>IFERROR(D2487*E2487,0)</f>
        <v/>
      </c>
      <c r="G2487" s="106">
        <f>INDEX(SETORES!$B:$B,MATCH(A2487,SETORES!$A:$A,0))</f>
        <v/>
      </c>
      <c r="H2487" s="106" t="inlineStr">
        <is>
          <t>Setembro/2026</t>
        </is>
      </c>
    </row>
    <row r="2488">
      <c r="A2488" s="106" t="inlineStr">
        <is>
          <t>Comercial Corporativo</t>
        </is>
      </c>
      <c r="B2488" s="106" t="inlineStr">
        <is>
          <t>Custo Fixo</t>
        </is>
      </c>
      <c r="C2488" s="106" t="inlineStr">
        <is>
          <t>Gympass</t>
        </is>
      </c>
      <c r="D2488" s="107" t="n"/>
      <c r="E2488" s="108" t="n"/>
      <c r="F2488" s="109">
        <f>IFERROR(D2488*E2488,0)</f>
        <v/>
      </c>
      <c r="G2488" s="106">
        <f>INDEX(SETORES!$B:$B,MATCH(A2488,SETORES!$A:$A,0))</f>
        <v/>
      </c>
      <c r="H2488" s="106" t="inlineStr">
        <is>
          <t>Setembro/2026</t>
        </is>
      </c>
    </row>
    <row r="2489">
      <c r="A2489" s="106" t="inlineStr">
        <is>
          <t>Comercial Corporativo</t>
        </is>
      </c>
      <c r="B2489" s="106" t="inlineStr">
        <is>
          <t>Custo Fixo</t>
        </is>
      </c>
      <c r="C2489" s="106" t="inlineStr">
        <is>
          <t>Stargrid</t>
        </is>
      </c>
      <c r="D2489" s="107" t="n">
        <v>12</v>
      </c>
      <c r="E2489" s="108" t="n">
        <v>1.87</v>
      </c>
      <c r="F2489" s="109">
        <f>IFERROR(D2489*E2489,0)</f>
        <v/>
      </c>
      <c r="G2489" s="106">
        <f>INDEX(SETORES!$B:$B,MATCH(A2489,SETORES!$A:$A,0))</f>
        <v/>
      </c>
      <c r="H2489" s="106" t="inlineStr">
        <is>
          <t>Setembro/2026</t>
        </is>
      </c>
    </row>
    <row r="2490">
      <c r="A2490" s="106" t="inlineStr">
        <is>
          <t>Comercial Corporativo</t>
        </is>
      </c>
      <c r="B2490" s="106" t="inlineStr">
        <is>
          <t>Custo Variável</t>
        </is>
      </c>
      <c r="C2490" s="106" t="inlineStr">
        <is>
          <t>Rescisões/Despesas Trabalhistas extra folha</t>
        </is>
      </c>
      <c r="D2490" s="107" t="n"/>
      <c r="E2490" s="108" t="n"/>
      <c r="F2490" s="109">
        <f>IFERROR(D2490*E2490,0)</f>
        <v/>
      </c>
      <c r="G2490" s="106">
        <f>INDEX(SETORES!$B:$B,MATCH(A2490,SETORES!$A:$A,0))</f>
        <v/>
      </c>
      <c r="H2490" s="106" t="inlineStr">
        <is>
          <t>Setembro/2026</t>
        </is>
      </c>
    </row>
    <row r="2491">
      <c r="A2491" s="106" t="inlineStr">
        <is>
          <t>Comercial Corporativo</t>
        </is>
      </c>
      <c r="B2491" s="106" t="inlineStr">
        <is>
          <t>Custo Fixo</t>
        </is>
      </c>
      <c r="C2491" s="106" t="inlineStr">
        <is>
          <t>Datlo</t>
        </is>
      </c>
      <c r="D2491" s="107" t="n">
        <v>1</v>
      </c>
      <c r="E2491" s="108" t="n">
        <v>2997</v>
      </c>
      <c r="F2491" s="109">
        <f>IFERROR(D2491*E2491,0)</f>
        <v/>
      </c>
      <c r="G2491" s="106">
        <f>INDEX(SETORES!$B:$B,MATCH(A2491,SETORES!$A:$A,0))</f>
        <v/>
      </c>
      <c r="H2491" s="106" t="inlineStr">
        <is>
          <t>Setembro/2026</t>
        </is>
      </c>
    </row>
    <row r="2492">
      <c r="A2492" s="106" t="inlineStr">
        <is>
          <t>Comercial Corporativo</t>
        </is>
      </c>
      <c r="B2492" s="106" t="inlineStr">
        <is>
          <t>Custo Fixo</t>
        </is>
      </c>
      <c r="C2492" s="106" t="inlineStr">
        <is>
          <t>Agendor (válido por 3 meses)</t>
        </is>
      </c>
      <c r="D2492" s="107" t="n">
        <v>1</v>
      </c>
      <c r="E2492" s="108" t="n">
        <v>545.99</v>
      </c>
      <c r="F2492" s="109">
        <f>IFERROR(D2492*E2492,0)</f>
        <v/>
      </c>
      <c r="G2492" s="106">
        <f>INDEX(SETORES!$B:$B,MATCH(A2492,SETORES!$A:$A,0))</f>
        <v/>
      </c>
      <c r="H2492" s="106" t="inlineStr">
        <is>
          <t>Setembro/2026</t>
        </is>
      </c>
    </row>
    <row r="2493">
      <c r="A2493" s="106" t="inlineStr">
        <is>
          <t>Comercial Corporativo</t>
        </is>
      </c>
      <c r="B2493" s="106" t="inlineStr">
        <is>
          <t>Custo Fixo</t>
        </is>
      </c>
      <c r="C2493" s="106" t="inlineStr">
        <is>
          <t>Dynamics (f001796)</t>
        </is>
      </c>
      <c r="D2493" s="107" t="n"/>
      <c r="E2493" s="108" t="n"/>
      <c r="F2493" s="109">
        <f>IFERROR(D2493*E2493,0)</f>
        <v/>
      </c>
      <c r="G2493" s="106">
        <f>INDEX(SETORES!$B:$B,MATCH(A2493,SETORES!$A:$A,0))</f>
        <v/>
      </c>
      <c r="H2493" s="106" t="inlineStr">
        <is>
          <t>Setembro/2026</t>
        </is>
      </c>
    </row>
    <row r="2494">
      <c r="A2494" s="106" t="inlineStr">
        <is>
          <t>Comercial Corporativo</t>
        </is>
      </c>
      <c r="B2494" s="106" t="inlineStr">
        <is>
          <t>Custo Fixo</t>
        </is>
      </c>
      <c r="C2494" s="106" t="inlineStr">
        <is>
          <t>Salesforce</t>
        </is>
      </c>
      <c r="D2494" s="107" t="n">
        <v>1</v>
      </c>
      <c r="E2494" s="108" t="n">
        <v>3042.34</v>
      </c>
      <c r="F2494" s="109">
        <f>IFERROR(D2494*E2494,0)</f>
        <v/>
      </c>
      <c r="G2494" s="106">
        <f>INDEX(SETORES!$B:$B,MATCH(A2494,SETORES!$A:$A,0))</f>
        <v/>
      </c>
      <c r="H2494" s="106" t="inlineStr">
        <is>
          <t>Setembro/2026</t>
        </is>
      </c>
    </row>
    <row r="2495">
      <c r="A2495" s="106" t="inlineStr">
        <is>
          <t>Compras</t>
        </is>
      </c>
      <c r="B2495" s="106" t="inlineStr">
        <is>
          <t>Custo Fixo</t>
        </is>
      </c>
      <c r="C2495" s="106" t="inlineStr">
        <is>
          <t>Material de escritório (suprimentos de informática)</t>
        </is>
      </c>
      <c r="D2495" s="107" t="n"/>
      <c r="E2495" s="108" t="n"/>
      <c r="F2495" s="109">
        <f>IFERROR(D2495*E2495,0)</f>
        <v/>
      </c>
      <c r="G2495" s="106">
        <f>INDEX(SETORES!$B:$B,MATCH(A2495,SETORES!$A:$A,0))</f>
        <v/>
      </c>
      <c r="H2495" s="106" t="inlineStr">
        <is>
          <t>Setembro/2026</t>
        </is>
      </c>
    </row>
    <row r="2496">
      <c r="A2496" s="106" t="inlineStr">
        <is>
          <t>Compras</t>
        </is>
      </c>
      <c r="B2496" s="106" t="inlineStr">
        <is>
          <t>Custo Fixo</t>
        </is>
      </c>
      <c r="C2496" s="106" t="inlineStr">
        <is>
          <t>Material de uso coletivo (copa/limpeza)</t>
        </is>
      </c>
      <c r="D2496" s="107" t="n"/>
      <c r="E2496" s="108" t="n"/>
      <c r="F2496" s="109">
        <f>IFERROR(D2496*E2496,0)</f>
        <v/>
      </c>
      <c r="G2496" s="106">
        <f>INDEX(SETORES!$B:$B,MATCH(A2496,SETORES!$A:$A,0))</f>
        <v/>
      </c>
      <c r="H2496" s="106" t="inlineStr">
        <is>
          <t>Setembro/2026</t>
        </is>
      </c>
    </row>
    <row r="2497">
      <c r="A2497" s="106" t="inlineStr">
        <is>
          <t>Compras</t>
        </is>
      </c>
      <c r="B2497" s="106" t="inlineStr">
        <is>
          <t>Custo Fixo</t>
        </is>
      </c>
      <c r="C2497" s="106" t="inlineStr">
        <is>
          <t>Energia elétrica (rateio)</t>
        </is>
      </c>
      <c r="D2497" s="107" t="n"/>
      <c r="E2497" s="108" t="n"/>
      <c r="F2497" s="109">
        <f>IFERROR(D2497*E2497,0)</f>
        <v/>
      </c>
      <c r="G2497" s="106">
        <f>INDEX(SETORES!$B:$B,MATCH(A2497,SETORES!$A:$A,0))</f>
        <v/>
      </c>
      <c r="H2497" s="106" t="inlineStr">
        <is>
          <t>Setembro/2026</t>
        </is>
      </c>
    </row>
    <row r="2498">
      <c r="A2498" s="106" t="inlineStr">
        <is>
          <t>Compras</t>
        </is>
      </c>
      <c r="B2498" s="106" t="inlineStr">
        <is>
          <t>Custo Fixo</t>
        </is>
      </c>
      <c r="C2498" s="106" t="inlineStr">
        <is>
          <t>Água e esgoto (rateio)</t>
        </is>
      </c>
      <c r="D2498" s="107" t="n"/>
      <c r="E2498" s="108" t="n"/>
      <c r="F2498" s="109">
        <f>IFERROR(D2498*E2498,0)</f>
        <v/>
      </c>
      <c r="G2498" s="106">
        <f>INDEX(SETORES!$B:$B,MATCH(A2498,SETORES!$A:$A,0))</f>
        <v/>
      </c>
      <c r="H2498" s="106" t="inlineStr">
        <is>
          <t>Setembro/2026</t>
        </is>
      </c>
    </row>
    <row r="2499">
      <c r="A2499" s="106" t="inlineStr">
        <is>
          <t>Compras</t>
        </is>
      </c>
      <c r="B2499" s="106" t="inlineStr">
        <is>
          <t>Custo Fixo</t>
        </is>
      </c>
      <c r="C2499" s="106" t="inlineStr">
        <is>
          <t>Telefonia móvel corporativa</t>
        </is>
      </c>
      <c r="D2499" s="107" t="n"/>
      <c r="E2499" s="108" t="n"/>
      <c r="F2499" s="109">
        <f>IFERROR(D2499*E2499,0)</f>
        <v/>
      </c>
      <c r="G2499" s="106">
        <f>INDEX(SETORES!$B:$B,MATCH(A2499,SETORES!$A:$A,0))</f>
        <v/>
      </c>
      <c r="H2499" s="106" t="inlineStr">
        <is>
          <t>Setembro/2026</t>
        </is>
      </c>
    </row>
    <row r="2500">
      <c r="A2500" s="106" t="inlineStr">
        <is>
          <t>Compras</t>
        </is>
      </c>
      <c r="B2500" s="106" t="inlineStr">
        <is>
          <t>Custo Fixo</t>
        </is>
      </c>
      <c r="C2500" s="106" t="inlineStr">
        <is>
          <t>Folha de pagamento (salários)</t>
        </is>
      </c>
      <c r="D2500" s="107" t="n">
        <v>1</v>
      </c>
      <c r="E2500" s="108" t="n">
        <v>24935.86</v>
      </c>
      <c r="F2500" s="109">
        <f>IFERROR(D2500*E2500,0)</f>
        <v/>
      </c>
      <c r="G2500" s="106">
        <f>INDEX(SETORES!$B:$B,MATCH(A2500,SETORES!$A:$A,0))</f>
        <v/>
      </c>
      <c r="H2500" s="106" t="inlineStr">
        <is>
          <t>Setembro/2026</t>
        </is>
      </c>
    </row>
    <row r="2501">
      <c r="A2501" s="106" t="inlineStr">
        <is>
          <t>Compras</t>
        </is>
      </c>
      <c r="B2501" s="106" t="inlineStr">
        <is>
          <t>Custo Variável</t>
        </is>
      </c>
      <c r="C2501" s="106" t="inlineStr">
        <is>
          <t>Rateio de transporte coletivo</t>
        </is>
      </c>
      <c r="D2501" s="107" t="n"/>
      <c r="E2501" s="108" t="n"/>
      <c r="F2501" s="109">
        <f>IFERROR(D2501*E2501,0)</f>
        <v/>
      </c>
      <c r="G2501" s="106">
        <f>INDEX(SETORES!$B:$B,MATCH(A2501,SETORES!$A:$A,0))</f>
        <v/>
      </c>
      <c r="H2501" s="106" t="inlineStr">
        <is>
          <t>Setembro/2026</t>
        </is>
      </c>
    </row>
    <row r="2502">
      <c r="A2502" s="106" t="inlineStr">
        <is>
          <t>Compras</t>
        </is>
      </c>
      <c r="B2502" s="106" t="inlineStr">
        <is>
          <t>Custo Fixo</t>
        </is>
      </c>
      <c r="C2502" s="106" t="inlineStr">
        <is>
          <t>Licença de e-mail corporativo</t>
        </is>
      </c>
      <c r="D2502" s="107" t="n">
        <v>5</v>
      </c>
      <c r="E2502" s="108" t="n">
        <v>50</v>
      </c>
      <c r="F2502" s="109">
        <f>IFERROR(D2502*E2502,0)</f>
        <v/>
      </c>
      <c r="G2502" s="106">
        <f>INDEX(SETORES!$B:$B,MATCH(A2502,SETORES!$A:$A,0))</f>
        <v/>
      </c>
      <c r="H2502" s="106" t="inlineStr">
        <is>
          <t>Setembro/2026</t>
        </is>
      </c>
    </row>
    <row r="2503">
      <c r="A2503" s="106" t="inlineStr">
        <is>
          <t>Compras</t>
        </is>
      </c>
      <c r="B2503" s="106" t="inlineStr">
        <is>
          <t>Custo Fixo</t>
        </is>
      </c>
      <c r="C2503" s="106" t="inlineStr">
        <is>
          <t>Impressora</t>
        </is>
      </c>
      <c r="D2503" s="107" t="n"/>
      <c r="E2503" s="108" t="n"/>
      <c r="F2503" s="109">
        <f>IFERROR(D2503*E2503,0)</f>
        <v/>
      </c>
      <c r="G2503" s="106">
        <f>INDEX(SETORES!$B:$B,MATCH(A2503,SETORES!$A:$A,0))</f>
        <v/>
      </c>
      <c r="H2503" s="106" t="inlineStr">
        <is>
          <t>Setembro/2026</t>
        </is>
      </c>
    </row>
    <row r="2504">
      <c r="A2504" s="106" t="inlineStr">
        <is>
          <t>Compras</t>
        </is>
      </c>
      <c r="B2504" s="106" t="inlineStr">
        <is>
          <t>Custo Fixo</t>
        </is>
      </c>
      <c r="C2504" s="106" t="inlineStr">
        <is>
          <t>Gympass</t>
        </is>
      </c>
      <c r="D2504" s="107" t="n"/>
      <c r="E2504" s="108" t="n"/>
      <c r="F2504" s="109">
        <f>IFERROR(D2504*E2504,0)</f>
        <v/>
      </c>
      <c r="G2504" s="106">
        <f>INDEX(SETORES!$B:$B,MATCH(A2504,SETORES!$A:$A,0))</f>
        <v/>
      </c>
      <c r="H2504" s="106" t="inlineStr">
        <is>
          <t>Setembro/2026</t>
        </is>
      </c>
    </row>
    <row r="2505">
      <c r="A2505" s="106" t="inlineStr">
        <is>
          <t>Compras</t>
        </is>
      </c>
      <c r="B2505" s="106" t="inlineStr">
        <is>
          <t>Custo Fixo</t>
        </is>
      </c>
      <c r="C2505" s="106" t="inlineStr">
        <is>
          <t>Stargrid</t>
        </is>
      </c>
      <c r="D2505" s="107" t="n">
        <v>5</v>
      </c>
      <c r="E2505" s="108" t="n">
        <v>1.87</v>
      </c>
      <c r="F2505" s="109">
        <f>IFERROR(D2505*E2505,0)</f>
        <v/>
      </c>
      <c r="G2505" s="106">
        <f>INDEX(SETORES!$B:$B,MATCH(A2505,SETORES!$A:$A,0))</f>
        <v/>
      </c>
      <c r="H2505" s="106" t="inlineStr">
        <is>
          <t>Setembro/2026</t>
        </is>
      </c>
    </row>
    <row r="2506">
      <c r="A2506" s="106" t="inlineStr">
        <is>
          <t>Contabilidade</t>
        </is>
      </c>
      <c r="B2506" s="106" t="inlineStr">
        <is>
          <t>Custo Fixo</t>
        </is>
      </c>
      <c r="C2506" s="106" t="inlineStr">
        <is>
          <t>Material de escritório (suprimentos de informática)</t>
        </is>
      </c>
      <c r="D2506" s="107" t="n"/>
      <c r="E2506" s="108" t="n"/>
      <c r="F2506" s="109">
        <f>IFERROR(D2506*E2506,0)</f>
        <v/>
      </c>
      <c r="G2506" s="106">
        <f>INDEX(SETORES!$B:$B,MATCH(A2506,SETORES!$A:$A,0))</f>
        <v/>
      </c>
      <c r="H2506" s="106" t="inlineStr">
        <is>
          <t>Setembro/2026</t>
        </is>
      </c>
    </row>
    <row r="2507">
      <c r="A2507" s="106" t="inlineStr">
        <is>
          <t>Contabilidade</t>
        </is>
      </c>
      <c r="B2507" s="106" t="inlineStr">
        <is>
          <t>Custo Fixo</t>
        </is>
      </c>
      <c r="C2507" s="106" t="inlineStr">
        <is>
          <t>Material de uso coletivo (copa/limpeza)</t>
        </is>
      </c>
      <c r="D2507" s="107" t="n">
        <v>1</v>
      </c>
      <c r="E2507" s="108" t="n">
        <v>241.44</v>
      </c>
      <c r="F2507" s="109">
        <f>IFERROR(D2507*E2507,0)</f>
        <v/>
      </c>
      <c r="G2507" s="106">
        <f>INDEX(SETORES!$B:$B,MATCH(A2507,SETORES!$A:$A,0))</f>
        <v/>
      </c>
      <c r="H2507" s="106" t="inlineStr">
        <is>
          <t>Setembro/2026</t>
        </is>
      </c>
    </row>
    <row r="2508">
      <c r="A2508" s="106" t="inlineStr">
        <is>
          <t>Contabilidade</t>
        </is>
      </c>
      <c r="B2508" s="106" t="inlineStr">
        <is>
          <t>Custo Fixo</t>
        </is>
      </c>
      <c r="C2508" s="106" t="inlineStr">
        <is>
          <t>Energia elétrica (rateio)</t>
        </is>
      </c>
      <c r="D2508" s="107" t="n"/>
      <c r="E2508" s="108" t="n"/>
      <c r="F2508" s="109">
        <f>IFERROR(D2508*E2508,0)</f>
        <v/>
      </c>
      <c r="G2508" s="106">
        <f>INDEX(SETORES!$B:$B,MATCH(A2508,SETORES!$A:$A,0))</f>
        <v/>
      </c>
      <c r="H2508" s="106" t="inlineStr">
        <is>
          <t>Setembro/2026</t>
        </is>
      </c>
    </row>
    <row r="2509">
      <c r="A2509" s="106" t="inlineStr">
        <is>
          <t>Contabilidade</t>
        </is>
      </c>
      <c r="B2509" s="106" t="inlineStr">
        <is>
          <t>Custo Fixo</t>
        </is>
      </c>
      <c r="C2509" s="106" t="inlineStr">
        <is>
          <t>Água e esgoto (rateio)</t>
        </is>
      </c>
      <c r="D2509" s="107" t="n"/>
      <c r="E2509" s="108" t="n"/>
      <c r="F2509" s="109">
        <f>IFERROR(D2509*E2509,0)</f>
        <v/>
      </c>
      <c r="G2509" s="106">
        <f>INDEX(SETORES!$B:$B,MATCH(A2509,SETORES!$A:$A,0))</f>
        <v/>
      </c>
      <c r="H2509" s="106" t="inlineStr">
        <is>
          <t>Setembro/2026</t>
        </is>
      </c>
    </row>
    <row r="2510">
      <c r="A2510" s="106" t="inlineStr">
        <is>
          <t>Contabilidade</t>
        </is>
      </c>
      <c r="B2510" s="106" t="inlineStr">
        <is>
          <t>Custo Fixo</t>
        </is>
      </c>
      <c r="C2510" s="106" t="inlineStr">
        <is>
          <t>Telefonia móvel corporativa</t>
        </is>
      </c>
      <c r="D2510" s="107" t="n"/>
      <c r="E2510" s="108" t="n"/>
      <c r="F2510" s="109">
        <f>IFERROR(D2510*E2510,0)</f>
        <v/>
      </c>
      <c r="G2510" s="106">
        <f>INDEX(SETORES!$B:$B,MATCH(A2510,SETORES!$A:$A,0))</f>
        <v/>
      </c>
      <c r="H2510" s="106" t="inlineStr">
        <is>
          <t>Setembro/2026</t>
        </is>
      </c>
    </row>
    <row r="2511">
      <c r="A2511" s="106" t="inlineStr">
        <is>
          <t>Contabilidade</t>
        </is>
      </c>
      <c r="B2511" s="106" t="inlineStr">
        <is>
          <t>Custo Fixo</t>
        </is>
      </c>
      <c r="C2511" s="106" t="inlineStr">
        <is>
          <t>Folha de pagamento (salários)</t>
        </is>
      </c>
      <c r="D2511" s="107" t="n">
        <v>1</v>
      </c>
      <c r="E2511" s="108" t="n">
        <v>36209.58</v>
      </c>
      <c r="F2511" s="109">
        <f>IFERROR(D2511*E2511,0)</f>
        <v/>
      </c>
      <c r="G2511" s="106">
        <f>INDEX(SETORES!$B:$B,MATCH(A2511,SETORES!$A:$A,0))</f>
        <v/>
      </c>
      <c r="H2511" s="106" t="inlineStr">
        <is>
          <t>Setembro/2026</t>
        </is>
      </c>
    </row>
    <row r="2512">
      <c r="A2512" s="106" t="inlineStr">
        <is>
          <t>Contabilidade</t>
        </is>
      </c>
      <c r="B2512" s="106" t="inlineStr">
        <is>
          <t>Custo Variável</t>
        </is>
      </c>
      <c r="C2512" s="106" t="inlineStr">
        <is>
          <t>Auditoria contábil externa (fiber finance)</t>
        </is>
      </c>
      <c r="D2512" s="107" t="n"/>
      <c r="E2512" s="108" t="n"/>
      <c r="F2512" s="109">
        <f>IFERROR(D2512*E2512,0)</f>
        <v/>
      </c>
      <c r="G2512" s="106">
        <f>INDEX(SETORES!$B:$B,MATCH(A2512,SETORES!$A:$A,0))</f>
        <v/>
      </c>
      <c r="H2512" s="106" t="inlineStr">
        <is>
          <t>Setembro/2026</t>
        </is>
      </c>
    </row>
    <row r="2513">
      <c r="A2513" s="106" t="inlineStr">
        <is>
          <t>Contabilidade</t>
        </is>
      </c>
      <c r="B2513" s="106" t="inlineStr">
        <is>
          <t>Custo Variável</t>
        </is>
      </c>
      <c r="C2513" s="106" t="inlineStr">
        <is>
          <t>Fardamento novo</t>
        </is>
      </c>
      <c r="D2513" s="107" t="n">
        <v>1</v>
      </c>
      <c r="E2513" s="108" t="n">
        <v>90</v>
      </c>
      <c r="F2513" s="109">
        <f>IFERROR(D2513*E2513,0)</f>
        <v/>
      </c>
      <c r="G2513" s="106">
        <f>INDEX(SETORES!$B:$B,MATCH(A2513,SETORES!$A:$A,0))</f>
        <v/>
      </c>
      <c r="H2513" s="106" t="inlineStr">
        <is>
          <t>Setembro/2026</t>
        </is>
      </c>
    </row>
    <row r="2514">
      <c r="A2514" s="106" t="inlineStr">
        <is>
          <t>Contabilidade</t>
        </is>
      </c>
      <c r="B2514" s="106" t="inlineStr">
        <is>
          <t>Custo Variável</t>
        </is>
      </c>
      <c r="C2514" s="106" t="inlineStr">
        <is>
          <t>Fardamento substituição</t>
        </is>
      </c>
      <c r="D2514" s="107" t="n"/>
      <c r="E2514" s="108" t="n"/>
      <c r="F2514" s="109">
        <f>IFERROR(D2514*E2514,0)</f>
        <v/>
      </c>
      <c r="G2514" s="106">
        <f>INDEX(SETORES!$B:$B,MATCH(A2514,SETORES!$A:$A,0))</f>
        <v/>
      </c>
      <c r="H2514" s="106" t="inlineStr">
        <is>
          <t>Setembro/2026</t>
        </is>
      </c>
    </row>
    <row r="2515">
      <c r="A2515" s="106" t="inlineStr">
        <is>
          <t>Contabilidade</t>
        </is>
      </c>
      <c r="B2515" s="106" t="inlineStr">
        <is>
          <t>Custo Variável</t>
        </is>
      </c>
      <c r="C2515" s="106" t="inlineStr">
        <is>
          <t>Rescisões trabalhistas</t>
        </is>
      </c>
      <c r="D2515" s="107" t="n"/>
      <c r="E2515" s="108" t="n"/>
      <c r="F2515" s="109">
        <f>IFERROR(D2515*E2515,0)</f>
        <v/>
      </c>
      <c r="G2515" s="106">
        <f>INDEX(SETORES!$B:$B,MATCH(A2515,SETORES!$A:$A,0))</f>
        <v/>
      </c>
      <c r="H2515" s="106" t="inlineStr">
        <is>
          <t>Setembro/2026</t>
        </is>
      </c>
    </row>
    <row r="2516">
      <c r="A2516" s="106" t="inlineStr">
        <is>
          <t>Contabilidade</t>
        </is>
      </c>
      <c r="B2516" s="106" t="inlineStr">
        <is>
          <t>Custo Fixo</t>
        </is>
      </c>
      <c r="C2516" s="106" t="inlineStr">
        <is>
          <t>Licença de e-mail corporativo</t>
        </is>
      </c>
      <c r="D2516" s="107" t="n">
        <v>6</v>
      </c>
      <c r="E2516" s="108" t="n">
        <v>50</v>
      </c>
      <c r="F2516" s="109">
        <f>IFERROR(D2516*E2516,0)</f>
        <v/>
      </c>
      <c r="G2516" s="106">
        <f>INDEX(SETORES!$B:$B,MATCH(A2516,SETORES!$A:$A,0))</f>
        <v/>
      </c>
      <c r="H2516" s="106" t="inlineStr">
        <is>
          <t>Setembro/2026</t>
        </is>
      </c>
    </row>
    <row r="2517">
      <c r="A2517" s="106" t="inlineStr">
        <is>
          <t>Contabilidade</t>
        </is>
      </c>
      <c r="B2517" s="106" t="inlineStr">
        <is>
          <t>Custo Fixo</t>
        </is>
      </c>
      <c r="C2517" s="106" t="inlineStr">
        <is>
          <t>Gympass</t>
        </is>
      </c>
      <c r="D2517" s="107" t="n"/>
      <c r="E2517" s="108" t="n"/>
      <c r="F2517" s="109">
        <f>IFERROR(D2517*E2517,0)</f>
        <v/>
      </c>
      <c r="G2517" s="106">
        <f>INDEX(SETORES!$B:$B,MATCH(A2517,SETORES!$A:$A,0))</f>
        <v/>
      </c>
      <c r="H2517" s="106" t="inlineStr">
        <is>
          <t>Setembro/2026</t>
        </is>
      </c>
    </row>
    <row r="2518">
      <c r="A2518" s="106" t="inlineStr">
        <is>
          <t>Contabilidade</t>
        </is>
      </c>
      <c r="B2518" s="106" t="inlineStr">
        <is>
          <t>Custo Fixo</t>
        </is>
      </c>
      <c r="C2518" s="106" t="inlineStr">
        <is>
          <t>Stargrid</t>
        </is>
      </c>
      <c r="D2518" s="107" t="n">
        <v>6</v>
      </c>
      <c r="E2518" s="108" t="n">
        <v>1.87</v>
      </c>
      <c r="F2518" s="109">
        <f>IFERROR(D2518*E2518,0)</f>
        <v/>
      </c>
      <c r="G2518" s="106">
        <f>INDEX(SETORES!$B:$B,MATCH(A2518,SETORES!$A:$A,0))</f>
        <v/>
      </c>
      <c r="H2518" s="106" t="inlineStr">
        <is>
          <t>Setembro/2026</t>
        </is>
      </c>
    </row>
    <row r="2519">
      <c r="A2519" s="106" t="inlineStr">
        <is>
          <t>Contabilidade</t>
        </is>
      </c>
      <c r="B2519" s="106" t="inlineStr">
        <is>
          <t>Custo Variável</t>
        </is>
      </c>
      <c r="C2519" s="106" t="inlineStr">
        <is>
          <t>Consultoria contábil PJ (Wadson Genuíno)</t>
        </is>
      </c>
      <c r="D2519" s="107" t="n"/>
      <c r="E2519" s="108" t="n"/>
      <c r="F2519" s="109">
        <f>IFERROR(D2519*E2519,0)</f>
        <v/>
      </c>
      <c r="G2519" s="106">
        <f>INDEX(SETORES!$B:$B,MATCH(A2519,SETORES!$A:$A,0))</f>
        <v/>
      </c>
      <c r="H2519" s="106" t="inlineStr">
        <is>
          <t>Setembro/2026</t>
        </is>
      </c>
    </row>
    <row r="2520">
      <c r="A2520" s="106" t="inlineStr">
        <is>
          <t>Controladoria</t>
        </is>
      </c>
      <c r="B2520" s="106" t="inlineStr">
        <is>
          <t>Custo Fixo</t>
        </is>
      </c>
      <c r="C2520" s="106" t="inlineStr">
        <is>
          <t>Material de escritório (suprimentos de informática)</t>
        </is>
      </c>
      <c r="D2520" s="107" t="n"/>
      <c r="E2520" s="108" t="n"/>
      <c r="F2520" s="109">
        <f>IFERROR(D2520*E2520,0)</f>
        <v/>
      </c>
      <c r="G2520" s="106">
        <f>INDEX(SETORES!$B:$B,MATCH(A2520,SETORES!$A:$A,0))</f>
        <v/>
      </c>
      <c r="H2520" s="106" t="inlineStr">
        <is>
          <t>Setembro/2026</t>
        </is>
      </c>
    </row>
    <row r="2521">
      <c r="A2521" s="106" t="inlineStr">
        <is>
          <t>Controladoria</t>
        </is>
      </c>
      <c r="B2521" s="106" t="inlineStr">
        <is>
          <t>Custo Fixo</t>
        </is>
      </c>
      <c r="C2521" s="106" t="inlineStr">
        <is>
          <t>Material de uso coletivo (copa/limpeza)</t>
        </is>
      </c>
      <c r="D2521" s="107" t="n">
        <v>1</v>
      </c>
      <c r="E2521" s="108" t="n">
        <v>36.22</v>
      </c>
      <c r="F2521" s="109">
        <f>IFERROR(D2521*E2521,0)</f>
        <v/>
      </c>
      <c r="G2521" s="106">
        <f>INDEX(SETORES!$B:$B,MATCH(A2521,SETORES!$A:$A,0))</f>
        <v/>
      </c>
      <c r="H2521" s="106" t="inlineStr">
        <is>
          <t>Setembro/2026</t>
        </is>
      </c>
    </row>
    <row r="2522">
      <c r="A2522" s="106" t="inlineStr">
        <is>
          <t>Controladoria</t>
        </is>
      </c>
      <c r="B2522" s="106" t="inlineStr">
        <is>
          <t>Custo Fixo</t>
        </is>
      </c>
      <c r="C2522" s="106" t="inlineStr">
        <is>
          <t>Energia elétrica (rateio)</t>
        </is>
      </c>
      <c r="D2522" s="107" t="n"/>
      <c r="E2522" s="108" t="n"/>
      <c r="F2522" s="109">
        <f>IFERROR(D2522*E2522,0)</f>
        <v/>
      </c>
      <c r="G2522" s="106">
        <f>INDEX(SETORES!$B:$B,MATCH(A2522,SETORES!$A:$A,0))</f>
        <v/>
      </c>
      <c r="H2522" s="106" t="inlineStr">
        <is>
          <t>Setembro/2026</t>
        </is>
      </c>
    </row>
    <row r="2523">
      <c r="A2523" s="106" t="inlineStr">
        <is>
          <t>Controladoria</t>
        </is>
      </c>
      <c r="B2523" s="106" t="inlineStr">
        <is>
          <t>Custo Fixo</t>
        </is>
      </c>
      <c r="C2523" s="106" t="inlineStr">
        <is>
          <t>Água e esgoto (rateio)</t>
        </is>
      </c>
      <c r="D2523" s="107" t="n"/>
      <c r="E2523" s="108" t="n"/>
      <c r="F2523" s="109">
        <f>IFERROR(D2523*E2523,0)</f>
        <v/>
      </c>
      <c r="G2523" s="106">
        <f>INDEX(SETORES!$B:$B,MATCH(A2523,SETORES!$A:$A,0))</f>
        <v/>
      </c>
      <c r="H2523" s="106" t="inlineStr">
        <is>
          <t>Setembro/2026</t>
        </is>
      </c>
    </row>
    <row r="2524">
      <c r="A2524" s="106" t="inlineStr">
        <is>
          <t>Controladoria</t>
        </is>
      </c>
      <c r="B2524" s="106" t="inlineStr">
        <is>
          <t>Custo Fixo</t>
        </is>
      </c>
      <c r="C2524" s="106" t="inlineStr">
        <is>
          <t>Chip móvel corporativo</t>
        </is>
      </c>
      <c r="D2524" s="107" t="n"/>
      <c r="E2524" s="108" t="n"/>
      <c r="F2524" s="109">
        <f>IFERROR(D2524*E2524,0)</f>
        <v/>
      </c>
      <c r="G2524" s="106">
        <f>INDEX(SETORES!$B:$B,MATCH(A2524,SETORES!$A:$A,0))</f>
        <v/>
      </c>
      <c r="H2524" s="106" t="inlineStr">
        <is>
          <t>Setembro/2026</t>
        </is>
      </c>
    </row>
    <row r="2525">
      <c r="A2525" s="106" t="inlineStr">
        <is>
          <t>Controladoria</t>
        </is>
      </c>
      <c r="B2525" s="106" t="inlineStr">
        <is>
          <t>Custo Fixo</t>
        </is>
      </c>
      <c r="C2525" s="106" t="inlineStr">
        <is>
          <t>Folha de pagamento (salários)</t>
        </is>
      </c>
      <c r="D2525" s="107" t="n">
        <v>1</v>
      </c>
      <c r="E2525" s="108" t="n">
        <v>18000</v>
      </c>
      <c r="F2525" s="109">
        <f>IFERROR(D2525*E2525,0)</f>
        <v/>
      </c>
      <c r="G2525" s="106">
        <f>INDEX(SETORES!$B:$B,MATCH(A2525,SETORES!$A:$A,0))</f>
        <v/>
      </c>
      <c r="H2525" s="106" t="inlineStr">
        <is>
          <t>Setembro/2026</t>
        </is>
      </c>
    </row>
    <row r="2526">
      <c r="A2526" s="106" t="inlineStr">
        <is>
          <t>Controladoria</t>
        </is>
      </c>
      <c r="B2526" s="106" t="inlineStr">
        <is>
          <t>Custo Fixo</t>
        </is>
      </c>
      <c r="C2526" s="106" t="inlineStr">
        <is>
          <t>Gympass</t>
        </is>
      </c>
      <c r="D2526" s="107" t="n"/>
      <c r="E2526" s="108" t="n"/>
      <c r="F2526" s="109">
        <f>IFERROR(D2526*E2526,0)</f>
        <v/>
      </c>
      <c r="G2526" s="106">
        <f>INDEX(SETORES!$B:$B,MATCH(A2526,SETORES!$A:$A,0))</f>
        <v/>
      </c>
      <c r="H2526" s="106" t="inlineStr">
        <is>
          <t>Setembro/2026</t>
        </is>
      </c>
    </row>
    <row r="2527">
      <c r="A2527" s="106" t="inlineStr">
        <is>
          <t>Controladoria</t>
        </is>
      </c>
      <c r="B2527" s="106" t="inlineStr">
        <is>
          <t>Custo Fixo</t>
        </is>
      </c>
      <c r="C2527" s="106" t="inlineStr">
        <is>
          <t>Stargrid</t>
        </is>
      </c>
      <c r="D2527" s="107" t="n">
        <v>1</v>
      </c>
      <c r="E2527" s="108" t="n">
        <v>1.87</v>
      </c>
      <c r="F2527" s="109">
        <f>IFERROR(D2527*E2527,0)</f>
        <v/>
      </c>
      <c r="G2527" s="106">
        <f>INDEX(SETORES!$B:$B,MATCH(A2527,SETORES!$A:$A,0))</f>
        <v/>
      </c>
      <c r="H2527" s="106" t="inlineStr">
        <is>
          <t>Setembro/2026</t>
        </is>
      </c>
    </row>
    <row r="2528">
      <c r="A2528" s="106" t="inlineStr">
        <is>
          <t>DP</t>
        </is>
      </c>
      <c r="B2528" s="106" t="inlineStr">
        <is>
          <t>Custo Fixo</t>
        </is>
      </c>
      <c r="C2528" s="106" t="inlineStr">
        <is>
          <t>Material de escritório (suprimentos de informática)</t>
        </is>
      </c>
      <c r="D2528" s="107" t="n">
        <v>1</v>
      </c>
      <c r="E2528" s="108" t="n">
        <v>9.24</v>
      </c>
      <c r="F2528" s="109">
        <f>IFERROR(D2528*E2528,0)</f>
        <v/>
      </c>
      <c r="G2528" s="106">
        <f>INDEX(SETORES!$B:$B,MATCH(A2528,SETORES!$A:$A,0))</f>
        <v/>
      </c>
      <c r="H2528" s="106" t="inlineStr">
        <is>
          <t>Setembro/2026</t>
        </is>
      </c>
    </row>
    <row r="2529">
      <c r="A2529" s="106" t="inlineStr">
        <is>
          <t>DP</t>
        </is>
      </c>
      <c r="B2529" s="106" t="inlineStr">
        <is>
          <t>Custo Fixo</t>
        </is>
      </c>
      <c r="C2529" s="106" t="inlineStr">
        <is>
          <t>Material de uso coletivo (copa/limpeza)</t>
        </is>
      </c>
      <c r="D2529" s="107" t="n">
        <v>1</v>
      </c>
      <c r="E2529" s="108" t="n">
        <v>204.89</v>
      </c>
      <c r="F2529" s="109">
        <f>IFERROR(D2529*E2529,0)</f>
        <v/>
      </c>
      <c r="G2529" s="106">
        <f>INDEX(SETORES!$B:$B,MATCH(A2529,SETORES!$A:$A,0))</f>
        <v/>
      </c>
      <c r="H2529" s="106" t="inlineStr">
        <is>
          <t>Setembro/2026</t>
        </is>
      </c>
    </row>
    <row r="2530">
      <c r="A2530" s="106" t="inlineStr">
        <is>
          <t>DP</t>
        </is>
      </c>
      <c r="B2530" s="106" t="inlineStr">
        <is>
          <t>Custo Fixo</t>
        </is>
      </c>
      <c r="C2530" s="106" t="inlineStr">
        <is>
          <t>Energia elétrica (rateio)</t>
        </is>
      </c>
      <c r="D2530" s="107" t="n"/>
      <c r="E2530" s="108" t="n"/>
      <c r="F2530" s="109">
        <f>IFERROR(D2530*E2530,0)</f>
        <v/>
      </c>
      <c r="G2530" s="106">
        <f>INDEX(SETORES!$B:$B,MATCH(A2530,SETORES!$A:$A,0))</f>
        <v/>
      </c>
      <c r="H2530" s="106" t="inlineStr">
        <is>
          <t>Setembro/2026</t>
        </is>
      </c>
    </row>
    <row r="2531">
      <c r="A2531" s="106" t="inlineStr">
        <is>
          <t>DP</t>
        </is>
      </c>
      <c r="B2531" s="106" t="inlineStr">
        <is>
          <t>Custo Fixo</t>
        </is>
      </c>
      <c r="C2531" s="106" t="inlineStr">
        <is>
          <t>Água e esgoto (rateio)</t>
        </is>
      </c>
      <c r="D2531" s="107" t="n"/>
      <c r="E2531" s="108" t="n"/>
      <c r="F2531" s="109">
        <f>IFERROR(D2531*E2531,0)</f>
        <v/>
      </c>
      <c r="G2531" s="106">
        <f>INDEX(SETORES!$B:$B,MATCH(A2531,SETORES!$A:$A,0))</f>
        <v/>
      </c>
      <c r="H2531" s="106" t="inlineStr">
        <is>
          <t>Setembro/2026</t>
        </is>
      </c>
    </row>
    <row r="2532">
      <c r="A2532" s="106" t="inlineStr">
        <is>
          <t>DP</t>
        </is>
      </c>
      <c r="B2532" s="106" t="inlineStr">
        <is>
          <t>Custo Fixo</t>
        </is>
      </c>
      <c r="C2532" s="106" t="inlineStr">
        <is>
          <t>Telefonia móvel corporativa</t>
        </is>
      </c>
      <c r="D2532" s="107" t="n"/>
      <c r="E2532" s="108" t="n"/>
      <c r="F2532" s="109">
        <f>IFERROR(D2532*E2532,0)</f>
        <v/>
      </c>
      <c r="G2532" s="106">
        <f>INDEX(SETORES!$B:$B,MATCH(A2532,SETORES!$A:$A,0))</f>
        <v/>
      </c>
      <c r="H2532" s="106" t="inlineStr">
        <is>
          <t>Setembro/2026</t>
        </is>
      </c>
    </row>
    <row r="2533">
      <c r="A2533" s="106" t="inlineStr">
        <is>
          <t>DP</t>
        </is>
      </c>
      <c r="B2533" s="106" t="inlineStr">
        <is>
          <t>Custo Fixo</t>
        </is>
      </c>
      <c r="C2533" s="106" t="inlineStr">
        <is>
          <t>Folha de pagamento (salários)</t>
        </is>
      </c>
      <c r="D2533" s="107" t="n">
        <v>1</v>
      </c>
      <c r="E2533" s="108" t="n">
        <v>48158.28</v>
      </c>
      <c r="F2533" s="109">
        <f>IFERROR(D2533*E2533,0)</f>
        <v/>
      </c>
      <c r="G2533" s="106">
        <f>INDEX(SETORES!$B:$B,MATCH(A2533,SETORES!$A:$A,0))</f>
        <v/>
      </c>
      <c r="H2533" s="106" t="inlineStr">
        <is>
          <t>Setembro/2026</t>
        </is>
      </c>
    </row>
    <row r="2534">
      <c r="A2534" s="106" t="inlineStr">
        <is>
          <t>Logística</t>
        </is>
      </c>
      <c r="B2534" s="106" t="inlineStr">
        <is>
          <t>Custo Variável</t>
        </is>
      </c>
      <c r="C2534" s="106" t="inlineStr">
        <is>
          <t>Exames médicos</t>
        </is>
      </c>
      <c r="D2534" s="107" t="n"/>
      <c r="E2534" s="108" t="n"/>
      <c r="F2534" s="109">
        <f>IFERROR(D2534*E2534,0)</f>
        <v/>
      </c>
      <c r="G2534" s="106">
        <f>INDEX(SETORES!$B:$B,MATCH(A2534,SETORES!$A:$A,0))</f>
        <v/>
      </c>
      <c r="H2534" s="106" t="inlineStr">
        <is>
          <t>Setembro/2026</t>
        </is>
      </c>
    </row>
    <row r="2535">
      <c r="A2535" s="106" t="inlineStr">
        <is>
          <t>Oficina</t>
        </is>
      </c>
      <c r="B2535" s="106" t="inlineStr">
        <is>
          <t>Custo Variável</t>
        </is>
      </c>
      <c r="C2535" s="106" t="inlineStr">
        <is>
          <t>Exames médicos</t>
        </is>
      </c>
      <c r="D2535" s="107" t="n"/>
      <c r="E2535" s="108" t="n"/>
      <c r="F2535" s="109">
        <f>IFERROR(D2535*E2535,0)</f>
        <v/>
      </c>
      <c r="G2535" s="106">
        <f>INDEX(SETORES!$B:$B,MATCH(A2535,SETORES!$A:$A,0))</f>
        <v/>
      </c>
      <c r="H2535" s="106" t="inlineStr">
        <is>
          <t>Setembro/2026</t>
        </is>
      </c>
    </row>
    <row r="2536">
      <c r="A2536" s="106" t="inlineStr">
        <is>
          <t>DP</t>
        </is>
      </c>
      <c r="B2536" s="106" t="inlineStr">
        <is>
          <t>Custo Variável</t>
        </is>
      </c>
      <c r="C2536" s="106" t="inlineStr">
        <is>
          <t>Exames médicos</t>
        </is>
      </c>
      <c r="D2536" s="107" t="n"/>
      <c r="E2536" s="108" t="n"/>
      <c r="F2536" s="109">
        <f>IFERROR(D2536*E2536,0)</f>
        <v/>
      </c>
      <c r="G2536" s="106">
        <f>INDEX(SETORES!$B:$B,MATCH(A2536,SETORES!$A:$A,0))</f>
        <v/>
      </c>
      <c r="H2536" s="106" t="inlineStr">
        <is>
          <t>Setembro/2026</t>
        </is>
      </c>
    </row>
    <row r="2537">
      <c r="A2537" s="106" t="inlineStr">
        <is>
          <t>DP</t>
        </is>
      </c>
      <c r="B2537" s="106" t="inlineStr">
        <is>
          <t>Custo Variável</t>
        </is>
      </c>
      <c r="C2537" s="106" t="inlineStr">
        <is>
          <t>Homologações e rescisões</t>
        </is>
      </c>
      <c r="D2537" s="107" t="n"/>
      <c r="E2537" s="108" t="n"/>
      <c r="F2537" s="109">
        <f>IFERROR(D2537*E2537,0)</f>
        <v/>
      </c>
      <c r="G2537" s="106">
        <f>INDEX(SETORES!$B:$B,MATCH(A2537,SETORES!$A:$A,0))</f>
        <v/>
      </c>
      <c r="H2537" s="106" t="inlineStr">
        <is>
          <t>Setembro/2026</t>
        </is>
      </c>
    </row>
    <row r="2538">
      <c r="A2538" s="106" t="inlineStr">
        <is>
          <t>DP</t>
        </is>
      </c>
      <c r="B2538" s="106" t="inlineStr">
        <is>
          <t>Custo Variável</t>
        </is>
      </c>
      <c r="C2538" s="106" t="inlineStr">
        <is>
          <t>Fardamento novo</t>
        </is>
      </c>
      <c r="D2538" s="107" t="n">
        <v>1</v>
      </c>
      <c r="E2538" s="108" t="n">
        <v>180</v>
      </c>
      <c r="F2538" s="109">
        <f>IFERROR(D2538*E2538,0)</f>
        <v/>
      </c>
      <c r="G2538" s="106">
        <f>INDEX(SETORES!$B:$B,MATCH(A2538,SETORES!$A:$A,0))</f>
        <v/>
      </c>
      <c r="H2538" s="106" t="inlineStr">
        <is>
          <t>Setembro/2026</t>
        </is>
      </c>
    </row>
    <row r="2539">
      <c r="A2539" s="106" t="inlineStr">
        <is>
          <t>DP</t>
        </is>
      </c>
      <c r="B2539" s="106" t="inlineStr">
        <is>
          <t>Custo Variável</t>
        </is>
      </c>
      <c r="C2539" s="106" t="inlineStr">
        <is>
          <t>Fardamento substituição</t>
        </is>
      </c>
      <c r="D2539" s="107" t="n">
        <v>1</v>
      </c>
      <c r="E2539" s="108" t="n">
        <v>272</v>
      </c>
      <c r="F2539" s="109">
        <f>IFERROR(D2539*E2539,0)</f>
        <v/>
      </c>
      <c r="G2539" s="106">
        <f>INDEX(SETORES!$B:$B,MATCH(A2539,SETORES!$A:$A,0))</f>
        <v/>
      </c>
      <c r="H2539" s="106" t="inlineStr">
        <is>
          <t>Setembro/2026</t>
        </is>
      </c>
    </row>
    <row r="2540">
      <c r="A2540" s="106" t="inlineStr">
        <is>
          <t>DP</t>
        </is>
      </c>
      <c r="B2540" s="106" t="inlineStr">
        <is>
          <t>Custo Fixo</t>
        </is>
      </c>
      <c r="C2540" s="106" t="inlineStr">
        <is>
          <t>Licença de e-mail corporativo</t>
        </is>
      </c>
      <c r="D2540" s="107" t="n">
        <v>9</v>
      </c>
      <c r="E2540" s="108" t="n">
        <v>50</v>
      </c>
      <c r="F2540" s="109">
        <f>IFERROR(D2540*E2540,0)</f>
        <v/>
      </c>
      <c r="G2540" s="106">
        <f>INDEX(SETORES!$B:$B,MATCH(A2540,SETORES!$A:$A,0))</f>
        <v/>
      </c>
      <c r="H2540" s="106" t="inlineStr">
        <is>
          <t>Setembro/2026</t>
        </is>
      </c>
    </row>
    <row r="2541">
      <c r="A2541" s="106" t="inlineStr">
        <is>
          <t>DP</t>
        </is>
      </c>
      <c r="B2541" s="106" t="inlineStr">
        <is>
          <t>Custo Fixo</t>
        </is>
      </c>
      <c r="C2541" s="106" t="inlineStr">
        <is>
          <t>Impressora</t>
        </is>
      </c>
      <c r="D2541" s="107" t="n"/>
      <c r="E2541" s="108" t="n"/>
      <c r="F2541" s="109">
        <f>IFERROR(D2541*E2541,0)</f>
        <v/>
      </c>
      <c r="G2541" s="106">
        <f>INDEX(SETORES!$B:$B,MATCH(A2541,SETORES!$A:$A,0))</f>
        <v/>
      </c>
      <c r="H2541" s="106" t="inlineStr">
        <is>
          <t>Setembro/2026</t>
        </is>
      </c>
    </row>
    <row r="2542">
      <c r="A2542" s="106" t="inlineStr">
        <is>
          <t>DP</t>
        </is>
      </c>
      <c r="B2542" s="106" t="inlineStr">
        <is>
          <t>Custo Fixo</t>
        </is>
      </c>
      <c r="C2542" s="106" t="inlineStr">
        <is>
          <t>Gympass</t>
        </is>
      </c>
      <c r="D2542" s="107" t="n"/>
      <c r="E2542" s="108" t="n"/>
      <c r="F2542" s="109">
        <f>IFERROR(D2542*E2542,0)</f>
        <v/>
      </c>
      <c r="G2542" s="106">
        <f>INDEX(SETORES!$B:$B,MATCH(A2542,SETORES!$A:$A,0))</f>
        <v/>
      </c>
      <c r="H2542" s="106" t="inlineStr">
        <is>
          <t>Setembro/2026</t>
        </is>
      </c>
    </row>
    <row r="2543">
      <c r="A2543" s="106" t="inlineStr">
        <is>
          <t>DP</t>
        </is>
      </c>
      <c r="B2543" s="106" t="inlineStr">
        <is>
          <t>Custo Fixo</t>
        </is>
      </c>
      <c r="C2543" s="106" t="inlineStr">
        <is>
          <t>Stargrid</t>
        </is>
      </c>
      <c r="D2543" s="107" t="n">
        <v>9</v>
      </c>
      <c r="E2543" s="108" t="n">
        <v>1.87</v>
      </c>
      <c r="F2543" s="109">
        <f>IFERROR(D2543*E2543,0)</f>
        <v/>
      </c>
      <c r="G2543" s="106">
        <f>INDEX(SETORES!$B:$B,MATCH(A2543,SETORES!$A:$A,0))</f>
        <v/>
      </c>
      <c r="H2543" s="106" t="inlineStr">
        <is>
          <t>Setembro/2026</t>
        </is>
      </c>
    </row>
    <row r="2544">
      <c r="A2544" s="106" t="inlineStr">
        <is>
          <t>Diretoria Operacional</t>
        </is>
      </c>
      <c r="B2544" s="106" t="inlineStr">
        <is>
          <t>Custo Fixo</t>
        </is>
      </c>
      <c r="C2544" s="106" t="inlineStr">
        <is>
          <t>Material de escritório (suprimentos de informática)</t>
        </is>
      </c>
      <c r="D2544" s="107" t="n">
        <v>1</v>
      </c>
      <c r="E2544" s="108" t="n">
        <v>9.31</v>
      </c>
      <c r="F2544" s="109">
        <f>IFERROR(D2544*E2544,0)</f>
        <v/>
      </c>
      <c r="G2544" s="106">
        <f>INDEX(SETORES!$B:$B,MATCH(A2544,SETORES!$A:$A,0))</f>
        <v/>
      </c>
      <c r="H2544" s="106" t="inlineStr">
        <is>
          <t>Setembro/2026</t>
        </is>
      </c>
    </row>
    <row r="2545">
      <c r="A2545" s="106" t="inlineStr">
        <is>
          <t>Diretoria Operacional</t>
        </is>
      </c>
      <c r="B2545" s="106" t="inlineStr">
        <is>
          <t>Custo Fixo</t>
        </is>
      </c>
      <c r="C2545" s="106" t="inlineStr">
        <is>
          <t>Material de uso coletivo (copa/limpeza)</t>
        </is>
      </c>
      <c r="D2545" s="107" t="n">
        <v>1</v>
      </c>
      <c r="E2545" s="108" t="n">
        <v>70.76000000000001</v>
      </c>
      <c r="F2545" s="109">
        <f>IFERROR(D2545*E2545,0)</f>
        <v/>
      </c>
      <c r="G2545" s="106">
        <f>INDEX(SETORES!$B:$B,MATCH(A2545,SETORES!$A:$A,0))</f>
        <v/>
      </c>
      <c r="H2545" s="106" t="inlineStr">
        <is>
          <t>Setembro/2026</t>
        </is>
      </c>
    </row>
    <row r="2546">
      <c r="A2546" s="106" t="inlineStr">
        <is>
          <t>Diretoria Operacional</t>
        </is>
      </c>
      <c r="B2546" s="106" t="inlineStr">
        <is>
          <t>Custo Fixo</t>
        </is>
      </c>
      <c r="C2546" s="106" t="inlineStr">
        <is>
          <t>Energia elétrica (rateio)</t>
        </is>
      </c>
      <c r="D2546" s="107" t="n"/>
      <c r="E2546" s="108" t="n"/>
      <c r="F2546" s="109">
        <f>IFERROR(D2546*E2546,0)</f>
        <v/>
      </c>
      <c r="G2546" s="106">
        <f>INDEX(SETORES!$B:$B,MATCH(A2546,SETORES!$A:$A,0))</f>
        <v/>
      </c>
      <c r="H2546" s="106" t="inlineStr">
        <is>
          <t>Setembro/2026</t>
        </is>
      </c>
    </row>
    <row r="2547">
      <c r="A2547" s="106" t="inlineStr">
        <is>
          <t>Diretoria Operacional</t>
        </is>
      </c>
      <c r="B2547" s="106" t="inlineStr">
        <is>
          <t>Custo Fixo</t>
        </is>
      </c>
      <c r="C2547" s="106" t="inlineStr">
        <is>
          <t>Água e esgoto (rateio)</t>
        </is>
      </c>
      <c r="D2547" s="107" t="n"/>
      <c r="E2547" s="108" t="n"/>
      <c r="F2547" s="109">
        <f>IFERROR(D2547*E2547,0)</f>
        <v/>
      </c>
      <c r="G2547" s="106">
        <f>INDEX(SETORES!$B:$B,MATCH(A2547,SETORES!$A:$A,0))</f>
        <v/>
      </c>
      <c r="H2547" s="106" t="inlineStr">
        <is>
          <t>Setembro/2026</t>
        </is>
      </c>
    </row>
    <row r="2548">
      <c r="A2548" s="106" t="inlineStr">
        <is>
          <t>Diretoria Operacional</t>
        </is>
      </c>
      <c r="B2548" s="106" t="inlineStr">
        <is>
          <t>Custo Fixo</t>
        </is>
      </c>
      <c r="C2548" s="106" t="inlineStr">
        <is>
          <t>Telefonia móvel corporativa</t>
        </is>
      </c>
      <c r="D2548" s="107" t="n"/>
      <c r="E2548" s="108" t="n"/>
      <c r="F2548" s="109">
        <f>IFERROR(D2548*E2548,0)</f>
        <v/>
      </c>
      <c r="G2548" s="106">
        <f>INDEX(SETORES!$B:$B,MATCH(A2548,SETORES!$A:$A,0))</f>
        <v/>
      </c>
      <c r="H2548" s="106" t="inlineStr">
        <is>
          <t>Setembro/2026</t>
        </is>
      </c>
    </row>
    <row r="2549">
      <c r="A2549" s="106" t="inlineStr">
        <is>
          <t>Diretoria Operacional</t>
        </is>
      </c>
      <c r="B2549" s="106" t="inlineStr">
        <is>
          <t>Custo Fixo</t>
        </is>
      </c>
      <c r="C2549" s="106" t="inlineStr">
        <is>
          <t>Folha de pagamento (salários)</t>
        </is>
      </c>
      <c r="D2549" s="107" t="n">
        <v>1</v>
      </c>
      <c r="E2549" s="108" t="n">
        <v>28328.94</v>
      </c>
      <c r="F2549" s="109">
        <f>IFERROR(D2549*E2549,0)</f>
        <v/>
      </c>
      <c r="G2549" s="106">
        <f>INDEX(SETORES!$B:$B,MATCH(A2549,SETORES!$A:$A,0))</f>
        <v/>
      </c>
      <c r="H2549" s="106" t="inlineStr">
        <is>
          <t>Setembro/2026</t>
        </is>
      </c>
    </row>
    <row r="2550">
      <c r="A2550" s="106" t="inlineStr">
        <is>
          <t>Diretoria Operacional</t>
        </is>
      </c>
      <c r="B2550" s="106" t="inlineStr">
        <is>
          <t>Custo Variável</t>
        </is>
      </c>
      <c r="C2550" s="106" t="inlineStr">
        <is>
          <t>Viagens e hospedagem corporativas</t>
        </is>
      </c>
      <c r="D2550" s="107" t="n"/>
      <c r="E2550" s="108" t="n"/>
      <c r="F2550" s="109">
        <f>IFERROR(D2550*E2550,0)</f>
        <v/>
      </c>
      <c r="G2550" s="106">
        <f>INDEX(SETORES!$B:$B,MATCH(A2550,SETORES!$A:$A,0))</f>
        <v/>
      </c>
      <c r="H2550" s="106" t="inlineStr">
        <is>
          <t>Setembro/2026</t>
        </is>
      </c>
    </row>
    <row r="2551">
      <c r="A2551" s="106" t="inlineStr">
        <is>
          <t>Diretoria Operacional</t>
        </is>
      </c>
      <c r="B2551" s="106" t="inlineStr">
        <is>
          <t>Custo Variável</t>
        </is>
      </c>
      <c r="C2551" s="106" t="inlineStr">
        <is>
          <t>Fardamento novo</t>
        </is>
      </c>
      <c r="D2551" s="107" t="n"/>
      <c r="E2551" s="108" t="n"/>
      <c r="F2551" s="109">
        <f>IFERROR(D2551*E2551,0)</f>
        <v/>
      </c>
      <c r="G2551" s="106">
        <f>INDEX(SETORES!$B:$B,MATCH(A2551,SETORES!$A:$A,0))</f>
        <v/>
      </c>
      <c r="H2551" s="106" t="inlineStr">
        <is>
          <t>Setembro/2026</t>
        </is>
      </c>
    </row>
    <row r="2552">
      <c r="A2552" s="106" t="inlineStr">
        <is>
          <t>Diretoria Operacional</t>
        </is>
      </c>
      <c r="B2552" s="106" t="inlineStr">
        <is>
          <t>Custo Variável</t>
        </is>
      </c>
      <c r="C2552" s="106" t="inlineStr">
        <is>
          <t>Fardamento substituição</t>
        </is>
      </c>
      <c r="D2552" s="107" t="n"/>
      <c r="E2552" s="108" t="n"/>
      <c r="F2552" s="109">
        <f>IFERROR(D2552*E2552,0)</f>
        <v/>
      </c>
      <c r="G2552" s="106">
        <f>INDEX(SETORES!$B:$B,MATCH(A2552,SETORES!$A:$A,0))</f>
        <v/>
      </c>
      <c r="H2552" s="106" t="inlineStr">
        <is>
          <t>Setembro/2026</t>
        </is>
      </c>
    </row>
    <row r="2553">
      <c r="A2553" s="106" t="inlineStr">
        <is>
          <t>Diretoria Operacional</t>
        </is>
      </c>
      <c r="B2553" s="106" t="inlineStr">
        <is>
          <t>Custo Fixo</t>
        </is>
      </c>
      <c r="C2553" s="106" t="inlineStr">
        <is>
          <t>Licença de e-mail corporativo</t>
        </is>
      </c>
      <c r="D2553" s="107" t="n">
        <v>2</v>
      </c>
      <c r="E2553" s="108" t="n">
        <v>50</v>
      </c>
      <c r="F2553" s="109">
        <f>IFERROR(D2553*E2553,0)</f>
        <v/>
      </c>
      <c r="G2553" s="106">
        <f>INDEX(SETORES!$B:$B,MATCH(A2553,SETORES!$A:$A,0))</f>
        <v/>
      </c>
      <c r="H2553" s="106" t="inlineStr">
        <is>
          <t>Setembro/2026</t>
        </is>
      </c>
    </row>
    <row r="2554">
      <c r="A2554" s="106" t="inlineStr">
        <is>
          <t>Diretoria Operacional</t>
        </is>
      </c>
      <c r="B2554" s="106" t="inlineStr">
        <is>
          <t>Custo Fixo</t>
        </is>
      </c>
      <c r="C2554" s="106" t="inlineStr">
        <is>
          <t>Gympass</t>
        </is>
      </c>
      <c r="D2554" s="107" t="n"/>
      <c r="E2554" s="108" t="n"/>
      <c r="F2554" s="109">
        <f>IFERROR(D2554*E2554,0)</f>
        <v/>
      </c>
      <c r="G2554" s="106">
        <f>INDEX(SETORES!$B:$B,MATCH(A2554,SETORES!$A:$A,0))</f>
        <v/>
      </c>
      <c r="H2554" s="106" t="inlineStr">
        <is>
          <t>Setembro/2026</t>
        </is>
      </c>
    </row>
    <row r="2555">
      <c r="A2555" s="106" t="inlineStr">
        <is>
          <t>Diretoria Operacional</t>
        </is>
      </c>
      <c r="B2555" s="106" t="inlineStr">
        <is>
          <t>Custo Fixo</t>
        </is>
      </c>
      <c r="C2555" s="106" t="inlineStr">
        <is>
          <t>Stargrid</t>
        </is>
      </c>
      <c r="D2555" s="107" t="n">
        <v>2</v>
      </c>
      <c r="E2555" s="108" t="n">
        <v>1.87</v>
      </c>
      <c r="F2555" s="109">
        <f>IFERROR(D2555*E2555,0)</f>
        <v/>
      </c>
      <c r="G2555" s="106">
        <f>INDEX(SETORES!$B:$B,MATCH(A2555,SETORES!$A:$A,0))</f>
        <v/>
      </c>
      <c r="H2555" s="106" t="inlineStr">
        <is>
          <t>Setembro/2026</t>
        </is>
      </c>
    </row>
    <row r="2556">
      <c r="A2556" s="106" t="inlineStr">
        <is>
          <t>Engenharia</t>
        </is>
      </c>
      <c r="B2556" s="106" t="inlineStr">
        <is>
          <t>Custo Fixo</t>
        </is>
      </c>
      <c r="C2556" s="106" t="inlineStr">
        <is>
          <t>Material de escritório (suprimentos de informática)</t>
        </is>
      </c>
      <c r="D2556" s="107" t="n"/>
      <c r="E2556" s="108" t="n"/>
      <c r="F2556" s="109">
        <f>IFERROR(D2556*E2556,0)</f>
        <v/>
      </c>
      <c r="G2556" s="106">
        <f>INDEX(SETORES!$B:$B,MATCH(A2556,SETORES!$A:$A,0))</f>
        <v/>
      </c>
      <c r="H2556" s="106" t="inlineStr">
        <is>
          <t>Setembro/2026</t>
        </is>
      </c>
    </row>
    <row r="2557">
      <c r="A2557" s="106" t="inlineStr">
        <is>
          <t>Engenharia</t>
        </is>
      </c>
      <c r="B2557" s="106" t="inlineStr">
        <is>
          <t>Custo Fixo</t>
        </is>
      </c>
      <c r="C2557" s="106" t="inlineStr">
        <is>
          <t>Material de uso coletivo (copa/limpeza)</t>
        </is>
      </c>
      <c r="D2557" s="107" t="n"/>
      <c r="E2557" s="108" t="n"/>
      <c r="F2557" s="109">
        <f>IFERROR(D2557*E2557,0)</f>
        <v/>
      </c>
      <c r="G2557" s="106">
        <f>INDEX(SETORES!$B:$B,MATCH(A2557,SETORES!$A:$A,0))</f>
        <v/>
      </c>
      <c r="H2557" s="106" t="inlineStr">
        <is>
          <t>Setembro/2026</t>
        </is>
      </c>
    </row>
    <row r="2558">
      <c r="A2558" s="106" t="inlineStr">
        <is>
          <t>Engenharia</t>
        </is>
      </c>
      <c r="B2558" s="106" t="inlineStr">
        <is>
          <t>Custo Variável</t>
        </is>
      </c>
      <c r="C2558" s="106" t="inlineStr">
        <is>
          <t>Endomarketing</t>
        </is>
      </c>
      <c r="D2558" s="107" t="n"/>
      <c r="E2558" s="108" t="n"/>
      <c r="F2558" s="109">
        <f>IFERROR(D2558*E2558,0)</f>
        <v/>
      </c>
      <c r="G2558" s="106">
        <f>INDEX(SETORES!$B:$B,MATCH(A2558,SETORES!$A:$A,0))</f>
        <v/>
      </c>
      <c r="H2558" s="106" t="inlineStr">
        <is>
          <t>Setembro/2026</t>
        </is>
      </c>
    </row>
    <row r="2559">
      <c r="A2559" s="106" t="inlineStr">
        <is>
          <t>Engenharia</t>
        </is>
      </c>
      <c r="B2559" s="106" t="inlineStr">
        <is>
          <t>Custo Fixo</t>
        </is>
      </c>
      <c r="C2559" s="106" t="inlineStr">
        <is>
          <t>Energia elétrica (rateio)</t>
        </is>
      </c>
      <c r="D2559" s="107" t="n"/>
      <c r="E2559" s="108" t="n"/>
      <c r="F2559" s="109">
        <f>IFERROR(D2559*E2559,0)</f>
        <v/>
      </c>
      <c r="G2559" s="106">
        <f>INDEX(SETORES!$B:$B,MATCH(A2559,SETORES!$A:$A,0))</f>
        <v/>
      </c>
      <c r="H2559" s="106" t="inlineStr">
        <is>
          <t>Setembro/2026</t>
        </is>
      </c>
    </row>
    <row r="2560">
      <c r="A2560" s="106" t="inlineStr">
        <is>
          <t>Engenharia</t>
        </is>
      </c>
      <c r="B2560" s="106" t="inlineStr">
        <is>
          <t>Custo Fixo</t>
        </is>
      </c>
      <c r="C2560" s="106" t="inlineStr">
        <is>
          <t>Água e esgoto (rateio)</t>
        </is>
      </c>
      <c r="D2560" s="107" t="n"/>
      <c r="E2560" s="108" t="n"/>
      <c r="F2560" s="109">
        <f>IFERROR(D2560*E2560,0)</f>
        <v/>
      </c>
      <c r="G2560" s="106">
        <f>INDEX(SETORES!$B:$B,MATCH(A2560,SETORES!$A:$A,0))</f>
        <v/>
      </c>
      <c r="H2560" s="106" t="inlineStr">
        <is>
          <t>Setembro/2026</t>
        </is>
      </c>
    </row>
    <row r="2561">
      <c r="A2561" s="106" t="inlineStr">
        <is>
          <t>Engenharia</t>
        </is>
      </c>
      <c r="B2561" s="106" t="inlineStr">
        <is>
          <t>Custo Fixo</t>
        </is>
      </c>
      <c r="C2561" s="106" t="inlineStr">
        <is>
          <t>Telefonia móvel corporativa</t>
        </is>
      </c>
      <c r="D2561" s="107" t="n"/>
      <c r="E2561" s="108" t="n"/>
      <c r="F2561" s="109">
        <f>IFERROR(D2561*E2561,0)</f>
        <v/>
      </c>
      <c r="G2561" s="106">
        <f>INDEX(SETORES!$B:$B,MATCH(A2561,SETORES!$A:$A,0))</f>
        <v/>
      </c>
      <c r="H2561" s="106" t="inlineStr">
        <is>
          <t>Setembro/2026</t>
        </is>
      </c>
    </row>
    <row r="2562">
      <c r="A2562" s="106" t="inlineStr">
        <is>
          <t>Engenharia</t>
        </is>
      </c>
      <c r="B2562" s="106" t="inlineStr">
        <is>
          <t>Custo Fixo</t>
        </is>
      </c>
      <c r="C2562" s="106" t="inlineStr">
        <is>
          <t>Folha de pagamento (salários)</t>
        </is>
      </c>
      <c r="D2562" s="107" t="n">
        <v>1</v>
      </c>
      <c r="E2562" s="108" t="n">
        <v>64244.34</v>
      </c>
      <c r="F2562" s="109">
        <f>IFERROR(D2562*E2562,0)</f>
        <v/>
      </c>
      <c r="G2562" s="106">
        <f>INDEX(SETORES!$B:$B,MATCH(A2562,SETORES!$A:$A,0))</f>
        <v/>
      </c>
      <c r="H2562" s="106" t="inlineStr">
        <is>
          <t>Setembro/2026</t>
        </is>
      </c>
    </row>
    <row r="2563">
      <c r="A2563" s="106" t="inlineStr">
        <is>
          <t>Engenharia</t>
        </is>
      </c>
      <c r="B2563" s="106" t="inlineStr">
        <is>
          <t>Custo Variável</t>
        </is>
      </c>
      <c r="C2563" s="106" t="inlineStr">
        <is>
          <t>Fardamento novo</t>
        </is>
      </c>
      <c r="D2563" s="107" t="n">
        <v>1</v>
      </c>
      <c r="E2563" s="108" t="n">
        <v>90</v>
      </c>
      <c r="F2563" s="109">
        <f>IFERROR(D2563*E2563,0)</f>
        <v/>
      </c>
      <c r="G2563" s="106">
        <f>INDEX(SETORES!$B:$B,MATCH(A2563,SETORES!$A:$A,0))</f>
        <v/>
      </c>
      <c r="H2563" s="106" t="inlineStr">
        <is>
          <t>Setembro/2026</t>
        </is>
      </c>
    </row>
    <row r="2564">
      <c r="A2564" s="106" t="inlineStr">
        <is>
          <t>Engenharia</t>
        </is>
      </c>
      <c r="B2564" s="106" t="inlineStr">
        <is>
          <t>Custo Variável</t>
        </is>
      </c>
      <c r="C2564" s="106" t="inlineStr">
        <is>
          <t>Fardamento substituição</t>
        </is>
      </c>
      <c r="D2564" s="107" t="n"/>
      <c r="E2564" s="108" t="n"/>
      <c r="F2564" s="109">
        <f>IFERROR(D2564*E2564,0)</f>
        <v/>
      </c>
      <c r="G2564" s="106">
        <f>INDEX(SETORES!$B:$B,MATCH(A2564,SETORES!$A:$A,0))</f>
        <v/>
      </c>
      <c r="H2564" s="106" t="inlineStr">
        <is>
          <t>Setembro/2026</t>
        </is>
      </c>
    </row>
    <row r="2565">
      <c r="A2565" s="106" t="inlineStr">
        <is>
          <t>Engenharia</t>
        </is>
      </c>
      <c r="B2565" s="106" t="inlineStr">
        <is>
          <t>Custo Variável</t>
        </is>
      </c>
      <c r="C2565" s="106" t="inlineStr">
        <is>
          <t>Rateio de transporte coletivo</t>
        </is>
      </c>
      <c r="D2565" s="107" t="n"/>
      <c r="E2565" s="108" t="n"/>
      <c r="F2565" s="109">
        <f>IFERROR(D2565*E2565,0)</f>
        <v/>
      </c>
      <c r="G2565" s="106">
        <f>INDEX(SETORES!$B:$B,MATCH(A2565,SETORES!$A:$A,0))</f>
        <v/>
      </c>
      <c r="H2565" s="106" t="inlineStr">
        <is>
          <t>Setembro/2026</t>
        </is>
      </c>
    </row>
    <row r="2566">
      <c r="A2566" s="106" t="inlineStr">
        <is>
          <t>Engenharia</t>
        </is>
      </c>
      <c r="B2566" s="106" t="inlineStr">
        <is>
          <t>Custo Variável</t>
        </is>
      </c>
      <c r="C2566" s="106" t="inlineStr">
        <is>
          <t>Rescisões trabalhistas</t>
        </is>
      </c>
      <c r="D2566" s="107" t="n"/>
      <c r="E2566" s="108" t="n"/>
      <c r="F2566" s="109">
        <f>IFERROR(D2566*E2566,0)</f>
        <v/>
      </c>
      <c r="G2566" s="106">
        <f>INDEX(SETORES!$B:$B,MATCH(A2566,SETORES!$A:$A,0))</f>
        <v/>
      </c>
      <c r="H2566" s="106" t="inlineStr">
        <is>
          <t>Setembro/2026</t>
        </is>
      </c>
    </row>
    <row r="2567">
      <c r="A2567" s="106" t="inlineStr">
        <is>
          <t>Engenharia</t>
        </is>
      </c>
      <c r="B2567" s="106" t="inlineStr">
        <is>
          <t>Custo Fixo</t>
        </is>
      </c>
      <c r="C2567" s="106" t="inlineStr">
        <is>
          <t>Licença de e-mail corporativo</t>
        </is>
      </c>
      <c r="D2567" s="107" t="n">
        <v>9</v>
      </c>
      <c r="E2567" s="108" t="n">
        <v>50</v>
      </c>
      <c r="F2567" s="109">
        <f>IFERROR(D2567*E2567,0)</f>
        <v/>
      </c>
      <c r="G2567" s="106">
        <f>INDEX(SETORES!$B:$B,MATCH(A2567,SETORES!$A:$A,0))</f>
        <v/>
      </c>
      <c r="H2567" s="106" t="inlineStr">
        <is>
          <t>Setembro/2026</t>
        </is>
      </c>
    </row>
    <row r="2568">
      <c r="A2568" s="106" t="inlineStr">
        <is>
          <t>Engenharia</t>
        </is>
      </c>
      <c r="B2568" s="106" t="inlineStr">
        <is>
          <t>Custo Variável</t>
        </is>
      </c>
      <c r="C2568" s="106" t="inlineStr">
        <is>
          <t>Combustível de frota</t>
        </is>
      </c>
      <c r="D2568" s="107" t="n">
        <v>1</v>
      </c>
      <c r="E2568" s="108" t="n">
        <v>4864.24</v>
      </c>
      <c r="F2568" s="109">
        <f>IFERROR(D2568*E2568,0)</f>
        <v/>
      </c>
      <c r="G2568" s="106">
        <f>INDEX(SETORES!$B:$B,MATCH(A2568,SETORES!$A:$A,0))</f>
        <v/>
      </c>
      <c r="H2568" s="106" t="inlineStr">
        <is>
          <t>Setembro/2026</t>
        </is>
      </c>
    </row>
    <row r="2569">
      <c r="A2569" s="106" t="inlineStr">
        <is>
          <t>Engenharia</t>
        </is>
      </c>
      <c r="B2569" s="106" t="inlineStr">
        <is>
          <t>Custo Fixo</t>
        </is>
      </c>
      <c r="C2569" s="106" t="inlineStr">
        <is>
          <t>Impressora</t>
        </is>
      </c>
      <c r="D2569" s="107" t="n"/>
      <c r="E2569" s="108" t="n"/>
      <c r="F2569" s="109">
        <f>IFERROR(D2569*E2569,0)</f>
        <v/>
      </c>
      <c r="G2569" s="106">
        <f>INDEX(SETORES!$B:$B,MATCH(A2569,SETORES!$A:$A,0))</f>
        <v/>
      </c>
      <c r="H2569" s="106" t="inlineStr">
        <is>
          <t>Setembro/2026</t>
        </is>
      </c>
    </row>
    <row r="2570">
      <c r="A2570" s="106" t="inlineStr">
        <is>
          <t>Engenharia</t>
        </is>
      </c>
      <c r="B2570" s="106" t="inlineStr">
        <is>
          <t>Custo Fixo</t>
        </is>
      </c>
      <c r="C2570" s="106" t="inlineStr">
        <is>
          <t>Gympass</t>
        </is>
      </c>
      <c r="D2570" s="107" t="n"/>
      <c r="E2570" s="108" t="n"/>
      <c r="F2570" s="109">
        <f>IFERROR(D2570*E2570,0)</f>
        <v/>
      </c>
      <c r="G2570" s="106">
        <f>INDEX(SETORES!$B:$B,MATCH(A2570,SETORES!$A:$A,0))</f>
        <v/>
      </c>
      <c r="H2570" s="106" t="inlineStr">
        <is>
          <t>Setembro/2026</t>
        </is>
      </c>
    </row>
    <row r="2571">
      <c r="A2571" s="106" t="inlineStr">
        <is>
          <t>Engenharia</t>
        </is>
      </c>
      <c r="B2571" s="106" t="inlineStr">
        <is>
          <t>Custo Fixo</t>
        </is>
      </c>
      <c r="C2571" s="106" t="inlineStr">
        <is>
          <t>Stargrid</t>
        </is>
      </c>
      <c r="D2571" s="107" t="n">
        <v>9</v>
      </c>
      <c r="E2571" s="108" t="n">
        <v>1.87</v>
      </c>
      <c r="F2571" s="109">
        <f>IFERROR(D2571*E2571,0)</f>
        <v/>
      </c>
      <c r="G2571" s="106">
        <f>INDEX(SETORES!$B:$B,MATCH(A2571,SETORES!$A:$A,0))</f>
        <v/>
      </c>
      <c r="H2571" s="106" t="inlineStr">
        <is>
          <t>Setembro/2026</t>
        </is>
      </c>
    </row>
    <row r="2572">
      <c r="A2572" s="106" t="inlineStr">
        <is>
          <t>Estoque</t>
        </is>
      </c>
      <c r="B2572" s="106" t="inlineStr">
        <is>
          <t>Custo Fixo</t>
        </is>
      </c>
      <c r="C2572" s="106" t="inlineStr">
        <is>
          <t>Material de escritório (suprimentos de informática)</t>
        </is>
      </c>
      <c r="D2572" s="107" t="n"/>
      <c r="E2572" s="108" t="n"/>
      <c r="F2572" s="109">
        <f>IFERROR(D2572*E2572,0)</f>
        <v/>
      </c>
      <c r="G2572" s="106">
        <f>INDEX(SETORES!$B:$B,MATCH(A2572,SETORES!$A:$A,0))</f>
        <v/>
      </c>
      <c r="H2572" s="106" t="inlineStr">
        <is>
          <t>Setembro/2026</t>
        </is>
      </c>
    </row>
    <row r="2573">
      <c r="A2573" s="106" t="inlineStr">
        <is>
          <t>Estoque</t>
        </is>
      </c>
      <c r="B2573" s="106" t="inlineStr">
        <is>
          <t>Custo Fixo</t>
        </is>
      </c>
      <c r="C2573" s="106" t="inlineStr">
        <is>
          <t>Material de uso coletivo (copa/limpeza)</t>
        </is>
      </c>
      <c r="D2573" s="107" t="n">
        <v>1</v>
      </c>
      <c r="E2573" s="108" t="n">
        <v>828.61</v>
      </c>
      <c r="F2573" s="109">
        <f>IFERROR(D2573*E2573,0)</f>
        <v/>
      </c>
      <c r="G2573" s="106">
        <f>INDEX(SETORES!$B:$B,MATCH(A2573,SETORES!$A:$A,0))</f>
        <v/>
      </c>
      <c r="H2573" s="106" t="inlineStr">
        <is>
          <t>Setembro/2026</t>
        </is>
      </c>
    </row>
    <row r="2574">
      <c r="A2574" s="106" t="inlineStr">
        <is>
          <t>Estoque</t>
        </is>
      </c>
      <c r="B2574" s="106" t="inlineStr">
        <is>
          <t>Custo Fixo</t>
        </is>
      </c>
      <c r="C2574" s="106" t="inlineStr">
        <is>
          <t>Energia elétrica (rateio)</t>
        </is>
      </c>
      <c r="D2574" s="107" t="n"/>
      <c r="E2574" s="108" t="n"/>
      <c r="F2574" s="109">
        <f>IFERROR(D2574*E2574,0)</f>
        <v/>
      </c>
      <c r="G2574" s="106">
        <f>INDEX(SETORES!$B:$B,MATCH(A2574,SETORES!$A:$A,0))</f>
        <v/>
      </c>
      <c r="H2574" s="106" t="inlineStr">
        <is>
          <t>Setembro/2026</t>
        </is>
      </c>
    </row>
    <row r="2575">
      <c r="A2575" s="106" t="inlineStr">
        <is>
          <t>Estoque</t>
        </is>
      </c>
      <c r="B2575" s="106" t="inlineStr">
        <is>
          <t>Custo Fixo</t>
        </is>
      </c>
      <c r="C2575" s="106" t="inlineStr">
        <is>
          <t>Água e esgoto (rateio)</t>
        </is>
      </c>
      <c r="D2575" s="107" t="n"/>
      <c r="E2575" s="108" t="n"/>
      <c r="F2575" s="109">
        <f>IFERROR(D2575*E2575,0)</f>
        <v/>
      </c>
      <c r="G2575" s="106">
        <f>INDEX(SETORES!$B:$B,MATCH(A2575,SETORES!$A:$A,0))</f>
        <v/>
      </c>
      <c r="H2575" s="106" t="inlineStr">
        <is>
          <t>Setembro/2026</t>
        </is>
      </c>
    </row>
    <row r="2576">
      <c r="A2576" s="106" t="inlineStr">
        <is>
          <t>Estoque</t>
        </is>
      </c>
      <c r="B2576" s="106" t="inlineStr">
        <is>
          <t>Custo Fixo</t>
        </is>
      </c>
      <c r="C2576" s="106" t="inlineStr">
        <is>
          <t>Telefonia móvel corporativa</t>
        </is>
      </c>
      <c r="D2576" s="107" t="n"/>
      <c r="E2576" s="108" t="n"/>
      <c r="F2576" s="109">
        <f>IFERROR(D2576*E2576,0)</f>
        <v/>
      </c>
      <c r="G2576" s="106">
        <f>INDEX(SETORES!$B:$B,MATCH(A2576,SETORES!$A:$A,0))</f>
        <v/>
      </c>
      <c r="H2576" s="106" t="inlineStr">
        <is>
          <t>Setembro/2026</t>
        </is>
      </c>
    </row>
    <row r="2577">
      <c r="A2577" s="106" t="inlineStr">
        <is>
          <t>Estoque</t>
        </is>
      </c>
      <c r="B2577" s="106" t="inlineStr">
        <is>
          <t>Custo Fixo</t>
        </is>
      </c>
      <c r="C2577" s="106" t="inlineStr">
        <is>
          <t>Folha de pagamento (salários)</t>
        </is>
      </c>
      <c r="D2577" s="107" t="n">
        <v>1</v>
      </c>
      <c r="E2577" s="108" t="n">
        <v>96388.89999999999</v>
      </c>
      <c r="F2577" s="109">
        <f>IFERROR(D2577*E2577,0)</f>
        <v/>
      </c>
      <c r="G2577" s="106">
        <f>INDEX(SETORES!$B:$B,MATCH(A2577,SETORES!$A:$A,0))</f>
        <v/>
      </c>
      <c r="H2577" s="106" t="inlineStr">
        <is>
          <t>Setembro/2026</t>
        </is>
      </c>
    </row>
    <row r="2578">
      <c r="A2578" s="106" t="inlineStr">
        <is>
          <t>Estoque</t>
        </is>
      </c>
      <c r="B2578" s="106" t="inlineStr">
        <is>
          <t>Custo Variável</t>
        </is>
      </c>
      <c r="C2578" s="106" t="inlineStr">
        <is>
          <t>Fardamento novo</t>
        </is>
      </c>
      <c r="D2578" s="107" t="n"/>
      <c r="E2578" s="108" t="n"/>
      <c r="F2578" s="109">
        <f>IFERROR(D2578*E2578,0)</f>
        <v/>
      </c>
      <c r="G2578" s="106">
        <f>INDEX(SETORES!$B:$B,MATCH(A2578,SETORES!$A:$A,0))</f>
        <v/>
      </c>
      <c r="H2578" s="106" t="inlineStr">
        <is>
          <t>Setembro/2026</t>
        </is>
      </c>
    </row>
    <row r="2579">
      <c r="A2579" s="106" t="inlineStr">
        <is>
          <t>Estoque</t>
        </is>
      </c>
      <c r="B2579" s="106" t="inlineStr">
        <is>
          <t>Custo Variável</t>
        </is>
      </c>
      <c r="C2579" s="106" t="inlineStr">
        <is>
          <t>Fardamento substituição</t>
        </is>
      </c>
      <c r="D2579" s="107" t="n"/>
      <c r="E2579" s="108" t="n"/>
      <c r="F2579" s="109">
        <f>IFERROR(D2579*E2579,0)</f>
        <v/>
      </c>
      <c r="G2579" s="106">
        <f>INDEX(SETORES!$B:$B,MATCH(A2579,SETORES!$A:$A,0))</f>
        <v/>
      </c>
      <c r="H2579" s="106" t="inlineStr">
        <is>
          <t>Setembro/2026</t>
        </is>
      </c>
    </row>
    <row r="2580">
      <c r="A2580" s="106" t="inlineStr">
        <is>
          <t>Estoque</t>
        </is>
      </c>
      <c r="B2580" s="106" t="inlineStr">
        <is>
          <t>Custo Variável</t>
        </is>
      </c>
      <c r="C2580" s="106" t="inlineStr">
        <is>
          <t>Rateio de transporte coletivo</t>
        </is>
      </c>
      <c r="D2580" s="107" t="n"/>
      <c r="E2580" s="108" t="n"/>
      <c r="F2580" s="109">
        <f>IFERROR(D2580*E2580,0)</f>
        <v/>
      </c>
      <c r="G2580" s="106">
        <f>INDEX(SETORES!$B:$B,MATCH(A2580,SETORES!$A:$A,0))</f>
        <v/>
      </c>
      <c r="H2580" s="106" t="inlineStr">
        <is>
          <t>Setembro/2026</t>
        </is>
      </c>
    </row>
    <row r="2581">
      <c r="A2581" s="106" t="inlineStr">
        <is>
          <t>Estoque</t>
        </is>
      </c>
      <c r="B2581" s="106" t="inlineStr">
        <is>
          <t>Custo Variável</t>
        </is>
      </c>
      <c r="C2581" s="106" t="inlineStr">
        <is>
          <t>Rescisões trabalhistas</t>
        </is>
      </c>
      <c r="D2581" s="107" t="n"/>
      <c r="E2581" s="108" t="n"/>
      <c r="F2581" s="109">
        <f>IFERROR(D2581*E2581,0)</f>
        <v/>
      </c>
      <c r="G2581" s="106">
        <f>INDEX(SETORES!$B:$B,MATCH(A2581,SETORES!$A:$A,0))</f>
        <v/>
      </c>
      <c r="H2581" s="106" t="inlineStr">
        <is>
          <t>Setembro/2026</t>
        </is>
      </c>
    </row>
    <row r="2582">
      <c r="A2582" s="106" t="inlineStr">
        <is>
          <t>Estoque</t>
        </is>
      </c>
      <c r="B2582" s="106" t="inlineStr">
        <is>
          <t>Custo Variável</t>
        </is>
      </c>
      <c r="C2582" s="106" t="inlineStr">
        <is>
          <t>Exames médicos</t>
        </is>
      </c>
      <c r="D2582" s="107" t="n"/>
      <c r="E2582" s="108" t="n"/>
      <c r="F2582" s="109">
        <f>IFERROR(D2582*E2582,0)</f>
        <v/>
      </c>
      <c r="G2582" s="106">
        <f>INDEX(SETORES!$B:$B,MATCH(A2582,SETORES!$A:$A,0))</f>
        <v/>
      </c>
      <c r="H2582" s="106" t="inlineStr">
        <is>
          <t>Setembro/2026</t>
        </is>
      </c>
    </row>
    <row r="2583">
      <c r="A2583" s="106" t="inlineStr">
        <is>
          <t>Estoque</t>
        </is>
      </c>
      <c r="B2583" s="106" t="inlineStr">
        <is>
          <t>Custo Fixo</t>
        </is>
      </c>
      <c r="C2583" s="106" t="inlineStr">
        <is>
          <t>Licença de e-mail corporativo</t>
        </is>
      </c>
      <c r="D2583" s="107" t="n">
        <v>16</v>
      </c>
      <c r="E2583" s="108" t="n">
        <v>50</v>
      </c>
      <c r="F2583" s="109">
        <f>IFERROR(D2583*E2583,0)</f>
        <v/>
      </c>
      <c r="G2583" s="106">
        <f>INDEX(SETORES!$B:$B,MATCH(A2583,SETORES!$A:$A,0))</f>
        <v/>
      </c>
      <c r="H2583" s="106" t="inlineStr">
        <is>
          <t>Setembro/2026</t>
        </is>
      </c>
    </row>
    <row r="2584">
      <c r="A2584" s="106" t="inlineStr">
        <is>
          <t>Estoque</t>
        </is>
      </c>
      <c r="B2584" s="106" t="inlineStr">
        <is>
          <t>Custo Fixo</t>
        </is>
      </c>
      <c r="C2584" s="106" t="inlineStr">
        <is>
          <t>Impressora</t>
        </is>
      </c>
      <c r="D2584" s="107" t="n"/>
      <c r="E2584" s="108" t="n"/>
      <c r="F2584" s="109">
        <f>IFERROR(D2584*E2584,0)</f>
        <v/>
      </c>
      <c r="G2584" s="106">
        <f>INDEX(SETORES!$B:$B,MATCH(A2584,SETORES!$A:$A,0))</f>
        <v/>
      </c>
      <c r="H2584" s="106" t="inlineStr">
        <is>
          <t>Setembro/2026</t>
        </is>
      </c>
    </row>
    <row r="2585">
      <c r="A2585" s="106" t="inlineStr">
        <is>
          <t>Estoque</t>
        </is>
      </c>
      <c r="B2585" s="106" t="inlineStr">
        <is>
          <t>Custo Fixo</t>
        </is>
      </c>
      <c r="C2585" s="106" t="inlineStr">
        <is>
          <t>Gympass</t>
        </is>
      </c>
      <c r="D2585" s="107" t="n"/>
      <c r="E2585" s="108" t="n"/>
      <c r="F2585" s="109">
        <f>IFERROR(D2585*E2585,0)</f>
        <v/>
      </c>
      <c r="G2585" s="106">
        <f>INDEX(SETORES!$B:$B,MATCH(A2585,SETORES!$A:$A,0))</f>
        <v/>
      </c>
      <c r="H2585" s="106" t="inlineStr">
        <is>
          <t>Setembro/2026</t>
        </is>
      </c>
    </row>
    <row r="2586">
      <c r="A2586" s="106" t="inlineStr">
        <is>
          <t>Estoque</t>
        </is>
      </c>
      <c r="B2586" s="106" t="inlineStr">
        <is>
          <t>Custo Fixo</t>
        </is>
      </c>
      <c r="C2586" s="106" t="inlineStr">
        <is>
          <t>Stargrid</t>
        </is>
      </c>
      <c r="D2586" s="107" t="n">
        <v>16</v>
      </c>
      <c r="E2586" s="108" t="n">
        <v>1.87</v>
      </c>
      <c r="F2586" s="109">
        <f>IFERROR(D2586*E2586,0)</f>
        <v/>
      </c>
      <c r="G2586" s="106">
        <f>INDEX(SETORES!$B:$B,MATCH(A2586,SETORES!$A:$A,0))</f>
        <v/>
      </c>
      <c r="H2586" s="106" t="inlineStr">
        <is>
          <t>Setembro/2026</t>
        </is>
      </c>
    </row>
    <row r="2587">
      <c r="A2587" s="106" t="inlineStr">
        <is>
          <t>Financeiro</t>
        </is>
      </c>
      <c r="B2587" s="106" t="inlineStr">
        <is>
          <t>Custo Fixo</t>
        </is>
      </c>
      <c r="C2587" s="106" t="inlineStr">
        <is>
          <t>Material de escritório (suprimentos de informática)</t>
        </is>
      </c>
      <c r="D2587" s="107" t="n">
        <v>1</v>
      </c>
      <c r="E2587" s="108" t="n">
        <v>4.82</v>
      </c>
      <c r="F2587" s="109">
        <f>IFERROR(D2587*E2587,0)</f>
        <v/>
      </c>
      <c r="G2587" s="106">
        <f>INDEX(SETORES!$B:$B,MATCH(A2587,SETORES!$A:$A,0))</f>
        <v/>
      </c>
      <c r="H2587" s="106" t="inlineStr">
        <is>
          <t>Setembro/2026</t>
        </is>
      </c>
    </row>
    <row r="2588">
      <c r="A2588" s="106" t="inlineStr">
        <is>
          <t>Financeiro</t>
        </is>
      </c>
      <c r="B2588" s="106" t="inlineStr">
        <is>
          <t>Custo Fixo</t>
        </is>
      </c>
      <c r="C2588" s="106" t="inlineStr">
        <is>
          <t>Material de uso coletivo (copa/limpeza)</t>
        </is>
      </c>
      <c r="D2588" s="107" t="n">
        <v>1</v>
      </c>
      <c r="E2588" s="108" t="n">
        <v>438.85</v>
      </c>
      <c r="F2588" s="109">
        <f>IFERROR(D2588*E2588,0)</f>
        <v/>
      </c>
      <c r="G2588" s="106">
        <f>INDEX(SETORES!$B:$B,MATCH(A2588,SETORES!$A:$A,0))</f>
        <v/>
      </c>
      <c r="H2588" s="106" t="inlineStr">
        <is>
          <t>Setembro/2026</t>
        </is>
      </c>
    </row>
    <row r="2589">
      <c r="A2589" s="106" t="inlineStr">
        <is>
          <t>Financeiro</t>
        </is>
      </c>
      <c r="B2589" s="106" t="inlineStr">
        <is>
          <t>Custo Fixo</t>
        </is>
      </c>
      <c r="C2589" s="106" t="inlineStr">
        <is>
          <t>Energia elétrica (rateio)</t>
        </is>
      </c>
      <c r="D2589" s="107" t="n"/>
      <c r="E2589" s="108" t="n"/>
      <c r="F2589" s="109">
        <f>IFERROR(D2589*E2589,0)</f>
        <v/>
      </c>
      <c r="G2589" s="106">
        <f>INDEX(SETORES!$B:$B,MATCH(A2589,SETORES!$A:$A,0))</f>
        <v/>
      </c>
      <c r="H2589" s="106" t="inlineStr">
        <is>
          <t>Setembro/2026</t>
        </is>
      </c>
    </row>
    <row r="2590">
      <c r="A2590" s="106" t="inlineStr">
        <is>
          <t>Financeiro</t>
        </is>
      </c>
      <c r="B2590" s="106" t="inlineStr">
        <is>
          <t>Custo Fixo</t>
        </is>
      </c>
      <c r="C2590" s="106" t="inlineStr">
        <is>
          <t>Água e esgoto (rateio)</t>
        </is>
      </c>
      <c r="D2590" s="107" t="n"/>
      <c r="E2590" s="108" t="n"/>
      <c r="F2590" s="109">
        <f>IFERROR(D2590*E2590,0)</f>
        <v/>
      </c>
      <c r="G2590" s="106">
        <f>INDEX(SETORES!$B:$B,MATCH(A2590,SETORES!$A:$A,0))</f>
        <v/>
      </c>
      <c r="H2590" s="106" t="inlineStr">
        <is>
          <t>Setembro/2026</t>
        </is>
      </c>
    </row>
    <row r="2591">
      <c r="A2591" s="106" t="inlineStr">
        <is>
          <t>Financeiro</t>
        </is>
      </c>
      <c r="B2591" s="106" t="inlineStr">
        <is>
          <t>Custo Fixo</t>
        </is>
      </c>
      <c r="C2591" s="106" t="inlineStr">
        <is>
          <t>Telefonia móvel corporativa</t>
        </is>
      </c>
      <c r="D2591" s="107" t="n"/>
      <c r="E2591" s="108" t="n"/>
      <c r="F2591" s="109">
        <f>IFERROR(D2591*E2591,0)</f>
        <v/>
      </c>
      <c r="G2591" s="106">
        <f>INDEX(SETORES!$B:$B,MATCH(A2591,SETORES!$A:$A,0))</f>
        <v/>
      </c>
      <c r="H2591" s="106" t="inlineStr">
        <is>
          <t>Setembro/2026</t>
        </is>
      </c>
    </row>
    <row r="2592">
      <c r="A2592" s="106" t="inlineStr">
        <is>
          <t>Financeiro</t>
        </is>
      </c>
      <c r="B2592" s="106" t="inlineStr">
        <is>
          <t>Custo Fixo</t>
        </is>
      </c>
      <c r="C2592" s="106" t="inlineStr">
        <is>
          <t>Folha de pagamento (salários)</t>
        </is>
      </c>
      <c r="D2592" s="107" t="n">
        <v>1</v>
      </c>
      <c r="E2592" s="108" t="n">
        <v>33181.94</v>
      </c>
      <c r="F2592" s="109">
        <f>IFERROR(D2592*E2592,0)</f>
        <v/>
      </c>
      <c r="G2592" s="106">
        <f>INDEX(SETORES!$B:$B,MATCH(A2592,SETORES!$A:$A,0))</f>
        <v/>
      </c>
      <c r="H2592" s="106" t="inlineStr">
        <is>
          <t>Setembro/2026</t>
        </is>
      </c>
    </row>
    <row r="2593">
      <c r="A2593" s="106" t="inlineStr">
        <is>
          <t>Financeiro</t>
        </is>
      </c>
      <c r="B2593" s="106" t="inlineStr">
        <is>
          <t>Custo Fixo</t>
        </is>
      </c>
      <c r="C2593" s="106" t="inlineStr">
        <is>
          <t>Licenças de software/sistemas corporativos (Financeiro)</t>
        </is>
      </c>
      <c r="D2593" s="107" t="n"/>
      <c r="E2593" s="108" t="n"/>
      <c r="F2593" s="109">
        <f>IFERROR(D2593*E2593,0)</f>
        <v/>
      </c>
      <c r="G2593" s="106">
        <f>INDEX(SETORES!$B:$B,MATCH(A2593,SETORES!$A:$A,0))</f>
        <v/>
      </c>
      <c r="H2593" s="106" t="inlineStr">
        <is>
          <t>Setembro/2026</t>
        </is>
      </c>
    </row>
    <row r="2594">
      <c r="A2594" s="106" t="inlineStr">
        <is>
          <t>Financeiro</t>
        </is>
      </c>
      <c r="B2594" s="106" t="inlineStr">
        <is>
          <t>Custo Variável</t>
        </is>
      </c>
      <c r="C2594" s="106" t="inlineStr">
        <is>
          <t>Fardamento novo</t>
        </is>
      </c>
      <c r="D2594" s="107" t="n"/>
      <c r="E2594" s="108" t="n"/>
      <c r="F2594" s="109">
        <f>IFERROR(D2594*E2594,0)</f>
        <v/>
      </c>
      <c r="G2594" s="106">
        <f>INDEX(SETORES!$B:$B,MATCH(A2594,SETORES!$A:$A,0))</f>
        <v/>
      </c>
      <c r="H2594" s="106" t="inlineStr">
        <is>
          <t>Setembro/2026</t>
        </is>
      </c>
    </row>
    <row r="2595">
      <c r="A2595" s="106" t="inlineStr">
        <is>
          <t>Financeiro</t>
        </is>
      </c>
      <c r="B2595" s="106" t="inlineStr">
        <is>
          <t>Custo Variável</t>
        </is>
      </c>
      <c r="C2595" s="106" t="inlineStr">
        <is>
          <t>Fardamento substituição</t>
        </is>
      </c>
      <c r="D2595" s="107" t="n"/>
      <c r="E2595" s="108" t="n"/>
      <c r="F2595" s="109">
        <f>IFERROR(D2595*E2595,0)</f>
        <v/>
      </c>
      <c r="G2595" s="106">
        <f>INDEX(SETORES!$B:$B,MATCH(A2595,SETORES!$A:$A,0))</f>
        <v/>
      </c>
      <c r="H2595" s="106" t="inlineStr">
        <is>
          <t>Setembro/2026</t>
        </is>
      </c>
    </row>
    <row r="2596">
      <c r="A2596" s="106" t="inlineStr">
        <is>
          <t>Financeiro</t>
        </is>
      </c>
      <c r="B2596" s="106" t="inlineStr">
        <is>
          <t>Custo Fixo</t>
        </is>
      </c>
      <c r="C2596" s="106" t="inlineStr">
        <is>
          <t>Licença de e-mail corporativo</t>
        </is>
      </c>
      <c r="D2596" s="107" t="n">
        <v>8</v>
      </c>
      <c r="E2596" s="108" t="n">
        <v>50</v>
      </c>
      <c r="F2596" s="109">
        <f>IFERROR(D2596*E2596,0)</f>
        <v/>
      </c>
      <c r="G2596" s="106">
        <f>INDEX(SETORES!$B:$B,MATCH(A2596,SETORES!$A:$A,0))</f>
        <v/>
      </c>
      <c r="H2596" s="106" t="inlineStr">
        <is>
          <t>Setembro/2026</t>
        </is>
      </c>
    </row>
    <row r="2597">
      <c r="A2597" s="106" t="inlineStr">
        <is>
          <t>Financeiro</t>
        </is>
      </c>
      <c r="B2597" s="106" t="inlineStr">
        <is>
          <t>Custo Fixo</t>
        </is>
      </c>
      <c r="C2597" s="106" t="inlineStr">
        <is>
          <t>Impressora</t>
        </is>
      </c>
      <c r="D2597" s="107" t="n"/>
      <c r="E2597" s="108" t="n"/>
      <c r="F2597" s="109">
        <f>IFERROR(D2597*E2597,0)</f>
        <v/>
      </c>
      <c r="G2597" s="106">
        <f>INDEX(SETORES!$B:$B,MATCH(A2597,SETORES!$A:$A,0))</f>
        <v/>
      </c>
      <c r="H2597" s="106" t="inlineStr">
        <is>
          <t>Setembro/2026</t>
        </is>
      </c>
    </row>
    <row r="2598">
      <c r="A2598" s="106" t="inlineStr">
        <is>
          <t>Financeiro</t>
        </is>
      </c>
      <c r="B2598" s="106" t="inlineStr">
        <is>
          <t>Custo Fixo</t>
        </is>
      </c>
      <c r="C2598" s="106" t="inlineStr">
        <is>
          <t>Gympass</t>
        </is>
      </c>
      <c r="D2598" s="107" t="n"/>
      <c r="E2598" s="108" t="n"/>
      <c r="F2598" s="109">
        <f>IFERROR(D2598*E2598,0)</f>
        <v/>
      </c>
      <c r="G2598" s="106">
        <f>INDEX(SETORES!$B:$B,MATCH(A2598,SETORES!$A:$A,0))</f>
        <v/>
      </c>
      <c r="H2598" s="106" t="inlineStr">
        <is>
          <t>Setembro/2026</t>
        </is>
      </c>
    </row>
    <row r="2599">
      <c r="A2599" s="106" t="inlineStr">
        <is>
          <t>Financeiro</t>
        </is>
      </c>
      <c r="B2599" s="106" t="inlineStr">
        <is>
          <t>Custo Fixo</t>
        </is>
      </c>
      <c r="C2599" s="106" t="inlineStr">
        <is>
          <t>Stargrid</t>
        </is>
      </c>
      <c r="D2599" s="107" t="n">
        <v>8</v>
      </c>
      <c r="E2599" s="108" t="n">
        <v>1.87</v>
      </c>
      <c r="F2599" s="109">
        <f>IFERROR(D2599*E2599,0)</f>
        <v/>
      </c>
      <c r="G2599" s="106">
        <f>INDEX(SETORES!$B:$B,MATCH(A2599,SETORES!$A:$A,0))</f>
        <v/>
      </c>
      <c r="H2599" s="106" t="inlineStr">
        <is>
          <t>Setembro/2026</t>
        </is>
      </c>
    </row>
    <row r="2600">
      <c r="A2600" s="106" t="inlineStr">
        <is>
          <t>Logística</t>
        </is>
      </c>
      <c r="B2600" s="106" t="inlineStr">
        <is>
          <t>Custo Fixo</t>
        </is>
      </c>
      <c r="C2600" s="106" t="inlineStr">
        <is>
          <t>Material de escritório (suprimentos de informática)</t>
        </is>
      </c>
      <c r="D2600" s="107" t="n">
        <v>1</v>
      </c>
      <c r="E2600" s="108" t="n">
        <v>89.59</v>
      </c>
      <c r="F2600" s="109">
        <f>IFERROR(D2600*E2600,0)</f>
        <v/>
      </c>
      <c r="G2600" s="106">
        <f>INDEX(SETORES!$B:$B,MATCH(A2600,SETORES!$A:$A,0))</f>
        <v/>
      </c>
      <c r="H2600" s="106" t="inlineStr">
        <is>
          <t>Setembro/2026</t>
        </is>
      </c>
    </row>
    <row r="2601">
      <c r="A2601" s="106" t="inlineStr">
        <is>
          <t>Logística</t>
        </is>
      </c>
      <c r="B2601" s="106" t="inlineStr">
        <is>
          <t>Custo Fixo</t>
        </is>
      </c>
      <c r="C2601" s="106" t="inlineStr">
        <is>
          <t>Material de uso coletivo (copa/limpeza)</t>
        </is>
      </c>
      <c r="D2601" s="107" t="n">
        <v>1</v>
      </c>
      <c r="E2601" s="108" t="n">
        <v>830.33</v>
      </c>
      <c r="F2601" s="109">
        <f>IFERROR(D2601*E2601,0)</f>
        <v/>
      </c>
      <c r="G2601" s="106">
        <f>INDEX(SETORES!$B:$B,MATCH(A2601,SETORES!$A:$A,0))</f>
        <v/>
      </c>
      <c r="H2601" s="106" t="inlineStr">
        <is>
          <t>Setembro/2026</t>
        </is>
      </c>
    </row>
    <row r="2602">
      <c r="A2602" s="106" t="inlineStr">
        <is>
          <t>Logística</t>
        </is>
      </c>
      <c r="B2602" s="106" t="inlineStr">
        <is>
          <t>Custo Fixo</t>
        </is>
      </c>
      <c r="C2602" s="106" t="inlineStr">
        <is>
          <t>Energia elétrica (rateio)</t>
        </is>
      </c>
      <c r="D2602" s="107" t="n"/>
      <c r="E2602" s="108" t="n"/>
      <c r="F2602" s="109">
        <f>IFERROR(D2602*E2602,0)</f>
        <v/>
      </c>
      <c r="G2602" s="106">
        <f>INDEX(SETORES!$B:$B,MATCH(A2602,SETORES!$A:$A,0))</f>
        <v/>
      </c>
      <c r="H2602" s="106" t="inlineStr">
        <is>
          <t>Setembro/2026</t>
        </is>
      </c>
    </row>
    <row r="2603">
      <c r="A2603" s="106" t="inlineStr">
        <is>
          <t>Logística</t>
        </is>
      </c>
      <c r="B2603" s="106" t="inlineStr">
        <is>
          <t>Custo Fixo</t>
        </is>
      </c>
      <c r="C2603" s="106" t="inlineStr">
        <is>
          <t>Água e esgoto (rateio)</t>
        </is>
      </c>
      <c r="D2603" s="107" t="n"/>
      <c r="E2603" s="108" t="n"/>
      <c r="F2603" s="109">
        <f>IFERROR(D2603*E2603,0)</f>
        <v/>
      </c>
      <c r="G2603" s="106">
        <f>INDEX(SETORES!$B:$B,MATCH(A2603,SETORES!$A:$A,0))</f>
        <v/>
      </c>
      <c r="H2603" s="106" t="inlineStr">
        <is>
          <t>Setembro/2026</t>
        </is>
      </c>
    </row>
    <row r="2604">
      <c r="A2604" s="106" t="inlineStr">
        <is>
          <t>Logística</t>
        </is>
      </c>
      <c r="B2604" s="106" t="inlineStr">
        <is>
          <t>Custo Fixo</t>
        </is>
      </c>
      <c r="C2604" s="106" t="inlineStr">
        <is>
          <t>Telefonia móvel corporativa</t>
        </is>
      </c>
      <c r="D2604" s="107" t="n"/>
      <c r="E2604" s="108" t="n"/>
      <c r="F2604" s="109">
        <f>IFERROR(D2604*E2604,0)</f>
        <v/>
      </c>
      <c r="G2604" s="106">
        <f>INDEX(SETORES!$B:$B,MATCH(A2604,SETORES!$A:$A,0))</f>
        <v/>
      </c>
      <c r="H2604" s="106" t="inlineStr">
        <is>
          <t>Setembro/2026</t>
        </is>
      </c>
    </row>
    <row r="2605">
      <c r="A2605" s="106" t="inlineStr">
        <is>
          <t>Logística</t>
        </is>
      </c>
      <c r="B2605" s="106" t="inlineStr">
        <is>
          <t>Custo Fixo</t>
        </is>
      </c>
      <c r="C2605" s="106" t="inlineStr">
        <is>
          <t>Folha de pagamento (salários)</t>
        </is>
      </c>
      <c r="D2605" s="107" t="n">
        <v>1</v>
      </c>
      <c r="E2605" s="108" t="n">
        <v>92482.67999999999</v>
      </c>
      <c r="F2605" s="109">
        <f>IFERROR(D2605*E2605,0)</f>
        <v/>
      </c>
      <c r="G2605" s="106">
        <f>INDEX(SETORES!$B:$B,MATCH(A2605,SETORES!$A:$A,0))</f>
        <v/>
      </c>
      <c r="H2605" s="106" t="inlineStr">
        <is>
          <t>Setembro/2026</t>
        </is>
      </c>
    </row>
    <row r="2606">
      <c r="A2606" s="106" t="inlineStr">
        <is>
          <t>Logística</t>
        </is>
      </c>
      <c r="B2606" s="106" t="inlineStr">
        <is>
          <t>Custo Variável</t>
        </is>
      </c>
      <c r="C2606" s="106" t="inlineStr">
        <is>
          <t>Combustível de frota</t>
        </is>
      </c>
      <c r="D2606" s="107" t="n">
        <v>1</v>
      </c>
      <c r="E2606" s="108" t="n">
        <v>39191.62</v>
      </c>
      <c r="F2606" s="109">
        <f>IFERROR(D2606*E2606,0)</f>
        <v/>
      </c>
      <c r="G2606" s="106">
        <f>INDEX(SETORES!$B:$B,MATCH(A2606,SETORES!$A:$A,0))</f>
        <v/>
      </c>
      <c r="H2606" s="106" t="inlineStr">
        <is>
          <t>Setembro/2026</t>
        </is>
      </c>
    </row>
    <row r="2607">
      <c r="A2607" s="106" t="inlineStr">
        <is>
          <t>Logística</t>
        </is>
      </c>
      <c r="B2607" s="106" t="inlineStr">
        <is>
          <t>Custo Variável</t>
        </is>
      </c>
      <c r="C2607" s="106" t="inlineStr">
        <is>
          <t>Manutenção de veículos</t>
        </is>
      </c>
      <c r="D2607" s="107" t="n"/>
      <c r="E2607" s="108" t="n"/>
      <c r="F2607" s="109">
        <f>IFERROR(D2607*E2607,0)</f>
        <v/>
      </c>
      <c r="G2607" s="106">
        <f>INDEX(SETORES!$B:$B,MATCH(A2607,SETORES!$A:$A,0))</f>
        <v/>
      </c>
      <c r="H2607" s="106" t="inlineStr">
        <is>
          <t>Setembro/2026</t>
        </is>
      </c>
    </row>
    <row r="2608">
      <c r="A2608" s="106" t="inlineStr">
        <is>
          <t>Logística</t>
        </is>
      </c>
      <c r="B2608" s="106" t="inlineStr">
        <is>
          <t>Custo Variável</t>
        </is>
      </c>
      <c r="C2608" s="106" t="inlineStr">
        <is>
          <t>Fardamento novo</t>
        </is>
      </c>
      <c r="D2608" s="107" t="n">
        <v>1</v>
      </c>
      <c r="E2608" s="108" t="n">
        <v>90</v>
      </c>
      <c r="F2608" s="109">
        <f>IFERROR(D2608*E2608,0)</f>
        <v/>
      </c>
      <c r="G2608" s="106">
        <f>INDEX(SETORES!$B:$B,MATCH(A2608,SETORES!$A:$A,0))</f>
        <v/>
      </c>
      <c r="H2608" s="106" t="inlineStr">
        <is>
          <t>Setembro/2026</t>
        </is>
      </c>
    </row>
    <row r="2609">
      <c r="A2609" s="106" t="inlineStr">
        <is>
          <t>Logística</t>
        </is>
      </c>
      <c r="B2609" s="106" t="inlineStr">
        <is>
          <t>Custo Variável</t>
        </is>
      </c>
      <c r="C2609" s="106" t="inlineStr">
        <is>
          <t>Fardamento substituição</t>
        </is>
      </c>
      <c r="D2609" s="107" t="n"/>
      <c r="E2609" s="108" t="n"/>
      <c r="F2609" s="109">
        <f>IFERROR(D2609*E2609,0)</f>
        <v/>
      </c>
      <c r="G2609" s="106">
        <f>INDEX(SETORES!$B:$B,MATCH(A2609,SETORES!$A:$A,0))</f>
        <v/>
      </c>
      <c r="H2609" s="106" t="inlineStr">
        <is>
          <t>Setembro/2026</t>
        </is>
      </c>
    </row>
    <row r="2610">
      <c r="A2610" s="106" t="inlineStr">
        <is>
          <t>Logística</t>
        </is>
      </c>
      <c r="B2610" s="106" t="inlineStr">
        <is>
          <t>Custo Variável</t>
        </is>
      </c>
      <c r="C2610" s="106" t="inlineStr">
        <is>
          <t>EPIs - Equipamento de Proteção Individual</t>
        </is>
      </c>
      <c r="D2610" s="107" t="n"/>
      <c r="E2610" s="108" t="n"/>
      <c r="F2610" s="109">
        <f>IFERROR(D2610*E2610,0)</f>
        <v/>
      </c>
      <c r="G2610" s="106">
        <f>INDEX(SETORES!$B:$B,MATCH(A2610,SETORES!$A:$A,0))</f>
        <v/>
      </c>
      <c r="H2610" s="106" t="inlineStr">
        <is>
          <t>Setembro/2026</t>
        </is>
      </c>
    </row>
    <row r="2611">
      <c r="A2611" s="106" t="inlineStr">
        <is>
          <t>Logística</t>
        </is>
      </c>
      <c r="B2611" s="106" t="inlineStr">
        <is>
          <t>Custo Variável</t>
        </is>
      </c>
      <c r="C2611" s="106" t="inlineStr">
        <is>
          <t>Rateio de transporte coletivo</t>
        </is>
      </c>
      <c r="D2611" s="107" t="n"/>
      <c r="E2611" s="108" t="n"/>
      <c r="F2611" s="109">
        <f>IFERROR(D2611*E2611,0)</f>
        <v/>
      </c>
      <c r="G2611" s="106">
        <f>INDEX(SETORES!$B:$B,MATCH(A2611,SETORES!$A:$A,0))</f>
        <v/>
      </c>
      <c r="H2611" s="106" t="inlineStr">
        <is>
          <t>Setembro/2026</t>
        </is>
      </c>
    </row>
    <row r="2612">
      <c r="A2612" s="106" t="inlineStr">
        <is>
          <t>Logística</t>
        </is>
      </c>
      <c r="B2612" s="106" t="inlineStr">
        <is>
          <t>Custo Fixo</t>
        </is>
      </c>
      <c r="C2612" s="106" t="inlineStr">
        <is>
          <t>Licença de e-mail corporativo</t>
        </is>
      </c>
      <c r="D2612" s="107" t="n">
        <v>16</v>
      </c>
      <c r="E2612" s="108" t="n">
        <v>50</v>
      </c>
      <c r="F2612" s="109">
        <f>IFERROR(D2612*E2612,0)</f>
        <v/>
      </c>
      <c r="G2612" s="106">
        <f>INDEX(SETORES!$B:$B,MATCH(A2612,SETORES!$A:$A,0))</f>
        <v/>
      </c>
      <c r="H2612" s="106" t="inlineStr">
        <is>
          <t>Setembro/2026</t>
        </is>
      </c>
    </row>
    <row r="2613">
      <c r="A2613" s="106" t="inlineStr">
        <is>
          <t>Logística</t>
        </is>
      </c>
      <c r="B2613" s="106" t="inlineStr">
        <is>
          <t>Custo Fixo</t>
        </is>
      </c>
      <c r="C2613" s="106" t="inlineStr">
        <is>
          <t>Impressora</t>
        </is>
      </c>
      <c r="D2613" s="107" t="n"/>
      <c r="E2613" s="108" t="n"/>
      <c r="F2613" s="109">
        <f>IFERROR(D2613*E2613,0)</f>
        <v/>
      </c>
      <c r="G2613" s="106">
        <f>INDEX(SETORES!$B:$B,MATCH(A2613,SETORES!$A:$A,0))</f>
        <v/>
      </c>
      <c r="H2613" s="106" t="inlineStr">
        <is>
          <t>Setembro/2026</t>
        </is>
      </c>
    </row>
    <row r="2614">
      <c r="A2614" s="106" t="inlineStr">
        <is>
          <t>Logística</t>
        </is>
      </c>
      <c r="B2614" s="106" t="inlineStr">
        <is>
          <t>Custo Fixo</t>
        </is>
      </c>
      <c r="C2614" s="106" t="inlineStr">
        <is>
          <t>Gympass</t>
        </is>
      </c>
      <c r="D2614" s="107" t="n"/>
      <c r="E2614" s="108" t="n"/>
      <c r="F2614" s="109">
        <f>IFERROR(D2614*E2614,0)</f>
        <v/>
      </c>
      <c r="G2614" s="106">
        <f>INDEX(SETORES!$B:$B,MATCH(A2614,SETORES!$A:$A,0))</f>
        <v/>
      </c>
      <c r="H2614" s="106" t="inlineStr">
        <is>
          <t>Setembro/2026</t>
        </is>
      </c>
    </row>
    <row r="2615">
      <c r="A2615" s="106" t="inlineStr">
        <is>
          <t>Logística</t>
        </is>
      </c>
      <c r="B2615" s="106" t="inlineStr">
        <is>
          <t>Custo Fixo</t>
        </is>
      </c>
      <c r="C2615" s="106" t="inlineStr">
        <is>
          <t>Stargrid</t>
        </is>
      </c>
      <c r="D2615" s="107" t="n">
        <v>16</v>
      </c>
      <c r="E2615" s="108" t="n">
        <v>1.87</v>
      </c>
      <c r="F2615" s="109">
        <f>IFERROR(D2615*E2615,0)</f>
        <v/>
      </c>
      <c r="G2615" s="106">
        <f>INDEX(SETORES!$B:$B,MATCH(A2615,SETORES!$A:$A,0))</f>
        <v/>
      </c>
      <c r="H2615" s="106" t="inlineStr">
        <is>
          <t>Setembro/2026</t>
        </is>
      </c>
    </row>
    <row r="2616">
      <c r="A2616" s="106" t="inlineStr">
        <is>
          <t>Manutenção Predial</t>
        </is>
      </c>
      <c r="B2616" s="106" t="inlineStr">
        <is>
          <t>Custo Fixo</t>
        </is>
      </c>
      <c r="C2616" s="106" t="inlineStr">
        <is>
          <t>Material de escritório (suprimentos de informática)</t>
        </is>
      </c>
      <c r="D2616" s="107" t="n"/>
      <c r="E2616" s="108" t="n"/>
      <c r="F2616" s="109">
        <f>IFERROR(D2616*E2616,0)</f>
        <v/>
      </c>
      <c r="G2616" s="106">
        <f>INDEX(SETORES!$B:$B,MATCH(A2616,SETORES!$A:$A,0))</f>
        <v/>
      </c>
      <c r="H2616" s="106" t="inlineStr">
        <is>
          <t>Setembro/2026</t>
        </is>
      </c>
    </row>
    <row r="2617">
      <c r="A2617" s="106" t="inlineStr">
        <is>
          <t>Manutenção Predial</t>
        </is>
      </c>
      <c r="B2617" s="106" t="inlineStr">
        <is>
          <t>Custo Fixo</t>
        </is>
      </c>
      <c r="C2617" s="106" t="inlineStr">
        <is>
          <t>Material de uso coletivo (copa/limpeza)</t>
        </is>
      </c>
      <c r="D2617" s="107" t="n"/>
      <c r="E2617" s="108" t="n"/>
      <c r="F2617" s="109">
        <f>IFERROR(D2617*E2617,0)</f>
        <v/>
      </c>
      <c r="G2617" s="106">
        <f>INDEX(SETORES!$B:$B,MATCH(A2617,SETORES!$A:$A,0))</f>
        <v/>
      </c>
      <c r="H2617" s="106" t="inlineStr">
        <is>
          <t>Setembro/2026</t>
        </is>
      </c>
    </row>
    <row r="2618">
      <c r="A2618" s="106" t="inlineStr">
        <is>
          <t>Manutenção Predial</t>
        </is>
      </c>
      <c r="B2618" s="106" t="inlineStr">
        <is>
          <t>Custo Fixo</t>
        </is>
      </c>
      <c r="C2618" s="106" t="inlineStr">
        <is>
          <t>Telefonia móvel corporativa</t>
        </is>
      </c>
      <c r="D2618" s="107" t="n"/>
      <c r="E2618" s="108" t="n"/>
      <c r="F2618" s="109">
        <f>IFERROR(D2618*E2618,0)</f>
        <v/>
      </c>
      <c r="G2618" s="106">
        <f>INDEX(SETORES!$B:$B,MATCH(A2618,SETORES!$A:$A,0))</f>
        <v/>
      </c>
      <c r="H2618" s="106" t="inlineStr">
        <is>
          <t>Setembro/2026</t>
        </is>
      </c>
    </row>
    <row r="2619">
      <c r="A2619" s="106" t="inlineStr">
        <is>
          <t>Manutenção Predial</t>
        </is>
      </c>
      <c r="B2619" s="106" t="inlineStr">
        <is>
          <t>Custo Fixo</t>
        </is>
      </c>
      <c r="C2619" s="106" t="inlineStr">
        <is>
          <t>Folha de pagamento (salários)</t>
        </is>
      </c>
      <c r="D2619" s="107" t="n">
        <v>1</v>
      </c>
      <c r="E2619" s="108" t="n">
        <v>116417.9</v>
      </c>
      <c r="F2619" s="109">
        <f>IFERROR(D2619*E2619,0)</f>
        <v/>
      </c>
      <c r="G2619" s="106">
        <f>INDEX(SETORES!$B:$B,MATCH(A2619,SETORES!$A:$A,0))</f>
        <v/>
      </c>
      <c r="H2619" s="106" t="inlineStr">
        <is>
          <t>Setembro/2026</t>
        </is>
      </c>
    </row>
    <row r="2620">
      <c r="A2620" s="106" t="inlineStr">
        <is>
          <t>Manutenção Predial</t>
        </is>
      </c>
      <c r="B2620" s="106" t="inlineStr">
        <is>
          <t>Custo Variável</t>
        </is>
      </c>
      <c r="C2620" s="106" t="inlineStr">
        <is>
          <t>Investimento de equipamentos (não patrimoniável)</t>
        </is>
      </c>
      <c r="D2620" s="107" t="n"/>
      <c r="E2620" s="108" t="n"/>
      <c r="F2620" s="109">
        <f>IFERROR(D2620*E2620,0)</f>
        <v/>
      </c>
      <c r="G2620" s="106">
        <f>INDEX(SETORES!$B:$B,MATCH(A2620,SETORES!$A:$A,0))</f>
        <v/>
      </c>
      <c r="H2620" s="106" t="inlineStr">
        <is>
          <t>Setembro/2026</t>
        </is>
      </c>
    </row>
    <row r="2621">
      <c r="A2621" s="106" t="inlineStr">
        <is>
          <t>Manutenção Predial</t>
        </is>
      </c>
      <c r="B2621" s="106" t="inlineStr">
        <is>
          <t>Custo Variável</t>
        </is>
      </c>
      <c r="C2621" s="106" t="inlineStr">
        <is>
          <t>EPIs - Equipamento de Proteção Individual</t>
        </is>
      </c>
      <c r="D2621" s="107" t="n"/>
      <c r="E2621" s="108" t="n"/>
      <c r="F2621" s="109">
        <f>IFERROR(D2621*E2621,0)</f>
        <v/>
      </c>
      <c r="G2621" s="106">
        <f>INDEX(SETORES!$B:$B,MATCH(A2621,SETORES!$A:$A,0))</f>
        <v/>
      </c>
      <c r="H2621" s="106" t="inlineStr">
        <is>
          <t>Setembro/2026</t>
        </is>
      </c>
    </row>
    <row r="2622">
      <c r="A2622" s="106" t="inlineStr">
        <is>
          <t>Manutenção Predial</t>
        </is>
      </c>
      <c r="B2622" s="106" t="inlineStr">
        <is>
          <t>Custo Fixo</t>
        </is>
      </c>
      <c r="C2622" s="106" t="inlineStr">
        <is>
          <t>Licença de e-mail corporativo</t>
        </is>
      </c>
      <c r="D2622" s="107" t="n">
        <v>15</v>
      </c>
      <c r="E2622" s="108" t="n">
        <v>50</v>
      </c>
      <c r="F2622" s="109">
        <f>IFERROR(D2622*E2622,0)</f>
        <v/>
      </c>
      <c r="G2622" s="106">
        <f>INDEX(SETORES!$B:$B,MATCH(A2622,SETORES!$A:$A,0))</f>
        <v/>
      </c>
      <c r="H2622" s="106" t="inlineStr">
        <is>
          <t>Setembro/2026</t>
        </is>
      </c>
    </row>
    <row r="2623">
      <c r="A2623" s="106" t="inlineStr">
        <is>
          <t>Manutenção Predial</t>
        </is>
      </c>
      <c r="B2623" s="106" t="inlineStr">
        <is>
          <t>Custo Variável</t>
        </is>
      </c>
      <c r="C2623" s="106" t="inlineStr">
        <is>
          <t>Combustível de frota</t>
        </is>
      </c>
      <c r="D2623" s="107" t="n">
        <v>1</v>
      </c>
      <c r="E2623" s="108" t="n">
        <v>11623.33</v>
      </c>
      <c r="F2623" s="109">
        <f>IFERROR(D2623*E2623,0)</f>
        <v/>
      </c>
      <c r="G2623" s="106">
        <f>INDEX(SETORES!$B:$B,MATCH(A2623,SETORES!$A:$A,0))</f>
        <v/>
      </c>
      <c r="H2623" s="106" t="inlineStr">
        <is>
          <t>Setembro/2026</t>
        </is>
      </c>
    </row>
    <row r="2624">
      <c r="A2624" s="106" t="inlineStr">
        <is>
          <t>Manutenção Predial</t>
        </is>
      </c>
      <c r="B2624" s="106" t="inlineStr">
        <is>
          <t>Custo Fixo</t>
        </is>
      </c>
      <c r="C2624" s="106" t="inlineStr">
        <is>
          <t>Gympass</t>
        </is>
      </c>
      <c r="D2624" s="107" t="n"/>
      <c r="E2624" s="108" t="n"/>
      <c r="F2624" s="109">
        <f>IFERROR(D2624*E2624,0)</f>
        <v/>
      </c>
      <c r="G2624" s="106">
        <f>INDEX(SETORES!$B:$B,MATCH(A2624,SETORES!$A:$A,0))</f>
        <v/>
      </c>
      <c r="H2624" s="106" t="inlineStr">
        <is>
          <t>Setembro/2026</t>
        </is>
      </c>
    </row>
    <row r="2625">
      <c r="A2625" s="106" t="inlineStr">
        <is>
          <t>Manutenção Predial</t>
        </is>
      </c>
      <c r="B2625" s="106" t="inlineStr">
        <is>
          <t>Custo Fixo</t>
        </is>
      </c>
      <c r="C2625" s="106" t="inlineStr">
        <is>
          <t>Stargrid</t>
        </is>
      </c>
      <c r="D2625" s="107" t="n">
        <v>15</v>
      </c>
      <c r="E2625" s="108" t="n">
        <v>1.87</v>
      </c>
      <c r="F2625" s="109">
        <f>IFERROR(D2625*E2625,0)</f>
        <v/>
      </c>
      <c r="G2625" s="106">
        <f>INDEX(SETORES!$B:$B,MATCH(A2625,SETORES!$A:$A,0))</f>
        <v/>
      </c>
      <c r="H2625" s="106" t="inlineStr">
        <is>
          <t>Setembro/2026</t>
        </is>
      </c>
    </row>
    <row r="2626">
      <c r="A2626" s="106" t="inlineStr">
        <is>
          <t>NOC</t>
        </is>
      </c>
      <c r="B2626" s="106" t="inlineStr">
        <is>
          <t>Custo Fixo</t>
        </is>
      </c>
      <c r="C2626" s="106" t="inlineStr">
        <is>
          <t>Material de escritório (suprimentos de informática)</t>
        </is>
      </c>
      <c r="D2626" s="107" t="n">
        <v>1</v>
      </c>
      <c r="E2626" s="108" t="n">
        <v>37.24</v>
      </c>
      <c r="F2626" s="109">
        <f>IFERROR(D2626*E2626,0)</f>
        <v/>
      </c>
      <c r="G2626" s="106">
        <f>INDEX(SETORES!$B:$B,MATCH(A2626,SETORES!$A:$A,0))</f>
        <v/>
      </c>
      <c r="H2626" s="106" t="inlineStr">
        <is>
          <t>Setembro/2026</t>
        </is>
      </c>
    </row>
    <row r="2627">
      <c r="A2627" s="106" t="inlineStr">
        <is>
          <t>NOC</t>
        </is>
      </c>
      <c r="B2627" s="106" t="inlineStr">
        <is>
          <t>Custo Fixo</t>
        </is>
      </c>
      <c r="C2627" s="106" t="inlineStr">
        <is>
          <t>Material de uso coletivo (copa/limpeza)</t>
        </is>
      </c>
      <c r="D2627" s="107" t="n">
        <v>1</v>
      </c>
      <c r="E2627" s="108" t="n">
        <v>288.15</v>
      </c>
      <c r="F2627" s="109">
        <f>IFERROR(D2627*E2627,0)</f>
        <v/>
      </c>
      <c r="G2627" s="106">
        <f>INDEX(SETORES!$B:$B,MATCH(A2627,SETORES!$A:$A,0))</f>
        <v/>
      </c>
      <c r="H2627" s="106" t="inlineStr">
        <is>
          <t>Setembro/2026</t>
        </is>
      </c>
    </row>
    <row r="2628">
      <c r="A2628" s="106" t="inlineStr">
        <is>
          <t>NOC</t>
        </is>
      </c>
      <c r="B2628" s="106" t="inlineStr">
        <is>
          <t>Custo Fixo</t>
        </is>
      </c>
      <c r="C2628" s="106" t="inlineStr">
        <is>
          <t>Energia elétrica (rateio)</t>
        </is>
      </c>
      <c r="D2628" s="107" t="n"/>
      <c r="E2628" s="108" t="n"/>
      <c r="F2628" s="109">
        <f>IFERROR(D2628*E2628,0)</f>
        <v/>
      </c>
      <c r="G2628" s="106">
        <f>INDEX(SETORES!$B:$B,MATCH(A2628,SETORES!$A:$A,0))</f>
        <v/>
      </c>
      <c r="H2628" s="106" t="inlineStr">
        <is>
          <t>Setembro/2026</t>
        </is>
      </c>
    </row>
    <row r="2629">
      <c r="A2629" s="106" t="inlineStr">
        <is>
          <t>NOC</t>
        </is>
      </c>
      <c r="B2629" s="106" t="inlineStr">
        <is>
          <t>Custo Fixo</t>
        </is>
      </c>
      <c r="C2629" s="106" t="inlineStr">
        <is>
          <t>Água e esgoto (rateio)</t>
        </is>
      </c>
      <c r="D2629" s="107" t="n"/>
      <c r="E2629" s="108" t="n"/>
      <c r="F2629" s="109">
        <f>IFERROR(D2629*E2629,0)</f>
        <v/>
      </c>
      <c r="G2629" s="106">
        <f>INDEX(SETORES!$B:$B,MATCH(A2629,SETORES!$A:$A,0))</f>
        <v/>
      </c>
      <c r="H2629" s="106" t="inlineStr">
        <is>
          <t>Setembro/2026</t>
        </is>
      </c>
    </row>
    <row r="2630">
      <c r="A2630" s="106" t="inlineStr">
        <is>
          <t>NOC</t>
        </is>
      </c>
      <c r="B2630" s="106" t="inlineStr">
        <is>
          <t>Custo Fixo</t>
        </is>
      </c>
      <c r="C2630" s="106" t="inlineStr">
        <is>
          <t>Telefonia móvel corporativa</t>
        </is>
      </c>
      <c r="D2630" s="107" t="n"/>
      <c r="E2630" s="108" t="n"/>
      <c r="F2630" s="109">
        <f>IFERROR(D2630*E2630,0)</f>
        <v/>
      </c>
      <c r="G2630" s="106">
        <f>INDEX(SETORES!$B:$B,MATCH(A2630,SETORES!$A:$A,0))</f>
        <v/>
      </c>
      <c r="H2630" s="106" t="inlineStr">
        <is>
          <t>Setembro/2026</t>
        </is>
      </c>
    </row>
    <row r="2631">
      <c r="A2631" s="106" t="inlineStr">
        <is>
          <t>NOC</t>
        </is>
      </c>
      <c r="B2631" s="106" t="inlineStr">
        <is>
          <t>Custo Fixo</t>
        </is>
      </c>
      <c r="C2631" s="106" t="inlineStr">
        <is>
          <t>Folha de pagamento (salários)</t>
        </is>
      </c>
      <c r="D2631" s="107" t="n">
        <v>1</v>
      </c>
      <c r="E2631" s="108" t="n">
        <v>42164.64</v>
      </c>
      <c r="F2631" s="109">
        <f>IFERROR(D2631*E2631,0)</f>
        <v/>
      </c>
      <c r="G2631" s="106">
        <f>INDEX(SETORES!$B:$B,MATCH(A2631,SETORES!$A:$A,0))</f>
        <v/>
      </c>
      <c r="H2631" s="106" t="inlineStr">
        <is>
          <t>Setembro/2026</t>
        </is>
      </c>
    </row>
    <row r="2632">
      <c r="A2632" s="106" t="inlineStr">
        <is>
          <t>NOC</t>
        </is>
      </c>
      <c r="B2632" s="106" t="inlineStr">
        <is>
          <t>Custo Fixo</t>
        </is>
      </c>
      <c r="C2632" s="106" t="inlineStr">
        <is>
          <t>Licença de e-mail corporativo</t>
        </is>
      </c>
      <c r="D2632" s="107" t="n">
        <v>3</v>
      </c>
      <c r="E2632" s="108" t="n">
        <v>50</v>
      </c>
      <c r="F2632" s="109">
        <f>IFERROR(D2632*E2632,0)</f>
        <v/>
      </c>
      <c r="G2632" s="106">
        <f>INDEX(SETORES!$B:$B,MATCH(A2632,SETORES!$A:$A,0))</f>
        <v/>
      </c>
      <c r="H2632" s="106" t="inlineStr">
        <is>
          <t>Setembro/2026</t>
        </is>
      </c>
    </row>
    <row r="2633">
      <c r="A2633" s="106" t="inlineStr">
        <is>
          <t>NOC</t>
        </is>
      </c>
      <c r="B2633" s="106" t="inlineStr">
        <is>
          <t>Custo Variável</t>
        </is>
      </c>
      <c r="C2633" s="106" t="inlineStr">
        <is>
          <t>Combustível de frota</t>
        </is>
      </c>
      <c r="D2633" s="107" t="n">
        <v>1</v>
      </c>
      <c r="E2633" s="108" t="n">
        <v>1882.43</v>
      </c>
      <c r="F2633" s="109">
        <f>IFERROR(D2633*E2633,0)</f>
        <v/>
      </c>
      <c r="G2633" s="106">
        <f>INDEX(SETORES!$B:$B,MATCH(A2633,SETORES!$A:$A,0))</f>
        <v/>
      </c>
      <c r="H2633" s="106" t="inlineStr">
        <is>
          <t>Setembro/2026</t>
        </is>
      </c>
    </row>
    <row r="2634">
      <c r="A2634" s="106" t="inlineStr">
        <is>
          <t>NOC</t>
        </is>
      </c>
      <c r="B2634" s="106" t="inlineStr">
        <is>
          <t>Custo Fixo</t>
        </is>
      </c>
      <c r="C2634" s="106" t="inlineStr">
        <is>
          <t>Gympass</t>
        </is>
      </c>
      <c r="D2634" s="107" t="n"/>
      <c r="E2634" s="108" t="n"/>
      <c r="F2634" s="109">
        <f>IFERROR(D2634*E2634,0)</f>
        <v/>
      </c>
      <c r="G2634" s="106">
        <f>INDEX(SETORES!$B:$B,MATCH(A2634,SETORES!$A:$A,0))</f>
        <v/>
      </c>
      <c r="H2634" s="106" t="inlineStr">
        <is>
          <t>Setembro/2026</t>
        </is>
      </c>
    </row>
    <row r="2635">
      <c r="A2635" s="106" t="inlineStr">
        <is>
          <t>NOC</t>
        </is>
      </c>
      <c r="B2635" s="106" t="inlineStr">
        <is>
          <t>Custo Fixo</t>
        </is>
      </c>
      <c r="C2635" s="106" t="inlineStr">
        <is>
          <t>Stargrid</t>
        </is>
      </c>
      <c r="D2635" s="107" t="n">
        <v>3</v>
      </c>
      <c r="E2635" s="108" t="n">
        <v>1.87</v>
      </c>
      <c r="F2635" s="109">
        <f>IFERROR(D2635*E2635,0)</f>
        <v/>
      </c>
      <c r="G2635" s="106">
        <f>INDEX(SETORES!$B:$B,MATCH(A2635,SETORES!$A:$A,0))</f>
        <v/>
      </c>
      <c r="H2635" s="106" t="inlineStr">
        <is>
          <t>Setembro/2026</t>
        </is>
      </c>
    </row>
    <row r="2636">
      <c r="A2636" s="106" t="inlineStr">
        <is>
          <t>NRC</t>
        </is>
      </c>
      <c r="B2636" s="106" t="inlineStr">
        <is>
          <t>Custo Fixo</t>
        </is>
      </c>
      <c r="C2636" s="106" t="inlineStr">
        <is>
          <t>Material de escritório (suprimentos de informática)</t>
        </is>
      </c>
      <c r="D2636" s="107" t="n">
        <v>1</v>
      </c>
      <c r="E2636" s="108" t="n">
        <v>12.09</v>
      </c>
      <c r="F2636" s="109">
        <f>IFERROR(D2636*E2636,0)</f>
        <v/>
      </c>
      <c r="G2636" s="106">
        <f>INDEX(SETORES!$B:$B,MATCH(A2636,SETORES!$A:$A,0))</f>
        <v/>
      </c>
      <c r="H2636" s="106" t="inlineStr">
        <is>
          <t>Setembro/2026</t>
        </is>
      </c>
    </row>
    <row r="2637">
      <c r="A2637" s="106" t="inlineStr">
        <is>
          <t>NRC</t>
        </is>
      </c>
      <c r="B2637" s="106" t="inlineStr">
        <is>
          <t>Custo Fixo</t>
        </is>
      </c>
      <c r="C2637" s="106" t="inlineStr">
        <is>
          <t>Material de uso coletivo (copa/limpeza)</t>
        </is>
      </c>
      <c r="D2637" s="107" t="n">
        <v>1</v>
      </c>
      <c r="E2637" s="108" t="n">
        <v>2123.29</v>
      </c>
      <c r="F2637" s="109">
        <f>IFERROR(D2637*E2637,0)</f>
        <v/>
      </c>
      <c r="G2637" s="106">
        <f>INDEX(SETORES!$B:$B,MATCH(A2637,SETORES!$A:$A,0))</f>
        <v/>
      </c>
      <c r="H2637" s="106" t="inlineStr">
        <is>
          <t>Setembro/2026</t>
        </is>
      </c>
    </row>
    <row r="2638">
      <c r="A2638" s="106" t="inlineStr">
        <is>
          <t>NRC</t>
        </is>
      </c>
      <c r="B2638" s="106" t="inlineStr">
        <is>
          <t>Custo Fixo</t>
        </is>
      </c>
      <c r="C2638" s="106" t="inlineStr">
        <is>
          <t>Energia elétrica (rateio)</t>
        </is>
      </c>
      <c r="D2638" s="107" t="n"/>
      <c r="E2638" s="108" t="n"/>
      <c r="F2638" s="109">
        <f>IFERROR(D2638*E2638,0)</f>
        <v/>
      </c>
      <c r="G2638" s="106">
        <f>INDEX(SETORES!$B:$B,MATCH(A2638,SETORES!$A:$A,0))</f>
        <v/>
      </c>
      <c r="H2638" s="106" t="inlineStr">
        <is>
          <t>Setembro/2026</t>
        </is>
      </c>
    </row>
    <row r="2639">
      <c r="A2639" s="106" t="inlineStr">
        <is>
          <t>NRC</t>
        </is>
      </c>
      <c r="B2639" s="106" t="inlineStr">
        <is>
          <t>Custo Fixo</t>
        </is>
      </c>
      <c r="C2639" s="106" t="inlineStr">
        <is>
          <t>Água e esgoto (rateio)</t>
        </is>
      </c>
      <c r="D2639" s="107" t="n"/>
      <c r="E2639" s="108" t="n"/>
      <c r="F2639" s="109">
        <f>IFERROR(D2639*E2639,0)</f>
        <v/>
      </c>
      <c r="G2639" s="106">
        <f>INDEX(SETORES!$B:$B,MATCH(A2639,SETORES!$A:$A,0))</f>
        <v/>
      </c>
      <c r="H2639" s="106" t="inlineStr">
        <is>
          <t>Setembro/2026</t>
        </is>
      </c>
    </row>
    <row r="2640">
      <c r="A2640" s="106" t="inlineStr">
        <is>
          <t>NRC</t>
        </is>
      </c>
      <c r="B2640" s="106" t="inlineStr">
        <is>
          <t>Custo Fixo</t>
        </is>
      </c>
      <c r="C2640" s="106" t="inlineStr">
        <is>
          <t>Telefonia móvel corporativa</t>
        </is>
      </c>
      <c r="D2640" s="107" t="n"/>
      <c r="E2640" s="108" t="n"/>
      <c r="F2640" s="109">
        <f>IFERROR(D2640*E2640,0)</f>
        <v/>
      </c>
      <c r="G2640" s="106">
        <f>INDEX(SETORES!$B:$B,MATCH(A2640,SETORES!$A:$A,0))</f>
        <v/>
      </c>
      <c r="H2640" s="106" t="inlineStr">
        <is>
          <t>Setembro/2026</t>
        </is>
      </c>
    </row>
    <row r="2641">
      <c r="A2641" s="106" t="inlineStr">
        <is>
          <t>NRC</t>
        </is>
      </c>
      <c r="B2641" s="106" t="inlineStr">
        <is>
          <t>Custo Fixo</t>
        </is>
      </c>
      <c r="C2641" s="106" t="inlineStr">
        <is>
          <t>Folha de pagamento (salários)</t>
        </is>
      </c>
      <c r="D2641" s="107" t="n">
        <v>1</v>
      </c>
      <c r="E2641" s="108" t="n">
        <v>145351.16</v>
      </c>
      <c r="F2641" s="109">
        <f>IFERROR(D2641*E2641,0)</f>
        <v/>
      </c>
      <c r="G2641" s="106">
        <f>INDEX(SETORES!$B:$B,MATCH(A2641,SETORES!$A:$A,0))</f>
        <v/>
      </c>
      <c r="H2641" s="106" t="inlineStr">
        <is>
          <t>Setembro/2026</t>
        </is>
      </c>
    </row>
    <row r="2642">
      <c r="A2642" s="106" t="inlineStr">
        <is>
          <t>NRC</t>
        </is>
      </c>
      <c r="B2642" s="106" t="inlineStr">
        <is>
          <t>Custo Fixo</t>
        </is>
      </c>
      <c r="C2642" s="106" t="inlineStr">
        <is>
          <t>Licenças de software/sistemas corporativos</t>
        </is>
      </c>
      <c r="D2642" s="107" t="n"/>
      <c r="E2642" s="108" t="n"/>
      <c r="F2642" s="109">
        <f>IFERROR(D2642*E2642,0)</f>
        <v/>
      </c>
      <c r="G2642" s="106">
        <f>INDEX(SETORES!$B:$B,MATCH(A2642,SETORES!$A:$A,0))</f>
        <v/>
      </c>
      <c r="H2642" s="106" t="inlineStr">
        <is>
          <t>Setembro/2026</t>
        </is>
      </c>
    </row>
    <row r="2643">
      <c r="A2643" s="106" t="inlineStr">
        <is>
          <t>NRC</t>
        </is>
      </c>
      <c r="B2643" s="106" t="inlineStr">
        <is>
          <t>Custo Variável</t>
        </is>
      </c>
      <c r="C2643" s="106" t="inlineStr">
        <is>
          <t>Fardamento novo</t>
        </is>
      </c>
      <c r="D2643" s="107" t="n"/>
      <c r="E2643" s="108" t="n"/>
      <c r="F2643" s="109">
        <f>IFERROR(D2643*E2643,0)</f>
        <v/>
      </c>
      <c r="G2643" s="106">
        <f>INDEX(SETORES!$B:$B,MATCH(A2643,SETORES!$A:$A,0))</f>
        <v/>
      </c>
      <c r="H2643" s="106" t="inlineStr">
        <is>
          <t>Setembro/2026</t>
        </is>
      </c>
    </row>
    <row r="2644">
      <c r="A2644" s="106" t="inlineStr">
        <is>
          <t>NRC</t>
        </is>
      </c>
      <c r="B2644" s="106" t="inlineStr">
        <is>
          <t>Custo Variável</t>
        </is>
      </c>
      <c r="C2644" s="106" t="inlineStr">
        <is>
          <t>Fardamento substituição</t>
        </is>
      </c>
      <c r="D2644" s="107" t="n"/>
      <c r="E2644" s="108" t="n"/>
      <c r="F2644" s="109">
        <f>IFERROR(D2644*E2644,0)</f>
        <v/>
      </c>
      <c r="G2644" s="106">
        <f>INDEX(SETORES!$B:$B,MATCH(A2644,SETORES!$A:$A,0))</f>
        <v/>
      </c>
      <c r="H2644" s="106" t="inlineStr">
        <is>
          <t>Setembro/2026</t>
        </is>
      </c>
    </row>
    <row r="2645">
      <c r="A2645" s="106" t="inlineStr">
        <is>
          <t>NRC</t>
        </is>
      </c>
      <c r="B2645" s="106" t="inlineStr">
        <is>
          <t>Custo Variável</t>
        </is>
      </c>
      <c r="C2645" s="106" t="inlineStr">
        <is>
          <t>Rescisões trabalhistas</t>
        </is>
      </c>
      <c r="D2645" s="107" t="n"/>
      <c r="E2645" s="108" t="n"/>
      <c r="F2645" s="109">
        <f>IFERROR(D2645*E2645,0)</f>
        <v/>
      </c>
      <c r="G2645" s="106">
        <f>INDEX(SETORES!$B:$B,MATCH(A2645,SETORES!$A:$A,0))</f>
        <v/>
      </c>
      <c r="H2645" s="106" t="inlineStr">
        <is>
          <t>Setembro/2026</t>
        </is>
      </c>
    </row>
    <row r="2646">
      <c r="A2646" s="106" t="inlineStr">
        <is>
          <t>NRC</t>
        </is>
      </c>
      <c r="B2646" s="106" t="inlineStr">
        <is>
          <t>Custo Fixo</t>
        </is>
      </c>
      <c r="C2646" s="106" t="inlineStr">
        <is>
          <t>Licença de e-mail corporativo</t>
        </is>
      </c>
      <c r="D2646" s="107" t="n">
        <v>42</v>
      </c>
      <c r="E2646" s="108" t="n">
        <v>50</v>
      </c>
      <c r="F2646" s="109">
        <f>IFERROR(D2646*E2646,0)</f>
        <v/>
      </c>
      <c r="G2646" s="106">
        <f>INDEX(SETORES!$B:$B,MATCH(A2646,SETORES!$A:$A,0))</f>
        <v/>
      </c>
      <c r="H2646" s="106" t="inlineStr">
        <is>
          <t>Setembro/2026</t>
        </is>
      </c>
    </row>
    <row r="2647">
      <c r="A2647" s="106" t="inlineStr">
        <is>
          <t>NRC</t>
        </is>
      </c>
      <c r="B2647" s="106" t="inlineStr">
        <is>
          <t>Custo Fixo</t>
        </is>
      </c>
      <c r="C2647" s="106" t="inlineStr">
        <is>
          <t>Software MATRIX (rateio equipe Relacionamento)</t>
        </is>
      </c>
      <c r="D2647" s="107" t="n"/>
      <c r="E2647" s="108" t="n"/>
      <c r="F2647" s="109">
        <f>IFERROR(D2647*E2647,0)</f>
        <v/>
      </c>
      <c r="G2647" s="106">
        <f>INDEX(SETORES!$B:$B,MATCH(A2647,SETORES!$A:$A,0))</f>
        <v/>
      </c>
      <c r="H2647" s="106" t="inlineStr">
        <is>
          <t>Setembro/2026</t>
        </is>
      </c>
    </row>
    <row r="2648">
      <c r="A2648" s="106" t="inlineStr">
        <is>
          <t>NRC</t>
        </is>
      </c>
      <c r="B2648" s="106" t="inlineStr">
        <is>
          <t>Custo Fixo</t>
        </is>
      </c>
      <c r="C2648" s="106" t="inlineStr">
        <is>
          <t>Impressora (rateio equipe Relacionamento)</t>
        </is>
      </c>
      <c r="D2648" s="107" t="n"/>
      <c r="E2648" s="108" t="n"/>
      <c r="F2648" s="109">
        <f>IFERROR(D2648*E2648,0)</f>
        <v/>
      </c>
      <c r="G2648" s="106">
        <f>INDEX(SETORES!$B:$B,MATCH(A2648,SETORES!$A:$A,0))</f>
        <v/>
      </c>
      <c r="H2648" s="106" t="inlineStr">
        <is>
          <t>Setembro/2026</t>
        </is>
      </c>
    </row>
    <row r="2649">
      <c r="A2649" s="106" t="inlineStr">
        <is>
          <t>NRC</t>
        </is>
      </c>
      <c r="B2649" s="106" t="inlineStr">
        <is>
          <t>Custo Fixo</t>
        </is>
      </c>
      <c r="C2649" s="106" t="inlineStr">
        <is>
          <t>Gympass</t>
        </is>
      </c>
      <c r="D2649" s="107" t="n"/>
      <c r="E2649" s="108" t="n"/>
      <c r="F2649" s="109">
        <f>IFERROR(D2649*E2649,0)</f>
        <v/>
      </c>
      <c r="G2649" s="106">
        <f>INDEX(SETORES!$B:$B,MATCH(A2649,SETORES!$A:$A,0))</f>
        <v/>
      </c>
      <c r="H2649" s="106" t="inlineStr">
        <is>
          <t>Setembro/2026</t>
        </is>
      </c>
    </row>
    <row r="2650">
      <c r="A2650" s="106" t="inlineStr">
        <is>
          <t>NRC</t>
        </is>
      </c>
      <c r="B2650" s="106" t="inlineStr">
        <is>
          <t>Custo Fixo</t>
        </is>
      </c>
      <c r="C2650" s="106" t="inlineStr">
        <is>
          <t>Stargrid</t>
        </is>
      </c>
      <c r="D2650" s="107" t="n">
        <v>42</v>
      </c>
      <c r="E2650" s="108" t="n">
        <v>1.87</v>
      </c>
      <c r="F2650" s="109">
        <f>IFERROR(D2650*E2650,0)</f>
        <v/>
      </c>
      <c r="G2650" s="106">
        <f>INDEX(SETORES!$B:$B,MATCH(A2650,SETORES!$A:$A,0))</f>
        <v/>
      </c>
      <c r="H2650" s="106" t="inlineStr">
        <is>
          <t>Setembro/2026</t>
        </is>
      </c>
    </row>
    <row r="2651">
      <c r="A2651" s="106" t="inlineStr">
        <is>
          <t>Obras</t>
        </is>
      </c>
      <c r="B2651" s="106" t="inlineStr">
        <is>
          <t>Custo Fixo</t>
        </is>
      </c>
      <c r="C2651" s="106" t="inlineStr">
        <is>
          <t>Telefonia móvel corporativa</t>
        </is>
      </c>
      <c r="D2651" s="107" t="n"/>
      <c r="E2651" s="108" t="n"/>
      <c r="F2651" s="109">
        <f>IFERROR(D2651*E2651,0)</f>
        <v/>
      </c>
      <c r="G2651" s="106">
        <f>INDEX(SETORES!$B:$B,MATCH(A2651,SETORES!$A:$A,0))</f>
        <v/>
      </c>
      <c r="H2651" s="106" t="inlineStr">
        <is>
          <t>Setembro/2026</t>
        </is>
      </c>
    </row>
    <row r="2652">
      <c r="A2652" s="106" t="inlineStr">
        <is>
          <t>Obras</t>
        </is>
      </c>
      <c r="B2652" s="106" t="inlineStr">
        <is>
          <t>Custo Fixo</t>
        </is>
      </c>
      <c r="C2652" s="106" t="inlineStr">
        <is>
          <t>Folha de pagamento (salários)</t>
        </is>
      </c>
      <c r="D2652" s="107" t="n">
        <v>1</v>
      </c>
      <c r="E2652" s="108" t="n">
        <v>155833.72</v>
      </c>
      <c r="F2652" s="109">
        <f>IFERROR(D2652*E2652,0)</f>
        <v/>
      </c>
      <c r="G2652" s="106">
        <f>INDEX(SETORES!$B:$B,MATCH(A2652,SETORES!$A:$A,0))</f>
        <v/>
      </c>
      <c r="H2652" s="106" t="inlineStr">
        <is>
          <t>Setembro/2026</t>
        </is>
      </c>
    </row>
    <row r="2653">
      <c r="A2653" s="106" t="inlineStr">
        <is>
          <t>Obras</t>
        </is>
      </c>
      <c r="B2653" s="106" t="inlineStr">
        <is>
          <t>Custo Variável</t>
        </is>
      </c>
      <c r="C2653" s="106" t="inlineStr">
        <is>
          <t>Investimento de equipamentos (não patrimoniável)</t>
        </is>
      </c>
      <c r="D2653" s="107" t="n"/>
      <c r="E2653" s="108" t="n"/>
      <c r="F2653" s="109">
        <f>IFERROR(D2653*E2653,0)</f>
        <v/>
      </c>
      <c r="G2653" s="106">
        <f>INDEX(SETORES!$B:$B,MATCH(A2653,SETORES!$A:$A,0))</f>
        <v/>
      </c>
      <c r="H2653" s="106" t="inlineStr">
        <is>
          <t>Setembro/2026</t>
        </is>
      </c>
    </row>
    <row r="2654">
      <c r="A2654" s="106" t="inlineStr">
        <is>
          <t>Obras</t>
        </is>
      </c>
      <c r="B2654" s="106" t="inlineStr">
        <is>
          <t>Custo Variável</t>
        </is>
      </c>
      <c r="C2654" s="106" t="inlineStr">
        <is>
          <t>EPIs - Equipamento de Proteção Individual</t>
        </is>
      </c>
      <c r="D2654" s="107" t="n"/>
      <c r="E2654" s="108" t="n"/>
      <c r="F2654" s="109">
        <f>IFERROR(D2654*E2654,0)</f>
        <v/>
      </c>
      <c r="G2654" s="106">
        <f>INDEX(SETORES!$B:$B,MATCH(A2654,SETORES!$A:$A,0))</f>
        <v/>
      </c>
      <c r="H2654" s="106" t="inlineStr">
        <is>
          <t>Setembro/2026</t>
        </is>
      </c>
    </row>
    <row r="2655">
      <c r="A2655" s="106" t="inlineStr">
        <is>
          <t>Obras</t>
        </is>
      </c>
      <c r="B2655" s="106" t="inlineStr">
        <is>
          <t>Custo Variável</t>
        </is>
      </c>
      <c r="C2655" s="106" t="inlineStr">
        <is>
          <t>Rescisões trabalhistas</t>
        </is>
      </c>
      <c r="D2655" s="107" t="n"/>
      <c r="E2655" s="108" t="n"/>
      <c r="F2655" s="109">
        <f>IFERROR(D2655*E2655,0)</f>
        <v/>
      </c>
      <c r="G2655" s="106">
        <f>INDEX(SETORES!$B:$B,MATCH(A2655,SETORES!$A:$A,0))</f>
        <v/>
      </c>
      <c r="H2655" s="106" t="inlineStr">
        <is>
          <t>Setembro/2026</t>
        </is>
      </c>
    </row>
    <row r="2656">
      <c r="A2656" s="106" t="inlineStr">
        <is>
          <t>Obras</t>
        </is>
      </c>
      <c r="B2656" s="106" t="inlineStr">
        <is>
          <t>Custo Fixo</t>
        </is>
      </c>
      <c r="C2656" s="106" t="inlineStr">
        <is>
          <t>Licença de e-mail corporativo</t>
        </is>
      </c>
      <c r="D2656" s="107" t="n">
        <v>24</v>
      </c>
      <c r="E2656" s="108" t="n">
        <v>50</v>
      </c>
      <c r="F2656" s="109">
        <f>IFERROR(D2656*E2656,0)</f>
        <v/>
      </c>
      <c r="G2656" s="106">
        <f>INDEX(SETORES!$B:$B,MATCH(A2656,SETORES!$A:$A,0))</f>
        <v/>
      </c>
      <c r="H2656" s="106" t="inlineStr">
        <is>
          <t>Setembro/2026</t>
        </is>
      </c>
    </row>
    <row r="2657">
      <c r="A2657" s="106" t="inlineStr">
        <is>
          <t>Obras</t>
        </is>
      </c>
      <c r="B2657" s="106" t="inlineStr">
        <is>
          <t>Custo Variável</t>
        </is>
      </c>
      <c r="C2657" s="106" t="inlineStr">
        <is>
          <t>Combustível de frota</t>
        </is>
      </c>
      <c r="D2657" s="107" t="n">
        <v>1</v>
      </c>
      <c r="E2657" s="108" t="n">
        <v>11761.57</v>
      </c>
      <c r="F2657" s="109">
        <f>IFERROR(D2657*E2657,0)</f>
        <v/>
      </c>
      <c r="G2657" s="106">
        <f>INDEX(SETORES!$B:$B,MATCH(A2657,SETORES!$A:$A,0))</f>
        <v/>
      </c>
      <c r="H2657" s="106" t="inlineStr">
        <is>
          <t>Setembro/2026</t>
        </is>
      </c>
    </row>
    <row r="2658">
      <c r="A2658" s="106" t="inlineStr">
        <is>
          <t>Obras</t>
        </is>
      </c>
      <c r="B2658" s="106" t="inlineStr">
        <is>
          <t>Custo Fixo</t>
        </is>
      </c>
      <c r="C2658" s="106" t="inlineStr">
        <is>
          <t>Gympass</t>
        </is>
      </c>
      <c r="D2658" s="107" t="n"/>
      <c r="E2658" s="108" t="n"/>
      <c r="F2658" s="109">
        <f>IFERROR(D2658*E2658,0)</f>
        <v/>
      </c>
      <c r="G2658" s="106">
        <f>INDEX(SETORES!$B:$B,MATCH(A2658,SETORES!$A:$A,0))</f>
        <v/>
      </c>
      <c r="H2658" s="106" t="inlineStr">
        <is>
          <t>Setembro/2026</t>
        </is>
      </c>
    </row>
    <row r="2659">
      <c r="A2659" s="106" t="inlineStr">
        <is>
          <t>Obras</t>
        </is>
      </c>
      <c r="B2659" s="106" t="inlineStr">
        <is>
          <t>Custo Fixo</t>
        </is>
      </c>
      <c r="C2659" s="106" t="inlineStr">
        <is>
          <t>Stargrid</t>
        </is>
      </c>
      <c r="D2659" s="107" t="n">
        <v>24</v>
      </c>
      <c r="E2659" s="108" t="n">
        <v>1.87</v>
      </c>
      <c r="F2659" s="109">
        <f>IFERROR(D2659*E2659,0)</f>
        <v/>
      </c>
      <c r="G2659" s="106">
        <f>INDEX(SETORES!$B:$B,MATCH(A2659,SETORES!$A:$A,0))</f>
        <v/>
      </c>
      <c r="H2659" s="106" t="inlineStr">
        <is>
          <t>Setembro/2026</t>
        </is>
      </c>
    </row>
    <row r="2660">
      <c r="A2660" s="106" t="inlineStr">
        <is>
          <t>Oficina</t>
        </is>
      </c>
      <c r="B2660" s="106" t="inlineStr">
        <is>
          <t>Custo Fixo</t>
        </is>
      </c>
      <c r="C2660" s="106" t="inlineStr">
        <is>
          <t>Material de escritório (suprimentos de informática)</t>
        </is>
      </c>
      <c r="D2660" s="107" t="n"/>
      <c r="E2660" s="108" t="n"/>
      <c r="F2660" s="109">
        <f>IFERROR(D2660*E2660,0)</f>
        <v/>
      </c>
      <c r="G2660" s="106">
        <f>INDEX(SETORES!$B:$B,MATCH(A2660,SETORES!$A:$A,0))</f>
        <v/>
      </c>
      <c r="H2660" s="106" t="inlineStr">
        <is>
          <t>Setembro/2026</t>
        </is>
      </c>
    </row>
    <row r="2661">
      <c r="A2661" s="106" t="inlineStr">
        <is>
          <t>Oficina</t>
        </is>
      </c>
      <c r="B2661" s="106" t="inlineStr">
        <is>
          <t>Custo Fixo</t>
        </is>
      </c>
      <c r="C2661" s="106" t="inlineStr">
        <is>
          <t>Material de uso coletivo (copa/limpeza)</t>
        </is>
      </c>
      <c r="D2661" s="107" t="n"/>
      <c r="E2661" s="108" t="n"/>
      <c r="F2661" s="109">
        <f>IFERROR(D2661*E2661,0)</f>
        <v/>
      </c>
      <c r="G2661" s="106">
        <f>INDEX(SETORES!$B:$B,MATCH(A2661,SETORES!$A:$A,0))</f>
        <v/>
      </c>
      <c r="H2661" s="106" t="inlineStr">
        <is>
          <t>Setembro/2026</t>
        </is>
      </c>
    </row>
    <row r="2662">
      <c r="A2662" s="106" t="inlineStr">
        <is>
          <t>Oficina</t>
        </is>
      </c>
      <c r="B2662" s="106" t="inlineStr">
        <is>
          <t>Custo Fixo</t>
        </is>
      </c>
      <c r="C2662" s="106" t="inlineStr">
        <is>
          <t>Software da oficina (soutech soluções)</t>
        </is>
      </c>
      <c r="D2662" s="107" t="n">
        <v>1</v>
      </c>
      <c r="E2662" s="108" t="n">
        <v>1800</v>
      </c>
      <c r="F2662" s="109">
        <f>IFERROR(D2662*E2662,0)</f>
        <v/>
      </c>
      <c r="G2662" s="106">
        <f>INDEX(SETORES!$B:$B,MATCH(A2662,SETORES!$A:$A,0))</f>
        <v/>
      </c>
      <c r="H2662" s="106" t="inlineStr">
        <is>
          <t>Setembro/2026</t>
        </is>
      </c>
    </row>
    <row r="2663">
      <c r="A2663" s="106" t="inlineStr">
        <is>
          <t>Oficina</t>
        </is>
      </c>
      <c r="B2663" s="106" t="inlineStr">
        <is>
          <t>Custo Fixo</t>
        </is>
      </c>
      <c r="C2663" s="106" t="inlineStr">
        <is>
          <t>Energia elétrica (rateio)</t>
        </is>
      </c>
      <c r="D2663" s="107" t="n"/>
      <c r="E2663" s="108" t="n"/>
      <c r="F2663" s="109">
        <f>IFERROR(D2663*E2663,0)</f>
        <v/>
      </c>
      <c r="G2663" s="106">
        <f>INDEX(SETORES!$B:$B,MATCH(A2663,SETORES!$A:$A,0))</f>
        <v/>
      </c>
      <c r="H2663" s="106" t="inlineStr">
        <is>
          <t>Setembro/2026</t>
        </is>
      </c>
    </row>
    <row r="2664">
      <c r="A2664" s="106" t="inlineStr">
        <is>
          <t>Oficina</t>
        </is>
      </c>
      <c r="B2664" s="106" t="inlineStr">
        <is>
          <t>Custo Fixo</t>
        </is>
      </c>
      <c r="C2664" s="106" t="inlineStr">
        <is>
          <t>Água e esgoto (rateio)</t>
        </is>
      </c>
      <c r="D2664" s="107" t="n"/>
      <c r="E2664" s="108" t="n"/>
      <c r="F2664" s="109">
        <f>IFERROR(D2664*E2664,0)</f>
        <v/>
      </c>
      <c r="G2664" s="106">
        <f>INDEX(SETORES!$B:$B,MATCH(A2664,SETORES!$A:$A,0))</f>
        <v/>
      </c>
      <c r="H2664" s="106" t="inlineStr">
        <is>
          <t>Setembro/2026</t>
        </is>
      </c>
    </row>
    <row r="2665">
      <c r="A2665" s="106" t="inlineStr">
        <is>
          <t>Oficina</t>
        </is>
      </c>
      <c r="B2665" s="106" t="inlineStr">
        <is>
          <t>Custo Fixo</t>
        </is>
      </c>
      <c r="C2665" s="106" t="inlineStr">
        <is>
          <t>Telefonia móvel corporativa</t>
        </is>
      </c>
      <c r="D2665" s="107" t="n"/>
      <c r="E2665" s="108" t="n"/>
      <c r="F2665" s="109">
        <f>IFERROR(D2665*E2665,0)</f>
        <v/>
      </c>
      <c r="G2665" s="106">
        <f>INDEX(SETORES!$B:$B,MATCH(A2665,SETORES!$A:$A,0))</f>
        <v/>
      </c>
      <c r="H2665" s="106" t="inlineStr">
        <is>
          <t>Setembro/2026</t>
        </is>
      </c>
    </row>
    <row r="2666">
      <c r="A2666" s="106" t="inlineStr">
        <is>
          <t>Oficina</t>
        </is>
      </c>
      <c r="B2666" s="106" t="inlineStr">
        <is>
          <t>Custo Fixo</t>
        </is>
      </c>
      <c r="C2666" s="106" t="inlineStr">
        <is>
          <t>Folha de pagamento (salários)</t>
        </is>
      </c>
      <c r="D2666" s="107" t="n">
        <v>1</v>
      </c>
      <c r="E2666" s="108" t="n">
        <v>25793.59</v>
      </c>
      <c r="F2666" s="109">
        <f>IFERROR(D2666*E2666,0)</f>
        <v/>
      </c>
      <c r="G2666" s="106">
        <f>INDEX(SETORES!$B:$B,MATCH(A2666,SETORES!$A:$A,0))</f>
        <v/>
      </c>
      <c r="H2666" s="106" t="inlineStr">
        <is>
          <t>Setembro/2026</t>
        </is>
      </c>
    </row>
    <row r="2667">
      <c r="A2667" s="106" t="inlineStr">
        <is>
          <t>Oficina</t>
        </is>
      </c>
      <c r="B2667" s="106" t="inlineStr">
        <is>
          <t>Custo Variável</t>
        </is>
      </c>
      <c r="C2667" s="106" t="inlineStr">
        <is>
          <t>Combustível de frota</t>
        </is>
      </c>
      <c r="D2667" s="107" t="n"/>
      <c r="E2667" s="108" t="n"/>
      <c r="F2667" s="109">
        <f>IFERROR(D2667*E2667,0)</f>
        <v/>
      </c>
      <c r="G2667" s="106">
        <f>INDEX(SETORES!$B:$B,MATCH(A2667,SETORES!$A:$A,0))</f>
        <v/>
      </c>
      <c r="H2667" s="106" t="inlineStr">
        <is>
          <t>Setembro/2026</t>
        </is>
      </c>
    </row>
    <row r="2668">
      <c r="A2668" s="106" t="inlineStr">
        <is>
          <t>Oficina</t>
        </is>
      </c>
      <c r="B2668" s="106" t="inlineStr">
        <is>
          <t>Custo Variável</t>
        </is>
      </c>
      <c r="C2668" s="106" t="inlineStr">
        <is>
          <t>Manutenção de veículos</t>
        </is>
      </c>
      <c r="D2668" s="107" t="n"/>
      <c r="E2668" s="108" t="n"/>
      <c r="F2668" s="109">
        <f>IFERROR(D2668*E2668,0)</f>
        <v/>
      </c>
      <c r="G2668" s="106">
        <f>INDEX(SETORES!$B:$B,MATCH(A2668,SETORES!$A:$A,0))</f>
        <v/>
      </c>
      <c r="H2668" s="106" t="inlineStr">
        <is>
          <t>Setembro/2026</t>
        </is>
      </c>
    </row>
    <row r="2669">
      <c r="A2669" s="106" t="inlineStr">
        <is>
          <t>Oficina</t>
        </is>
      </c>
      <c r="B2669" s="106" t="inlineStr">
        <is>
          <t>Custo Variável</t>
        </is>
      </c>
      <c r="C2669" s="106" t="inlineStr">
        <is>
          <t>Rateio de transporte coletivo</t>
        </is>
      </c>
      <c r="D2669" s="107" t="n"/>
      <c r="E2669" s="108" t="n"/>
      <c r="F2669" s="109">
        <f>IFERROR(D2669*E2669,0)</f>
        <v/>
      </c>
      <c r="G2669" s="106">
        <f>INDEX(SETORES!$B:$B,MATCH(A2669,SETORES!$A:$A,0))</f>
        <v/>
      </c>
      <c r="H2669" s="106" t="inlineStr">
        <is>
          <t>Setembro/2026</t>
        </is>
      </c>
    </row>
    <row r="2670">
      <c r="A2670" s="106" t="inlineStr">
        <is>
          <t>Oficina</t>
        </is>
      </c>
      <c r="B2670" s="106" t="inlineStr">
        <is>
          <t>Custo Fixo</t>
        </is>
      </c>
      <c r="C2670" s="106" t="inlineStr">
        <is>
          <t>Gympass</t>
        </is>
      </c>
      <c r="D2670" s="107" t="n"/>
      <c r="E2670" s="108" t="n"/>
      <c r="F2670" s="109">
        <f>IFERROR(D2670*E2670,0)</f>
        <v/>
      </c>
      <c r="G2670" s="106">
        <f>INDEX(SETORES!$B:$B,MATCH(A2670,SETORES!$A:$A,0))</f>
        <v/>
      </c>
      <c r="H2670" s="106" t="inlineStr">
        <is>
          <t>Setembro/2026</t>
        </is>
      </c>
    </row>
    <row r="2671">
      <c r="A2671" s="106" t="inlineStr">
        <is>
          <t>Oficina</t>
        </is>
      </c>
      <c r="B2671" s="106" t="inlineStr">
        <is>
          <t>Custo Fixo</t>
        </is>
      </c>
      <c r="C2671" s="106" t="inlineStr">
        <is>
          <t>Stargrid</t>
        </is>
      </c>
      <c r="D2671" s="107" t="n">
        <v>4</v>
      </c>
      <c r="E2671" s="108" t="n">
        <v>1.87</v>
      </c>
      <c r="F2671" s="109">
        <f>IFERROR(D2671*E2671,0)</f>
        <v/>
      </c>
      <c r="G2671" s="106">
        <f>INDEX(SETORES!$B:$B,MATCH(A2671,SETORES!$A:$A,0))</f>
        <v/>
      </c>
      <c r="H2671" s="106" t="inlineStr">
        <is>
          <t>Setembro/2026</t>
        </is>
      </c>
    </row>
    <row r="2672">
      <c r="A2672" s="106" t="inlineStr">
        <is>
          <t>RH</t>
        </is>
      </c>
      <c r="B2672" s="106" t="inlineStr">
        <is>
          <t>Custo Fixo</t>
        </is>
      </c>
      <c r="C2672" s="106" t="inlineStr">
        <is>
          <t>Material de escritório (suprimentos de informática)</t>
        </is>
      </c>
      <c r="D2672" s="107" t="n">
        <v>1</v>
      </c>
      <c r="E2672" s="108" t="n">
        <v>9.85</v>
      </c>
      <c r="F2672" s="109">
        <f>IFERROR(D2672*E2672,0)</f>
        <v/>
      </c>
      <c r="G2672" s="106">
        <f>INDEX(SETORES!$B:$B,MATCH(A2672,SETORES!$A:$A,0))</f>
        <v/>
      </c>
      <c r="H2672" s="106" t="inlineStr">
        <is>
          <t>Setembro/2026</t>
        </is>
      </c>
    </row>
    <row r="2673">
      <c r="A2673" s="106" t="inlineStr">
        <is>
          <t>RH</t>
        </is>
      </c>
      <c r="B2673" s="106" t="inlineStr">
        <is>
          <t>Custo Fixo</t>
        </is>
      </c>
      <c r="C2673" s="106" t="inlineStr">
        <is>
          <t>Material de uso coletivo (copa/limpeza)</t>
        </is>
      </c>
      <c r="D2673" s="107" t="n">
        <v>1</v>
      </c>
      <c r="E2673" s="108" t="n">
        <v>167.98</v>
      </c>
      <c r="F2673" s="109">
        <f>IFERROR(D2673*E2673,0)</f>
        <v/>
      </c>
      <c r="G2673" s="106">
        <f>INDEX(SETORES!$B:$B,MATCH(A2673,SETORES!$A:$A,0))</f>
        <v/>
      </c>
      <c r="H2673" s="106" t="inlineStr">
        <is>
          <t>Setembro/2026</t>
        </is>
      </c>
    </row>
    <row r="2674">
      <c r="A2674" s="106" t="inlineStr">
        <is>
          <t>RH</t>
        </is>
      </c>
      <c r="B2674" s="106" t="inlineStr">
        <is>
          <t>Custo Fixo</t>
        </is>
      </c>
      <c r="C2674" s="106" t="inlineStr">
        <is>
          <t>Energia elétrica (rateio)</t>
        </is>
      </c>
      <c r="D2674" s="107" t="n"/>
      <c r="E2674" s="108" t="n"/>
      <c r="F2674" s="109">
        <f>IFERROR(D2674*E2674,0)</f>
        <v/>
      </c>
      <c r="G2674" s="106">
        <f>INDEX(SETORES!$B:$B,MATCH(A2674,SETORES!$A:$A,0))</f>
        <v/>
      </c>
      <c r="H2674" s="106" t="inlineStr">
        <is>
          <t>Setembro/2026</t>
        </is>
      </c>
    </row>
    <row r="2675">
      <c r="A2675" s="106" t="inlineStr">
        <is>
          <t>RH</t>
        </is>
      </c>
      <c r="B2675" s="106" t="inlineStr">
        <is>
          <t>Custo Fixo</t>
        </is>
      </c>
      <c r="C2675" s="106" t="inlineStr">
        <is>
          <t>Água e esgoto (rateio)</t>
        </is>
      </c>
      <c r="D2675" s="107" t="n"/>
      <c r="E2675" s="108" t="n"/>
      <c r="F2675" s="109">
        <f>IFERROR(D2675*E2675,0)</f>
        <v/>
      </c>
      <c r="G2675" s="106">
        <f>INDEX(SETORES!$B:$B,MATCH(A2675,SETORES!$A:$A,0))</f>
        <v/>
      </c>
      <c r="H2675" s="106" t="inlineStr">
        <is>
          <t>Setembro/2026</t>
        </is>
      </c>
    </row>
    <row r="2676">
      <c r="A2676" s="106" t="inlineStr">
        <is>
          <t>RH</t>
        </is>
      </c>
      <c r="B2676" s="106" t="inlineStr">
        <is>
          <t>Custo Fixo</t>
        </is>
      </c>
      <c r="C2676" s="106" t="inlineStr">
        <is>
          <t>Telefonia móvel corporativa</t>
        </is>
      </c>
      <c r="D2676" s="107" t="n"/>
      <c r="E2676" s="108" t="n"/>
      <c r="F2676" s="109">
        <f>IFERROR(D2676*E2676,0)</f>
        <v/>
      </c>
      <c r="G2676" s="106">
        <f>INDEX(SETORES!$B:$B,MATCH(A2676,SETORES!$A:$A,0))</f>
        <v/>
      </c>
      <c r="H2676" s="106" t="inlineStr">
        <is>
          <t>Setembro/2026</t>
        </is>
      </c>
    </row>
    <row r="2677">
      <c r="A2677" s="106" t="inlineStr">
        <is>
          <t>RH</t>
        </is>
      </c>
      <c r="B2677" s="106" t="inlineStr">
        <is>
          <t>Custo Fixo</t>
        </is>
      </c>
      <c r="C2677" s="106" t="inlineStr">
        <is>
          <t>Folha de pagamento (salários)</t>
        </is>
      </c>
      <c r="D2677" s="107" t="n">
        <v>1</v>
      </c>
      <c r="E2677" s="108" t="n">
        <v>30326.87</v>
      </c>
      <c r="F2677" s="109">
        <f>IFERROR(D2677*E2677,0)</f>
        <v/>
      </c>
      <c r="G2677" s="106">
        <f>INDEX(SETORES!$B:$B,MATCH(A2677,SETORES!$A:$A,0))</f>
        <v/>
      </c>
      <c r="H2677" s="106" t="inlineStr">
        <is>
          <t>Setembro/2026</t>
        </is>
      </c>
    </row>
    <row r="2678">
      <c r="A2678" s="106" t="inlineStr">
        <is>
          <t>RH</t>
        </is>
      </c>
      <c r="B2678" s="106" t="inlineStr">
        <is>
          <t>Custo Variável</t>
        </is>
      </c>
      <c r="C2678" s="106" t="inlineStr">
        <is>
          <t>Fardamento novo (compra corporativa)</t>
        </is>
      </c>
      <c r="D2678" s="107" t="n"/>
      <c r="E2678" s="108" t="n"/>
      <c r="F2678" s="109">
        <f>IFERROR(D2678*E2678,0)</f>
        <v/>
      </c>
      <c r="G2678" s="106">
        <f>INDEX(SETORES!$B:$B,MATCH(A2678,SETORES!$A:$A,0))</f>
        <v/>
      </c>
      <c r="H2678" s="106" t="inlineStr">
        <is>
          <t>Setembro/2026</t>
        </is>
      </c>
    </row>
    <row r="2679">
      <c r="A2679" s="106" t="inlineStr">
        <is>
          <t>RH</t>
        </is>
      </c>
      <c r="B2679" s="106" t="inlineStr">
        <is>
          <t>Custo Variável</t>
        </is>
      </c>
      <c r="C2679" s="106" t="inlineStr">
        <is>
          <t>Fardamento substituição (compra corporativa)</t>
        </is>
      </c>
      <c r="D2679" s="107" t="n"/>
      <c r="E2679" s="108" t="n"/>
      <c r="F2679" s="109">
        <f>IFERROR(D2679*E2679,0)</f>
        <v/>
      </c>
      <c r="G2679" s="106">
        <f>INDEX(SETORES!$B:$B,MATCH(A2679,SETORES!$A:$A,0))</f>
        <v/>
      </c>
      <c r="H2679" s="106" t="inlineStr">
        <is>
          <t>Setembro/2026</t>
        </is>
      </c>
    </row>
    <row r="2680">
      <c r="A2680" s="106" t="inlineStr">
        <is>
          <t>RH</t>
        </is>
      </c>
      <c r="B2680" s="106" t="inlineStr">
        <is>
          <t>Custo Fixo</t>
        </is>
      </c>
      <c r="C2680" s="106" t="inlineStr">
        <is>
          <t>Treinamento e capacitação</t>
        </is>
      </c>
      <c r="D2680" s="107" t="n"/>
      <c r="E2680" s="108" t="n"/>
      <c r="F2680" s="109">
        <f>IFERROR(D2680*E2680,0)</f>
        <v/>
      </c>
      <c r="G2680" s="106">
        <f>INDEX(SETORES!$B:$B,MATCH(A2680,SETORES!$A:$A,0))</f>
        <v/>
      </c>
      <c r="H2680" s="106" t="inlineStr">
        <is>
          <t>Setembro/2026</t>
        </is>
      </c>
    </row>
    <row r="2681">
      <c r="A2681" s="106" t="inlineStr">
        <is>
          <t>RH</t>
        </is>
      </c>
      <c r="B2681" s="106" t="inlineStr">
        <is>
          <t>Custo Variável</t>
        </is>
      </c>
      <c r="C2681" s="106" t="inlineStr">
        <is>
          <t>Recrutamento e seleção</t>
        </is>
      </c>
      <c r="D2681" s="107" t="n"/>
      <c r="E2681" s="108" t="n"/>
      <c r="F2681" s="109">
        <f>IFERROR(D2681*E2681,0)</f>
        <v/>
      </c>
      <c r="G2681" s="106">
        <f>INDEX(SETORES!$B:$B,MATCH(A2681,SETORES!$A:$A,0))</f>
        <v/>
      </c>
      <c r="H2681" s="106" t="inlineStr">
        <is>
          <t>Setembro/2026</t>
        </is>
      </c>
    </row>
    <row r="2682">
      <c r="A2682" s="106" t="inlineStr">
        <is>
          <t>RH</t>
        </is>
      </c>
      <c r="B2682" s="106" t="inlineStr">
        <is>
          <t>Custo Fixo</t>
        </is>
      </c>
      <c r="C2682" s="106" t="inlineStr">
        <is>
          <t>Ações de endomarketing</t>
        </is>
      </c>
      <c r="D2682" s="107" t="n"/>
      <c r="E2682" s="108" t="n"/>
      <c r="F2682" s="109">
        <f>IFERROR(D2682*E2682,0)</f>
        <v/>
      </c>
      <c r="G2682" s="106">
        <f>INDEX(SETORES!$B:$B,MATCH(A2682,SETORES!$A:$A,0))</f>
        <v/>
      </c>
      <c r="H2682" s="106" t="inlineStr">
        <is>
          <t>Setembro/2026</t>
        </is>
      </c>
    </row>
    <row r="2683">
      <c r="A2683" s="106" t="inlineStr">
        <is>
          <t>RH</t>
        </is>
      </c>
      <c r="B2683" s="106" t="inlineStr">
        <is>
          <t>Custo Fixo</t>
        </is>
      </c>
      <c r="C2683" s="106" t="inlineStr">
        <is>
          <t>Pesquisa de clima organizacional</t>
        </is>
      </c>
      <c r="D2683" s="107" t="n"/>
      <c r="E2683" s="108" t="n"/>
      <c r="F2683" s="109">
        <f>IFERROR(D2683*E2683,0)</f>
        <v/>
      </c>
      <c r="G2683" s="106">
        <f>INDEX(SETORES!$B:$B,MATCH(A2683,SETORES!$A:$A,0))</f>
        <v/>
      </c>
      <c r="H2683" s="106" t="inlineStr">
        <is>
          <t>Setembro/2026</t>
        </is>
      </c>
    </row>
    <row r="2684">
      <c r="A2684" s="106" t="inlineStr">
        <is>
          <t>RH</t>
        </is>
      </c>
      <c r="B2684" s="106" t="inlineStr">
        <is>
          <t>Custo Fixo</t>
        </is>
      </c>
      <c r="C2684" s="106" t="inlineStr">
        <is>
          <t>Licença de e-mail corporativo</t>
        </is>
      </c>
      <c r="D2684" s="107" t="n">
        <v>6</v>
      </c>
      <c r="E2684" s="108" t="n">
        <v>50</v>
      </c>
      <c r="F2684" s="109">
        <f>IFERROR(D2684*E2684,0)</f>
        <v/>
      </c>
      <c r="G2684" s="106">
        <f>INDEX(SETORES!$B:$B,MATCH(A2684,SETORES!$A:$A,0))</f>
        <v/>
      </c>
      <c r="H2684" s="106" t="inlineStr">
        <is>
          <t>Setembro/2026</t>
        </is>
      </c>
    </row>
    <row r="2685">
      <c r="A2685" s="106" t="inlineStr">
        <is>
          <t>RH</t>
        </is>
      </c>
      <c r="B2685" s="106" t="inlineStr">
        <is>
          <t>Custo Fixo</t>
        </is>
      </c>
      <c r="C2685" s="106" t="inlineStr">
        <is>
          <t>Impressora</t>
        </is>
      </c>
      <c r="D2685" s="107" t="n"/>
      <c r="E2685" s="108" t="n"/>
      <c r="F2685" s="109">
        <f>IFERROR(D2685*E2685,0)</f>
        <v/>
      </c>
      <c r="G2685" s="106">
        <f>INDEX(SETORES!$B:$B,MATCH(A2685,SETORES!$A:$A,0))</f>
        <v/>
      </c>
      <c r="H2685" s="106" t="inlineStr">
        <is>
          <t>Setembro/2026</t>
        </is>
      </c>
    </row>
    <row r="2686">
      <c r="A2686" s="106" t="inlineStr">
        <is>
          <t>RH</t>
        </is>
      </c>
      <c r="B2686" s="106" t="inlineStr">
        <is>
          <t>Custo Fixo</t>
        </is>
      </c>
      <c r="C2686" s="106" t="inlineStr">
        <is>
          <t>Gympass</t>
        </is>
      </c>
      <c r="D2686" s="107" t="n"/>
      <c r="E2686" s="108" t="n"/>
      <c r="F2686" s="109">
        <f>IFERROR(D2686*E2686,0)</f>
        <v/>
      </c>
      <c r="G2686" s="106">
        <f>INDEX(SETORES!$B:$B,MATCH(A2686,SETORES!$A:$A,0))</f>
        <v/>
      </c>
      <c r="H2686" s="106" t="inlineStr">
        <is>
          <t>Setembro/2026</t>
        </is>
      </c>
    </row>
    <row r="2687">
      <c r="A2687" s="106" t="inlineStr">
        <is>
          <t>RH</t>
        </is>
      </c>
      <c r="B2687" s="106" t="inlineStr">
        <is>
          <t>Custo Fixo</t>
        </is>
      </c>
      <c r="C2687" s="106" t="inlineStr">
        <is>
          <t>Stargrid</t>
        </is>
      </c>
      <c r="D2687" s="107" t="n">
        <v>6</v>
      </c>
      <c r="E2687" s="108" t="n">
        <v>1.87</v>
      </c>
      <c r="F2687" s="109">
        <f>IFERROR(D2687*E2687,0)</f>
        <v/>
      </c>
      <c r="G2687" s="106">
        <f>INDEX(SETORES!$B:$B,MATCH(A2687,SETORES!$A:$A,0))</f>
        <v/>
      </c>
      <c r="H2687" s="106" t="inlineStr">
        <is>
          <t>Setembro/2026</t>
        </is>
      </c>
    </row>
    <row r="2688">
      <c r="A2688" s="106" t="inlineStr">
        <is>
          <t>Retenção</t>
        </is>
      </c>
      <c r="B2688" s="106" t="inlineStr">
        <is>
          <t>Custo Fixo</t>
        </is>
      </c>
      <c r="C2688" s="106" t="inlineStr">
        <is>
          <t>Material de escritório (suprimentos de informática)</t>
        </is>
      </c>
      <c r="D2688" s="107" t="n">
        <v>1</v>
      </c>
      <c r="E2688" s="108" t="n">
        <v>3.45</v>
      </c>
      <c r="F2688" s="109">
        <f>IFERROR(D2688*E2688,0)</f>
        <v/>
      </c>
      <c r="G2688" s="106">
        <f>INDEX(SETORES!$B:$B,MATCH(A2688,SETORES!$A:$A,0))</f>
        <v/>
      </c>
      <c r="H2688" s="106" t="inlineStr">
        <is>
          <t>Setembro/2026</t>
        </is>
      </c>
    </row>
    <row r="2689">
      <c r="A2689" s="106" t="inlineStr">
        <is>
          <t>Retenção</t>
        </is>
      </c>
      <c r="B2689" s="106" t="inlineStr">
        <is>
          <t>Custo Fixo</t>
        </is>
      </c>
      <c r="C2689" s="106" t="inlineStr">
        <is>
          <t>Material de uso coletivo (copa/limpeza)</t>
        </is>
      </c>
      <c r="D2689" s="107" t="n">
        <v>1</v>
      </c>
      <c r="E2689" s="108" t="n">
        <v>606.65</v>
      </c>
      <c r="F2689" s="109">
        <f>IFERROR(D2689*E2689,0)</f>
        <v/>
      </c>
      <c r="G2689" s="106">
        <f>INDEX(SETORES!$B:$B,MATCH(A2689,SETORES!$A:$A,0))</f>
        <v/>
      </c>
      <c r="H2689" s="106" t="inlineStr">
        <is>
          <t>Setembro/2026</t>
        </is>
      </c>
    </row>
    <row r="2690">
      <c r="A2690" s="106" t="inlineStr">
        <is>
          <t>Retenção</t>
        </is>
      </c>
      <c r="B2690" s="106" t="inlineStr">
        <is>
          <t>Custo Fixo</t>
        </is>
      </c>
      <c r="C2690" s="106" t="inlineStr">
        <is>
          <t>Energia elétrica (rateio)</t>
        </is>
      </c>
      <c r="D2690" s="107" t="n"/>
      <c r="E2690" s="108" t="n"/>
      <c r="F2690" s="109">
        <f>IFERROR(D2690*E2690,0)</f>
        <v/>
      </c>
      <c r="G2690" s="106">
        <f>INDEX(SETORES!$B:$B,MATCH(A2690,SETORES!$A:$A,0))</f>
        <v/>
      </c>
      <c r="H2690" s="106" t="inlineStr">
        <is>
          <t>Setembro/2026</t>
        </is>
      </c>
    </row>
    <row r="2691">
      <c r="A2691" s="106" t="inlineStr">
        <is>
          <t>Retenção</t>
        </is>
      </c>
      <c r="B2691" s="106" t="inlineStr">
        <is>
          <t>Custo Fixo</t>
        </is>
      </c>
      <c r="C2691" s="106" t="inlineStr">
        <is>
          <t>Água e esgoto (rateio)</t>
        </is>
      </c>
      <c r="D2691" s="107" t="n"/>
      <c r="E2691" s="108" t="n"/>
      <c r="F2691" s="109">
        <f>IFERROR(D2691*E2691,0)</f>
        <v/>
      </c>
      <c r="G2691" s="106">
        <f>INDEX(SETORES!$B:$B,MATCH(A2691,SETORES!$A:$A,0))</f>
        <v/>
      </c>
      <c r="H2691" s="106" t="inlineStr">
        <is>
          <t>Setembro/2026</t>
        </is>
      </c>
    </row>
    <row r="2692">
      <c r="A2692" s="106" t="inlineStr">
        <is>
          <t>Retenção</t>
        </is>
      </c>
      <c r="B2692" s="106" t="inlineStr">
        <is>
          <t>Custo Fixo</t>
        </is>
      </c>
      <c r="C2692" s="106" t="inlineStr">
        <is>
          <t>Telefonia móvel corporativa</t>
        </is>
      </c>
      <c r="D2692" s="107" t="n"/>
      <c r="E2692" s="108" t="n"/>
      <c r="F2692" s="109">
        <f>IFERROR(D2692*E2692,0)</f>
        <v/>
      </c>
      <c r="G2692" s="106">
        <f>INDEX(SETORES!$B:$B,MATCH(A2692,SETORES!$A:$A,0))</f>
        <v/>
      </c>
      <c r="H2692" s="106" t="inlineStr">
        <is>
          <t>Setembro/2026</t>
        </is>
      </c>
    </row>
    <row r="2693">
      <c r="A2693" s="106" t="inlineStr">
        <is>
          <t>Retenção</t>
        </is>
      </c>
      <c r="B2693" s="106" t="inlineStr">
        <is>
          <t>Custo Fixo</t>
        </is>
      </c>
      <c r="C2693" s="106" t="inlineStr">
        <is>
          <t>Folha de pagamento (salários)</t>
        </is>
      </c>
      <c r="D2693" s="107" t="n">
        <v>1</v>
      </c>
      <c r="E2693" s="108" t="n">
        <v>41989.1</v>
      </c>
      <c r="F2693" s="109">
        <f>IFERROR(D2693*E2693,0)</f>
        <v/>
      </c>
      <c r="G2693" s="106">
        <f>INDEX(SETORES!$B:$B,MATCH(A2693,SETORES!$A:$A,0))</f>
        <v/>
      </c>
      <c r="H2693" s="106" t="inlineStr">
        <is>
          <t>Setembro/2026</t>
        </is>
      </c>
    </row>
    <row r="2694">
      <c r="A2694" s="106" t="inlineStr">
        <is>
          <t>Retenção</t>
        </is>
      </c>
      <c r="B2694" s="106" t="inlineStr">
        <is>
          <t>Custo Variável</t>
        </is>
      </c>
      <c r="C2694" s="106" t="inlineStr">
        <is>
          <t>Fardamento novo</t>
        </is>
      </c>
      <c r="D2694" s="107" t="n"/>
      <c r="E2694" s="108" t="n"/>
      <c r="F2694" s="109">
        <f>IFERROR(D2694*E2694,0)</f>
        <v/>
      </c>
      <c r="G2694" s="106">
        <f>INDEX(SETORES!$B:$B,MATCH(A2694,SETORES!$A:$A,0))</f>
        <v/>
      </c>
      <c r="H2694" s="106" t="inlineStr">
        <is>
          <t>Setembro/2026</t>
        </is>
      </c>
    </row>
    <row r="2695">
      <c r="A2695" s="106" t="inlineStr">
        <is>
          <t>Retenção</t>
        </is>
      </c>
      <c r="B2695" s="106" t="inlineStr">
        <is>
          <t>Custo Variável</t>
        </is>
      </c>
      <c r="C2695" s="106" t="inlineStr">
        <is>
          <t>Fardamento substituição</t>
        </is>
      </c>
      <c r="D2695" s="107" t="n"/>
      <c r="E2695" s="108" t="n"/>
      <c r="F2695" s="109">
        <f>IFERROR(D2695*E2695,0)</f>
        <v/>
      </c>
      <c r="G2695" s="106">
        <f>INDEX(SETORES!$B:$B,MATCH(A2695,SETORES!$A:$A,0))</f>
        <v/>
      </c>
      <c r="H2695" s="106" t="inlineStr">
        <is>
          <t>Setembro/2026</t>
        </is>
      </c>
    </row>
    <row r="2696">
      <c r="A2696" s="106" t="inlineStr">
        <is>
          <t>Retenção</t>
        </is>
      </c>
      <c r="B2696" s="106" t="inlineStr">
        <is>
          <t>Custo Variável</t>
        </is>
      </c>
      <c r="C2696" s="106" t="inlineStr">
        <is>
          <t>Rescisões trabalhistas</t>
        </is>
      </c>
      <c r="D2696" s="107" t="n"/>
      <c r="E2696" s="108" t="n"/>
      <c r="F2696" s="109">
        <f>IFERROR(D2696*E2696,0)</f>
        <v/>
      </c>
      <c r="G2696" s="106">
        <f>INDEX(SETORES!$B:$B,MATCH(A2696,SETORES!$A:$A,0))</f>
        <v/>
      </c>
      <c r="H2696" s="106" t="inlineStr">
        <is>
          <t>Setembro/2026</t>
        </is>
      </c>
    </row>
    <row r="2697">
      <c r="A2697" s="106" t="inlineStr">
        <is>
          <t>Retenção</t>
        </is>
      </c>
      <c r="B2697" s="106" t="inlineStr">
        <is>
          <t>Custo Fixo</t>
        </is>
      </c>
      <c r="C2697" s="106" t="inlineStr">
        <is>
          <t>Licença de e-mail corporativo</t>
        </is>
      </c>
      <c r="D2697" s="107" t="n">
        <v>12</v>
      </c>
      <c r="E2697" s="108" t="n">
        <v>50</v>
      </c>
      <c r="F2697" s="109">
        <f>IFERROR(D2697*E2697,0)</f>
        <v/>
      </c>
      <c r="G2697" s="106">
        <f>INDEX(SETORES!$B:$B,MATCH(A2697,SETORES!$A:$A,0))</f>
        <v/>
      </c>
      <c r="H2697" s="106" t="inlineStr">
        <is>
          <t>Setembro/2026</t>
        </is>
      </c>
    </row>
    <row r="2698">
      <c r="A2698" s="106" t="inlineStr">
        <is>
          <t>Retenção</t>
        </is>
      </c>
      <c r="B2698" s="106" t="inlineStr">
        <is>
          <t>Custo Fixo</t>
        </is>
      </c>
      <c r="C2698" s="106" t="inlineStr">
        <is>
          <t>Software MATRIX (rateio equipe Relacionamento)</t>
        </is>
      </c>
      <c r="D2698" s="107" t="n"/>
      <c r="E2698" s="108" t="n"/>
      <c r="F2698" s="109">
        <f>IFERROR(D2698*E2698,0)</f>
        <v/>
      </c>
      <c r="G2698" s="106">
        <f>INDEX(SETORES!$B:$B,MATCH(A2698,SETORES!$A:$A,0))</f>
        <v/>
      </c>
      <c r="H2698" s="106" t="inlineStr">
        <is>
          <t>Setembro/2026</t>
        </is>
      </c>
    </row>
    <row r="2699">
      <c r="A2699" s="106" t="inlineStr">
        <is>
          <t>Retenção</t>
        </is>
      </c>
      <c r="B2699" s="106" t="inlineStr">
        <is>
          <t>Custo Fixo</t>
        </is>
      </c>
      <c r="C2699" s="106" t="inlineStr">
        <is>
          <t>Impressora (rateio equipe Relacionamento)</t>
        </is>
      </c>
      <c r="D2699" s="107" t="n"/>
      <c r="E2699" s="108" t="n"/>
      <c r="F2699" s="109">
        <f>IFERROR(D2699*E2699,0)</f>
        <v/>
      </c>
      <c r="G2699" s="106">
        <f>INDEX(SETORES!$B:$B,MATCH(A2699,SETORES!$A:$A,0))</f>
        <v/>
      </c>
      <c r="H2699" s="106" t="inlineStr">
        <is>
          <t>Setembro/2026</t>
        </is>
      </c>
    </row>
    <row r="2700">
      <c r="A2700" s="106" t="inlineStr">
        <is>
          <t>Retenção</t>
        </is>
      </c>
      <c r="B2700" s="106" t="inlineStr">
        <is>
          <t>Custo Fixo</t>
        </is>
      </c>
      <c r="C2700" s="106" t="inlineStr">
        <is>
          <t>Gympass</t>
        </is>
      </c>
      <c r="D2700" s="107" t="n"/>
      <c r="E2700" s="108" t="n"/>
      <c r="F2700" s="109">
        <f>IFERROR(D2700*E2700,0)</f>
        <v/>
      </c>
      <c r="G2700" s="106">
        <f>INDEX(SETORES!$B:$B,MATCH(A2700,SETORES!$A:$A,0))</f>
        <v/>
      </c>
      <c r="H2700" s="106" t="inlineStr">
        <is>
          <t>Setembro/2026</t>
        </is>
      </c>
    </row>
    <row r="2701">
      <c r="A2701" s="106" t="inlineStr">
        <is>
          <t>Retenção</t>
        </is>
      </c>
      <c r="B2701" s="106" t="inlineStr">
        <is>
          <t>Custo Fixo</t>
        </is>
      </c>
      <c r="C2701" s="106" t="inlineStr">
        <is>
          <t>Stargrid</t>
        </is>
      </c>
      <c r="D2701" s="107" t="n">
        <v>12</v>
      </c>
      <c r="E2701" s="108" t="n">
        <v>1.87</v>
      </c>
      <c r="F2701" s="109">
        <f>IFERROR(D2701*E2701,0)</f>
        <v/>
      </c>
      <c r="G2701" s="106">
        <f>INDEX(SETORES!$B:$B,MATCH(A2701,SETORES!$A:$A,0))</f>
        <v/>
      </c>
      <c r="H2701" s="106" t="inlineStr">
        <is>
          <t>Setembro/2026</t>
        </is>
      </c>
    </row>
    <row r="2702">
      <c r="A2702" s="106" t="inlineStr">
        <is>
          <t>Segurança do Trabalho</t>
        </is>
      </c>
      <c r="B2702" s="106" t="inlineStr">
        <is>
          <t>Custo Fixo</t>
        </is>
      </c>
      <c r="C2702" s="106" t="inlineStr">
        <is>
          <t>Material de escritório (suprimentos de informática)</t>
        </is>
      </c>
      <c r="D2702" s="107" t="n">
        <v>1</v>
      </c>
      <c r="E2702" s="108" t="n">
        <v>56.96</v>
      </c>
      <c r="F2702" s="109">
        <f>IFERROR(D2702*E2702,0)</f>
        <v/>
      </c>
      <c r="G2702" s="106">
        <f>INDEX(SETORES!$B:$B,MATCH(A2702,SETORES!$A:$A,0))</f>
        <v/>
      </c>
      <c r="H2702" s="106" t="inlineStr">
        <is>
          <t>Setembro/2026</t>
        </is>
      </c>
    </row>
    <row r="2703">
      <c r="A2703" s="106" t="inlineStr">
        <is>
          <t>Segurança do Trabalho</t>
        </is>
      </c>
      <c r="B2703" s="106" t="inlineStr">
        <is>
          <t>Custo Fixo</t>
        </is>
      </c>
      <c r="C2703" s="106" t="inlineStr">
        <is>
          <t>Material de uso coletivo (copa/limpeza)</t>
        </is>
      </c>
      <c r="D2703" s="107" t="n"/>
      <c r="E2703" s="108" t="n"/>
      <c r="F2703" s="109">
        <f>IFERROR(D2703*E2703,0)</f>
        <v/>
      </c>
      <c r="G2703" s="106">
        <f>INDEX(SETORES!$B:$B,MATCH(A2703,SETORES!$A:$A,0))</f>
        <v/>
      </c>
      <c r="H2703" s="106" t="inlineStr">
        <is>
          <t>Setembro/2026</t>
        </is>
      </c>
    </row>
    <row r="2704">
      <c r="A2704" s="106" t="inlineStr">
        <is>
          <t>Segurança do Trabalho</t>
        </is>
      </c>
      <c r="B2704" s="106" t="inlineStr">
        <is>
          <t>Custo Fixo</t>
        </is>
      </c>
      <c r="C2704" s="106" t="inlineStr">
        <is>
          <t>Energia elétrica (rateio)</t>
        </is>
      </c>
      <c r="D2704" s="107" t="n"/>
      <c r="E2704" s="108" t="n"/>
      <c r="F2704" s="109">
        <f>IFERROR(D2704*E2704,0)</f>
        <v/>
      </c>
      <c r="G2704" s="106">
        <f>INDEX(SETORES!$B:$B,MATCH(A2704,SETORES!$A:$A,0))</f>
        <v/>
      </c>
      <c r="H2704" s="106" t="inlineStr">
        <is>
          <t>Setembro/2026</t>
        </is>
      </c>
    </row>
    <row r="2705">
      <c r="A2705" s="106" t="inlineStr">
        <is>
          <t>Segurança do Trabalho</t>
        </is>
      </c>
      <c r="B2705" s="106" t="inlineStr">
        <is>
          <t>Custo Fixo</t>
        </is>
      </c>
      <c r="C2705" s="106" t="inlineStr">
        <is>
          <t>Água e esgoto (rateio)</t>
        </is>
      </c>
      <c r="D2705" s="107" t="n"/>
      <c r="E2705" s="108" t="n"/>
      <c r="F2705" s="109">
        <f>IFERROR(D2705*E2705,0)</f>
        <v/>
      </c>
      <c r="G2705" s="106">
        <f>INDEX(SETORES!$B:$B,MATCH(A2705,SETORES!$A:$A,0))</f>
        <v/>
      </c>
      <c r="H2705" s="106" t="inlineStr">
        <is>
          <t>Setembro/2026</t>
        </is>
      </c>
    </row>
    <row r="2706">
      <c r="A2706" s="106" t="inlineStr">
        <is>
          <t>Segurança do Trabalho</t>
        </is>
      </c>
      <c r="B2706" s="106" t="inlineStr">
        <is>
          <t>Custo Fixo</t>
        </is>
      </c>
      <c r="C2706" s="106" t="inlineStr">
        <is>
          <t>Telefonia móvel corporativa</t>
        </is>
      </c>
      <c r="D2706" s="107" t="n"/>
      <c r="E2706" s="108" t="n"/>
      <c r="F2706" s="109">
        <f>IFERROR(D2706*E2706,0)</f>
        <v/>
      </c>
      <c r="G2706" s="106">
        <f>INDEX(SETORES!$B:$B,MATCH(A2706,SETORES!$A:$A,0))</f>
        <v/>
      </c>
      <c r="H2706" s="106" t="inlineStr">
        <is>
          <t>Setembro/2026</t>
        </is>
      </c>
    </row>
    <row r="2707">
      <c r="A2707" s="106" t="inlineStr">
        <is>
          <t>Segurança do Trabalho</t>
        </is>
      </c>
      <c r="B2707" s="106" t="inlineStr">
        <is>
          <t>Custo Fixo</t>
        </is>
      </c>
      <c r="C2707" s="106" t="inlineStr">
        <is>
          <t>Folha de pagamento (salários)</t>
        </is>
      </c>
      <c r="D2707" s="107" t="n">
        <v>1</v>
      </c>
      <c r="E2707" s="108" t="n">
        <v>43760.48</v>
      </c>
      <c r="F2707" s="109">
        <f>IFERROR(D2707*E2707,0)</f>
        <v/>
      </c>
      <c r="G2707" s="106">
        <f>INDEX(SETORES!$B:$B,MATCH(A2707,SETORES!$A:$A,0))</f>
        <v/>
      </c>
      <c r="H2707" s="106" t="inlineStr">
        <is>
          <t>Setembro/2026</t>
        </is>
      </c>
    </row>
    <row r="2708">
      <c r="A2708" s="106" t="inlineStr">
        <is>
          <t>Segurança do Trabalho</t>
        </is>
      </c>
      <c r="B2708" s="106" t="inlineStr">
        <is>
          <t>Custo Variável</t>
        </is>
      </c>
      <c r="C2708" s="106" t="inlineStr">
        <is>
          <t>EPIs - Equipamento de Proteção Individual</t>
        </is>
      </c>
      <c r="D2708" s="107" t="n"/>
      <c r="E2708" s="108" t="n"/>
      <c r="F2708" s="109">
        <f>IFERROR(D2708*E2708,0)</f>
        <v/>
      </c>
      <c r="G2708" s="106">
        <f>INDEX(SETORES!$B:$B,MATCH(A2708,SETORES!$A:$A,0))</f>
        <v/>
      </c>
      <c r="H2708" s="106" t="inlineStr">
        <is>
          <t>Setembro/2026</t>
        </is>
      </c>
    </row>
    <row r="2709">
      <c r="A2709" s="106" t="inlineStr">
        <is>
          <t>Cobrança</t>
        </is>
      </c>
      <c r="B2709" s="106" t="inlineStr">
        <is>
          <t>Custo Variável</t>
        </is>
      </c>
      <c r="C2709" s="106" t="inlineStr">
        <is>
          <t>Exames médicos</t>
        </is>
      </c>
      <c r="D2709" s="107" t="n"/>
      <c r="E2709" s="108" t="n"/>
      <c r="F2709" s="109">
        <f>IFERROR(D2709*E2709,0)</f>
        <v/>
      </c>
      <c r="G2709" s="106">
        <f>INDEX(SETORES!$B:$B,MATCH(A2709,SETORES!$A:$A,0))</f>
        <v/>
      </c>
      <c r="H2709" s="106" t="inlineStr">
        <is>
          <t>Setembro/2026</t>
        </is>
      </c>
    </row>
    <row r="2710">
      <c r="A2710" s="106" t="inlineStr">
        <is>
          <t>NRC</t>
        </is>
      </c>
      <c r="B2710" s="106" t="inlineStr">
        <is>
          <t>Custo Variável</t>
        </is>
      </c>
      <c r="C2710" s="106" t="inlineStr">
        <is>
          <t>Exames médicos</t>
        </is>
      </c>
      <c r="D2710" s="107" t="n"/>
      <c r="E2710" s="108" t="n"/>
      <c r="F2710" s="109">
        <f>IFERROR(D2710*E2710,0)</f>
        <v/>
      </c>
      <c r="G2710" s="106">
        <f>INDEX(SETORES!$B:$B,MATCH(A2710,SETORES!$A:$A,0))</f>
        <v/>
      </c>
      <c r="H2710" s="106" t="inlineStr">
        <is>
          <t>Setembro/2026</t>
        </is>
      </c>
    </row>
    <row r="2711">
      <c r="A2711" s="106" t="inlineStr">
        <is>
          <t>Suporte da Central</t>
        </is>
      </c>
      <c r="B2711" s="106" t="inlineStr">
        <is>
          <t>Custo Variável</t>
        </is>
      </c>
      <c r="C2711" s="106" t="inlineStr">
        <is>
          <t>Exames médicos</t>
        </is>
      </c>
      <c r="D2711" s="107" t="n"/>
      <c r="E2711" s="108" t="n"/>
      <c r="F2711" s="109">
        <f>IFERROR(D2711*E2711,0)</f>
        <v/>
      </c>
      <c r="G2711" s="106">
        <f>INDEX(SETORES!$B:$B,MATCH(A2711,SETORES!$A:$A,0))</f>
        <v/>
      </c>
      <c r="H2711" s="106" t="inlineStr">
        <is>
          <t>Setembro/2026</t>
        </is>
      </c>
    </row>
    <row r="2712">
      <c r="A2712" s="106" t="inlineStr">
        <is>
          <t>Manutenção Predial</t>
        </is>
      </c>
      <c r="B2712" s="106" t="inlineStr">
        <is>
          <t>Custo Variável</t>
        </is>
      </c>
      <c r="C2712" s="106" t="inlineStr">
        <is>
          <t>Exames médicos</t>
        </is>
      </c>
      <c r="D2712" s="107" t="n"/>
      <c r="E2712" s="108" t="n"/>
      <c r="F2712" s="109">
        <f>IFERROR(D2712*E2712,0)</f>
        <v/>
      </c>
      <c r="G2712" s="106">
        <f>INDEX(SETORES!$B:$B,MATCH(A2712,SETORES!$A:$A,0))</f>
        <v/>
      </c>
      <c r="H2712" s="106" t="inlineStr">
        <is>
          <t>Setembro/2026</t>
        </is>
      </c>
    </row>
    <row r="2713">
      <c r="A2713" s="106" t="inlineStr">
        <is>
          <t>Segurança do Trabalho</t>
        </is>
      </c>
      <c r="B2713" s="106" t="inlineStr">
        <is>
          <t>Custo Variável</t>
        </is>
      </c>
      <c r="C2713" s="106" t="inlineStr">
        <is>
          <t>Exames médicos</t>
        </is>
      </c>
      <c r="D2713" s="107" t="n"/>
      <c r="E2713" s="108" t="n"/>
      <c r="F2713" s="109">
        <f>IFERROR(D2713*E2713,0)</f>
        <v/>
      </c>
      <c r="G2713" s="106">
        <f>INDEX(SETORES!$B:$B,MATCH(A2713,SETORES!$A:$A,0))</f>
        <v/>
      </c>
      <c r="H2713" s="106" t="inlineStr">
        <is>
          <t>Setembro/2026</t>
        </is>
      </c>
    </row>
    <row r="2714">
      <c r="A2714" s="106" t="inlineStr">
        <is>
          <t>Segurança do Trabalho</t>
        </is>
      </c>
      <c r="B2714" s="106" t="inlineStr">
        <is>
          <t>Custo Variável</t>
        </is>
      </c>
      <c r="C2714" s="106" t="inlineStr">
        <is>
          <t>Fardamento novo</t>
        </is>
      </c>
      <c r="D2714" s="107" t="n"/>
      <c r="E2714" s="108" t="n"/>
      <c r="F2714" s="109">
        <f>IFERROR(D2714*E2714,0)</f>
        <v/>
      </c>
      <c r="G2714" s="106">
        <f>INDEX(SETORES!$B:$B,MATCH(A2714,SETORES!$A:$A,0))</f>
        <v/>
      </c>
      <c r="H2714" s="106" t="inlineStr">
        <is>
          <t>Setembro/2026</t>
        </is>
      </c>
    </row>
    <row r="2715">
      <c r="A2715" s="106" t="inlineStr">
        <is>
          <t>Segurança do Trabalho</t>
        </is>
      </c>
      <c r="B2715" s="106" t="inlineStr">
        <is>
          <t>Custo Variável</t>
        </is>
      </c>
      <c r="C2715" s="106" t="inlineStr">
        <is>
          <t>Fardamento substituição</t>
        </is>
      </c>
      <c r="D2715" s="107" t="n">
        <v>1</v>
      </c>
      <c r="E2715" s="108" t="n">
        <v>204</v>
      </c>
      <c r="F2715" s="109">
        <f>IFERROR(D2715*E2715,0)</f>
        <v/>
      </c>
      <c r="G2715" s="106">
        <f>INDEX(SETORES!$B:$B,MATCH(A2715,SETORES!$A:$A,0))</f>
        <v/>
      </c>
      <c r="H2715" s="106" t="inlineStr">
        <is>
          <t>Setembro/2026</t>
        </is>
      </c>
    </row>
    <row r="2716">
      <c r="A2716" s="106" t="inlineStr">
        <is>
          <t>Segurança do Trabalho</t>
        </is>
      </c>
      <c r="B2716" s="106" t="inlineStr">
        <is>
          <t>Custo Variável</t>
        </is>
      </c>
      <c r="C2716" s="106" t="inlineStr">
        <is>
          <t>Rateio de transporte coletivo</t>
        </is>
      </c>
      <c r="D2716" s="107" t="n"/>
      <c r="E2716" s="108" t="n"/>
      <c r="F2716" s="109">
        <f>IFERROR(D2716*E2716,0)</f>
        <v/>
      </c>
      <c r="G2716" s="106">
        <f>INDEX(SETORES!$B:$B,MATCH(A2716,SETORES!$A:$A,0))</f>
        <v/>
      </c>
      <c r="H2716" s="106" t="inlineStr">
        <is>
          <t>Setembro/2026</t>
        </is>
      </c>
    </row>
    <row r="2717">
      <c r="A2717" s="106" t="inlineStr">
        <is>
          <t>Segurança do Trabalho</t>
        </is>
      </c>
      <c r="B2717" s="106" t="inlineStr">
        <is>
          <t>Custo Variável</t>
        </is>
      </c>
      <c r="C2717" s="106" t="inlineStr">
        <is>
          <t>Médico do trabalho</t>
        </is>
      </c>
      <c r="D2717" s="107" t="n">
        <v>1</v>
      </c>
      <c r="E2717" s="108" t="n">
        <v>7689.5</v>
      </c>
      <c r="F2717" s="109">
        <f>IFERROR(D2717*E2717,0)</f>
        <v/>
      </c>
      <c r="G2717" s="106">
        <f>INDEX(SETORES!$B:$B,MATCH(A2717,SETORES!$A:$A,0))</f>
        <v/>
      </c>
      <c r="H2717" s="106" t="inlineStr">
        <is>
          <t>Setembro/2026</t>
        </is>
      </c>
    </row>
    <row r="2718">
      <c r="A2718" s="106" t="inlineStr">
        <is>
          <t>Segurança do Trabalho</t>
        </is>
      </c>
      <c r="B2718" s="106" t="inlineStr">
        <is>
          <t>Custo Fixo</t>
        </is>
      </c>
      <c r="C2718" s="106" t="inlineStr">
        <is>
          <t>Licença de e-mail corporativo</t>
        </is>
      </c>
      <c r="D2718" s="107" t="n">
        <v>8</v>
      </c>
      <c r="E2718" s="108" t="n">
        <v>50</v>
      </c>
      <c r="F2718" s="109">
        <f>IFERROR(D2718*E2718,0)</f>
        <v/>
      </c>
      <c r="G2718" s="106">
        <f>INDEX(SETORES!$B:$B,MATCH(A2718,SETORES!$A:$A,0))</f>
        <v/>
      </c>
      <c r="H2718" s="106" t="inlineStr">
        <is>
          <t>Setembro/2026</t>
        </is>
      </c>
    </row>
    <row r="2719">
      <c r="A2719" s="106" t="inlineStr">
        <is>
          <t>Segurança do Trabalho</t>
        </is>
      </c>
      <c r="B2719" s="106" t="inlineStr">
        <is>
          <t>Custo Variável</t>
        </is>
      </c>
      <c r="C2719" s="106" t="inlineStr">
        <is>
          <t>Combustível de frota</t>
        </is>
      </c>
      <c r="D2719" s="107" t="n">
        <v>1</v>
      </c>
      <c r="E2719" s="108" t="n">
        <v>4175.57</v>
      </c>
      <c r="F2719" s="109">
        <f>IFERROR(D2719*E2719,0)</f>
        <v/>
      </c>
      <c r="G2719" s="106">
        <f>INDEX(SETORES!$B:$B,MATCH(A2719,SETORES!$A:$A,0))</f>
        <v/>
      </c>
      <c r="H2719" s="106" t="inlineStr">
        <is>
          <t>Setembro/2026</t>
        </is>
      </c>
    </row>
    <row r="2720">
      <c r="A2720" s="106" t="inlineStr">
        <is>
          <t>Segurança do Trabalho</t>
        </is>
      </c>
      <c r="B2720" s="106" t="inlineStr">
        <is>
          <t>Custo Fixo</t>
        </is>
      </c>
      <c r="C2720" s="106" t="inlineStr">
        <is>
          <t>Impressora</t>
        </is>
      </c>
      <c r="D2720" s="107" t="n"/>
      <c r="E2720" s="108" t="n"/>
      <c r="F2720" s="109">
        <f>IFERROR(D2720*E2720,0)</f>
        <v/>
      </c>
      <c r="G2720" s="106">
        <f>INDEX(SETORES!$B:$B,MATCH(A2720,SETORES!$A:$A,0))</f>
        <v/>
      </c>
      <c r="H2720" s="106" t="inlineStr">
        <is>
          <t>Setembro/2026</t>
        </is>
      </c>
    </row>
    <row r="2721">
      <c r="A2721" s="106" t="inlineStr">
        <is>
          <t>Segurança do Trabalho</t>
        </is>
      </c>
      <c r="B2721" s="106" t="inlineStr">
        <is>
          <t>Custo Fixo</t>
        </is>
      </c>
      <c r="C2721" s="106" t="inlineStr">
        <is>
          <t>Gympass</t>
        </is>
      </c>
      <c r="D2721" s="107" t="n"/>
      <c r="E2721" s="108" t="n"/>
      <c r="F2721" s="109">
        <f>IFERROR(D2721*E2721,0)</f>
        <v/>
      </c>
      <c r="G2721" s="106">
        <f>INDEX(SETORES!$B:$B,MATCH(A2721,SETORES!$A:$A,0))</f>
        <v/>
      </c>
      <c r="H2721" s="106" t="inlineStr">
        <is>
          <t>Setembro/2026</t>
        </is>
      </c>
    </row>
    <row r="2722">
      <c r="A2722" s="106" t="inlineStr">
        <is>
          <t>Segurança do Trabalho</t>
        </is>
      </c>
      <c r="B2722" s="106" t="inlineStr">
        <is>
          <t>Custo Fixo</t>
        </is>
      </c>
      <c r="C2722" s="106" t="inlineStr">
        <is>
          <t>Stargrid</t>
        </is>
      </c>
      <c r="D2722" s="107" t="n">
        <v>8</v>
      </c>
      <c r="E2722" s="108" t="n">
        <v>1.87</v>
      </c>
      <c r="F2722" s="109">
        <f>IFERROR(D2722*E2722,0)</f>
        <v/>
      </c>
      <c r="G2722" s="106">
        <f>INDEX(SETORES!$B:$B,MATCH(A2722,SETORES!$A:$A,0))</f>
        <v/>
      </c>
      <c r="H2722" s="106" t="inlineStr">
        <is>
          <t>Setembro/2026</t>
        </is>
      </c>
    </row>
    <row r="2723">
      <c r="A2723" s="106" t="inlineStr">
        <is>
          <t>Suporte Orbix</t>
        </is>
      </c>
      <c r="B2723" s="106" t="inlineStr">
        <is>
          <t>Custo Fixo</t>
        </is>
      </c>
      <c r="C2723" s="106" t="inlineStr">
        <is>
          <t>Material de escritório (suprimentos de informática)</t>
        </is>
      </c>
      <c r="D2723" s="107" t="n">
        <v>1</v>
      </c>
      <c r="E2723" s="108" t="n">
        <v>2.3</v>
      </c>
      <c r="F2723" s="109">
        <f>IFERROR(D2723*E2723,0)</f>
        <v/>
      </c>
      <c r="G2723" s="106">
        <f>INDEX(SETORES!$B:$B,MATCH(A2723,SETORES!$A:$A,0))</f>
        <v/>
      </c>
      <c r="H2723" s="106" t="inlineStr">
        <is>
          <t>Setembro/2026</t>
        </is>
      </c>
    </row>
    <row r="2724">
      <c r="A2724" s="106" t="inlineStr">
        <is>
          <t>Suporte Orbix</t>
        </is>
      </c>
      <c r="B2724" s="106" t="inlineStr">
        <is>
          <t>Custo Fixo</t>
        </is>
      </c>
      <c r="C2724" s="106" t="inlineStr">
        <is>
          <t>Material de uso coletivo (copa/limpeza)</t>
        </is>
      </c>
      <c r="D2724" s="107" t="n">
        <v>1</v>
      </c>
      <c r="E2724" s="108" t="n">
        <v>404.44</v>
      </c>
      <c r="F2724" s="109">
        <f>IFERROR(D2724*E2724,0)</f>
        <v/>
      </c>
      <c r="G2724" s="106">
        <f>INDEX(SETORES!$B:$B,MATCH(A2724,SETORES!$A:$A,0))</f>
        <v/>
      </c>
      <c r="H2724" s="106" t="inlineStr">
        <is>
          <t>Setembro/2026</t>
        </is>
      </c>
    </row>
    <row r="2725">
      <c r="A2725" s="106" t="inlineStr">
        <is>
          <t>Suporte Orbix</t>
        </is>
      </c>
      <c r="B2725" s="106" t="inlineStr">
        <is>
          <t>Custo Fixo</t>
        </is>
      </c>
      <c r="C2725" s="106" t="inlineStr">
        <is>
          <t>Energia elétrica (rateio)</t>
        </is>
      </c>
      <c r="D2725" s="107" t="n"/>
      <c r="E2725" s="108" t="n"/>
      <c r="F2725" s="109">
        <f>IFERROR(D2725*E2725,0)</f>
        <v/>
      </c>
      <c r="G2725" s="106">
        <f>INDEX(SETORES!$B:$B,MATCH(A2725,SETORES!$A:$A,0))</f>
        <v/>
      </c>
      <c r="H2725" s="106" t="inlineStr">
        <is>
          <t>Setembro/2026</t>
        </is>
      </c>
    </row>
    <row r="2726">
      <c r="A2726" s="106" t="inlineStr">
        <is>
          <t>Suporte Orbix</t>
        </is>
      </c>
      <c r="B2726" s="106" t="inlineStr">
        <is>
          <t>Custo Fixo</t>
        </is>
      </c>
      <c r="C2726" s="106" t="inlineStr">
        <is>
          <t>Água e esgoto (rateio)</t>
        </is>
      </c>
      <c r="D2726" s="107" t="n"/>
      <c r="E2726" s="108" t="n"/>
      <c r="F2726" s="109">
        <f>IFERROR(D2726*E2726,0)</f>
        <v/>
      </c>
      <c r="G2726" s="106">
        <f>INDEX(SETORES!$B:$B,MATCH(A2726,SETORES!$A:$A,0))</f>
        <v/>
      </c>
      <c r="H2726" s="106" t="inlineStr">
        <is>
          <t>Setembro/2026</t>
        </is>
      </c>
    </row>
    <row r="2727">
      <c r="A2727" s="106" t="inlineStr">
        <is>
          <t>Suporte Orbix</t>
        </is>
      </c>
      <c r="B2727" s="106" t="inlineStr">
        <is>
          <t>Custo Fixo</t>
        </is>
      </c>
      <c r="C2727" s="106" t="inlineStr">
        <is>
          <t>Telefonia móvel corporativa</t>
        </is>
      </c>
      <c r="D2727" s="107" t="n"/>
      <c r="E2727" s="108" t="n"/>
      <c r="F2727" s="109">
        <f>IFERROR(D2727*E2727,0)</f>
        <v/>
      </c>
      <c r="G2727" s="106">
        <f>INDEX(SETORES!$B:$B,MATCH(A2727,SETORES!$A:$A,0))</f>
        <v/>
      </c>
      <c r="H2727" s="106" t="inlineStr">
        <is>
          <t>Setembro/2026</t>
        </is>
      </c>
    </row>
    <row r="2728">
      <c r="A2728" s="106" t="inlineStr">
        <is>
          <t>Suporte Orbix</t>
        </is>
      </c>
      <c r="B2728" s="106" t="inlineStr">
        <is>
          <t>Custo Fixo</t>
        </is>
      </c>
      <c r="C2728" s="106" t="inlineStr">
        <is>
          <t>Folha de pagamento (salários)</t>
        </is>
      </c>
      <c r="D2728" s="107" t="n">
        <v>1</v>
      </c>
      <c r="E2728" s="108" t="n">
        <v>30736.23</v>
      </c>
      <c r="F2728" s="109">
        <f>IFERROR(D2728*E2728,0)</f>
        <v/>
      </c>
      <c r="G2728" s="106">
        <f>INDEX(SETORES!$B:$B,MATCH(A2728,SETORES!$A:$A,0))</f>
        <v/>
      </c>
      <c r="H2728" s="106" t="inlineStr">
        <is>
          <t>Setembro/2026</t>
        </is>
      </c>
    </row>
    <row r="2729">
      <c r="A2729" s="106" t="inlineStr">
        <is>
          <t>Suporte Orbix</t>
        </is>
      </c>
      <c r="B2729" s="106" t="inlineStr">
        <is>
          <t>Custo Fixo</t>
        </is>
      </c>
      <c r="C2729" s="106" t="inlineStr">
        <is>
          <t>Licença de e-mail corporativo</t>
        </is>
      </c>
      <c r="D2729" s="107" t="n">
        <v>8</v>
      </c>
      <c r="E2729" s="108" t="n">
        <v>50</v>
      </c>
      <c r="F2729" s="109">
        <f>IFERROR(D2729*E2729,0)</f>
        <v/>
      </c>
      <c r="G2729" s="106">
        <f>INDEX(SETORES!$B:$B,MATCH(A2729,SETORES!$A:$A,0))</f>
        <v/>
      </c>
      <c r="H2729" s="106" t="inlineStr">
        <is>
          <t>Setembro/2026</t>
        </is>
      </c>
    </row>
    <row r="2730">
      <c r="A2730" s="106" t="inlineStr">
        <is>
          <t>Suporte Orbix</t>
        </is>
      </c>
      <c r="B2730" s="106" t="inlineStr">
        <is>
          <t>Custo Fixo</t>
        </is>
      </c>
      <c r="C2730" s="106" t="inlineStr">
        <is>
          <t>Software MATRIX (rateio equipe Relacionamento)</t>
        </is>
      </c>
      <c r="D2730" s="107" t="n"/>
      <c r="E2730" s="108" t="n"/>
      <c r="F2730" s="109">
        <f>IFERROR(D2730*E2730,0)</f>
        <v/>
      </c>
      <c r="G2730" s="106">
        <f>INDEX(SETORES!$B:$B,MATCH(A2730,SETORES!$A:$A,0))</f>
        <v/>
      </c>
      <c r="H2730" s="106" t="inlineStr">
        <is>
          <t>Setembro/2026</t>
        </is>
      </c>
    </row>
    <row r="2731">
      <c r="A2731" s="106" t="inlineStr">
        <is>
          <t>Suporte Orbix</t>
        </is>
      </c>
      <c r="B2731" s="106" t="inlineStr">
        <is>
          <t>Custo Fixo</t>
        </is>
      </c>
      <c r="C2731" s="106" t="inlineStr">
        <is>
          <t>Impressora (rateio equipe Relacionamento)</t>
        </is>
      </c>
      <c r="D2731" s="107" t="n"/>
      <c r="E2731" s="108" t="n"/>
      <c r="F2731" s="109">
        <f>IFERROR(D2731*E2731,0)</f>
        <v/>
      </c>
      <c r="G2731" s="106">
        <f>INDEX(SETORES!$B:$B,MATCH(A2731,SETORES!$A:$A,0))</f>
        <v/>
      </c>
      <c r="H2731" s="106" t="inlineStr">
        <is>
          <t>Setembro/2026</t>
        </is>
      </c>
    </row>
    <row r="2732">
      <c r="A2732" s="106" t="inlineStr">
        <is>
          <t>Suporte Orbix</t>
        </is>
      </c>
      <c r="B2732" s="106" t="inlineStr">
        <is>
          <t>Custo Fixo</t>
        </is>
      </c>
      <c r="C2732" s="106" t="inlineStr">
        <is>
          <t>Gympass</t>
        </is>
      </c>
      <c r="D2732" s="107" t="n"/>
      <c r="E2732" s="108" t="n"/>
      <c r="F2732" s="109">
        <f>IFERROR(D2732*E2732,0)</f>
        <v/>
      </c>
      <c r="G2732" s="106">
        <f>INDEX(SETORES!$B:$B,MATCH(A2732,SETORES!$A:$A,0))</f>
        <v/>
      </c>
      <c r="H2732" s="106" t="inlineStr">
        <is>
          <t>Setembro/2026</t>
        </is>
      </c>
    </row>
    <row r="2733">
      <c r="A2733" s="106" t="inlineStr">
        <is>
          <t>Suporte Orbix</t>
        </is>
      </c>
      <c r="B2733" s="106" t="inlineStr">
        <is>
          <t>Custo Fixo</t>
        </is>
      </c>
      <c r="C2733" s="106" t="inlineStr">
        <is>
          <t>Stargrid</t>
        </is>
      </c>
      <c r="D2733" s="107" t="n">
        <v>8</v>
      </c>
      <c r="E2733" s="108" t="n">
        <v>1.87</v>
      </c>
      <c r="F2733" s="109">
        <f>IFERROR(D2733*E2733,0)</f>
        <v/>
      </c>
      <c r="G2733" s="106">
        <f>INDEX(SETORES!$B:$B,MATCH(A2733,SETORES!$A:$A,0))</f>
        <v/>
      </c>
      <c r="H2733" s="106" t="inlineStr">
        <is>
          <t>Setembro/2026</t>
        </is>
      </c>
    </row>
    <row r="2734">
      <c r="A2734" s="106" t="inlineStr">
        <is>
          <t>Suporte da Central</t>
        </is>
      </c>
      <c r="B2734" s="106" t="inlineStr">
        <is>
          <t>Custo Fixo</t>
        </is>
      </c>
      <c r="C2734" s="106" t="inlineStr">
        <is>
          <t>Material de escritório (suprimentos de informática)</t>
        </is>
      </c>
      <c r="D2734" s="107" t="n">
        <v>1</v>
      </c>
      <c r="E2734" s="108" t="n">
        <v>9.5</v>
      </c>
      <c r="F2734" s="109">
        <f>IFERROR(D2734*E2734,0)</f>
        <v/>
      </c>
      <c r="G2734" s="106">
        <f>INDEX(SETORES!$B:$B,MATCH(A2734,SETORES!$A:$A,0))</f>
        <v/>
      </c>
      <c r="H2734" s="106" t="inlineStr">
        <is>
          <t>Setembro/2026</t>
        </is>
      </c>
    </row>
    <row r="2735">
      <c r="A2735" s="106" t="inlineStr">
        <is>
          <t>Suporte da Central</t>
        </is>
      </c>
      <c r="B2735" s="106" t="inlineStr">
        <is>
          <t>Custo Fixo</t>
        </is>
      </c>
      <c r="C2735" s="106" t="inlineStr">
        <is>
          <t>Material de uso coletivo (copa/limpeza)</t>
        </is>
      </c>
      <c r="D2735" s="107" t="n">
        <v>1</v>
      </c>
      <c r="E2735" s="108" t="n">
        <v>1668.3</v>
      </c>
      <c r="F2735" s="109">
        <f>IFERROR(D2735*E2735,0)</f>
        <v/>
      </c>
      <c r="G2735" s="106">
        <f>INDEX(SETORES!$B:$B,MATCH(A2735,SETORES!$A:$A,0))</f>
        <v/>
      </c>
      <c r="H2735" s="106" t="inlineStr">
        <is>
          <t>Setembro/2026</t>
        </is>
      </c>
    </row>
    <row r="2736">
      <c r="A2736" s="106" t="inlineStr">
        <is>
          <t>Suporte da Central</t>
        </is>
      </c>
      <c r="B2736" s="106" t="inlineStr">
        <is>
          <t>Custo Fixo</t>
        </is>
      </c>
      <c r="C2736" s="106" t="inlineStr">
        <is>
          <t>Energia elétrica (rateio)</t>
        </is>
      </c>
      <c r="D2736" s="107" t="n"/>
      <c r="E2736" s="108" t="n"/>
      <c r="F2736" s="109">
        <f>IFERROR(D2736*E2736,0)</f>
        <v/>
      </c>
      <c r="G2736" s="106">
        <f>INDEX(SETORES!$B:$B,MATCH(A2736,SETORES!$A:$A,0))</f>
        <v/>
      </c>
      <c r="H2736" s="106" t="inlineStr">
        <is>
          <t>Setembro/2026</t>
        </is>
      </c>
    </row>
    <row r="2737">
      <c r="A2737" s="106" t="inlineStr">
        <is>
          <t>Suporte da Central</t>
        </is>
      </c>
      <c r="B2737" s="106" t="inlineStr">
        <is>
          <t>Custo Fixo</t>
        </is>
      </c>
      <c r="C2737" s="106" t="inlineStr">
        <is>
          <t>Água e esgoto (rateio)</t>
        </is>
      </c>
      <c r="D2737" s="107" t="n"/>
      <c r="E2737" s="108" t="n"/>
      <c r="F2737" s="109">
        <f>IFERROR(D2737*E2737,0)</f>
        <v/>
      </c>
      <c r="G2737" s="106">
        <f>INDEX(SETORES!$B:$B,MATCH(A2737,SETORES!$A:$A,0))</f>
        <v/>
      </c>
      <c r="H2737" s="106" t="inlineStr">
        <is>
          <t>Setembro/2026</t>
        </is>
      </c>
    </row>
    <row r="2738">
      <c r="A2738" s="106" t="inlineStr">
        <is>
          <t>Suporte da Central</t>
        </is>
      </c>
      <c r="B2738" s="106" t="inlineStr">
        <is>
          <t>Custo Fixo</t>
        </is>
      </c>
      <c r="C2738" s="106" t="inlineStr">
        <is>
          <t>Telefonia móvel corporativa</t>
        </is>
      </c>
      <c r="D2738" s="107" t="n"/>
      <c r="E2738" s="108" t="n"/>
      <c r="F2738" s="109">
        <f>IFERROR(D2738*E2738,0)</f>
        <v/>
      </c>
      <c r="G2738" s="106">
        <f>INDEX(SETORES!$B:$B,MATCH(A2738,SETORES!$A:$A,0))</f>
        <v/>
      </c>
      <c r="H2738" s="106" t="inlineStr">
        <is>
          <t>Setembro/2026</t>
        </is>
      </c>
    </row>
    <row r="2739">
      <c r="A2739" s="106" t="inlineStr">
        <is>
          <t>Suporte da Central</t>
        </is>
      </c>
      <c r="B2739" s="106" t="inlineStr">
        <is>
          <t>Custo Fixo</t>
        </is>
      </c>
      <c r="C2739" s="106" t="inlineStr">
        <is>
          <t>Folha de pagamento (salários)</t>
        </is>
      </c>
      <c r="D2739" s="107" t="n">
        <v>1</v>
      </c>
      <c r="E2739" s="108" t="n">
        <v>106886.23</v>
      </c>
      <c r="F2739" s="109">
        <f>IFERROR(D2739*E2739,0)</f>
        <v/>
      </c>
      <c r="G2739" s="106">
        <f>INDEX(SETORES!$B:$B,MATCH(A2739,SETORES!$A:$A,0))</f>
        <v/>
      </c>
      <c r="H2739" s="106" t="inlineStr">
        <is>
          <t>Setembro/2026</t>
        </is>
      </c>
    </row>
    <row r="2740">
      <c r="A2740" s="106" t="inlineStr">
        <is>
          <t>Suporte da Central</t>
        </is>
      </c>
      <c r="B2740" s="106" t="inlineStr">
        <is>
          <t>Custo Fixo</t>
        </is>
      </c>
      <c r="C2740" s="106" t="inlineStr">
        <is>
          <t>Licença de e-mail corporativo</t>
        </is>
      </c>
      <c r="D2740" s="107" t="n">
        <v>33</v>
      </c>
      <c r="E2740" s="108" t="n">
        <v>50</v>
      </c>
      <c r="F2740" s="109">
        <f>IFERROR(D2740*E2740,0)</f>
        <v/>
      </c>
      <c r="G2740" s="106">
        <f>INDEX(SETORES!$B:$B,MATCH(A2740,SETORES!$A:$A,0))</f>
        <v/>
      </c>
      <c r="H2740" s="106" t="inlineStr">
        <is>
          <t>Setembro/2026</t>
        </is>
      </c>
    </row>
    <row r="2741">
      <c r="A2741" s="106" t="inlineStr">
        <is>
          <t>Suporte da Central</t>
        </is>
      </c>
      <c r="B2741" s="106" t="inlineStr">
        <is>
          <t>Custo Fixo</t>
        </is>
      </c>
      <c r="C2741" s="106" t="inlineStr">
        <is>
          <t>Software MATRIX (rateio equipe Relacionamento)</t>
        </is>
      </c>
      <c r="D2741" s="107" t="n"/>
      <c r="E2741" s="108" t="n"/>
      <c r="F2741" s="109">
        <f>IFERROR(D2741*E2741,0)</f>
        <v/>
      </c>
      <c r="G2741" s="106">
        <f>INDEX(SETORES!$B:$B,MATCH(A2741,SETORES!$A:$A,0))</f>
        <v/>
      </c>
      <c r="H2741" s="106" t="inlineStr">
        <is>
          <t>Setembro/2026</t>
        </is>
      </c>
    </row>
    <row r="2742">
      <c r="A2742" s="106" t="inlineStr">
        <is>
          <t>Suporte da Central</t>
        </is>
      </c>
      <c r="B2742" s="106" t="inlineStr">
        <is>
          <t>Custo Fixo</t>
        </is>
      </c>
      <c r="C2742" s="106" t="inlineStr">
        <is>
          <t>Impressora (rateio equipe Relacionamento)</t>
        </is>
      </c>
      <c r="D2742" s="107" t="n"/>
      <c r="E2742" s="108" t="n"/>
      <c r="F2742" s="109">
        <f>IFERROR(D2742*E2742,0)</f>
        <v/>
      </c>
      <c r="G2742" s="106">
        <f>INDEX(SETORES!$B:$B,MATCH(A2742,SETORES!$A:$A,0))</f>
        <v/>
      </c>
      <c r="H2742" s="106" t="inlineStr">
        <is>
          <t>Setembro/2026</t>
        </is>
      </c>
    </row>
    <row r="2743">
      <c r="A2743" s="106" t="inlineStr">
        <is>
          <t>Suporte da Central</t>
        </is>
      </c>
      <c r="B2743" s="106" t="inlineStr">
        <is>
          <t>Custo Fixo</t>
        </is>
      </c>
      <c r="C2743" s="106" t="inlineStr">
        <is>
          <t>Gympass</t>
        </is>
      </c>
      <c r="D2743" s="107" t="n"/>
      <c r="E2743" s="108" t="n"/>
      <c r="F2743" s="109">
        <f>IFERROR(D2743*E2743,0)</f>
        <v/>
      </c>
      <c r="G2743" s="106">
        <f>INDEX(SETORES!$B:$B,MATCH(A2743,SETORES!$A:$A,0))</f>
        <v/>
      </c>
      <c r="H2743" s="106" t="inlineStr">
        <is>
          <t>Setembro/2026</t>
        </is>
      </c>
    </row>
    <row r="2744">
      <c r="A2744" s="106" t="inlineStr">
        <is>
          <t>Suporte da Central</t>
        </is>
      </c>
      <c r="B2744" s="106" t="inlineStr">
        <is>
          <t>Custo Fixo</t>
        </is>
      </c>
      <c r="C2744" s="106" t="inlineStr">
        <is>
          <t>Stargrid</t>
        </is>
      </c>
      <c r="D2744" s="107" t="n">
        <v>33</v>
      </c>
      <c r="E2744" s="108" t="n">
        <v>1.87</v>
      </c>
      <c r="F2744" s="109">
        <f>IFERROR(D2744*E2744,0)</f>
        <v/>
      </c>
      <c r="G2744" s="106">
        <f>INDEX(SETORES!$B:$B,MATCH(A2744,SETORES!$A:$A,0))</f>
        <v/>
      </c>
      <c r="H2744" s="106" t="inlineStr">
        <is>
          <t>Setembro/2026</t>
        </is>
      </c>
    </row>
    <row r="2745">
      <c r="A2745" s="106" t="inlineStr">
        <is>
          <t>Televendas</t>
        </is>
      </c>
      <c r="B2745" s="106" t="inlineStr">
        <is>
          <t>Custo Fixo</t>
        </is>
      </c>
      <c r="C2745" s="106" t="inlineStr">
        <is>
          <t>Material de escritório (suprimentos de informática)</t>
        </is>
      </c>
      <c r="D2745" s="107" t="n">
        <v>1</v>
      </c>
      <c r="E2745" s="108" t="n">
        <v>3.17</v>
      </c>
      <c r="F2745" s="109">
        <f>IFERROR(D2745*E2745,0)</f>
        <v/>
      </c>
      <c r="G2745" s="106">
        <f>INDEX(SETORES!$B:$B,MATCH(A2745,SETORES!$A:$A,0))</f>
        <v/>
      </c>
      <c r="H2745" s="106" t="inlineStr">
        <is>
          <t>Setembro/2026</t>
        </is>
      </c>
    </row>
    <row r="2746">
      <c r="A2746" s="106" t="inlineStr">
        <is>
          <t>Televendas</t>
        </is>
      </c>
      <c r="B2746" s="106" t="inlineStr">
        <is>
          <t>Custo Fixo</t>
        </is>
      </c>
      <c r="C2746" s="106" t="inlineStr">
        <is>
          <t>Material de uso coletivo (copa/limpeza)</t>
        </is>
      </c>
      <c r="D2746" s="107" t="n">
        <v>1</v>
      </c>
      <c r="E2746" s="108" t="n">
        <v>556.1</v>
      </c>
      <c r="F2746" s="109">
        <f>IFERROR(D2746*E2746,0)</f>
        <v/>
      </c>
      <c r="G2746" s="106">
        <f>INDEX(SETORES!$B:$B,MATCH(A2746,SETORES!$A:$A,0))</f>
        <v/>
      </c>
      <c r="H2746" s="106" t="inlineStr">
        <is>
          <t>Setembro/2026</t>
        </is>
      </c>
    </row>
    <row r="2747">
      <c r="A2747" s="106" t="inlineStr">
        <is>
          <t>Televendas</t>
        </is>
      </c>
      <c r="B2747" s="106" t="inlineStr">
        <is>
          <t>Custo Fixo</t>
        </is>
      </c>
      <c r="C2747" s="106" t="inlineStr">
        <is>
          <t>Energia elétrica (rateio)</t>
        </is>
      </c>
      <c r="D2747" s="107" t="n"/>
      <c r="E2747" s="108" t="n"/>
      <c r="F2747" s="109">
        <f>IFERROR(D2747*E2747,0)</f>
        <v/>
      </c>
      <c r="G2747" s="106">
        <f>INDEX(SETORES!$B:$B,MATCH(A2747,SETORES!$A:$A,0))</f>
        <v/>
      </c>
      <c r="H2747" s="106" t="inlineStr">
        <is>
          <t>Setembro/2026</t>
        </is>
      </c>
    </row>
    <row r="2748">
      <c r="A2748" s="106" t="inlineStr">
        <is>
          <t>Televendas</t>
        </is>
      </c>
      <c r="B2748" s="106" t="inlineStr">
        <is>
          <t>Custo Fixo</t>
        </is>
      </c>
      <c r="C2748" s="106" t="inlineStr">
        <is>
          <t>Água e esgoto (rateio)</t>
        </is>
      </c>
      <c r="D2748" s="107" t="n"/>
      <c r="E2748" s="108" t="n"/>
      <c r="F2748" s="109">
        <f>IFERROR(D2748*E2748,0)</f>
        <v/>
      </c>
      <c r="G2748" s="106">
        <f>INDEX(SETORES!$B:$B,MATCH(A2748,SETORES!$A:$A,0))</f>
        <v/>
      </c>
      <c r="H2748" s="106" t="inlineStr">
        <is>
          <t>Setembro/2026</t>
        </is>
      </c>
    </row>
    <row r="2749">
      <c r="A2749" s="106" t="inlineStr">
        <is>
          <t>Televendas</t>
        </is>
      </c>
      <c r="B2749" s="106" t="inlineStr">
        <is>
          <t>Custo Fixo</t>
        </is>
      </c>
      <c r="C2749" s="106" t="inlineStr">
        <is>
          <t>Telefonia móvel corporativa</t>
        </is>
      </c>
      <c r="D2749" s="107" t="n"/>
      <c r="E2749" s="108" t="n"/>
      <c r="F2749" s="109">
        <f>IFERROR(D2749*E2749,0)</f>
        <v/>
      </c>
      <c r="G2749" s="106">
        <f>INDEX(SETORES!$B:$B,MATCH(A2749,SETORES!$A:$A,0))</f>
        <v/>
      </c>
      <c r="H2749" s="106" t="inlineStr">
        <is>
          <t>Setembro/2026</t>
        </is>
      </c>
    </row>
    <row r="2750">
      <c r="A2750" s="106" t="inlineStr">
        <is>
          <t>Televendas</t>
        </is>
      </c>
      <c r="B2750" s="106" t="inlineStr">
        <is>
          <t>Custo Fixo</t>
        </is>
      </c>
      <c r="C2750" s="106" t="inlineStr">
        <is>
          <t>Folha de pagamento (salários)</t>
        </is>
      </c>
      <c r="D2750" s="107" t="n">
        <v>1</v>
      </c>
      <c r="E2750" s="108" t="n">
        <v>128483.01</v>
      </c>
      <c r="F2750" s="109">
        <f>IFERROR(D2750*E2750,0)</f>
        <v/>
      </c>
      <c r="G2750" s="106">
        <f>INDEX(SETORES!$B:$B,MATCH(A2750,SETORES!$A:$A,0))</f>
        <v/>
      </c>
      <c r="H2750" s="106" t="inlineStr">
        <is>
          <t>Setembro/2026</t>
        </is>
      </c>
    </row>
    <row r="2751">
      <c r="A2751" s="106" t="inlineStr">
        <is>
          <t>Televendas</t>
        </is>
      </c>
      <c r="B2751" s="106" t="inlineStr">
        <is>
          <t>Custo Fixo</t>
        </is>
      </c>
      <c r="C2751" s="106" t="inlineStr">
        <is>
          <t>Licença de e-mail corporativo</t>
        </is>
      </c>
      <c r="D2751" s="107" t="n">
        <v>11</v>
      </c>
      <c r="E2751" s="108" t="n">
        <v>50</v>
      </c>
      <c r="F2751" s="109">
        <f>IFERROR(D2751*E2751,0)</f>
        <v/>
      </c>
      <c r="G2751" s="106">
        <f>INDEX(SETORES!$B:$B,MATCH(A2751,SETORES!$A:$A,0))</f>
        <v/>
      </c>
      <c r="H2751" s="106" t="inlineStr">
        <is>
          <t>Setembro/2026</t>
        </is>
      </c>
    </row>
    <row r="2752">
      <c r="A2752" s="106" t="inlineStr">
        <is>
          <t>Televendas</t>
        </is>
      </c>
      <c r="B2752" s="106" t="inlineStr">
        <is>
          <t>Custo Fixo</t>
        </is>
      </c>
      <c r="C2752" s="106" t="inlineStr">
        <is>
          <t>Gympass</t>
        </is>
      </c>
      <c r="D2752" s="107" t="n"/>
      <c r="E2752" s="108" t="n"/>
      <c r="F2752" s="109">
        <f>IFERROR(D2752*E2752,0)</f>
        <v/>
      </c>
      <c r="G2752" s="106">
        <f>INDEX(SETORES!$B:$B,MATCH(A2752,SETORES!$A:$A,0))</f>
        <v/>
      </c>
      <c r="H2752" s="106" t="inlineStr">
        <is>
          <t>Setembro/2026</t>
        </is>
      </c>
    </row>
    <row r="2753">
      <c r="A2753" s="106" t="inlineStr">
        <is>
          <t>Televendas</t>
        </is>
      </c>
      <c r="B2753" s="106" t="inlineStr">
        <is>
          <t>Custo Fixo</t>
        </is>
      </c>
      <c r="C2753" s="106" t="inlineStr">
        <is>
          <t>Stargrid</t>
        </is>
      </c>
      <c r="D2753" s="107" t="n">
        <v>11</v>
      </c>
      <c r="E2753" s="108" t="n">
        <v>1.87</v>
      </c>
      <c r="F2753" s="109">
        <f>IFERROR(D2753*E2753,0)</f>
        <v/>
      </c>
      <c r="G2753" s="106">
        <f>INDEX(SETORES!$B:$B,MATCH(A2753,SETORES!$A:$A,0))</f>
        <v/>
      </c>
      <c r="H2753" s="106" t="inlineStr">
        <is>
          <t>Setembro/2026</t>
        </is>
      </c>
    </row>
    <row r="2754">
      <c r="A2754" s="106" t="inlineStr">
        <is>
          <t>Administrativo</t>
        </is>
      </c>
      <c r="B2754" s="106" t="inlineStr">
        <is>
          <t>Custo Fixo</t>
        </is>
      </c>
      <c r="C2754" s="106" t="inlineStr">
        <is>
          <t>Licença Google Workspace</t>
        </is>
      </c>
      <c r="D2754" s="107" t="n">
        <v>1</v>
      </c>
      <c r="E2754" s="108" t="n">
        <v>21454</v>
      </c>
      <c r="F2754" s="109">
        <f>IFERROR(D2754*E2754,0)</f>
        <v/>
      </c>
      <c r="G2754" s="106">
        <f>INDEX(SETORES!$B:$B,MATCH(A2754,SETORES!$A:$A,0))</f>
        <v/>
      </c>
      <c r="H2754" s="106" t="inlineStr">
        <is>
          <t>Setembro/2026</t>
        </is>
      </c>
    </row>
    <row r="2755">
      <c r="A2755" s="106" t="inlineStr">
        <is>
          <t>Gestão de Atendimento</t>
        </is>
      </c>
      <c r="B2755" s="106" t="inlineStr">
        <is>
          <t>Custo Fixo</t>
        </is>
      </c>
      <c r="C2755" s="106" t="inlineStr">
        <is>
          <t>Despesas com RH</t>
        </is>
      </c>
      <c r="D2755" s="107" t="n">
        <v>17</v>
      </c>
      <c r="E2755" s="108" t="n">
        <v>32.55</v>
      </c>
      <c r="F2755" s="109">
        <f>IFERROR(D2755*E2755,0)</f>
        <v/>
      </c>
      <c r="G2755" s="106">
        <f>INDEX(SETORES!$B:$B,MATCH(A2755,SETORES!$A:$A,0))</f>
        <v/>
      </c>
      <c r="H2755" s="106" t="inlineStr">
        <is>
          <t>Setembro/2026</t>
        </is>
      </c>
    </row>
    <row r="2756">
      <c r="A2756" s="106" t="inlineStr">
        <is>
          <t>Gestão de Atendimento</t>
        </is>
      </c>
      <c r="B2756" s="106" t="inlineStr">
        <is>
          <t>Custo Fixo</t>
        </is>
      </c>
      <c r="C2756" s="106" t="inlineStr">
        <is>
          <t>Despesas com DP</t>
        </is>
      </c>
      <c r="D2756" s="107" t="n">
        <v>17</v>
      </c>
      <c r="E2756" s="108" t="n">
        <v>52.09</v>
      </c>
      <c r="F2756" s="109">
        <f>IFERROR(D2756*E2756,0)</f>
        <v/>
      </c>
      <c r="G2756" s="106">
        <f>INDEX(SETORES!$B:$B,MATCH(A2756,SETORES!$A:$A,0))</f>
        <v/>
      </c>
      <c r="H2756" s="106" t="inlineStr">
        <is>
          <t>Setembro/2026</t>
        </is>
      </c>
    </row>
    <row r="2757">
      <c r="A2757" s="106" t="inlineStr">
        <is>
          <t>Gestão de Atendimento</t>
        </is>
      </c>
      <c r="B2757" s="106" t="inlineStr">
        <is>
          <t>Custo Fixo</t>
        </is>
      </c>
      <c r="C2757" s="106" t="inlineStr">
        <is>
          <t>Despesas com SST</t>
        </is>
      </c>
      <c r="D2757" s="107" t="n">
        <v>17</v>
      </c>
      <c r="E2757" s="108" t="n">
        <v>52.35</v>
      </c>
      <c r="F2757" s="109">
        <f>IFERROR(D2757*E2757,0)</f>
        <v/>
      </c>
      <c r="G2757" s="106">
        <f>INDEX(SETORES!$B:$B,MATCH(A2757,SETORES!$A:$A,0))</f>
        <v/>
      </c>
      <c r="H2757" s="106" t="inlineStr">
        <is>
          <t>Setembro/2026</t>
        </is>
      </c>
    </row>
    <row r="2758">
      <c r="A2758" s="106" t="inlineStr">
        <is>
          <t>CAC</t>
        </is>
      </c>
      <c r="B2758" s="106" t="inlineStr">
        <is>
          <t>Custo Fixo</t>
        </is>
      </c>
      <c r="C2758" s="106" t="inlineStr">
        <is>
          <t>Despesas com RH</t>
        </is>
      </c>
      <c r="D2758" s="107" t="n">
        <v>5</v>
      </c>
      <c r="E2758" s="108" t="n">
        <v>32.55</v>
      </c>
      <c r="F2758" s="109">
        <f>IFERROR(D2758*E2758,0)</f>
        <v/>
      </c>
      <c r="G2758" s="106">
        <f>INDEX(SETORES!$B:$B,MATCH(A2758,SETORES!$A:$A,0))</f>
        <v/>
      </c>
      <c r="H2758" s="106" t="inlineStr">
        <is>
          <t>Setembro/2026</t>
        </is>
      </c>
    </row>
    <row r="2759">
      <c r="A2759" s="106" t="inlineStr">
        <is>
          <t>CAC</t>
        </is>
      </c>
      <c r="B2759" s="106" t="inlineStr">
        <is>
          <t>Custo Fixo</t>
        </is>
      </c>
      <c r="C2759" s="106" t="inlineStr">
        <is>
          <t>Despesas com DP</t>
        </is>
      </c>
      <c r="D2759" s="107" t="n">
        <v>5</v>
      </c>
      <c r="E2759" s="108" t="n">
        <v>52.09</v>
      </c>
      <c r="F2759" s="109">
        <f>IFERROR(D2759*E2759,0)</f>
        <v/>
      </c>
      <c r="G2759" s="106">
        <f>INDEX(SETORES!$B:$B,MATCH(A2759,SETORES!$A:$A,0))</f>
        <v/>
      </c>
      <c r="H2759" s="106" t="inlineStr">
        <is>
          <t>Setembro/2026</t>
        </is>
      </c>
    </row>
    <row r="2760">
      <c r="A2760" s="106" t="inlineStr">
        <is>
          <t>CAC</t>
        </is>
      </c>
      <c r="B2760" s="106" t="inlineStr">
        <is>
          <t>Custo Fixo</t>
        </is>
      </c>
      <c r="C2760" s="106" t="inlineStr">
        <is>
          <t>Despesas com SST</t>
        </is>
      </c>
      <c r="D2760" s="107" t="n">
        <v>5</v>
      </c>
      <c r="E2760" s="108" t="n">
        <v>52.35</v>
      </c>
      <c r="F2760" s="109">
        <f>IFERROR(D2760*E2760,0)</f>
        <v/>
      </c>
      <c r="G2760" s="106">
        <f>INDEX(SETORES!$B:$B,MATCH(A2760,SETORES!$A:$A,0))</f>
        <v/>
      </c>
      <c r="H2760" s="106" t="inlineStr">
        <is>
          <t>Setembro/2026</t>
        </is>
      </c>
    </row>
    <row r="2761">
      <c r="A2761" s="106" t="inlineStr">
        <is>
          <t>Cobrança</t>
        </is>
      </c>
      <c r="B2761" s="106" t="inlineStr">
        <is>
          <t>Custo Fixo</t>
        </is>
      </c>
      <c r="C2761" s="106" t="inlineStr">
        <is>
          <t>Despesas com RH</t>
        </is>
      </c>
      <c r="D2761" s="107" t="n">
        <v>13</v>
      </c>
      <c r="E2761" s="108" t="n">
        <v>32.55</v>
      </c>
      <c r="F2761" s="109">
        <f>IFERROR(D2761*E2761,0)</f>
        <v/>
      </c>
      <c r="G2761" s="106">
        <f>INDEX(SETORES!$B:$B,MATCH(A2761,SETORES!$A:$A,0))</f>
        <v/>
      </c>
      <c r="H2761" s="106" t="inlineStr">
        <is>
          <t>Setembro/2026</t>
        </is>
      </c>
    </row>
    <row r="2762">
      <c r="A2762" s="106" t="inlineStr">
        <is>
          <t>Cobrança</t>
        </is>
      </c>
      <c r="B2762" s="106" t="inlineStr">
        <is>
          <t>Custo Fixo</t>
        </is>
      </c>
      <c r="C2762" s="106" t="inlineStr">
        <is>
          <t>Despesas com DP</t>
        </is>
      </c>
      <c r="D2762" s="107" t="n">
        <v>13</v>
      </c>
      <c r="E2762" s="108" t="n">
        <v>52.09</v>
      </c>
      <c r="F2762" s="109">
        <f>IFERROR(D2762*E2762,0)</f>
        <v/>
      </c>
      <c r="G2762" s="106">
        <f>INDEX(SETORES!$B:$B,MATCH(A2762,SETORES!$A:$A,0))</f>
        <v/>
      </c>
      <c r="H2762" s="106" t="inlineStr">
        <is>
          <t>Setembro/2026</t>
        </is>
      </c>
    </row>
    <row r="2763">
      <c r="A2763" s="106" t="inlineStr">
        <is>
          <t>Cobrança</t>
        </is>
      </c>
      <c r="B2763" s="106" t="inlineStr">
        <is>
          <t>Custo Fixo</t>
        </is>
      </c>
      <c r="C2763" s="106" t="inlineStr">
        <is>
          <t>Despesas com SST</t>
        </is>
      </c>
      <c r="D2763" s="107" t="n">
        <v>13</v>
      </c>
      <c r="E2763" s="108" t="n">
        <v>52.35</v>
      </c>
      <c r="F2763" s="109">
        <f>IFERROR(D2763*E2763,0)</f>
        <v/>
      </c>
      <c r="G2763" s="106">
        <f>INDEX(SETORES!$B:$B,MATCH(A2763,SETORES!$A:$A,0))</f>
        <v/>
      </c>
      <c r="H2763" s="106" t="inlineStr">
        <is>
          <t>Setembro/2026</t>
        </is>
      </c>
    </row>
    <row r="2764">
      <c r="A2764" s="106" t="inlineStr">
        <is>
          <t>Compras</t>
        </is>
      </c>
      <c r="B2764" s="106" t="inlineStr">
        <is>
          <t>Custo Fixo</t>
        </is>
      </c>
      <c r="C2764" s="106" t="inlineStr">
        <is>
          <t>Despesas com RH</t>
        </is>
      </c>
      <c r="D2764" s="107" t="n">
        <v>5</v>
      </c>
      <c r="E2764" s="108" t="n">
        <v>32.55</v>
      </c>
      <c r="F2764" s="109">
        <f>IFERROR(D2764*E2764,0)</f>
        <v/>
      </c>
      <c r="G2764" s="106">
        <f>INDEX(SETORES!$B:$B,MATCH(A2764,SETORES!$A:$A,0))</f>
        <v/>
      </c>
      <c r="H2764" s="106" t="inlineStr">
        <is>
          <t>Setembro/2026</t>
        </is>
      </c>
    </row>
    <row r="2765">
      <c r="A2765" s="106" t="inlineStr">
        <is>
          <t>Compras</t>
        </is>
      </c>
      <c r="B2765" s="106" t="inlineStr">
        <is>
          <t>Custo Fixo</t>
        </is>
      </c>
      <c r="C2765" s="106" t="inlineStr">
        <is>
          <t>Despesas com DP</t>
        </is>
      </c>
      <c r="D2765" s="107" t="n">
        <v>5</v>
      </c>
      <c r="E2765" s="108" t="n">
        <v>52.09</v>
      </c>
      <c r="F2765" s="109">
        <f>IFERROR(D2765*E2765,0)</f>
        <v/>
      </c>
      <c r="G2765" s="106">
        <f>INDEX(SETORES!$B:$B,MATCH(A2765,SETORES!$A:$A,0))</f>
        <v/>
      </c>
      <c r="H2765" s="106" t="inlineStr">
        <is>
          <t>Setembro/2026</t>
        </is>
      </c>
    </row>
    <row r="2766">
      <c r="A2766" s="106" t="inlineStr">
        <is>
          <t>Compras</t>
        </is>
      </c>
      <c r="B2766" s="106" t="inlineStr">
        <is>
          <t>Custo Fixo</t>
        </is>
      </c>
      <c r="C2766" s="106" t="inlineStr">
        <is>
          <t>Despesas com SST</t>
        </is>
      </c>
      <c r="D2766" s="107" t="n">
        <v>5</v>
      </c>
      <c r="E2766" s="108" t="n">
        <v>52.35</v>
      </c>
      <c r="F2766" s="109">
        <f>IFERROR(D2766*E2766,0)</f>
        <v/>
      </c>
      <c r="G2766" s="106">
        <f>INDEX(SETORES!$B:$B,MATCH(A2766,SETORES!$A:$A,0))</f>
        <v/>
      </c>
      <c r="H2766" s="106" t="inlineStr">
        <is>
          <t>Setembro/2026</t>
        </is>
      </c>
    </row>
    <row r="2767">
      <c r="A2767" s="106" t="inlineStr">
        <is>
          <t>Contabilidade</t>
        </is>
      </c>
      <c r="B2767" s="106" t="inlineStr">
        <is>
          <t>Custo Fixo</t>
        </is>
      </c>
      <c r="C2767" s="106" t="inlineStr">
        <is>
          <t>Despesas com RH</t>
        </is>
      </c>
      <c r="D2767" s="107" t="n">
        <v>6</v>
      </c>
      <c r="E2767" s="108" t="n">
        <v>32.55</v>
      </c>
      <c r="F2767" s="109">
        <f>IFERROR(D2767*E2767,0)</f>
        <v/>
      </c>
      <c r="G2767" s="106">
        <f>INDEX(SETORES!$B:$B,MATCH(A2767,SETORES!$A:$A,0))</f>
        <v/>
      </c>
      <c r="H2767" s="106" t="inlineStr">
        <is>
          <t>Setembro/2026</t>
        </is>
      </c>
    </row>
    <row r="2768">
      <c r="A2768" s="106" t="inlineStr">
        <is>
          <t>Contabilidade</t>
        </is>
      </c>
      <c r="B2768" s="106" t="inlineStr">
        <is>
          <t>Custo Fixo</t>
        </is>
      </c>
      <c r="C2768" s="106" t="inlineStr">
        <is>
          <t>Despesas com DP</t>
        </is>
      </c>
      <c r="D2768" s="107" t="n">
        <v>6</v>
      </c>
      <c r="E2768" s="108" t="n">
        <v>52.09</v>
      </c>
      <c r="F2768" s="109">
        <f>IFERROR(D2768*E2768,0)</f>
        <v/>
      </c>
      <c r="G2768" s="106">
        <f>INDEX(SETORES!$B:$B,MATCH(A2768,SETORES!$A:$A,0))</f>
        <v/>
      </c>
      <c r="H2768" s="106" t="inlineStr">
        <is>
          <t>Setembro/2026</t>
        </is>
      </c>
    </row>
    <row r="2769">
      <c r="A2769" s="106" t="inlineStr">
        <is>
          <t>Contabilidade</t>
        </is>
      </c>
      <c r="B2769" s="106" t="inlineStr">
        <is>
          <t>Custo Fixo</t>
        </is>
      </c>
      <c r="C2769" s="106" t="inlineStr">
        <is>
          <t>Despesas com SST</t>
        </is>
      </c>
      <c r="D2769" s="107" t="n">
        <v>6</v>
      </c>
      <c r="E2769" s="108" t="n">
        <v>52.35</v>
      </c>
      <c r="F2769" s="109">
        <f>IFERROR(D2769*E2769,0)</f>
        <v/>
      </c>
      <c r="G2769" s="106">
        <f>INDEX(SETORES!$B:$B,MATCH(A2769,SETORES!$A:$A,0))</f>
        <v/>
      </c>
      <c r="H2769" s="106" t="inlineStr">
        <is>
          <t>Setembro/2026</t>
        </is>
      </c>
    </row>
    <row r="2770">
      <c r="A2770" s="106" t="inlineStr">
        <is>
          <t>Controladoria</t>
        </is>
      </c>
      <c r="B2770" s="106" t="inlineStr">
        <is>
          <t>Custo Fixo</t>
        </is>
      </c>
      <c r="C2770" s="106" t="inlineStr">
        <is>
          <t>Despesas com RH</t>
        </is>
      </c>
      <c r="D2770" s="107" t="n">
        <v>1</v>
      </c>
      <c r="E2770" s="108" t="n">
        <v>32.55</v>
      </c>
      <c r="F2770" s="109">
        <f>IFERROR(D2770*E2770,0)</f>
        <v/>
      </c>
      <c r="G2770" s="106">
        <f>INDEX(SETORES!$B:$B,MATCH(A2770,SETORES!$A:$A,0))</f>
        <v/>
      </c>
      <c r="H2770" s="106" t="inlineStr">
        <is>
          <t>Setembro/2026</t>
        </is>
      </c>
    </row>
    <row r="2771">
      <c r="A2771" s="106" t="inlineStr">
        <is>
          <t>Controladoria</t>
        </is>
      </c>
      <c r="B2771" s="106" t="inlineStr">
        <is>
          <t>Custo Fixo</t>
        </is>
      </c>
      <c r="C2771" s="106" t="inlineStr">
        <is>
          <t>Despesas com DP</t>
        </is>
      </c>
      <c r="D2771" s="107" t="n">
        <v>1</v>
      </c>
      <c r="E2771" s="108" t="n">
        <v>52.09</v>
      </c>
      <c r="F2771" s="109">
        <f>IFERROR(D2771*E2771,0)</f>
        <v/>
      </c>
      <c r="G2771" s="106">
        <f>INDEX(SETORES!$B:$B,MATCH(A2771,SETORES!$A:$A,0))</f>
        <v/>
      </c>
      <c r="H2771" s="106" t="inlineStr">
        <is>
          <t>Setembro/2026</t>
        </is>
      </c>
    </row>
    <row r="2772">
      <c r="A2772" s="106" t="inlineStr">
        <is>
          <t>Controladoria</t>
        </is>
      </c>
      <c r="B2772" s="106" t="inlineStr">
        <is>
          <t>Custo Fixo</t>
        </is>
      </c>
      <c r="C2772" s="106" t="inlineStr">
        <is>
          <t>Despesas com SST</t>
        </is>
      </c>
      <c r="D2772" s="107" t="n">
        <v>1</v>
      </c>
      <c r="E2772" s="108" t="n">
        <v>52.35</v>
      </c>
      <c r="F2772" s="109">
        <f>IFERROR(D2772*E2772,0)</f>
        <v/>
      </c>
      <c r="G2772" s="106">
        <f>INDEX(SETORES!$B:$B,MATCH(A2772,SETORES!$A:$A,0))</f>
        <v/>
      </c>
      <c r="H2772" s="106" t="inlineStr">
        <is>
          <t>Setembro/2026</t>
        </is>
      </c>
    </row>
    <row r="2773">
      <c r="A2773" s="106" t="inlineStr">
        <is>
          <t>DP</t>
        </is>
      </c>
      <c r="B2773" s="106" t="inlineStr">
        <is>
          <t>Custo Fixo</t>
        </is>
      </c>
      <c r="C2773" s="106" t="inlineStr">
        <is>
          <t>Despesas com RH</t>
        </is>
      </c>
      <c r="D2773" s="107" t="n">
        <v>9</v>
      </c>
      <c r="E2773" s="108" t="n">
        <v>32.55</v>
      </c>
      <c r="F2773" s="109">
        <f>IFERROR(D2773*E2773,0)</f>
        <v/>
      </c>
      <c r="G2773" s="106">
        <f>INDEX(SETORES!$B:$B,MATCH(A2773,SETORES!$A:$A,0))</f>
        <v/>
      </c>
      <c r="H2773" s="106" t="inlineStr">
        <is>
          <t>Setembro/2026</t>
        </is>
      </c>
    </row>
    <row r="2774">
      <c r="A2774" s="106" t="inlineStr">
        <is>
          <t>DP</t>
        </is>
      </c>
      <c r="B2774" s="106" t="inlineStr">
        <is>
          <t>Custo Fixo</t>
        </is>
      </c>
      <c r="C2774" s="106" t="inlineStr">
        <is>
          <t>Despesas com DP</t>
        </is>
      </c>
      <c r="D2774" s="107" t="n">
        <v>9</v>
      </c>
      <c r="E2774" s="108" t="n">
        <v>52.09</v>
      </c>
      <c r="F2774" s="109">
        <f>IFERROR(D2774*E2774,0)</f>
        <v/>
      </c>
      <c r="G2774" s="106">
        <f>INDEX(SETORES!$B:$B,MATCH(A2774,SETORES!$A:$A,0))</f>
        <v/>
      </c>
      <c r="H2774" s="106" t="inlineStr">
        <is>
          <t>Setembro/2026</t>
        </is>
      </c>
    </row>
    <row r="2775">
      <c r="A2775" s="106" t="inlineStr">
        <is>
          <t>DP</t>
        </is>
      </c>
      <c r="B2775" s="106" t="inlineStr">
        <is>
          <t>Custo Fixo</t>
        </is>
      </c>
      <c r="C2775" s="106" t="inlineStr">
        <is>
          <t>Despesas com SST</t>
        </is>
      </c>
      <c r="D2775" s="107" t="n">
        <v>9</v>
      </c>
      <c r="E2775" s="108" t="n">
        <v>52.35</v>
      </c>
      <c r="F2775" s="109">
        <f>IFERROR(D2775*E2775,0)</f>
        <v/>
      </c>
      <c r="G2775" s="106">
        <f>INDEX(SETORES!$B:$B,MATCH(A2775,SETORES!$A:$A,0))</f>
        <v/>
      </c>
      <c r="H2775" s="106" t="inlineStr">
        <is>
          <t>Setembro/2026</t>
        </is>
      </c>
    </row>
    <row r="2776">
      <c r="A2776" s="106" t="inlineStr">
        <is>
          <t>Diretoria Operacional</t>
        </is>
      </c>
      <c r="B2776" s="106" t="inlineStr">
        <is>
          <t>Custo Fixo</t>
        </is>
      </c>
      <c r="C2776" s="106" t="inlineStr">
        <is>
          <t>Despesas com RH</t>
        </is>
      </c>
      <c r="D2776" s="107" t="n">
        <v>2</v>
      </c>
      <c r="E2776" s="108" t="n">
        <v>32.55</v>
      </c>
      <c r="F2776" s="109">
        <f>IFERROR(D2776*E2776,0)</f>
        <v/>
      </c>
      <c r="G2776" s="106">
        <f>INDEX(SETORES!$B:$B,MATCH(A2776,SETORES!$A:$A,0))</f>
        <v/>
      </c>
      <c r="H2776" s="106" t="inlineStr">
        <is>
          <t>Setembro/2026</t>
        </is>
      </c>
    </row>
    <row r="2777">
      <c r="A2777" s="106" t="inlineStr">
        <is>
          <t>Diretoria Operacional</t>
        </is>
      </c>
      <c r="B2777" s="106" t="inlineStr">
        <is>
          <t>Custo Fixo</t>
        </is>
      </c>
      <c r="C2777" s="106" t="inlineStr">
        <is>
          <t>Despesas com DP</t>
        </is>
      </c>
      <c r="D2777" s="107" t="n">
        <v>2</v>
      </c>
      <c r="E2777" s="108" t="n">
        <v>52.09</v>
      </c>
      <c r="F2777" s="109">
        <f>IFERROR(D2777*E2777,0)</f>
        <v/>
      </c>
      <c r="G2777" s="106">
        <f>INDEX(SETORES!$B:$B,MATCH(A2777,SETORES!$A:$A,0))</f>
        <v/>
      </c>
      <c r="H2777" s="106" t="inlineStr">
        <is>
          <t>Setembro/2026</t>
        </is>
      </c>
    </row>
    <row r="2778">
      <c r="A2778" s="106" t="inlineStr">
        <is>
          <t>Diretoria Operacional</t>
        </is>
      </c>
      <c r="B2778" s="106" t="inlineStr">
        <is>
          <t>Custo Fixo</t>
        </is>
      </c>
      <c r="C2778" s="106" t="inlineStr">
        <is>
          <t>Despesas com SST</t>
        </is>
      </c>
      <c r="D2778" s="107" t="n">
        <v>2</v>
      </c>
      <c r="E2778" s="108" t="n">
        <v>52.35</v>
      </c>
      <c r="F2778" s="109">
        <f>IFERROR(D2778*E2778,0)</f>
        <v/>
      </c>
      <c r="G2778" s="106">
        <f>INDEX(SETORES!$B:$B,MATCH(A2778,SETORES!$A:$A,0))</f>
        <v/>
      </c>
      <c r="H2778" s="106" t="inlineStr">
        <is>
          <t>Setembro/2026</t>
        </is>
      </c>
    </row>
    <row r="2779">
      <c r="A2779" s="106" t="inlineStr">
        <is>
          <t>Engenharia</t>
        </is>
      </c>
      <c r="B2779" s="106" t="inlineStr">
        <is>
          <t>Custo Fixo</t>
        </is>
      </c>
      <c r="C2779" s="106" t="inlineStr">
        <is>
          <t>Despesas com RH</t>
        </is>
      </c>
      <c r="D2779" s="107" t="n">
        <v>9</v>
      </c>
      <c r="E2779" s="108" t="n">
        <v>32.55</v>
      </c>
      <c r="F2779" s="109">
        <f>IFERROR(D2779*E2779,0)</f>
        <v/>
      </c>
      <c r="G2779" s="106">
        <f>INDEX(SETORES!$B:$B,MATCH(A2779,SETORES!$A:$A,0))</f>
        <v/>
      </c>
      <c r="H2779" s="106" t="inlineStr">
        <is>
          <t>Setembro/2026</t>
        </is>
      </c>
    </row>
    <row r="2780">
      <c r="A2780" s="106" t="inlineStr">
        <is>
          <t>Engenharia</t>
        </is>
      </c>
      <c r="B2780" s="106" t="inlineStr">
        <is>
          <t>Custo Fixo</t>
        </is>
      </c>
      <c r="C2780" s="106" t="inlineStr">
        <is>
          <t>Despesas com DP</t>
        </is>
      </c>
      <c r="D2780" s="107" t="n">
        <v>9</v>
      </c>
      <c r="E2780" s="108" t="n">
        <v>52.09</v>
      </c>
      <c r="F2780" s="109">
        <f>IFERROR(D2780*E2780,0)</f>
        <v/>
      </c>
      <c r="G2780" s="106">
        <f>INDEX(SETORES!$B:$B,MATCH(A2780,SETORES!$A:$A,0))</f>
        <v/>
      </c>
      <c r="H2780" s="106" t="inlineStr">
        <is>
          <t>Setembro/2026</t>
        </is>
      </c>
    </row>
    <row r="2781">
      <c r="A2781" s="106" t="inlineStr">
        <is>
          <t>Engenharia</t>
        </is>
      </c>
      <c r="B2781" s="106" t="inlineStr">
        <is>
          <t>Custo Fixo</t>
        </is>
      </c>
      <c r="C2781" s="106" t="inlineStr">
        <is>
          <t>Despesas com SST</t>
        </is>
      </c>
      <c r="D2781" s="107" t="n">
        <v>9</v>
      </c>
      <c r="E2781" s="108" t="n">
        <v>52.35</v>
      </c>
      <c r="F2781" s="109">
        <f>IFERROR(D2781*E2781,0)</f>
        <v/>
      </c>
      <c r="G2781" s="106">
        <f>INDEX(SETORES!$B:$B,MATCH(A2781,SETORES!$A:$A,0))</f>
        <v/>
      </c>
      <c r="H2781" s="106" t="inlineStr">
        <is>
          <t>Setembro/2026</t>
        </is>
      </c>
    </row>
    <row r="2782">
      <c r="A2782" s="106" t="inlineStr">
        <is>
          <t>Estoque</t>
        </is>
      </c>
      <c r="B2782" s="106" t="inlineStr">
        <is>
          <t>Custo Fixo</t>
        </is>
      </c>
      <c r="C2782" s="106" t="inlineStr">
        <is>
          <t>Despesas com RH</t>
        </is>
      </c>
      <c r="D2782" s="107" t="n">
        <v>16</v>
      </c>
      <c r="E2782" s="108" t="n">
        <v>32.55</v>
      </c>
      <c r="F2782" s="109">
        <f>IFERROR(D2782*E2782,0)</f>
        <v/>
      </c>
      <c r="G2782" s="106">
        <f>INDEX(SETORES!$B:$B,MATCH(A2782,SETORES!$A:$A,0))</f>
        <v/>
      </c>
      <c r="H2782" s="106" t="inlineStr">
        <is>
          <t>Setembro/2026</t>
        </is>
      </c>
    </row>
    <row r="2783">
      <c r="A2783" s="106" t="inlineStr">
        <is>
          <t>Estoque</t>
        </is>
      </c>
      <c r="B2783" s="106" t="inlineStr">
        <is>
          <t>Custo Fixo</t>
        </is>
      </c>
      <c r="C2783" s="106" t="inlineStr">
        <is>
          <t>Despesas com DP</t>
        </is>
      </c>
      <c r="D2783" s="107" t="n">
        <v>16</v>
      </c>
      <c r="E2783" s="108" t="n">
        <v>52.09</v>
      </c>
      <c r="F2783" s="109">
        <f>IFERROR(D2783*E2783,0)</f>
        <v/>
      </c>
      <c r="G2783" s="106">
        <f>INDEX(SETORES!$B:$B,MATCH(A2783,SETORES!$A:$A,0))</f>
        <v/>
      </c>
      <c r="H2783" s="106" t="inlineStr">
        <is>
          <t>Setembro/2026</t>
        </is>
      </c>
    </row>
    <row r="2784">
      <c r="A2784" s="106" t="inlineStr">
        <is>
          <t>Estoque</t>
        </is>
      </c>
      <c r="B2784" s="106" t="inlineStr">
        <is>
          <t>Custo Fixo</t>
        </is>
      </c>
      <c r="C2784" s="106" t="inlineStr">
        <is>
          <t>Despesas com SST</t>
        </is>
      </c>
      <c r="D2784" s="107" t="n">
        <v>16</v>
      </c>
      <c r="E2784" s="108" t="n">
        <v>52.35</v>
      </c>
      <c r="F2784" s="109">
        <f>IFERROR(D2784*E2784,0)</f>
        <v/>
      </c>
      <c r="G2784" s="106">
        <f>INDEX(SETORES!$B:$B,MATCH(A2784,SETORES!$A:$A,0))</f>
        <v/>
      </c>
      <c r="H2784" s="106" t="inlineStr">
        <is>
          <t>Setembro/2026</t>
        </is>
      </c>
    </row>
    <row r="2785">
      <c r="A2785" s="106" t="inlineStr">
        <is>
          <t>Financeiro</t>
        </is>
      </c>
      <c r="B2785" s="106" t="inlineStr">
        <is>
          <t>Custo Fixo</t>
        </is>
      </c>
      <c r="C2785" s="106" t="inlineStr">
        <is>
          <t>Despesas com RH</t>
        </is>
      </c>
      <c r="D2785" s="107" t="n">
        <v>8</v>
      </c>
      <c r="E2785" s="108" t="n">
        <v>32.55</v>
      </c>
      <c r="F2785" s="109">
        <f>IFERROR(D2785*E2785,0)</f>
        <v/>
      </c>
      <c r="G2785" s="106">
        <f>INDEX(SETORES!$B:$B,MATCH(A2785,SETORES!$A:$A,0))</f>
        <v/>
      </c>
      <c r="H2785" s="106" t="inlineStr">
        <is>
          <t>Setembro/2026</t>
        </is>
      </c>
    </row>
    <row r="2786">
      <c r="A2786" s="106" t="inlineStr">
        <is>
          <t>Financeiro</t>
        </is>
      </c>
      <c r="B2786" s="106" t="inlineStr">
        <is>
          <t>Custo Fixo</t>
        </is>
      </c>
      <c r="C2786" s="106" t="inlineStr">
        <is>
          <t>Despesas com DP</t>
        </is>
      </c>
      <c r="D2786" s="107" t="n">
        <v>8</v>
      </c>
      <c r="E2786" s="108" t="n">
        <v>52.09</v>
      </c>
      <c r="F2786" s="109">
        <f>IFERROR(D2786*E2786,0)</f>
        <v/>
      </c>
      <c r="G2786" s="106">
        <f>INDEX(SETORES!$B:$B,MATCH(A2786,SETORES!$A:$A,0))</f>
        <v/>
      </c>
      <c r="H2786" s="106" t="inlineStr">
        <is>
          <t>Setembro/2026</t>
        </is>
      </c>
    </row>
    <row r="2787">
      <c r="A2787" s="106" t="inlineStr">
        <is>
          <t>Financeiro</t>
        </is>
      </c>
      <c r="B2787" s="106" t="inlineStr">
        <is>
          <t>Custo Fixo</t>
        </is>
      </c>
      <c r="C2787" s="106" t="inlineStr">
        <is>
          <t>Despesas com SST</t>
        </is>
      </c>
      <c r="D2787" s="107" t="n">
        <v>8</v>
      </c>
      <c r="E2787" s="108" t="n">
        <v>52.35</v>
      </c>
      <c r="F2787" s="109">
        <f>IFERROR(D2787*E2787,0)</f>
        <v/>
      </c>
      <c r="G2787" s="106">
        <f>INDEX(SETORES!$B:$B,MATCH(A2787,SETORES!$A:$A,0))</f>
        <v/>
      </c>
      <c r="H2787" s="106" t="inlineStr">
        <is>
          <t>Setembro/2026</t>
        </is>
      </c>
    </row>
    <row r="2788">
      <c r="A2788" s="106" t="inlineStr">
        <is>
          <t>Logística</t>
        </is>
      </c>
      <c r="B2788" s="106" t="inlineStr">
        <is>
          <t>Custo Fixo</t>
        </is>
      </c>
      <c r="C2788" s="106" t="inlineStr">
        <is>
          <t>Despesas com RH</t>
        </is>
      </c>
      <c r="D2788" s="107" t="n">
        <v>16</v>
      </c>
      <c r="E2788" s="108" t="n">
        <v>32.55</v>
      </c>
      <c r="F2788" s="109">
        <f>IFERROR(D2788*E2788,0)</f>
        <v/>
      </c>
      <c r="G2788" s="106">
        <f>INDEX(SETORES!$B:$B,MATCH(A2788,SETORES!$A:$A,0))</f>
        <v/>
      </c>
      <c r="H2788" s="106" t="inlineStr">
        <is>
          <t>Setembro/2026</t>
        </is>
      </c>
    </row>
    <row r="2789">
      <c r="A2789" s="106" t="inlineStr">
        <is>
          <t>Logística</t>
        </is>
      </c>
      <c r="B2789" s="106" t="inlineStr">
        <is>
          <t>Custo Fixo</t>
        </is>
      </c>
      <c r="C2789" s="106" t="inlineStr">
        <is>
          <t>Despesas com DP</t>
        </is>
      </c>
      <c r="D2789" s="107" t="n">
        <v>16</v>
      </c>
      <c r="E2789" s="108" t="n">
        <v>52.09</v>
      </c>
      <c r="F2789" s="109">
        <f>IFERROR(D2789*E2789,0)</f>
        <v/>
      </c>
      <c r="G2789" s="106">
        <f>INDEX(SETORES!$B:$B,MATCH(A2789,SETORES!$A:$A,0))</f>
        <v/>
      </c>
      <c r="H2789" s="106" t="inlineStr">
        <is>
          <t>Setembro/2026</t>
        </is>
      </c>
    </row>
    <row r="2790">
      <c r="A2790" s="106" t="inlineStr">
        <is>
          <t>Logística</t>
        </is>
      </c>
      <c r="B2790" s="106" t="inlineStr">
        <is>
          <t>Custo Fixo</t>
        </is>
      </c>
      <c r="C2790" s="106" t="inlineStr">
        <is>
          <t>Despesas com SST</t>
        </is>
      </c>
      <c r="D2790" s="107" t="n">
        <v>16</v>
      </c>
      <c r="E2790" s="108" t="n">
        <v>52.35</v>
      </c>
      <c r="F2790" s="109">
        <f>IFERROR(D2790*E2790,0)</f>
        <v/>
      </c>
      <c r="G2790" s="106">
        <f>INDEX(SETORES!$B:$B,MATCH(A2790,SETORES!$A:$A,0))</f>
        <v/>
      </c>
      <c r="H2790" s="106" t="inlineStr">
        <is>
          <t>Setembro/2026</t>
        </is>
      </c>
    </row>
    <row r="2791">
      <c r="A2791" s="106" t="inlineStr">
        <is>
          <t>Manutenção Predial</t>
        </is>
      </c>
      <c r="B2791" s="106" t="inlineStr">
        <is>
          <t>Custo Fixo</t>
        </is>
      </c>
      <c r="C2791" s="106" t="inlineStr">
        <is>
          <t>Despesas com RH</t>
        </is>
      </c>
      <c r="D2791" s="107" t="n">
        <v>15</v>
      </c>
      <c r="E2791" s="108" t="n">
        <v>32.55</v>
      </c>
      <c r="F2791" s="109">
        <f>IFERROR(D2791*E2791,0)</f>
        <v/>
      </c>
      <c r="G2791" s="106">
        <f>INDEX(SETORES!$B:$B,MATCH(A2791,SETORES!$A:$A,0))</f>
        <v/>
      </c>
      <c r="H2791" s="106" t="inlineStr">
        <is>
          <t>Setembro/2026</t>
        </is>
      </c>
    </row>
    <row r="2792">
      <c r="A2792" s="106" t="inlineStr">
        <is>
          <t>Manutenção Predial</t>
        </is>
      </c>
      <c r="B2792" s="106" t="inlineStr">
        <is>
          <t>Custo Fixo</t>
        </is>
      </c>
      <c r="C2792" s="106" t="inlineStr">
        <is>
          <t>Despesas com DP</t>
        </is>
      </c>
      <c r="D2792" s="107" t="n">
        <v>15</v>
      </c>
      <c r="E2792" s="108" t="n">
        <v>52.09</v>
      </c>
      <c r="F2792" s="109">
        <f>IFERROR(D2792*E2792,0)</f>
        <v/>
      </c>
      <c r="G2792" s="106">
        <f>INDEX(SETORES!$B:$B,MATCH(A2792,SETORES!$A:$A,0))</f>
        <v/>
      </c>
      <c r="H2792" s="106" t="inlineStr">
        <is>
          <t>Setembro/2026</t>
        </is>
      </c>
    </row>
    <row r="2793">
      <c r="A2793" s="106" t="inlineStr">
        <is>
          <t>Manutenção Predial</t>
        </is>
      </c>
      <c r="B2793" s="106" t="inlineStr">
        <is>
          <t>Custo Fixo</t>
        </is>
      </c>
      <c r="C2793" s="106" t="inlineStr">
        <is>
          <t>Despesas com SST</t>
        </is>
      </c>
      <c r="D2793" s="107" t="n">
        <v>15</v>
      </c>
      <c r="E2793" s="108" t="n">
        <v>52.35</v>
      </c>
      <c r="F2793" s="109">
        <f>IFERROR(D2793*E2793,0)</f>
        <v/>
      </c>
      <c r="G2793" s="106">
        <f>INDEX(SETORES!$B:$B,MATCH(A2793,SETORES!$A:$A,0))</f>
        <v/>
      </c>
      <c r="H2793" s="106" t="inlineStr">
        <is>
          <t>Setembro/2026</t>
        </is>
      </c>
    </row>
    <row r="2794">
      <c r="A2794" s="106" t="inlineStr">
        <is>
          <t>NOC</t>
        </is>
      </c>
      <c r="B2794" s="106" t="inlineStr">
        <is>
          <t>Custo Fixo</t>
        </is>
      </c>
      <c r="C2794" s="106" t="inlineStr">
        <is>
          <t>Despesas com RH</t>
        </is>
      </c>
      <c r="D2794" s="107" t="n">
        <v>3</v>
      </c>
      <c r="E2794" s="108" t="n">
        <v>32.55</v>
      </c>
      <c r="F2794" s="109">
        <f>IFERROR(D2794*E2794,0)</f>
        <v/>
      </c>
      <c r="G2794" s="106">
        <f>INDEX(SETORES!$B:$B,MATCH(A2794,SETORES!$A:$A,0))</f>
        <v/>
      </c>
      <c r="H2794" s="106" t="inlineStr">
        <is>
          <t>Setembro/2026</t>
        </is>
      </c>
    </row>
    <row r="2795">
      <c r="A2795" s="106" t="inlineStr">
        <is>
          <t>NOC</t>
        </is>
      </c>
      <c r="B2795" s="106" t="inlineStr">
        <is>
          <t>Custo Fixo</t>
        </is>
      </c>
      <c r="C2795" s="106" t="inlineStr">
        <is>
          <t>Despesas com DP</t>
        </is>
      </c>
      <c r="D2795" s="107" t="n">
        <v>3</v>
      </c>
      <c r="E2795" s="108" t="n">
        <v>52.09</v>
      </c>
      <c r="F2795" s="109">
        <f>IFERROR(D2795*E2795,0)</f>
        <v/>
      </c>
      <c r="G2795" s="106">
        <f>INDEX(SETORES!$B:$B,MATCH(A2795,SETORES!$A:$A,0))</f>
        <v/>
      </c>
      <c r="H2795" s="106" t="inlineStr">
        <is>
          <t>Setembro/2026</t>
        </is>
      </c>
    </row>
    <row r="2796">
      <c r="A2796" s="106" t="inlineStr">
        <is>
          <t>NOC</t>
        </is>
      </c>
      <c r="B2796" s="106" t="inlineStr">
        <is>
          <t>Custo Fixo</t>
        </is>
      </c>
      <c r="C2796" s="106" t="inlineStr">
        <is>
          <t>Despesas com SST</t>
        </is>
      </c>
      <c r="D2796" s="107" t="n">
        <v>3</v>
      </c>
      <c r="E2796" s="108" t="n">
        <v>52.35</v>
      </c>
      <c r="F2796" s="109">
        <f>IFERROR(D2796*E2796,0)</f>
        <v/>
      </c>
      <c r="G2796" s="106">
        <f>INDEX(SETORES!$B:$B,MATCH(A2796,SETORES!$A:$A,0))</f>
        <v/>
      </c>
      <c r="H2796" s="106" t="inlineStr">
        <is>
          <t>Setembro/2026</t>
        </is>
      </c>
    </row>
    <row r="2797">
      <c r="A2797" s="106" t="inlineStr">
        <is>
          <t>NRC</t>
        </is>
      </c>
      <c r="B2797" s="106" t="inlineStr">
        <is>
          <t>Custo Fixo</t>
        </is>
      </c>
      <c r="C2797" s="106" t="inlineStr">
        <is>
          <t>Despesas com RH</t>
        </is>
      </c>
      <c r="D2797" s="107" t="n">
        <v>42</v>
      </c>
      <c r="E2797" s="108" t="n">
        <v>32.55</v>
      </c>
      <c r="F2797" s="109">
        <f>IFERROR(D2797*E2797,0)</f>
        <v/>
      </c>
      <c r="G2797" s="106">
        <f>INDEX(SETORES!$B:$B,MATCH(A2797,SETORES!$A:$A,0))</f>
        <v/>
      </c>
      <c r="H2797" s="106" t="inlineStr">
        <is>
          <t>Setembro/2026</t>
        </is>
      </c>
    </row>
    <row r="2798">
      <c r="A2798" s="106" t="inlineStr">
        <is>
          <t>NRC</t>
        </is>
      </c>
      <c r="B2798" s="106" t="inlineStr">
        <is>
          <t>Custo Fixo</t>
        </is>
      </c>
      <c r="C2798" s="106" t="inlineStr">
        <is>
          <t>Despesas com DP</t>
        </is>
      </c>
      <c r="D2798" s="107" t="n">
        <v>42</v>
      </c>
      <c r="E2798" s="108" t="n">
        <v>52.09</v>
      </c>
      <c r="F2798" s="109">
        <f>IFERROR(D2798*E2798,0)</f>
        <v/>
      </c>
      <c r="G2798" s="106">
        <f>INDEX(SETORES!$B:$B,MATCH(A2798,SETORES!$A:$A,0))</f>
        <v/>
      </c>
      <c r="H2798" s="106" t="inlineStr">
        <is>
          <t>Setembro/2026</t>
        </is>
      </c>
    </row>
    <row r="2799">
      <c r="A2799" s="106" t="inlineStr">
        <is>
          <t>NRC</t>
        </is>
      </c>
      <c r="B2799" s="106" t="inlineStr">
        <is>
          <t>Custo Fixo</t>
        </is>
      </c>
      <c r="C2799" s="106" t="inlineStr">
        <is>
          <t>Despesas com SST</t>
        </is>
      </c>
      <c r="D2799" s="107" t="n">
        <v>42</v>
      </c>
      <c r="E2799" s="108" t="n">
        <v>52.35</v>
      </c>
      <c r="F2799" s="109">
        <f>IFERROR(D2799*E2799,0)</f>
        <v/>
      </c>
      <c r="G2799" s="106">
        <f>INDEX(SETORES!$B:$B,MATCH(A2799,SETORES!$A:$A,0))</f>
        <v/>
      </c>
      <c r="H2799" s="106" t="inlineStr">
        <is>
          <t>Setembro/2026</t>
        </is>
      </c>
    </row>
    <row r="2800">
      <c r="A2800" s="106" t="inlineStr">
        <is>
          <t>Obras</t>
        </is>
      </c>
      <c r="B2800" s="106" t="inlineStr">
        <is>
          <t>Custo Fixo</t>
        </is>
      </c>
      <c r="C2800" s="106" t="inlineStr">
        <is>
          <t>Despesas com RH</t>
        </is>
      </c>
      <c r="D2800" s="107" t="n">
        <v>24</v>
      </c>
      <c r="E2800" s="108" t="n">
        <v>32.55</v>
      </c>
      <c r="F2800" s="109">
        <f>IFERROR(D2800*E2800,0)</f>
        <v/>
      </c>
      <c r="G2800" s="106">
        <f>INDEX(SETORES!$B:$B,MATCH(A2800,SETORES!$A:$A,0))</f>
        <v/>
      </c>
      <c r="H2800" s="106" t="inlineStr">
        <is>
          <t>Setembro/2026</t>
        </is>
      </c>
    </row>
    <row r="2801">
      <c r="A2801" s="106" t="inlineStr">
        <is>
          <t>Obras</t>
        </is>
      </c>
      <c r="B2801" s="106" t="inlineStr">
        <is>
          <t>Custo Fixo</t>
        </is>
      </c>
      <c r="C2801" s="106" t="inlineStr">
        <is>
          <t>Despesas com DP</t>
        </is>
      </c>
      <c r="D2801" s="107" t="n">
        <v>24</v>
      </c>
      <c r="E2801" s="108" t="n">
        <v>52.09</v>
      </c>
      <c r="F2801" s="109">
        <f>IFERROR(D2801*E2801,0)</f>
        <v/>
      </c>
      <c r="G2801" s="106">
        <f>INDEX(SETORES!$B:$B,MATCH(A2801,SETORES!$A:$A,0))</f>
        <v/>
      </c>
      <c r="H2801" s="106" t="inlineStr">
        <is>
          <t>Setembro/2026</t>
        </is>
      </c>
    </row>
    <row r="2802">
      <c r="A2802" s="106" t="inlineStr">
        <is>
          <t>Obras</t>
        </is>
      </c>
      <c r="B2802" s="106" t="inlineStr">
        <is>
          <t>Custo Fixo</t>
        </is>
      </c>
      <c r="C2802" s="106" t="inlineStr">
        <is>
          <t>Despesas com SST</t>
        </is>
      </c>
      <c r="D2802" s="107" t="n">
        <v>24</v>
      </c>
      <c r="E2802" s="108" t="n">
        <v>52.35</v>
      </c>
      <c r="F2802" s="109">
        <f>IFERROR(D2802*E2802,0)</f>
        <v/>
      </c>
      <c r="G2802" s="106">
        <f>INDEX(SETORES!$B:$B,MATCH(A2802,SETORES!$A:$A,0))</f>
        <v/>
      </c>
      <c r="H2802" s="106" t="inlineStr">
        <is>
          <t>Setembro/2026</t>
        </is>
      </c>
    </row>
    <row r="2803">
      <c r="A2803" s="106" t="inlineStr">
        <is>
          <t>Oficina</t>
        </is>
      </c>
      <c r="B2803" s="106" t="inlineStr">
        <is>
          <t>Custo Fixo</t>
        </is>
      </c>
      <c r="C2803" s="106" t="inlineStr">
        <is>
          <t>Despesas com RH</t>
        </is>
      </c>
      <c r="D2803" s="107" t="n">
        <v>4</v>
      </c>
      <c r="E2803" s="108" t="n">
        <v>32.55</v>
      </c>
      <c r="F2803" s="109">
        <f>IFERROR(D2803*E2803,0)</f>
        <v/>
      </c>
      <c r="G2803" s="106">
        <f>INDEX(SETORES!$B:$B,MATCH(A2803,SETORES!$A:$A,0))</f>
        <v/>
      </c>
      <c r="H2803" s="106" t="inlineStr">
        <is>
          <t>Setembro/2026</t>
        </is>
      </c>
    </row>
    <row r="2804">
      <c r="A2804" s="106" t="inlineStr">
        <is>
          <t>Oficina</t>
        </is>
      </c>
      <c r="B2804" s="106" t="inlineStr">
        <is>
          <t>Custo Fixo</t>
        </is>
      </c>
      <c r="C2804" s="106" t="inlineStr">
        <is>
          <t>Despesas com DP</t>
        </is>
      </c>
      <c r="D2804" s="107" t="n">
        <v>4</v>
      </c>
      <c r="E2804" s="108" t="n">
        <v>52.09</v>
      </c>
      <c r="F2804" s="109">
        <f>IFERROR(D2804*E2804,0)</f>
        <v/>
      </c>
      <c r="G2804" s="106">
        <f>INDEX(SETORES!$B:$B,MATCH(A2804,SETORES!$A:$A,0))</f>
        <v/>
      </c>
      <c r="H2804" s="106" t="inlineStr">
        <is>
          <t>Setembro/2026</t>
        </is>
      </c>
    </row>
    <row r="2805">
      <c r="A2805" s="106" t="inlineStr">
        <is>
          <t>Oficina</t>
        </is>
      </c>
      <c r="B2805" s="106" t="inlineStr">
        <is>
          <t>Custo Fixo</t>
        </is>
      </c>
      <c r="C2805" s="106" t="inlineStr">
        <is>
          <t>Despesas com SST</t>
        </is>
      </c>
      <c r="D2805" s="107" t="n">
        <v>4</v>
      </c>
      <c r="E2805" s="108" t="n">
        <v>52.35</v>
      </c>
      <c r="F2805" s="109">
        <f>IFERROR(D2805*E2805,0)</f>
        <v/>
      </c>
      <c r="G2805" s="106">
        <f>INDEX(SETORES!$B:$B,MATCH(A2805,SETORES!$A:$A,0))</f>
        <v/>
      </c>
      <c r="H2805" s="106" t="inlineStr">
        <is>
          <t>Setembro/2026</t>
        </is>
      </c>
    </row>
    <row r="2806">
      <c r="A2806" s="106" t="inlineStr">
        <is>
          <t>RH</t>
        </is>
      </c>
      <c r="B2806" s="106" t="inlineStr">
        <is>
          <t>Custo Fixo</t>
        </is>
      </c>
      <c r="C2806" s="106" t="inlineStr">
        <is>
          <t>Despesas com RH</t>
        </is>
      </c>
      <c r="D2806" s="107" t="n">
        <v>6</v>
      </c>
      <c r="E2806" s="108" t="n">
        <v>32.55</v>
      </c>
      <c r="F2806" s="109">
        <f>IFERROR(D2806*E2806,0)</f>
        <v/>
      </c>
      <c r="G2806" s="106">
        <f>INDEX(SETORES!$B:$B,MATCH(A2806,SETORES!$A:$A,0))</f>
        <v/>
      </c>
      <c r="H2806" s="106" t="inlineStr">
        <is>
          <t>Setembro/2026</t>
        </is>
      </c>
    </row>
    <row r="2807">
      <c r="A2807" s="106" t="inlineStr">
        <is>
          <t>RH</t>
        </is>
      </c>
      <c r="B2807" s="106" t="inlineStr">
        <is>
          <t>Custo Fixo</t>
        </is>
      </c>
      <c r="C2807" s="106" t="inlineStr">
        <is>
          <t>Despesas com DP</t>
        </is>
      </c>
      <c r="D2807" s="107" t="n">
        <v>6</v>
      </c>
      <c r="E2807" s="108" t="n">
        <v>52.09</v>
      </c>
      <c r="F2807" s="109">
        <f>IFERROR(D2807*E2807,0)</f>
        <v/>
      </c>
      <c r="G2807" s="106">
        <f>INDEX(SETORES!$B:$B,MATCH(A2807,SETORES!$A:$A,0))</f>
        <v/>
      </c>
      <c r="H2807" s="106" t="inlineStr">
        <is>
          <t>Setembro/2026</t>
        </is>
      </c>
    </row>
    <row r="2808">
      <c r="A2808" s="106" t="inlineStr">
        <is>
          <t>RH</t>
        </is>
      </c>
      <c r="B2808" s="106" t="inlineStr">
        <is>
          <t>Custo Fixo</t>
        </is>
      </c>
      <c r="C2808" s="106" t="inlineStr">
        <is>
          <t>Despesas com SST</t>
        </is>
      </c>
      <c r="D2808" s="107" t="n">
        <v>6</v>
      </c>
      <c r="E2808" s="108" t="n">
        <v>52.35</v>
      </c>
      <c r="F2808" s="109">
        <f>IFERROR(D2808*E2808,0)</f>
        <v/>
      </c>
      <c r="G2808" s="106">
        <f>INDEX(SETORES!$B:$B,MATCH(A2808,SETORES!$A:$A,0))</f>
        <v/>
      </c>
      <c r="H2808" s="106" t="inlineStr">
        <is>
          <t>Setembro/2026</t>
        </is>
      </c>
    </row>
    <row r="2809">
      <c r="A2809" s="106" t="inlineStr">
        <is>
          <t>Retenção</t>
        </is>
      </c>
      <c r="B2809" s="106" t="inlineStr">
        <is>
          <t>Custo Fixo</t>
        </is>
      </c>
      <c r="C2809" s="106" t="inlineStr">
        <is>
          <t>Despesas com RH</t>
        </is>
      </c>
      <c r="D2809" s="107" t="n">
        <v>12</v>
      </c>
      <c r="E2809" s="108" t="n">
        <v>32.55</v>
      </c>
      <c r="F2809" s="109">
        <f>IFERROR(D2809*E2809,0)</f>
        <v/>
      </c>
      <c r="G2809" s="106">
        <f>INDEX(SETORES!$B:$B,MATCH(A2809,SETORES!$A:$A,0))</f>
        <v/>
      </c>
      <c r="H2809" s="106" t="inlineStr">
        <is>
          <t>Setembro/2026</t>
        </is>
      </c>
    </row>
    <row r="2810">
      <c r="A2810" s="106" t="inlineStr">
        <is>
          <t>Retenção</t>
        </is>
      </c>
      <c r="B2810" s="106" t="inlineStr">
        <is>
          <t>Custo Fixo</t>
        </is>
      </c>
      <c r="C2810" s="106" t="inlineStr">
        <is>
          <t>Despesas com DP</t>
        </is>
      </c>
      <c r="D2810" s="107" t="n">
        <v>12</v>
      </c>
      <c r="E2810" s="108" t="n">
        <v>52.09</v>
      </c>
      <c r="F2810" s="109">
        <f>IFERROR(D2810*E2810,0)</f>
        <v/>
      </c>
      <c r="G2810" s="106">
        <f>INDEX(SETORES!$B:$B,MATCH(A2810,SETORES!$A:$A,0))</f>
        <v/>
      </c>
      <c r="H2810" s="106" t="inlineStr">
        <is>
          <t>Setembro/2026</t>
        </is>
      </c>
    </row>
    <row r="2811">
      <c r="A2811" s="106" t="inlineStr">
        <is>
          <t>Retenção</t>
        </is>
      </c>
      <c r="B2811" s="106" t="inlineStr">
        <is>
          <t>Custo Fixo</t>
        </is>
      </c>
      <c r="C2811" s="106" t="inlineStr">
        <is>
          <t>Despesas com SST</t>
        </is>
      </c>
      <c r="D2811" s="107" t="n">
        <v>12</v>
      </c>
      <c r="E2811" s="108" t="n">
        <v>52.35</v>
      </c>
      <c r="F2811" s="109">
        <f>IFERROR(D2811*E2811,0)</f>
        <v/>
      </c>
      <c r="G2811" s="106">
        <f>INDEX(SETORES!$B:$B,MATCH(A2811,SETORES!$A:$A,0))</f>
        <v/>
      </c>
      <c r="H2811" s="106" t="inlineStr">
        <is>
          <t>Setembro/2026</t>
        </is>
      </c>
    </row>
    <row r="2812">
      <c r="A2812" s="106" t="inlineStr">
        <is>
          <t>Segurança do Trabalho</t>
        </is>
      </c>
      <c r="B2812" s="106" t="inlineStr">
        <is>
          <t>Custo Fixo</t>
        </is>
      </c>
      <c r="C2812" s="106" t="inlineStr">
        <is>
          <t>Despesas com RH</t>
        </is>
      </c>
      <c r="D2812" s="107" t="n">
        <v>8</v>
      </c>
      <c r="E2812" s="108" t="n">
        <v>32.55</v>
      </c>
      <c r="F2812" s="109">
        <f>IFERROR(D2812*E2812,0)</f>
        <v/>
      </c>
      <c r="G2812" s="106">
        <f>INDEX(SETORES!$B:$B,MATCH(A2812,SETORES!$A:$A,0))</f>
        <v/>
      </c>
      <c r="H2812" s="106" t="inlineStr">
        <is>
          <t>Setembro/2026</t>
        </is>
      </c>
    </row>
    <row r="2813">
      <c r="A2813" s="106" t="inlineStr">
        <is>
          <t>Segurança do Trabalho</t>
        </is>
      </c>
      <c r="B2813" s="106" t="inlineStr">
        <is>
          <t>Custo Fixo</t>
        </is>
      </c>
      <c r="C2813" s="106" t="inlineStr">
        <is>
          <t>Despesas com DP</t>
        </is>
      </c>
      <c r="D2813" s="107" t="n">
        <v>8</v>
      </c>
      <c r="E2813" s="108" t="n">
        <v>52.09</v>
      </c>
      <c r="F2813" s="109">
        <f>IFERROR(D2813*E2813,0)</f>
        <v/>
      </c>
      <c r="G2813" s="106">
        <f>INDEX(SETORES!$B:$B,MATCH(A2813,SETORES!$A:$A,0))</f>
        <v/>
      </c>
      <c r="H2813" s="106" t="inlineStr">
        <is>
          <t>Setembro/2026</t>
        </is>
      </c>
    </row>
    <row r="2814">
      <c r="A2814" s="106" t="inlineStr">
        <is>
          <t>Segurança do Trabalho</t>
        </is>
      </c>
      <c r="B2814" s="106" t="inlineStr">
        <is>
          <t>Custo Fixo</t>
        </is>
      </c>
      <c r="C2814" s="106" t="inlineStr">
        <is>
          <t>Despesas com SST</t>
        </is>
      </c>
      <c r="D2814" s="107" t="n">
        <v>8</v>
      </c>
      <c r="E2814" s="108" t="n">
        <v>52.35</v>
      </c>
      <c r="F2814" s="109">
        <f>IFERROR(D2814*E2814,0)</f>
        <v/>
      </c>
      <c r="G2814" s="106">
        <f>INDEX(SETORES!$B:$B,MATCH(A2814,SETORES!$A:$A,0))</f>
        <v/>
      </c>
      <c r="H2814" s="106" t="inlineStr">
        <is>
          <t>Setembro/2026</t>
        </is>
      </c>
    </row>
    <row r="2815">
      <c r="A2815" s="106" t="inlineStr">
        <is>
          <t>Suporte Orbix</t>
        </is>
      </c>
      <c r="B2815" s="106" t="inlineStr">
        <is>
          <t>Custo Fixo</t>
        </is>
      </c>
      <c r="C2815" s="106" t="inlineStr">
        <is>
          <t>Despesas com RH</t>
        </is>
      </c>
      <c r="D2815" s="107" t="n">
        <v>8</v>
      </c>
      <c r="E2815" s="108" t="n">
        <v>32.55</v>
      </c>
      <c r="F2815" s="109">
        <f>IFERROR(D2815*E2815,0)</f>
        <v/>
      </c>
      <c r="G2815" s="106">
        <f>INDEX(SETORES!$B:$B,MATCH(A2815,SETORES!$A:$A,0))</f>
        <v/>
      </c>
      <c r="H2815" s="106" t="inlineStr">
        <is>
          <t>Setembro/2026</t>
        </is>
      </c>
    </row>
    <row r="2816">
      <c r="A2816" s="106" t="inlineStr">
        <is>
          <t>Suporte Orbix</t>
        </is>
      </c>
      <c r="B2816" s="106" t="inlineStr">
        <is>
          <t>Custo Fixo</t>
        </is>
      </c>
      <c r="C2816" s="106" t="inlineStr">
        <is>
          <t>Despesas com DP</t>
        </is>
      </c>
      <c r="D2816" s="107" t="n">
        <v>8</v>
      </c>
      <c r="E2816" s="108" t="n">
        <v>52.09</v>
      </c>
      <c r="F2816" s="109">
        <f>IFERROR(D2816*E2816,0)</f>
        <v/>
      </c>
      <c r="G2816" s="106">
        <f>INDEX(SETORES!$B:$B,MATCH(A2816,SETORES!$A:$A,0))</f>
        <v/>
      </c>
      <c r="H2816" s="106" t="inlineStr">
        <is>
          <t>Setembro/2026</t>
        </is>
      </c>
    </row>
    <row r="2817">
      <c r="A2817" s="106" t="inlineStr">
        <is>
          <t>Suporte Orbix</t>
        </is>
      </c>
      <c r="B2817" s="106" t="inlineStr">
        <is>
          <t>Custo Fixo</t>
        </is>
      </c>
      <c r="C2817" s="106" t="inlineStr">
        <is>
          <t>Despesas com SST</t>
        </is>
      </c>
      <c r="D2817" s="107" t="n">
        <v>8</v>
      </c>
      <c r="E2817" s="108" t="n">
        <v>52.35</v>
      </c>
      <c r="F2817" s="109">
        <f>IFERROR(D2817*E2817,0)</f>
        <v/>
      </c>
      <c r="G2817" s="106">
        <f>INDEX(SETORES!$B:$B,MATCH(A2817,SETORES!$A:$A,0))</f>
        <v/>
      </c>
      <c r="H2817" s="106" t="inlineStr">
        <is>
          <t>Setembro/2026</t>
        </is>
      </c>
    </row>
    <row r="2818">
      <c r="A2818" s="106" t="inlineStr">
        <is>
          <t>Suporte da Central</t>
        </is>
      </c>
      <c r="B2818" s="106" t="inlineStr">
        <is>
          <t>Custo Fixo</t>
        </is>
      </c>
      <c r="C2818" s="106" t="inlineStr">
        <is>
          <t>Despesas com RH</t>
        </is>
      </c>
      <c r="D2818" s="107" t="n">
        <v>33</v>
      </c>
      <c r="E2818" s="108" t="n">
        <v>32.55</v>
      </c>
      <c r="F2818" s="109">
        <f>IFERROR(D2818*E2818,0)</f>
        <v/>
      </c>
      <c r="G2818" s="106">
        <f>INDEX(SETORES!$B:$B,MATCH(A2818,SETORES!$A:$A,0))</f>
        <v/>
      </c>
      <c r="H2818" s="106" t="inlineStr">
        <is>
          <t>Setembro/2026</t>
        </is>
      </c>
    </row>
    <row r="2819">
      <c r="A2819" s="106" t="inlineStr">
        <is>
          <t>Suporte da Central</t>
        </is>
      </c>
      <c r="B2819" s="106" t="inlineStr">
        <is>
          <t>Custo Fixo</t>
        </is>
      </c>
      <c r="C2819" s="106" t="inlineStr">
        <is>
          <t>Despesas com DP</t>
        </is>
      </c>
      <c r="D2819" s="107" t="n">
        <v>33</v>
      </c>
      <c r="E2819" s="108" t="n">
        <v>52.09</v>
      </c>
      <c r="F2819" s="109">
        <f>IFERROR(D2819*E2819,0)</f>
        <v/>
      </c>
      <c r="G2819" s="106">
        <f>INDEX(SETORES!$B:$B,MATCH(A2819,SETORES!$A:$A,0))</f>
        <v/>
      </c>
      <c r="H2819" s="106" t="inlineStr">
        <is>
          <t>Setembro/2026</t>
        </is>
      </c>
    </row>
    <row r="2820">
      <c r="A2820" s="106" t="inlineStr">
        <is>
          <t>Suporte da Central</t>
        </is>
      </c>
      <c r="B2820" s="106" t="inlineStr">
        <is>
          <t>Custo Fixo</t>
        </is>
      </c>
      <c r="C2820" s="106" t="inlineStr">
        <is>
          <t>Despesas com SST</t>
        </is>
      </c>
      <c r="D2820" s="107" t="n">
        <v>33</v>
      </c>
      <c r="E2820" s="108" t="n">
        <v>52.35</v>
      </c>
      <c r="F2820" s="109">
        <f>IFERROR(D2820*E2820,0)</f>
        <v/>
      </c>
      <c r="G2820" s="106">
        <f>INDEX(SETORES!$B:$B,MATCH(A2820,SETORES!$A:$A,0))</f>
        <v/>
      </c>
      <c r="H2820" s="106" t="inlineStr">
        <is>
          <t>Setembro/2026</t>
        </is>
      </c>
    </row>
    <row r="2821">
      <c r="A2821" s="106" t="inlineStr">
        <is>
          <t>Televendas</t>
        </is>
      </c>
      <c r="B2821" s="106" t="inlineStr">
        <is>
          <t>Custo Fixo</t>
        </is>
      </c>
      <c r="C2821" s="106" t="inlineStr">
        <is>
          <t>Despesas com RH</t>
        </is>
      </c>
      <c r="D2821" s="107" t="n">
        <v>11</v>
      </c>
      <c r="E2821" s="108" t="n">
        <v>32.55</v>
      </c>
      <c r="F2821" s="109">
        <f>IFERROR(D2821*E2821,0)</f>
        <v/>
      </c>
      <c r="G2821" s="106">
        <f>INDEX(SETORES!$B:$B,MATCH(A2821,SETORES!$A:$A,0))</f>
        <v/>
      </c>
      <c r="H2821" s="106" t="inlineStr">
        <is>
          <t>Setembro/2026</t>
        </is>
      </c>
    </row>
    <row r="2822">
      <c r="A2822" s="106" t="inlineStr">
        <is>
          <t>Televendas</t>
        </is>
      </c>
      <c r="B2822" s="106" t="inlineStr">
        <is>
          <t>Custo Fixo</t>
        </is>
      </c>
      <c r="C2822" s="106" t="inlineStr">
        <is>
          <t>Despesas com DP</t>
        </is>
      </c>
      <c r="D2822" s="107" t="n">
        <v>11</v>
      </c>
      <c r="E2822" s="108" t="n">
        <v>52.09</v>
      </c>
      <c r="F2822" s="109">
        <f>IFERROR(D2822*E2822,0)</f>
        <v/>
      </c>
      <c r="G2822" s="106">
        <f>INDEX(SETORES!$B:$B,MATCH(A2822,SETORES!$A:$A,0))</f>
        <v/>
      </c>
      <c r="H2822" s="106" t="inlineStr">
        <is>
          <t>Setembro/2026</t>
        </is>
      </c>
    </row>
    <row r="2823">
      <c r="A2823" s="106" t="inlineStr">
        <is>
          <t>Televendas</t>
        </is>
      </c>
      <c r="B2823" s="106" t="inlineStr">
        <is>
          <t>Custo Fixo</t>
        </is>
      </c>
      <c r="C2823" s="106" t="inlineStr">
        <is>
          <t>Despesas com SST</t>
        </is>
      </c>
      <c r="D2823" s="107" t="n">
        <v>11</v>
      </c>
      <c r="E2823" s="108" t="n">
        <v>52.35</v>
      </c>
      <c r="F2823" s="109">
        <f>IFERROR(D2823*E2823,0)</f>
        <v/>
      </c>
      <c r="G2823" s="106">
        <f>INDEX(SETORES!$B:$B,MATCH(A2823,SETORES!$A:$A,0))</f>
        <v/>
      </c>
      <c r="H2823" s="106" t="inlineStr">
        <is>
          <t>Setembro/2026</t>
        </is>
      </c>
    </row>
    <row r="2824">
      <c r="A2824" s="106" t="inlineStr">
        <is>
          <t>Comercial Corporativo</t>
        </is>
      </c>
      <c r="B2824" s="106" t="inlineStr">
        <is>
          <t>Custo Fixo</t>
        </is>
      </c>
      <c r="C2824" s="106" t="inlineStr">
        <is>
          <t>Plataforma de licitações (pago anual em julho, ref. 12 meses)</t>
        </is>
      </c>
      <c r="D2824" s="107" t="n"/>
      <c r="E2824" s="108" t="n"/>
      <c r="F2824" s="109">
        <f>IFERROR(D2824*E2824,0)</f>
        <v/>
      </c>
      <c r="G2824" s="106">
        <f>INDEX(SETORES!$B:$B,MATCH(A2824,SETORES!$A:$A,0))</f>
        <v/>
      </c>
      <c r="H2824" s="106" t="inlineStr">
        <is>
          <t>Setembro/2026</t>
        </is>
      </c>
    </row>
    <row r="2825">
      <c r="A2825" s="106" t="inlineStr">
        <is>
          <t>Televendas</t>
        </is>
      </c>
      <c r="B2825" s="106" t="inlineStr">
        <is>
          <t>Custo Fixo</t>
        </is>
      </c>
      <c r="C2825" s="106" t="inlineStr">
        <is>
          <t>Impressora (rateio equipe Relacionamento)</t>
        </is>
      </c>
      <c r="D2825" s="107" t="n"/>
      <c r="E2825" s="108" t="n"/>
      <c r="F2825" s="109">
        <f>IFERROR(D2825*E2825,0)</f>
        <v/>
      </c>
      <c r="G2825" s="106">
        <f>INDEX(SETORES!$B:$B,MATCH(A2825,SETORES!$A:$A,0))</f>
        <v/>
      </c>
      <c r="H2825" s="106" t="inlineStr">
        <is>
          <t>Setembro/2026</t>
        </is>
      </c>
    </row>
    <row r="2826">
      <c r="A2826" s="106" t="inlineStr">
        <is>
          <t>Compras</t>
        </is>
      </c>
      <c r="B2826" s="106" t="inlineStr">
        <is>
          <t>Custo Variável</t>
        </is>
      </c>
      <c r="C2826" s="106" t="inlineStr">
        <is>
          <t>Combustível de frota</t>
        </is>
      </c>
      <c r="D2826" s="107" t="n">
        <v>1</v>
      </c>
      <c r="E2826" s="108" t="n">
        <v>0</v>
      </c>
      <c r="F2826" s="109">
        <f>IFERROR(D2826*E2826,0)</f>
        <v/>
      </c>
      <c r="G2826" s="106">
        <f>INDEX(SETORES!$B:$B,MATCH(A2826,SETORES!$A:$A,0))</f>
        <v/>
      </c>
      <c r="H2826" s="106" t="inlineStr">
        <is>
          <t>Setembro/2026</t>
        </is>
      </c>
    </row>
    <row r="2827">
      <c r="A2827" s="106" t="inlineStr">
        <is>
          <t>Contabilidade</t>
        </is>
      </c>
      <c r="B2827" s="106" t="inlineStr">
        <is>
          <t>Custo Variável</t>
        </is>
      </c>
      <c r="C2827" s="106" t="inlineStr">
        <is>
          <t>Exames médicos</t>
        </is>
      </c>
      <c r="D2827" s="107" t="n"/>
      <c r="E2827" s="108" t="n"/>
      <c r="F2827" s="109">
        <f>IFERROR(D2827*E2827,0)</f>
        <v/>
      </c>
      <c r="G2827" s="106">
        <f>INDEX(SETORES!$B:$B,MATCH(A2827,SETORES!$A:$A,0))</f>
        <v/>
      </c>
      <c r="H2827" s="106" t="inlineStr">
        <is>
          <t>Setembro/2026</t>
        </is>
      </c>
    </row>
    <row r="2828">
      <c r="A2828" s="106" t="inlineStr">
        <is>
          <t>Suporte da Central</t>
        </is>
      </c>
      <c r="B2828" s="106" t="inlineStr">
        <is>
          <t>Custo Variável</t>
        </is>
      </c>
      <c r="C2828" s="106" t="inlineStr">
        <is>
          <t>Rescisões trabalhistas</t>
        </is>
      </c>
      <c r="D2828" s="107" t="n"/>
      <c r="E2828" s="108" t="n"/>
      <c r="F2828" s="109">
        <f>IFERROR(D2828*E2828,0)</f>
        <v/>
      </c>
      <c r="G2828" s="106">
        <f>INDEX(SETORES!$B:$B,MATCH(A2828,SETORES!$A:$A,0))</f>
        <v/>
      </c>
      <c r="H2828" s="106" t="inlineStr">
        <is>
          <t>Setembro/2026</t>
        </is>
      </c>
    </row>
    <row r="2829">
      <c r="A2829" s="106" t="inlineStr">
        <is>
          <t>Televendas</t>
        </is>
      </c>
      <c r="B2829" s="106" t="inlineStr">
        <is>
          <t>Custo Variável</t>
        </is>
      </c>
      <c r="C2829" s="106" t="inlineStr">
        <is>
          <t>Rescisões trabalhistas</t>
        </is>
      </c>
      <c r="D2829" s="107" t="n"/>
      <c r="E2829" s="108" t="n"/>
      <c r="F2829" s="109">
        <f>IFERROR(D2829*E2829,0)</f>
        <v/>
      </c>
      <c r="G2829" s="106">
        <f>INDEX(SETORES!$B:$B,MATCH(A2829,SETORES!$A:$A,0))</f>
        <v/>
      </c>
      <c r="H2829" s="106" t="inlineStr">
        <is>
          <t>Setembro/2026</t>
        </is>
      </c>
    </row>
    <row r="2830">
      <c r="A2830" s="106" t="inlineStr">
        <is>
          <t>CAC</t>
        </is>
      </c>
      <c r="B2830" s="106" t="inlineStr">
        <is>
          <t>Custo Variável</t>
        </is>
      </c>
      <c r="C2830" s="106" t="inlineStr">
        <is>
          <t>Rescisões trabalhistas</t>
        </is>
      </c>
      <c r="D2830" s="107" t="n"/>
      <c r="E2830" s="108" t="n"/>
      <c r="F2830" s="109">
        <f>IFERROR(D2830*E2830,0)</f>
        <v/>
      </c>
      <c r="G2830" s="106">
        <f>INDEX(SETORES!$B:$B,MATCH(A2830,SETORES!$A:$A,0))</f>
        <v/>
      </c>
      <c r="H2830" s="106" t="inlineStr">
        <is>
          <t>Setembro/2026</t>
        </is>
      </c>
    </row>
    <row r="2831">
      <c r="A2831" s="106" t="inlineStr">
        <is>
          <t>NOC</t>
        </is>
      </c>
      <c r="B2831" s="106" t="inlineStr">
        <is>
          <t>Custo Variável</t>
        </is>
      </c>
      <c r="C2831" s="106" t="inlineStr">
        <is>
          <t>Rescisões trabalhistas</t>
        </is>
      </c>
      <c r="D2831" s="107" t="n"/>
      <c r="E2831" s="108" t="n"/>
      <c r="F2831" s="109">
        <f>IFERROR(D2831*E2831,0)</f>
        <v/>
      </c>
      <c r="G2831" s="106">
        <f>INDEX(SETORES!$B:$B,MATCH(A2831,SETORES!$A:$A,0))</f>
        <v/>
      </c>
      <c r="H2831" s="106" t="inlineStr">
        <is>
          <t>Setembro/2026</t>
        </is>
      </c>
    </row>
    <row r="2832">
      <c r="A2832" s="106" t="inlineStr">
        <is>
          <t>Segurança do Trabalho</t>
        </is>
      </c>
      <c r="B2832" s="106" t="inlineStr">
        <is>
          <t>Custo Variável</t>
        </is>
      </c>
      <c r="C2832" s="106" t="inlineStr">
        <is>
          <t>Rescisões trabalhistas</t>
        </is>
      </c>
      <c r="D2832" s="107" t="n"/>
      <c r="E2832" s="108" t="n"/>
      <c r="F2832" s="109">
        <f>IFERROR(D2832*E2832,0)</f>
        <v/>
      </c>
      <c r="G2832" s="106">
        <f>INDEX(SETORES!$B:$B,MATCH(A2832,SETORES!$A:$A,0))</f>
        <v/>
      </c>
      <c r="H2832" s="106" t="inlineStr">
        <is>
          <t>Setembro/2026</t>
        </is>
      </c>
    </row>
    <row r="2833">
      <c r="A2833" s="106" t="inlineStr">
        <is>
          <t>Administrativo</t>
        </is>
      </c>
      <c r="B2833" s="106" t="inlineStr">
        <is>
          <t>Custo Variável</t>
        </is>
      </c>
      <c r="C2833" s="106" t="inlineStr">
        <is>
          <t>Rescisões trabalhistas</t>
        </is>
      </c>
      <c r="D2833" s="107" t="n"/>
      <c r="E2833" s="108" t="n"/>
      <c r="F2833" s="109">
        <f>IFERROR(D2833*E2833,0)</f>
        <v/>
      </c>
      <c r="G2833" s="106">
        <f>INDEX(SETORES!$B:$B,MATCH(A2833,SETORES!$A:$A,0))</f>
        <v/>
      </c>
      <c r="H2833" s="106" t="inlineStr">
        <is>
          <t>Setembro/2026</t>
        </is>
      </c>
    </row>
    <row r="2834">
      <c r="A2834" s="106" t="inlineStr">
        <is>
          <t>Suporte Orbix</t>
        </is>
      </c>
      <c r="B2834" s="106" t="inlineStr">
        <is>
          <t>Custo Variável</t>
        </is>
      </c>
      <c r="C2834" s="106" t="inlineStr">
        <is>
          <t>Rescisões trabalhistas</t>
        </is>
      </c>
      <c r="D2834" s="107" t="n"/>
      <c r="E2834" s="108" t="n"/>
      <c r="F2834" s="109">
        <f>IFERROR(D2834*E2834,0)</f>
        <v/>
      </c>
      <c r="G2834" s="106">
        <f>INDEX(SETORES!$B:$B,MATCH(A2834,SETORES!$A:$A,0))</f>
        <v/>
      </c>
      <c r="H2834" s="106" t="inlineStr">
        <is>
          <t>Setembro/2026</t>
        </is>
      </c>
    </row>
    <row r="2835">
      <c r="A2835" s="106" t="inlineStr">
        <is>
          <t>Controladoria</t>
        </is>
      </c>
      <c r="B2835" s="106" t="inlineStr">
        <is>
          <t>Custo Variável</t>
        </is>
      </c>
      <c r="C2835" s="106" t="inlineStr">
        <is>
          <t>Combustível de frota</t>
        </is>
      </c>
      <c r="D2835" s="107" t="n">
        <v>1</v>
      </c>
      <c r="E2835" s="108" t="n">
        <v>1581.98</v>
      </c>
      <c r="F2835" s="109">
        <f>IFERROR(D2835*E2835,0)</f>
        <v/>
      </c>
      <c r="G2835" s="106">
        <f>INDEX(SETORES!$B:$B,MATCH(A2835,SETORES!$A:$A,0))</f>
        <v/>
      </c>
      <c r="H2835" s="106" t="inlineStr">
        <is>
          <t>Setembro/2026</t>
        </is>
      </c>
    </row>
    <row r="2836">
      <c r="A2836" s="106" t="inlineStr">
        <is>
          <t>Logística</t>
        </is>
      </c>
      <c r="B2836" s="106" t="inlineStr">
        <is>
          <t>Custo Variável</t>
        </is>
      </c>
      <c r="C2836" s="106" t="inlineStr">
        <is>
          <t>Combustível de frota (gerador e veículos sem condutor identificado)</t>
        </is>
      </c>
      <c r="D2836" s="107" t="n"/>
      <c r="E2836" s="108" t="n"/>
      <c r="F2836" s="109">
        <f>IFERROR(D2836*E2836,0)</f>
        <v/>
      </c>
      <c r="G2836" s="106">
        <f>INDEX(SETORES!$B:$B,MATCH(A2836,SETORES!$A:$A,0))</f>
        <v/>
      </c>
      <c r="H2836" s="106" t="inlineStr">
        <is>
          <t>Setembro/2026</t>
        </is>
      </c>
    </row>
    <row r="2837">
      <c r="A2837" s="106" t="inlineStr">
        <is>
          <t>Qualidade</t>
        </is>
      </c>
      <c r="B2837" s="106" t="inlineStr">
        <is>
          <t>Custo Fixo</t>
        </is>
      </c>
      <c r="C2837" s="106" t="inlineStr">
        <is>
          <t>Folha de pagamento (salários)</t>
        </is>
      </c>
      <c r="D2837" s="107" t="n">
        <v>1</v>
      </c>
      <c r="E2837" s="108" t="n">
        <v>42206.73</v>
      </c>
      <c r="F2837" s="109">
        <f>IFERROR(D2837*E2837,0)</f>
        <v/>
      </c>
      <c r="G2837" s="106">
        <f>INDEX(SETORES!$B:$B,MATCH(A2837,SETORES!$A:$A,0))</f>
        <v/>
      </c>
      <c r="H2837" s="106" t="inlineStr">
        <is>
          <t>Setembro/2026</t>
        </is>
      </c>
    </row>
    <row r="2838">
      <c r="A2838" s="106" t="inlineStr">
        <is>
          <t>Qualidade</t>
        </is>
      </c>
      <c r="B2838" s="106" t="inlineStr">
        <is>
          <t>Custo Fixo</t>
        </is>
      </c>
      <c r="C2838" s="106" t="inlineStr">
        <is>
          <t>Material de uso coletivo (copa/limpeza)</t>
        </is>
      </c>
      <c r="D2838" s="107" t="n">
        <v>1</v>
      </c>
      <c r="E2838" s="108" t="n">
        <v>350.54</v>
      </c>
      <c r="F2838" s="109">
        <f>IFERROR(D2838*E2838,0)</f>
        <v/>
      </c>
      <c r="G2838" s="106">
        <f>INDEX(SETORES!$B:$B,MATCH(A2838,SETORES!$A:$A,0))</f>
        <v/>
      </c>
      <c r="H2838" s="106" t="inlineStr">
        <is>
          <t>Setembro/2026</t>
        </is>
      </c>
    </row>
    <row r="2839">
      <c r="A2839" s="106" t="inlineStr">
        <is>
          <t>Qualidade</t>
        </is>
      </c>
      <c r="B2839" s="106" t="inlineStr">
        <is>
          <t>Custo Variável</t>
        </is>
      </c>
      <c r="C2839" s="106" t="inlineStr">
        <is>
          <t>Exames médicos</t>
        </is>
      </c>
      <c r="D2839" s="107" t="n"/>
      <c r="E2839" s="108" t="n"/>
      <c r="F2839" s="109">
        <f>IFERROR(D2839*E2839,0)</f>
        <v/>
      </c>
      <c r="G2839" s="106">
        <f>INDEX(SETORES!$B:$B,MATCH(A2839,SETORES!$A:$A,0))</f>
        <v/>
      </c>
      <c r="H2839" s="106" t="inlineStr">
        <is>
          <t>Setembro/2026</t>
        </is>
      </c>
    </row>
    <row r="2840">
      <c r="A2840" s="106" t="inlineStr">
        <is>
          <t>Jurídico</t>
        </is>
      </c>
      <c r="B2840" s="106" t="inlineStr">
        <is>
          <t>Custo Fixo</t>
        </is>
      </c>
      <c r="C2840" s="106" t="inlineStr">
        <is>
          <t>Folha de pagamento (salários)</t>
        </is>
      </c>
      <c r="D2840" s="107" t="n">
        <v>1</v>
      </c>
      <c r="E2840" s="108" t="n">
        <v>7846.31</v>
      </c>
      <c r="F2840" s="109">
        <f>IFERROR(D2840*E2840,0)</f>
        <v/>
      </c>
      <c r="G2840" s="106">
        <f>INDEX(SETORES!$B:$B,MATCH(A2840,SETORES!$A:$A,0))</f>
        <v/>
      </c>
      <c r="H2840" s="106" t="inlineStr">
        <is>
          <t>Setembro/2026</t>
        </is>
      </c>
    </row>
    <row r="2841">
      <c r="A2841" s="106" t="inlineStr">
        <is>
          <t>Jurídico</t>
        </is>
      </c>
      <c r="B2841" s="106" t="inlineStr">
        <is>
          <t>Custo Fixo</t>
        </is>
      </c>
      <c r="C2841" s="106" t="inlineStr">
        <is>
          <t>Material de uso coletivo (copa/limpeza)</t>
        </is>
      </c>
      <c r="D2841" s="107" t="n">
        <v>1</v>
      </c>
      <c r="E2841" s="108" t="n">
        <v>150.42</v>
      </c>
      <c r="F2841" s="109">
        <f>IFERROR(D2841*E2841,0)</f>
        <v/>
      </c>
      <c r="G2841" s="106">
        <f>INDEX(SETORES!$B:$B,MATCH(A2841,SETORES!$A:$A,0))</f>
        <v/>
      </c>
      <c r="H2841" s="106" t="inlineStr">
        <is>
          <t>Setembro/2026</t>
        </is>
      </c>
    </row>
    <row r="2842">
      <c r="A2842" s="106" t="inlineStr">
        <is>
          <t>Jurídico</t>
        </is>
      </c>
      <c r="B2842" s="106" t="inlineStr">
        <is>
          <t>Custo Variável</t>
        </is>
      </c>
      <c r="C2842" s="106" t="inlineStr">
        <is>
          <t>Combustível de frota</t>
        </is>
      </c>
      <c r="D2842" s="107" t="n">
        <v>1</v>
      </c>
      <c r="E2842" s="108" t="n">
        <v>1280.1</v>
      </c>
      <c r="F2842" s="109">
        <f>IFERROR(D2842*E2842,0)</f>
        <v/>
      </c>
      <c r="G2842" s="106">
        <f>INDEX(SETORES!$B:$B,MATCH(A2842,SETORES!$A:$A,0))</f>
        <v/>
      </c>
      <c r="H2842" s="106" t="inlineStr">
        <is>
          <t>Setembro/2026</t>
        </is>
      </c>
    </row>
    <row r="2843">
      <c r="A2843" s="106" t="inlineStr">
        <is>
          <t>Marketing</t>
        </is>
      </c>
      <c r="B2843" s="106" t="inlineStr">
        <is>
          <t>Custo Fixo</t>
        </is>
      </c>
      <c r="C2843" s="106" t="inlineStr">
        <is>
          <t>Folha de pagamento (salários)</t>
        </is>
      </c>
      <c r="D2843" s="107" t="n">
        <v>1</v>
      </c>
      <c r="E2843" s="108" t="n">
        <v>62265.7</v>
      </c>
      <c r="F2843" s="109">
        <f>IFERROR(D2843*E2843,0)</f>
        <v/>
      </c>
      <c r="G2843" s="106">
        <f>INDEX(SETORES!$B:$B,MATCH(A2843,SETORES!$A:$A,0))</f>
        <v/>
      </c>
      <c r="H2843" s="106" t="inlineStr">
        <is>
          <t>Setembro/2026</t>
        </is>
      </c>
    </row>
    <row r="2844">
      <c r="A2844" s="106" t="inlineStr">
        <is>
          <t>Marketing</t>
        </is>
      </c>
      <c r="B2844" s="106" t="inlineStr">
        <is>
          <t>Custo Fixo</t>
        </is>
      </c>
      <c r="C2844" s="106" t="inlineStr">
        <is>
          <t>Material de uso coletivo (copa/limpeza)</t>
        </is>
      </c>
      <c r="D2844" s="107" t="n">
        <v>1</v>
      </c>
      <c r="E2844" s="108" t="n">
        <v>507.51</v>
      </c>
      <c r="F2844" s="109">
        <f>IFERROR(D2844*E2844,0)</f>
        <v/>
      </c>
      <c r="G2844" s="106">
        <f>INDEX(SETORES!$B:$B,MATCH(A2844,SETORES!$A:$A,0))</f>
        <v/>
      </c>
      <c r="H2844" s="106" t="inlineStr">
        <is>
          <t>Setembro/2026</t>
        </is>
      </c>
    </row>
    <row r="2845">
      <c r="A2845" s="106" t="inlineStr">
        <is>
          <t>Marketing</t>
        </is>
      </c>
      <c r="B2845" s="106" t="inlineStr">
        <is>
          <t>Custo Variável</t>
        </is>
      </c>
      <c r="C2845" s="106" t="inlineStr">
        <is>
          <t>Combustível de frota</t>
        </is>
      </c>
      <c r="D2845" s="107" t="n">
        <v>1</v>
      </c>
      <c r="E2845" s="108" t="n">
        <v>1514.08</v>
      </c>
      <c r="F2845" s="109">
        <f>IFERROR(D2845*E2845,0)</f>
        <v/>
      </c>
      <c r="G2845" s="106">
        <f>INDEX(SETORES!$B:$B,MATCH(A2845,SETORES!$A:$A,0))</f>
        <v/>
      </c>
      <c r="H2845" s="106" t="inlineStr">
        <is>
          <t>Setembro/2026</t>
        </is>
      </c>
    </row>
    <row r="2846">
      <c r="A2846" s="106" t="inlineStr">
        <is>
          <t>Marketing</t>
        </is>
      </c>
      <c r="B2846" s="106" t="inlineStr">
        <is>
          <t>Custo Variável</t>
        </is>
      </c>
      <c r="C2846" s="106" t="inlineStr">
        <is>
          <t>Exames médicos</t>
        </is>
      </c>
      <c r="D2846" s="107" t="n"/>
      <c r="E2846" s="108" t="n"/>
      <c r="F2846" s="109">
        <f>IFERROR(D2846*E2846,0)</f>
        <v/>
      </c>
      <c r="G2846" s="106">
        <f>INDEX(SETORES!$B:$B,MATCH(A2846,SETORES!$A:$A,0))</f>
        <v/>
      </c>
      <c r="H2846" s="106" t="inlineStr">
        <is>
          <t>Setembro/2026</t>
        </is>
      </c>
    </row>
    <row r="2847">
      <c r="A2847" s="106" t="inlineStr">
        <is>
          <t>TIC</t>
        </is>
      </c>
      <c r="B2847" s="106" t="inlineStr">
        <is>
          <t>Custo Fixo</t>
        </is>
      </c>
      <c r="C2847" s="106" t="inlineStr">
        <is>
          <t>Folha de pagamento (salários)</t>
        </is>
      </c>
      <c r="D2847" s="107" t="n">
        <v>1</v>
      </c>
      <c r="E2847" s="108" t="n">
        <v>35073.9</v>
      </c>
      <c r="F2847" s="109">
        <f>IFERROR(D2847*E2847,0)</f>
        <v/>
      </c>
      <c r="G2847" s="106">
        <f>INDEX(SETORES!$B:$B,MATCH(A2847,SETORES!$A:$A,0))</f>
        <v/>
      </c>
      <c r="H2847" s="106" t="inlineStr">
        <is>
          <t>Setembro/2026</t>
        </is>
      </c>
    </row>
    <row r="2848">
      <c r="A2848" s="106" t="inlineStr">
        <is>
          <t>TIC</t>
        </is>
      </c>
      <c r="B2848" s="106" t="inlineStr">
        <is>
          <t>Custo Fixo</t>
        </is>
      </c>
      <c r="C2848" s="106" t="inlineStr">
        <is>
          <t>Material de uso coletivo (copa/limpeza)</t>
        </is>
      </c>
      <c r="D2848" s="107" t="n">
        <v>1</v>
      </c>
      <c r="E2848" s="108" t="n">
        <v>107.14</v>
      </c>
      <c r="F2848" s="109">
        <f>IFERROR(D2848*E2848,0)</f>
        <v/>
      </c>
      <c r="G2848" s="106">
        <f>INDEX(SETORES!$B:$B,MATCH(A2848,SETORES!$A:$A,0))</f>
        <v/>
      </c>
      <c r="H2848" s="106" t="inlineStr">
        <is>
          <t>Setembro/2026</t>
        </is>
      </c>
    </row>
    <row r="2849">
      <c r="A2849" s="106" t="inlineStr">
        <is>
          <t>COE</t>
        </is>
      </c>
      <c r="B2849" s="106" t="inlineStr">
        <is>
          <t>Custo Fixo</t>
        </is>
      </c>
      <c r="C2849" s="106" t="inlineStr">
        <is>
          <t>Folha de pagamento (salários)</t>
        </is>
      </c>
      <c r="D2849" s="107" t="n">
        <v>1</v>
      </c>
      <c r="E2849" s="108" t="n">
        <v>71692.57000000001</v>
      </c>
      <c r="F2849" s="109">
        <f>IFERROR(D2849*E2849,0)</f>
        <v/>
      </c>
      <c r="G2849" s="106">
        <f>INDEX(SETORES!$B:$B,MATCH(A2849,SETORES!$A:$A,0))</f>
        <v/>
      </c>
      <c r="H2849" s="106" t="inlineStr">
        <is>
          <t>Setembro/2026</t>
        </is>
      </c>
    </row>
    <row r="2850">
      <c r="A2850" s="106" t="inlineStr">
        <is>
          <t>Fique Móvel</t>
        </is>
      </c>
      <c r="B2850" s="106" t="inlineStr">
        <is>
          <t>Custo Fixo</t>
        </is>
      </c>
      <c r="C2850" s="106" t="inlineStr">
        <is>
          <t>Folha de pagamento (salários)</t>
        </is>
      </c>
      <c r="D2850" s="107" t="n">
        <v>1</v>
      </c>
      <c r="E2850" s="108" t="n">
        <v>13644.85</v>
      </c>
      <c r="F2850" s="109">
        <f>IFERROR(D2850*E2850,0)</f>
        <v/>
      </c>
      <c r="G2850" s="106">
        <f>INDEX(SETORES!$B:$B,MATCH(A2850,SETORES!$A:$A,0))</f>
        <v/>
      </c>
      <c r="H2850" s="106" t="inlineStr">
        <is>
          <t>Setembro/2026</t>
        </is>
      </c>
    </row>
    <row r="2851">
      <c r="A2851" s="106" t="inlineStr">
        <is>
          <t>Lançamento</t>
        </is>
      </c>
      <c r="B2851" s="106" t="inlineStr">
        <is>
          <t>Custo Fixo</t>
        </is>
      </c>
      <c r="C2851" s="106" t="inlineStr">
        <is>
          <t>Folha de pagamento (salários)</t>
        </is>
      </c>
      <c r="D2851" s="107" t="n">
        <v>1</v>
      </c>
      <c r="E2851" s="108" t="n">
        <v>184970.83</v>
      </c>
      <c r="F2851" s="109">
        <f>IFERROR(D2851*E2851,0)</f>
        <v/>
      </c>
      <c r="G2851" s="106">
        <f>INDEX(SETORES!$B:$B,MATCH(A2851,SETORES!$A:$A,0))</f>
        <v/>
      </c>
      <c r="H2851" s="106" t="inlineStr">
        <is>
          <t>Setembro/2026</t>
        </is>
      </c>
    </row>
    <row r="2852">
      <c r="A2852" s="106" t="inlineStr">
        <is>
          <t>Lançamento</t>
        </is>
      </c>
      <c r="B2852" s="106" t="inlineStr">
        <is>
          <t>Custo Variável</t>
        </is>
      </c>
      <c r="C2852" s="106" t="inlineStr">
        <is>
          <t>Combustível de frota</t>
        </is>
      </c>
      <c r="D2852" s="107" t="n">
        <v>1</v>
      </c>
      <c r="E2852" s="108" t="n">
        <v>12181.5</v>
      </c>
      <c r="F2852" s="109">
        <f>IFERROR(D2852*E2852,0)</f>
        <v/>
      </c>
      <c r="G2852" s="106">
        <f>INDEX(SETORES!$B:$B,MATCH(A2852,SETORES!$A:$A,0))</f>
        <v/>
      </c>
      <c r="H2852" s="106" t="inlineStr">
        <is>
          <t>Setembro/2026</t>
        </is>
      </c>
    </row>
    <row r="2853">
      <c r="A2853" s="106" t="inlineStr">
        <is>
          <t>Lançamento</t>
        </is>
      </c>
      <c r="B2853" s="106" t="inlineStr">
        <is>
          <t>Custo Variável</t>
        </is>
      </c>
      <c r="C2853" s="106" t="inlineStr">
        <is>
          <t>EPIs - Equipamento de Proteção Individual</t>
        </is>
      </c>
      <c r="D2853" s="107" t="n"/>
      <c r="E2853" s="108" t="n"/>
      <c r="F2853" s="109">
        <f>IFERROR(D2853*E2853,0)</f>
        <v/>
      </c>
      <c r="G2853" s="106">
        <f>INDEX(SETORES!$B:$B,MATCH(A2853,SETORES!$A:$A,0))</f>
        <v/>
      </c>
      <c r="H2853" s="106" t="inlineStr">
        <is>
          <t>Setembro/2026</t>
        </is>
      </c>
    </row>
    <row r="2854">
      <c r="A2854" s="106" t="inlineStr">
        <is>
          <t>Fusão</t>
        </is>
      </c>
      <c r="B2854" s="106" t="inlineStr">
        <is>
          <t>Custo Fixo</t>
        </is>
      </c>
      <c r="C2854" s="106" t="inlineStr">
        <is>
          <t>Folha de pagamento (salários)</t>
        </is>
      </c>
      <c r="D2854" s="107" t="n">
        <v>1</v>
      </c>
      <c r="E2854" s="108" t="n">
        <v>108616.1</v>
      </c>
      <c r="F2854" s="109">
        <f>IFERROR(D2854*E2854,0)</f>
        <v/>
      </c>
      <c r="G2854" s="106">
        <f>INDEX(SETORES!$B:$B,MATCH(A2854,SETORES!$A:$A,0))</f>
        <v/>
      </c>
      <c r="H2854" s="106" t="inlineStr">
        <is>
          <t>Setembro/2026</t>
        </is>
      </c>
    </row>
    <row r="2855">
      <c r="A2855" s="106" t="inlineStr">
        <is>
          <t>Fusão</t>
        </is>
      </c>
      <c r="B2855" s="106" t="inlineStr">
        <is>
          <t>Custo Variável</t>
        </is>
      </c>
      <c r="C2855" s="106" t="inlineStr">
        <is>
          <t>Combustível de frota</t>
        </is>
      </c>
      <c r="D2855" s="107" t="n">
        <v>1</v>
      </c>
      <c r="E2855" s="108" t="n">
        <v>19762.11</v>
      </c>
      <c r="F2855" s="109">
        <f>IFERROR(D2855*E2855,0)</f>
        <v/>
      </c>
      <c r="G2855" s="106">
        <f>INDEX(SETORES!$B:$B,MATCH(A2855,SETORES!$A:$A,0))</f>
        <v/>
      </c>
      <c r="H2855" s="106" t="inlineStr">
        <is>
          <t>Setembro/2026</t>
        </is>
      </c>
    </row>
    <row r="2856">
      <c r="A2856" s="106" t="inlineStr">
        <is>
          <t>Fusão</t>
        </is>
      </c>
      <c r="B2856" s="106" t="inlineStr">
        <is>
          <t>Custo Variável</t>
        </is>
      </c>
      <c r="C2856" s="106" t="inlineStr">
        <is>
          <t>EPIs - Equipamento de Proteção Individual</t>
        </is>
      </c>
      <c r="D2856" s="107" t="n"/>
      <c r="E2856" s="108" t="n"/>
      <c r="F2856" s="109">
        <f>IFERROR(D2856*E2856,0)</f>
        <v/>
      </c>
      <c r="G2856" s="106">
        <f>INDEX(SETORES!$B:$B,MATCH(A2856,SETORES!$A:$A,0))</f>
        <v/>
      </c>
      <c r="H2856" s="106" t="inlineStr">
        <is>
          <t>Setembro/2026</t>
        </is>
      </c>
    </row>
    <row r="2857">
      <c r="A2857" s="106" t="inlineStr">
        <is>
          <t>Diretoria Adm</t>
        </is>
      </c>
      <c r="B2857" s="106" t="inlineStr">
        <is>
          <t>Custo Fixo</t>
        </is>
      </c>
      <c r="C2857" s="106" t="inlineStr">
        <is>
          <t>Folha de pagamento (salários)</t>
        </is>
      </c>
      <c r="D2857" s="107" t="n">
        <v>1</v>
      </c>
      <c r="E2857" s="108" t="n">
        <v>11133.4</v>
      </c>
      <c r="F2857" s="109">
        <f>IFERROR(D2857*E2857,0)</f>
        <v/>
      </c>
      <c r="G2857" s="106">
        <f>INDEX(SETORES!$B:$B,MATCH(A2857,SETORES!$A:$A,0))</f>
        <v/>
      </c>
      <c r="H2857" s="106" t="inlineStr">
        <is>
          <t>Setembro/2026</t>
        </is>
      </c>
    </row>
    <row r="2858">
      <c r="A2858" s="106" t="inlineStr">
        <is>
          <t>Diretoria Adm</t>
        </is>
      </c>
      <c r="B2858" s="106" t="inlineStr">
        <is>
          <t>Custo Fixo</t>
        </is>
      </c>
      <c r="C2858" s="106" t="inlineStr">
        <is>
          <t>Material de escritório (suprimentos de informática)</t>
        </is>
      </c>
      <c r="D2858" s="107" t="n"/>
      <c r="E2858" s="108" t="n"/>
      <c r="F2858" s="109">
        <f>IFERROR(D2858*E2858,0)</f>
        <v/>
      </c>
      <c r="G2858" s="106">
        <f>INDEX(SETORES!$B:$B,MATCH(A2858,SETORES!$A:$A,0))</f>
        <v/>
      </c>
      <c r="H2858" s="106" t="inlineStr">
        <is>
          <t>Setembro/2026</t>
        </is>
      </c>
    </row>
    <row r="2859">
      <c r="A2859" s="106" t="inlineStr">
        <is>
          <t>Diretoria Adm</t>
        </is>
      </c>
      <c r="B2859" s="106" t="inlineStr">
        <is>
          <t>Custo Fixo</t>
        </is>
      </c>
      <c r="C2859" s="106" t="inlineStr">
        <is>
          <t>Material de uso coletivo (copa/limpeza)</t>
        </is>
      </c>
      <c r="D2859" s="107" t="n"/>
      <c r="E2859" s="108" t="n"/>
      <c r="F2859" s="109">
        <f>IFERROR(D2859*E2859,0)</f>
        <v/>
      </c>
      <c r="G2859" s="106">
        <f>INDEX(SETORES!$B:$B,MATCH(A2859,SETORES!$A:$A,0))</f>
        <v/>
      </c>
      <c r="H2859" s="106" t="inlineStr">
        <is>
          <t>Setembro/2026</t>
        </is>
      </c>
    </row>
    <row r="2860">
      <c r="A2860" s="106" t="inlineStr">
        <is>
          <t>Comercial Corporativo</t>
        </is>
      </c>
      <c r="B2860" s="106" t="inlineStr">
        <is>
          <t>Custo Fixo</t>
        </is>
      </c>
      <c r="C2860" s="106" t="inlineStr">
        <is>
          <t>Material de uso coletivo (copa/limpeza)</t>
        </is>
      </c>
      <c r="D2860" s="107" t="n"/>
      <c r="E2860" s="108" t="n"/>
      <c r="F2860" s="109">
        <f>IFERROR(D2860*E2860,0)</f>
        <v/>
      </c>
      <c r="G2860" s="106">
        <f>INDEX(SETORES!$B:$B,MATCH(A2860,SETORES!$A:$A,0))</f>
        <v/>
      </c>
      <c r="H2860" s="106" t="inlineStr">
        <is>
          <t>Setembro/2026</t>
        </is>
      </c>
    </row>
    <row r="2861">
      <c r="A2861" s="106" t="inlineStr">
        <is>
          <t>Fique Móvel</t>
        </is>
      </c>
      <c r="B2861" s="106" t="inlineStr">
        <is>
          <t>Custo Fixo</t>
        </is>
      </c>
      <c r="C2861" s="106" t="inlineStr">
        <is>
          <t>Material de uso coletivo (copa/limpeza)</t>
        </is>
      </c>
      <c r="D2861" s="107" t="n">
        <v>1</v>
      </c>
      <c r="E2861" s="108" t="n">
        <v>175.81</v>
      </c>
      <c r="F2861" s="109">
        <f>IFERROR(D2861*E2861,0)</f>
        <v/>
      </c>
      <c r="G2861" s="106">
        <f>INDEX(SETORES!$B:$B,MATCH(A2861,SETORES!$A:$A,0))</f>
        <v/>
      </c>
      <c r="H2861" s="106" t="inlineStr">
        <is>
          <t>Setembro/2026</t>
        </is>
      </c>
    </row>
    <row r="2862">
      <c r="A2862" s="106" t="inlineStr">
        <is>
          <t>Qualidade</t>
        </is>
      </c>
      <c r="B2862" s="106" t="inlineStr">
        <is>
          <t>Custo Fixo</t>
        </is>
      </c>
      <c r="C2862" s="106" t="inlineStr">
        <is>
          <t>Gympass</t>
        </is>
      </c>
      <c r="D2862" s="107" t="n"/>
      <c r="E2862" s="108" t="n"/>
      <c r="F2862" s="109">
        <f>IFERROR(D2862*E2862,0)</f>
        <v/>
      </c>
      <c r="G2862" s="106">
        <f>INDEX(SETORES!$B:$B,MATCH(A2862,SETORES!$A:$A,0))</f>
        <v/>
      </c>
      <c r="H2862" s="106" t="inlineStr">
        <is>
          <t>Setembro/2026</t>
        </is>
      </c>
    </row>
    <row r="2863">
      <c r="A2863" s="106" t="inlineStr">
        <is>
          <t>Qualidade</t>
        </is>
      </c>
      <c r="B2863" s="106" t="inlineStr">
        <is>
          <t>Custo Fixo</t>
        </is>
      </c>
      <c r="C2863" s="106" t="inlineStr">
        <is>
          <t>Stargrid</t>
        </is>
      </c>
      <c r="D2863" s="107" t="n">
        <v>11</v>
      </c>
      <c r="E2863" s="108" t="n">
        <v>1.87</v>
      </c>
      <c r="F2863" s="109">
        <f>IFERROR(D2863*E2863,0)</f>
        <v/>
      </c>
      <c r="G2863" s="106">
        <f>INDEX(SETORES!$B:$B,MATCH(A2863,SETORES!$A:$A,0))</f>
        <v/>
      </c>
      <c r="H2863" s="106" t="inlineStr">
        <is>
          <t>Setembro/2026</t>
        </is>
      </c>
    </row>
    <row r="2864">
      <c r="A2864" s="106" t="inlineStr">
        <is>
          <t>Qualidade</t>
        </is>
      </c>
      <c r="B2864" s="106" t="inlineStr">
        <is>
          <t>Custo Fixo</t>
        </is>
      </c>
      <c r="C2864" s="106" t="inlineStr">
        <is>
          <t>Licença de e-mail corporativo</t>
        </is>
      </c>
      <c r="D2864" s="107" t="n">
        <v>11</v>
      </c>
      <c r="E2864" s="108" t="n">
        <v>50</v>
      </c>
      <c r="F2864" s="109">
        <f>IFERROR(D2864*E2864,0)</f>
        <v/>
      </c>
      <c r="G2864" s="106">
        <f>INDEX(SETORES!$B:$B,MATCH(A2864,SETORES!$A:$A,0))</f>
        <v/>
      </c>
      <c r="H2864" s="106" t="inlineStr">
        <is>
          <t>Setembro/2026</t>
        </is>
      </c>
    </row>
    <row r="2865">
      <c r="A2865" s="106" t="inlineStr">
        <is>
          <t>Qualidade</t>
        </is>
      </c>
      <c r="B2865" s="106" t="inlineStr">
        <is>
          <t>Custo Fixo</t>
        </is>
      </c>
      <c r="C2865" s="106" t="inlineStr">
        <is>
          <t>Despesas com RH</t>
        </is>
      </c>
      <c r="D2865" s="107" t="n">
        <v>11</v>
      </c>
      <c r="E2865" s="108" t="n">
        <v>32.55</v>
      </c>
      <c r="F2865" s="109">
        <f>IFERROR(D2865*E2865,0)</f>
        <v/>
      </c>
      <c r="G2865" s="106">
        <f>INDEX(SETORES!$B:$B,MATCH(A2865,SETORES!$A:$A,0))</f>
        <v/>
      </c>
      <c r="H2865" s="106" t="inlineStr">
        <is>
          <t>Setembro/2026</t>
        </is>
      </c>
    </row>
    <row r="2866">
      <c r="A2866" s="106" t="inlineStr">
        <is>
          <t>Qualidade</t>
        </is>
      </c>
      <c r="B2866" s="106" t="inlineStr">
        <is>
          <t>Custo Fixo</t>
        </is>
      </c>
      <c r="C2866" s="106" t="inlineStr">
        <is>
          <t>Despesas com DP</t>
        </is>
      </c>
      <c r="D2866" s="107" t="n">
        <v>11</v>
      </c>
      <c r="E2866" s="108" t="n">
        <v>52.09</v>
      </c>
      <c r="F2866" s="109">
        <f>IFERROR(D2866*E2866,0)</f>
        <v/>
      </c>
      <c r="G2866" s="106">
        <f>INDEX(SETORES!$B:$B,MATCH(A2866,SETORES!$A:$A,0))</f>
        <v/>
      </c>
      <c r="H2866" s="106" t="inlineStr">
        <is>
          <t>Setembro/2026</t>
        </is>
      </c>
    </row>
    <row r="2867">
      <c r="A2867" s="106" t="inlineStr">
        <is>
          <t>Qualidade</t>
        </is>
      </c>
      <c r="B2867" s="106" t="inlineStr">
        <is>
          <t>Custo Fixo</t>
        </is>
      </c>
      <c r="C2867" s="106" t="inlineStr">
        <is>
          <t>Despesas com SST</t>
        </is>
      </c>
      <c r="D2867" s="107" t="n">
        <v>11</v>
      </c>
      <c r="E2867" s="108" t="n">
        <v>52.35</v>
      </c>
      <c r="F2867" s="109">
        <f>IFERROR(D2867*E2867,0)</f>
        <v/>
      </c>
      <c r="G2867" s="106">
        <f>INDEX(SETORES!$B:$B,MATCH(A2867,SETORES!$A:$A,0))</f>
        <v/>
      </c>
      <c r="H2867" s="106" t="inlineStr">
        <is>
          <t>Setembro/2026</t>
        </is>
      </c>
    </row>
    <row r="2868">
      <c r="A2868" s="106" t="inlineStr">
        <is>
          <t>Jurídico</t>
        </is>
      </c>
      <c r="B2868" s="106" t="inlineStr">
        <is>
          <t>Custo Fixo</t>
        </is>
      </c>
      <c r="C2868" s="106" t="inlineStr">
        <is>
          <t>Gympass</t>
        </is>
      </c>
      <c r="D2868" s="107" t="n"/>
      <c r="E2868" s="108" t="n"/>
      <c r="F2868" s="109">
        <f>IFERROR(D2868*E2868,0)</f>
        <v/>
      </c>
      <c r="G2868" s="106">
        <f>INDEX(SETORES!$B:$B,MATCH(A2868,SETORES!$A:$A,0))</f>
        <v/>
      </c>
      <c r="H2868" s="106" t="inlineStr">
        <is>
          <t>Setembro/2026</t>
        </is>
      </c>
    </row>
    <row r="2869">
      <c r="A2869" s="106" t="inlineStr">
        <is>
          <t>Jurídico</t>
        </is>
      </c>
      <c r="B2869" s="106" t="inlineStr">
        <is>
          <t>Custo Fixo</t>
        </is>
      </c>
      <c r="C2869" s="106" t="inlineStr">
        <is>
          <t>Stargrid</t>
        </is>
      </c>
      <c r="D2869" s="107" t="n">
        <v>2</v>
      </c>
      <c r="E2869" s="108" t="n">
        <v>1.87</v>
      </c>
      <c r="F2869" s="109">
        <f>IFERROR(D2869*E2869,0)</f>
        <v/>
      </c>
      <c r="G2869" s="106">
        <f>INDEX(SETORES!$B:$B,MATCH(A2869,SETORES!$A:$A,0))</f>
        <v/>
      </c>
      <c r="H2869" s="106" t="inlineStr">
        <is>
          <t>Setembro/2026</t>
        </is>
      </c>
    </row>
    <row r="2870">
      <c r="A2870" s="106" t="inlineStr">
        <is>
          <t>Jurídico</t>
        </is>
      </c>
      <c r="B2870" s="106" t="inlineStr">
        <is>
          <t>Custo Fixo</t>
        </is>
      </c>
      <c r="C2870" s="106" t="inlineStr">
        <is>
          <t>Licença de e-mail corporativo</t>
        </is>
      </c>
      <c r="D2870" s="107" t="n">
        <v>2</v>
      </c>
      <c r="E2870" s="108" t="n">
        <v>50</v>
      </c>
      <c r="F2870" s="109">
        <f>IFERROR(D2870*E2870,0)</f>
        <v/>
      </c>
      <c r="G2870" s="106">
        <f>INDEX(SETORES!$B:$B,MATCH(A2870,SETORES!$A:$A,0))</f>
        <v/>
      </c>
      <c r="H2870" s="106" t="inlineStr">
        <is>
          <t>Setembro/2026</t>
        </is>
      </c>
    </row>
    <row r="2871">
      <c r="A2871" s="106" t="inlineStr">
        <is>
          <t>Jurídico</t>
        </is>
      </c>
      <c r="B2871" s="106" t="inlineStr">
        <is>
          <t>Custo Fixo</t>
        </is>
      </c>
      <c r="C2871" s="106" t="inlineStr">
        <is>
          <t>Despesas com RH</t>
        </is>
      </c>
      <c r="D2871" s="107" t="n">
        <v>2</v>
      </c>
      <c r="E2871" s="108" t="n">
        <v>32.55</v>
      </c>
      <c r="F2871" s="109">
        <f>IFERROR(D2871*E2871,0)</f>
        <v/>
      </c>
      <c r="G2871" s="106">
        <f>INDEX(SETORES!$B:$B,MATCH(A2871,SETORES!$A:$A,0))</f>
        <v/>
      </c>
      <c r="H2871" s="106" t="inlineStr">
        <is>
          <t>Setembro/2026</t>
        </is>
      </c>
    </row>
    <row r="2872">
      <c r="A2872" s="106" t="inlineStr">
        <is>
          <t>Jurídico</t>
        </is>
      </c>
      <c r="B2872" s="106" t="inlineStr">
        <is>
          <t>Custo Fixo</t>
        </is>
      </c>
      <c r="C2872" s="106" t="inlineStr">
        <is>
          <t>Despesas com DP</t>
        </is>
      </c>
      <c r="D2872" s="107" t="n">
        <v>2</v>
      </c>
      <c r="E2872" s="108" t="n">
        <v>52.09</v>
      </c>
      <c r="F2872" s="109">
        <f>IFERROR(D2872*E2872,0)</f>
        <v/>
      </c>
      <c r="G2872" s="106">
        <f>INDEX(SETORES!$B:$B,MATCH(A2872,SETORES!$A:$A,0))</f>
        <v/>
      </c>
      <c r="H2872" s="106" t="inlineStr">
        <is>
          <t>Setembro/2026</t>
        </is>
      </c>
    </row>
    <row r="2873">
      <c r="A2873" s="106" t="inlineStr">
        <is>
          <t>Jurídico</t>
        </is>
      </c>
      <c r="B2873" s="106" t="inlineStr">
        <is>
          <t>Custo Fixo</t>
        </is>
      </c>
      <c r="C2873" s="106" t="inlineStr">
        <is>
          <t>Despesas com SST</t>
        </is>
      </c>
      <c r="D2873" s="107" t="n">
        <v>2</v>
      </c>
      <c r="E2873" s="108" t="n">
        <v>52.35</v>
      </c>
      <c r="F2873" s="109">
        <f>IFERROR(D2873*E2873,0)</f>
        <v/>
      </c>
      <c r="G2873" s="106">
        <f>INDEX(SETORES!$B:$B,MATCH(A2873,SETORES!$A:$A,0))</f>
        <v/>
      </c>
      <c r="H2873" s="106" t="inlineStr">
        <is>
          <t>Setembro/2026</t>
        </is>
      </c>
    </row>
    <row r="2874">
      <c r="A2874" s="106" t="inlineStr">
        <is>
          <t>Marketing</t>
        </is>
      </c>
      <c r="B2874" s="106" t="inlineStr">
        <is>
          <t>Custo Fixo</t>
        </is>
      </c>
      <c r="C2874" s="106" t="inlineStr">
        <is>
          <t>Gympass</t>
        </is>
      </c>
      <c r="D2874" s="107" t="n"/>
      <c r="E2874" s="108" t="n"/>
      <c r="F2874" s="109">
        <f>IFERROR(D2874*E2874,0)</f>
        <v/>
      </c>
      <c r="G2874" s="106">
        <f>INDEX(SETORES!$B:$B,MATCH(A2874,SETORES!$A:$A,0))</f>
        <v/>
      </c>
      <c r="H2874" s="106" t="inlineStr">
        <is>
          <t>Setembro/2026</t>
        </is>
      </c>
    </row>
    <row r="2875">
      <c r="A2875" s="106" t="inlineStr">
        <is>
          <t>Marketing</t>
        </is>
      </c>
      <c r="B2875" s="106" t="inlineStr">
        <is>
          <t>Custo Fixo</t>
        </is>
      </c>
      <c r="C2875" s="106" t="inlineStr">
        <is>
          <t>Stargrid</t>
        </is>
      </c>
      <c r="D2875" s="107" t="n">
        <v>17</v>
      </c>
      <c r="E2875" s="108" t="n">
        <v>1.87</v>
      </c>
      <c r="F2875" s="109">
        <f>IFERROR(D2875*E2875,0)</f>
        <v/>
      </c>
      <c r="G2875" s="106">
        <f>INDEX(SETORES!$B:$B,MATCH(A2875,SETORES!$A:$A,0))</f>
        <v/>
      </c>
      <c r="H2875" s="106" t="inlineStr">
        <is>
          <t>Setembro/2026</t>
        </is>
      </c>
    </row>
    <row r="2876">
      <c r="A2876" s="106" t="inlineStr">
        <is>
          <t>Marketing</t>
        </is>
      </c>
      <c r="B2876" s="106" t="inlineStr">
        <is>
          <t>Custo Fixo</t>
        </is>
      </c>
      <c r="C2876" s="106" t="inlineStr">
        <is>
          <t>Licença de e-mail corporativo</t>
        </is>
      </c>
      <c r="D2876" s="107" t="n">
        <v>17</v>
      </c>
      <c r="E2876" s="108" t="n">
        <v>50</v>
      </c>
      <c r="F2876" s="109">
        <f>IFERROR(D2876*E2876,0)</f>
        <v/>
      </c>
      <c r="G2876" s="106">
        <f>INDEX(SETORES!$B:$B,MATCH(A2876,SETORES!$A:$A,0))</f>
        <v/>
      </c>
      <c r="H2876" s="106" t="inlineStr">
        <is>
          <t>Setembro/2026</t>
        </is>
      </c>
    </row>
    <row r="2877">
      <c r="A2877" s="106" t="inlineStr">
        <is>
          <t>Marketing</t>
        </is>
      </c>
      <c r="B2877" s="106" t="inlineStr">
        <is>
          <t>Custo Fixo</t>
        </is>
      </c>
      <c r="C2877" s="106" t="inlineStr">
        <is>
          <t>Despesas com RH</t>
        </is>
      </c>
      <c r="D2877" s="107" t="n">
        <v>17</v>
      </c>
      <c r="E2877" s="108" t="n">
        <v>32.55</v>
      </c>
      <c r="F2877" s="109">
        <f>IFERROR(D2877*E2877,0)</f>
        <v/>
      </c>
      <c r="G2877" s="106">
        <f>INDEX(SETORES!$B:$B,MATCH(A2877,SETORES!$A:$A,0))</f>
        <v/>
      </c>
      <c r="H2877" s="106" t="inlineStr">
        <is>
          <t>Setembro/2026</t>
        </is>
      </c>
    </row>
    <row r="2878">
      <c r="A2878" s="106" t="inlineStr">
        <is>
          <t>Marketing</t>
        </is>
      </c>
      <c r="B2878" s="106" t="inlineStr">
        <is>
          <t>Custo Fixo</t>
        </is>
      </c>
      <c r="C2878" s="106" t="inlineStr">
        <is>
          <t>Despesas com DP</t>
        </is>
      </c>
      <c r="D2878" s="107" t="n">
        <v>17</v>
      </c>
      <c r="E2878" s="108" t="n">
        <v>52.09</v>
      </c>
      <c r="F2878" s="109">
        <f>IFERROR(D2878*E2878,0)</f>
        <v/>
      </c>
      <c r="G2878" s="106">
        <f>INDEX(SETORES!$B:$B,MATCH(A2878,SETORES!$A:$A,0))</f>
        <v/>
      </c>
      <c r="H2878" s="106" t="inlineStr">
        <is>
          <t>Setembro/2026</t>
        </is>
      </c>
    </row>
    <row r="2879">
      <c r="A2879" s="106" t="inlineStr">
        <is>
          <t>Marketing</t>
        </is>
      </c>
      <c r="B2879" s="106" t="inlineStr">
        <is>
          <t>Custo Fixo</t>
        </is>
      </c>
      <c r="C2879" s="106" t="inlineStr">
        <is>
          <t>Despesas com SST</t>
        </is>
      </c>
      <c r="D2879" s="107" t="n">
        <v>17</v>
      </c>
      <c r="E2879" s="108" t="n">
        <v>52.35</v>
      </c>
      <c r="F2879" s="109">
        <f>IFERROR(D2879*E2879,0)</f>
        <v/>
      </c>
      <c r="G2879" s="106">
        <f>INDEX(SETORES!$B:$B,MATCH(A2879,SETORES!$A:$A,0))</f>
        <v/>
      </c>
      <c r="H2879" s="106" t="inlineStr">
        <is>
          <t>Setembro/2026</t>
        </is>
      </c>
    </row>
    <row r="2880">
      <c r="A2880" s="106" t="inlineStr">
        <is>
          <t>TIC</t>
        </is>
      </c>
      <c r="B2880" s="106" t="inlineStr">
        <is>
          <t>Custo Fixo</t>
        </is>
      </c>
      <c r="C2880" s="106" t="inlineStr">
        <is>
          <t>Gympass</t>
        </is>
      </c>
      <c r="D2880" s="107" t="n"/>
      <c r="E2880" s="108" t="n"/>
      <c r="F2880" s="109">
        <f>IFERROR(D2880*E2880,0)</f>
        <v/>
      </c>
      <c r="G2880" s="106">
        <f>INDEX(SETORES!$B:$B,MATCH(A2880,SETORES!$A:$A,0))</f>
        <v/>
      </c>
      <c r="H2880" s="106" t="inlineStr">
        <is>
          <t>Setembro/2026</t>
        </is>
      </c>
    </row>
    <row r="2881">
      <c r="A2881" s="106" t="inlineStr">
        <is>
          <t>TIC</t>
        </is>
      </c>
      <c r="B2881" s="106" t="inlineStr">
        <is>
          <t>Custo Fixo</t>
        </is>
      </c>
      <c r="C2881" s="106" t="inlineStr">
        <is>
          <t>Stargrid</t>
        </is>
      </c>
      <c r="D2881" s="107" t="n">
        <v>7</v>
      </c>
      <c r="E2881" s="108" t="n">
        <v>1.87</v>
      </c>
      <c r="F2881" s="109">
        <f>IFERROR(D2881*E2881,0)</f>
        <v/>
      </c>
      <c r="G2881" s="106">
        <f>INDEX(SETORES!$B:$B,MATCH(A2881,SETORES!$A:$A,0))</f>
        <v/>
      </c>
      <c r="H2881" s="106" t="inlineStr">
        <is>
          <t>Setembro/2026</t>
        </is>
      </c>
    </row>
    <row r="2882">
      <c r="A2882" s="106" t="inlineStr">
        <is>
          <t>TIC</t>
        </is>
      </c>
      <c r="B2882" s="106" t="inlineStr">
        <is>
          <t>Custo Fixo</t>
        </is>
      </c>
      <c r="C2882" s="106" t="inlineStr">
        <is>
          <t>Licença de e-mail corporativo</t>
        </is>
      </c>
      <c r="D2882" s="107" t="n">
        <v>7</v>
      </c>
      <c r="E2882" s="108" t="n">
        <v>50</v>
      </c>
      <c r="F2882" s="109">
        <f>IFERROR(D2882*E2882,0)</f>
        <v/>
      </c>
      <c r="G2882" s="106">
        <f>INDEX(SETORES!$B:$B,MATCH(A2882,SETORES!$A:$A,0))</f>
        <v/>
      </c>
      <c r="H2882" s="106" t="inlineStr">
        <is>
          <t>Setembro/2026</t>
        </is>
      </c>
    </row>
    <row r="2883">
      <c r="A2883" s="106" t="inlineStr">
        <is>
          <t>TIC</t>
        </is>
      </c>
      <c r="B2883" s="106" t="inlineStr">
        <is>
          <t>Custo Fixo</t>
        </is>
      </c>
      <c r="C2883" s="106" t="inlineStr">
        <is>
          <t>Despesas com RH</t>
        </is>
      </c>
      <c r="D2883" s="107" t="n">
        <v>7</v>
      </c>
      <c r="E2883" s="108" t="n">
        <v>32.55</v>
      </c>
      <c r="F2883" s="109">
        <f>IFERROR(D2883*E2883,0)</f>
        <v/>
      </c>
      <c r="G2883" s="106">
        <f>INDEX(SETORES!$B:$B,MATCH(A2883,SETORES!$A:$A,0))</f>
        <v/>
      </c>
      <c r="H2883" s="106" t="inlineStr">
        <is>
          <t>Setembro/2026</t>
        </is>
      </c>
    </row>
    <row r="2884">
      <c r="A2884" s="106" t="inlineStr">
        <is>
          <t>TIC</t>
        </is>
      </c>
      <c r="B2884" s="106" t="inlineStr">
        <is>
          <t>Custo Fixo</t>
        </is>
      </c>
      <c r="C2884" s="106" t="inlineStr">
        <is>
          <t>Despesas com DP</t>
        </is>
      </c>
      <c r="D2884" s="107" t="n">
        <v>7</v>
      </c>
      <c r="E2884" s="108" t="n">
        <v>52.09</v>
      </c>
      <c r="F2884" s="109">
        <f>IFERROR(D2884*E2884,0)</f>
        <v/>
      </c>
      <c r="G2884" s="106">
        <f>INDEX(SETORES!$B:$B,MATCH(A2884,SETORES!$A:$A,0))</f>
        <v/>
      </c>
      <c r="H2884" s="106" t="inlineStr">
        <is>
          <t>Setembro/2026</t>
        </is>
      </c>
    </row>
    <row r="2885">
      <c r="A2885" s="106" t="inlineStr">
        <is>
          <t>TIC</t>
        </is>
      </c>
      <c r="B2885" s="106" t="inlineStr">
        <is>
          <t>Custo Fixo</t>
        </is>
      </c>
      <c r="C2885" s="106" t="inlineStr">
        <is>
          <t>Despesas com SST</t>
        </is>
      </c>
      <c r="D2885" s="107" t="n">
        <v>7</v>
      </c>
      <c r="E2885" s="108" t="n">
        <v>52.35</v>
      </c>
      <c r="F2885" s="109">
        <f>IFERROR(D2885*E2885,0)</f>
        <v/>
      </c>
      <c r="G2885" s="106">
        <f>INDEX(SETORES!$B:$B,MATCH(A2885,SETORES!$A:$A,0))</f>
        <v/>
      </c>
      <c r="H2885" s="106" t="inlineStr">
        <is>
          <t>Setembro/2026</t>
        </is>
      </c>
    </row>
    <row r="2886">
      <c r="A2886" s="106" t="inlineStr">
        <is>
          <t>COE</t>
        </is>
      </c>
      <c r="B2886" s="106" t="inlineStr">
        <is>
          <t>Custo Fixo</t>
        </is>
      </c>
      <c r="C2886" s="106" t="inlineStr">
        <is>
          <t>Gympass</t>
        </is>
      </c>
      <c r="D2886" s="107" t="n"/>
      <c r="E2886" s="108" t="n"/>
      <c r="F2886" s="109">
        <f>IFERROR(D2886*E2886,0)</f>
        <v/>
      </c>
      <c r="G2886" s="106">
        <f>INDEX(SETORES!$B:$B,MATCH(A2886,SETORES!$A:$A,0))</f>
        <v/>
      </c>
      <c r="H2886" s="106" t="inlineStr">
        <is>
          <t>Setembro/2026</t>
        </is>
      </c>
    </row>
    <row r="2887">
      <c r="A2887" s="106" t="inlineStr">
        <is>
          <t>COE</t>
        </is>
      </c>
      <c r="B2887" s="106" t="inlineStr">
        <is>
          <t>Custo Fixo</t>
        </is>
      </c>
      <c r="C2887" s="106" t="inlineStr">
        <is>
          <t>Stargrid</t>
        </is>
      </c>
      <c r="D2887" s="107" t="n">
        <v>11</v>
      </c>
      <c r="E2887" s="108" t="n">
        <v>1.87</v>
      </c>
      <c r="F2887" s="109">
        <f>IFERROR(D2887*E2887,0)</f>
        <v/>
      </c>
      <c r="G2887" s="106">
        <f>INDEX(SETORES!$B:$B,MATCH(A2887,SETORES!$A:$A,0))</f>
        <v/>
      </c>
      <c r="H2887" s="106" t="inlineStr">
        <is>
          <t>Setembro/2026</t>
        </is>
      </c>
    </row>
    <row r="2888">
      <c r="A2888" s="106" t="inlineStr">
        <is>
          <t>COE</t>
        </is>
      </c>
      <c r="B2888" s="106" t="inlineStr">
        <is>
          <t>Custo Fixo</t>
        </is>
      </c>
      <c r="C2888" s="106" t="inlineStr">
        <is>
          <t>Licença de e-mail corporativo</t>
        </is>
      </c>
      <c r="D2888" s="107" t="n">
        <v>11</v>
      </c>
      <c r="E2888" s="108" t="n">
        <v>50</v>
      </c>
      <c r="F2888" s="109">
        <f>IFERROR(D2888*E2888,0)</f>
        <v/>
      </c>
      <c r="G2888" s="106">
        <f>INDEX(SETORES!$B:$B,MATCH(A2888,SETORES!$A:$A,0))</f>
        <v/>
      </c>
      <c r="H2888" s="106" t="inlineStr">
        <is>
          <t>Setembro/2026</t>
        </is>
      </c>
    </row>
    <row r="2889">
      <c r="A2889" s="106" t="inlineStr">
        <is>
          <t>COE</t>
        </is>
      </c>
      <c r="B2889" s="106" t="inlineStr">
        <is>
          <t>Custo Fixo</t>
        </is>
      </c>
      <c r="C2889" s="106" t="inlineStr">
        <is>
          <t>Despesas com RH</t>
        </is>
      </c>
      <c r="D2889" s="107" t="n">
        <v>11</v>
      </c>
      <c r="E2889" s="108" t="n">
        <v>32.55</v>
      </c>
      <c r="F2889" s="109">
        <f>IFERROR(D2889*E2889,0)</f>
        <v/>
      </c>
      <c r="G2889" s="106">
        <f>INDEX(SETORES!$B:$B,MATCH(A2889,SETORES!$A:$A,0))</f>
        <v/>
      </c>
      <c r="H2889" s="106" t="inlineStr">
        <is>
          <t>Setembro/2026</t>
        </is>
      </c>
    </row>
    <row r="2890">
      <c r="A2890" s="106" t="inlineStr">
        <is>
          <t>COE</t>
        </is>
      </c>
      <c r="B2890" s="106" t="inlineStr">
        <is>
          <t>Custo Fixo</t>
        </is>
      </c>
      <c r="C2890" s="106" t="inlineStr">
        <is>
          <t>Despesas com DP</t>
        </is>
      </c>
      <c r="D2890" s="107" t="n">
        <v>11</v>
      </c>
      <c r="E2890" s="108" t="n">
        <v>52.09</v>
      </c>
      <c r="F2890" s="109">
        <f>IFERROR(D2890*E2890,0)</f>
        <v/>
      </c>
      <c r="G2890" s="106">
        <f>INDEX(SETORES!$B:$B,MATCH(A2890,SETORES!$A:$A,0))</f>
        <v/>
      </c>
      <c r="H2890" s="106" t="inlineStr">
        <is>
          <t>Setembro/2026</t>
        </is>
      </c>
    </row>
    <row r="2891">
      <c r="A2891" s="106" t="inlineStr">
        <is>
          <t>COE</t>
        </is>
      </c>
      <c r="B2891" s="106" t="inlineStr">
        <is>
          <t>Custo Fixo</t>
        </is>
      </c>
      <c r="C2891" s="106" t="inlineStr">
        <is>
          <t>Despesas com SST</t>
        </is>
      </c>
      <c r="D2891" s="107" t="n">
        <v>11</v>
      </c>
      <c r="E2891" s="108" t="n">
        <v>52.35</v>
      </c>
      <c r="F2891" s="109">
        <f>IFERROR(D2891*E2891,0)</f>
        <v/>
      </c>
      <c r="G2891" s="106">
        <f>INDEX(SETORES!$B:$B,MATCH(A2891,SETORES!$A:$A,0))</f>
        <v/>
      </c>
      <c r="H2891" s="106" t="inlineStr">
        <is>
          <t>Setembro/2026</t>
        </is>
      </c>
    </row>
    <row r="2892">
      <c r="A2892" s="106" t="inlineStr">
        <is>
          <t>Fique Móvel</t>
        </is>
      </c>
      <c r="B2892" s="106" t="inlineStr">
        <is>
          <t>Custo Fixo</t>
        </is>
      </c>
      <c r="C2892" s="106" t="inlineStr">
        <is>
          <t>Gympass</t>
        </is>
      </c>
      <c r="D2892" s="107" t="n"/>
      <c r="E2892" s="108" t="n"/>
      <c r="F2892" s="109">
        <f>IFERROR(D2892*E2892,0)</f>
        <v/>
      </c>
      <c r="G2892" s="106">
        <f>INDEX(SETORES!$B:$B,MATCH(A2892,SETORES!$A:$A,0))</f>
        <v/>
      </c>
      <c r="H2892" s="106" t="inlineStr">
        <is>
          <t>Setembro/2026</t>
        </is>
      </c>
    </row>
    <row r="2893">
      <c r="A2893" s="106" t="inlineStr">
        <is>
          <t>Fique Móvel</t>
        </is>
      </c>
      <c r="B2893" s="106" t="inlineStr">
        <is>
          <t>Custo Fixo</t>
        </is>
      </c>
      <c r="C2893" s="106" t="inlineStr">
        <is>
          <t>Stargrid</t>
        </is>
      </c>
      <c r="D2893" s="107" t="n">
        <v>3</v>
      </c>
      <c r="E2893" s="108" t="n">
        <v>1.87</v>
      </c>
      <c r="F2893" s="109">
        <f>IFERROR(D2893*E2893,0)</f>
        <v/>
      </c>
      <c r="G2893" s="106">
        <f>INDEX(SETORES!$B:$B,MATCH(A2893,SETORES!$A:$A,0))</f>
        <v/>
      </c>
      <c r="H2893" s="106" t="inlineStr">
        <is>
          <t>Setembro/2026</t>
        </is>
      </c>
    </row>
    <row r="2894">
      <c r="A2894" s="106" t="inlineStr">
        <is>
          <t>Fique Móvel</t>
        </is>
      </c>
      <c r="B2894" s="106" t="inlineStr">
        <is>
          <t>Custo Fixo</t>
        </is>
      </c>
      <c r="C2894" s="106" t="inlineStr">
        <is>
          <t>Licença de e-mail corporativo</t>
        </is>
      </c>
      <c r="D2894" s="107" t="n">
        <v>3</v>
      </c>
      <c r="E2894" s="108" t="n">
        <v>50</v>
      </c>
      <c r="F2894" s="109">
        <f>IFERROR(D2894*E2894,0)</f>
        <v/>
      </c>
      <c r="G2894" s="106">
        <f>INDEX(SETORES!$B:$B,MATCH(A2894,SETORES!$A:$A,0))</f>
        <v/>
      </c>
      <c r="H2894" s="106" t="inlineStr">
        <is>
          <t>Setembro/2026</t>
        </is>
      </c>
    </row>
    <row r="2895">
      <c r="A2895" s="106" t="inlineStr">
        <is>
          <t>Fique Móvel</t>
        </is>
      </c>
      <c r="B2895" s="106" t="inlineStr">
        <is>
          <t>Custo Fixo</t>
        </is>
      </c>
      <c r="C2895" s="106" t="inlineStr">
        <is>
          <t>Despesas com RH</t>
        </is>
      </c>
      <c r="D2895" s="107" t="n">
        <v>3</v>
      </c>
      <c r="E2895" s="108" t="n">
        <v>32.55</v>
      </c>
      <c r="F2895" s="109">
        <f>IFERROR(D2895*E2895,0)</f>
        <v/>
      </c>
      <c r="G2895" s="106">
        <f>INDEX(SETORES!$B:$B,MATCH(A2895,SETORES!$A:$A,0))</f>
        <v/>
      </c>
      <c r="H2895" s="106" t="inlineStr">
        <is>
          <t>Setembro/2026</t>
        </is>
      </c>
    </row>
    <row r="2896">
      <c r="A2896" s="106" t="inlineStr">
        <is>
          <t>Fique Móvel</t>
        </is>
      </c>
      <c r="B2896" s="106" t="inlineStr">
        <is>
          <t>Custo Fixo</t>
        </is>
      </c>
      <c r="C2896" s="106" t="inlineStr">
        <is>
          <t>Despesas com DP</t>
        </is>
      </c>
      <c r="D2896" s="107" t="n">
        <v>3</v>
      </c>
      <c r="E2896" s="108" t="n">
        <v>52.09</v>
      </c>
      <c r="F2896" s="109">
        <f>IFERROR(D2896*E2896,0)</f>
        <v/>
      </c>
      <c r="G2896" s="106">
        <f>INDEX(SETORES!$B:$B,MATCH(A2896,SETORES!$A:$A,0))</f>
        <v/>
      </c>
      <c r="H2896" s="106" t="inlineStr">
        <is>
          <t>Setembro/2026</t>
        </is>
      </c>
    </row>
    <row r="2897">
      <c r="A2897" s="106" t="inlineStr">
        <is>
          <t>Fique Móvel</t>
        </is>
      </c>
      <c r="B2897" s="106" t="inlineStr">
        <is>
          <t>Custo Fixo</t>
        </is>
      </c>
      <c r="C2897" s="106" t="inlineStr">
        <is>
          <t>Despesas com SST</t>
        </is>
      </c>
      <c r="D2897" s="107" t="n">
        <v>3</v>
      </c>
      <c r="E2897" s="108" t="n">
        <v>52.35</v>
      </c>
      <c r="F2897" s="109">
        <f>IFERROR(D2897*E2897,0)</f>
        <v/>
      </c>
      <c r="G2897" s="106">
        <f>INDEX(SETORES!$B:$B,MATCH(A2897,SETORES!$A:$A,0))</f>
        <v/>
      </c>
      <c r="H2897" s="106" t="inlineStr">
        <is>
          <t>Setembro/2026</t>
        </is>
      </c>
    </row>
    <row r="2898">
      <c r="A2898" s="106" t="inlineStr">
        <is>
          <t>Lançamento</t>
        </is>
      </c>
      <c r="B2898" s="106" t="inlineStr">
        <is>
          <t>Custo Fixo</t>
        </is>
      </c>
      <c r="C2898" s="106" t="inlineStr">
        <is>
          <t>Gympass</t>
        </is>
      </c>
      <c r="D2898" s="107" t="n"/>
      <c r="E2898" s="108" t="n"/>
      <c r="F2898" s="109">
        <f>IFERROR(D2898*E2898,0)</f>
        <v/>
      </c>
      <c r="G2898" s="106">
        <f>INDEX(SETORES!$B:$B,MATCH(A2898,SETORES!$A:$A,0))</f>
        <v/>
      </c>
      <c r="H2898" s="106" t="inlineStr">
        <is>
          <t>Setembro/2026</t>
        </is>
      </c>
    </row>
    <row r="2899">
      <c r="A2899" s="106" t="inlineStr">
        <is>
          <t>Lançamento</t>
        </is>
      </c>
      <c r="B2899" s="106" t="inlineStr">
        <is>
          <t>Custo Fixo</t>
        </is>
      </c>
      <c r="C2899" s="106" t="inlineStr">
        <is>
          <t>Stargrid</t>
        </is>
      </c>
      <c r="D2899" s="107" t="n">
        <v>24</v>
      </c>
      <c r="E2899" s="108" t="n">
        <v>1.87</v>
      </c>
      <c r="F2899" s="109">
        <f>IFERROR(D2899*E2899,0)</f>
        <v/>
      </c>
      <c r="G2899" s="106">
        <f>INDEX(SETORES!$B:$B,MATCH(A2899,SETORES!$A:$A,0))</f>
        <v/>
      </c>
      <c r="H2899" s="106" t="inlineStr">
        <is>
          <t>Setembro/2026</t>
        </is>
      </c>
    </row>
    <row r="2900">
      <c r="A2900" s="106" t="inlineStr">
        <is>
          <t>Lançamento</t>
        </is>
      </c>
      <c r="B2900" s="106" t="inlineStr">
        <is>
          <t>Custo Fixo</t>
        </is>
      </c>
      <c r="C2900" s="106" t="inlineStr">
        <is>
          <t>Licença de e-mail corporativo</t>
        </is>
      </c>
      <c r="D2900" s="107" t="n">
        <v>24</v>
      </c>
      <c r="E2900" s="108" t="n">
        <v>50</v>
      </c>
      <c r="F2900" s="109">
        <f>IFERROR(D2900*E2900,0)</f>
        <v/>
      </c>
      <c r="G2900" s="106">
        <f>INDEX(SETORES!$B:$B,MATCH(A2900,SETORES!$A:$A,0))</f>
        <v/>
      </c>
      <c r="H2900" s="106" t="inlineStr">
        <is>
          <t>Setembro/2026</t>
        </is>
      </c>
    </row>
    <row r="2901">
      <c r="A2901" s="106" t="inlineStr">
        <is>
          <t>Lançamento</t>
        </is>
      </c>
      <c r="B2901" s="106" t="inlineStr">
        <is>
          <t>Custo Fixo</t>
        </is>
      </c>
      <c r="C2901" s="106" t="inlineStr">
        <is>
          <t>Despesas com RH</t>
        </is>
      </c>
      <c r="D2901" s="107" t="n">
        <v>24</v>
      </c>
      <c r="E2901" s="108" t="n">
        <v>32.55</v>
      </c>
      <c r="F2901" s="109">
        <f>IFERROR(D2901*E2901,0)</f>
        <v/>
      </c>
      <c r="G2901" s="106">
        <f>INDEX(SETORES!$B:$B,MATCH(A2901,SETORES!$A:$A,0))</f>
        <v/>
      </c>
      <c r="H2901" s="106" t="inlineStr">
        <is>
          <t>Setembro/2026</t>
        </is>
      </c>
    </row>
    <row r="2902">
      <c r="A2902" s="106" t="inlineStr">
        <is>
          <t>Lançamento</t>
        </is>
      </c>
      <c r="B2902" s="106" t="inlineStr">
        <is>
          <t>Custo Fixo</t>
        </is>
      </c>
      <c r="C2902" s="106" t="inlineStr">
        <is>
          <t>Despesas com DP</t>
        </is>
      </c>
      <c r="D2902" s="107" t="n">
        <v>24</v>
      </c>
      <c r="E2902" s="108" t="n">
        <v>52.09</v>
      </c>
      <c r="F2902" s="109">
        <f>IFERROR(D2902*E2902,0)</f>
        <v/>
      </c>
      <c r="G2902" s="106">
        <f>INDEX(SETORES!$B:$B,MATCH(A2902,SETORES!$A:$A,0))</f>
        <v/>
      </c>
      <c r="H2902" s="106" t="inlineStr">
        <is>
          <t>Setembro/2026</t>
        </is>
      </c>
    </row>
    <row r="2903">
      <c r="A2903" s="106" t="inlineStr">
        <is>
          <t>Lançamento</t>
        </is>
      </c>
      <c r="B2903" s="106" t="inlineStr">
        <is>
          <t>Custo Fixo</t>
        </is>
      </c>
      <c r="C2903" s="106" t="inlineStr">
        <is>
          <t>Despesas com SST</t>
        </is>
      </c>
      <c r="D2903" s="107" t="n">
        <v>24</v>
      </c>
      <c r="E2903" s="108" t="n">
        <v>52.35</v>
      </c>
      <c r="F2903" s="109">
        <f>IFERROR(D2903*E2903,0)</f>
        <v/>
      </c>
      <c r="G2903" s="106">
        <f>INDEX(SETORES!$B:$B,MATCH(A2903,SETORES!$A:$A,0))</f>
        <v/>
      </c>
      <c r="H2903" s="106" t="inlineStr">
        <is>
          <t>Setembro/2026</t>
        </is>
      </c>
    </row>
    <row r="2904">
      <c r="A2904" s="106" t="inlineStr">
        <is>
          <t>Fusão</t>
        </is>
      </c>
      <c r="B2904" s="106" t="inlineStr">
        <is>
          <t>Custo Fixo</t>
        </is>
      </c>
      <c r="C2904" s="106" t="inlineStr">
        <is>
          <t>Gympass</t>
        </is>
      </c>
      <c r="D2904" s="107" t="n"/>
      <c r="E2904" s="108" t="n"/>
      <c r="F2904" s="109">
        <f>IFERROR(D2904*E2904,0)</f>
        <v/>
      </c>
      <c r="G2904" s="106">
        <f>INDEX(SETORES!$B:$B,MATCH(A2904,SETORES!$A:$A,0))</f>
        <v/>
      </c>
      <c r="H2904" s="106" t="inlineStr">
        <is>
          <t>Setembro/2026</t>
        </is>
      </c>
    </row>
    <row r="2905">
      <c r="A2905" s="106" t="inlineStr">
        <is>
          <t>Fusão</t>
        </is>
      </c>
      <c r="B2905" s="106" t="inlineStr">
        <is>
          <t>Custo Fixo</t>
        </is>
      </c>
      <c r="C2905" s="106" t="inlineStr">
        <is>
          <t>Stargrid</t>
        </is>
      </c>
      <c r="D2905" s="107" t="n">
        <v>10</v>
      </c>
      <c r="E2905" s="108" t="n">
        <v>1.87</v>
      </c>
      <c r="F2905" s="109">
        <f>IFERROR(D2905*E2905,0)</f>
        <v/>
      </c>
      <c r="G2905" s="106">
        <f>INDEX(SETORES!$B:$B,MATCH(A2905,SETORES!$A:$A,0))</f>
        <v/>
      </c>
      <c r="H2905" s="106" t="inlineStr">
        <is>
          <t>Setembro/2026</t>
        </is>
      </c>
    </row>
    <row r="2906">
      <c r="A2906" s="106" t="inlineStr">
        <is>
          <t>Fusão</t>
        </is>
      </c>
      <c r="B2906" s="106" t="inlineStr">
        <is>
          <t>Custo Fixo</t>
        </is>
      </c>
      <c r="C2906" s="106" t="inlineStr">
        <is>
          <t>Licença de e-mail corporativo</t>
        </is>
      </c>
      <c r="D2906" s="107" t="n">
        <v>10</v>
      </c>
      <c r="E2906" s="108" t="n">
        <v>50</v>
      </c>
      <c r="F2906" s="109">
        <f>IFERROR(D2906*E2906,0)</f>
        <v/>
      </c>
      <c r="G2906" s="106">
        <f>INDEX(SETORES!$B:$B,MATCH(A2906,SETORES!$A:$A,0))</f>
        <v/>
      </c>
      <c r="H2906" s="106" t="inlineStr">
        <is>
          <t>Setembro/2026</t>
        </is>
      </c>
    </row>
    <row r="2907">
      <c r="A2907" s="106" t="inlineStr">
        <is>
          <t>Fusão</t>
        </is>
      </c>
      <c r="B2907" s="106" t="inlineStr">
        <is>
          <t>Custo Fixo</t>
        </is>
      </c>
      <c r="C2907" s="106" t="inlineStr">
        <is>
          <t>Despesas com RH</t>
        </is>
      </c>
      <c r="D2907" s="107" t="n">
        <v>10</v>
      </c>
      <c r="E2907" s="108" t="n">
        <v>32.55</v>
      </c>
      <c r="F2907" s="109">
        <f>IFERROR(D2907*E2907,0)</f>
        <v/>
      </c>
      <c r="G2907" s="106">
        <f>INDEX(SETORES!$B:$B,MATCH(A2907,SETORES!$A:$A,0))</f>
        <v/>
      </c>
      <c r="H2907" s="106" t="inlineStr">
        <is>
          <t>Setembro/2026</t>
        </is>
      </c>
    </row>
    <row r="2908">
      <c r="A2908" s="106" t="inlineStr">
        <is>
          <t>Fusão</t>
        </is>
      </c>
      <c r="B2908" s="106" t="inlineStr">
        <is>
          <t>Custo Fixo</t>
        </is>
      </c>
      <c r="C2908" s="106" t="inlineStr">
        <is>
          <t>Despesas com DP</t>
        </is>
      </c>
      <c r="D2908" s="107" t="n">
        <v>10</v>
      </c>
      <c r="E2908" s="108" t="n">
        <v>52.09</v>
      </c>
      <c r="F2908" s="109">
        <f>IFERROR(D2908*E2908,0)</f>
        <v/>
      </c>
      <c r="G2908" s="106">
        <f>INDEX(SETORES!$B:$B,MATCH(A2908,SETORES!$A:$A,0))</f>
        <v/>
      </c>
      <c r="H2908" s="106" t="inlineStr">
        <is>
          <t>Setembro/2026</t>
        </is>
      </c>
    </row>
    <row r="2909">
      <c r="A2909" s="106" t="inlineStr">
        <is>
          <t>Fusão</t>
        </is>
      </c>
      <c r="B2909" s="106" t="inlineStr">
        <is>
          <t>Custo Fixo</t>
        </is>
      </c>
      <c r="C2909" s="106" t="inlineStr">
        <is>
          <t>Despesas com SST</t>
        </is>
      </c>
      <c r="D2909" s="107" t="n">
        <v>10</v>
      </c>
      <c r="E2909" s="108" t="n">
        <v>52.35</v>
      </c>
      <c r="F2909" s="109">
        <f>IFERROR(D2909*E2909,0)</f>
        <v/>
      </c>
      <c r="G2909" s="106">
        <f>INDEX(SETORES!$B:$B,MATCH(A2909,SETORES!$A:$A,0))</f>
        <v/>
      </c>
      <c r="H2909" s="106" t="inlineStr">
        <is>
          <t>Setembro/2026</t>
        </is>
      </c>
    </row>
    <row r="2910">
      <c r="A2910" s="106" t="inlineStr">
        <is>
          <t>Diretoria Adm</t>
        </is>
      </c>
      <c r="B2910" s="106" t="inlineStr">
        <is>
          <t>Custo Fixo</t>
        </is>
      </c>
      <c r="C2910" s="106" t="inlineStr">
        <is>
          <t>Gympass</t>
        </is>
      </c>
      <c r="D2910" s="107" t="n"/>
      <c r="E2910" s="108" t="n"/>
      <c r="F2910" s="109">
        <f>IFERROR(D2910*E2910,0)</f>
        <v/>
      </c>
      <c r="G2910" s="106">
        <f>INDEX(SETORES!$B:$B,MATCH(A2910,SETORES!$A:$A,0))</f>
        <v/>
      </c>
      <c r="H2910" s="106" t="inlineStr">
        <is>
          <t>Setembro/2026</t>
        </is>
      </c>
    </row>
    <row r="2911">
      <c r="A2911" s="106" t="inlineStr">
        <is>
          <t>Diretoria Adm</t>
        </is>
      </c>
      <c r="B2911" s="106" t="inlineStr">
        <is>
          <t>Custo Fixo</t>
        </is>
      </c>
      <c r="C2911" s="106" t="inlineStr">
        <is>
          <t>Stargrid</t>
        </is>
      </c>
      <c r="D2911" s="107" t="n">
        <v>2</v>
      </c>
      <c r="E2911" s="108" t="n">
        <v>1.87</v>
      </c>
      <c r="F2911" s="109">
        <f>IFERROR(D2911*E2911,0)</f>
        <v/>
      </c>
      <c r="G2911" s="106">
        <f>INDEX(SETORES!$B:$B,MATCH(A2911,SETORES!$A:$A,0))</f>
        <v/>
      </c>
      <c r="H2911" s="106" t="inlineStr">
        <is>
          <t>Setembro/2026</t>
        </is>
      </c>
    </row>
    <row r="2912">
      <c r="A2912" s="106" t="inlineStr">
        <is>
          <t>Diretoria Adm</t>
        </is>
      </c>
      <c r="B2912" s="106" t="inlineStr">
        <is>
          <t>Custo Fixo</t>
        </is>
      </c>
      <c r="C2912" s="106" t="inlineStr">
        <is>
          <t>Licença de e-mail corporativo</t>
        </is>
      </c>
      <c r="D2912" s="107" t="n">
        <v>2</v>
      </c>
      <c r="E2912" s="108" t="n">
        <v>50</v>
      </c>
      <c r="F2912" s="109">
        <f>IFERROR(D2912*E2912,0)</f>
        <v/>
      </c>
      <c r="G2912" s="106">
        <f>INDEX(SETORES!$B:$B,MATCH(A2912,SETORES!$A:$A,0))</f>
        <v/>
      </c>
      <c r="H2912" s="106" t="inlineStr">
        <is>
          <t>Setembro/2026</t>
        </is>
      </c>
    </row>
    <row r="2913">
      <c r="A2913" s="106" t="inlineStr">
        <is>
          <t>Diretoria Adm</t>
        </is>
      </c>
      <c r="B2913" s="106" t="inlineStr">
        <is>
          <t>Custo Fixo</t>
        </is>
      </c>
      <c r="C2913" s="106" t="inlineStr">
        <is>
          <t>Despesas com RH</t>
        </is>
      </c>
      <c r="D2913" s="107" t="n">
        <v>2</v>
      </c>
      <c r="E2913" s="108" t="n">
        <v>32.55</v>
      </c>
      <c r="F2913" s="109">
        <f>IFERROR(D2913*E2913,0)</f>
        <v/>
      </c>
      <c r="G2913" s="106">
        <f>INDEX(SETORES!$B:$B,MATCH(A2913,SETORES!$A:$A,0))</f>
        <v/>
      </c>
      <c r="H2913" s="106" t="inlineStr">
        <is>
          <t>Setembro/2026</t>
        </is>
      </c>
    </row>
    <row r="2914">
      <c r="A2914" s="106" t="inlineStr">
        <is>
          <t>Diretoria Adm</t>
        </is>
      </c>
      <c r="B2914" s="106" t="inlineStr">
        <is>
          <t>Custo Fixo</t>
        </is>
      </c>
      <c r="C2914" s="106" t="inlineStr">
        <is>
          <t>Despesas com DP</t>
        </is>
      </c>
      <c r="D2914" s="107" t="n">
        <v>2</v>
      </c>
      <c r="E2914" s="108" t="n">
        <v>52.09</v>
      </c>
      <c r="F2914" s="109">
        <f>IFERROR(D2914*E2914,0)</f>
        <v/>
      </c>
      <c r="G2914" s="106">
        <f>INDEX(SETORES!$B:$B,MATCH(A2914,SETORES!$A:$A,0))</f>
        <v/>
      </c>
      <c r="H2914" s="106" t="inlineStr">
        <is>
          <t>Setembro/2026</t>
        </is>
      </c>
    </row>
    <row r="2915">
      <c r="A2915" s="106" t="inlineStr">
        <is>
          <t>Diretoria Adm</t>
        </is>
      </c>
      <c r="B2915" s="106" t="inlineStr">
        <is>
          <t>Custo Fixo</t>
        </is>
      </c>
      <c r="C2915" s="106" t="inlineStr">
        <is>
          <t>Despesas com SST</t>
        </is>
      </c>
      <c r="D2915" s="107" t="n">
        <v>2</v>
      </c>
      <c r="E2915" s="108" t="n">
        <v>52.35</v>
      </c>
      <c r="F2915" s="109">
        <f>IFERROR(D2915*E2915,0)</f>
        <v/>
      </c>
      <c r="G2915" s="106">
        <f>INDEX(SETORES!$B:$B,MATCH(A2915,SETORES!$A:$A,0))</f>
        <v/>
      </c>
      <c r="H2915" s="106" t="inlineStr">
        <is>
          <t>Setembro/2026</t>
        </is>
      </c>
    </row>
    <row r="2916">
      <c r="A2916" s="106" t="inlineStr">
        <is>
          <t>TIC</t>
        </is>
      </c>
      <c r="B2916" s="106" t="inlineStr">
        <is>
          <t>Custo Fixo</t>
        </is>
      </c>
      <c r="C2916" s="106" t="inlineStr">
        <is>
          <t>Impressora</t>
        </is>
      </c>
      <c r="D2916" s="107" t="n"/>
      <c r="E2916" s="108" t="n"/>
      <c r="F2916" s="109">
        <f>IFERROR(D2916*E2916,0)</f>
        <v/>
      </c>
      <c r="G2916" s="106">
        <f>INDEX(SETORES!$B:$B,MATCH(A2916,SETORES!$A:$A,0))</f>
        <v/>
      </c>
      <c r="H2916" s="106" t="inlineStr">
        <is>
          <t>Setembro/2026</t>
        </is>
      </c>
    </row>
    <row r="2917">
      <c r="A2917" s="106" t="inlineStr">
        <is>
          <t>Marketing</t>
        </is>
      </c>
      <c r="B2917" s="106" t="inlineStr">
        <is>
          <t>Custo Fixo</t>
        </is>
      </c>
      <c r="C2917" s="106" t="inlineStr">
        <is>
          <t>Impressora</t>
        </is>
      </c>
      <c r="D2917" s="107" t="n"/>
      <c r="E2917" s="108" t="n"/>
      <c r="F2917" s="109">
        <f>IFERROR(D2917*E2917,0)</f>
        <v/>
      </c>
      <c r="G2917" s="106">
        <f>INDEX(SETORES!$B:$B,MATCH(A2917,SETORES!$A:$A,0))</f>
        <v/>
      </c>
      <c r="H2917" s="106" t="inlineStr">
        <is>
          <t>Setembro/2026</t>
        </is>
      </c>
    </row>
    <row r="2918">
      <c r="A2918" s="106" t="inlineStr">
        <is>
          <t>NOC</t>
        </is>
      </c>
      <c r="B2918" s="106" t="inlineStr">
        <is>
          <t>Custo Fixo</t>
        </is>
      </c>
      <c r="C2918" s="106" t="inlineStr">
        <is>
          <t>Impressora</t>
        </is>
      </c>
      <c r="D2918" s="107" t="n"/>
      <c r="E2918" s="108" t="n"/>
      <c r="F2918" s="109">
        <f>IFERROR(D2918*E2918,0)</f>
        <v/>
      </c>
      <c r="G2918" s="106">
        <f>INDEX(SETORES!$B:$B,MATCH(A2918,SETORES!$A:$A,0))</f>
        <v/>
      </c>
      <c r="H2918" s="106" t="inlineStr">
        <is>
          <t>Setembro/2026</t>
        </is>
      </c>
    </row>
    <row r="2919">
      <c r="A2919" s="106" t="inlineStr">
        <is>
          <t>COE</t>
        </is>
      </c>
      <c r="B2919" s="106" t="inlineStr">
        <is>
          <t>Custo Fixo</t>
        </is>
      </c>
      <c r="C2919" s="106" t="inlineStr">
        <is>
          <t>Impressora</t>
        </is>
      </c>
      <c r="D2919" s="107" t="n"/>
      <c r="E2919" s="108" t="n"/>
      <c r="F2919" s="109">
        <f>IFERROR(D2919*E2919,0)</f>
        <v/>
      </c>
      <c r="G2919" s="106">
        <f>INDEX(SETORES!$B:$B,MATCH(A2919,SETORES!$A:$A,0))</f>
        <v/>
      </c>
      <c r="H2919" s="106" t="inlineStr">
        <is>
          <t>Setembro/2026</t>
        </is>
      </c>
    </row>
    <row r="2920">
      <c r="A2920" s="106" t="inlineStr">
        <is>
          <t>Oficina</t>
        </is>
      </c>
      <c r="B2920" s="106" t="inlineStr">
        <is>
          <t>Custo Fixo</t>
        </is>
      </c>
      <c r="C2920" s="106" t="inlineStr">
        <is>
          <t>Impressora</t>
        </is>
      </c>
      <c r="D2920" s="107" t="n"/>
      <c r="E2920" s="108" t="n"/>
      <c r="F2920" s="109">
        <f>IFERROR(D2920*E2920,0)</f>
        <v/>
      </c>
      <c r="G2920" s="106">
        <f>INDEX(SETORES!$B:$B,MATCH(A2920,SETORES!$A:$A,0))</f>
        <v/>
      </c>
      <c r="H2920" s="106" t="inlineStr">
        <is>
          <t>Setembro/2026</t>
        </is>
      </c>
    </row>
    <row r="2921">
      <c r="A2921" s="106" t="inlineStr">
        <is>
          <t>Jurídico</t>
        </is>
      </c>
      <c r="B2921" s="106" t="inlineStr">
        <is>
          <t>Custo Fixo</t>
        </is>
      </c>
      <c r="C2921" s="106" t="inlineStr">
        <is>
          <t>Impressora</t>
        </is>
      </c>
      <c r="D2921" s="107" t="n"/>
      <c r="E2921" s="108" t="n"/>
      <c r="F2921" s="109">
        <f>IFERROR(D2921*E2921,0)</f>
        <v/>
      </c>
      <c r="G2921" s="106">
        <f>INDEX(SETORES!$B:$B,MATCH(A2921,SETORES!$A:$A,0))</f>
        <v/>
      </c>
      <c r="H2921" s="106" t="inlineStr">
        <is>
          <t>Setembro/2026</t>
        </is>
      </c>
    </row>
    <row r="2922">
      <c r="A2922" s="106" t="inlineStr">
        <is>
          <t>Controladoria</t>
        </is>
      </c>
      <c r="B2922" s="106" t="inlineStr">
        <is>
          <t>Custo Fixo</t>
        </is>
      </c>
      <c r="C2922" s="106" t="inlineStr">
        <is>
          <t>Licença de e-mail corporativo</t>
        </is>
      </c>
      <c r="D2922" s="107" t="n"/>
      <c r="E2922" s="108" t="n"/>
      <c r="F2922" s="109">
        <f>IFERROR(D2922*E2922,0)</f>
        <v/>
      </c>
      <c r="G2922" s="106">
        <f>INDEX(SETORES!$B:$B,MATCH(A2922,SETORES!$A:$A,0))</f>
        <v/>
      </c>
      <c r="H2922" s="106" t="inlineStr">
        <is>
          <t>Setembro/2026</t>
        </is>
      </c>
    </row>
    <row r="2923">
      <c r="A2923" s="106" t="inlineStr">
        <is>
          <t>Jurídico</t>
        </is>
      </c>
      <c r="B2923" s="106" t="inlineStr">
        <is>
          <t>Custo Fixo</t>
        </is>
      </c>
      <c r="C2923" s="106" t="inlineStr">
        <is>
          <t>Consultoria Jurídica</t>
        </is>
      </c>
      <c r="D2923" s="107" t="n">
        <v>1</v>
      </c>
      <c r="E2923" s="108" t="n">
        <v>7500</v>
      </c>
      <c r="F2923" s="109">
        <f>IFERROR(D2923*E2923,0)</f>
        <v/>
      </c>
      <c r="G2923" s="106">
        <f>INDEX(SETORES!$B:$B,MATCH(A2923,SETORES!$A:$A,0))</f>
        <v/>
      </c>
      <c r="H2923" s="106" t="inlineStr">
        <is>
          <t>Setembro/2026</t>
        </is>
      </c>
    </row>
    <row r="2924">
      <c r="A2924" s="106" t="inlineStr">
        <is>
          <t>Cozinha</t>
        </is>
      </c>
      <c r="B2924" s="106" t="inlineStr">
        <is>
          <t>Custo Fixo</t>
        </is>
      </c>
      <c r="C2924" s="106" t="inlineStr">
        <is>
          <t>Folha de pagamento (salários)</t>
        </is>
      </c>
      <c r="D2924" s="107" t="n">
        <v>1</v>
      </c>
      <c r="E2924" s="108" t="n">
        <v>23971.48</v>
      </c>
      <c r="F2924" s="109">
        <f>IFERROR(D2924*E2924,0)</f>
        <v/>
      </c>
      <c r="G2924" s="106">
        <f>INDEX(SETORES!$B:$B,MATCH(A2924,SETORES!$A:$A,0))</f>
        <v/>
      </c>
      <c r="H2924" s="106" t="inlineStr">
        <is>
          <t>Setembro/2026</t>
        </is>
      </c>
    </row>
    <row r="2925">
      <c r="A2925" s="106" t="inlineStr">
        <is>
          <t>Cozinha</t>
        </is>
      </c>
      <c r="B2925" s="106" t="inlineStr">
        <is>
          <t>Custo Fixo</t>
        </is>
      </c>
      <c r="C2925" s="106" t="inlineStr">
        <is>
          <t>Licença de e-mail corporativo</t>
        </is>
      </c>
      <c r="D2925" s="107" t="n">
        <v>4</v>
      </c>
      <c r="E2925" s="108" t="n">
        <v>50</v>
      </c>
      <c r="F2925" s="109">
        <f>IFERROR(D2925*E2925,0)</f>
        <v/>
      </c>
      <c r="G2925" s="106">
        <f>INDEX(SETORES!$B:$B,MATCH(A2925,SETORES!$A:$A,0))</f>
        <v/>
      </c>
      <c r="H2925" s="106" t="inlineStr">
        <is>
          <t>Setembro/2026</t>
        </is>
      </c>
    </row>
    <row r="2926">
      <c r="A2926" s="106" t="inlineStr">
        <is>
          <t>COE</t>
        </is>
      </c>
      <c r="B2926" s="106" t="inlineStr">
        <is>
          <t>Custo Variável</t>
        </is>
      </c>
      <c r="C2926" s="106" t="inlineStr">
        <is>
          <t>Rateio de transporte coletivo</t>
        </is>
      </c>
      <c r="D2926" s="107" t="n"/>
      <c r="E2926" s="108" t="n"/>
      <c r="F2926" s="109">
        <f>IFERROR(D2926*E2926,0)</f>
        <v/>
      </c>
      <c r="G2926" s="106">
        <f>INDEX(SETORES!$B:$B,MATCH(A2926,SETORES!$A:$A,0))</f>
        <v/>
      </c>
      <c r="H2926" s="106" t="inlineStr">
        <is>
          <t>Setembro/2026</t>
        </is>
      </c>
    </row>
    <row r="2927">
      <c r="A2927" s="106" t="inlineStr">
        <is>
          <t>Cozinha</t>
        </is>
      </c>
      <c r="B2927" s="106" t="inlineStr">
        <is>
          <t>Custo Variável</t>
        </is>
      </c>
      <c r="C2927" s="106" t="inlineStr">
        <is>
          <t>Rateio de transporte coletivo</t>
        </is>
      </c>
      <c r="D2927" s="107" t="n"/>
      <c r="E2927" s="108" t="n"/>
      <c r="F2927" s="109">
        <f>IFERROR(D2927*E2927,0)</f>
        <v/>
      </c>
      <c r="G2927" s="106">
        <f>INDEX(SETORES!$B:$B,MATCH(A2927,SETORES!$A:$A,0))</f>
        <v/>
      </c>
      <c r="H2927" s="106" t="inlineStr">
        <is>
          <t>Setembro/2026</t>
        </is>
      </c>
    </row>
    <row r="2928">
      <c r="A2928" s="106" t="inlineStr">
        <is>
          <t>COE</t>
        </is>
      </c>
      <c r="B2928" s="106" t="inlineStr">
        <is>
          <t>Custo Fixo</t>
        </is>
      </c>
      <c r="C2928" s="106" t="inlineStr">
        <is>
          <t>Energia elétrica (rateio)</t>
        </is>
      </c>
      <c r="D2928" s="107" t="n"/>
      <c r="E2928" s="108" t="n"/>
      <c r="F2928" s="109">
        <f>IFERROR(D2928*E2928,0)</f>
        <v/>
      </c>
      <c r="G2928" s="106">
        <f>INDEX(SETORES!$B:$B,MATCH(A2928,SETORES!$A:$A,0))</f>
        <v/>
      </c>
      <c r="H2928" s="106" t="inlineStr">
        <is>
          <t>Setembro/2026</t>
        </is>
      </c>
    </row>
    <row r="2929">
      <c r="A2929" s="106" t="inlineStr">
        <is>
          <t>COE</t>
        </is>
      </c>
      <c r="B2929" s="106" t="inlineStr">
        <is>
          <t>Custo Fixo</t>
        </is>
      </c>
      <c r="C2929" s="106" t="inlineStr">
        <is>
          <t>Água e esgoto (rateio)</t>
        </is>
      </c>
      <c r="D2929" s="107" t="n"/>
      <c r="E2929" s="108" t="n"/>
      <c r="F2929" s="109">
        <f>IFERROR(D2929*E2929,0)</f>
        <v/>
      </c>
      <c r="G2929" s="106">
        <f>INDEX(SETORES!$B:$B,MATCH(A2929,SETORES!$A:$A,0))</f>
        <v/>
      </c>
      <c r="H2929" s="106" t="inlineStr">
        <is>
          <t>Setembro/2026</t>
        </is>
      </c>
    </row>
    <row r="2930">
      <c r="A2930" s="106" t="inlineStr">
        <is>
          <t>Cozinha</t>
        </is>
      </c>
      <c r="B2930" s="106" t="inlineStr">
        <is>
          <t>Custo Fixo</t>
        </is>
      </c>
      <c r="C2930" s="106" t="inlineStr">
        <is>
          <t>Energia elétrica (rateio)</t>
        </is>
      </c>
      <c r="D2930" s="107" t="n"/>
      <c r="E2930" s="108" t="n"/>
      <c r="F2930" s="109">
        <f>IFERROR(D2930*E2930,0)</f>
        <v/>
      </c>
      <c r="G2930" s="106">
        <f>INDEX(SETORES!$B:$B,MATCH(A2930,SETORES!$A:$A,0))</f>
        <v/>
      </c>
      <c r="H2930" s="106" t="inlineStr">
        <is>
          <t>Setembro/2026</t>
        </is>
      </c>
    </row>
    <row r="2931">
      <c r="A2931" s="106" t="inlineStr">
        <is>
          <t>Cozinha</t>
        </is>
      </c>
      <c r="B2931" s="106" t="inlineStr">
        <is>
          <t>Custo Fixo</t>
        </is>
      </c>
      <c r="C2931" s="106" t="inlineStr">
        <is>
          <t>Água e esgoto (rateio)</t>
        </is>
      </c>
      <c r="D2931" s="107" t="n"/>
      <c r="E2931" s="108" t="n"/>
      <c r="F2931" s="109">
        <f>IFERROR(D2931*E2931,0)</f>
        <v/>
      </c>
      <c r="G2931" s="106">
        <f>INDEX(SETORES!$B:$B,MATCH(A2931,SETORES!$A:$A,0))</f>
        <v/>
      </c>
      <c r="H2931" s="106" t="inlineStr">
        <is>
          <t>Setembro/2026</t>
        </is>
      </c>
    </row>
    <row r="2932">
      <c r="A2932" s="106" t="inlineStr">
        <is>
          <t>COE</t>
        </is>
      </c>
      <c r="B2932" s="106" t="inlineStr">
        <is>
          <t>Custo Variável</t>
        </is>
      </c>
      <c r="C2932" s="106" t="inlineStr">
        <is>
          <t>Rescisões trabalhistas</t>
        </is>
      </c>
      <c r="D2932" s="107" t="n"/>
      <c r="E2932" s="108" t="n"/>
      <c r="F2932" s="109">
        <f>IFERROR(D2932*E2932,0)</f>
        <v/>
      </c>
      <c r="G2932" s="106">
        <f>INDEX(SETORES!$B:$B,MATCH(A2932,SETORES!$A:$A,0))</f>
        <v/>
      </c>
      <c r="H2932" s="106" t="inlineStr">
        <is>
          <t>Setembro/2026</t>
        </is>
      </c>
    </row>
    <row r="2933">
      <c r="A2933" s="106" t="inlineStr">
        <is>
          <t>Compras</t>
        </is>
      </c>
      <c r="B2933" s="106" t="inlineStr">
        <is>
          <t>Custo Variável</t>
        </is>
      </c>
      <c r="C2933" s="106" t="inlineStr">
        <is>
          <t>Rescisões trabalhistas</t>
        </is>
      </c>
      <c r="D2933" s="107" t="n"/>
      <c r="E2933" s="108" t="n"/>
      <c r="F2933" s="109">
        <f>IFERROR(D2933*E2933,0)</f>
        <v/>
      </c>
      <c r="G2933" s="106">
        <f>INDEX(SETORES!$B:$B,MATCH(A2933,SETORES!$A:$A,0))</f>
        <v/>
      </c>
      <c r="H2933" s="106" t="inlineStr">
        <is>
          <t>Setembro/2026</t>
        </is>
      </c>
    </row>
    <row r="2934">
      <c r="A2934" s="106" t="inlineStr">
        <is>
          <t>Controladoria</t>
        </is>
      </c>
      <c r="B2934" s="106" t="inlineStr">
        <is>
          <t>Custo Variável</t>
        </is>
      </c>
      <c r="C2934" s="106" t="inlineStr">
        <is>
          <t>Rescisões trabalhistas</t>
        </is>
      </c>
      <c r="D2934" s="107" t="n"/>
      <c r="E2934" s="108" t="n"/>
      <c r="F2934" s="109">
        <f>IFERROR(D2934*E2934,0)</f>
        <v/>
      </c>
      <c r="G2934" s="106">
        <f>INDEX(SETORES!$B:$B,MATCH(A2934,SETORES!$A:$A,0))</f>
        <v/>
      </c>
      <c r="H2934" s="106" t="inlineStr">
        <is>
          <t>Setembro/2026</t>
        </is>
      </c>
    </row>
    <row r="2935">
      <c r="A2935" s="106" t="inlineStr">
        <is>
          <t>Cozinha</t>
        </is>
      </c>
      <c r="B2935" s="106" t="inlineStr">
        <is>
          <t>Custo Variável</t>
        </is>
      </c>
      <c r="C2935" s="106" t="inlineStr">
        <is>
          <t>Rescisões trabalhistas</t>
        </is>
      </c>
      <c r="D2935" s="107" t="n"/>
      <c r="E2935" s="108" t="n"/>
      <c r="F2935" s="109">
        <f>IFERROR(D2935*E2935,0)</f>
        <v/>
      </c>
      <c r="G2935" s="106">
        <f>INDEX(SETORES!$B:$B,MATCH(A2935,SETORES!$A:$A,0))</f>
        <v/>
      </c>
      <c r="H2935" s="106" t="inlineStr">
        <is>
          <t>Setembro/2026</t>
        </is>
      </c>
    </row>
    <row r="2936">
      <c r="A2936" s="106" t="inlineStr">
        <is>
          <t>Diretoria Adm</t>
        </is>
      </c>
      <c r="B2936" s="106" t="inlineStr">
        <is>
          <t>Custo Variável</t>
        </is>
      </c>
      <c r="C2936" s="106" t="inlineStr">
        <is>
          <t>Rescisões trabalhistas</t>
        </is>
      </c>
      <c r="D2936" s="107" t="n"/>
      <c r="E2936" s="108" t="n"/>
      <c r="F2936" s="109">
        <f>IFERROR(D2936*E2936,0)</f>
        <v/>
      </c>
      <c r="G2936" s="106">
        <f>INDEX(SETORES!$B:$B,MATCH(A2936,SETORES!$A:$A,0))</f>
        <v/>
      </c>
      <c r="H2936" s="106" t="inlineStr">
        <is>
          <t>Setembro/2026</t>
        </is>
      </c>
    </row>
    <row r="2937">
      <c r="A2937" s="106" t="inlineStr">
        <is>
          <t>Diretoria Operacional</t>
        </is>
      </c>
      <c r="B2937" s="106" t="inlineStr">
        <is>
          <t>Custo Variável</t>
        </is>
      </c>
      <c r="C2937" s="106" t="inlineStr">
        <is>
          <t>Rescisões trabalhistas</t>
        </is>
      </c>
      <c r="D2937" s="107" t="n"/>
      <c r="E2937" s="108" t="n"/>
      <c r="F2937" s="109">
        <f>IFERROR(D2937*E2937,0)</f>
        <v/>
      </c>
      <c r="G2937" s="106">
        <f>INDEX(SETORES!$B:$B,MATCH(A2937,SETORES!$A:$A,0))</f>
        <v/>
      </c>
      <c r="H2937" s="106" t="inlineStr">
        <is>
          <t>Setembro/2026</t>
        </is>
      </c>
    </row>
    <row r="2938">
      <c r="A2938" s="106" t="inlineStr">
        <is>
          <t>Financeiro</t>
        </is>
      </c>
      <c r="B2938" s="106" t="inlineStr">
        <is>
          <t>Custo Variável</t>
        </is>
      </c>
      <c r="C2938" s="106" t="inlineStr">
        <is>
          <t>Rescisões trabalhistas</t>
        </is>
      </c>
      <c r="D2938" s="107" t="n"/>
      <c r="E2938" s="108" t="n"/>
      <c r="F2938" s="109">
        <f>IFERROR(D2938*E2938,0)</f>
        <v/>
      </c>
      <c r="G2938" s="106">
        <f>INDEX(SETORES!$B:$B,MATCH(A2938,SETORES!$A:$A,0))</f>
        <v/>
      </c>
      <c r="H2938" s="106" t="inlineStr">
        <is>
          <t>Setembro/2026</t>
        </is>
      </c>
    </row>
    <row r="2939">
      <c r="A2939" s="106" t="inlineStr">
        <is>
          <t>Fique Móvel</t>
        </is>
      </c>
      <c r="B2939" s="106" t="inlineStr">
        <is>
          <t>Custo Variável</t>
        </is>
      </c>
      <c r="C2939" s="106" t="inlineStr">
        <is>
          <t>Rescisões trabalhistas</t>
        </is>
      </c>
      <c r="D2939" s="107" t="n"/>
      <c r="E2939" s="108" t="n"/>
      <c r="F2939" s="109">
        <f>IFERROR(D2939*E2939,0)</f>
        <v/>
      </c>
      <c r="G2939" s="106">
        <f>INDEX(SETORES!$B:$B,MATCH(A2939,SETORES!$A:$A,0))</f>
        <v/>
      </c>
      <c r="H2939" s="106" t="inlineStr">
        <is>
          <t>Setembro/2026</t>
        </is>
      </c>
    </row>
    <row r="2940">
      <c r="A2940" s="106" t="inlineStr">
        <is>
          <t>Fusão</t>
        </is>
      </c>
      <c r="B2940" s="106" t="inlineStr">
        <is>
          <t>Custo Variável</t>
        </is>
      </c>
      <c r="C2940" s="106" t="inlineStr">
        <is>
          <t>Rescisões trabalhistas</t>
        </is>
      </c>
      <c r="D2940" s="107" t="n"/>
      <c r="E2940" s="108" t="n"/>
      <c r="F2940" s="109">
        <f>IFERROR(D2940*E2940,0)</f>
        <v/>
      </c>
      <c r="G2940" s="106">
        <f>INDEX(SETORES!$B:$B,MATCH(A2940,SETORES!$A:$A,0))</f>
        <v/>
      </c>
      <c r="H2940" s="106" t="inlineStr">
        <is>
          <t>Setembro/2026</t>
        </is>
      </c>
    </row>
    <row r="2941">
      <c r="A2941" s="106" t="inlineStr">
        <is>
          <t>Gestão de Atendimento</t>
        </is>
      </c>
      <c r="B2941" s="106" t="inlineStr">
        <is>
          <t>Custo Variável</t>
        </is>
      </c>
      <c r="C2941" s="106" t="inlineStr">
        <is>
          <t>Rescisões trabalhistas</t>
        </is>
      </c>
      <c r="D2941" s="107" t="n"/>
      <c r="E2941" s="108" t="n"/>
      <c r="F2941" s="109">
        <f>IFERROR(D2941*E2941,0)</f>
        <v/>
      </c>
      <c r="G2941" s="106">
        <f>INDEX(SETORES!$B:$B,MATCH(A2941,SETORES!$A:$A,0))</f>
        <v/>
      </c>
      <c r="H2941" s="106" t="inlineStr">
        <is>
          <t>Setembro/2026</t>
        </is>
      </c>
    </row>
    <row r="2942">
      <c r="A2942" s="106" t="inlineStr">
        <is>
          <t>Jurídico</t>
        </is>
      </c>
      <c r="B2942" s="106" t="inlineStr">
        <is>
          <t>Custo Variável</t>
        </is>
      </c>
      <c r="C2942" s="106" t="inlineStr">
        <is>
          <t>Rescisões trabalhistas</t>
        </is>
      </c>
      <c r="D2942" s="107" t="n"/>
      <c r="E2942" s="108" t="n"/>
      <c r="F2942" s="109">
        <f>IFERROR(D2942*E2942,0)</f>
        <v/>
      </c>
      <c r="G2942" s="106">
        <f>INDEX(SETORES!$B:$B,MATCH(A2942,SETORES!$A:$A,0))</f>
        <v/>
      </c>
      <c r="H2942" s="106" t="inlineStr">
        <is>
          <t>Setembro/2026</t>
        </is>
      </c>
    </row>
    <row r="2943">
      <c r="A2943" s="106" t="inlineStr">
        <is>
          <t>Logística</t>
        </is>
      </c>
      <c r="B2943" s="106" t="inlineStr">
        <is>
          <t>Custo Variável</t>
        </is>
      </c>
      <c r="C2943" s="106" t="inlineStr">
        <is>
          <t>Rescisões trabalhistas</t>
        </is>
      </c>
      <c r="D2943" s="107" t="n"/>
      <c r="E2943" s="108" t="n"/>
      <c r="F2943" s="109">
        <f>IFERROR(D2943*E2943,0)</f>
        <v/>
      </c>
      <c r="G2943" s="106">
        <f>INDEX(SETORES!$B:$B,MATCH(A2943,SETORES!$A:$A,0))</f>
        <v/>
      </c>
      <c r="H2943" s="106" t="inlineStr">
        <is>
          <t>Setembro/2026</t>
        </is>
      </c>
    </row>
    <row r="2944">
      <c r="A2944" s="106" t="inlineStr">
        <is>
          <t>Marketing</t>
        </is>
      </c>
      <c r="B2944" s="106" t="inlineStr">
        <is>
          <t>Custo Variável</t>
        </is>
      </c>
      <c r="C2944" s="106" t="inlineStr">
        <is>
          <t>Rescisões trabalhistas</t>
        </is>
      </c>
      <c r="D2944" s="107" t="n"/>
      <c r="E2944" s="108" t="n"/>
      <c r="F2944" s="109">
        <f>IFERROR(D2944*E2944,0)</f>
        <v/>
      </c>
      <c r="G2944" s="106">
        <f>INDEX(SETORES!$B:$B,MATCH(A2944,SETORES!$A:$A,0))</f>
        <v/>
      </c>
      <c r="H2944" s="106" t="inlineStr">
        <is>
          <t>Setembro/2026</t>
        </is>
      </c>
    </row>
    <row r="2945">
      <c r="A2945" s="106" t="inlineStr">
        <is>
          <t>Oficina</t>
        </is>
      </c>
      <c r="B2945" s="106" t="inlineStr">
        <is>
          <t>Custo Variável</t>
        </is>
      </c>
      <c r="C2945" s="106" t="inlineStr">
        <is>
          <t>Rescisões trabalhistas</t>
        </is>
      </c>
      <c r="D2945" s="107" t="n"/>
      <c r="E2945" s="108" t="n"/>
      <c r="F2945" s="109">
        <f>IFERROR(D2945*E2945,0)</f>
        <v/>
      </c>
      <c r="G2945" s="106">
        <f>INDEX(SETORES!$B:$B,MATCH(A2945,SETORES!$A:$A,0))</f>
        <v/>
      </c>
      <c r="H2945" s="106" t="inlineStr">
        <is>
          <t>Setembro/2026</t>
        </is>
      </c>
    </row>
    <row r="2946">
      <c r="A2946" s="106" t="inlineStr">
        <is>
          <t>Qualidade</t>
        </is>
      </c>
      <c r="B2946" s="106" t="inlineStr">
        <is>
          <t>Custo Variável</t>
        </is>
      </c>
      <c r="C2946" s="106" t="inlineStr">
        <is>
          <t>Rescisões trabalhistas</t>
        </is>
      </c>
      <c r="D2946" s="107" t="n"/>
      <c r="E2946" s="108" t="n"/>
      <c r="F2946" s="109">
        <f>IFERROR(D2946*E2946,0)</f>
        <v/>
      </c>
      <c r="G2946" s="106">
        <f>INDEX(SETORES!$B:$B,MATCH(A2946,SETORES!$A:$A,0))</f>
        <v/>
      </c>
      <c r="H2946" s="106" t="inlineStr">
        <is>
          <t>Setembro/2026</t>
        </is>
      </c>
    </row>
    <row r="2947">
      <c r="A2947" s="106" t="inlineStr">
        <is>
          <t>RH</t>
        </is>
      </c>
      <c r="B2947" s="106" t="inlineStr">
        <is>
          <t>Custo Variável</t>
        </is>
      </c>
      <c r="C2947" s="106" t="inlineStr">
        <is>
          <t>Rescisões trabalhistas</t>
        </is>
      </c>
      <c r="D2947" s="107" t="n"/>
      <c r="E2947" s="108" t="n"/>
      <c r="F2947" s="109">
        <f>IFERROR(D2947*E2947,0)</f>
        <v/>
      </c>
      <c r="G2947" s="106">
        <f>INDEX(SETORES!$B:$B,MATCH(A2947,SETORES!$A:$A,0))</f>
        <v/>
      </c>
      <c r="H2947" s="106" t="inlineStr">
        <is>
          <t>Setembro/2026</t>
        </is>
      </c>
    </row>
    <row r="2948">
      <c r="A2948" s="106" t="inlineStr">
        <is>
          <t>Fique Móvel</t>
        </is>
      </c>
      <c r="B2948" s="106" t="inlineStr">
        <is>
          <t>Custo Fixo</t>
        </is>
      </c>
      <c r="C2948" s="106" t="inlineStr">
        <is>
          <t>Impressora</t>
        </is>
      </c>
      <c r="D2948" s="107" t="n"/>
      <c r="E2948" s="108" t="n"/>
      <c r="F2948" s="109">
        <f>IFERROR(D2948*E2948,0)</f>
        <v/>
      </c>
      <c r="G2948" s="106">
        <f>INDEX(SETORES!$B:$B,MATCH(A2948,SETORES!$A:$A,0))</f>
        <v/>
      </c>
      <c r="H2948" s="106" t="inlineStr">
        <is>
          <t>Setembro/2026</t>
        </is>
      </c>
    </row>
    <row r="2949">
      <c r="A2949" s="106" t="inlineStr">
        <is>
          <t>Comercial Corporativo</t>
        </is>
      </c>
      <c r="B2949" s="106" t="inlineStr">
        <is>
          <t>Custo Fixo</t>
        </is>
      </c>
      <c r="C2949" s="106" t="inlineStr">
        <is>
          <t>Impressora</t>
        </is>
      </c>
      <c r="D2949" s="107" t="n"/>
      <c r="E2949" s="108" t="n"/>
      <c r="F2949" s="109">
        <f>IFERROR(D2949*E2949,0)</f>
        <v/>
      </c>
      <c r="G2949" s="106">
        <f>INDEX(SETORES!$B:$B,MATCH(A2949,SETORES!$A:$A,0))</f>
        <v/>
      </c>
      <c r="H2949" s="106" t="inlineStr">
        <is>
          <t>Setembro/2026</t>
        </is>
      </c>
    </row>
    <row r="2950">
      <c r="A2950" s="106" t="inlineStr">
        <is>
          <t>Contabilidade</t>
        </is>
      </c>
      <c r="B2950" s="106" t="inlineStr">
        <is>
          <t>Custo Fixo</t>
        </is>
      </c>
      <c r="C2950" s="106" t="inlineStr">
        <is>
          <t>Impressora</t>
        </is>
      </c>
      <c r="D2950" s="107" t="n"/>
      <c r="E2950" s="108" t="n"/>
      <c r="F2950" s="109">
        <f>IFERROR(D2950*E2950,0)</f>
        <v/>
      </c>
      <c r="G2950" s="106">
        <f>INDEX(SETORES!$B:$B,MATCH(A2950,SETORES!$A:$A,0))</f>
        <v/>
      </c>
      <c r="H2950" s="106" t="inlineStr">
        <is>
          <t>Setembro/2026</t>
        </is>
      </c>
    </row>
    <row r="2951">
      <c r="A2951" s="106" t="inlineStr">
        <is>
          <t>Qualidade</t>
        </is>
      </c>
      <c r="B2951" s="106" t="inlineStr">
        <is>
          <t>Custo Fixo</t>
        </is>
      </c>
      <c r="C2951" s="106" t="inlineStr">
        <is>
          <t>Impressora</t>
        </is>
      </c>
      <c r="D2951" s="107" t="n"/>
      <c r="E2951" s="108" t="n"/>
      <c r="F2951" s="109">
        <f>IFERROR(D2951*E2951,0)</f>
        <v/>
      </c>
      <c r="G2951" s="106">
        <f>INDEX(SETORES!$B:$B,MATCH(A2951,SETORES!$A:$A,0))</f>
        <v/>
      </c>
      <c r="H2951" s="106" t="inlineStr">
        <is>
          <t>Setembro/2026</t>
        </is>
      </c>
    </row>
    <row r="2952">
      <c r="A2952" s="106" t="inlineStr">
        <is>
          <t>Diretoria Adm</t>
        </is>
      </c>
      <c r="B2952" s="106" t="inlineStr">
        <is>
          <t>Custo Fixo</t>
        </is>
      </c>
      <c r="C2952" s="106" t="inlineStr">
        <is>
          <t>Impressora</t>
        </is>
      </c>
      <c r="D2952" s="107" t="n"/>
      <c r="E2952" s="108" t="n"/>
      <c r="F2952" s="109">
        <f>IFERROR(D2952*E2952,0)</f>
        <v/>
      </c>
      <c r="G2952" s="106">
        <f>INDEX(SETORES!$B:$B,MATCH(A2952,SETORES!$A:$A,0))</f>
        <v/>
      </c>
      <c r="H2952" s="106" t="inlineStr">
        <is>
          <t>Setembro/2026</t>
        </is>
      </c>
    </row>
    <row r="2953">
      <c r="A2953" s="106" t="inlineStr">
        <is>
          <t>Diretoria Operacional</t>
        </is>
      </c>
      <c r="B2953" s="106" t="inlineStr">
        <is>
          <t>Custo Fixo</t>
        </is>
      </c>
      <c r="C2953" s="106" t="inlineStr">
        <is>
          <t>Impressora</t>
        </is>
      </c>
      <c r="D2953" s="107" t="n"/>
      <c r="E2953" s="108" t="n"/>
      <c r="F2953" s="109">
        <f>IFERROR(D2953*E2953,0)</f>
        <v/>
      </c>
      <c r="G2953" s="106">
        <f>INDEX(SETORES!$B:$B,MATCH(A2953,SETORES!$A:$A,0))</f>
        <v/>
      </c>
      <c r="H2953" s="106" t="inlineStr">
        <is>
          <t>Setembro/2026</t>
        </is>
      </c>
    </row>
    <row r="2954">
      <c r="A2954" s="106" t="inlineStr">
        <is>
          <t>Gestão de Atendimento</t>
        </is>
      </c>
      <c r="B2954" s="106" t="inlineStr">
        <is>
          <t>Custo Fixo</t>
        </is>
      </c>
      <c r="C2954" s="106" t="inlineStr">
        <is>
          <t>Impressora</t>
        </is>
      </c>
      <c r="D2954" s="107" t="n"/>
      <c r="E2954" s="108" t="n"/>
      <c r="F2954" s="109">
        <f>IFERROR(D2954*E2954,0)</f>
        <v/>
      </c>
      <c r="G2954" s="106">
        <f>INDEX(SETORES!$B:$B,MATCH(A2954,SETORES!$A:$A,0))</f>
        <v/>
      </c>
      <c r="H2954" s="106" t="inlineStr">
        <is>
          <t>Setembro/2026</t>
        </is>
      </c>
    </row>
    <row r="2955">
      <c r="A2955" s="106" t="inlineStr">
        <is>
          <t>Controladoria</t>
        </is>
      </c>
      <c r="B2955" s="106" t="inlineStr">
        <is>
          <t>Custo Fixo</t>
        </is>
      </c>
      <c r="C2955" s="106" t="inlineStr">
        <is>
          <t>Impressora</t>
        </is>
      </c>
      <c r="D2955" s="107" t="n"/>
      <c r="E2955" s="108" t="n"/>
      <c r="F2955" s="109">
        <f>IFERROR(D2955*E2955,0)</f>
        <v/>
      </c>
      <c r="G2955" s="106">
        <f>INDEX(SETORES!$B:$B,MATCH(A2955,SETORES!$A:$A,0))</f>
        <v/>
      </c>
      <c r="H2955" s="106" t="inlineStr">
        <is>
          <t>Setembro/2026</t>
        </is>
      </c>
    </row>
    <row r="2956">
      <c r="A2956" s="106" t="inlineStr">
        <is>
          <t>CAC</t>
        </is>
      </c>
      <c r="B2956" s="106" t="inlineStr">
        <is>
          <t>Custo Fixo</t>
        </is>
      </c>
      <c r="C2956" s="106" t="inlineStr">
        <is>
          <t>Chip móvel corporativo</t>
        </is>
      </c>
      <c r="D2956" s="107" t="n">
        <v>1</v>
      </c>
      <c r="E2956" s="108" t="n">
        <v>30</v>
      </c>
      <c r="F2956" s="109">
        <f>IFERROR(D2956*E2956,0)</f>
        <v/>
      </c>
      <c r="G2956" s="106">
        <f>INDEX(SETORES!$B:$B,MATCH(A2956,SETORES!$A:$A,0))</f>
        <v/>
      </c>
      <c r="H2956" s="106" t="inlineStr">
        <is>
          <t>Setembro/2026</t>
        </is>
      </c>
    </row>
    <row r="2957">
      <c r="A2957" s="106" t="inlineStr">
        <is>
          <t>COE</t>
        </is>
      </c>
      <c r="B2957" s="106" t="inlineStr">
        <is>
          <t>Custo Fixo</t>
        </is>
      </c>
      <c r="C2957" s="106" t="inlineStr">
        <is>
          <t>Chip móvel corporativo</t>
        </is>
      </c>
      <c r="D2957" s="107" t="n">
        <v>12</v>
      </c>
      <c r="E2957" s="108" t="n">
        <v>30</v>
      </c>
      <c r="F2957" s="109">
        <f>IFERROR(D2957*E2957,0)</f>
        <v/>
      </c>
      <c r="G2957" s="106">
        <f>INDEX(SETORES!$B:$B,MATCH(A2957,SETORES!$A:$A,0))</f>
        <v/>
      </c>
      <c r="H2957" s="106" t="inlineStr">
        <is>
          <t>Setembro/2026</t>
        </is>
      </c>
    </row>
    <row r="2958">
      <c r="A2958" s="106" t="inlineStr">
        <is>
          <t>Compras</t>
        </is>
      </c>
      <c r="B2958" s="106" t="inlineStr">
        <is>
          <t>Custo Fixo</t>
        </is>
      </c>
      <c r="C2958" s="106" t="inlineStr">
        <is>
          <t>Chip móvel corporativo</t>
        </is>
      </c>
      <c r="D2958" s="107" t="n">
        <v>2</v>
      </c>
      <c r="E2958" s="108" t="n">
        <v>30</v>
      </c>
      <c r="F2958" s="109">
        <f>IFERROR(D2958*E2958,0)</f>
        <v/>
      </c>
      <c r="G2958" s="106">
        <f>INDEX(SETORES!$B:$B,MATCH(A2958,SETORES!$A:$A,0))</f>
        <v/>
      </c>
      <c r="H2958" s="106" t="inlineStr">
        <is>
          <t>Setembro/2026</t>
        </is>
      </c>
    </row>
    <row r="2959">
      <c r="A2959" s="106" t="inlineStr">
        <is>
          <t>Contabilidade</t>
        </is>
      </c>
      <c r="B2959" s="106" t="inlineStr">
        <is>
          <t>Custo Fixo</t>
        </is>
      </c>
      <c r="C2959" s="106" t="inlineStr">
        <is>
          <t>Chip móvel corporativo</t>
        </is>
      </c>
      <c r="D2959" s="107" t="n">
        <v>2</v>
      </c>
      <c r="E2959" s="108" t="n">
        <v>30</v>
      </c>
      <c r="F2959" s="109">
        <f>IFERROR(D2959*E2959,0)</f>
        <v/>
      </c>
      <c r="G2959" s="106">
        <f>INDEX(SETORES!$B:$B,MATCH(A2959,SETORES!$A:$A,0))</f>
        <v/>
      </c>
      <c r="H2959" s="106" t="inlineStr">
        <is>
          <t>Setembro/2026</t>
        </is>
      </c>
    </row>
    <row r="2960">
      <c r="A2960" s="106" t="inlineStr">
        <is>
          <t>DP</t>
        </is>
      </c>
      <c r="B2960" s="106" t="inlineStr">
        <is>
          <t>Custo Fixo</t>
        </is>
      </c>
      <c r="C2960" s="106" t="inlineStr">
        <is>
          <t>Chip móvel corporativo</t>
        </is>
      </c>
      <c r="D2960" s="107" t="n">
        <v>2</v>
      </c>
      <c r="E2960" s="108" t="n">
        <v>30</v>
      </c>
      <c r="F2960" s="109">
        <f>IFERROR(D2960*E2960,0)</f>
        <v/>
      </c>
      <c r="G2960" s="106">
        <f>INDEX(SETORES!$B:$B,MATCH(A2960,SETORES!$A:$A,0))</f>
        <v/>
      </c>
      <c r="H2960" s="106" t="inlineStr">
        <is>
          <t>Setembro/2026</t>
        </is>
      </c>
    </row>
    <row r="2961">
      <c r="A2961" s="106" t="inlineStr">
        <is>
          <t>Engenharia</t>
        </is>
      </c>
      <c r="B2961" s="106" t="inlineStr">
        <is>
          <t>Custo Fixo</t>
        </is>
      </c>
      <c r="C2961" s="106" t="inlineStr">
        <is>
          <t>Chip móvel corporativo</t>
        </is>
      </c>
      <c r="D2961" s="107" t="n">
        <v>8</v>
      </c>
      <c r="E2961" s="108" t="n">
        <v>30</v>
      </c>
      <c r="F2961" s="109">
        <f>IFERROR(D2961*E2961,0)</f>
        <v/>
      </c>
      <c r="G2961" s="106">
        <f>INDEX(SETORES!$B:$B,MATCH(A2961,SETORES!$A:$A,0))</f>
        <v/>
      </c>
      <c r="H2961" s="106" t="inlineStr">
        <is>
          <t>Setembro/2026</t>
        </is>
      </c>
    </row>
    <row r="2962">
      <c r="A2962" s="106" t="inlineStr">
        <is>
          <t>Financeiro</t>
        </is>
      </c>
      <c r="B2962" s="106" t="inlineStr">
        <is>
          <t>Custo Fixo</t>
        </is>
      </c>
      <c r="C2962" s="106" t="inlineStr">
        <is>
          <t>Chip móvel corporativo</t>
        </is>
      </c>
      <c r="D2962" s="107" t="n">
        <v>2</v>
      </c>
      <c r="E2962" s="108" t="n">
        <v>30</v>
      </c>
      <c r="F2962" s="109">
        <f>IFERROR(D2962*E2962,0)</f>
        <v/>
      </c>
      <c r="G2962" s="106">
        <f>INDEX(SETORES!$B:$B,MATCH(A2962,SETORES!$A:$A,0))</f>
        <v/>
      </c>
      <c r="H2962" s="106" t="inlineStr">
        <is>
          <t>Setembro/2026</t>
        </is>
      </c>
    </row>
    <row r="2963">
      <c r="A2963" s="106" t="inlineStr">
        <is>
          <t>Fique Móvel</t>
        </is>
      </c>
      <c r="B2963" s="106" t="inlineStr">
        <is>
          <t>Custo Fixo</t>
        </is>
      </c>
      <c r="C2963" s="106" t="inlineStr">
        <is>
          <t>Chip móvel corporativo</t>
        </is>
      </c>
      <c r="D2963" s="107" t="n">
        <v>2</v>
      </c>
      <c r="E2963" s="108" t="n">
        <v>30</v>
      </c>
      <c r="F2963" s="109">
        <f>IFERROR(D2963*E2963,0)</f>
        <v/>
      </c>
      <c r="G2963" s="106">
        <f>INDEX(SETORES!$B:$B,MATCH(A2963,SETORES!$A:$A,0))</f>
        <v/>
      </c>
      <c r="H2963" s="106" t="inlineStr">
        <is>
          <t>Setembro/2026</t>
        </is>
      </c>
    </row>
    <row r="2964">
      <c r="A2964" s="106" t="inlineStr">
        <is>
          <t>Gestão de Atendimento</t>
        </is>
      </c>
      <c r="B2964" s="106" t="inlineStr">
        <is>
          <t>Custo Fixo</t>
        </is>
      </c>
      <c r="C2964" s="106" t="inlineStr">
        <is>
          <t>Chip móvel corporativo</t>
        </is>
      </c>
      <c r="D2964" s="107" t="n">
        <v>2</v>
      </c>
      <c r="E2964" s="108" t="n">
        <v>30</v>
      </c>
      <c r="F2964" s="109">
        <f>IFERROR(D2964*E2964,0)</f>
        <v/>
      </c>
      <c r="G2964" s="106">
        <f>INDEX(SETORES!$B:$B,MATCH(A2964,SETORES!$A:$A,0))</f>
        <v/>
      </c>
      <c r="H2964" s="106" t="inlineStr">
        <is>
          <t>Setembro/2026</t>
        </is>
      </c>
    </row>
    <row r="2965">
      <c r="A2965" s="106" t="inlineStr">
        <is>
          <t>Jurídico</t>
        </is>
      </c>
      <c r="B2965" s="106" t="inlineStr">
        <is>
          <t>Custo Fixo</t>
        </is>
      </c>
      <c r="C2965" s="106" t="inlineStr">
        <is>
          <t>Chip móvel corporativo</t>
        </is>
      </c>
      <c r="D2965" s="107" t="n">
        <v>2</v>
      </c>
      <c r="E2965" s="108" t="n">
        <v>30</v>
      </c>
      <c r="F2965" s="109">
        <f>IFERROR(D2965*E2965,0)</f>
        <v/>
      </c>
      <c r="G2965" s="106">
        <f>INDEX(SETORES!$B:$B,MATCH(A2965,SETORES!$A:$A,0))</f>
        <v/>
      </c>
      <c r="H2965" s="106" t="inlineStr">
        <is>
          <t>Setembro/2026</t>
        </is>
      </c>
    </row>
    <row r="2966">
      <c r="A2966" s="106" t="inlineStr">
        <is>
          <t>Logística</t>
        </is>
      </c>
      <c r="B2966" s="106" t="inlineStr">
        <is>
          <t>Custo Fixo</t>
        </is>
      </c>
      <c r="C2966" s="106" t="inlineStr">
        <is>
          <t>Chip móvel corporativo</t>
        </is>
      </c>
      <c r="D2966" s="107" t="n">
        <v>7</v>
      </c>
      <c r="E2966" s="108" t="n">
        <v>30</v>
      </c>
      <c r="F2966" s="109">
        <f>IFERROR(D2966*E2966,0)</f>
        <v/>
      </c>
      <c r="G2966" s="106">
        <f>INDEX(SETORES!$B:$B,MATCH(A2966,SETORES!$A:$A,0))</f>
        <v/>
      </c>
      <c r="H2966" s="106" t="inlineStr">
        <is>
          <t>Setembro/2026</t>
        </is>
      </c>
    </row>
    <row r="2967">
      <c r="A2967" s="106" t="inlineStr">
        <is>
          <t>Manutenção Predial</t>
        </is>
      </c>
      <c r="B2967" s="106" t="inlineStr">
        <is>
          <t>Custo Fixo</t>
        </is>
      </c>
      <c r="C2967" s="106" t="inlineStr">
        <is>
          <t>Chip móvel corporativo</t>
        </is>
      </c>
      <c r="D2967" s="107" t="n">
        <v>7</v>
      </c>
      <c r="E2967" s="108" t="n">
        <v>30</v>
      </c>
      <c r="F2967" s="109">
        <f>IFERROR(D2967*E2967,0)</f>
        <v/>
      </c>
      <c r="G2967" s="106">
        <f>INDEX(SETORES!$B:$B,MATCH(A2967,SETORES!$A:$A,0))</f>
        <v/>
      </c>
      <c r="H2967" s="106" t="inlineStr">
        <is>
          <t>Setembro/2026</t>
        </is>
      </c>
    </row>
    <row r="2968">
      <c r="A2968" s="106" t="inlineStr">
        <is>
          <t>Marketing</t>
        </is>
      </c>
      <c r="B2968" s="106" t="inlineStr">
        <is>
          <t>Custo Fixo</t>
        </is>
      </c>
      <c r="C2968" s="106" t="inlineStr">
        <is>
          <t>Chip móvel corporativo</t>
        </is>
      </c>
      <c r="D2968" s="107" t="n">
        <v>10</v>
      </c>
      <c r="E2968" s="108" t="n">
        <v>30</v>
      </c>
      <c r="F2968" s="109">
        <f>IFERROR(D2968*E2968,0)</f>
        <v/>
      </c>
      <c r="G2968" s="106">
        <f>INDEX(SETORES!$B:$B,MATCH(A2968,SETORES!$A:$A,0))</f>
        <v/>
      </c>
      <c r="H2968" s="106" t="inlineStr">
        <is>
          <t>Setembro/2026</t>
        </is>
      </c>
    </row>
    <row r="2969">
      <c r="A2969" s="106" t="inlineStr">
        <is>
          <t>NOC</t>
        </is>
      </c>
      <c r="B2969" s="106" t="inlineStr">
        <is>
          <t>Custo Fixo</t>
        </is>
      </c>
      <c r="C2969" s="106" t="inlineStr">
        <is>
          <t>Chip móvel corporativo</t>
        </is>
      </c>
      <c r="D2969" s="107" t="n">
        <v>3</v>
      </c>
      <c r="E2969" s="108" t="n">
        <v>30</v>
      </c>
      <c r="F2969" s="109">
        <f>IFERROR(D2969*E2969,0)</f>
        <v/>
      </c>
      <c r="G2969" s="106">
        <f>INDEX(SETORES!$B:$B,MATCH(A2969,SETORES!$A:$A,0))</f>
        <v/>
      </c>
      <c r="H2969" s="106" t="inlineStr">
        <is>
          <t>Setembro/2026</t>
        </is>
      </c>
    </row>
    <row r="2970">
      <c r="A2970" s="106" t="inlineStr">
        <is>
          <t>Obras</t>
        </is>
      </c>
      <c r="B2970" s="106" t="inlineStr">
        <is>
          <t>Custo Fixo</t>
        </is>
      </c>
      <c r="C2970" s="106" t="inlineStr">
        <is>
          <t>Chip móvel corporativo</t>
        </is>
      </c>
      <c r="D2970" s="107" t="n">
        <v>5</v>
      </c>
      <c r="E2970" s="108" t="n">
        <v>30</v>
      </c>
      <c r="F2970" s="109">
        <f>IFERROR(D2970*E2970,0)</f>
        <v/>
      </c>
      <c r="G2970" s="106">
        <f>INDEX(SETORES!$B:$B,MATCH(A2970,SETORES!$A:$A,0))</f>
        <v/>
      </c>
      <c r="H2970" s="106" t="inlineStr">
        <is>
          <t>Setembro/2026</t>
        </is>
      </c>
    </row>
    <row r="2971">
      <c r="A2971" s="106" t="inlineStr">
        <is>
          <t>Qualidade</t>
        </is>
      </c>
      <c r="B2971" s="106" t="inlineStr">
        <is>
          <t>Custo Fixo</t>
        </is>
      </c>
      <c r="C2971" s="106" t="inlineStr">
        <is>
          <t>Chip móvel corporativo</t>
        </is>
      </c>
      <c r="D2971" s="107" t="n">
        <v>4</v>
      </c>
      <c r="E2971" s="108" t="n">
        <v>30</v>
      </c>
      <c r="F2971" s="109">
        <f>IFERROR(D2971*E2971,0)</f>
        <v/>
      </c>
      <c r="G2971" s="106">
        <f>INDEX(SETORES!$B:$B,MATCH(A2971,SETORES!$A:$A,0))</f>
        <v/>
      </c>
      <c r="H2971" s="106" t="inlineStr">
        <is>
          <t>Setembro/2026</t>
        </is>
      </c>
    </row>
    <row r="2972">
      <c r="A2972" s="106" t="inlineStr">
        <is>
          <t>RH</t>
        </is>
      </c>
      <c r="B2972" s="106" t="inlineStr">
        <is>
          <t>Custo Fixo</t>
        </is>
      </c>
      <c r="C2972" s="106" t="inlineStr">
        <is>
          <t>Chip móvel corporativo</t>
        </is>
      </c>
      <c r="D2972" s="107" t="n">
        <v>3</v>
      </c>
      <c r="E2972" s="108" t="n">
        <v>30</v>
      </c>
      <c r="F2972" s="109">
        <f>IFERROR(D2972*E2972,0)</f>
        <v/>
      </c>
      <c r="G2972" s="106">
        <f>INDEX(SETORES!$B:$B,MATCH(A2972,SETORES!$A:$A,0))</f>
        <v/>
      </c>
      <c r="H2972" s="106" t="inlineStr">
        <is>
          <t>Setembro/2026</t>
        </is>
      </c>
    </row>
    <row r="2973">
      <c r="A2973" s="106" t="inlineStr">
        <is>
          <t>Segurança do Trabalho</t>
        </is>
      </c>
      <c r="B2973" s="106" t="inlineStr">
        <is>
          <t>Custo Fixo</t>
        </is>
      </c>
      <c r="C2973" s="106" t="inlineStr">
        <is>
          <t>Chip móvel corporativo</t>
        </is>
      </c>
      <c r="D2973" s="107" t="n">
        <v>3</v>
      </c>
      <c r="E2973" s="108" t="n">
        <v>30</v>
      </c>
      <c r="F2973" s="109">
        <f>IFERROR(D2973*E2973,0)</f>
        <v/>
      </c>
      <c r="G2973" s="106">
        <f>INDEX(SETORES!$B:$B,MATCH(A2973,SETORES!$A:$A,0))</f>
        <v/>
      </c>
      <c r="H2973" s="106" t="inlineStr">
        <is>
          <t>Setembro/2026</t>
        </is>
      </c>
    </row>
    <row r="2974">
      <c r="A2974" s="106" t="inlineStr">
        <is>
          <t>TIC</t>
        </is>
      </c>
      <c r="B2974" s="106" t="inlineStr">
        <is>
          <t>Custo Fixo</t>
        </is>
      </c>
      <c r="C2974" s="106" t="inlineStr">
        <is>
          <t>Chip móvel corporativo</t>
        </is>
      </c>
      <c r="D2974" s="107" t="n">
        <v>5</v>
      </c>
      <c r="E2974" s="108" t="n">
        <v>30</v>
      </c>
      <c r="F2974" s="109">
        <f>IFERROR(D2974*E2974,0)</f>
        <v/>
      </c>
      <c r="G2974" s="106">
        <f>INDEX(SETORES!$B:$B,MATCH(A2974,SETORES!$A:$A,0))</f>
        <v/>
      </c>
      <c r="H2974" s="106" t="inlineStr">
        <is>
          <t>Setembro/2026</t>
        </is>
      </c>
    </row>
    <row r="2975">
      <c r="A2975" s="106" t="inlineStr">
        <is>
          <t>Backoffice Comercial Varejo</t>
        </is>
      </c>
      <c r="B2975" s="106" t="inlineStr">
        <is>
          <t>Custo Fixo</t>
        </is>
      </c>
      <c r="C2975" s="106" t="inlineStr">
        <is>
          <t>Folha de pagamento (salários)</t>
        </is>
      </c>
      <c r="D2975" s="107" t="n">
        <v>1</v>
      </c>
      <c r="E2975" s="108" t="n">
        <v>7220.72</v>
      </c>
      <c r="F2975" s="109">
        <f>IFERROR(D2975*E2975,0)</f>
        <v/>
      </c>
      <c r="G2975" s="106">
        <f>INDEX(SETORES!$B:$B,MATCH(A2975,SETORES!$A:$A,0))</f>
        <v/>
      </c>
      <c r="H2975" s="106" t="inlineStr">
        <is>
          <t>Setembro/2026</t>
        </is>
      </c>
    </row>
    <row r="2976">
      <c r="A2976" s="106" t="inlineStr">
        <is>
          <t>Serviços Gerais</t>
        </is>
      </c>
      <c r="B2976" s="106" t="inlineStr">
        <is>
          <t>Custo Fixo</t>
        </is>
      </c>
      <c r="C2976" s="106" t="inlineStr">
        <is>
          <t>Folha de pagamento (salários)</t>
        </is>
      </c>
      <c r="D2976" s="107" t="n">
        <v>1</v>
      </c>
      <c r="E2976" s="108" t="n">
        <v>27256.45</v>
      </c>
      <c r="F2976" s="109">
        <f>IFERROR(D2976*E2976,0)</f>
        <v/>
      </c>
      <c r="G2976" s="106">
        <f>INDEX(SETORES!$B:$B,MATCH(A2976,SETORES!$A:$A,0))</f>
        <v/>
      </c>
      <c r="H2976" s="106" t="inlineStr">
        <is>
          <t>Setembro/2026</t>
        </is>
      </c>
    </row>
    <row r="2977">
      <c r="A2977" s="106" t="inlineStr">
        <is>
          <t>Gestão de Atendimento</t>
        </is>
      </c>
      <c r="B2977" s="106" t="inlineStr">
        <is>
          <t>Custo Fixo</t>
        </is>
      </c>
      <c r="C2977" s="106" t="inlineStr">
        <is>
          <t>Custo de gestão administrativa (rateado — Renata Thaysa dos Santos Cunha)</t>
        </is>
      </c>
      <c r="D2977" s="107" t="n">
        <v>1</v>
      </c>
      <c r="E2977" s="108" t="n">
        <v>4947.47</v>
      </c>
      <c r="F2977" s="109">
        <f>IFERROR(D2977*E2977,0)</f>
        <v/>
      </c>
      <c r="G2977" s="106">
        <f>INDEX(SETORES!$B:$B,MATCH(A2977,SETORES!$A:$A,0))</f>
        <v/>
      </c>
      <c r="H2977" s="106" t="inlineStr">
        <is>
          <t>Setembro/2026</t>
        </is>
      </c>
    </row>
    <row r="2978">
      <c r="A2978" s="106" t="inlineStr">
        <is>
          <t>CAC</t>
        </is>
      </c>
      <c r="B2978" s="106" t="inlineStr">
        <is>
          <t>Custo Fixo</t>
        </is>
      </c>
      <c r="C2978" s="106" t="inlineStr">
        <is>
          <t>Custo de gestão administrativa (rateado — Renata Thaysa dos Santos Cunha)</t>
        </is>
      </c>
      <c r="D2978" s="107" t="n">
        <v>1</v>
      </c>
      <c r="E2978" s="108" t="n">
        <v>1455.14</v>
      </c>
      <c r="F2978" s="109">
        <f>IFERROR(D2978*E2978,0)</f>
        <v/>
      </c>
      <c r="G2978" s="106">
        <f>INDEX(SETORES!$B:$B,MATCH(A2978,SETORES!$A:$A,0))</f>
        <v/>
      </c>
      <c r="H2978" s="106" t="inlineStr">
        <is>
          <t>Setembro/2026</t>
        </is>
      </c>
    </row>
    <row r="2979">
      <c r="A2979" s="106" t="inlineStr">
        <is>
          <t>Backoffice Comercial Varejo</t>
        </is>
      </c>
      <c r="B2979" s="106" t="inlineStr">
        <is>
          <t>Custo Fixo</t>
        </is>
      </c>
      <c r="C2979" s="106" t="inlineStr">
        <is>
          <t>Custo de gestão administrativa (rateado — Renata Thaysa dos Santos Cunha)</t>
        </is>
      </c>
      <c r="D2979" s="107" t="n">
        <v>1</v>
      </c>
      <c r="E2979" s="108" t="n">
        <v>582.0599999999999</v>
      </c>
      <c r="F2979" s="109">
        <f>IFERROR(D2979*E2979,0)</f>
        <v/>
      </c>
      <c r="G2979" s="106">
        <f>INDEX(SETORES!$B:$B,MATCH(A2979,SETORES!$A:$A,0))</f>
        <v/>
      </c>
      <c r="H2979" s="106" t="inlineStr">
        <is>
          <t>Setembro/2026</t>
        </is>
      </c>
    </row>
    <row r="2980">
      <c r="A2980" s="106" t="inlineStr">
        <is>
          <t>NRC</t>
        </is>
      </c>
      <c r="B2980" s="106" t="inlineStr">
        <is>
          <t>Custo Fixo</t>
        </is>
      </c>
      <c r="C2980" s="106" t="inlineStr">
        <is>
          <t>Custo de gestão administrativa (rateado — Ayrton da Silva Lima)</t>
        </is>
      </c>
      <c r="D2980" s="107" t="n">
        <v>1</v>
      </c>
      <c r="E2980" s="108" t="n">
        <v>3272.78</v>
      </c>
      <c r="F2980" s="109">
        <f>IFERROR(D2980*E2980,0)</f>
        <v/>
      </c>
      <c r="G2980" s="106">
        <f>INDEX(SETORES!$B:$B,MATCH(A2980,SETORES!$A:$A,0))</f>
        <v/>
      </c>
      <c r="H2980" s="106" t="inlineStr">
        <is>
          <t>Setembro/2026</t>
        </is>
      </c>
    </row>
    <row r="2981">
      <c r="A2981" s="106" t="inlineStr">
        <is>
          <t>Cobrança</t>
        </is>
      </c>
      <c r="B2981" s="106" t="inlineStr">
        <is>
          <t>Custo Fixo</t>
        </is>
      </c>
      <c r="C2981" s="106" t="inlineStr">
        <is>
          <t>Custo de gestão administrativa (rateado — Ayrton da Silva Lima)</t>
        </is>
      </c>
      <c r="D2981" s="107" t="n">
        <v>1</v>
      </c>
      <c r="E2981" s="108" t="n">
        <v>1013</v>
      </c>
      <c r="F2981" s="109">
        <f>IFERROR(D2981*E2981,0)</f>
        <v/>
      </c>
      <c r="G2981" s="106">
        <f>INDEX(SETORES!$B:$B,MATCH(A2981,SETORES!$A:$A,0))</f>
        <v/>
      </c>
      <c r="H2981" s="106" t="inlineStr">
        <is>
          <t>Setembro/2026</t>
        </is>
      </c>
    </row>
    <row r="2982">
      <c r="A2982" s="106" t="inlineStr">
        <is>
          <t>Retenção</t>
        </is>
      </c>
      <c r="B2982" s="106" t="inlineStr">
        <is>
          <t>Custo Fixo</t>
        </is>
      </c>
      <c r="C2982" s="106" t="inlineStr">
        <is>
          <t>Custo de gestão administrativa (rateado — Ayrton da Silva Lima)</t>
        </is>
      </c>
      <c r="D2982" s="107" t="n">
        <v>1</v>
      </c>
      <c r="E2982" s="108" t="n">
        <v>935.08</v>
      </c>
      <c r="F2982" s="109">
        <f>IFERROR(D2982*E2982,0)</f>
        <v/>
      </c>
      <c r="G2982" s="106">
        <f>INDEX(SETORES!$B:$B,MATCH(A2982,SETORES!$A:$A,0))</f>
        <v/>
      </c>
      <c r="H2982" s="106" t="inlineStr">
        <is>
          <t>Setembro/2026</t>
        </is>
      </c>
    </row>
    <row r="2983">
      <c r="A2983" s="106" t="inlineStr">
        <is>
          <t>Televendas</t>
        </is>
      </c>
      <c r="B2983" s="106" t="inlineStr">
        <is>
          <t>Custo Fixo</t>
        </is>
      </c>
      <c r="C2983" s="106" t="inlineStr">
        <is>
          <t>Custo de gestão administrativa (rateado — Ayrton da Silva Lima)</t>
        </is>
      </c>
      <c r="D2983" s="107" t="n">
        <v>1</v>
      </c>
      <c r="E2983" s="108" t="n">
        <v>857.16</v>
      </c>
      <c r="F2983" s="109">
        <f>IFERROR(D2983*E2983,0)</f>
        <v/>
      </c>
      <c r="G2983" s="106">
        <f>INDEX(SETORES!$B:$B,MATCH(A2983,SETORES!$A:$A,0))</f>
        <v/>
      </c>
      <c r="H2983" s="106" t="inlineStr">
        <is>
          <t>Setembro/2026</t>
        </is>
      </c>
    </row>
    <row r="2984">
      <c r="A2984" s="106" t="inlineStr">
        <is>
          <t>Suporte da Central</t>
        </is>
      </c>
      <c r="B2984" s="106" t="inlineStr">
        <is>
          <t>Custo Fixo</t>
        </is>
      </c>
      <c r="C2984" s="106" t="inlineStr">
        <is>
          <t>Custo de gestão administrativa (rateado — Ayrton da Silva Lima)</t>
        </is>
      </c>
      <c r="D2984" s="107" t="n">
        <v>1</v>
      </c>
      <c r="E2984" s="108" t="n">
        <v>2571.47</v>
      </c>
      <c r="F2984" s="109">
        <f>IFERROR(D2984*E2984,0)</f>
        <v/>
      </c>
      <c r="G2984" s="106">
        <f>INDEX(SETORES!$B:$B,MATCH(A2984,SETORES!$A:$A,0))</f>
        <v/>
      </c>
      <c r="H2984" s="106" t="inlineStr">
        <is>
          <t>Setembro/2026</t>
        </is>
      </c>
    </row>
    <row r="2985">
      <c r="A2985" s="106" t="inlineStr">
        <is>
          <t>Suporte Orbix</t>
        </is>
      </c>
      <c r="B2985" s="106" t="inlineStr">
        <is>
          <t>Custo Fixo</t>
        </is>
      </c>
      <c r="C2985" s="106" t="inlineStr">
        <is>
          <t>Custo de gestão administrativa (rateado — Ayrton da Silva Lima)</t>
        </is>
      </c>
      <c r="D2985" s="107" t="n">
        <v>1</v>
      </c>
      <c r="E2985" s="108" t="n">
        <v>623.39</v>
      </c>
      <c r="F2985" s="109">
        <f>IFERROR(D2985*E2985,0)</f>
        <v/>
      </c>
      <c r="G2985" s="106">
        <f>INDEX(SETORES!$B:$B,MATCH(A2985,SETORES!$A:$A,0))</f>
        <v/>
      </c>
      <c r="H2985" s="106" t="inlineStr">
        <is>
          <t>Setembro/2026</t>
        </is>
      </c>
    </row>
    <row r="2986">
      <c r="A2986" s="106" t="inlineStr">
        <is>
          <t>Engenharia</t>
        </is>
      </c>
      <c r="B2986" s="106" t="inlineStr">
        <is>
          <t>Custo Fixo</t>
        </is>
      </c>
      <c r="C2986" s="106" t="inlineStr">
        <is>
          <t>Custo de gestão administrativa (rateado — Cryslaine Fonseca Rosal)</t>
        </is>
      </c>
      <c r="D2986" s="107" t="n">
        <v>1</v>
      </c>
      <c r="E2986" s="108" t="n">
        <v>1574.51</v>
      </c>
      <c r="F2986" s="109">
        <f>IFERROR(D2986*E2986,0)</f>
        <v/>
      </c>
      <c r="G2986" s="106">
        <f>INDEX(SETORES!$B:$B,MATCH(A2986,SETORES!$A:$A,0))</f>
        <v/>
      </c>
      <c r="H2986" s="106" t="inlineStr">
        <is>
          <t>Setembro/2026</t>
        </is>
      </c>
    </row>
    <row r="2987">
      <c r="A2987" s="106" t="inlineStr">
        <is>
          <t>Obras</t>
        </is>
      </c>
      <c r="B2987" s="106" t="inlineStr">
        <is>
          <t>Custo Fixo</t>
        </is>
      </c>
      <c r="C2987" s="106" t="inlineStr">
        <is>
          <t>Custo de gestão administrativa (rateado — Cryslaine Fonseca Rosal)</t>
        </is>
      </c>
      <c r="D2987" s="107" t="n">
        <v>1</v>
      </c>
      <c r="E2987" s="108" t="n">
        <v>4198.71</v>
      </c>
      <c r="F2987" s="109">
        <f>IFERROR(D2987*E2987,0)</f>
        <v/>
      </c>
      <c r="G2987" s="106">
        <f>INDEX(SETORES!$B:$B,MATCH(A2987,SETORES!$A:$A,0))</f>
        <v/>
      </c>
      <c r="H2987" s="106" t="inlineStr">
        <is>
          <t>Setembro/2026</t>
        </is>
      </c>
    </row>
    <row r="2988">
      <c r="A2988" s="106" t="inlineStr">
        <is>
          <t>Manutenção Predial</t>
        </is>
      </c>
      <c r="B2988" s="106" t="inlineStr">
        <is>
          <t>Custo Fixo</t>
        </is>
      </c>
      <c r="C2988" s="106" t="inlineStr">
        <is>
          <t>Custo de gestão administrativa (rateado — Cryslaine Fonseca Rosal)</t>
        </is>
      </c>
      <c r="D2988" s="107" t="n">
        <v>1</v>
      </c>
      <c r="E2988" s="108" t="n">
        <v>2624.19</v>
      </c>
      <c r="F2988" s="109">
        <f>IFERROR(D2988*E2988,0)</f>
        <v/>
      </c>
      <c r="G2988" s="106">
        <f>INDEX(SETORES!$B:$B,MATCH(A2988,SETORES!$A:$A,0))</f>
        <v/>
      </c>
      <c r="H2988" s="106" t="inlineStr">
        <is>
          <t>Setembro/2026</t>
        </is>
      </c>
    </row>
    <row r="2989">
      <c r="A2989" s="106" t="inlineStr">
        <is>
          <t>Lançamento</t>
        </is>
      </c>
      <c r="B2989" s="106" t="inlineStr">
        <is>
          <t>Custo Fixo</t>
        </is>
      </c>
      <c r="C2989" s="106" t="inlineStr">
        <is>
          <t>Custo de gestão administrativa (rateado — Cryslaine Fonseca Rosal)</t>
        </is>
      </c>
      <c r="D2989" s="107" t="n">
        <v>1</v>
      </c>
      <c r="E2989" s="108" t="n">
        <v>4198.71</v>
      </c>
      <c r="F2989" s="109">
        <f>IFERROR(D2989*E2989,0)</f>
        <v/>
      </c>
      <c r="G2989" s="106">
        <f>INDEX(SETORES!$B:$B,MATCH(A2989,SETORES!$A:$A,0))</f>
        <v/>
      </c>
      <c r="H2989" s="106" t="inlineStr">
        <is>
          <t>Setembro/2026</t>
        </is>
      </c>
    </row>
    <row r="2990">
      <c r="A2990" s="106" t="inlineStr">
        <is>
          <t>Fusão</t>
        </is>
      </c>
      <c r="B2990" s="106" t="inlineStr">
        <is>
          <t>Custo Fixo</t>
        </is>
      </c>
      <c r="C2990" s="106" t="inlineStr">
        <is>
          <t>Custo de gestão administrativa (rateado — Cryslaine Fonseca Rosal)</t>
        </is>
      </c>
      <c r="D2990" s="107" t="n">
        <v>1</v>
      </c>
      <c r="E2990" s="108" t="n">
        <v>1749.46</v>
      </c>
      <c r="F2990" s="109">
        <f>IFERROR(D2990*E2990,0)</f>
        <v/>
      </c>
      <c r="G2990" s="106">
        <f>INDEX(SETORES!$B:$B,MATCH(A2990,SETORES!$A:$A,0))</f>
        <v/>
      </c>
      <c r="H2990" s="106" t="inlineStr">
        <is>
          <t>Setembro/2026</t>
        </is>
      </c>
    </row>
    <row r="2991">
      <c r="A2991" s="106" t="inlineStr">
        <is>
          <t>Serviços Gerais</t>
        </is>
      </c>
      <c r="B2991" s="106" t="inlineStr">
        <is>
          <t>Custo Fixo</t>
        </is>
      </c>
      <c r="C2991" s="106" t="inlineStr">
        <is>
          <t>Custo de gestão administrativa (rateado — Cryslaine Fonseca Rosal)</t>
        </is>
      </c>
      <c r="D2991" s="107" t="n">
        <v>1</v>
      </c>
      <c r="E2991" s="108" t="n">
        <v>1049.68</v>
      </c>
      <c r="F2991" s="109">
        <f>IFERROR(D2991*E2991,0)</f>
        <v/>
      </c>
      <c r="G2991" s="106">
        <f>INDEX(SETORES!$B:$B,MATCH(A2991,SETORES!$A:$A,0))</f>
        <v/>
      </c>
      <c r="H2991" s="106" t="inlineStr">
        <is>
          <t>Setembro/2026</t>
        </is>
      </c>
    </row>
    <row r="2992">
      <c r="A2992" s="106" t="inlineStr">
        <is>
          <t>Backoffice Comercial Varejo</t>
        </is>
      </c>
      <c r="B2992" s="106" t="inlineStr">
        <is>
          <t>Custo Fixo</t>
        </is>
      </c>
      <c r="C2992" s="106" t="inlineStr">
        <is>
          <t>Energia elétrica (rateio)</t>
        </is>
      </c>
      <c r="D2992" s="107" t="n"/>
      <c r="E2992" s="108" t="n"/>
      <c r="F2992" s="109">
        <f>IFERROR(D2992*E2992,0)</f>
        <v/>
      </c>
      <c r="G2992" s="106">
        <f>INDEX(SETORES!$B:$B,MATCH(A2992,SETORES!$A:$A,0))</f>
        <v/>
      </c>
      <c r="H2992" s="106" t="inlineStr">
        <is>
          <t>Setembro/2026</t>
        </is>
      </c>
    </row>
    <row r="2993">
      <c r="A2993" s="106" t="inlineStr">
        <is>
          <t>Backoffice Comercial Varejo</t>
        </is>
      </c>
      <c r="B2993" s="106" t="inlineStr">
        <is>
          <t>Custo Fixo</t>
        </is>
      </c>
      <c r="C2993" s="106" t="inlineStr">
        <is>
          <t>Água e esgoto (rateio)</t>
        </is>
      </c>
      <c r="D2993" s="107" t="n"/>
      <c r="E2993" s="108" t="n"/>
      <c r="F2993" s="109">
        <f>IFERROR(D2993*E2993,0)</f>
        <v/>
      </c>
      <c r="G2993" s="106">
        <f>INDEX(SETORES!$B:$B,MATCH(A2993,SETORES!$A:$A,0))</f>
        <v/>
      </c>
      <c r="H2993" s="106" t="inlineStr">
        <is>
          <t>Setembro/2026</t>
        </is>
      </c>
    </row>
    <row r="2994">
      <c r="A2994" s="106" t="inlineStr">
        <is>
          <t>Marketing</t>
        </is>
      </c>
      <c r="B2994" s="106" t="inlineStr">
        <is>
          <t>Custo Fixo</t>
        </is>
      </c>
      <c r="C2994" s="106" t="inlineStr">
        <is>
          <t>Energia elétrica (rateio)</t>
        </is>
      </c>
      <c r="D2994" s="107" t="n"/>
      <c r="E2994" s="108" t="n"/>
      <c r="F2994" s="109">
        <f>IFERROR(D2994*E2994,0)</f>
        <v/>
      </c>
      <c r="G2994" s="106">
        <f>INDEX(SETORES!$B:$B,MATCH(A2994,SETORES!$A:$A,0))</f>
        <v/>
      </c>
      <c r="H2994" s="106" t="inlineStr">
        <is>
          <t>Setembro/2026</t>
        </is>
      </c>
    </row>
    <row r="2995">
      <c r="A2995" s="106" t="inlineStr">
        <is>
          <t>Marketing</t>
        </is>
      </c>
      <c r="B2995" s="106" t="inlineStr">
        <is>
          <t>Custo Fixo</t>
        </is>
      </c>
      <c r="C2995" s="106" t="inlineStr">
        <is>
          <t>Água e esgoto (rateio)</t>
        </is>
      </c>
      <c r="D2995" s="107" t="n"/>
      <c r="E2995" s="108" t="n"/>
      <c r="F2995" s="109">
        <f>IFERROR(D2995*E2995,0)</f>
        <v/>
      </c>
      <c r="G2995" s="106">
        <f>INDEX(SETORES!$B:$B,MATCH(A2995,SETORES!$A:$A,0))</f>
        <v/>
      </c>
      <c r="H2995" s="106" t="inlineStr">
        <is>
          <t>Setembro/2026</t>
        </is>
      </c>
    </row>
    <row r="2996">
      <c r="A2996" s="106" t="inlineStr">
        <is>
          <t>Comercial Corporativo</t>
        </is>
      </c>
      <c r="B2996" s="106" t="inlineStr">
        <is>
          <t>Custo Fixo</t>
        </is>
      </c>
      <c r="C2996" s="106" t="inlineStr">
        <is>
          <t>Energia elétrica (rateio)</t>
        </is>
      </c>
      <c r="D2996" s="107" t="n"/>
      <c r="E2996" s="108" t="n"/>
      <c r="F2996" s="109">
        <f>IFERROR(D2996*E2996,0)</f>
        <v/>
      </c>
      <c r="G2996" s="106">
        <f>INDEX(SETORES!$B:$B,MATCH(A2996,SETORES!$A:$A,0))</f>
        <v/>
      </c>
      <c r="H2996" s="106" t="inlineStr">
        <is>
          <t>Setembro/2026</t>
        </is>
      </c>
    </row>
    <row r="2997">
      <c r="A2997" s="106" t="inlineStr">
        <is>
          <t>Comercial Corporativo</t>
        </is>
      </c>
      <c r="B2997" s="106" t="inlineStr">
        <is>
          <t>Custo Fixo</t>
        </is>
      </c>
      <c r="C2997" s="106" t="inlineStr">
        <is>
          <t>Água e esgoto (rateio)</t>
        </is>
      </c>
      <c r="D2997" s="107" t="n"/>
      <c r="E2997" s="108" t="n"/>
      <c r="F2997" s="109">
        <f>IFERROR(D2997*E2997,0)</f>
        <v/>
      </c>
      <c r="G2997" s="106">
        <f>INDEX(SETORES!$B:$B,MATCH(A2997,SETORES!$A:$A,0))</f>
        <v/>
      </c>
      <c r="H2997" s="106" t="inlineStr">
        <is>
          <t>Setembro/2026</t>
        </is>
      </c>
    </row>
    <row r="2998">
      <c r="A2998" s="106" t="inlineStr">
        <is>
          <t>TIC</t>
        </is>
      </c>
      <c r="B2998" s="106" t="inlineStr">
        <is>
          <t>Custo Fixo</t>
        </is>
      </c>
      <c r="C2998" s="106" t="inlineStr">
        <is>
          <t>Energia elétrica (rateio)</t>
        </is>
      </c>
      <c r="D2998" s="107" t="n"/>
      <c r="E2998" s="108" t="n"/>
      <c r="F2998" s="109">
        <f>IFERROR(D2998*E2998,0)</f>
        <v/>
      </c>
      <c r="G2998" s="106">
        <f>INDEX(SETORES!$B:$B,MATCH(A2998,SETORES!$A:$A,0))</f>
        <v/>
      </c>
      <c r="H2998" s="106" t="inlineStr">
        <is>
          <t>Setembro/2026</t>
        </is>
      </c>
    </row>
    <row r="2999">
      <c r="A2999" s="106" t="inlineStr">
        <is>
          <t>TIC</t>
        </is>
      </c>
      <c r="B2999" s="106" t="inlineStr">
        <is>
          <t>Custo Fixo</t>
        </is>
      </c>
      <c r="C2999" s="106" t="inlineStr">
        <is>
          <t>Água e esgoto (rateio)</t>
        </is>
      </c>
      <c r="D2999" s="107" t="n"/>
      <c r="E2999" s="108" t="n"/>
      <c r="F2999" s="109">
        <f>IFERROR(D2999*E2999,0)</f>
        <v/>
      </c>
      <c r="G2999" s="106">
        <f>INDEX(SETORES!$B:$B,MATCH(A2999,SETORES!$A:$A,0))</f>
        <v/>
      </c>
      <c r="H2999" s="106" t="inlineStr">
        <is>
          <t>Setembro/2026</t>
        </is>
      </c>
    </row>
    <row r="3000">
      <c r="A3000" s="106" t="inlineStr">
        <is>
          <t>Diretoria Adm</t>
        </is>
      </c>
      <c r="B3000" s="106" t="inlineStr">
        <is>
          <t>Custo Fixo</t>
        </is>
      </c>
      <c r="C3000" s="106" t="inlineStr">
        <is>
          <t>Energia elétrica (rateio)</t>
        </is>
      </c>
      <c r="D3000" s="107" t="n"/>
      <c r="E3000" s="108" t="n"/>
      <c r="F3000" s="109">
        <f>IFERROR(D3000*E3000,0)</f>
        <v/>
      </c>
      <c r="G3000" s="106">
        <f>INDEX(SETORES!$B:$B,MATCH(A3000,SETORES!$A:$A,0))</f>
        <v/>
      </c>
      <c r="H3000" s="106" t="inlineStr">
        <is>
          <t>Setembro/2026</t>
        </is>
      </c>
    </row>
    <row r="3001">
      <c r="A3001" s="106" t="inlineStr">
        <is>
          <t>Diretoria Adm</t>
        </is>
      </c>
      <c r="B3001" s="106" t="inlineStr">
        <is>
          <t>Custo Fixo</t>
        </is>
      </c>
      <c r="C3001" s="106" t="inlineStr">
        <is>
          <t>Água e esgoto (rateio)</t>
        </is>
      </c>
      <c r="D3001" s="107" t="n"/>
      <c r="E3001" s="108" t="n"/>
      <c r="F3001" s="109">
        <f>IFERROR(D3001*E3001,0)</f>
        <v/>
      </c>
      <c r="G3001" s="106">
        <f>INDEX(SETORES!$B:$B,MATCH(A3001,SETORES!$A:$A,0))</f>
        <v/>
      </c>
      <c r="H3001" s="106" t="inlineStr">
        <is>
          <t>Setembro/2026</t>
        </is>
      </c>
    </row>
    <row r="3002">
      <c r="A3002" s="106" t="inlineStr">
        <is>
          <t>Backoffice Comercial Varejo</t>
        </is>
      </c>
      <c r="B3002" s="106" t="inlineStr">
        <is>
          <t>Custo Fixo</t>
        </is>
      </c>
      <c r="C3002" s="106" t="inlineStr">
        <is>
          <t>Gympass</t>
        </is>
      </c>
      <c r="D3002" s="107" t="n"/>
      <c r="E3002" s="108" t="n"/>
      <c r="F3002" s="109">
        <f>IFERROR(D3002*E3002,0)</f>
        <v/>
      </c>
      <c r="G3002" s="106">
        <f>INDEX(SETORES!$B:$B,MATCH(A3002,SETORES!$A:$A,0))</f>
        <v/>
      </c>
      <c r="H3002" s="106" t="inlineStr">
        <is>
          <t>Setembro/2026</t>
        </is>
      </c>
    </row>
    <row r="3003">
      <c r="A3003" s="106" t="inlineStr">
        <is>
          <t>Backoffice Comercial Varejo</t>
        </is>
      </c>
      <c r="B3003" s="106" t="inlineStr">
        <is>
          <t>Custo Fixo</t>
        </is>
      </c>
      <c r="C3003" s="106" t="inlineStr">
        <is>
          <t>Stargrid</t>
        </is>
      </c>
      <c r="D3003" s="107" t="n">
        <v>2</v>
      </c>
      <c r="E3003" s="108" t="n">
        <v>1.87</v>
      </c>
      <c r="F3003" s="109">
        <f>IFERROR(D3003*E3003,0)</f>
        <v/>
      </c>
      <c r="G3003" s="106">
        <f>INDEX(SETORES!$B:$B,MATCH(A3003,SETORES!$A:$A,0))</f>
        <v/>
      </c>
      <c r="H3003" s="106" t="inlineStr">
        <is>
          <t>Setembro/2026</t>
        </is>
      </c>
    </row>
    <row r="3004">
      <c r="A3004" s="106" t="inlineStr">
        <is>
          <t>Backoffice Comercial Varejo</t>
        </is>
      </c>
      <c r="B3004" s="106" t="inlineStr">
        <is>
          <t>Custo Fixo</t>
        </is>
      </c>
      <c r="C3004" s="106" t="inlineStr">
        <is>
          <t>Despesas com RH</t>
        </is>
      </c>
      <c r="D3004" s="107" t="n">
        <v>2</v>
      </c>
      <c r="E3004" s="108" t="n">
        <v>32.55</v>
      </c>
      <c r="F3004" s="109">
        <f>IFERROR(D3004*E3004,0)</f>
        <v/>
      </c>
      <c r="G3004" s="106">
        <f>INDEX(SETORES!$B:$B,MATCH(A3004,SETORES!$A:$A,0))</f>
        <v/>
      </c>
      <c r="H3004" s="106" t="inlineStr">
        <is>
          <t>Setembro/2026</t>
        </is>
      </c>
    </row>
    <row r="3005">
      <c r="A3005" s="106" t="inlineStr">
        <is>
          <t>Backoffice Comercial Varejo</t>
        </is>
      </c>
      <c r="B3005" s="106" t="inlineStr">
        <is>
          <t>Custo Fixo</t>
        </is>
      </c>
      <c r="C3005" s="106" t="inlineStr">
        <is>
          <t>Despesas com DP</t>
        </is>
      </c>
      <c r="D3005" s="107" t="n">
        <v>2</v>
      </c>
      <c r="E3005" s="108" t="n">
        <v>52.09</v>
      </c>
      <c r="F3005" s="109">
        <f>IFERROR(D3005*E3005,0)</f>
        <v/>
      </c>
      <c r="G3005" s="106">
        <f>INDEX(SETORES!$B:$B,MATCH(A3005,SETORES!$A:$A,0))</f>
        <v/>
      </c>
      <c r="H3005" s="106" t="inlineStr">
        <is>
          <t>Setembro/2026</t>
        </is>
      </c>
    </row>
    <row r="3006">
      <c r="A3006" s="106" t="inlineStr">
        <is>
          <t>Backoffice Comercial Varejo</t>
        </is>
      </c>
      <c r="B3006" s="106" t="inlineStr">
        <is>
          <t>Custo Fixo</t>
        </is>
      </c>
      <c r="C3006" s="106" t="inlineStr">
        <is>
          <t>Despesas com SST</t>
        </is>
      </c>
      <c r="D3006" s="107" t="n">
        <v>2</v>
      </c>
      <c r="E3006" s="108" t="n">
        <v>52.35</v>
      </c>
      <c r="F3006" s="109">
        <f>IFERROR(D3006*E3006,0)</f>
        <v/>
      </c>
      <c r="G3006" s="106">
        <f>INDEX(SETORES!$B:$B,MATCH(A3006,SETORES!$A:$A,0))</f>
        <v/>
      </c>
      <c r="H3006" s="106" t="inlineStr">
        <is>
          <t>Setembro/2026</t>
        </is>
      </c>
    </row>
    <row r="3007">
      <c r="A3007" s="106" t="inlineStr">
        <is>
          <t>Backoffice Comercial Varejo</t>
        </is>
      </c>
      <c r="B3007" s="106" t="inlineStr">
        <is>
          <t>Custo Fixo</t>
        </is>
      </c>
      <c r="C3007" s="106" t="inlineStr">
        <is>
          <t>Licença de e-mail corporativo</t>
        </is>
      </c>
      <c r="D3007" s="107" t="n">
        <v>2</v>
      </c>
      <c r="E3007" s="108" t="n">
        <v>50</v>
      </c>
      <c r="F3007" s="109">
        <f>IFERROR(D3007*E3007,0)</f>
        <v/>
      </c>
      <c r="G3007" s="106">
        <f>INDEX(SETORES!$B:$B,MATCH(A3007,SETORES!$A:$A,0))</f>
        <v/>
      </c>
      <c r="H3007" s="106" t="inlineStr">
        <is>
          <t>Setembro/2026</t>
        </is>
      </c>
    </row>
    <row r="3008">
      <c r="A3008" s="106" t="inlineStr">
        <is>
          <t>Backoffice Comercial Varejo</t>
        </is>
      </c>
      <c r="B3008" s="106" t="inlineStr">
        <is>
          <t>Custo Fixo</t>
        </is>
      </c>
      <c r="C3008" s="106" t="inlineStr">
        <is>
          <t>Chip móvel corporativo</t>
        </is>
      </c>
      <c r="D3008" s="107" t="n">
        <v>1</v>
      </c>
      <c r="E3008" s="108" t="n">
        <v>30</v>
      </c>
      <c r="F3008" s="109">
        <f>IFERROR(D3008*E3008,0)</f>
        <v/>
      </c>
      <c r="G3008" s="106">
        <f>INDEX(SETORES!$B:$B,MATCH(A3008,SETORES!$A:$A,0))</f>
        <v/>
      </c>
      <c r="H3008" s="106" t="inlineStr">
        <is>
          <t>Setembro/2026</t>
        </is>
      </c>
    </row>
    <row r="3009">
      <c r="A3009" s="106" t="inlineStr">
        <is>
          <t>Serviços Gerais</t>
        </is>
      </c>
      <c r="B3009" s="106" t="inlineStr">
        <is>
          <t>Custo Fixo</t>
        </is>
      </c>
      <c r="C3009" s="106" t="inlineStr">
        <is>
          <t>Gympass</t>
        </is>
      </c>
      <c r="D3009" s="107" t="n"/>
      <c r="E3009" s="108" t="n"/>
      <c r="F3009" s="109">
        <f>IFERROR(D3009*E3009,0)</f>
        <v/>
      </c>
      <c r="G3009" s="106">
        <f>INDEX(SETORES!$B:$B,MATCH(A3009,SETORES!$A:$A,0))</f>
        <v/>
      </c>
      <c r="H3009" s="106" t="inlineStr">
        <is>
          <t>Setembro/2026</t>
        </is>
      </c>
    </row>
    <row r="3010">
      <c r="A3010" s="106" t="inlineStr">
        <is>
          <t>Serviços Gerais</t>
        </is>
      </c>
      <c r="B3010" s="106" t="inlineStr">
        <is>
          <t>Custo Fixo</t>
        </is>
      </c>
      <c r="C3010" s="106" t="inlineStr">
        <is>
          <t>Stargrid</t>
        </is>
      </c>
      <c r="D3010" s="107" t="n">
        <v>6</v>
      </c>
      <c r="E3010" s="108" t="n">
        <v>1.87</v>
      </c>
      <c r="F3010" s="109">
        <f>IFERROR(D3010*E3010,0)</f>
        <v/>
      </c>
      <c r="G3010" s="106">
        <f>INDEX(SETORES!$B:$B,MATCH(A3010,SETORES!$A:$A,0))</f>
        <v/>
      </c>
      <c r="H3010" s="106" t="inlineStr">
        <is>
          <t>Setembro/2026</t>
        </is>
      </c>
    </row>
    <row r="3011">
      <c r="A3011" s="106" t="inlineStr">
        <is>
          <t>Serviços Gerais</t>
        </is>
      </c>
      <c r="B3011" s="106" t="inlineStr">
        <is>
          <t>Custo Fixo</t>
        </is>
      </c>
      <c r="C3011" s="106" t="inlineStr">
        <is>
          <t>Despesas com RH</t>
        </is>
      </c>
      <c r="D3011" s="107" t="n">
        <v>6</v>
      </c>
      <c r="E3011" s="108" t="n">
        <v>32.55</v>
      </c>
      <c r="F3011" s="109">
        <f>IFERROR(D3011*E3011,0)</f>
        <v/>
      </c>
      <c r="G3011" s="106">
        <f>INDEX(SETORES!$B:$B,MATCH(A3011,SETORES!$A:$A,0))</f>
        <v/>
      </c>
      <c r="H3011" s="106" t="inlineStr">
        <is>
          <t>Setembro/2026</t>
        </is>
      </c>
    </row>
    <row r="3012">
      <c r="A3012" s="106" t="inlineStr">
        <is>
          <t>Serviços Gerais</t>
        </is>
      </c>
      <c r="B3012" s="106" t="inlineStr">
        <is>
          <t>Custo Fixo</t>
        </is>
      </c>
      <c r="C3012" s="106" t="inlineStr">
        <is>
          <t>Despesas com DP</t>
        </is>
      </c>
      <c r="D3012" s="107" t="n">
        <v>6</v>
      </c>
      <c r="E3012" s="108" t="n">
        <v>52.09</v>
      </c>
      <c r="F3012" s="109">
        <f>IFERROR(D3012*E3012,0)</f>
        <v/>
      </c>
      <c r="G3012" s="106">
        <f>INDEX(SETORES!$B:$B,MATCH(A3012,SETORES!$A:$A,0))</f>
        <v/>
      </c>
      <c r="H3012" s="106" t="inlineStr">
        <is>
          <t>Setembro/2026</t>
        </is>
      </c>
    </row>
    <row r="3013">
      <c r="A3013" s="106" t="inlineStr">
        <is>
          <t>Serviços Gerais</t>
        </is>
      </c>
      <c r="B3013" s="106" t="inlineStr">
        <is>
          <t>Custo Fixo</t>
        </is>
      </c>
      <c r="C3013" s="106" t="inlineStr">
        <is>
          <t>Despesas com SST</t>
        </is>
      </c>
      <c r="D3013" s="107" t="n">
        <v>6</v>
      </c>
      <c r="E3013" s="108" t="n">
        <v>52.35</v>
      </c>
      <c r="F3013" s="109">
        <f>IFERROR(D3013*E3013,0)</f>
        <v/>
      </c>
      <c r="G3013" s="106">
        <f>INDEX(SETORES!$B:$B,MATCH(A3013,SETORES!$A:$A,0))</f>
        <v/>
      </c>
      <c r="H3013" s="106" t="inlineStr">
        <is>
          <t>Setembro/2026</t>
        </is>
      </c>
    </row>
    <row r="3014">
      <c r="A3014" s="106" t="inlineStr">
        <is>
          <t>Compras</t>
        </is>
      </c>
      <c r="B3014" s="106" t="inlineStr">
        <is>
          <t>Custo Variável</t>
        </is>
      </c>
      <c r="C3014" s="106" t="inlineStr">
        <is>
          <t>Fardamento novo</t>
        </is>
      </c>
      <c r="D3014" s="107" t="n"/>
      <c r="E3014" s="108" t="n"/>
      <c r="F3014" s="109">
        <f>IFERROR(D3014*E3014,0)</f>
        <v/>
      </c>
      <c r="G3014" s="106">
        <f>INDEX(SETORES!$B:$B,MATCH(A3014,SETORES!$A:$A,0))</f>
        <v/>
      </c>
      <c r="H3014" s="106" t="inlineStr">
        <is>
          <t>Setembro/2026</t>
        </is>
      </c>
    </row>
    <row r="3015">
      <c r="A3015" s="106" t="inlineStr">
        <is>
          <t>Fique Móvel</t>
        </is>
      </c>
      <c r="B3015" s="106" t="inlineStr">
        <is>
          <t>Custo Variável</t>
        </is>
      </c>
      <c r="C3015" s="106" t="inlineStr">
        <is>
          <t>Fardamento novo</t>
        </is>
      </c>
      <c r="D3015" s="107" t="n"/>
      <c r="E3015" s="108" t="n"/>
      <c r="F3015" s="109">
        <f>IFERROR(D3015*E3015,0)</f>
        <v/>
      </c>
      <c r="G3015" s="106">
        <f>INDEX(SETORES!$B:$B,MATCH(A3015,SETORES!$A:$A,0))</f>
        <v/>
      </c>
      <c r="H3015" s="106" t="inlineStr">
        <is>
          <t>Setembro/2026</t>
        </is>
      </c>
    </row>
    <row r="3016">
      <c r="A3016" s="106" t="inlineStr">
        <is>
          <t>Manutenção Predial</t>
        </is>
      </c>
      <c r="B3016" s="106" t="inlineStr">
        <is>
          <t>Custo Variável</t>
        </is>
      </c>
      <c r="C3016" s="106" t="inlineStr">
        <is>
          <t>Fardamento novo</t>
        </is>
      </c>
      <c r="D3016" s="107" t="n"/>
      <c r="E3016" s="108" t="n"/>
      <c r="F3016" s="109">
        <f>IFERROR(D3016*E3016,0)</f>
        <v/>
      </c>
      <c r="G3016" s="106">
        <f>INDEX(SETORES!$B:$B,MATCH(A3016,SETORES!$A:$A,0))</f>
        <v/>
      </c>
      <c r="H3016" s="106" t="inlineStr">
        <is>
          <t>Setembro/2026</t>
        </is>
      </c>
    </row>
    <row r="3017">
      <c r="A3017" s="106" t="inlineStr">
        <is>
          <t>Manutenção Predial</t>
        </is>
      </c>
      <c r="B3017" s="106" t="inlineStr">
        <is>
          <t>Custo Variável</t>
        </is>
      </c>
      <c r="C3017" s="106" t="inlineStr">
        <is>
          <t>Fardamento substituição</t>
        </is>
      </c>
      <c r="D3017" s="107" t="n"/>
      <c r="E3017" s="108" t="n"/>
      <c r="F3017" s="109">
        <f>IFERROR(D3017*E3017,0)</f>
        <v/>
      </c>
      <c r="G3017" s="106">
        <f>INDEX(SETORES!$B:$B,MATCH(A3017,SETORES!$A:$A,0))</f>
        <v/>
      </c>
      <c r="H3017" s="106" t="inlineStr">
        <is>
          <t>Setembro/2026</t>
        </is>
      </c>
    </row>
    <row r="3018">
      <c r="A3018" s="106" t="inlineStr">
        <is>
          <t>Marketing</t>
        </is>
      </c>
      <c r="B3018" s="106" t="inlineStr">
        <is>
          <t>Custo Variável</t>
        </is>
      </c>
      <c r="C3018" s="106" t="inlineStr">
        <is>
          <t>Fardamento novo</t>
        </is>
      </c>
      <c r="D3018" s="107" t="n">
        <v>1</v>
      </c>
      <c r="E3018" s="108" t="n">
        <v>360</v>
      </c>
      <c r="F3018" s="109">
        <f>IFERROR(D3018*E3018,0)</f>
        <v/>
      </c>
      <c r="G3018" s="106">
        <f>INDEX(SETORES!$B:$B,MATCH(A3018,SETORES!$A:$A,0))</f>
        <v/>
      </c>
      <c r="H3018" s="106" t="inlineStr">
        <is>
          <t>Setembro/2026</t>
        </is>
      </c>
    </row>
    <row r="3019">
      <c r="A3019" s="106" t="inlineStr">
        <is>
          <t>Serviços Gerais</t>
        </is>
      </c>
      <c r="B3019" s="106" t="inlineStr">
        <is>
          <t>Custo Variável</t>
        </is>
      </c>
      <c r="C3019" s="106" t="inlineStr">
        <is>
          <t>Fardamento substituição</t>
        </is>
      </c>
      <c r="D3019" s="107" t="n"/>
      <c r="E3019" s="108" t="n"/>
      <c r="F3019" s="109">
        <f>IFERROR(D3019*E3019,0)</f>
        <v/>
      </c>
      <c r="G3019" s="106">
        <f>INDEX(SETORES!$B:$B,MATCH(A3019,SETORES!$A:$A,0))</f>
        <v/>
      </c>
      <c r="H3019" s="106" t="inlineStr">
        <is>
          <t>Setembro/2026</t>
        </is>
      </c>
    </row>
    <row r="3020">
      <c r="A3020" s="106" t="inlineStr">
        <is>
          <t>Suporte da Central</t>
        </is>
      </c>
      <c r="B3020" s="106" t="inlineStr">
        <is>
          <t>Custo Variável</t>
        </is>
      </c>
      <c r="C3020" s="106" t="inlineStr">
        <is>
          <t>Fardamento novo</t>
        </is>
      </c>
      <c r="D3020" s="107" t="n"/>
      <c r="E3020" s="108" t="n"/>
      <c r="F3020" s="109">
        <f>IFERROR(D3020*E3020,0)</f>
        <v/>
      </c>
      <c r="G3020" s="106">
        <f>INDEX(SETORES!$B:$B,MATCH(A3020,SETORES!$A:$A,0))</f>
        <v/>
      </c>
      <c r="H3020" s="106" t="inlineStr">
        <is>
          <t>Setembro/2026</t>
        </is>
      </c>
    </row>
    <row r="3021">
      <c r="A3021" s="106" t="inlineStr">
        <is>
          <t>Suporte Orbix</t>
        </is>
      </c>
      <c r="B3021" s="106" t="inlineStr">
        <is>
          <t>Custo Variável</t>
        </is>
      </c>
      <c r="C3021" s="106" t="inlineStr">
        <is>
          <t>Fardamento substituição</t>
        </is>
      </c>
      <c r="D3021" s="107" t="n"/>
      <c r="E3021" s="108" t="n"/>
      <c r="F3021" s="109">
        <f>IFERROR(D3021*E3021,0)</f>
        <v/>
      </c>
      <c r="G3021" s="106">
        <f>INDEX(SETORES!$B:$B,MATCH(A3021,SETORES!$A:$A,0))</f>
        <v/>
      </c>
      <c r="H3021" s="106" t="inlineStr">
        <is>
          <t>Setembro/2026</t>
        </is>
      </c>
    </row>
    <row r="3022">
      <c r="A3022" s="106" t="inlineStr">
        <is>
          <t>Televendas</t>
        </is>
      </c>
      <c r="B3022" s="106" t="inlineStr">
        <is>
          <t>Custo Variável</t>
        </is>
      </c>
      <c r="C3022" s="106" t="inlineStr">
        <is>
          <t>Fardamento novo</t>
        </is>
      </c>
      <c r="D3022" s="107" t="n"/>
      <c r="E3022" s="108" t="n"/>
      <c r="F3022" s="109">
        <f>IFERROR(D3022*E3022,0)</f>
        <v/>
      </c>
      <c r="G3022" s="106">
        <f>INDEX(SETORES!$B:$B,MATCH(A3022,SETORES!$A:$A,0))</f>
        <v/>
      </c>
      <c r="H3022" s="106" t="inlineStr">
        <is>
          <t>Setembro/2026</t>
        </is>
      </c>
    </row>
    <row r="3023">
      <c r="A3023" s="106" t="inlineStr">
        <is>
          <t>TIC</t>
        </is>
      </c>
      <c r="B3023" s="106" t="inlineStr">
        <is>
          <t>Custo Variável</t>
        </is>
      </c>
      <c r="C3023" s="106" t="inlineStr">
        <is>
          <t>Fardamento novo</t>
        </is>
      </c>
      <c r="D3023" s="107" t="n"/>
      <c r="E3023" s="108" t="n"/>
      <c r="F3023" s="109">
        <f>IFERROR(D3023*E3023,0)</f>
        <v/>
      </c>
      <c r="G3023" s="106">
        <f>INDEX(SETORES!$B:$B,MATCH(A3023,SETORES!$A:$A,0))</f>
        <v/>
      </c>
      <c r="H3023" s="106" t="inlineStr">
        <is>
          <t>Setembro/2026</t>
        </is>
      </c>
    </row>
    <row r="3024">
      <c r="A3024" s="106" t="inlineStr">
        <is>
          <t>Televendas</t>
        </is>
      </c>
      <c r="B3024" s="106" t="inlineStr">
        <is>
          <t>Custo Fixo</t>
        </is>
      </c>
      <c r="C3024" s="106" t="inlineStr">
        <is>
          <t>Software MATRIX (rateio equipe Relacionamento)</t>
        </is>
      </c>
      <c r="D3024" s="107" t="n"/>
      <c r="E3024" s="108" t="n"/>
      <c r="F3024" s="109">
        <f>IFERROR(D3024*E3024,0)</f>
        <v/>
      </c>
      <c r="G3024" s="106">
        <f>INDEX(SETORES!$B:$B,MATCH(A3024,SETORES!$A:$A,0))</f>
        <v/>
      </c>
      <c r="H3024" s="106" t="inlineStr">
        <is>
          <t>Setembro/2026</t>
        </is>
      </c>
    </row>
    <row r="3025">
      <c r="A3025" s="106" t="inlineStr">
        <is>
          <t>Cozinha</t>
        </is>
      </c>
      <c r="B3025" s="106" t="inlineStr">
        <is>
          <t>Custo Fixo</t>
        </is>
      </c>
      <c r="C3025" s="106" t="inlineStr">
        <is>
          <t>Custo de gestão administrativa (rateado — Cryslaine Fonseca Rosal)</t>
        </is>
      </c>
      <c r="D3025" s="107" t="n">
        <v>1</v>
      </c>
      <c r="E3025" s="108" t="n">
        <v>699.78</v>
      </c>
      <c r="F3025" s="109">
        <f>IFERROR(D3025*E3025,0)</f>
        <v/>
      </c>
      <c r="G3025" s="106">
        <f>INDEX(SETORES!$B:$B,MATCH(A3025,SETORES!$A:$A,0))</f>
        <v/>
      </c>
      <c r="H3025" s="106" t="inlineStr">
        <is>
          <t>Setembro/2026</t>
        </is>
      </c>
    </row>
    <row r="3026">
      <c r="A3026" s="106" t="inlineStr">
        <is>
          <t>Cozinha</t>
        </is>
      </c>
      <c r="B3026" s="106" t="inlineStr">
        <is>
          <t>Custo Fixo</t>
        </is>
      </c>
      <c r="C3026" s="106" t="inlineStr">
        <is>
          <t>Gympass</t>
        </is>
      </c>
      <c r="D3026" s="107" t="n"/>
      <c r="E3026" s="108" t="n"/>
      <c r="F3026" s="109">
        <f>IFERROR(D3026*E3026,0)</f>
        <v/>
      </c>
      <c r="G3026" s="106">
        <f>INDEX(SETORES!$B:$B,MATCH(A3026,SETORES!$A:$A,0))</f>
        <v/>
      </c>
      <c r="H3026" s="106" t="inlineStr">
        <is>
          <t>Setembro/2026</t>
        </is>
      </c>
    </row>
    <row r="3027">
      <c r="A3027" s="106" t="inlineStr">
        <is>
          <t>Cozinha</t>
        </is>
      </c>
      <c r="B3027" s="106" t="inlineStr">
        <is>
          <t>Custo Fixo</t>
        </is>
      </c>
      <c r="C3027" s="106" t="inlineStr">
        <is>
          <t>Stargrid</t>
        </is>
      </c>
      <c r="D3027" s="107" t="n">
        <v>4</v>
      </c>
      <c r="E3027" s="108" t="n">
        <v>1.87</v>
      </c>
      <c r="F3027" s="109">
        <f>IFERROR(D3027*E3027,0)</f>
        <v/>
      </c>
      <c r="G3027" s="106">
        <f>INDEX(SETORES!$B:$B,MATCH(A3027,SETORES!$A:$A,0))</f>
        <v/>
      </c>
      <c r="H3027" s="106" t="inlineStr">
        <is>
          <t>Setembro/2026</t>
        </is>
      </c>
    </row>
    <row r="3028">
      <c r="A3028" s="106" t="inlineStr">
        <is>
          <t>Cozinha</t>
        </is>
      </c>
      <c r="B3028" s="106" t="inlineStr">
        <is>
          <t>Custo Fixo</t>
        </is>
      </c>
      <c r="C3028" s="106" t="inlineStr">
        <is>
          <t>Despesas com RH</t>
        </is>
      </c>
      <c r="D3028" s="107" t="n">
        <v>4</v>
      </c>
      <c r="E3028" s="108" t="n">
        <v>32.55</v>
      </c>
      <c r="F3028" s="109">
        <f>IFERROR(D3028*E3028,0)</f>
        <v/>
      </c>
      <c r="G3028" s="106">
        <f>INDEX(SETORES!$B:$B,MATCH(A3028,SETORES!$A:$A,0))</f>
        <v/>
      </c>
      <c r="H3028" s="106" t="inlineStr">
        <is>
          <t>Setembro/2026</t>
        </is>
      </c>
    </row>
    <row r="3029">
      <c r="A3029" s="106" t="inlineStr">
        <is>
          <t>Cozinha</t>
        </is>
      </c>
      <c r="B3029" s="106" t="inlineStr">
        <is>
          <t>Custo Fixo</t>
        </is>
      </c>
      <c r="C3029" s="106" t="inlineStr">
        <is>
          <t>Despesas com DP</t>
        </is>
      </c>
      <c r="D3029" s="107" t="n">
        <v>4</v>
      </c>
      <c r="E3029" s="108" t="n">
        <v>52.09</v>
      </c>
      <c r="F3029" s="109">
        <f>IFERROR(D3029*E3029,0)</f>
        <v/>
      </c>
      <c r="G3029" s="106">
        <f>INDEX(SETORES!$B:$B,MATCH(A3029,SETORES!$A:$A,0))</f>
        <v/>
      </c>
      <c r="H3029" s="106" t="inlineStr">
        <is>
          <t>Setembro/2026</t>
        </is>
      </c>
    </row>
    <row r="3030">
      <c r="A3030" s="106" t="inlineStr">
        <is>
          <t>Cozinha</t>
        </is>
      </c>
      <c r="B3030" s="106" t="inlineStr">
        <is>
          <t>Custo Fixo</t>
        </is>
      </c>
      <c r="C3030" s="106" t="inlineStr">
        <is>
          <t>Despesas com SST</t>
        </is>
      </c>
      <c r="D3030" s="107" t="n">
        <v>4</v>
      </c>
      <c r="E3030" s="108" t="n">
        <v>52.35</v>
      </c>
      <c r="F3030" s="109">
        <f>IFERROR(D3030*E3030,0)</f>
        <v/>
      </c>
      <c r="G3030" s="106">
        <f>INDEX(SETORES!$B:$B,MATCH(A3030,SETORES!$A:$A,0))</f>
        <v/>
      </c>
      <c r="H3030" s="106" t="inlineStr">
        <is>
          <t>Setembro/2026</t>
        </is>
      </c>
    </row>
    <row r="3031">
      <c r="A3031" s="106" t="inlineStr">
        <is>
          <t>Cozinha</t>
        </is>
      </c>
      <c r="B3031" s="106" t="inlineStr">
        <is>
          <t>Custo Variável</t>
        </is>
      </c>
      <c r="C3031" s="106" t="inlineStr">
        <is>
          <t>Alimentação (compras semanais para a cozinha)</t>
        </is>
      </c>
      <c r="D3031" s="107" t="n"/>
      <c r="E3031" s="108" t="n"/>
      <c r="F3031" s="109">
        <f>IFERROR(D3031*E3031,0)</f>
        <v/>
      </c>
      <c r="G3031" s="106">
        <f>INDEX(SETORES!$B:$B,MATCH(A3031,SETORES!$A:$A,0))</f>
        <v/>
      </c>
      <c r="H3031" s="106" t="inlineStr">
        <is>
          <t>Setembro/2026</t>
        </is>
      </c>
    </row>
    <row r="3032">
      <c r="A3032" s="106" t="inlineStr">
        <is>
          <t>Cozinha</t>
        </is>
      </c>
      <c r="B3032" s="106" t="inlineStr">
        <is>
          <t>Custo Variável</t>
        </is>
      </c>
      <c r="C3032" s="106" t="inlineStr">
        <is>
          <t>Material de limpeza (compras mensais para distribuição — Cozinha)</t>
        </is>
      </c>
      <c r="D3032" s="107" t="n"/>
      <c r="E3032" s="108" t="n"/>
      <c r="F3032" s="109">
        <f>IFERROR(D3032*E3032,0)</f>
        <v/>
      </c>
      <c r="G3032" s="106">
        <f>INDEX(SETORES!$B:$B,MATCH(A3032,SETORES!$A:$A,0))</f>
        <v/>
      </c>
      <c r="H3032" s="106" t="inlineStr">
        <is>
          <t>Setembro/2026</t>
        </is>
      </c>
    </row>
    <row r="3033">
      <c r="A3033" s="106" t="inlineStr">
        <is>
          <t>Cozinha</t>
        </is>
      </c>
      <c r="B3033" s="106" t="inlineStr">
        <is>
          <t>Custo Variável</t>
        </is>
      </c>
      <c r="C3033" s="106" t="inlineStr">
        <is>
          <t>Gás de cozinha (compras mensais para a cozinha)</t>
        </is>
      </c>
      <c r="D3033" s="107" t="n"/>
      <c r="E3033" s="108" t="n"/>
      <c r="F3033" s="109">
        <f>IFERROR(D3033*E3033,0)</f>
        <v/>
      </c>
      <c r="G3033" s="106">
        <f>INDEX(SETORES!$B:$B,MATCH(A3033,SETORES!$A:$A,0))</f>
        <v/>
      </c>
      <c r="H3033" s="106" t="inlineStr">
        <is>
          <t>Setembro/2026</t>
        </is>
      </c>
    </row>
    <row r="3034">
      <c r="A3034" s="106" t="inlineStr">
        <is>
          <t>Cozinha</t>
        </is>
      </c>
      <c r="B3034" s="106" t="inlineStr">
        <is>
          <t>Custo Variável</t>
        </is>
      </c>
      <c r="C3034" s="106" t="inlineStr">
        <is>
          <t>Crédito — Refeições pagas pelos colaboradores (valor simbólico, Refeitório)</t>
        </is>
      </c>
      <c r="D3034" s="107" t="n"/>
      <c r="E3034" s="108" t="n"/>
      <c r="F3034" s="109">
        <f>IFERROR(D3034*E3034,0)</f>
        <v/>
      </c>
      <c r="G3034" s="106">
        <f>INDEX(SETORES!$B:$B,MATCH(A3034,SETORES!$A:$A,0))</f>
        <v/>
      </c>
      <c r="H3034" s="106" t="inlineStr">
        <is>
          <t>Setembro/2026</t>
        </is>
      </c>
    </row>
    <row r="3035">
      <c r="A3035" s="106" t="inlineStr">
        <is>
          <t>Desenvolvimento</t>
        </is>
      </c>
      <c r="B3035" s="106" t="inlineStr">
        <is>
          <t>Custo Fixo</t>
        </is>
      </c>
      <c r="C3035" s="106" t="inlineStr">
        <is>
          <t>Folha de pagamento (salários)</t>
        </is>
      </c>
      <c r="D3035" s="107" t="n">
        <v>1</v>
      </c>
      <c r="E3035" s="108" t="n">
        <v>24325.69</v>
      </c>
      <c r="F3035" s="109">
        <f>IFERROR(D3035*E3035,0)</f>
        <v/>
      </c>
      <c r="G3035" s="106">
        <f>INDEX(SETORES!$B:$B,MATCH(A3035,SETORES!$A:$A,0))</f>
        <v/>
      </c>
      <c r="H3035" s="106" t="inlineStr">
        <is>
          <t>Setembro/2026</t>
        </is>
      </c>
    </row>
    <row r="3036">
      <c r="A3036" s="106" t="inlineStr">
        <is>
          <t>Logística</t>
        </is>
      </c>
      <c r="B3036" s="106" t="inlineStr">
        <is>
          <t>Custo Fixo</t>
        </is>
      </c>
      <c r="C3036" s="106" t="inlineStr">
        <is>
          <t>Custo de gestão administrativa (rateado — Demetrius Ribeiro de Aquino)</t>
        </is>
      </c>
      <c r="D3036" s="107" t="n">
        <v>1</v>
      </c>
      <c r="E3036" s="108" t="n">
        <v>11599.66</v>
      </c>
      <c r="F3036" s="109">
        <f>IFERROR(D3036*E3036,0)</f>
        <v/>
      </c>
      <c r="G3036" s="106">
        <f>INDEX(SETORES!$B:$B,MATCH(A3036,SETORES!$A:$A,0))</f>
        <v/>
      </c>
      <c r="H3036" s="106" t="inlineStr">
        <is>
          <t>Setembro/2026</t>
        </is>
      </c>
    </row>
    <row r="3037">
      <c r="A3037" s="106" t="inlineStr">
        <is>
          <t>Oficina</t>
        </is>
      </c>
      <c r="B3037" s="106" t="inlineStr">
        <is>
          <t>Custo Fixo</t>
        </is>
      </c>
      <c r="C3037" s="106" t="inlineStr">
        <is>
          <t>Custo de gestão administrativa (rateado — Demetrius Ribeiro de Aquino)</t>
        </is>
      </c>
      <c r="D3037" s="107" t="n">
        <v>1</v>
      </c>
      <c r="E3037" s="108" t="n">
        <v>2899.91</v>
      </c>
      <c r="F3037" s="109">
        <f>IFERROR(D3037*E3037,0)</f>
        <v/>
      </c>
      <c r="G3037" s="106">
        <f>INDEX(SETORES!$B:$B,MATCH(A3037,SETORES!$A:$A,0))</f>
        <v/>
      </c>
      <c r="H3037" s="106" t="inlineStr">
        <is>
          <t>Setembro/2026</t>
        </is>
      </c>
    </row>
    <row r="3038">
      <c r="A3038" s="106" t="inlineStr">
        <is>
          <t>Configuração</t>
        </is>
      </c>
      <c r="B3038" s="106" t="inlineStr">
        <is>
          <t>Custo Fixo</t>
        </is>
      </c>
      <c r="C3038" s="106" t="inlineStr">
        <is>
          <t>Folha de pagamento (salários)</t>
        </is>
      </c>
      <c r="D3038" s="107" t="n">
        <v>1</v>
      </c>
      <c r="E3038" s="108" t="n">
        <v>46351.21</v>
      </c>
      <c r="F3038" s="109">
        <f>IFERROR(D3038*E3038,0)</f>
        <v/>
      </c>
      <c r="G3038" s="106">
        <f>INDEX(SETORES!$B:$B,MATCH(A3038,SETORES!$A:$A,0))</f>
        <v/>
      </c>
      <c r="H3038" s="106" t="inlineStr">
        <is>
          <t>Setembro/2026</t>
        </is>
      </c>
    </row>
    <row r="3039">
      <c r="A3039" s="106" t="inlineStr">
        <is>
          <t>Cozinha</t>
        </is>
      </c>
      <c r="B3039" s="106" t="inlineStr">
        <is>
          <t>Custo Variável</t>
        </is>
      </c>
      <c r="C3039" s="106" t="inlineStr">
        <is>
          <t>Rescisões trabalhistas</t>
        </is>
      </c>
      <c r="D3039" s="107" t="n"/>
      <c r="E3039" s="108" t="n"/>
      <c r="F3039" s="109">
        <f>IFERROR(D3039*E3039,0)</f>
        <v/>
      </c>
      <c r="G3039" s="106">
        <f>INDEX(SETORES!$B:$B,MATCH(A3039,SETORES!$A:$A,0))</f>
        <v/>
      </c>
      <c r="H3039" s="106" t="inlineStr">
        <is>
          <t>Setembro/2026</t>
        </is>
      </c>
    </row>
    <row r="3040">
      <c r="A3040" s="106" t="inlineStr">
        <is>
          <t>Marketing</t>
        </is>
      </c>
      <c r="B3040" s="106" t="inlineStr">
        <is>
          <t>Custo Variável</t>
        </is>
      </c>
      <c r="C3040" s="106" t="inlineStr">
        <is>
          <t>Rescisões trabalhistas</t>
        </is>
      </c>
      <c r="D3040" s="107" t="n"/>
      <c r="E3040" s="108" t="n"/>
      <c r="F3040" s="109">
        <f>IFERROR(D3040*E3040,0)</f>
        <v/>
      </c>
      <c r="G3040" s="106">
        <f>INDEX(SETORES!$B:$B,MATCH(A3040,SETORES!$A:$A,0))</f>
        <v/>
      </c>
      <c r="H3040" s="106" t="inlineStr">
        <is>
          <t>Setembro/2026</t>
        </is>
      </c>
    </row>
    <row r="3041">
      <c r="A3041" s="106" t="inlineStr">
        <is>
          <t>Configuração</t>
        </is>
      </c>
      <c r="B3041" s="106" t="inlineStr">
        <is>
          <t>Custo Variável</t>
        </is>
      </c>
      <c r="C3041" s="106" t="inlineStr">
        <is>
          <t>Rescisões trabalhistas</t>
        </is>
      </c>
      <c r="D3041" s="107" t="n"/>
      <c r="E3041" s="108" t="n"/>
      <c r="F3041" s="109">
        <f>IFERROR(D3041*E3041,0)</f>
        <v/>
      </c>
      <c r="G3041" s="106">
        <f>INDEX(SETORES!$B:$B,MATCH(A3041,SETORES!$A:$A,0))</f>
        <v/>
      </c>
      <c r="H3041" s="106" t="inlineStr">
        <is>
          <t>Setembro/2026</t>
        </is>
      </c>
    </row>
    <row r="3042">
      <c r="A3042" s="106" t="inlineStr">
        <is>
          <t>Qualidade</t>
        </is>
      </c>
      <c r="B3042" s="106" t="inlineStr">
        <is>
          <t>Custo Variável</t>
        </is>
      </c>
      <c r="C3042" s="106" t="inlineStr">
        <is>
          <t>Fardamento novo</t>
        </is>
      </c>
      <c r="D3042" s="107" t="n">
        <v>1</v>
      </c>
      <c r="E3042" s="108" t="n">
        <v>270</v>
      </c>
      <c r="F3042" s="109">
        <f>IFERROR(D3042*E3042,0)</f>
        <v/>
      </c>
      <c r="G3042" s="106">
        <f>INDEX(SETORES!$B:$B,MATCH(A3042,SETORES!$A:$A,0))</f>
        <v/>
      </c>
      <c r="H3042" s="106" t="inlineStr">
        <is>
          <t>Setembro/2026</t>
        </is>
      </c>
    </row>
    <row r="3043">
      <c r="A3043" s="106" t="inlineStr">
        <is>
          <t>Qualidade</t>
        </is>
      </c>
      <c r="B3043" s="106" t="inlineStr">
        <is>
          <t>Custo Variável</t>
        </is>
      </c>
      <c r="C3043" s="106" t="inlineStr">
        <is>
          <t>Material de escritório (suprimentos de informática)</t>
        </is>
      </c>
      <c r="D3043" s="107" t="n">
        <v>1</v>
      </c>
      <c r="E3043" s="108" t="n">
        <v>69.45</v>
      </c>
      <c r="F3043" s="109">
        <f>IFERROR(D3043*E3043,0)</f>
        <v/>
      </c>
      <c r="G3043" s="106">
        <f>INDEX(SETORES!$B:$B,MATCH(A3043,SETORES!$A:$A,0))</f>
        <v/>
      </c>
      <c r="H3043" s="106" t="inlineStr">
        <is>
          <t>Setembro/2026</t>
        </is>
      </c>
    </row>
    <row r="3044">
      <c r="A3044" s="106" t="inlineStr">
        <is>
          <t>TIC</t>
        </is>
      </c>
      <c r="B3044" s="106" t="inlineStr">
        <is>
          <t>Custo Variável</t>
        </is>
      </c>
      <c r="C3044" s="106" t="inlineStr">
        <is>
          <t>Material de escritório (suprimentos de informática)</t>
        </is>
      </c>
      <c r="D3044" s="107" t="n">
        <v>1</v>
      </c>
      <c r="E3044" s="108" t="n">
        <v>52.84</v>
      </c>
      <c r="F3044" s="109">
        <f>IFERROR(D3044*E3044,0)</f>
        <v/>
      </c>
      <c r="G3044" s="106">
        <f>INDEX(SETORES!$B:$B,MATCH(A3044,SETORES!$A:$A,0))</f>
        <v/>
      </c>
      <c r="H3044" s="106" t="inlineStr">
        <is>
          <t>Setembro/2026</t>
        </is>
      </c>
    </row>
    <row r="3045">
      <c r="A3045" s="106" t="inlineStr">
        <is>
          <t>Comercial Corporativo</t>
        </is>
      </c>
      <c r="B3045" s="106" t="inlineStr">
        <is>
          <t>Custo Variável</t>
        </is>
      </c>
      <c r="C3045" s="106" t="inlineStr">
        <is>
          <t>Material de escritório (suprimentos de informática)</t>
        </is>
      </c>
      <c r="D3045" s="107" t="n">
        <v>1</v>
      </c>
      <c r="E3045" s="108" t="n">
        <v>9.640000000000001</v>
      </c>
      <c r="F3045" s="109">
        <f>IFERROR(D3045*E3045,0)</f>
        <v/>
      </c>
      <c r="G3045" s="106">
        <f>INDEX(SETORES!$B:$B,MATCH(A3045,SETORES!$A:$A,0))</f>
        <v/>
      </c>
      <c r="H3045" s="106" t="inlineStr">
        <is>
          <t>Setembro/2026</t>
        </is>
      </c>
    </row>
    <row r="3046">
      <c r="A3046" s="106" t="inlineStr">
        <is>
          <t>Cozinha</t>
        </is>
      </c>
      <c r="B3046" s="106" t="inlineStr">
        <is>
          <t>Custo Variável</t>
        </is>
      </c>
      <c r="C3046" s="106" t="inlineStr">
        <is>
          <t>Material de uso coletivo (copa/limpeza)</t>
        </is>
      </c>
      <c r="D3046" s="107" t="n">
        <v>1</v>
      </c>
      <c r="E3046" s="108" t="n">
        <v>124.05</v>
      </c>
      <c r="F3046" s="109">
        <f>IFERROR(D3046*E3046,0)</f>
        <v/>
      </c>
      <c r="G3046" s="106">
        <f>INDEX(SETORES!$B:$B,MATCH(A3046,SETORES!$A:$A,0))</f>
        <v/>
      </c>
      <c r="H3046" s="106" t="inlineStr">
        <is>
          <t>Setembro/2026</t>
        </is>
      </c>
    </row>
    <row r="3047">
      <c r="A3047" s="106" t="inlineStr">
        <is>
          <t>Fique Móvel</t>
        </is>
      </c>
      <c r="B3047" s="106" t="inlineStr">
        <is>
          <t>Custo Variável</t>
        </is>
      </c>
      <c r="C3047" s="106" t="inlineStr">
        <is>
          <t>Material de escritório (suprimentos de informática)</t>
        </is>
      </c>
      <c r="D3047" s="107" t="n">
        <v>1</v>
      </c>
      <c r="E3047" s="108" t="n">
        <v>528.1</v>
      </c>
      <c r="F3047" s="109">
        <f>IFERROR(D3047*E3047,0)</f>
        <v/>
      </c>
      <c r="G3047" s="106">
        <f>INDEX(SETORES!$B:$B,MATCH(A3047,SETORES!$A:$A,0))</f>
        <v/>
      </c>
      <c r="H3047" s="106" t="inlineStr">
        <is>
          <t>Setembro/2026</t>
        </is>
      </c>
    </row>
    <row r="3048">
      <c r="A3048" s="106" t="inlineStr">
        <is>
          <t>Gestão de Atendimento</t>
        </is>
      </c>
      <c r="B3048" s="106" t="inlineStr">
        <is>
          <t>Custo Fixo</t>
        </is>
      </c>
      <c r="C3048" s="106" t="inlineStr">
        <is>
          <t>Instalações - corredores e alojamentos (rateio)</t>
        </is>
      </c>
      <c r="D3048" s="107" t="n">
        <v>1</v>
      </c>
      <c r="E3048" s="108" t="n">
        <v>329.56</v>
      </c>
      <c r="F3048" s="109">
        <f>IFERROR(D3048*E3048,0)</f>
        <v/>
      </c>
      <c r="G3048" s="106">
        <f>INDEX(SETORES!$B:$B,MATCH(A3048,SETORES!$A:$A,0))</f>
        <v/>
      </c>
      <c r="H3048" s="106" t="inlineStr">
        <is>
          <t>Setembro/2026</t>
        </is>
      </c>
    </row>
    <row r="3049">
      <c r="A3049" s="106" t="inlineStr">
        <is>
          <t>CAC</t>
        </is>
      </c>
      <c r="B3049" s="106" t="inlineStr">
        <is>
          <t>Custo Fixo</t>
        </is>
      </c>
      <c r="C3049" s="106" t="inlineStr">
        <is>
          <t>Instalações - corredores e alojamentos (rateio)</t>
        </is>
      </c>
      <c r="D3049" s="107" t="n">
        <v>1</v>
      </c>
      <c r="E3049" s="108" t="n">
        <v>96.93000000000001</v>
      </c>
      <c r="F3049" s="109">
        <f>IFERROR(D3049*E3049,0)</f>
        <v/>
      </c>
      <c r="G3049" s="106">
        <f>INDEX(SETORES!$B:$B,MATCH(A3049,SETORES!$A:$A,0))</f>
        <v/>
      </c>
      <c r="H3049" s="106" t="inlineStr">
        <is>
          <t>Setembro/2026</t>
        </is>
      </c>
    </row>
    <row r="3050">
      <c r="A3050" s="106" t="inlineStr">
        <is>
          <t>Cobrança</t>
        </is>
      </c>
      <c r="B3050" s="106" t="inlineStr">
        <is>
          <t>Custo Fixo</t>
        </is>
      </c>
      <c r="C3050" s="106" t="inlineStr">
        <is>
          <t>Instalações - corredores e alojamentos (rateio)</t>
        </is>
      </c>
      <c r="D3050" s="107" t="n">
        <v>1</v>
      </c>
      <c r="E3050" s="108" t="n">
        <v>252.02</v>
      </c>
      <c r="F3050" s="109">
        <f>IFERROR(D3050*E3050,0)</f>
        <v/>
      </c>
      <c r="G3050" s="106">
        <f>INDEX(SETORES!$B:$B,MATCH(A3050,SETORES!$A:$A,0))</f>
        <v/>
      </c>
      <c r="H3050" s="106" t="inlineStr">
        <is>
          <t>Setembro/2026</t>
        </is>
      </c>
    </row>
    <row r="3051">
      <c r="A3051" s="106" t="inlineStr">
        <is>
          <t>Compras</t>
        </is>
      </c>
      <c r="B3051" s="106" t="inlineStr">
        <is>
          <t>Custo Fixo</t>
        </is>
      </c>
      <c r="C3051" s="106" t="inlineStr">
        <is>
          <t>Instalações - corredores e alojamentos (rateio)</t>
        </is>
      </c>
      <c r="D3051" s="107" t="n">
        <v>1</v>
      </c>
      <c r="E3051" s="108" t="n">
        <v>96.93000000000001</v>
      </c>
      <c r="F3051" s="109">
        <f>IFERROR(D3051*E3051,0)</f>
        <v/>
      </c>
      <c r="G3051" s="106">
        <f>INDEX(SETORES!$B:$B,MATCH(A3051,SETORES!$A:$A,0))</f>
        <v/>
      </c>
      <c r="H3051" s="106" t="inlineStr">
        <is>
          <t>Setembro/2026</t>
        </is>
      </c>
    </row>
    <row r="3052">
      <c r="A3052" s="106" t="inlineStr">
        <is>
          <t>Contabilidade</t>
        </is>
      </c>
      <c r="B3052" s="106" t="inlineStr">
        <is>
          <t>Custo Fixo</t>
        </is>
      </c>
      <c r="C3052" s="106" t="inlineStr">
        <is>
          <t>Instalações - corredores e alojamentos (rateio)</t>
        </is>
      </c>
      <c r="D3052" s="107" t="n">
        <v>1</v>
      </c>
      <c r="E3052" s="108" t="n">
        <v>116.32</v>
      </c>
      <c r="F3052" s="109">
        <f>IFERROR(D3052*E3052,0)</f>
        <v/>
      </c>
      <c r="G3052" s="106">
        <f>INDEX(SETORES!$B:$B,MATCH(A3052,SETORES!$A:$A,0))</f>
        <v/>
      </c>
      <c r="H3052" s="106" t="inlineStr">
        <is>
          <t>Setembro/2026</t>
        </is>
      </c>
    </row>
    <row r="3053">
      <c r="A3053" s="106" t="inlineStr">
        <is>
          <t>DP</t>
        </is>
      </c>
      <c r="B3053" s="106" t="inlineStr">
        <is>
          <t>Custo Fixo</t>
        </is>
      </c>
      <c r="C3053" s="106" t="inlineStr">
        <is>
          <t>Instalações - corredores e alojamentos (rateio)</t>
        </is>
      </c>
      <c r="D3053" s="107" t="n">
        <v>1</v>
      </c>
      <c r="E3053" s="108" t="n">
        <v>174.47</v>
      </c>
      <c r="F3053" s="109">
        <f>IFERROR(D3053*E3053,0)</f>
        <v/>
      </c>
      <c r="G3053" s="106">
        <f>INDEX(SETORES!$B:$B,MATCH(A3053,SETORES!$A:$A,0))</f>
        <v/>
      </c>
      <c r="H3053" s="106" t="inlineStr">
        <is>
          <t>Setembro/2026</t>
        </is>
      </c>
    </row>
    <row r="3054">
      <c r="A3054" s="106" t="inlineStr">
        <is>
          <t>Diretoria Operacional</t>
        </is>
      </c>
      <c r="B3054" s="106" t="inlineStr">
        <is>
          <t>Custo Fixo</t>
        </is>
      </c>
      <c r="C3054" s="106" t="inlineStr">
        <is>
          <t>Instalações - corredores e alojamentos (rateio)</t>
        </is>
      </c>
      <c r="D3054" s="107" t="n">
        <v>1</v>
      </c>
      <c r="E3054" s="108" t="n">
        <v>38.77</v>
      </c>
      <c r="F3054" s="109">
        <f>IFERROR(D3054*E3054,0)</f>
        <v/>
      </c>
      <c r="G3054" s="106">
        <f>INDEX(SETORES!$B:$B,MATCH(A3054,SETORES!$A:$A,0))</f>
        <v/>
      </c>
      <c r="H3054" s="106" t="inlineStr">
        <is>
          <t>Setembro/2026</t>
        </is>
      </c>
    </row>
    <row r="3055">
      <c r="A3055" s="106" t="inlineStr">
        <is>
          <t>Engenharia</t>
        </is>
      </c>
      <c r="B3055" s="106" t="inlineStr">
        <is>
          <t>Custo Fixo</t>
        </is>
      </c>
      <c r="C3055" s="106" t="inlineStr">
        <is>
          <t>Instalações - corredores e alojamentos (rateio)</t>
        </is>
      </c>
      <c r="D3055" s="107" t="n">
        <v>1</v>
      </c>
      <c r="E3055" s="108" t="n">
        <v>174.47</v>
      </c>
      <c r="F3055" s="109">
        <f>IFERROR(D3055*E3055,0)</f>
        <v/>
      </c>
      <c r="G3055" s="106">
        <f>INDEX(SETORES!$B:$B,MATCH(A3055,SETORES!$A:$A,0))</f>
        <v/>
      </c>
      <c r="H3055" s="106" t="inlineStr">
        <is>
          <t>Setembro/2026</t>
        </is>
      </c>
    </row>
    <row r="3056">
      <c r="A3056" s="106" t="inlineStr">
        <is>
          <t>Estoque</t>
        </is>
      </c>
      <c r="B3056" s="106" t="inlineStr">
        <is>
          <t>Custo Fixo</t>
        </is>
      </c>
      <c r="C3056" s="106" t="inlineStr">
        <is>
          <t>Instalações - corredores e alojamentos (rateio)</t>
        </is>
      </c>
      <c r="D3056" s="107" t="n">
        <v>1</v>
      </c>
      <c r="E3056" s="108" t="n">
        <v>310.17</v>
      </c>
      <c r="F3056" s="109">
        <f>IFERROR(D3056*E3056,0)</f>
        <v/>
      </c>
      <c r="G3056" s="106">
        <f>INDEX(SETORES!$B:$B,MATCH(A3056,SETORES!$A:$A,0))</f>
        <v/>
      </c>
      <c r="H3056" s="106" t="inlineStr">
        <is>
          <t>Setembro/2026</t>
        </is>
      </c>
    </row>
    <row r="3057">
      <c r="A3057" s="106" t="inlineStr">
        <is>
          <t>Financeiro</t>
        </is>
      </c>
      <c r="B3057" s="106" t="inlineStr">
        <is>
          <t>Custo Fixo</t>
        </is>
      </c>
      <c r="C3057" s="106" t="inlineStr">
        <is>
          <t>Instalações - corredores e alojamentos (rateio)</t>
        </is>
      </c>
      <c r="D3057" s="107" t="n">
        <v>1</v>
      </c>
      <c r="E3057" s="108" t="n">
        <v>155.09</v>
      </c>
      <c r="F3057" s="109">
        <f>IFERROR(D3057*E3057,0)</f>
        <v/>
      </c>
      <c r="G3057" s="106">
        <f>INDEX(SETORES!$B:$B,MATCH(A3057,SETORES!$A:$A,0))</f>
        <v/>
      </c>
      <c r="H3057" s="106" t="inlineStr">
        <is>
          <t>Setembro/2026</t>
        </is>
      </c>
    </row>
    <row r="3058">
      <c r="A3058" s="106" t="inlineStr">
        <is>
          <t>Logística</t>
        </is>
      </c>
      <c r="B3058" s="106" t="inlineStr">
        <is>
          <t>Custo Fixo</t>
        </is>
      </c>
      <c r="C3058" s="106" t="inlineStr">
        <is>
          <t>Instalações - corredores e alojamentos (rateio)</t>
        </is>
      </c>
      <c r="D3058" s="107" t="n">
        <v>1</v>
      </c>
      <c r="E3058" s="108" t="n">
        <v>310.17</v>
      </c>
      <c r="F3058" s="109">
        <f>IFERROR(D3058*E3058,0)</f>
        <v/>
      </c>
      <c r="G3058" s="106">
        <f>INDEX(SETORES!$B:$B,MATCH(A3058,SETORES!$A:$A,0))</f>
        <v/>
      </c>
      <c r="H3058" s="106" t="inlineStr">
        <is>
          <t>Setembro/2026</t>
        </is>
      </c>
    </row>
    <row r="3059">
      <c r="A3059" s="106" t="inlineStr">
        <is>
          <t>NOC</t>
        </is>
      </c>
      <c r="B3059" s="106" t="inlineStr">
        <is>
          <t>Custo Fixo</t>
        </is>
      </c>
      <c r="C3059" s="106" t="inlineStr">
        <is>
          <t>Instalações - corredores e alojamentos (rateio)</t>
        </is>
      </c>
      <c r="D3059" s="107" t="n">
        <v>1</v>
      </c>
      <c r="E3059" s="108" t="n">
        <v>58.16</v>
      </c>
      <c r="F3059" s="109">
        <f>IFERROR(D3059*E3059,0)</f>
        <v/>
      </c>
      <c r="G3059" s="106">
        <f>INDEX(SETORES!$B:$B,MATCH(A3059,SETORES!$A:$A,0))</f>
        <v/>
      </c>
      <c r="H3059" s="106" t="inlineStr">
        <is>
          <t>Setembro/2026</t>
        </is>
      </c>
    </row>
    <row r="3060">
      <c r="A3060" s="106" t="inlineStr">
        <is>
          <t>NRC</t>
        </is>
      </c>
      <c r="B3060" s="106" t="inlineStr">
        <is>
          <t>Custo Fixo</t>
        </is>
      </c>
      <c r="C3060" s="106" t="inlineStr">
        <is>
          <t>Instalações - corredores e alojamentos (rateio)</t>
        </is>
      </c>
      <c r="D3060" s="107" t="n">
        <v>1</v>
      </c>
      <c r="E3060" s="108" t="n">
        <v>814.21</v>
      </c>
      <c r="F3060" s="109">
        <f>IFERROR(D3060*E3060,0)</f>
        <v/>
      </c>
      <c r="G3060" s="106">
        <f>INDEX(SETORES!$B:$B,MATCH(A3060,SETORES!$A:$A,0))</f>
        <v/>
      </c>
      <c r="H3060" s="106" t="inlineStr">
        <is>
          <t>Setembro/2026</t>
        </is>
      </c>
    </row>
    <row r="3061">
      <c r="A3061" s="106" t="inlineStr">
        <is>
          <t>Oficina</t>
        </is>
      </c>
      <c r="B3061" s="106" t="inlineStr">
        <is>
          <t>Custo Fixo</t>
        </is>
      </c>
      <c r="C3061" s="106" t="inlineStr">
        <is>
          <t>Instalações - corredores e alojamentos (rateio)</t>
        </is>
      </c>
      <c r="D3061" s="107" t="n">
        <v>1</v>
      </c>
      <c r="E3061" s="108" t="n">
        <v>77.54000000000001</v>
      </c>
      <c r="F3061" s="109">
        <f>IFERROR(D3061*E3061,0)</f>
        <v/>
      </c>
      <c r="G3061" s="106">
        <f>INDEX(SETORES!$B:$B,MATCH(A3061,SETORES!$A:$A,0))</f>
        <v/>
      </c>
      <c r="H3061" s="106" t="inlineStr">
        <is>
          <t>Setembro/2026</t>
        </is>
      </c>
    </row>
    <row r="3062">
      <c r="A3062" s="106" t="inlineStr">
        <is>
          <t>RH</t>
        </is>
      </c>
      <c r="B3062" s="106" t="inlineStr">
        <is>
          <t>Custo Fixo</t>
        </is>
      </c>
      <c r="C3062" s="106" t="inlineStr">
        <is>
          <t>Instalações - corredores e alojamentos (rateio)</t>
        </is>
      </c>
      <c r="D3062" s="107" t="n">
        <v>1</v>
      </c>
      <c r="E3062" s="108" t="n">
        <v>116.32</v>
      </c>
      <c r="F3062" s="109">
        <f>IFERROR(D3062*E3062,0)</f>
        <v/>
      </c>
      <c r="G3062" s="106">
        <f>INDEX(SETORES!$B:$B,MATCH(A3062,SETORES!$A:$A,0))</f>
        <v/>
      </c>
      <c r="H3062" s="106" t="inlineStr">
        <is>
          <t>Setembro/2026</t>
        </is>
      </c>
    </row>
    <row r="3063">
      <c r="A3063" s="106" t="inlineStr">
        <is>
          <t>Retenção</t>
        </is>
      </c>
      <c r="B3063" s="106" t="inlineStr">
        <is>
          <t>Custo Fixo</t>
        </is>
      </c>
      <c r="C3063" s="106" t="inlineStr">
        <is>
          <t>Instalações - corredores e alojamentos (rateio)</t>
        </is>
      </c>
      <c r="D3063" s="107" t="n">
        <v>1</v>
      </c>
      <c r="E3063" s="108" t="n">
        <v>232.63</v>
      </c>
      <c r="F3063" s="109">
        <f>IFERROR(D3063*E3063,0)</f>
        <v/>
      </c>
      <c r="G3063" s="106">
        <f>INDEX(SETORES!$B:$B,MATCH(A3063,SETORES!$A:$A,0))</f>
        <v/>
      </c>
      <c r="H3063" s="106" t="inlineStr">
        <is>
          <t>Setembro/2026</t>
        </is>
      </c>
    </row>
    <row r="3064">
      <c r="A3064" s="106" t="inlineStr">
        <is>
          <t>Segurança do Trabalho</t>
        </is>
      </c>
      <c r="B3064" s="106" t="inlineStr">
        <is>
          <t>Custo Fixo</t>
        </is>
      </c>
      <c r="C3064" s="106" t="inlineStr">
        <is>
          <t>Instalações - corredores e alojamentos (rateio)</t>
        </is>
      </c>
      <c r="D3064" s="107" t="n">
        <v>1</v>
      </c>
      <c r="E3064" s="108" t="n">
        <v>155.09</v>
      </c>
      <c r="F3064" s="109">
        <f>IFERROR(D3064*E3064,0)</f>
        <v/>
      </c>
      <c r="G3064" s="106">
        <f>INDEX(SETORES!$B:$B,MATCH(A3064,SETORES!$A:$A,0))</f>
        <v/>
      </c>
      <c r="H3064" s="106" t="inlineStr">
        <is>
          <t>Setembro/2026</t>
        </is>
      </c>
    </row>
    <row r="3065">
      <c r="A3065" s="106" t="inlineStr">
        <is>
          <t>Suporte Orbix</t>
        </is>
      </c>
      <c r="B3065" s="106" t="inlineStr">
        <is>
          <t>Custo Fixo</t>
        </is>
      </c>
      <c r="C3065" s="106" t="inlineStr">
        <is>
          <t>Instalações - corredores e alojamentos (rateio)</t>
        </is>
      </c>
      <c r="D3065" s="107" t="n">
        <v>1</v>
      </c>
      <c r="E3065" s="108" t="n">
        <v>155.09</v>
      </c>
      <c r="F3065" s="109">
        <f>IFERROR(D3065*E3065,0)</f>
        <v/>
      </c>
      <c r="G3065" s="106">
        <f>INDEX(SETORES!$B:$B,MATCH(A3065,SETORES!$A:$A,0))</f>
        <v/>
      </c>
      <c r="H3065" s="106" t="inlineStr">
        <is>
          <t>Setembro/2026</t>
        </is>
      </c>
    </row>
    <row r="3066">
      <c r="A3066" s="106" t="inlineStr">
        <is>
          <t>Suporte da Central</t>
        </is>
      </c>
      <c r="B3066" s="106" t="inlineStr">
        <is>
          <t>Custo Fixo</t>
        </is>
      </c>
      <c r="C3066" s="106" t="inlineStr">
        <is>
          <t>Instalações - corredores e alojamentos (rateio)</t>
        </is>
      </c>
      <c r="D3066" s="107" t="n">
        <v>1</v>
      </c>
      <c r="E3066" s="108" t="n">
        <v>639.74</v>
      </c>
      <c r="F3066" s="109">
        <f>IFERROR(D3066*E3066,0)</f>
        <v/>
      </c>
      <c r="G3066" s="106">
        <f>INDEX(SETORES!$B:$B,MATCH(A3066,SETORES!$A:$A,0))</f>
        <v/>
      </c>
      <c r="H3066" s="106" t="inlineStr">
        <is>
          <t>Setembro/2026</t>
        </is>
      </c>
    </row>
    <row r="3067">
      <c r="A3067" s="106" t="inlineStr">
        <is>
          <t>Televendas</t>
        </is>
      </c>
      <c r="B3067" s="106" t="inlineStr">
        <is>
          <t>Custo Fixo</t>
        </is>
      </c>
      <c r="C3067" s="106" t="inlineStr">
        <is>
          <t>Instalações - corredores e alojamentos (rateio)</t>
        </is>
      </c>
      <c r="D3067" s="107" t="n">
        <v>1</v>
      </c>
      <c r="E3067" s="108" t="n">
        <v>213.25</v>
      </c>
      <c r="F3067" s="109">
        <f>IFERROR(D3067*E3067,0)</f>
        <v/>
      </c>
      <c r="G3067" s="106">
        <f>INDEX(SETORES!$B:$B,MATCH(A3067,SETORES!$A:$A,0))</f>
        <v/>
      </c>
      <c r="H3067" s="106" t="inlineStr">
        <is>
          <t>Setembro/2026</t>
        </is>
      </c>
    </row>
    <row r="3068">
      <c r="A3068" s="106" t="inlineStr">
        <is>
          <t>COE</t>
        </is>
      </c>
      <c r="B3068" s="106" t="inlineStr">
        <is>
          <t>Custo Fixo</t>
        </is>
      </c>
      <c r="C3068" s="106" t="inlineStr">
        <is>
          <t>Instalações - corredores e alojamentos (rateio)</t>
        </is>
      </c>
      <c r="D3068" s="107" t="n">
        <v>1</v>
      </c>
      <c r="E3068" s="108" t="n">
        <v>213.25</v>
      </c>
      <c r="F3068" s="109">
        <f>IFERROR(D3068*E3068,0)</f>
        <v/>
      </c>
      <c r="G3068" s="106">
        <f>INDEX(SETORES!$B:$B,MATCH(A3068,SETORES!$A:$A,0))</f>
        <v/>
      </c>
      <c r="H3068" s="106" t="inlineStr">
        <is>
          <t>Setembro/2026</t>
        </is>
      </c>
    </row>
    <row r="3069">
      <c r="A3069" s="106" t="inlineStr">
        <is>
          <t>Cozinha</t>
        </is>
      </c>
      <c r="B3069" s="106" t="inlineStr">
        <is>
          <t>Custo Fixo</t>
        </is>
      </c>
      <c r="C3069" s="106" t="inlineStr">
        <is>
          <t>Instalações - corredores e alojamentos (rateio)</t>
        </is>
      </c>
      <c r="D3069" s="107" t="n">
        <v>1</v>
      </c>
      <c r="E3069" s="108" t="n">
        <v>77.54000000000001</v>
      </c>
      <c r="F3069" s="109">
        <f>IFERROR(D3069*E3069,0)</f>
        <v/>
      </c>
      <c r="G3069" s="106">
        <f>INDEX(SETORES!$B:$B,MATCH(A3069,SETORES!$A:$A,0))</f>
        <v/>
      </c>
      <c r="H3069" s="106" t="inlineStr">
        <is>
          <t>Setembro/2026</t>
        </is>
      </c>
    </row>
    <row r="3070">
      <c r="A3070" s="106" t="inlineStr">
        <is>
          <t>Backoffice Comercial Varejo</t>
        </is>
      </c>
      <c r="B3070" s="106" t="inlineStr">
        <is>
          <t>Custo Fixo</t>
        </is>
      </c>
      <c r="C3070" s="106" t="inlineStr">
        <is>
          <t>Instalações - corredores e alojamentos (rateio)</t>
        </is>
      </c>
      <c r="D3070" s="107" t="n">
        <v>1</v>
      </c>
      <c r="E3070" s="108" t="n">
        <v>38.77</v>
      </c>
      <c r="F3070" s="109">
        <f>IFERROR(D3070*E3070,0)</f>
        <v/>
      </c>
      <c r="G3070" s="106">
        <f>INDEX(SETORES!$B:$B,MATCH(A3070,SETORES!$A:$A,0))</f>
        <v/>
      </c>
      <c r="H3070" s="106" t="inlineStr">
        <is>
          <t>Setembro/2026</t>
        </is>
      </c>
    </row>
    <row r="3071">
      <c r="A3071" s="106" t="inlineStr">
        <is>
          <t>Marketing</t>
        </is>
      </c>
      <c r="B3071" s="106" t="inlineStr">
        <is>
          <t>Custo Fixo</t>
        </is>
      </c>
      <c r="C3071" s="106" t="inlineStr">
        <is>
          <t>Instalações - corredores e alojamentos (rateio)</t>
        </is>
      </c>
      <c r="D3071" s="107" t="n">
        <v>1</v>
      </c>
      <c r="E3071" s="108" t="n">
        <v>329.56</v>
      </c>
      <c r="F3071" s="109">
        <f>IFERROR(D3071*E3071,0)</f>
        <v/>
      </c>
      <c r="G3071" s="106">
        <f>INDEX(SETORES!$B:$B,MATCH(A3071,SETORES!$A:$A,0))</f>
        <v/>
      </c>
      <c r="H3071" s="106" t="inlineStr">
        <is>
          <t>Setembro/2026</t>
        </is>
      </c>
    </row>
    <row r="3072">
      <c r="A3072" s="106" t="inlineStr">
        <is>
          <t>Comercial Corporativo</t>
        </is>
      </c>
      <c r="B3072" s="106" t="inlineStr">
        <is>
          <t>Custo Fixo</t>
        </is>
      </c>
      <c r="C3072" s="106" t="inlineStr">
        <is>
          <t>Instalações - corredores e alojamentos (rateio)</t>
        </is>
      </c>
      <c r="D3072" s="107" t="n">
        <v>1</v>
      </c>
      <c r="E3072" s="108" t="n">
        <v>232.63</v>
      </c>
      <c r="F3072" s="109">
        <f>IFERROR(D3072*E3072,0)</f>
        <v/>
      </c>
      <c r="G3072" s="106">
        <f>INDEX(SETORES!$B:$B,MATCH(A3072,SETORES!$A:$A,0))</f>
        <v/>
      </c>
      <c r="H3072" s="106" t="inlineStr">
        <is>
          <t>Setembro/2026</t>
        </is>
      </c>
    </row>
    <row r="3073">
      <c r="A3073" s="106" t="inlineStr">
        <is>
          <t>TIC</t>
        </is>
      </c>
      <c r="B3073" s="106" t="inlineStr">
        <is>
          <t>Custo Fixo</t>
        </is>
      </c>
      <c r="C3073" s="106" t="inlineStr">
        <is>
          <t>Instalações - corredores e alojamentos (rateio)</t>
        </is>
      </c>
      <c r="D3073" s="107" t="n">
        <v>1</v>
      </c>
      <c r="E3073" s="108" t="n">
        <v>135.7</v>
      </c>
      <c r="F3073" s="109">
        <f>IFERROR(D3073*E3073,0)</f>
        <v/>
      </c>
      <c r="G3073" s="106">
        <f>INDEX(SETORES!$B:$B,MATCH(A3073,SETORES!$A:$A,0))</f>
        <v/>
      </c>
      <c r="H3073" s="106" t="inlineStr">
        <is>
          <t>Setembro/2026</t>
        </is>
      </c>
    </row>
    <row r="3074">
      <c r="A3074" s="106" t="inlineStr">
        <is>
          <t>Diretoria Adm</t>
        </is>
      </c>
      <c r="B3074" s="106" t="inlineStr">
        <is>
          <t>Custo Fixo</t>
        </is>
      </c>
      <c r="C3074" s="106" t="inlineStr">
        <is>
          <t>Instalações - corredores e alojamentos (rateio)</t>
        </is>
      </c>
      <c r="D3074" s="107" t="n">
        <v>1</v>
      </c>
      <c r="E3074" s="108" t="n">
        <v>38.77</v>
      </c>
      <c r="F3074" s="109">
        <f>IFERROR(D3074*E3074,0)</f>
        <v/>
      </c>
      <c r="G3074" s="106">
        <f>INDEX(SETORES!$B:$B,MATCH(A3074,SETORES!$A:$A,0))</f>
        <v/>
      </c>
      <c r="H3074" s="106" t="inlineStr">
        <is>
          <t>Setembro/2026</t>
        </is>
      </c>
    </row>
    <row r="3075">
      <c r="A3075" s="106" t="inlineStr">
        <is>
          <t>Controladoria</t>
        </is>
      </c>
      <c r="B3075" s="106" t="inlineStr">
        <is>
          <t>Custo Fixo</t>
        </is>
      </c>
      <c r="C3075" s="106" t="inlineStr">
        <is>
          <t>Instalações - corredores e alojamentos (rateio)</t>
        </is>
      </c>
      <c r="D3075" s="107" t="n">
        <v>1</v>
      </c>
      <c r="E3075" s="108" t="n">
        <v>19.39</v>
      </c>
      <c r="F3075" s="109">
        <f>IFERROR(D3075*E3075,0)</f>
        <v/>
      </c>
      <c r="G3075" s="106">
        <f>INDEX(SETORES!$B:$B,MATCH(A3075,SETORES!$A:$A,0))</f>
        <v/>
      </c>
      <c r="H3075" s="106" t="inlineStr">
        <is>
          <t>Setembro/2026</t>
        </is>
      </c>
    </row>
    <row r="3076">
      <c r="A3076" s="106" t="inlineStr">
        <is>
          <t>Configuração</t>
        </is>
      </c>
      <c r="B3076" s="106" t="inlineStr">
        <is>
          <t>Custo Fixo</t>
        </is>
      </c>
      <c r="C3076" s="106" t="inlineStr">
        <is>
          <t>Stargrid</t>
        </is>
      </c>
      <c r="D3076" s="107" t="n">
        <v>10</v>
      </c>
      <c r="E3076" s="108" t="n">
        <v>1.87</v>
      </c>
      <c r="F3076" s="109">
        <f>IFERROR(D3076*E3076,0)</f>
        <v/>
      </c>
      <c r="G3076" s="106">
        <f>INDEX(SETORES!$B:$B,MATCH(A3076,SETORES!$A:$A,0))</f>
        <v/>
      </c>
      <c r="H3076" s="106" t="inlineStr">
        <is>
          <t>Setembro/2026</t>
        </is>
      </c>
    </row>
    <row r="3077">
      <c r="A3077" s="106" t="inlineStr">
        <is>
          <t>Configuração</t>
        </is>
      </c>
      <c r="B3077" s="106" t="inlineStr">
        <is>
          <t>Custo Fixo</t>
        </is>
      </c>
      <c r="C3077" s="106" t="inlineStr">
        <is>
          <t>Licença de e-mail corporativo</t>
        </is>
      </c>
      <c r="D3077" s="107" t="n">
        <v>10</v>
      </c>
      <c r="E3077" s="108" t="n">
        <v>50</v>
      </c>
      <c r="F3077" s="109">
        <f>IFERROR(D3077*E3077,0)</f>
        <v/>
      </c>
      <c r="G3077" s="106">
        <f>INDEX(SETORES!$B:$B,MATCH(A3077,SETORES!$A:$A,0))</f>
        <v/>
      </c>
      <c r="H3077" s="106" t="inlineStr">
        <is>
          <t>Setembro/2026</t>
        </is>
      </c>
    </row>
    <row r="3078">
      <c r="A3078" s="106" t="inlineStr">
        <is>
          <t>Desenvolvimento</t>
        </is>
      </c>
      <c r="B3078" s="106" t="inlineStr">
        <is>
          <t>Custo Fixo</t>
        </is>
      </c>
      <c r="C3078" s="106" t="inlineStr">
        <is>
          <t>Stargrid</t>
        </is>
      </c>
      <c r="D3078" s="107" t="n">
        <v>6</v>
      </c>
      <c r="E3078" s="108" t="n">
        <v>1.87</v>
      </c>
      <c r="F3078" s="109">
        <f>IFERROR(D3078*E3078,0)</f>
        <v/>
      </c>
      <c r="G3078" s="106">
        <f>INDEX(SETORES!$B:$B,MATCH(A3078,SETORES!$A:$A,0))</f>
        <v/>
      </c>
      <c r="H3078" s="106" t="inlineStr">
        <is>
          <t>Setembro/2026</t>
        </is>
      </c>
    </row>
    <row r="3079">
      <c r="A3079" s="106" t="inlineStr">
        <is>
          <t>Desenvolvimento</t>
        </is>
      </c>
      <c r="B3079" s="106" t="inlineStr">
        <is>
          <t>Custo Fixo</t>
        </is>
      </c>
      <c r="C3079" s="106" t="inlineStr">
        <is>
          <t>Licença de e-mail corporativo</t>
        </is>
      </c>
      <c r="D3079" s="107" t="n">
        <v>6</v>
      </c>
      <c r="E3079" s="108" t="n">
        <v>50</v>
      </c>
      <c r="F3079" s="109">
        <f>IFERROR(D3079*E3079,0)</f>
        <v/>
      </c>
      <c r="G3079" s="106">
        <f>INDEX(SETORES!$B:$B,MATCH(A3079,SETORES!$A:$A,0))</f>
        <v/>
      </c>
      <c r="H3079" s="106" t="inlineStr">
        <is>
          <t>Setembro/2026</t>
        </is>
      </c>
    </row>
    <row r="3080">
      <c r="A3080" s="110" t="inlineStr">
        <is>
          <t>Projetista</t>
        </is>
      </c>
      <c r="B3080" s="110" t="inlineStr">
        <is>
          <t>Custo Fixo</t>
        </is>
      </c>
      <c r="C3080" s="110" t="inlineStr">
        <is>
          <t>Folha de pagamento (salários)</t>
        </is>
      </c>
      <c r="D3080" s="110" t="n">
        <v>1</v>
      </c>
      <c r="E3080" s="110" t="n">
        <v>25653.46</v>
      </c>
      <c r="F3080" s="110">
        <f>IFERROR(D3080*E3080,0)</f>
        <v/>
      </c>
      <c r="G3080" s="110">
        <f>INDEX(SETORES!$B:$B,MATCH(A3080,SETORES!$A:$A,0))</f>
        <v/>
      </c>
      <c r="H3080" s="110" t="inlineStr">
        <is>
          <t>Setembro/2026</t>
        </is>
      </c>
    </row>
    <row r="3081">
      <c r="A3081" s="110" t="inlineStr">
        <is>
          <t>Suporte da Central</t>
        </is>
      </c>
      <c r="B3081" s="110" t="inlineStr">
        <is>
          <t>Custo Variável</t>
        </is>
      </c>
      <c r="C3081" s="110" t="inlineStr">
        <is>
          <t>Fardamento substituição</t>
        </is>
      </c>
      <c r="D3081" s="110" t="n">
        <v>1</v>
      </c>
      <c r="E3081" s="110" t="n">
        <v>272</v>
      </c>
      <c r="F3081" s="110">
        <f>IFERROR(D3081*E3081,0)</f>
        <v/>
      </c>
      <c r="G3081" s="110">
        <f>INDEX(SETORES!$B:$B,MATCH(A3081,SETORES!$A:$A,0))</f>
        <v/>
      </c>
      <c r="H3081" s="110" t="inlineStr">
        <is>
          <t>Setembro/2026</t>
        </is>
      </c>
    </row>
    <row r="3082">
      <c r="A3082" s="110" t="inlineStr">
        <is>
          <t>Configuração</t>
        </is>
      </c>
      <c r="B3082" s="110" t="inlineStr">
        <is>
          <t>Custo Variável</t>
        </is>
      </c>
      <c r="C3082" s="110" t="inlineStr">
        <is>
          <t>Fardamento novo</t>
        </is>
      </c>
      <c r="D3082" s="110" t="n">
        <v>1</v>
      </c>
      <c r="E3082" s="110" t="n">
        <v>90</v>
      </c>
      <c r="F3082" s="110">
        <f>IFERROR(D3082*E3082,0)</f>
        <v/>
      </c>
      <c r="G3082" s="110">
        <f>INDEX(SETORES!$B:$B,MATCH(A3082,SETORES!$A:$A,0))</f>
        <v/>
      </c>
      <c r="H3082" s="110" t="inlineStr">
        <is>
          <t>Setembro/2026</t>
        </is>
      </c>
    </row>
    <row r="3083">
      <c r="A3083" s="106" t="inlineStr">
        <is>
          <t>Gestão de Atendimento</t>
        </is>
      </c>
      <c r="B3083" s="106" t="inlineStr">
        <is>
          <t>Custo Fixo</t>
        </is>
      </c>
      <c r="C3083" s="106" t="inlineStr">
        <is>
          <t>Material de escritório (suprimentos de informática)</t>
        </is>
      </c>
      <c r="D3083" s="107" t="n">
        <v>1</v>
      </c>
      <c r="E3083" s="108" t="n">
        <v>840.67</v>
      </c>
      <c r="F3083" s="109">
        <f>IFERROR(D3083*E3083,0)</f>
        <v/>
      </c>
      <c r="G3083" s="106">
        <f>INDEX(SETORES!$B:$B,MATCH(A3083,SETORES!$A:$A,0))</f>
        <v/>
      </c>
      <c r="H3083" s="106" t="inlineStr">
        <is>
          <t>Outubro/2026</t>
        </is>
      </c>
    </row>
    <row r="3084">
      <c r="A3084" s="106" t="inlineStr">
        <is>
          <t>Gestão de Atendimento</t>
        </is>
      </c>
      <c r="B3084" s="106" t="inlineStr">
        <is>
          <t>Custo Fixo</t>
        </is>
      </c>
      <c r="C3084" s="106" t="inlineStr">
        <is>
          <t>Material de uso coletivo (copa/limpeza)</t>
        </is>
      </c>
      <c r="D3084" s="107" t="n">
        <v>1</v>
      </c>
      <c r="E3084" s="108" t="n">
        <v>882.22</v>
      </c>
      <c r="F3084" s="109">
        <f>IFERROR(D3084*E3084,0)</f>
        <v/>
      </c>
      <c r="G3084" s="106">
        <f>INDEX(SETORES!$B:$B,MATCH(A3084,SETORES!$A:$A,0))</f>
        <v/>
      </c>
      <c r="H3084" s="106" t="inlineStr">
        <is>
          <t>Outubro/2026</t>
        </is>
      </c>
    </row>
    <row r="3085">
      <c r="A3085" s="106" t="inlineStr">
        <is>
          <t>Gestão de Atendimento</t>
        </is>
      </c>
      <c r="B3085" s="106" t="inlineStr">
        <is>
          <t>Custo Fixo</t>
        </is>
      </c>
      <c r="C3085" s="106" t="inlineStr">
        <is>
          <t>Energia elétrica (rateio)</t>
        </is>
      </c>
      <c r="D3085" s="107" t="n"/>
      <c r="E3085" s="108" t="n"/>
      <c r="F3085" s="109">
        <f>IFERROR(D3085*E3085,0)</f>
        <v/>
      </c>
      <c r="G3085" s="106">
        <f>INDEX(SETORES!$B:$B,MATCH(A3085,SETORES!$A:$A,0))</f>
        <v/>
      </c>
      <c r="H3085" s="106" t="inlineStr">
        <is>
          <t>Outubro/2026</t>
        </is>
      </c>
    </row>
    <row r="3086">
      <c r="A3086" s="106" t="inlineStr">
        <is>
          <t>Gestão de Atendimento</t>
        </is>
      </c>
      <c r="B3086" s="106" t="inlineStr">
        <is>
          <t>Custo Fixo</t>
        </is>
      </c>
      <c r="C3086" s="106" t="inlineStr">
        <is>
          <t>Água e esgoto (rateio)</t>
        </is>
      </c>
      <c r="D3086" s="107" t="n"/>
      <c r="E3086" s="108" t="n"/>
      <c r="F3086" s="109">
        <f>IFERROR(D3086*E3086,0)</f>
        <v/>
      </c>
      <c r="G3086" s="106">
        <f>INDEX(SETORES!$B:$B,MATCH(A3086,SETORES!$A:$A,0))</f>
        <v/>
      </c>
      <c r="H3086" s="106" t="inlineStr">
        <is>
          <t>Outubro/2026</t>
        </is>
      </c>
    </row>
    <row r="3087">
      <c r="A3087" s="106" t="inlineStr">
        <is>
          <t>Gestão de Atendimento</t>
        </is>
      </c>
      <c r="B3087" s="106" t="inlineStr">
        <is>
          <t>Custo Fixo</t>
        </is>
      </c>
      <c r="C3087" s="106" t="inlineStr">
        <is>
          <t>Telefonia móvel corporativa</t>
        </is>
      </c>
      <c r="D3087" s="107" t="n"/>
      <c r="E3087" s="108" t="n"/>
      <c r="F3087" s="109">
        <f>IFERROR(D3087*E3087,0)</f>
        <v/>
      </c>
      <c r="G3087" s="106">
        <f>INDEX(SETORES!$B:$B,MATCH(A3087,SETORES!$A:$A,0))</f>
        <v/>
      </c>
      <c r="H3087" s="106" t="inlineStr">
        <is>
          <t>Outubro/2026</t>
        </is>
      </c>
    </row>
    <row r="3088">
      <c r="A3088" s="106" t="inlineStr">
        <is>
          <t>Gestão de Atendimento</t>
        </is>
      </c>
      <c r="B3088" s="106" t="inlineStr">
        <is>
          <t>Custo Fixo</t>
        </is>
      </c>
      <c r="C3088" s="106" t="inlineStr">
        <is>
          <t>Folha de pagamento (salários)</t>
        </is>
      </c>
      <c r="D3088" s="107" t="n">
        <v>1</v>
      </c>
      <c r="E3088" s="108" t="n">
        <v>55556.32</v>
      </c>
      <c r="F3088" s="109">
        <f>IFERROR(D3088*E3088,0)</f>
        <v/>
      </c>
      <c r="G3088" s="106">
        <f>INDEX(SETORES!$B:$B,MATCH(A3088,SETORES!$A:$A,0))</f>
        <v/>
      </c>
      <c r="H3088" s="106" t="inlineStr">
        <is>
          <t>Outubro/2026</t>
        </is>
      </c>
    </row>
    <row r="3089">
      <c r="A3089" s="106" t="inlineStr">
        <is>
          <t>Gestão de Atendimento</t>
        </is>
      </c>
      <c r="B3089" s="106" t="inlineStr">
        <is>
          <t>Custo Variável</t>
        </is>
      </c>
      <c r="C3089" s="106" t="inlineStr">
        <is>
          <t>Fardamento novo</t>
        </is>
      </c>
      <c r="D3089" s="107" t="n">
        <v>1</v>
      </c>
      <c r="E3089" s="108" t="n">
        <v>180</v>
      </c>
      <c r="F3089" s="109">
        <f>IFERROR(D3089*E3089,0)</f>
        <v/>
      </c>
      <c r="G3089" s="106">
        <f>INDEX(SETORES!$B:$B,MATCH(A3089,SETORES!$A:$A,0))</f>
        <v/>
      </c>
      <c r="H3089" s="106" t="inlineStr">
        <is>
          <t>Outubro/2026</t>
        </is>
      </c>
    </row>
    <row r="3090">
      <c r="A3090" s="106" t="inlineStr">
        <is>
          <t>Gestão de Atendimento</t>
        </is>
      </c>
      <c r="B3090" s="106" t="inlineStr">
        <is>
          <t>Custo Variável</t>
        </is>
      </c>
      <c r="C3090" s="106" t="inlineStr">
        <is>
          <t>Fardamento substituição</t>
        </is>
      </c>
      <c r="D3090" s="107" t="n"/>
      <c r="E3090" s="108" t="n"/>
      <c r="F3090" s="109">
        <f>IFERROR(D3090*E3090,0)</f>
        <v/>
      </c>
      <c r="G3090" s="106">
        <f>INDEX(SETORES!$B:$B,MATCH(A3090,SETORES!$A:$A,0))</f>
        <v/>
      </c>
      <c r="H3090" s="106" t="inlineStr">
        <is>
          <t>Outubro/2026</t>
        </is>
      </c>
    </row>
    <row r="3091">
      <c r="A3091" s="106" t="inlineStr">
        <is>
          <t>Gestão de Atendimento</t>
        </is>
      </c>
      <c r="B3091" s="106" t="inlineStr">
        <is>
          <t>Custo Variável</t>
        </is>
      </c>
      <c r="C3091" s="106" t="inlineStr">
        <is>
          <t>Exames médicos</t>
        </is>
      </c>
      <c r="D3091" s="107" t="n"/>
      <c r="E3091" s="108" t="n"/>
      <c r="F3091" s="109">
        <f>IFERROR(D3091*E3091,0)</f>
        <v/>
      </c>
      <c r="G3091" s="106">
        <f>INDEX(SETORES!$B:$B,MATCH(A3091,SETORES!$A:$A,0))</f>
        <v/>
      </c>
      <c r="H3091" s="106" t="inlineStr">
        <is>
          <t>Outubro/2026</t>
        </is>
      </c>
    </row>
    <row r="3092">
      <c r="A3092" s="106" t="inlineStr">
        <is>
          <t>Gestão de Atendimento</t>
        </is>
      </c>
      <c r="B3092" s="106" t="inlineStr">
        <is>
          <t>Custo Fixo</t>
        </is>
      </c>
      <c r="C3092" s="106" t="inlineStr">
        <is>
          <t>Licença de e-mail corporativo</t>
        </is>
      </c>
      <c r="D3092" s="107" t="n">
        <v>17</v>
      </c>
      <c r="E3092" s="108" t="n">
        <v>50</v>
      </c>
      <c r="F3092" s="109">
        <f>IFERROR(D3092*E3092,0)</f>
        <v/>
      </c>
      <c r="G3092" s="106">
        <f>INDEX(SETORES!$B:$B,MATCH(A3092,SETORES!$A:$A,0))</f>
        <v/>
      </c>
      <c r="H3092" s="106" t="inlineStr">
        <is>
          <t>Outubro/2026</t>
        </is>
      </c>
    </row>
    <row r="3093">
      <c r="A3093" s="106" t="inlineStr">
        <is>
          <t>Gestão de Atendimento</t>
        </is>
      </c>
      <c r="B3093" s="106" t="inlineStr">
        <is>
          <t>Custo Fixo</t>
        </is>
      </c>
      <c r="C3093" s="106" t="inlineStr">
        <is>
          <t>Gympass</t>
        </is>
      </c>
      <c r="D3093" s="107" t="n"/>
      <c r="E3093" s="108" t="n"/>
      <c r="F3093" s="109">
        <f>IFERROR(D3093*E3093,0)</f>
        <v/>
      </c>
      <c r="G3093" s="106">
        <f>INDEX(SETORES!$B:$B,MATCH(A3093,SETORES!$A:$A,0))</f>
        <v/>
      </c>
      <c r="H3093" s="106" t="inlineStr">
        <is>
          <t>Outubro/2026</t>
        </is>
      </c>
    </row>
    <row r="3094">
      <c r="A3094" s="106" t="inlineStr">
        <is>
          <t>Gestão de Atendimento</t>
        </is>
      </c>
      <c r="B3094" s="106" t="inlineStr">
        <is>
          <t>Custo Fixo</t>
        </is>
      </c>
      <c r="C3094" s="106" t="inlineStr">
        <is>
          <t>Stargrid</t>
        </is>
      </c>
      <c r="D3094" s="107" t="n">
        <v>17</v>
      </c>
      <c r="E3094" s="108" t="n">
        <v>1.87</v>
      </c>
      <c r="F3094" s="109">
        <f>IFERROR(D3094*E3094,0)</f>
        <v/>
      </c>
      <c r="G3094" s="106">
        <f>INDEX(SETORES!$B:$B,MATCH(A3094,SETORES!$A:$A,0))</f>
        <v/>
      </c>
      <c r="H3094" s="106" t="inlineStr">
        <is>
          <t>Outubro/2026</t>
        </is>
      </c>
    </row>
    <row r="3095">
      <c r="A3095" s="106" t="inlineStr">
        <is>
          <t>RH</t>
        </is>
      </c>
      <c r="B3095" s="106" t="inlineStr">
        <is>
          <t>Custo Fixo</t>
        </is>
      </c>
      <c r="C3095" s="106" t="inlineStr">
        <is>
          <t>Software exclusivo fiberschool (RH)</t>
        </is>
      </c>
      <c r="D3095" s="107" t="n">
        <v>1</v>
      </c>
      <c r="E3095" s="108" t="n">
        <v>2500</v>
      </c>
      <c r="F3095" s="109">
        <f>IFERROR(D3095*E3095,0)</f>
        <v/>
      </c>
      <c r="G3095" s="106">
        <f>INDEX(SETORES!$B:$B,MATCH(A3095,SETORES!$A:$A,0))</f>
        <v/>
      </c>
      <c r="H3095" s="106" t="inlineStr">
        <is>
          <t>Outubro/2026</t>
        </is>
      </c>
    </row>
    <row r="3096">
      <c r="A3096" s="106" t="inlineStr">
        <is>
          <t>RH</t>
        </is>
      </c>
      <c r="B3096" s="106" t="inlineStr">
        <is>
          <t>Custo Fixo</t>
        </is>
      </c>
      <c r="C3096" s="106" t="inlineStr">
        <is>
          <t>Software RH1000 (RH)</t>
        </is>
      </c>
      <c r="D3096" s="107" t="n">
        <v>1</v>
      </c>
      <c r="E3096" s="108" t="n">
        <v>2612.9</v>
      </c>
      <c r="F3096" s="109">
        <f>IFERROR(D3096*E3096,0)</f>
        <v/>
      </c>
      <c r="G3096" s="106">
        <f>INDEX(SETORES!$B:$B,MATCH(A3096,SETORES!$A:$A,0))</f>
        <v/>
      </c>
      <c r="H3096" s="106" t="inlineStr">
        <is>
          <t>Outubro/2026</t>
        </is>
      </c>
    </row>
    <row r="3097">
      <c r="A3097" s="106" t="inlineStr">
        <is>
          <t>Administrativo</t>
        </is>
      </c>
      <c r="B3097" s="106" t="inlineStr">
        <is>
          <t>Custo Fixo</t>
        </is>
      </c>
      <c r="C3097" s="106" t="inlineStr">
        <is>
          <t>Sistema de assinatura eletronica (autentique) (TIC)</t>
        </is>
      </c>
      <c r="D3097" s="107" t="n">
        <v>1</v>
      </c>
      <c r="E3097" s="108" t="n">
        <v>99</v>
      </c>
      <c r="F3097" s="109">
        <f>IFERROR(D3097*E3097,0)</f>
        <v/>
      </c>
      <c r="G3097" s="106">
        <f>INDEX(SETORES!$B:$B,MATCH(A3097,SETORES!$A:$A,0))</f>
        <v/>
      </c>
      <c r="H3097" s="106" t="inlineStr">
        <is>
          <t>Outubro/2026</t>
        </is>
      </c>
    </row>
    <row r="3098">
      <c r="A3098" s="106" t="inlineStr">
        <is>
          <t>Financeiro</t>
        </is>
      </c>
      <c r="B3098" s="106" t="inlineStr">
        <is>
          <t>Custo Fixo</t>
        </is>
      </c>
      <c r="C3098" s="106" t="inlineStr">
        <is>
          <t>Plataforma do aplicativo Vexpenses (financeiro)</t>
        </is>
      </c>
      <c r="D3098" s="107" t="n"/>
      <c r="E3098" s="108" t="n"/>
      <c r="F3098" s="109">
        <f>IFERROR(D3098*E3098,0)</f>
        <v/>
      </c>
      <c r="G3098" s="106">
        <f>INDEX(SETORES!$B:$B,MATCH(A3098,SETORES!$A:$A,0))</f>
        <v/>
      </c>
      <c r="H3098" s="106" t="inlineStr">
        <is>
          <t>Outubro/2026</t>
        </is>
      </c>
    </row>
    <row r="3099">
      <c r="A3099" s="106" t="inlineStr">
        <is>
          <t>DP</t>
        </is>
      </c>
      <c r="B3099" s="106" t="inlineStr">
        <is>
          <t>Custo Fixo</t>
        </is>
      </c>
      <c r="C3099" s="106" t="inlineStr">
        <is>
          <t>Licenças de software/sistemas corporativos (DP)</t>
        </is>
      </c>
      <c r="D3099" s="107" t="n">
        <v>1</v>
      </c>
      <c r="E3099" s="108" t="n">
        <v>2559.44</v>
      </c>
      <c r="F3099" s="109">
        <f>IFERROR(D3099*E3099,0)</f>
        <v/>
      </c>
      <c r="G3099" s="106">
        <f>INDEX(SETORES!$B:$B,MATCH(A3099,SETORES!$A:$A,0))</f>
        <v/>
      </c>
      <c r="H3099" s="106" t="inlineStr">
        <is>
          <t>Outubro/2026</t>
        </is>
      </c>
    </row>
    <row r="3100">
      <c r="A3100" s="106" t="inlineStr">
        <is>
          <t>DP</t>
        </is>
      </c>
      <c r="B3100" s="106" t="inlineStr">
        <is>
          <t>Custo Fixo</t>
        </is>
      </c>
      <c r="C3100" s="106" t="inlineStr">
        <is>
          <t>Sistema de ponto eletrônico (KAIROS) (DP)</t>
        </is>
      </c>
      <c r="D3100" s="107" t="n"/>
      <c r="E3100" s="108" t="n"/>
      <c r="F3100" s="109">
        <f>IFERROR(D3100*E3100,0)</f>
        <v/>
      </c>
      <c r="G3100" s="106">
        <f>INDEX(SETORES!$B:$B,MATCH(A3100,SETORES!$A:$A,0))</f>
        <v/>
      </c>
      <c r="H3100" s="106" t="inlineStr">
        <is>
          <t>Outubro/2026</t>
        </is>
      </c>
    </row>
    <row r="3101">
      <c r="A3101" s="106" t="inlineStr">
        <is>
          <t>RH</t>
        </is>
      </c>
      <c r="B3101" s="106" t="inlineStr">
        <is>
          <t>Custo Fixo</t>
        </is>
      </c>
      <c r="C3101" s="106" t="inlineStr">
        <is>
          <t>Plataforma de comunicação interna (Useflow) (RH)</t>
        </is>
      </c>
      <c r="D3101" s="107" t="n">
        <v>1</v>
      </c>
      <c r="E3101" s="108" t="n">
        <v>2000</v>
      </c>
      <c r="F3101" s="109">
        <f>IFERROR(D3101*E3101,0)</f>
        <v/>
      </c>
      <c r="G3101" s="106">
        <f>INDEX(SETORES!$B:$B,MATCH(A3101,SETORES!$A:$A,0))</f>
        <v/>
      </c>
      <c r="H3101" s="106" t="inlineStr">
        <is>
          <t>Outubro/2026</t>
        </is>
      </c>
    </row>
    <row r="3102">
      <c r="A3102" s="106" t="inlineStr">
        <is>
          <t>DP</t>
        </is>
      </c>
      <c r="B3102" s="106" t="inlineStr">
        <is>
          <t>Custo Fixo</t>
        </is>
      </c>
      <c r="C3102" s="106" t="inlineStr">
        <is>
          <t>Software exclusivo B2D (Arquivar) (DP)</t>
        </is>
      </c>
      <c r="D3102" s="107" t="n"/>
      <c r="E3102" s="108" t="n"/>
      <c r="F3102" s="109">
        <f>IFERROR(D3102*E3102,0)</f>
        <v/>
      </c>
      <c r="G3102" s="106">
        <f>INDEX(SETORES!$B:$B,MATCH(A3102,SETORES!$A:$A,0))</f>
        <v/>
      </c>
      <c r="H3102" s="106" t="inlineStr">
        <is>
          <t>Outubro/2026</t>
        </is>
      </c>
    </row>
    <row r="3103">
      <c r="A3103" s="106" t="inlineStr">
        <is>
          <t>DP</t>
        </is>
      </c>
      <c r="B3103" s="106" t="inlineStr">
        <is>
          <t>Custo Fixo</t>
        </is>
      </c>
      <c r="C3103" s="106" t="inlineStr">
        <is>
          <t>Software Dominio portal do empregado (DP)</t>
        </is>
      </c>
      <c r="D3103" s="107" t="n"/>
      <c r="E3103" s="108" t="n"/>
      <c r="F3103" s="109">
        <f>IFERROR(D3103*E3103,0)</f>
        <v/>
      </c>
      <c r="G3103" s="106">
        <f>INDEX(SETORES!$B:$B,MATCH(A3103,SETORES!$A:$A,0))</f>
        <v/>
      </c>
      <c r="H3103" s="106" t="inlineStr">
        <is>
          <t>Outubro/2026</t>
        </is>
      </c>
    </row>
    <row r="3104">
      <c r="A3104" s="106" t="inlineStr">
        <is>
          <t>Contabilidade</t>
        </is>
      </c>
      <c r="B3104" s="106" t="inlineStr">
        <is>
          <t>Custo Fixo</t>
        </is>
      </c>
      <c r="C3104" s="106" t="inlineStr">
        <is>
          <t>Licenças de software/sistemas corporativos (Contabilidade)</t>
        </is>
      </c>
      <c r="D3104" s="107" t="n">
        <v>1</v>
      </c>
      <c r="E3104" s="108" t="n">
        <v>2559.45</v>
      </c>
      <c r="F3104" s="109">
        <f>IFERROR(D3104*E3104,0)</f>
        <v/>
      </c>
      <c r="G3104" s="106">
        <f>INDEX(SETORES!$B:$B,MATCH(A3104,SETORES!$A:$A,0))</f>
        <v/>
      </c>
      <c r="H3104" s="106" t="inlineStr">
        <is>
          <t>Outubro/2026</t>
        </is>
      </c>
    </row>
    <row r="3105">
      <c r="A3105" s="106" t="inlineStr">
        <is>
          <t>Administrativo</t>
        </is>
      </c>
      <c r="B3105" s="106" t="inlineStr">
        <is>
          <t>Custo Fixo</t>
        </is>
      </c>
      <c r="C3105" s="106" t="inlineStr">
        <is>
          <t>Software Power BI Dynamics (f001796)</t>
        </is>
      </c>
      <c r="D3105" s="107" t="n">
        <v>1</v>
      </c>
      <c r="E3105" s="108" t="n">
        <v>1787.09</v>
      </c>
      <c r="F3105" s="109">
        <f>IFERROR(D3105*E3105,0)</f>
        <v/>
      </c>
      <c r="G3105" s="106">
        <f>INDEX(SETORES!$B:$B,MATCH(A3105,SETORES!$A:$A,0))</f>
        <v/>
      </c>
      <c r="H3105" s="106" t="inlineStr">
        <is>
          <t>Outubro/2026</t>
        </is>
      </c>
    </row>
    <row r="3106">
      <c r="A3106" s="106" t="inlineStr">
        <is>
          <t>Engenharia</t>
        </is>
      </c>
      <c r="B3106" s="106" t="inlineStr">
        <is>
          <t>Custo Fixo</t>
        </is>
      </c>
      <c r="C3106" s="106" t="inlineStr">
        <is>
          <t>Software de geolocalização (Engenharia)</t>
        </is>
      </c>
      <c r="D3106" s="107" t="n"/>
      <c r="E3106" s="108" t="n"/>
      <c r="F3106" s="109">
        <f>IFERROR(D3106*E3106,0)</f>
        <v/>
      </c>
      <c r="G3106" s="106">
        <f>INDEX(SETORES!$B:$B,MATCH(A3106,SETORES!$A:$A,0))</f>
        <v/>
      </c>
      <c r="H3106" s="106" t="inlineStr">
        <is>
          <t>Outubro/2026</t>
        </is>
      </c>
    </row>
    <row r="3107">
      <c r="A3107" s="106" t="inlineStr">
        <is>
          <t>Logística</t>
        </is>
      </c>
      <c r="B3107" s="106" t="inlineStr">
        <is>
          <t>Custo Fixo</t>
        </is>
      </c>
      <c r="C3107" s="106" t="inlineStr">
        <is>
          <t>Software Full time (Logística)</t>
        </is>
      </c>
      <c r="D3107" s="107" t="n"/>
      <c r="E3107" s="108" t="n"/>
      <c r="F3107" s="109">
        <f>IFERROR(D3107*E3107,0)</f>
        <v/>
      </c>
      <c r="G3107" s="106">
        <f>INDEX(SETORES!$B:$B,MATCH(A3107,SETORES!$A:$A,0))</f>
        <v/>
      </c>
      <c r="H3107" s="106" t="inlineStr">
        <is>
          <t>Outubro/2026</t>
        </is>
      </c>
    </row>
    <row r="3108">
      <c r="A3108" s="106" t="inlineStr">
        <is>
          <t>Administrativo</t>
        </is>
      </c>
      <c r="B3108" s="106" t="inlineStr">
        <is>
          <t>Custo Fixo</t>
        </is>
      </c>
      <c r="C3108" s="106" t="inlineStr">
        <is>
          <t>Software de sistema eletronico de alarme (administrativo)</t>
        </is>
      </c>
      <c r="D3108" s="107" t="n"/>
      <c r="E3108" s="108" t="n"/>
      <c r="F3108" s="109">
        <f>IFERROR(D3108*E3108,0)</f>
        <v/>
      </c>
      <c r="G3108" s="106">
        <f>INDEX(SETORES!$B:$B,MATCH(A3108,SETORES!$A:$A,0))</f>
        <v/>
      </c>
      <c r="H3108" s="106" t="inlineStr">
        <is>
          <t>Outubro/2026</t>
        </is>
      </c>
    </row>
    <row r="3109">
      <c r="A3109" s="106" t="inlineStr">
        <is>
          <t>CAC</t>
        </is>
      </c>
      <c r="B3109" s="106" t="inlineStr">
        <is>
          <t>Custo Fixo</t>
        </is>
      </c>
      <c r="C3109" s="106" t="inlineStr">
        <is>
          <t>Material de escritório (suprimentos de informática)</t>
        </is>
      </c>
      <c r="D3109" s="107" t="n"/>
      <c r="E3109" s="108" t="n"/>
      <c r="F3109" s="109">
        <f>IFERROR(D3109*E3109,0)</f>
        <v/>
      </c>
      <c r="G3109" s="106">
        <f>INDEX(SETORES!$B:$B,MATCH(A3109,SETORES!$A:$A,0))</f>
        <v/>
      </c>
      <c r="H3109" s="106" t="inlineStr">
        <is>
          <t>Outubro/2026</t>
        </is>
      </c>
    </row>
    <row r="3110">
      <c r="A3110" s="106" t="inlineStr">
        <is>
          <t>CAC</t>
        </is>
      </c>
      <c r="B3110" s="106" t="inlineStr">
        <is>
          <t>Custo Fixo</t>
        </is>
      </c>
      <c r="C3110" s="106" t="inlineStr">
        <is>
          <t>Material de uso coletivo (copa/limpeza)</t>
        </is>
      </c>
      <c r="D3110" s="107" t="n"/>
      <c r="E3110" s="108" t="n"/>
      <c r="F3110" s="109">
        <f>IFERROR(D3110*E3110,0)</f>
        <v/>
      </c>
      <c r="G3110" s="106">
        <f>INDEX(SETORES!$B:$B,MATCH(A3110,SETORES!$A:$A,0))</f>
        <v/>
      </c>
      <c r="H3110" s="106" t="inlineStr">
        <is>
          <t>Outubro/2026</t>
        </is>
      </c>
    </row>
    <row r="3111">
      <c r="A3111" s="106" t="inlineStr">
        <is>
          <t>CAC</t>
        </is>
      </c>
      <c r="B3111" s="106" t="inlineStr">
        <is>
          <t>Custo Fixo</t>
        </is>
      </c>
      <c r="C3111" s="106" t="inlineStr">
        <is>
          <t>Energia elétrica (rateio)</t>
        </is>
      </c>
      <c r="D3111" s="107" t="n"/>
      <c r="E3111" s="108" t="n"/>
      <c r="F3111" s="109">
        <f>IFERROR(D3111*E3111,0)</f>
        <v/>
      </c>
      <c r="G3111" s="106">
        <f>INDEX(SETORES!$B:$B,MATCH(A3111,SETORES!$A:$A,0))</f>
        <v/>
      </c>
      <c r="H3111" s="106" t="inlineStr">
        <is>
          <t>Outubro/2026</t>
        </is>
      </c>
    </row>
    <row r="3112">
      <c r="A3112" s="106" t="inlineStr">
        <is>
          <t>CAC</t>
        </is>
      </c>
      <c r="B3112" s="106" t="inlineStr">
        <is>
          <t>Custo Fixo</t>
        </is>
      </c>
      <c r="C3112" s="106" t="inlineStr">
        <is>
          <t>Água e esgoto (rateio)</t>
        </is>
      </c>
      <c r="D3112" s="107" t="n"/>
      <c r="E3112" s="108" t="n"/>
      <c r="F3112" s="109">
        <f>IFERROR(D3112*E3112,0)</f>
        <v/>
      </c>
      <c r="G3112" s="106">
        <f>INDEX(SETORES!$B:$B,MATCH(A3112,SETORES!$A:$A,0))</f>
        <v/>
      </c>
      <c r="H3112" s="106" t="inlineStr">
        <is>
          <t>Outubro/2026</t>
        </is>
      </c>
    </row>
    <row r="3113">
      <c r="A3113" s="106" t="inlineStr">
        <is>
          <t>CAC</t>
        </is>
      </c>
      <c r="B3113" s="106" t="inlineStr">
        <is>
          <t>Custo Fixo</t>
        </is>
      </c>
      <c r="C3113" s="106" t="inlineStr">
        <is>
          <t>Telefonia móvel corporativa</t>
        </is>
      </c>
      <c r="D3113" s="107" t="n"/>
      <c r="E3113" s="108" t="n"/>
      <c r="F3113" s="109">
        <f>IFERROR(D3113*E3113,0)</f>
        <v/>
      </c>
      <c r="G3113" s="106">
        <f>INDEX(SETORES!$B:$B,MATCH(A3113,SETORES!$A:$A,0))</f>
        <v/>
      </c>
      <c r="H3113" s="106" t="inlineStr">
        <is>
          <t>Outubro/2026</t>
        </is>
      </c>
    </row>
    <row r="3114">
      <c r="A3114" s="106" t="inlineStr">
        <is>
          <t>CAC</t>
        </is>
      </c>
      <c r="B3114" s="106" t="inlineStr">
        <is>
          <t>Custo Fixo</t>
        </is>
      </c>
      <c r="C3114" s="106" t="inlineStr">
        <is>
          <t>Folha de pagamento (salários)</t>
        </is>
      </c>
      <c r="D3114" s="107" t="n">
        <v>1</v>
      </c>
      <c r="E3114" s="108" t="n">
        <v>21051.01</v>
      </c>
      <c r="F3114" s="109">
        <f>IFERROR(D3114*E3114,0)</f>
        <v/>
      </c>
      <c r="G3114" s="106">
        <f>INDEX(SETORES!$B:$B,MATCH(A3114,SETORES!$A:$A,0))</f>
        <v/>
      </c>
      <c r="H3114" s="106" t="inlineStr">
        <is>
          <t>Outubro/2026</t>
        </is>
      </c>
    </row>
    <row r="3115">
      <c r="A3115" s="106" t="inlineStr">
        <is>
          <t>CAC</t>
        </is>
      </c>
      <c r="B3115" s="106" t="inlineStr">
        <is>
          <t>Custo Variável</t>
        </is>
      </c>
      <c r="C3115" s="106" t="inlineStr">
        <is>
          <t>Fardamento novo</t>
        </is>
      </c>
      <c r="D3115" s="107" t="n"/>
      <c r="E3115" s="108" t="n"/>
      <c r="F3115" s="109">
        <f>IFERROR(D3115*E3115,0)</f>
        <v/>
      </c>
      <c r="G3115" s="106">
        <f>INDEX(SETORES!$B:$B,MATCH(A3115,SETORES!$A:$A,0))</f>
        <v/>
      </c>
      <c r="H3115" s="106" t="inlineStr">
        <is>
          <t>Outubro/2026</t>
        </is>
      </c>
    </row>
    <row r="3116">
      <c r="A3116" s="106" t="inlineStr">
        <is>
          <t>CAC</t>
        </is>
      </c>
      <c r="B3116" s="106" t="inlineStr">
        <is>
          <t>Custo Variável</t>
        </is>
      </c>
      <c r="C3116" s="106" t="inlineStr">
        <is>
          <t>Fardamento substituição</t>
        </is>
      </c>
      <c r="D3116" s="107" t="n"/>
      <c r="E3116" s="108" t="n"/>
      <c r="F3116" s="109">
        <f>IFERROR(D3116*E3116,0)</f>
        <v/>
      </c>
      <c r="G3116" s="106">
        <f>INDEX(SETORES!$B:$B,MATCH(A3116,SETORES!$A:$A,0))</f>
        <v/>
      </c>
      <c r="H3116" s="106" t="inlineStr">
        <is>
          <t>Outubro/2026</t>
        </is>
      </c>
    </row>
    <row r="3117">
      <c r="A3117" s="106" t="inlineStr">
        <is>
          <t>CAC</t>
        </is>
      </c>
      <c r="B3117" s="106" t="inlineStr">
        <is>
          <t>Custo Variável</t>
        </is>
      </c>
      <c r="C3117" s="106" t="inlineStr">
        <is>
          <t>Exames médicos</t>
        </is>
      </c>
      <c r="D3117" s="107" t="n"/>
      <c r="E3117" s="108" t="n"/>
      <c r="F3117" s="109">
        <f>IFERROR(D3117*E3117,0)</f>
        <v/>
      </c>
      <c r="G3117" s="106">
        <f>INDEX(SETORES!$B:$B,MATCH(A3117,SETORES!$A:$A,0))</f>
        <v/>
      </c>
      <c r="H3117" s="106" t="inlineStr">
        <is>
          <t>Outubro/2026</t>
        </is>
      </c>
    </row>
    <row r="3118">
      <c r="A3118" s="106" t="inlineStr">
        <is>
          <t>CAC</t>
        </is>
      </c>
      <c r="B3118" s="106" t="inlineStr">
        <is>
          <t>Custo Fixo</t>
        </is>
      </c>
      <c r="C3118" s="106" t="inlineStr">
        <is>
          <t>Licença de e-mail corporativo</t>
        </is>
      </c>
      <c r="D3118" s="107" t="n">
        <v>5</v>
      </c>
      <c r="E3118" s="108" t="n">
        <v>50</v>
      </c>
      <c r="F3118" s="109">
        <f>IFERROR(D3118*E3118,0)</f>
        <v/>
      </c>
      <c r="G3118" s="106">
        <f>INDEX(SETORES!$B:$B,MATCH(A3118,SETORES!$A:$A,0))</f>
        <v/>
      </c>
      <c r="H3118" s="106" t="inlineStr">
        <is>
          <t>Outubro/2026</t>
        </is>
      </c>
    </row>
    <row r="3119">
      <c r="A3119" s="106" t="inlineStr">
        <is>
          <t>CAC</t>
        </is>
      </c>
      <c r="B3119" s="106" t="inlineStr">
        <is>
          <t>Custo Fixo</t>
        </is>
      </c>
      <c r="C3119" s="106" t="inlineStr">
        <is>
          <t>Gympass</t>
        </is>
      </c>
      <c r="D3119" s="107" t="n"/>
      <c r="E3119" s="108" t="n"/>
      <c r="F3119" s="109">
        <f>IFERROR(D3119*E3119,0)</f>
        <v/>
      </c>
      <c r="G3119" s="106">
        <f>INDEX(SETORES!$B:$B,MATCH(A3119,SETORES!$A:$A,0))</f>
        <v/>
      </c>
      <c r="H3119" s="106" t="inlineStr">
        <is>
          <t>Outubro/2026</t>
        </is>
      </c>
    </row>
    <row r="3120">
      <c r="A3120" s="106" t="inlineStr">
        <is>
          <t>CAC</t>
        </is>
      </c>
      <c r="B3120" s="106" t="inlineStr">
        <is>
          <t>Custo Fixo</t>
        </is>
      </c>
      <c r="C3120" s="106" t="inlineStr">
        <is>
          <t>Stargrid</t>
        </is>
      </c>
      <c r="D3120" s="107" t="n">
        <v>5</v>
      </c>
      <c r="E3120" s="108" t="n">
        <v>1.87</v>
      </c>
      <c r="F3120" s="109">
        <f>IFERROR(D3120*E3120,0)</f>
        <v/>
      </c>
      <c r="G3120" s="106">
        <f>INDEX(SETORES!$B:$B,MATCH(A3120,SETORES!$A:$A,0))</f>
        <v/>
      </c>
      <c r="H3120" s="106" t="inlineStr">
        <is>
          <t>Outubro/2026</t>
        </is>
      </c>
    </row>
    <row r="3121">
      <c r="A3121" s="106" t="inlineStr">
        <is>
          <t>Cobrança</t>
        </is>
      </c>
      <c r="B3121" s="106" t="inlineStr">
        <is>
          <t>Custo Fixo</t>
        </is>
      </c>
      <c r="C3121" s="106" t="inlineStr">
        <is>
          <t>Material de escritório (suprimentos de informática)</t>
        </is>
      </c>
      <c r="D3121" s="107" t="n">
        <v>1</v>
      </c>
      <c r="E3121" s="108" t="n">
        <v>3.74</v>
      </c>
      <c r="F3121" s="109">
        <f>IFERROR(D3121*E3121,0)</f>
        <v/>
      </c>
      <c r="G3121" s="106">
        <f>INDEX(SETORES!$B:$B,MATCH(A3121,SETORES!$A:$A,0))</f>
        <v/>
      </c>
      <c r="H3121" s="106" t="inlineStr">
        <is>
          <t>Outubro/2026</t>
        </is>
      </c>
    </row>
    <row r="3122">
      <c r="A3122" s="106" t="inlineStr">
        <is>
          <t>Cobrança</t>
        </is>
      </c>
      <c r="B3122" s="106" t="inlineStr">
        <is>
          <t>Custo Fixo</t>
        </is>
      </c>
      <c r="C3122" s="106" t="inlineStr">
        <is>
          <t>Material de uso coletivo (copa/limpeza)</t>
        </is>
      </c>
      <c r="D3122" s="107" t="n">
        <v>1</v>
      </c>
      <c r="E3122" s="108" t="n">
        <v>657.21</v>
      </c>
      <c r="F3122" s="109">
        <f>IFERROR(D3122*E3122,0)</f>
        <v/>
      </c>
      <c r="G3122" s="106">
        <f>INDEX(SETORES!$B:$B,MATCH(A3122,SETORES!$A:$A,0))</f>
        <v/>
      </c>
      <c r="H3122" s="106" t="inlineStr">
        <is>
          <t>Outubro/2026</t>
        </is>
      </c>
    </row>
    <row r="3123">
      <c r="A3123" s="106" t="inlineStr">
        <is>
          <t>Cobrança</t>
        </is>
      </c>
      <c r="B3123" s="106" t="inlineStr">
        <is>
          <t>Custo Fixo</t>
        </is>
      </c>
      <c r="C3123" s="106" t="inlineStr">
        <is>
          <t>Energia elétrica (rateio)</t>
        </is>
      </c>
      <c r="D3123" s="107" t="n"/>
      <c r="E3123" s="108" t="n"/>
      <c r="F3123" s="109">
        <f>IFERROR(D3123*E3123,0)</f>
        <v/>
      </c>
      <c r="G3123" s="106">
        <f>INDEX(SETORES!$B:$B,MATCH(A3123,SETORES!$A:$A,0))</f>
        <v/>
      </c>
      <c r="H3123" s="106" t="inlineStr">
        <is>
          <t>Outubro/2026</t>
        </is>
      </c>
    </row>
    <row r="3124">
      <c r="A3124" s="106" t="inlineStr">
        <is>
          <t>Cobrança</t>
        </is>
      </c>
      <c r="B3124" s="106" t="inlineStr">
        <is>
          <t>Custo Fixo</t>
        </is>
      </c>
      <c r="C3124" s="106" t="inlineStr">
        <is>
          <t>Água e esgoto (rateio)</t>
        </is>
      </c>
      <c r="D3124" s="107" t="n"/>
      <c r="E3124" s="108" t="n"/>
      <c r="F3124" s="109">
        <f>IFERROR(D3124*E3124,0)</f>
        <v/>
      </c>
      <c r="G3124" s="106">
        <f>INDEX(SETORES!$B:$B,MATCH(A3124,SETORES!$A:$A,0))</f>
        <v/>
      </c>
      <c r="H3124" s="106" t="inlineStr">
        <is>
          <t>Outubro/2026</t>
        </is>
      </c>
    </row>
    <row r="3125">
      <c r="A3125" s="106" t="inlineStr">
        <is>
          <t>Cobrança</t>
        </is>
      </c>
      <c r="B3125" s="106" t="inlineStr">
        <is>
          <t>Custo Fixo</t>
        </is>
      </c>
      <c r="C3125" s="106" t="inlineStr">
        <is>
          <t>Telefonia móvel corporativa</t>
        </is>
      </c>
      <c r="D3125" s="107" t="n"/>
      <c r="E3125" s="108" t="n"/>
      <c r="F3125" s="109">
        <f>IFERROR(D3125*E3125,0)</f>
        <v/>
      </c>
      <c r="G3125" s="106">
        <f>INDEX(SETORES!$B:$B,MATCH(A3125,SETORES!$A:$A,0))</f>
        <v/>
      </c>
      <c r="H3125" s="106" t="inlineStr">
        <is>
          <t>Outubro/2026</t>
        </is>
      </c>
    </row>
    <row r="3126">
      <c r="A3126" s="106" t="inlineStr">
        <is>
          <t>Cobrança</t>
        </is>
      </c>
      <c r="B3126" s="106" t="inlineStr">
        <is>
          <t>Custo Fixo</t>
        </is>
      </c>
      <c r="C3126" s="106" t="inlineStr">
        <is>
          <t>Folha de pagamento (salários)</t>
        </is>
      </c>
      <c r="D3126" s="107" t="n">
        <v>1</v>
      </c>
      <c r="E3126" s="108" t="n">
        <v>42492.05</v>
      </c>
      <c r="F3126" s="109">
        <f>IFERROR(D3126*E3126,0)</f>
        <v/>
      </c>
      <c r="G3126" s="106">
        <f>INDEX(SETORES!$B:$B,MATCH(A3126,SETORES!$A:$A,0))</f>
        <v/>
      </c>
      <c r="H3126" s="106" t="inlineStr">
        <is>
          <t>Outubro/2026</t>
        </is>
      </c>
    </row>
    <row r="3127">
      <c r="A3127" s="106" t="inlineStr">
        <is>
          <t>Cobrança</t>
        </is>
      </c>
      <c r="B3127" s="106" t="inlineStr">
        <is>
          <t>Custo Variável</t>
        </is>
      </c>
      <c r="C3127" s="106" t="inlineStr">
        <is>
          <t>Fardamento novo</t>
        </is>
      </c>
      <c r="D3127" s="107" t="n"/>
      <c r="E3127" s="108" t="n"/>
      <c r="F3127" s="109">
        <f>IFERROR(D3127*E3127,0)</f>
        <v/>
      </c>
      <c r="G3127" s="106">
        <f>INDEX(SETORES!$B:$B,MATCH(A3127,SETORES!$A:$A,0))</f>
        <v/>
      </c>
      <c r="H3127" s="106" t="inlineStr">
        <is>
          <t>Outubro/2026</t>
        </is>
      </c>
    </row>
    <row r="3128">
      <c r="A3128" s="106" t="inlineStr">
        <is>
          <t>Cobrança</t>
        </is>
      </c>
      <c r="B3128" s="106" t="inlineStr">
        <is>
          <t>Custo Variável</t>
        </is>
      </c>
      <c r="C3128" s="106" t="inlineStr">
        <is>
          <t>Fardamento substituição</t>
        </is>
      </c>
      <c r="D3128" s="107" t="n"/>
      <c r="E3128" s="108" t="n"/>
      <c r="F3128" s="109">
        <f>IFERROR(D3128*E3128,0)</f>
        <v/>
      </c>
      <c r="G3128" s="106">
        <f>INDEX(SETORES!$B:$B,MATCH(A3128,SETORES!$A:$A,0))</f>
        <v/>
      </c>
      <c r="H3128" s="106" t="inlineStr">
        <is>
          <t>Outubro/2026</t>
        </is>
      </c>
    </row>
    <row r="3129">
      <c r="A3129" s="106" t="inlineStr">
        <is>
          <t>Cobrança</t>
        </is>
      </c>
      <c r="B3129" s="106" t="inlineStr">
        <is>
          <t>Custo Variável</t>
        </is>
      </c>
      <c r="C3129" s="106" t="inlineStr">
        <is>
          <t>Rescisões trabalhistas</t>
        </is>
      </c>
      <c r="D3129" s="107" t="n"/>
      <c r="E3129" s="108" t="n"/>
      <c r="F3129" s="109">
        <f>IFERROR(D3129*E3129,0)</f>
        <v/>
      </c>
      <c r="G3129" s="106">
        <f>INDEX(SETORES!$B:$B,MATCH(A3129,SETORES!$A:$A,0))</f>
        <v/>
      </c>
      <c r="H3129" s="106" t="inlineStr">
        <is>
          <t>Outubro/2026</t>
        </is>
      </c>
    </row>
    <row r="3130">
      <c r="A3130" s="106" t="inlineStr">
        <is>
          <t>Cobrança</t>
        </is>
      </c>
      <c r="B3130" s="106" t="inlineStr">
        <is>
          <t>Custo Fixo</t>
        </is>
      </c>
      <c r="C3130" s="106" t="inlineStr">
        <is>
          <t>Licença de e-mail corporativo</t>
        </is>
      </c>
      <c r="D3130" s="107" t="n">
        <v>13</v>
      </c>
      <c r="E3130" s="108" t="n">
        <v>50</v>
      </c>
      <c r="F3130" s="109">
        <f>IFERROR(D3130*E3130,0)</f>
        <v/>
      </c>
      <c r="G3130" s="106">
        <f>INDEX(SETORES!$B:$B,MATCH(A3130,SETORES!$A:$A,0))</f>
        <v/>
      </c>
      <c r="H3130" s="106" t="inlineStr">
        <is>
          <t>Outubro/2026</t>
        </is>
      </c>
    </row>
    <row r="3131">
      <c r="A3131" s="106" t="inlineStr">
        <is>
          <t>Cobrança</t>
        </is>
      </c>
      <c r="B3131" s="106" t="inlineStr">
        <is>
          <t>Custo Fixo</t>
        </is>
      </c>
      <c r="C3131" s="106" t="inlineStr">
        <is>
          <t>Software MATRIX (rateio equipe Relacionamento)</t>
        </is>
      </c>
      <c r="D3131" s="107" t="n"/>
      <c r="E3131" s="108" t="n"/>
      <c r="F3131" s="109">
        <f>IFERROR(D3131*E3131,0)</f>
        <v/>
      </c>
      <c r="G3131" s="106">
        <f>INDEX(SETORES!$B:$B,MATCH(A3131,SETORES!$A:$A,0))</f>
        <v/>
      </c>
      <c r="H3131" s="106" t="inlineStr">
        <is>
          <t>Outubro/2026</t>
        </is>
      </c>
    </row>
    <row r="3132">
      <c r="A3132" s="106" t="inlineStr">
        <is>
          <t>Cobrança</t>
        </is>
      </c>
      <c r="B3132" s="106" t="inlineStr">
        <is>
          <t>Custo Fixo</t>
        </is>
      </c>
      <c r="C3132" s="106" t="inlineStr">
        <is>
          <t>Impressora (rateio equipe Relacionamento)</t>
        </is>
      </c>
      <c r="D3132" s="107" t="n"/>
      <c r="E3132" s="108" t="n"/>
      <c r="F3132" s="109">
        <f>IFERROR(D3132*E3132,0)</f>
        <v/>
      </c>
      <c r="G3132" s="106">
        <f>INDEX(SETORES!$B:$B,MATCH(A3132,SETORES!$A:$A,0))</f>
        <v/>
      </c>
      <c r="H3132" s="106" t="inlineStr">
        <is>
          <t>Outubro/2026</t>
        </is>
      </c>
    </row>
    <row r="3133">
      <c r="A3133" s="106" t="inlineStr">
        <is>
          <t>Cobrança</t>
        </is>
      </c>
      <c r="B3133" s="106" t="inlineStr">
        <is>
          <t>Custo Fixo</t>
        </is>
      </c>
      <c r="C3133" s="106" t="inlineStr">
        <is>
          <t>Gympass</t>
        </is>
      </c>
      <c r="D3133" s="107" t="n"/>
      <c r="E3133" s="108" t="n"/>
      <c r="F3133" s="109">
        <f>IFERROR(D3133*E3133,0)</f>
        <v/>
      </c>
      <c r="G3133" s="106">
        <f>INDEX(SETORES!$B:$B,MATCH(A3133,SETORES!$A:$A,0))</f>
        <v/>
      </c>
      <c r="H3133" s="106" t="inlineStr">
        <is>
          <t>Outubro/2026</t>
        </is>
      </c>
    </row>
    <row r="3134">
      <c r="A3134" s="106" t="inlineStr">
        <is>
          <t>Cobrança</t>
        </is>
      </c>
      <c r="B3134" s="106" t="inlineStr">
        <is>
          <t>Custo Fixo</t>
        </is>
      </c>
      <c r="C3134" s="106" t="inlineStr">
        <is>
          <t>Stargrid</t>
        </is>
      </c>
      <c r="D3134" s="107" t="n">
        <v>13</v>
      </c>
      <c r="E3134" s="108" t="n">
        <v>1.87</v>
      </c>
      <c r="F3134" s="109">
        <f>IFERROR(D3134*E3134,0)</f>
        <v/>
      </c>
      <c r="G3134" s="106">
        <f>INDEX(SETORES!$B:$B,MATCH(A3134,SETORES!$A:$A,0))</f>
        <v/>
      </c>
      <c r="H3134" s="106" t="inlineStr">
        <is>
          <t>Outubro/2026</t>
        </is>
      </c>
    </row>
    <row r="3135">
      <c r="A3135" s="106" t="inlineStr">
        <is>
          <t>Comercial Corporativo</t>
        </is>
      </c>
      <c r="B3135" s="106" t="inlineStr">
        <is>
          <t>Custo Variável</t>
        </is>
      </c>
      <c r="C3135" s="106" t="inlineStr">
        <is>
          <t>Endomarketing</t>
        </is>
      </c>
      <c r="D3135" s="107" t="n"/>
      <c r="E3135" s="108" t="n"/>
      <c r="F3135" s="109">
        <f>IFERROR(D3135*E3135,0)</f>
        <v/>
      </c>
      <c r="G3135" s="106">
        <f>INDEX(SETORES!$B:$B,MATCH(A3135,SETORES!$A:$A,0))</f>
        <v/>
      </c>
      <c r="H3135" s="106" t="inlineStr">
        <is>
          <t>Outubro/2026</t>
        </is>
      </c>
    </row>
    <row r="3136">
      <c r="A3136" s="106" t="inlineStr">
        <is>
          <t>Comercial Corporativo</t>
        </is>
      </c>
      <c r="B3136" s="106" t="inlineStr">
        <is>
          <t>Custo Variável</t>
        </is>
      </c>
      <c r="C3136" s="106" t="inlineStr">
        <is>
          <t>Marketing direto</t>
        </is>
      </c>
      <c r="D3136" s="107" t="n"/>
      <c r="E3136" s="108" t="n"/>
      <c r="F3136" s="109">
        <f>IFERROR(D3136*E3136,0)</f>
        <v/>
      </c>
      <c r="G3136" s="106">
        <f>INDEX(SETORES!$B:$B,MATCH(A3136,SETORES!$A:$A,0))</f>
        <v/>
      </c>
      <c r="H3136" s="106" t="inlineStr">
        <is>
          <t>Outubro/2026</t>
        </is>
      </c>
    </row>
    <row r="3137">
      <c r="A3137" s="106" t="inlineStr">
        <is>
          <t>Comercial Corporativo</t>
        </is>
      </c>
      <c r="B3137" s="106" t="inlineStr">
        <is>
          <t>Custo Fixo</t>
        </is>
      </c>
      <c r="C3137" s="106" t="inlineStr">
        <is>
          <t>E-mail do departamento</t>
        </is>
      </c>
      <c r="D3137" s="107" t="n">
        <v>12</v>
      </c>
      <c r="E3137" s="108" t="n">
        <v>50</v>
      </c>
      <c r="F3137" s="109">
        <f>IFERROR(D3137*E3137,0)</f>
        <v/>
      </c>
      <c r="G3137" s="106">
        <f>INDEX(SETORES!$B:$B,MATCH(A3137,SETORES!$A:$A,0))</f>
        <v/>
      </c>
      <c r="H3137" s="106" t="inlineStr">
        <is>
          <t>Outubro/2026</t>
        </is>
      </c>
    </row>
    <row r="3138">
      <c r="A3138" s="106" t="inlineStr">
        <is>
          <t>Comercial Corporativo</t>
        </is>
      </c>
      <c r="B3138" s="106" t="inlineStr">
        <is>
          <t>Custo Fixo</t>
        </is>
      </c>
      <c r="C3138" s="106" t="inlineStr">
        <is>
          <t>Folha de pagamento (salários)</t>
        </is>
      </c>
      <c r="D3138" s="107" t="n">
        <v>1</v>
      </c>
      <c r="E3138" s="108" t="n">
        <v>189839.41</v>
      </c>
      <c r="F3138" s="109">
        <f>IFERROR(D3138*E3138,0)</f>
        <v/>
      </c>
      <c r="G3138" s="106">
        <f>INDEX(SETORES!$B:$B,MATCH(A3138,SETORES!$A:$A,0))</f>
        <v/>
      </c>
      <c r="H3138" s="106" t="inlineStr">
        <is>
          <t>Outubro/2026</t>
        </is>
      </c>
    </row>
    <row r="3139">
      <c r="A3139" s="106" t="inlineStr">
        <is>
          <t>Comercial Corporativo</t>
        </is>
      </c>
      <c r="B3139" s="106" t="inlineStr">
        <is>
          <t>Custo Fixo</t>
        </is>
      </c>
      <c r="C3139" s="106" t="inlineStr">
        <is>
          <t>Linhas moveis (FIQUE MÓVEL)</t>
        </is>
      </c>
      <c r="D3139" s="107" t="n"/>
      <c r="E3139" s="108" t="n"/>
      <c r="F3139" s="109">
        <f>IFERROR(D3139*E3139,0)</f>
        <v/>
      </c>
      <c r="G3139" s="106">
        <f>INDEX(SETORES!$B:$B,MATCH(A3139,SETORES!$A:$A,0))</f>
        <v/>
      </c>
      <c r="H3139" s="106" t="inlineStr">
        <is>
          <t>Outubro/2026</t>
        </is>
      </c>
    </row>
    <row r="3140">
      <c r="A3140" s="106" t="inlineStr">
        <is>
          <t>Comercial Corporativo</t>
        </is>
      </c>
      <c r="B3140" s="106" t="inlineStr">
        <is>
          <t>Custo Fixo</t>
        </is>
      </c>
      <c r="C3140" s="106" t="inlineStr">
        <is>
          <t>Despesas com RH</t>
        </is>
      </c>
      <c r="D3140" s="107" t="n">
        <v>12</v>
      </c>
      <c r="E3140" s="108" t="n">
        <v>32.55</v>
      </c>
      <c r="F3140" s="109">
        <f>IFERROR(D3140*E3140,0)</f>
        <v/>
      </c>
      <c r="G3140" s="106">
        <f>INDEX(SETORES!$B:$B,MATCH(A3140,SETORES!$A:$A,0))</f>
        <v/>
      </c>
      <c r="H3140" s="106" t="inlineStr">
        <is>
          <t>Outubro/2026</t>
        </is>
      </c>
    </row>
    <row r="3141">
      <c r="A3141" s="106" t="inlineStr">
        <is>
          <t>Comercial Corporativo</t>
        </is>
      </c>
      <c r="B3141" s="106" t="inlineStr">
        <is>
          <t>Custo Fixo</t>
        </is>
      </c>
      <c r="C3141" s="106" t="inlineStr">
        <is>
          <t>Despesas com DP</t>
        </is>
      </c>
      <c r="D3141" s="107" t="n">
        <v>12</v>
      </c>
      <c r="E3141" s="108" t="n">
        <v>52.09</v>
      </c>
      <c r="F3141" s="109">
        <f>IFERROR(D3141*E3141,0)</f>
        <v/>
      </c>
      <c r="G3141" s="106">
        <f>INDEX(SETORES!$B:$B,MATCH(A3141,SETORES!$A:$A,0))</f>
        <v/>
      </c>
      <c r="H3141" s="106" t="inlineStr">
        <is>
          <t>Outubro/2026</t>
        </is>
      </c>
    </row>
    <row r="3142">
      <c r="A3142" s="106" t="inlineStr">
        <is>
          <t>Comercial Corporativo</t>
        </is>
      </c>
      <c r="B3142" s="106" t="inlineStr">
        <is>
          <t>Custo Fixo</t>
        </is>
      </c>
      <c r="C3142" s="106" t="inlineStr">
        <is>
          <t>Despesas com SST</t>
        </is>
      </c>
      <c r="D3142" s="107" t="n">
        <v>12</v>
      </c>
      <c r="E3142" s="108" t="n">
        <v>52.35</v>
      </c>
      <c r="F3142" s="109">
        <f>IFERROR(D3142*E3142,0)</f>
        <v/>
      </c>
      <c r="G3142" s="106">
        <f>INDEX(SETORES!$B:$B,MATCH(A3142,SETORES!$A:$A,0))</f>
        <v/>
      </c>
      <c r="H3142" s="106" t="inlineStr">
        <is>
          <t>Outubro/2026</t>
        </is>
      </c>
    </row>
    <row r="3143">
      <c r="A3143" s="106" t="inlineStr">
        <is>
          <t>Comercial Corporativo</t>
        </is>
      </c>
      <c r="B3143" s="106" t="inlineStr">
        <is>
          <t>Custo Variável</t>
        </is>
      </c>
      <c r="C3143" s="106" t="inlineStr">
        <is>
          <t>Exames médicos</t>
        </is>
      </c>
      <c r="D3143" s="107" t="n"/>
      <c r="E3143" s="108" t="n"/>
      <c r="F3143" s="109">
        <f>IFERROR(D3143*E3143,0)</f>
        <v/>
      </c>
      <c r="G3143" s="106">
        <f>INDEX(SETORES!$B:$B,MATCH(A3143,SETORES!$A:$A,0))</f>
        <v/>
      </c>
      <c r="H3143" s="106" t="inlineStr">
        <is>
          <t>Outubro/2026</t>
        </is>
      </c>
    </row>
    <row r="3144">
      <c r="A3144" s="106" t="inlineStr">
        <is>
          <t>Comercial Corporativo</t>
        </is>
      </c>
      <c r="B3144" s="106" t="inlineStr">
        <is>
          <t>Custo Variável</t>
        </is>
      </c>
      <c r="C3144" s="106" t="inlineStr">
        <is>
          <t>Novo Fardamento</t>
        </is>
      </c>
      <c r="D3144" s="107" t="n">
        <v>1</v>
      </c>
      <c r="E3144" s="108" t="n">
        <v>90</v>
      </c>
      <c r="F3144" s="109">
        <f>IFERROR(D3144*E3144,0)</f>
        <v/>
      </c>
      <c r="G3144" s="106">
        <f>INDEX(SETORES!$B:$B,MATCH(A3144,SETORES!$A:$A,0))</f>
        <v/>
      </c>
      <c r="H3144" s="106" t="inlineStr">
        <is>
          <t>Outubro/2026</t>
        </is>
      </c>
    </row>
    <row r="3145">
      <c r="A3145" s="106" t="inlineStr">
        <is>
          <t>Comercial Corporativo</t>
        </is>
      </c>
      <c r="B3145" s="106" t="inlineStr">
        <is>
          <t>Custo Variável</t>
        </is>
      </c>
      <c r="C3145" s="106" t="inlineStr">
        <is>
          <t>Devolução de fardamento</t>
        </is>
      </c>
      <c r="D3145" s="107" t="n"/>
      <c r="E3145" s="108" t="n"/>
      <c r="F3145" s="109">
        <f>IFERROR(D3145*E3145,0)</f>
        <v/>
      </c>
      <c r="G3145" s="106">
        <f>INDEX(SETORES!$B:$B,MATCH(A3145,SETORES!$A:$A,0))</f>
        <v/>
      </c>
      <c r="H3145" s="106" t="inlineStr">
        <is>
          <t>Outubro/2026</t>
        </is>
      </c>
    </row>
    <row r="3146">
      <c r="A3146" s="106" t="inlineStr">
        <is>
          <t>Comercial Corporativo</t>
        </is>
      </c>
      <c r="B3146" s="106" t="inlineStr">
        <is>
          <t>Custo Variável</t>
        </is>
      </c>
      <c r="C3146" s="106" t="inlineStr">
        <is>
          <t>Substituição extra de Fardamento</t>
        </is>
      </c>
      <c r="D3146" s="107" t="n"/>
      <c r="E3146" s="108" t="n"/>
      <c r="F3146" s="109">
        <f>IFERROR(D3146*E3146,0)</f>
        <v/>
      </c>
      <c r="G3146" s="106">
        <f>INDEX(SETORES!$B:$B,MATCH(A3146,SETORES!$A:$A,0))</f>
        <v/>
      </c>
      <c r="H3146" s="106" t="inlineStr">
        <is>
          <t>Outubro/2026</t>
        </is>
      </c>
    </row>
    <row r="3147">
      <c r="A3147" s="106" t="inlineStr">
        <is>
          <t>Comercial Corporativo</t>
        </is>
      </c>
      <c r="B3147" s="106" t="inlineStr">
        <is>
          <t>Custo Variável</t>
        </is>
      </c>
      <c r="C3147" s="106" t="inlineStr">
        <is>
          <t>Consumo de combustível</t>
        </is>
      </c>
      <c r="D3147" s="107" t="n">
        <v>1</v>
      </c>
      <c r="E3147" s="108" t="n">
        <v>3995.53</v>
      </c>
      <c r="F3147" s="109">
        <f>IFERROR(D3147*E3147,0)</f>
        <v/>
      </c>
      <c r="G3147" s="106">
        <f>INDEX(SETORES!$B:$B,MATCH(A3147,SETORES!$A:$A,0))</f>
        <v/>
      </c>
      <c r="H3147" s="106" t="inlineStr">
        <is>
          <t>Outubro/2026</t>
        </is>
      </c>
    </row>
    <row r="3148">
      <c r="A3148" s="106" t="inlineStr">
        <is>
          <t>Comercial Corporativo</t>
        </is>
      </c>
      <c r="B3148" s="106" t="inlineStr">
        <is>
          <t>Custo Fixo</t>
        </is>
      </c>
      <c r="C3148" s="106" t="inlineStr">
        <is>
          <t>Gympass</t>
        </is>
      </c>
      <c r="D3148" s="107" t="n"/>
      <c r="E3148" s="108" t="n"/>
      <c r="F3148" s="109">
        <f>IFERROR(D3148*E3148,0)</f>
        <v/>
      </c>
      <c r="G3148" s="106">
        <f>INDEX(SETORES!$B:$B,MATCH(A3148,SETORES!$A:$A,0))</f>
        <v/>
      </c>
      <c r="H3148" s="106" t="inlineStr">
        <is>
          <t>Outubro/2026</t>
        </is>
      </c>
    </row>
    <row r="3149">
      <c r="A3149" s="106" t="inlineStr">
        <is>
          <t>Comercial Corporativo</t>
        </is>
      </c>
      <c r="B3149" s="106" t="inlineStr">
        <is>
          <t>Custo Fixo</t>
        </is>
      </c>
      <c r="C3149" s="106" t="inlineStr">
        <is>
          <t>Stargrid</t>
        </is>
      </c>
      <c r="D3149" s="107" t="n">
        <v>12</v>
      </c>
      <c r="E3149" s="108" t="n">
        <v>1.87</v>
      </c>
      <c r="F3149" s="109">
        <f>IFERROR(D3149*E3149,0)</f>
        <v/>
      </c>
      <c r="G3149" s="106">
        <f>INDEX(SETORES!$B:$B,MATCH(A3149,SETORES!$A:$A,0))</f>
        <v/>
      </c>
      <c r="H3149" s="106" t="inlineStr">
        <is>
          <t>Outubro/2026</t>
        </is>
      </c>
    </row>
    <row r="3150">
      <c r="A3150" s="106" t="inlineStr">
        <is>
          <t>Comercial Corporativo</t>
        </is>
      </c>
      <c r="B3150" s="106" t="inlineStr">
        <is>
          <t>Custo Variável</t>
        </is>
      </c>
      <c r="C3150" s="106" t="inlineStr">
        <is>
          <t>Rescisões/Despesas Trabalhistas extra folha</t>
        </is>
      </c>
      <c r="D3150" s="107" t="n"/>
      <c r="E3150" s="108" t="n"/>
      <c r="F3150" s="109">
        <f>IFERROR(D3150*E3150,0)</f>
        <v/>
      </c>
      <c r="G3150" s="106">
        <f>INDEX(SETORES!$B:$B,MATCH(A3150,SETORES!$A:$A,0))</f>
        <v/>
      </c>
      <c r="H3150" s="106" t="inlineStr">
        <is>
          <t>Outubro/2026</t>
        </is>
      </c>
    </row>
    <row r="3151">
      <c r="A3151" s="106" t="inlineStr">
        <is>
          <t>Comercial Corporativo</t>
        </is>
      </c>
      <c r="B3151" s="106" t="inlineStr">
        <is>
          <t>Custo Fixo</t>
        </is>
      </c>
      <c r="C3151" s="106" t="inlineStr">
        <is>
          <t>Datlo</t>
        </is>
      </c>
      <c r="D3151" s="107" t="n">
        <v>1</v>
      </c>
      <c r="E3151" s="108" t="n">
        <v>2997</v>
      </c>
      <c r="F3151" s="109">
        <f>IFERROR(D3151*E3151,0)</f>
        <v/>
      </c>
      <c r="G3151" s="106">
        <f>INDEX(SETORES!$B:$B,MATCH(A3151,SETORES!$A:$A,0))</f>
        <v/>
      </c>
      <c r="H3151" s="106" t="inlineStr">
        <is>
          <t>Outubro/2026</t>
        </is>
      </c>
    </row>
    <row r="3152">
      <c r="A3152" s="106" t="inlineStr">
        <is>
          <t>Comercial Corporativo</t>
        </is>
      </c>
      <c r="B3152" s="106" t="inlineStr">
        <is>
          <t>Custo Fixo</t>
        </is>
      </c>
      <c r="C3152" s="106" t="inlineStr">
        <is>
          <t>Agendor (válido por 3 meses)</t>
        </is>
      </c>
      <c r="D3152" s="107" t="n">
        <v>1</v>
      </c>
      <c r="E3152" s="108" t="n">
        <v>545.99</v>
      </c>
      <c r="F3152" s="109">
        <f>IFERROR(D3152*E3152,0)</f>
        <v/>
      </c>
      <c r="G3152" s="106">
        <f>INDEX(SETORES!$B:$B,MATCH(A3152,SETORES!$A:$A,0))</f>
        <v/>
      </c>
      <c r="H3152" s="106" t="inlineStr">
        <is>
          <t>Outubro/2026</t>
        </is>
      </c>
    </row>
    <row r="3153">
      <c r="A3153" s="106" t="inlineStr">
        <is>
          <t>Comercial Corporativo</t>
        </is>
      </c>
      <c r="B3153" s="106" t="inlineStr">
        <is>
          <t>Custo Fixo</t>
        </is>
      </c>
      <c r="C3153" s="106" t="inlineStr">
        <is>
          <t>Dynamics (f001796)</t>
        </is>
      </c>
      <c r="D3153" s="107" t="n"/>
      <c r="E3153" s="108" t="n"/>
      <c r="F3153" s="109">
        <f>IFERROR(D3153*E3153,0)</f>
        <v/>
      </c>
      <c r="G3153" s="106">
        <f>INDEX(SETORES!$B:$B,MATCH(A3153,SETORES!$A:$A,0))</f>
        <v/>
      </c>
      <c r="H3153" s="106" t="inlineStr">
        <is>
          <t>Outubro/2026</t>
        </is>
      </c>
    </row>
    <row r="3154">
      <c r="A3154" s="106" t="inlineStr">
        <is>
          <t>Comercial Corporativo</t>
        </is>
      </c>
      <c r="B3154" s="106" t="inlineStr">
        <is>
          <t>Custo Fixo</t>
        </is>
      </c>
      <c r="C3154" s="106" t="inlineStr">
        <is>
          <t>Salesforce</t>
        </is>
      </c>
      <c r="D3154" s="107" t="n">
        <v>1</v>
      </c>
      <c r="E3154" s="108" t="n">
        <v>3042.34</v>
      </c>
      <c r="F3154" s="109">
        <f>IFERROR(D3154*E3154,0)</f>
        <v/>
      </c>
      <c r="G3154" s="106">
        <f>INDEX(SETORES!$B:$B,MATCH(A3154,SETORES!$A:$A,0))</f>
        <v/>
      </c>
      <c r="H3154" s="106" t="inlineStr">
        <is>
          <t>Outubro/2026</t>
        </is>
      </c>
    </row>
    <row r="3155">
      <c r="A3155" s="106" t="inlineStr">
        <is>
          <t>Compras</t>
        </is>
      </c>
      <c r="B3155" s="106" t="inlineStr">
        <is>
          <t>Custo Fixo</t>
        </is>
      </c>
      <c r="C3155" s="106" t="inlineStr">
        <is>
          <t>Material de escritório (suprimentos de informática)</t>
        </is>
      </c>
      <c r="D3155" s="107" t="n"/>
      <c r="E3155" s="108" t="n"/>
      <c r="F3155" s="109">
        <f>IFERROR(D3155*E3155,0)</f>
        <v/>
      </c>
      <c r="G3155" s="106">
        <f>INDEX(SETORES!$B:$B,MATCH(A3155,SETORES!$A:$A,0))</f>
        <v/>
      </c>
      <c r="H3155" s="106" t="inlineStr">
        <is>
          <t>Outubro/2026</t>
        </is>
      </c>
    </row>
    <row r="3156">
      <c r="A3156" s="106" t="inlineStr">
        <is>
          <t>Compras</t>
        </is>
      </c>
      <c r="B3156" s="106" t="inlineStr">
        <is>
          <t>Custo Fixo</t>
        </is>
      </c>
      <c r="C3156" s="106" t="inlineStr">
        <is>
          <t>Material de uso coletivo (copa/limpeza)</t>
        </is>
      </c>
      <c r="D3156" s="107" t="n"/>
      <c r="E3156" s="108" t="n"/>
      <c r="F3156" s="109">
        <f>IFERROR(D3156*E3156,0)</f>
        <v/>
      </c>
      <c r="G3156" s="106">
        <f>INDEX(SETORES!$B:$B,MATCH(A3156,SETORES!$A:$A,0))</f>
        <v/>
      </c>
      <c r="H3156" s="106" t="inlineStr">
        <is>
          <t>Outubro/2026</t>
        </is>
      </c>
    </row>
    <row r="3157">
      <c r="A3157" s="106" t="inlineStr">
        <is>
          <t>Compras</t>
        </is>
      </c>
      <c r="B3157" s="106" t="inlineStr">
        <is>
          <t>Custo Fixo</t>
        </is>
      </c>
      <c r="C3157" s="106" t="inlineStr">
        <is>
          <t>Energia elétrica (rateio)</t>
        </is>
      </c>
      <c r="D3157" s="107" t="n"/>
      <c r="E3157" s="108" t="n"/>
      <c r="F3157" s="109">
        <f>IFERROR(D3157*E3157,0)</f>
        <v/>
      </c>
      <c r="G3157" s="106">
        <f>INDEX(SETORES!$B:$B,MATCH(A3157,SETORES!$A:$A,0))</f>
        <v/>
      </c>
      <c r="H3157" s="106" t="inlineStr">
        <is>
          <t>Outubro/2026</t>
        </is>
      </c>
    </row>
    <row r="3158">
      <c r="A3158" s="106" t="inlineStr">
        <is>
          <t>Compras</t>
        </is>
      </c>
      <c r="B3158" s="106" t="inlineStr">
        <is>
          <t>Custo Fixo</t>
        </is>
      </c>
      <c r="C3158" s="106" t="inlineStr">
        <is>
          <t>Água e esgoto (rateio)</t>
        </is>
      </c>
      <c r="D3158" s="107" t="n"/>
      <c r="E3158" s="108" t="n"/>
      <c r="F3158" s="109">
        <f>IFERROR(D3158*E3158,0)</f>
        <v/>
      </c>
      <c r="G3158" s="106">
        <f>INDEX(SETORES!$B:$B,MATCH(A3158,SETORES!$A:$A,0))</f>
        <v/>
      </c>
      <c r="H3158" s="106" t="inlineStr">
        <is>
          <t>Outubro/2026</t>
        </is>
      </c>
    </row>
    <row r="3159">
      <c r="A3159" s="106" t="inlineStr">
        <is>
          <t>Compras</t>
        </is>
      </c>
      <c r="B3159" s="106" t="inlineStr">
        <is>
          <t>Custo Fixo</t>
        </is>
      </c>
      <c r="C3159" s="106" t="inlineStr">
        <is>
          <t>Telefonia móvel corporativa</t>
        </is>
      </c>
      <c r="D3159" s="107" t="n"/>
      <c r="E3159" s="108" t="n"/>
      <c r="F3159" s="109">
        <f>IFERROR(D3159*E3159,0)</f>
        <v/>
      </c>
      <c r="G3159" s="106">
        <f>INDEX(SETORES!$B:$B,MATCH(A3159,SETORES!$A:$A,0))</f>
        <v/>
      </c>
      <c r="H3159" s="106" t="inlineStr">
        <is>
          <t>Outubro/2026</t>
        </is>
      </c>
    </row>
    <row r="3160">
      <c r="A3160" s="106" t="inlineStr">
        <is>
          <t>Compras</t>
        </is>
      </c>
      <c r="B3160" s="106" t="inlineStr">
        <is>
          <t>Custo Fixo</t>
        </is>
      </c>
      <c r="C3160" s="106" t="inlineStr">
        <is>
          <t>Folha de pagamento (salários)</t>
        </is>
      </c>
      <c r="D3160" s="107" t="n">
        <v>1</v>
      </c>
      <c r="E3160" s="108" t="n">
        <v>24935.86</v>
      </c>
      <c r="F3160" s="109">
        <f>IFERROR(D3160*E3160,0)</f>
        <v/>
      </c>
      <c r="G3160" s="106">
        <f>INDEX(SETORES!$B:$B,MATCH(A3160,SETORES!$A:$A,0))</f>
        <v/>
      </c>
      <c r="H3160" s="106" t="inlineStr">
        <is>
          <t>Outubro/2026</t>
        </is>
      </c>
    </row>
    <row r="3161">
      <c r="A3161" s="106" t="inlineStr">
        <is>
          <t>Compras</t>
        </is>
      </c>
      <c r="B3161" s="106" t="inlineStr">
        <is>
          <t>Custo Variável</t>
        </is>
      </c>
      <c r="C3161" s="106" t="inlineStr">
        <is>
          <t>Rateio de transporte coletivo</t>
        </is>
      </c>
      <c r="D3161" s="107" t="n"/>
      <c r="E3161" s="108" t="n"/>
      <c r="F3161" s="109">
        <f>IFERROR(D3161*E3161,0)</f>
        <v/>
      </c>
      <c r="G3161" s="106">
        <f>INDEX(SETORES!$B:$B,MATCH(A3161,SETORES!$A:$A,0))</f>
        <v/>
      </c>
      <c r="H3161" s="106" t="inlineStr">
        <is>
          <t>Outubro/2026</t>
        </is>
      </c>
    </row>
    <row r="3162">
      <c r="A3162" s="106" t="inlineStr">
        <is>
          <t>Compras</t>
        </is>
      </c>
      <c r="B3162" s="106" t="inlineStr">
        <is>
          <t>Custo Fixo</t>
        </is>
      </c>
      <c r="C3162" s="106" t="inlineStr">
        <is>
          <t>Licença de e-mail corporativo</t>
        </is>
      </c>
      <c r="D3162" s="107" t="n">
        <v>5</v>
      </c>
      <c r="E3162" s="108" t="n">
        <v>50</v>
      </c>
      <c r="F3162" s="109">
        <f>IFERROR(D3162*E3162,0)</f>
        <v/>
      </c>
      <c r="G3162" s="106">
        <f>INDEX(SETORES!$B:$B,MATCH(A3162,SETORES!$A:$A,0))</f>
        <v/>
      </c>
      <c r="H3162" s="106" t="inlineStr">
        <is>
          <t>Outubro/2026</t>
        </is>
      </c>
    </row>
    <row r="3163">
      <c r="A3163" s="106" t="inlineStr">
        <is>
          <t>Compras</t>
        </is>
      </c>
      <c r="B3163" s="106" t="inlineStr">
        <is>
          <t>Custo Fixo</t>
        </is>
      </c>
      <c r="C3163" s="106" t="inlineStr">
        <is>
          <t>Impressora</t>
        </is>
      </c>
      <c r="D3163" s="107" t="n"/>
      <c r="E3163" s="108" t="n"/>
      <c r="F3163" s="109">
        <f>IFERROR(D3163*E3163,0)</f>
        <v/>
      </c>
      <c r="G3163" s="106">
        <f>INDEX(SETORES!$B:$B,MATCH(A3163,SETORES!$A:$A,0))</f>
        <v/>
      </c>
      <c r="H3163" s="106" t="inlineStr">
        <is>
          <t>Outubro/2026</t>
        </is>
      </c>
    </row>
    <row r="3164">
      <c r="A3164" s="106" t="inlineStr">
        <is>
          <t>Compras</t>
        </is>
      </c>
      <c r="B3164" s="106" t="inlineStr">
        <is>
          <t>Custo Fixo</t>
        </is>
      </c>
      <c r="C3164" s="106" t="inlineStr">
        <is>
          <t>Gympass</t>
        </is>
      </c>
      <c r="D3164" s="107" t="n"/>
      <c r="E3164" s="108" t="n"/>
      <c r="F3164" s="109">
        <f>IFERROR(D3164*E3164,0)</f>
        <v/>
      </c>
      <c r="G3164" s="106">
        <f>INDEX(SETORES!$B:$B,MATCH(A3164,SETORES!$A:$A,0))</f>
        <v/>
      </c>
      <c r="H3164" s="106" t="inlineStr">
        <is>
          <t>Outubro/2026</t>
        </is>
      </c>
    </row>
    <row r="3165">
      <c r="A3165" s="106" t="inlineStr">
        <is>
          <t>Compras</t>
        </is>
      </c>
      <c r="B3165" s="106" t="inlineStr">
        <is>
          <t>Custo Fixo</t>
        </is>
      </c>
      <c r="C3165" s="106" t="inlineStr">
        <is>
          <t>Stargrid</t>
        </is>
      </c>
      <c r="D3165" s="107" t="n">
        <v>5</v>
      </c>
      <c r="E3165" s="108" t="n">
        <v>1.87</v>
      </c>
      <c r="F3165" s="109">
        <f>IFERROR(D3165*E3165,0)</f>
        <v/>
      </c>
      <c r="G3165" s="106">
        <f>INDEX(SETORES!$B:$B,MATCH(A3165,SETORES!$A:$A,0))</f>
        <v/>
      </c>
      <c r="H3165" s="106" t="inlineStr">
        <is>
          <t>Outubro/2026</t>
        </is>
      </c>
    </row>
    <row r="3166">
      <c r="A3166" s="106" t="inlineStr">
        <is>
          <t>Contabilidade</t>
        </is>
      </c>
      <c r="B3166" s="106" t="inlineStr">
        <is>
          <t>Custo Fixo</t>
        </is>
      </c>
      <c r="C3166" s="106" t="inlineStr">
        <is>
          <t>Material de escritório (suprimentos de informática)</t>
        </is>
      </c>
      <c r="D3166" s="107" t="n"/>
      <c r="E3166" s="108" t="n"/>
      <c r="F3166" s="109">
        <f>IFERROR(D3166*E3166,0)</f>
        <v/>
      </c>
      <c r="G3166" s="106">
        <f>INDEX(SETORES!$B:$B,MATCH(A3166,SETORES!$A:$A,0))</f>
        <v/>
      </c>
      <c r="H3166" s="106" t="inlineStr">
        <is>
          <t>Outubro/2026</t>
        </is>
      </c>
    </row>
    <row r="3167">
      <c r="A3167" s="106" t="inlineStr">
        <is>
          <t>Contabilidade</t>
        </is>
      </c>
      <c r="B3167" s="106" t="inlineStr">
        <is>
          <t>Custo Fixo</t>
        </is>
      </c>
      <c r="C3167" s="106" t="inlineStr">
        <is>
          <t>Material de uso coletivo (copa/limpeza)</t>
        </is>
      </c>
      <c r="D3167" s="107" t="n">
        <v>1</v>
      </c>
      <c r="E3167" s="108" t="n">
        <v>241.44</v>
      </c>
      <c r="F3167" s="109">
        <f>IFERROR(D3167*E3167,0)</f>
        <v/>
      </c>
      <c r="G3167" s="106">
        <f>INDEX(SETORES!$B:$B,MATCH(A3167,SETORES!$A:$A,0))</f>
        <v/>
      </c>
      <c r="H3167" s="106" t="inlineStr">
        <is>
          <t>Outubro/2026</t>
        </is>
      </c>
    </row>
    <row r="3168">
      <c r="A3168" s="106" t="inlineStr">
        <is>
          <t>Contabilidade</t>
        </is>
      </c>
      <c r="B3168" s="106" t="inlineStr">
        <is>
          <t>Custo Fixo</t>
        </is>
      </c>
      <c r="C3168" s="106" t="inlineStr">
        <is>
          <t>Energia elétrica (rateio)</t>
        </is>
      </c>
      <c r="D3168" s="107" t="n"/>
      <c r="E3168" s="108" t="n"/>
      <c r="F3168" s="109">
        <f>IFERROR(D3168*E3168,0)</f>
        <v/>
      </c>
      <c r="G3168" s="106">
        <f>INDEX(SETORES!$B:$B,MATCH(A3168,SETORES!$A:$A,0))</f>
        <v/>
      </c>
      <c r="H3168" s="106" t="inlineStr">
        <is>
          <t>Outubro/2026</t>
        </is>
      </c>
    </row>
    <row r="3169">
      <c r="A3169" s="106" t="inlineStr">
        <is>
          <t>Contabilidade</t>
        </is>
      </c>
      <c r="B3169" s="106" t="inlineStr">
        <is>
          <t>Custo Fixo</t>
        </is>
      </c>
      <c r="C3169" s="106" t="inlineStr">
        <is>
          <t>Água e esgoto (rateio)</t>
        </is>
      </c>
      <c r="D3169" s="107" t="n"/>
      <c r="E3169" s="108" t="n"/>
      <c r="F3169" s="109">
        <f>IFERROR(D3169*E3169,0)</f>
        <v/>
      </c>
      <c r="G3169" s="106">
        <f>INDEX(SETORES!$B:$B,MATCH(A3169,SETORES!$A:$A,0))</f>
        <v/>
      </c>
      <c r="H3169" s="106" t="inlineStr">
        <is>
          <t>Outubro/2026</t>
        </is>
      </c>
    </row>
    <row r="3170">
      <c r="A3170" s="106" t="inlineStr">
        <is>
          <t>Contabilidade</t>
        </is>
      </c>
      <c r="B3170" s="106" t="inlineStr">
        <is>
          <t>Custo Fixo</t>
        </is>
      </c>
      <c r="C3170" s="106" t="inlineStr">
        <is>
          <t>Telefonia móvel corporativa</t>
        </is>
      </c>
      <c r="D3170" s="107" t="n"/>
      <c r="E3170" s="108" t="n"/>
      <c r="F3170" s="109">
        <f>IFERROR(D3170*E3170,0)</f>
        <v/>
      </c>
      <c r="G3170" s="106">
        <f>INDEX(SETORES!$B:$B,MATCH(A3170,SETORES!$A:$A,0))</f>
        <v/>
      </c>
      <c r="H3170" s="106" t="inlineStr">
        <is>
          <t>Outubro/2026</t>
        </is>
      </c>
    </row>
    <row r="3171">
      <c r="A3171" s="106" t="inlineStr">
        <is>
          <t>Contabilidade</t>
        </is>
      </c>
      <c r="B3171" s="106" t="inlineStr">
        <is>
          <t>Custo Fixo</t>
        </is>
      </c>
      <c r="C3171" s="106" t="inlineStr">
        <is>
          <t>Folha de pagamento (salários)</t>
        </is>
      </c>
      <c r="D3171" s="107" t="n">
        <v>1</v>
      </c>
      <c r="E3171" s="108" t="n">
        <v>36209.58</v>
      </c>
      <c r="F3171" s="109">
        <f>IFERROR(D3171*E3171,0)</f>
        <v/>
      </c>
      <c r="G3171" s="106">
        <f>INDEX(SETORES!$B:$B,MATCH(A3171,SETORES!$A:$A,0))</f>
        <v/>
      </c>
      <c r="H3171" s="106" t="inlineStr">
        <is>
          <t>Outubro/2026</t>
        </is>
      </c>
    </row>
    <row r="3172">
      <c r="A3172" s="106" t="inlineStr">
        <is>
          <t>Contabilidade</t>
        </is>
      </c>
      <c r="B3172" s="106" t="inlineStr">
        <is>
          <t>Custo Variável</t>
        </is>
      </c>
      <c r="C3172" s="106" t="inlineStr">
        <is>
          <t>Auditoria contábil externa (fiber finance)</t>
        </is>
      </c>
      <c r="D3172" s="107" t="n"/>
      <c r="E3172" s="108" t="n"/>
      <c r="F3172" s="109">
        <f>IFERROR(D3172*E3172,0)</f>
        <v/>
      </c>
      <c r="G3172" s="106">
        <f>INDEX(SETORES!$B:$B,MATCH(A3172,SETORES!$A:$A,0))</f>
        <v/>
      </c>
      <c r="H3172" s="106" t="inlineStr">
        <is>
          <t>Outubro/2026</t>
        </is>
      </c>
    </row>
    <row r="3173">
      <c r="A3173" s="106" t="inlineStr">
        <is>
          <t>Contabilidade</t>
        </is>
      </c>
      <c r="B3173" s="106" t="inlineStr">
        <is>
          <t>Custo Variável</t>
        </is>
      </c>
      <c r="C3173" s="106" t="inlineStr">
        <is>
          <t>Fardamento novo</t>
        </is>
      </c>
      <c r="D3173" s="107" t="n">
        <v>1</v>
      </c>
      <c r="E3173" s="108" t="n">
        <v>90</v>
      </c>
      <c r="F3173" s="109">
        <f>IFERROR(D3173*E3173,0)</f>
        <v/>
      </c>
      <c r="G3173" s="106">
        <f>INDEX(SETORES!$B:$B,MATCH(A3173,SETORES!$A:$A,0))</f>
        <v/>
      </c>
      <c r="H3173" s="106" t="inlineStr">
        <is>
          <t>Outubro/2026</t>
        </is>
      </c>
    </row>
    <row r="3174">
      <c r="A3174" s="106" t="inlineStr">
        <is>
          <t>Contabilidade</t>
        </is>
      </c>
      <c r="B3174" s="106" t="inlineStr">
        <is>
          <t>Custo Variável</t>
        </is>
      </c>
      <c r="C3174" s="106" t="inlineStr">
        <is>
          <t>Fardamento substituição</t>
        </is>
      </c>
      <c r="D3174" s="107" t="n"/>
      <c r="E3174" s="108" t="n"/>
      <c r="F3174" s="109">
        <f>IFERROR(D3174*E3174,0)</f>
        <v/>
      </c>
      <c r="G3174" s="106">
        <f>INDEX(SETORES!$B:$B,MATCH(A3174,SETORES!$A:$A,0))</f>
        <v/>
      </c>
      <c r="H3174" s="106" t="inlineStr">
        <is>
          <t>Outubro/2026</t>
        </is>
      </c>
    </row>
    <row r="3175">
      <c r="A3175" s="106" t="inlineStr">
        <is>
          <t>Contabilidade</t>
        </is>
      </c>
      <c r="B3175" s="106" t="inlineStr">
        <is>
          <t>Custo Variável</t>
        </is>
      </c>
      <c r="C3175" s="106" t="inlineStr">
        <is>
          <t>Rescisões trabalhistas</t>
        </is>
      </c>
      <c r="D3175" s="107" t="n"/>
      <c r="E3175" s="108" t="n"/>
      <c r="F3175" s="109">
        <f>IFERROR(D3175*E3175,0)</f>
        <v/>
      </c>
      <c r="G3175" s="106">
        <f>INDEX(SETORES!$B:$B,MATCH(A3175,SETORES!$A:$A,0))</f>
        <v/>
      </c>
      <c r="H3175" s="106" t="inlineStr">
        <is>
          <t>Outubro/2026</t>
        </is>
      </c>
    </row>
    <row r="3176">
      <c r="A3176" s="106" t="inlineStr">
        <is>
          <t>Contabilidade</t>
        </is>
      </c>
      <c r="B3176" s="106" t="inlineStr">
        <is>
          <t>Custo Fixo</t>
        </is>
      </c>
      <c r="C3176" s="106" t="inlineStr">
        <is>
          <t>Licença de e-mail corporativo</t>
        </is>
      </c>
      <c r="D3176" s="107" t="n">
        <v>6</v>
      </c>
      <c r="E3176" s="108" t="n">
        <v>50</v>
      </c>
      <c r="F3176" s="109">
        <f>IFERROR(D3176*E3176,0)</f>
        <v/>
      </c>
      <c r="G3176" s="106">
        <f>INDEX(SETORES!$B:$B,MATCH(A3176,SETORES!$A:$A,0))</f>
        <v/>
      </c>
      <c r="H3176" s="106" t="inlineStr">
        <is>
          <t>Outubro/2026</t>
        </is>
      </c>
    </row>
    <row r="3177">
      <c r="A3177" s="106" t="inlineStr">
        <is>
          <t>Contabilidade</t>
        </is>
      </c>
      <c r="B3177" s="106" t="inlineStr">
        <is>
          <t>Custo Fixo</t>
        </is>
      </c>
      <c r="C3177" s="106" t="inlineStr">
        <is>
          <t>Gympass</t>
        </is>
      </c>
      <c r="D3177" s="107" t="n"/>
      <c r="E3177" s="108" t="n"/>
      <c r="F3177" s="109">
        <f>IFERROR(D3177*E3177,0)</f>
        <v/>
      </c>
      <c r="G3177" s="106">
        <f>INDEX(SETORES!$B:$B,MATCH(A3177,SETORES!$A:$A,0))</f>
        <v/>
      </c>
      <c r="H3177" s="106" t="inlineStr">
        <is>
          <t>Outubro/2026</t>
        </is>
      </c>
    </row>
    <row r="3178">
      <c r="A3178" s="106" t="inlineStr">
        <is>
          <t>Contabilidade</t>
        </is>
      </c>
      <c r="B3178" s="106" t="inlineStr">
        <is>
          <t>Custo Fixo</t>
        </is>
      </c>
      <c r="C3178" s="106" t="inlineStr">
        <is>
          <t>Stargrid</t>
        </is>
      </c>
      <c r="D3178" s="107" t="n">
        <v>6</v>
      </c>
      <c r="E3178" s="108" t="n">
        <v>1.87</v>
      </c>
      <c r="F3178" s="109">
        <f>IFERROR(D3178*E3178,0)</f>
        <v/>
      </c>
      <c r="G3178" s="106">
        <f>INDEX(SETORES!$B:$B,MATCH(A3178,SETORES!$A:$A,0))</f>
        <v/>
      </c>
      <c r="H3178" s="106" t="inlineStr">
        <is>
          <t>Outubro/2026</t>
        </is>
      </c>
    </row>
    <row r="3179">
      <c r="A3179" s="106" t="inlineStr">
        <is>
          <t>Contabilidade</t>
        </is>
      </c>
      <c r="B3179" s="106" t="inlineStr">
        <is>
          <t>Custo Variável</t>
        </is>
      </c>
      <c r="C3179" s="106" t="inlineStr">
        <is>
          <t>Consultoria contábil PJ (Wadson Genuíno)</t>
        </is>
      </c>
      <c r="D3179" s="107" t="n"/>
      <c r="E3179" s="108" t="n"/>
      <c r="F3179" s="109">
        <f>IFERROR(D3179*E3179,0)</f>
        <v/>
      </c>
      <c r="G3179" s="106">
        <f>INDEX(SETORES!$B:$B,MATCH(A3179,SETORES!$A:$A,0))</f>
        <v/>
      </c>
      <c r="H3179" s="106" t="inlineStr">
        <is>
          <t>Outubro/2026</t>
        </is>
      </c>
    </row>
    <row r="3180">
      <c r="A3180" s="106" t="inlineStr">
        <is>
          <t>Controladoria</t>
        </is>
      </c>
      <c r="B3180" s="106" t="inlineStr">
        <is>
          <t>Custo Fixo</t>
        </is>
      </c>
      <c r="C3180" s="106" t="inlineStr">
        <is>
          <t>Material de escritório (suprimentos de informática)</t>
        </is>
      </c>
      <c r="D3180" s="107" t="n"/>
      <c r="E3180" s="108" t="n"/>
      <c r="F3180" s="109">
        <f>IFERROR(D3180*E3180,0)</f>
        <v/>
      </c>
      <c r="G3180" s="106">
        <f>INDEX(SETORES!$B:$B,MATCH(A3180,SETORES!$A:$A,0))</f>
        <v/>
      </c>
      <c r="H3180" s="106" t="inlineStr">
        <is>
          <t>Outubro/2026</t>
        </is>
      </c>
    </row>
    <row r="3181">
      <c r="A3181" s="106" t="inlineStr">
        <is>
          <t>Controladoria</t>
        </is>
      </c>
      <c r="B3181" s="106" t="inlineStr">
        <is>
          <t>Custo Fixo</t>
        </is>
      </c>
      <c r="C3181" s="106" t="inlineStr">
        <is>
          <t>Material de uso coletivo (copa/limpeza)</t>
        </is>
      </c>
      <c r="D3181" s="107" t="n">
        <v>1</v>
      </c>
      <c r="E3181" s="108" t="n">
        <v>36.22</v>
      </c>
      <c r="F3181" s="109">
        <f>IFERROR(D3181*E3181,0)</f>
        <v/>
      </c>
      <c r="G3181" s="106">
        <f>INDEX(SETORES!$B:$B,MATCH(A3181,SETORES!$A:$A,0))</f>
        <v/>
      </c>
      <c r="H3181" s="106" t="inlineStr">
        <is>
          <t>Outubro/2026</t>
        </is>
      </c>
    </row>
    <row r="3182">
      <c r="A3182" s="106" t="inlineStr">
        <is>
          <t>Controladoria</t>
        </is>
      </c>
      <c r="B3182" s="106" t="inlineStr">
        <is>
          <t>Custo Fixo</t>
        </is>
      </c>
      <c r="C3182" s="106" t="inlineStr">
        <is>
          <t>Energia elétrica (rateio)</t>
        </is>
      </c>
      <c r="D3182" s="107" t="n"/>
      <c r="E3182" s="108" t="n"/>
      <c r="F3182" s="109">
        <f>IFERROR(D3182*E3182,0)</f>
        <v/>
      </c>
      <c r="G3182" s="106">
        <f>INDEX(SETORES!$B:$B,MATCH(A3182,SETORES!$A:$A,0))</f>
        <v/>
      </c>
      <c r="H3182" s="106" t="inlineStr">
        <is>
          <t>Outubro/2026</t>
        </is>
      </c>
    </row>
    <row r="3183">
      <c r="A3183" s="106" t="inlineStr">
        <is>
          <t>Controladoria</t>
        </is>
      </c>
      <c r="B3183" s="106" t="inlineStr">
        <is>
          <t>Custo Fixo</t>
        </is>
      </c>
      <c r="C3183" s="106" t="inlineStr">
        <is>
          <t>Água e esgoto (rateio)</t>
        </is>
      </c>
      <c r="D3183" s="107" t="n"/>
      <c r="E3183" s="108" t="n"/>
      <c r="F3183" s="109">
        <f>IFERROR(D3183*E3183,0)</f>
        <v/>
      </c>
      <c r="G3183" s="106">
        <f>INDEX(SETORES!$B:$B,MATCH(A3183,SETORES!$A:$A,0))</f>
        <v/>
      </c>
      <c r="H3183" s="106" t="inlineStr">
        <is>
          <t>Outubro/2026</t>
        </is>
      </c>
    </row>
    <row r="3184">
      <c r="A3184" s="106" t="inlineStr">
        <is>
          <t>Controladoria</t>
        </is>
      </c>
      <c r="B3184" s="106" t="inlineStr">
        <is>
          <t>Custo Fixo</t>
        </is>
      </c>
      <c r="C3184" s="106" t="inlineStr">
        <is>
          <t>Chip móvel corporativo</t>
        </is>
      </c>
      <c r="D3184" s="107" t="n"/>
      <c r="E3184" s="108" t="n"/>
      <c r="F3184" s="109">
        <f>IFERROR(D3184*E3184,0)</f>
        <v/>
      </c>
      <c r="G3184" s="106">
        <f>INDEX(SETORES!$B:$B,MATCH(A3184,SETORES!$A:$A,0))</f>
        <v/>
      </c>
      <c r="H3184" s="106" t="inlineStr">
        <is>
          <t>Outubro/2026</t>
        </is>
      </c>
    </row>
    <row r="3185">
      <c r="A3185" s="106" t="inlineStr">
        <is>
          <t>Controladoria</t>
        </is>
      </c>
      <c r="B3185" s="106" t="inlineStr">
        <is>
          <t>Custo Fixo</t>
        </is>
      </c>
      <c r="C3185" s="106" t="inlineStr">
        <is>
          <t>Folha de pagamento (salários)</t>
        </is>
      </c>
      <c r="D3185" s="107" t="n">
        <v>1</v>
      </c>
      <c r="E3185" s="108" t="n">
        <v>18000</v>
      </c>
      <c r="F3185" s="109">
        <f>IFERROR(D3185*E3185,0)</f>
        <v/>
      </c>
      <c r="G3185" s="106">
        <f>INDEX(SETORES!$B:$B,MATCH(A3185,SETORES!$A:$A,0))</f>
        <v/>
      </c>
      <c r="H3185" s="106" t="inlineStr">
        <is>
          <t>Outubro/2026</t>
        </is>
      </c>
    </row>
    <row r="3186">
      <c r="A3186" s="106" t="inlineStr">
        <is>
          <t>Controladoria</t>
        </is>
      </c>
      <c r="B3186" s="106" t="inlineStr">
        <is>
          <t>Custo Fixo</t>
        </is>
      </c>
      <c r="C3186" s="106" t="inlineStr">
        <is>
          <t>Gympass</t>
        </is>
      </c>
      <c r="D3186" s="107" t="n"/>
      <c r="E3186" s="108" t="n"/>
      <c r="F3186" s="109">
        <f>IFERROR(D3186*E3186,0)</f>
        <v/>
      </c>
      <c r="G3186" s="106">
        <f>INDEX(SETORES!$B:$B,MATCH(A3186,SETORES!$A:$A,0))</f>
        <v/>
      </c>
      <c r="H3186" s="106" t="inlineStr">
        <is>
          <t>Outubro/2026</t>
        </is>
      </c>
    </row>
    <row r="3187">
      <c r="A3187" s="106" t="inlineStr">
        <is>
          <t>Controladoria</t>
        </is>
      </c>
      <c r="B3187" s="106" t="inlineStr">
        <is>
          <t>Custo Fixo</t>
        </is>
      </c>
      <c r="C3187" s="106" t="inlineStr">
        <is>
          <t>Stargrid</t>
        </is>
      </c>
      <c r="D3187" s="107" t="n">
        <v>1</v>
      </c>
      <c r="E3187" s="108" t="n">
        <v>1.87</v>
      </c>
      <c r="F3187" s="109">
        <f>IFERROR(D3187*E3187,0)</f>
        <v/>
      </c>
      <c r="G3187" s="106">
        <f>INDEX(SETORES!$B:$B,MATCH(A3187,SETORES!$A:$A,0))</f>
        <v/>
      </c>
      <c r="H3187" s="106" t="inlineStr">
        <is>
          <t>Outubro/2026</t>
        </is>
      </c>
    </row>
    <row r="3188">
      <c r="A3188" s="106" t="inlineStr">
        <is>
          <t>DP</t>
        </is>
      </c>
      <c r="B3188" s="106" t="inlineStr">
        <is>
          <t>Custo Fixo</t>
        </is>
      </c>
      <c r="C3188" s="106" t="inlineStr">
        <is>
          <t>Material de escritório (suprimentos de informática)</t>
        </is>
      </c>
      <c r="D3188" s="107" t="n">
        <v>1</v>
      </c>
      <c r="E3188" s="108" t="n">
        <v>9.24</v>
      </c>
      <c r="F3188" s="109">
        <f>IFERROR(D3188*E3188,0)</f>
        <v/>
      </c>
      <c r="G3188" s="106">
        <f>INDEX(SETORES!$B:$B,MATCH(A3188,SETORES!$A:$A,0))</f>
        <v/>
      </c>
      <c r="H3188" s="106" t="inlineStr">
        <is>
          <t>Outubro/2026</t>
        </is>
      </c>
    </row>
    <row r="3189">
      <c r="A3189" s="106" t="inlineStr">
        <is>
          <t>DP</t>
        </is>
      </c>
      <c r="B3189" s="106" t="inlineStr">
        <is>
          <t>Custo Fixo</t>
        </is>
      </c>
      <c r="C3189" s="106" t="inlineStr">
        <is>
          <t>Material de uso coletivo (copa/limpeza)</t>
        </is>
      </c>
      <c r="D3189" s="107" t="n">
        <v>1</v>
      </c>
      <c r="E3189" s="108" t="n">
        <v>204.89</v>
      </c>
      <c r="F3189" s="109">
        <f>IFERROR(D3189*E3189,0)</f>
        <v/>
      </c>
      <c r="G3189" s="106">
        <f>INDEX(SETORES!$B:$B,MATCH(A3189,SETORES!$A:$A,0))</f>
        <v/>
      </c>
      <c r="H3189" s="106" t="inlineStr">
        <is>
          <t>Outubro/2026</t>
        </is>
      </c>
    </row>
    <row r="3190">
      <c r="A3190" s="106" t="inlineStr">
        <is>
          <t>DP</t>
        </is>
      </c>
      <c r="B3190" s="106" t="inlineStr">
        <is>
          <t>Custo Fixo</t>
        </is>
      </c>
      <c r="C3190" s="106" t="inlineStr">
        <is>
          <t>Energia elétrica (rateio)</t>
        </is>
      </c>
      <c r="D3190" s="107" t="n"/>
      <c r="E3190" s="108" t="n"/>
      <c r="F3190" s="109">
        <f>IFERROR(D3190*E3190,0)</f>
        <v/>
      </c>
      <c r="G3190" s="106">
        <f>INDEX(SETORES!$B:$B,MATCH(A3190,SETORES!$A:$A,0))</f>
        <v/>
      </c>
      <c r="H3190" s="106" t="inlineStr">
        <is>
          <t>Outubro/2026</t>
        </is>
      </c>
    </row>
    <row r="3191">
      <c r="A3191" s="106" t="inlineStr">
        <is>
          <t>DP</t>
        </is>
      </c>
      <c r="B3191" s="106" t="inlineStr">
        <is>
          <t>Custo Fixo</t>
        </is>
      </c>
      <c r="C3191" s="106" t="inlineStr">
        <is>
          <t>Água e esgoto (rateio)</t>
        </is>
      </c>
      <c r="D3191" s="107" t="n"/>
      <c r="E3191" s="108" t="n"/>
      <c r="F3191" s="109">
        <f>IFERROR(D3191*E3191,0)</f>
        <v/>
      </c>
      <c r="G3191" s="106">
        <f>INDEX(SETORES!$B:$B,MATCH(A3191,SETORES!$A:$A,0))</f>
        <v/>
      </c>
      <c r="H3191" s="106" t="inlineStr">
        <is>
          <t>Outubro/2026</t>
        </is>
      </c>
    </row>
    <row r="3192">
      <c r="A3192" s="106" t="inlineStr">
        <is>
          <t>DP</t>
        </is>
      </c>
      <c r="B3192" s="106" t="inlineStr">
        <is>
          <t>Custo Fixo</t>
        </is>
      </c>
      <c r="C3192" s="106" t="inlineStr">
        <is>
          <t>Telefonia móvel corporativa</t>
        </is>
      </c>
      <c r="D3192" s="107" t="n"/>
      <c r="E3192" s="108" t="n"/>
      <c r="F3192" s="109">
        <f>IFERROR(D3192*E3192,0)</f>
        <v/>
      </c>
      <c r="G3192" s="106">
        <f>INDEX(SETORES!$B:$B,MATCH(A3192,SETORES!$A:$A,0))</f>
        <v/>
      </c>
      <c r="H3192" s="106" t="inlineStr">
        <is>
          <t>Outubro/2026</t>
        </is>
      </c>
    </row>
    <row r="3193">
      <c r="A3193" s="106" t="inlineStr">
        <is>
          <t>DP</t>
        </is>
      </c>
      <c r="B3193" s="106" t="inlineStr">
        <is>
          <t>Custo Fixo</t>
        </is>
      </c>
      <c r="C3193" s="106" t="inlineStr">
        <is>
          <t>Folha de pagamento (salários)</t>
        </is>
      </c>
      <c r="D3193" s="107" t="n">
        <v>1</v>
      </c>
      <c r="E3193" s="108" t="n">
        <v>48158.28</v>
      </c>
      <c r="F3193" s="109">
        <f>IFERROR(D3193*E3193,0)</f>
        <v/>
      </c>
      <c r="G3193" s="106">
        <f>INDEX(SETORES!$B:$B,MATCH(A3193,SETORES!$A:$A,0))</f>
        <v/>
      </c>
      <c r="H3193" s="106" t="inlineStr">
        <is>
          <t>Outubro/2026</t>
        </is>
      </c>
    </row>
    <row r="3194">
      <c r="A3194" s="106" t="inlineStr">
        <is>
          <t>Logística</t>
        </is>
      </c>
      <c r="B3194" s="106" t="inlineStr">
        <is>
          <t>Custo Variável</t>
        </is>
      </c>
      <c r="C3194" s="106" t="inlineStr">
        <is>
          <t>Exames médicos</t>
        </is>
      </c>
      <c r="D3194" s="107" t="n"/>
      <c r="E3194" s="108" t="n"/>
      <c r="F3194" s="109">
        <f>IFERROR(D3194*E3194,0)</f>
        <v/>
      </c>
      <c r="G3194" s="106">
        <f>INDEX(SETORES!$B:$B,MATCH(A3194,SETORES!$A:$A,0))</f>
        <v/>
      </c>
      <c r="H3194" s="106" t="inlineStr">
        <is>
          <t>Outubro/2026</t>
        </is>
      </c>
    </row>
    <row r="3195">
      <c r="A3195" s="106" t="inlineStr">
        <is>
          <t>Oficina</t>
        </is>
      </c>
      <c r="B3195" s="106" t="inlineStr">
        <is>
          <t>Custo Variável</t>
        </is>
      </c>
      <c r="C3195" s="106" t="inlineStr">
        <is>
          <t>Exames médicos</t>
        </is>
      </c>
      <c r="D3195" s="107" t="n"/>
      <c r="E3195" s="108" t="n"/>
      <c r="F3195" s="109">
        <f>IFERROR(D3195*E3195,0)</f>
        <v/>
      </c>
      <c r="G3195" s="106">
        <f>INDEX(SETORES!$B:$B,MATCH(A3195,SETORES!$A:$A,0))</f>
        <v/>
      </c>
      <c r="H3195" s="106" t="inlineStr">
        <is>
          <t>Outubro/2026</t>
        </is>
      </c>
    </row>
    <row r="3196">
      <c r="A3196" s="106" t="inlineStr">
        <is>
          <t>DP</t>
        </is>
      </c>
      <c r="B3196" s="106" t="inlineStr">
        <is>
          <t>Custo Variável</t>
        </is>
      </c>
      <c r="C3196" s="106" t="inlineStr">
        <is>
          <t>Exames médicos</t>
        </is>
      </c>
      <c r="D3196" s="107" t="n"/>
      <c r="E3196" s="108" t="n"/>
      <c r="F3196" s="109">
        <f>IFERROR(D3196*E3196,0)</f>
        <v/>
      </c>
      <c r="G3196" s="106">
        <f>INDEX(SETORES!$B:$B,MATCH(A3196,SETORES!$A:$A,0))</f>
        <v/>
      </c>
      <c r="H3196" s="106" t="inlineStr">
        <is>
          <t>Outubro/2026</t>
        </is>
      </c>
    </row>
    <row r="3197">
      <c r="A3197" s="106" t="inlineStr">
        <is>
          <t>DP</t>
        </is>
      </c>
      <c r="B3197" s="106" t="inlineStr">
        <is>
          <t>Custo Variável</t>
        </is>
      </c>
      <c r="C3197" s="106" t="inlineStr">
        <is>
          <t>Homologações e rescisões</t>
        </is>
      </c>
      <c r="D3197" s="107" t="n"/>
      <c r="E3197" s="108" t="n"/>
      <c r="F3197" s="109">
        <f>IFERROR(D3197*E3197,0)</f>
        <v/>
      </c>
      <c r="G3197" s="106">
        <f>INDEX(SETORES!$B:$B,MATCH(A3197,SETORES!$A:$A,0))</f>
        <v/>
      </c>
      <c r="H3197" s="106" t="inlineStr">
        <is>
          <t>Outubro/2026</t>
        </is>
      </c>
    </row>
    <row r="3198">
      <c r="A3198" s="106" t="inlineStr">
        <is>
          <t>DP</t>
        </is>
      </c>
      <c r="B3198" s="106" t="inlineStr">
        <is>
          <t>Custo Variável</t>
        </is>
      </c>
      <c r="C3198" s="106" t="inlineStr">
        <is>
          <t>Fardamento novo</t>
        </is>
      </c>
      <c r="D3198" s="107" t="n">
        <v>1</v>
      </c>
      <c r="E3198" s="108" t="n">
        <v>180</v>
      </c>
      <c r="F3198" s="109">
        <f>IFERROR(D3198*E3198,0)</f>
        <v/>
      </c>
      <c r="G3198" s="106">
        <f>INDEX(SETORES!$B:$B,MATCH(A3198,SETORES!$A:$A,0))</f>
        <v/>
      </c>
      <c r="H3198" s="106" t="inlineStr">
        <is>
          <t>Outubro/2026</t>
        </is>
      </c>
    </row>
    <row r="3199">
      <c r="A3199" s="106" t="inlineStr">
        <is>
          <t>DP</t>
        </is>
      </c>
      <c r="B3199" s="106" t="inlineStr">
        <is>
          <t>Custo Variável</t>
        </is>
      </c>
      <c r="C3199" s="106" t="inlineStr">
        <is>
          <t>Fardamento substituição</t>
        </is>
      </c>
      <c r="D3199" s="107" t="n">
        <v>1</v>
      </c>
      <c r="E3199" s="108" t="n">
        <v>272</v>
      </c>
      <c r="F3199" s="109">
        <f>IFERROR(D3199*E3199,0)</f>
        <v/>
      </c>
      <c r="G3199" s="106">
        <f>INDEX(SETORES!$B:$B,MATCH(A3199,SETORES!$A:$A,0))</f>
        <v/>
      </c>
      <c r="H3199" s="106" t="inlineStr">
        <is>
          <t>Outubro/2026</t>
        </is>
      </c>
    </row>
    <row r="3200">
      <c r="A3200" s="106" t="inlineStr">
        <is>
          <t>DP</t>
        </is>
      </c>
      <c r="B3200" s="106" t="inlineStr">
        <is>
          <t>Custo Fixo</t>
        </is>
      </c>
      <c r="C3200" s="106" t="inlineStr">
        <is>
          <t>Licença de e-mail corporativo</t>
        </is>
      </c>
      <c r="D3200" s="107" t="n">
        <v>9</v>
      </c>
      <c r="E3200" s="108" t="n">
        <v>50</v>
      </c>
      <c r="F3200" s="109">
        <f>IFERROR(D3200*E3200,0)</f>
        <v/>
      </c>
      <c r="G3200" s="106">
        <f>INDEX(SETORES!$B:$B,MATCH(A3200,SETORES!$A:$A,0))</f>
        <v/>
      </c>
      <c r="H3200" s="106" t="inlineStr">
        <is>
          <t>Outubro/2026</t>
        </is>
      </c>
    </row>
    <row r="3201">
      <c r="A3201" s="106" t="inlineStr">
        <is>
          <t>DP</t>
        </is>
      </c>
      <c r="B3201" s="106" t="inlineStr">
        <is>
          <t>Custo Fixo</t>
        </is>
      </c>
      <c r="C3201" s="106" t="inlineStr">
        <is>
          <t>Impressora</t>
        </is>
      </c>
      <c r="D3201" s="107" t="n"/>
      <c r="E3201" s="108" t="n"/>
      <c r="F3201" s="109">
        <f>IFERROR(D3201*E3201,0)</f>
        <v/>
      </c>
      <c r="G3201" s="106">
        <f>INDEX(SETORES!$B:$B,MATCH(A3201,SETORES!$A:$A,0))</f>
        <v/>
      </c>
      <c r="H3201" s="106" t="inlineStr">
        <is>
          <t>Outubro/2026</t>
        </is>
      </c>
    </row>
    <row r="3202">
      <c r="A3202" s="106" t="inlineStr">
        <is>
          <t>DP</t>
        </is>
      </c>
      <c r="B3202" s="106" t="inlineStr">
        <is>
          <t>Custo Fixo</t>
        </is>
      </c>
      <c r="C3202" s="106" t="inlineStr">
        <is>
          <t>Gympass</t>
        </is>
      </c>
      <c r="D3202" s="107" t="n"/>
      <c r="E3202" s="108" t="n"/>
      <c r="F3202" s="109">
        <f>IFERROR(D3202*E3202,0)</f>
        <v/>
      </c>
      <c r="G3202" s="106">
        <f>INDEX(SETORES!$B:$B,MATCH(A3202,SETORES!$A:$A,0))</f>
        <v/>
      </c>
      <c r="H3202" s="106" t="inlineStr">
        <is>
          <t>Outubro/2026</t>
        </is>
      </c>
    </row>
    <row r="3203">
      <c r="A3203" s="106" t="inlineStr">
        <is>
          <t>DP</t>
        </is>
      </c>
      <c r="B3203" s="106" t="inlineStr">
        <is>
          <t>Custo Fixo</t>
        </is>
      </c>
      <c r="C3203" s="106" t="inlineStr">
        <is>
          <t>Stargrid</t>
        </is>
      </c>
      <c r="D3203" s="107" t="n">
        <v>9</v>
      </c>
      <c r="E3203" s="108" t="n">
        <v>1.87</v>
      </c>
      <c r="F3203" s="109">
        <f>IFERROR(D3203*E3203,0)</f>
        <v/>
      </c>
      <c r="G3203" s="106">
        <f>INDEX(SETORES!$B:$B,MATCH(A3203,SETORES!$A:$A,0))</f>
        <v/>
      </c>
      <c r="H3203" s="106" t="inlineStr">
        <is>
          <t>Outubro/2026</t>
        </is>
      </c>
    </row>
    <row r="3204">
      <c r="A3204" s="106" t="inlineStr">
        <is>
          <t>Diretoria Operacional</t>
        </is>
      </c>
      <c r="B3204" s="106" t="inlineStr">
        <is>
          <t>Custo Fixo</t>
        </is>
      </c>
      <c r="C3204" s="106" t="inlineStr">
        <is>
          <t>Material de escritório (suprimentos de informática)</t>
        </is>
      </c>
      <c r="D3204" s="107" t="n">
        <v>1</v>
      </c>
      <c r="E3204" s="108" t="n">
        <v>9.31</v>
      </c>
      <c r="F3204" s="109">
        <f>IFERROR(D3204*E3204,0)</f>
        <v/>
      </c>
      <c r="G3204" s="106">
        <f>INDEX(SETORES!$B:$B,MATCH(A3204,SETORES!$A:$A,0))</f>
        <v/>
      </c>
      <c r="H3204" s="106" t="inlineStr">
        <is>
          <t>Outubro/2026</t>
        </is>
      </c>
    </row>
    <row r="3205">
      <c r="A3205" s="106" t="inlineStr">
        <is>
          <t>Diretoria Operacional</t>
        </is>
      </c>
      <c r="B3205" s="106" t="inlineStr">
        <is>
          <t>Custo Fixo</t>
        </is>
      </c>
      <c r="C3205" s="106" t="inlineStr">
        <is>
          <t>Material de uso coletivo (copa/limpeza)</t>
        </is>
      </c>
      <c r="D3205" s="107" t="n">
        <v>1</v>
      </c>
      <c r="E3205" s="108" t="n">
        <v>70.76000000000001</v>
      </c>
      <c r="F3205" s="109">
        <f>IFERROR(D3205*E3205,0)</f>
        <v/>
      </c>
      <c r="G3205" s="106">
        <f>INDEX(SETORES!$B:$B,MATCH(A3205,SETORES!$A:$A,0))</f>
        <v/>
      </c>
      <c r="H3205" s="106" t="inlineStr">
        <is>
          <t>Outubro/2026</t>
        </is>
      </c>
    </row>
    <row r="3206">
      <c r="A3206" s="106" t="inlineStr">
        <is>
          <t>Diretoria Operacional</t>
        </is>
      </c>
      <c r="B3206" s="106" t="inlineStr">
        <is>
          <t>Custo Fixo</t>
        </is>
      </c>
      <c r="C3206" s="106" t="inlineStr">
        <is>
          <t>Energia elétrica (rateio)</t>
        </is>
      </c>
      <c r="D3206" s="107" t="n"/>
      <c r="E3206" s="108" t="n"/>
      <c r="F3206" s="109">
        <f>IFERROR(D3206*E3206,0)</f>
        <v/>
      </c>
      <c r="G3206" s="106">
        <f>INDEX(SETORES!$B:$B,MATCH(A3206,SETORES!$A:$A,0))</f>
        <v/>
      </c>
      <c r="H3206" s="106" t="inlineStr">
        <is>
          <t>Outubro/2026</t>
        </is>
      </c>
    </row>
    <row r="3207">
      <c r="A3207" s="106" t="inlineStr">
        <is>
          <t>Diretoria Operacional</t>
        </is>
      </c>
      <c r="B3207" s="106" t="inlineStr">
        <is>
          <t>Custo Fixo</t>
        </is>
      </c>
      <c r="C3207" s="106" t="inlineStr">
        <is>
          <t>Água e esgoto (rateio)</t>
        </is>
      </c>
      <c r="D3207" s="107" t="n"/>
      <c r="E3207" s="108" t="n"/>
      <c r="F3207" s="109">
        <f>IFERROR(D3207*E3207,0)</f>
        <v/>
      </c>
      <c r="G3207" s="106">
        <f>INDEX(SETORES!$B:$B,MATCH(A3207,SETORES!$A:$A,0))</f>
        <v/>
      </c>
      <c r="H3207" s="106" t="inlineStr">
        <is>
          <t>Outubro/2026</t>
        </is>
      </c>
    </row>
    <row r="3208">
      <c r="A3208" s="106" t="inlineStr">
        <is>
          <t>Diretoria Operacional</t>
        </is>
      </c>
      <c r="B3208" s="106" t="inlineStr">
        <is>
          <t>Custo Fixo</t>
        </is>
      </c>
      <c r="C3208" s="106" t="inlineStr">
        <is>
          <t>Telefonia móvel corporativa</t>
        </is>
      </c>
      <c r="D3208" s="107" t="n"/>
      <c r="E3208" s="108" t="n"/>
      <c r="F3208" s="109">
        <f>IFERROR(D3208*E3208,0)</f>
        <v/>
      </c>
      <c r="G3208" s="106">
        <f>INDEX(SETORES!$B:$B,MATCH(A3208,SETORES!$A:$A,0))</f>
        <v/>
      </c>
      <c r="H3208" s="106" t="inlineStr">
        <is>
          <t>Outubro/2026</t>
        </is>
      </c>
    </row>
    <row r="3209">
      <c r="A3209" s="106" t="inlineStr">
        <is>
          <t>Diretoria Operacional</t>
        </is>
      </c>
      <c r="B3209" s="106" t="inlineStr">
        <is>
          <t>Custo Fixo</t>
        </is>
      </c>
      <c r="C3209" s="106" t="inlineStr">
        <is>
          <t>Folha de pagamento (salários)</t>
        </is>
      </c>
      <c r="D3209" s="107" t="n">
        <v>1</v>
      </c>
      <c r="E3209" s="108" t="n">
        <v>28328.94</v>
      </c>
      <c r="F3209" s="109">
        <f>IFERROR(D3209*E3209,0)</f>
        <v/>
      </c>
      <c r="G3209" s="106">
        <f>INDEX(SETORES!$B:$B,MATCH(A3209,SETORES!$A:$A,0))</f>
        <v/>
      </c>
      <c r="H3209" s="106" t="inlineStr">
        <is>
          <t>Outubro/2026</t>
        </is>
      </c>
    </row>
    <row r="3210">
      <c r="A3210" s="106" t="inlineStr">
        <is>
          <t>Diretoria Operacional</t>
        </is>
      </c>
      <c r="B3210" s="106" t="inlineStr">
        <is>
          <t>Custo Variável</t>
        </is>
      </c>
      <c r="C3210" s="106" t="inlineStr">
        <is>
          <t>Viagens e hospedagem corporativas</t>
        </is>
      </c>
      <c r="D3210" s="107" t="n"/>
      <c r="E3210" s="108" t="n"/>
      <c r="F3210" s="109">
        <f>IFERROR(D3210*E3210,0)</f>
        <v/>
      </c>
      <c r="G3210" s="106">
        <f>INDEX(SETORES!$B:$B,MATCH(A3210,SETORES!$A:$A,0))</f>
        <v/>
      </c>
      <c r="H3210" s="106" t="inlineStr">
        <is>
          <t>Outubro/2026</t>
        </is>
      </c>
    </row>
    <row r="3211">
      <c r="A3211" s="106" t="inlineStr">
        <is>
          <t>Diretoria Operacional</t>
        </is>
      </c>
      <c r="B3211" s="106" t="inlineStr">
        <is>
          <t>Custo Variável</t>
        </is>
      </c>
      <c r="C3211" s="106" t="inlineStr">
        <is>
          <t>Fardamento novo</t>
        </is>
      </c>
      <c r="D3211" s="107" t="n"/>
      <c r="E3211" s="108" t="n"/>
      <c r="F3211" s="109">
        <f>IFERROR(D3211*E3211,0)</f>
        <v/>
      </c>
      <c r="G3211" s="106">
        <f>INDEX(SETORES!$B:$B,MATCH(A3211,SETORES!$A:$A,0))</f>
        <v/>
      </c>
      <c r="H3211" s="106" t="inlineStr">
        <is>
          <t>Outubro/2026</t>
        </is>
      </c>
    </row>
    <row r="3212">
      <c r="A3212" s="106" t="inlineStr">
        <is>
          <t>Diretoria Operacional</t>
        </is>
      </c>
      <c r="B3212" s="106" t="inlineStr">
        <is>
          <t>Custo Variável</t>
        </is>
      </c>
      <c r="C3212" s="106" t="inlineStr">
        <is>
          <t>Fardamento substituição</t>
        </is>
      </c>
      <c r="D3212" s="107" t="n"/>
      <c r="E3212" s="108" t="n"/>
      <c r="F3212" s="109">
        <f>IFERROR(D3212*E3212,0)</f>
        <v/>
      </c>
      <c r="G3212" s="106">
        <f>INDEX(SETORES!$B:$B,MATCH(A3212,SETORES!$A:$A,0))</f>
        <v/>
      </c>
      <c r="H3212" s="106" t="inlineStr">
        <is>
          <t>Outubro/2026</t>
        </is>
      </c>
    </row>
    <row r="3213">
      <c r="A3213" s="106" t="inlineStr">
        <is>
          <t>Diretoria Operacional</t>
        </is>
      </c>
      <c r="B3213" s="106" t="inlineStr">
        <is>
          <t>Custo Fixo</t>
        </is>
      </c>
      <c r="C3213" s="106" t="inlineStr">
        <is>
          <t>Licença de e-mail corporativo</t>
        </is>
      </c>
      <c r="D3213" s="107" t="n">
        <v>2</v>
      </c>
      <c r="E3213" s="108" t="n">
        <v>50</v>
      </c>
      <c r="F3213" s="109">
        <f>IFERROR(D3213*E3213,0)</f>
        <v/>
      </c>
      <c r="G3213" s="106">
        <f>INDEX(SETORES!$B:$B,MATCH(A3213,SETORES!$A:$A,0))</f>
        <v/>
      </c>
      <c r="H3213" s="106" t="inlineStr">
        <is>
          <t>Outubro/2026</t>
        </is>
      </c>
    </row>
    <row r="3214">
      <c r="A3214" s="106" t="inlineStr">
        <is>
          <t>Diretoria Operacional</t>
        </is>
      </c>
      <c r="B3214" s="106" t="inlineStr">
        <is>
          <t>Custo Fixo</t>
        </is>
      </c>
      <c r="C3214" s="106" t="inlineStr">
        <is>
          <t>Gympass</t>
        </is>
      </c>
      <c r="D3214" s="107" t="n"/>
      <c r="E3214" s="108" t="n"/>
      <c r="F3214" s="109">
        <f>IFERROR(D3214*E3214,0)</f>
        <v/>
      </c>
      <c r="G3214" s="106">
        <f>INDEX(SETORES!$B:$B,MATCH(A3214,SETORES!$A:$A,0))</f>
        <v/>
      </c>
      <c r="H3214" s="106" t="inlineStr">
        <is>
          <t>Outubro/2026</t>
        </is>
      </c>
    </row>
    <row r="3215">
      <c r="A3215" s="106" t="inlineStr">
        <is>
          <t>Diretoria Operacional</t>
        </is>
      </c>
      <c r="B3215" s="106" t="inlineStr">
        <is>
          <t>Custo Fixo</t>
        </is>
      </c>
      <c r="C3215" s="106" t="inlineStr">
        <is>
          <t>Stargrid</t>
        </is>
      </c>
      <c r="D3215" s="107" t="n">
        <v>2</v>
      </c>
      <c r="E3215" s="108" t="n">
        <v>1.87</v>
      </c>
      <c r="F3215" s="109">
        <f>IFERROR(D3215*E3215,0)</f>
        <v/>
      </c>
      <c r="G3215" s="106">
        <f>INDEX(SETORES!$B:$B,MATCH(A3215,SETORES!$A:$A,0))</f>
        <v/>
      </c>
      <c r="H3215" s="106" t="inlineStr">
        <is>
          <t>Outubro/2026</t>
        </is>
      </c>
    </row>
    <row r="3216">
      <c r="A3216" s="106" t="inlineStr">
        <is>
          <t>Engenharia</t>
        </is>
      </c>
      <c r="B3216" s="106" t="inlineStr">
        <is>
          <t>Custo Fixo</t>
        </is>
      </c>
      <c r="C3216" s="106" t="inlineStr">
        <is>
          <t>Material de escritório (suprimentos de informática)</t>
        </is>
      </c>
      <c r="D3216" s="107" t="n"/>
      <c r="E3216" s="108" t="n"/>
      <c r="F3216" s="109">
        <f>IFERROR(D3216*E3216,0)</f>
        <v/>
      </c>
      <c r="G3216" s="106">
        <f>INDEX(SETORES!$B:$B,MATCH(A3216,SETORES!$A:$A,0))</f>
        <v/>
      </c>
      <c r="H3216" s="106" t="inlineStr">
        <is>
          <t>Outubro/2026</t>
        </is>
      </c>
    </row>
    <row r="3217">
      <c r="A3217" s="106" t="inlineStr">
        <is>
          <t>Engenharia</t>
        </is>
      </c>
      <c r="B3217" s="106" t="inlineStr">
        <is>
          <t>Custo Fixo</t>
        </is>
      </c>
      <c r="C3217" s="106" t="inlineStr">
        <is>
          <t>Material de uso coletivo (copa/limpeza)</t>
        </is>
      </c>
      <c r="D3217" s="107" t="n"/>
      <c r="E3217" s="108" t="n"/>
      <c r="F3217" s="109">
        <f>IFERROR(D3217*E3217,0)</f>
        <v/>
      </c>
      <c r="G3217" s="106">
        <f>INDEX(SETORES!$B:$B,MATCH(A3217,SETORES!$A:$A,0))</f>
        <v/>
      </c>
      <c r="H3217" s="106" t="inlineStr">
        <is>
          <t>Outubro/2026</t>
        </is>
      </c>
    </row>
    <row r="3218">
      <c r="A3218" s="106" t="inlineStr">
        <is>
          <t>Engenharia</t>
        </is>
      </c>
      <c r="B3218" s="106" t="inlineStr">
        <is>
          <t>Custo Variável</t>
        </is>
      </c>
      <c r="C3218" s="106" t="inlineStr">
        <is>
          <t>Endomarketing</t>
        </is>
      </c>
      <c r="D3218" s="107" t="n"/>
      <c r="E3218" s="108" t="n"/>
      <c r="F3218" s="109">
        <f>IFERROR(D3218*E3218,0)</f>
        <v/>
      </c>
      <c r="G3218" s="106">
        <f>INDEX(SETORES!$B:$B,MATCH(A3218,SETORES!$A:$A,0))</f>
        <v/>
      </c>
      <c r="H3218" s="106" t="inlineStr">
        <is>
          <t>Outubro/2026</t>
        </is>
      </c>
    </row>
    <row r="3219">
      <c r="A3219" s="106" t="inlineStr">
        <is>
          <t>Engenharia</t>
        </is>
      </c>
      <c r="B3219" s="106" t="inlineStr">
        <is>
          <t>Custo Fixo</t>
        </is>
      </c>
      <c r="C3219" s="106" t="inlineStr">
        <is>
          <t>Energia elétrica (rateio)</t>
        </is>
      </c>
      <c r="D3219" s="107" t="n"/>
      <c r="E3219" s="108" t="n"/>
      <c r="F3219" s="109">
        <f>IFERROR(D3219*E3219,0)</f>
        <v/>
      </c>
      <c r="G3219" s="106">
        <f>INDEX(SETORES!$B:$B,MATCH(A3219,SETORES!$A:$A,0))</f>
        <v/>
      </c>
      <c r="H3219" s="106" t="inlineStr">
        <is>
          <t>Outubro/2026</t>
        </is>
      </c>
    </row>
    <row r="3220">
      <c r="A3220" s="106" t="inlineStr">
        <is>
          <t>Engenharia</t>
        </is>
      </c>
      <c r="B3220" s="106" t="inlineStr">
        <is>
          <t>Custo Fixo</t>
        </is>
      </c>
      <c r="C3220" s="106" t="inlineStr">
        <is>
          <t>Água e esgoto (rateio)</t>
        </is>
      </c>
      <c r="D3220" s="107" t="n"/>
      <c r="E3220" s="108" t="n"/>
      <c r="F3220" s="109">
        <f>IFERROR(D3220*E3220,0)</f>
        <v/>
      </c>
      <c r="G3220" s="106">
        <f>INDEX(SETORES!$B:$B,MATCH(A3220,SETORES!$A:$A,0))</f>
        <v/>
      </c>
      <c r="H3220" s="106" t="inlineStr">
        <is>
          <t>Outubro/2026</t>
        </is>
      </c>
    </row>
    <row r="3221">
      <c r="A3221" s="106" t="inlineStr">
        <is>
          <t>Engenharia</t>
        </is>
      </c>
      <c r="B3221" s="106" t="inlineStr">
        <is>
          <t>Custo Fixo</t>
        </is>
      </c>
      <c r="C3221" s="106" t="inlineStr">
        <is>
          <t>Telefonia móvel corporativa</t>
        </is>
      </c>
      <c r="D3221" s="107" t="n"/>
      <c r="E3221" s="108" t="n"/>
      <c r="F3221" s="109">
        <f>IFERROR(D3221*E3221,0)</f>
        <v/>
      </c>
      <c r="G3221" s="106">
        <f>INDEX(SETORES!$B:$B,MATCH(A3221,SETORES!$A:$A,0))</f>
        <v/>
      </c>
      <c r="H3221" s="106" t="inlineStr">
        <is>
          <t>Outubro/2026</t>
        </is>
      </c>
    </row>
    <row r="3222">
      <c r="A3222" s="106" t="inlineStr">
        <is>
          <t>Engenharia</t>
        </is>
      </c>
      <c r="B3222" s="106" t="inlineStr">
        <is>
          <t>Custo Fixo</t>
        </is>
      </c>
      <c r="C3222" s="106" t="inlineStr">
        <is>
          <t>Folha de pagamento (salários)</t>
        </is>
      </c>
      <c r="D3222" s="107" t="n">
        <v>1</v>
      </c>
      <c r="E3222" s="108" t="n">
        <v>64244.34</v>
      </c>
      <c r="F3222" s="109">
        <f>IFERROR(D3222*E3222,0)</f>
        <v/>
      </c>
      <c r="G3222" s="106">
        <f>INDEX(SETORES!$B:$B,MATCH(A3222,SETORES!$A:$A,0))</f>
        <v/>
      </c>
      <c r="H3222" s="106" t="inlineStr">
        <is>
          <t>Outubro/2026</t>
        </is>
      </c>
    </row>
    <row r="3223">
      <c r="A3223" s="106" t="inlineStr">
        <is>
          <t>Engenharia</t>
        </is>
      </c>
      <c r="B3223" s="106" t="inlineStr">
        <is>
          <t>Custo Variável</t>
        </is>
      </c>
      <c r="C3223" s="106" t="inlineStr">
        <is>
          <t>Fardamento novo</t>
        </is>
      </c>
      <c r="D3223" s="107" t="n">
        <v>1</v>
      </c>
      <c r="E3223" s="108" t="n">
        <v>90</v>
      </c>
      <c r="F3223" s="109">
        <f>IFERROR(D3223*E3223,0)</f>
        <v/>
      </c>
      <c r="G3223" s="106">
        <f>INDEX(SETORES!$B:$B,MATCH(A3223,SETORES!$A:$A,0))</f>
        <v/>
      </c>
      <c r="H3223" s="106" t="inlineStr">
        <is>
          <t>Outubro/2026</t>
        </is>
      </c>
    </row>
    <row r="3224">
      <c r="A3224" s="106" t="inlineStr">
        <is>
          <t>Engenharia</t>
        </is>
      </c>
      <c r="B3224" s="106" t="inlineStr">
        <is>
          <t>Custo Variável</t>
        </is>
      </c>
      <c r="C3224" s="106" t="inlineStr">
        <is>
          <t>Fardamento substituição</t>
        </is>
      </c>
      <c r="D3224" s="107" t="n"/>
      <c r="E3224" s="108" t="n"/>
      <c r="F3224" s="109">
        <f>IFERROR(D3224*E3224,0)</f>
        <v/>
      </c>
      <c r="G3224" s="106">
        <f>INDEX(SETORES!$B:$B,MATCH(A3224,SETORES!$A:$A,0))</f>
        <v/>
      </c>
      <c r="H3224" s="106" t="inlineStr">
        <is>
          <t>Outubro/2026</t>
        </is>
      </c>
    </row>
    <row r="3225">
      <c r="A3225" s="106" t="inlineStr">
        <is>
          <t>Engenharia</t>
        </is>
      </c>
      <c r="B3225" s="106" t="inlineStr">
        <is>
          <t>Custo Variável</t>
        </is>
      </c>
      <c r="C3225" s="106" t="inlineStr">
        <is>
          <t>Rateio de transporte coletivo</t>
        </is>
      </c>
      <c r="D3225" s="107" t="n"/>
      <c r="E3225" s="108" t="n"/>
      <c r="F3225" s="109">
        <f>IFERROR(D3225*E3225,0)</f>
        <v/>
      </c>
      <c r="G3225" s="106">
        <f>INDEX(SETORES!$B:$B,MATCH(A3225,SETORES!$A:$A,0))</f>
        <v/>
      </c>
      <c r="H3225" s="106" t="inlineStr">
        <is>
          <t>Outubro/2026</t>
        </is>
      </c>
    </row>
    <row r="3226">
      <c r="A3226" s="106" t="inlineStr">
        <is>
          <t>Engenharia</t>
        </is>
      </c>
      <c r="B3226" s="106" t="inlineStr">
        <is>
          <t>Custo Variável</t>
        </is>
      </c>
      <c r="C3226" s="106" t="inlineStr">
        <is>
          <t>Rescisões trabalhistas</t>
        </is>
      </c>
      <c r="D3226" s="107" t="n"/>
      <c r="E3226" s="108" t="n"/>
      <c r="F3226" s="109">
        <f>IFERROR(D3226*E3226,0)</f>
        <v/>
      </c>
      <c r="G3226" s="106">
        <f>INDEX(SETORES!$B:$B,MATCH(A3226,SETORES!$A:$A,0))</f>
        <v/>
      </c>
      <c r="H3226" s="106" t="inlineStr">
        <is>
          <t>Outubro/2026</t>
        </is>
      </c>
    </row>
    <row r="3227">
      <c r="A3227" s="106" t="inlineStr">
        <is>
          <t>Engenharia</t>
        </is>
      </c>
      <c r="B3227" s="106" t="inlineStr">
        <is>
          <t>Custo Fixo</t>
        </is>
      </c>
      <c r="C3227" s="106" t="inlineStr">
        <is>
          <t>Licença de e-mail corporativo</t>
        </is>
      </c>
      <c r="D3227" s="107" t="n">
        <v>9</v>
      </c>
      <c r="E3227" s="108" t="n">
        <v>50</v>
      </c>
      <c r="F3227" s="109">
        <f>IFERROR(D3227*E3227,0)</f>
        <v/>
      </c>
      <c r="G3227" s="106">
        <f>INDEX(SETORES!$B:$B,MATCH(A3227,SETORES!$A:$A,0))</f>
        <v/>
      </c>
      <c r="H3227" s="106" t="inlineStr">
        <is>
          <t>Outubro/2026</t>
        </is>
      </c>
    </row>
    <row r="3228">
      <c r="A3228" s="106" t="inlineStr">
        <is>
          <t>Engenharia</t>
        </is>
      </c>
      <c r="B3228" s="106" t="inlineStr">
        <is>
          <t>Custo Variável</t>
        </is>
      </c>
      <c r="C3228" s="106" t="inlineStr">
        <is>
          <t>Combustível de frota</t>
        </is>
      </c>
      <c r="D3228" s="107" t="n">
        <v>1</v>
      </c>
      <c r="E3228" s="108" t="n">
        <v>4864.24</v>
      </c>
      <c r="F3228" s="109">
        <f>IFERROR(D3228*E3228,0)</f>
        <v/>
      </c>
      <c r="G3228" s="106">
        <f>INDEX(SETORES!$B:$B,MATCH(A3228,SETORES!$A:$A,0))</f>
        <v/>
      </c>
      <c r="H3228" s="106" t="inlineStr">
        <is>
          <t>Outubro/2026</t>
        </is>
      </c>
    </row>
    <row r="3229">
      <c r="A3229" s="106" t="inlineStr">
        <is>
          <t>Engenharia</t>
        </is>
      </c>
      <c r="B3229" s="106" t="inlineStr">
        <is>
          <t>Custo Fixo</t>
        </is>
      </c>
      <c r="C3229" s="106" t="inlineStr">
        <is>
          <t>Impressora</t>
        </is>
      </c>
      <c r="D3229" s="107" t="n"/>
      <c r="E3229" s="108" t="n"/>
      <c r="F3229" s="109">
        <f>IFERROR(D3229*E3229,0)</f>
        <v/>
      </c>
      <c r="G3229" s="106">
        <f>INDEX(SETORES!$B:$B,MATCH(A3229,SETORES!$A:$A,0))</f>
        <v/>
      </c>
      <c r="H3229" s="106" t="inlineStr">
        <is>
          <t>Outubro/2026</t>
        </is>
      </c>
    </row>
    <row r="3230">
      <c r="A3230" s="106" t="inlineStr">
        <is>
          <t>Engenharia</t>
        </is>
      </c>
      <c r="B3230" s="106" t="inlineStr">
        <is>
          <t>Custo Fixo</t>
        </is>
      </c>
      <c r="C3230" s="106" t="inlineStr">
        <is>
          <t>Gympass</t>
        </is>
      </c>
      <c r="D3230" s="107" t="n"/>
      <c r="E3230" s="108" t="n"/>
      <c r="F3230" s="109">
        <f>IFERROR(D3230*E3230,0)</f>
        <v/>
      </c>
      <c r="G3230" s="106">
        <f>INDEX(SETORES!$B:$B,MATCH(A3230,SETORES!$A:$A,0))</f>
        <v/>
      </c>
      <c r="H3230" s="106" t="inlineStr">
        <is>
          <t>Outubro/2026</t>
        </is>
      </c>
    </row>
    <row r="3231">
      <c r="A3231" s="106" t="inlineStr">
        <is>
          <t>Engenharia</t>
        </is>
      </c>
      <c r="B3231" s="106" t="inlineStr">
        <is>
          <t>Custo Fixo</t>
        </is>
      </c>
      <c r="C3231" s="106" t="inlineStr">
        <is>
          <t>Stargrid</t>
        </is>
      </c>
      <c r="D3231" s="107" t="n">
        <v>9</v>
      </c>
      <c r="E3231" s="108" t="n">
        <v>1.87</v>
      </c>
      <c r="F3231" s="109">
        <f>IFERROR(D3231*E3231,0)</f>
        <v/>
      </c>
      <c r="G3231" s="106">
        <f>INDEX(SETORES!$B:$B,MATCH(A3231,SETORES!$A:$A,0))</f>
        <v/>
      </c>
      <c r="H3231" s="106" t="inlineStr">
        <is>
          <t>Outubro/2026</t>
        </is>
      </c>
    </row>
    <row r="3232">
      <c r="A3232" s="106" t="inlineStr">
        <is>
          <t>Estoque</t>
        </is>
      </c>
      <c r="B3232" s="106" t="inlineStr">
        <is>
          <t>Custo Fixo</t>
        </is>
      </c>
      <c r="C3232" s="106" t="inlineStr">
        <is>
          <t>Material de escritório (suprimentos de informática)</t>
        </is>
      </c>
      <c r="D3232" s="107" t="n"/>
      <c r="E3232" s="108" t="n"/>
      <c r="F3232" s="109">
        <f>IFERROR(D3232*E3232,0)</f>
        <v/>
      </c>
      <c r="G3232" s="106">
        <f>INDEX(SETORES!$B:$B,MATCH(A3232,SETORES!$A:$A,0))</f>
        <v/>
      </c>
      <c r="H3232" s="106" t="inlineStr">
        <is>
          <t>Outubro/2026</t>
        </is>
      </c>
    </row>
    <row r="3233">
      <c r="A3233" s="106" t="inlineStr">
        <is>
          <t>Estoque</t>
        </is>
      </c>
      <c r="B3233" s="106" t="inlineStr">
        <is>
          <t>Custo Fixo</t>
        </is>
      </c>
      <c r="C3233" s="106" t="inlineStr">
        <is>
          <t>Material de uso coletivo (copa/limpeza)</t>
        </is>
      </c>
      <c r="D3233" s="107" t="n">
        <v>1</v>
      </c>
      <c r="E3233" s="108" t="n">
        <v>828.61</v>
      </c>
      <c r="F3233" s="109">
        <f>IFERROR(D3233*E3233,0)</f>
        <v/>
      </c>
      <c r="G3233" s="106">
        <f>INDEX(SETORES!$B:$B,MATCH(A3233,SETORES!$A:$A,0))</f>
        <v/>
      </c>
      <c r="H3233" s="106" t="inlineStr">
        <is>
          <t>Outubro/2026</t>
        </is>
      </c>
    </row>
    <row r="3234">
      <c r="A3234" s="106" t="inlineStr">
        <is>
          <t>Estoque</t>
        </is>
      </c>
      <c r="B3234" s="106" t="inlineStr">
        <is>
          <t>Custo Fixo</t>
        </is>
      </c>
      <c r="C3234" s="106" t="inlineStr">
        <is>
          <t>Energia elétrica (rateio)</t>
        </is>
      </c>
      <c r="D3234" s="107" t="n"/>
      <c r="E3234" s="108" t="n"/>
      <c r="F3234" s="109">
        <f>IFERROR(D3234*E3234,0)</f>
        <v/>
      </c>
      <c r="G3234" s="106">
        <f>INDEX(SETORES!$B:$B,MATCH(A3234,SETORES!$A:$A,0))</f>
        <v/>
      </c>
      <c r="H3234" s="106" t="inlineStr">
        <is>
          <t>Outubro/2026</t>
        </is>
      </c>
    </row>
    <row r="3235">
      <c r="A3235" s="106" t="inlineStr">
        <is>
          <t>Estoque</t>
        </is>
      </c>
      <c r="B3235" s="106" t="inlineStr">
        <is>
          <t>Custo Fixo</t>
        </is>
      </c>
      <c r="C3235" s="106" t="inlineStr">
        <is>
          <t>Água e esgoto (rateio)</t>
        </is>
      </c>
      <c r="D3235" s="107" t="n"/>
      <c r="E3235" s="108" t="n"/>
      <c r="F3235" s="109">
        <f>IFERROR(D3235*E3235,0)</f>
        <v/>
      </c>
      <c r="G3235" s="106">
        <f>INDEX(SETORES!$B:$B,MATCH(A3235,SETORES!$A:$A,0))</f>
        <v/>
      </c>
      <c r="H3235" s="106" t="inlineStr">
        <is>
          <t>Outubro/2026</t>
        </is>
      </c>
    </row>
    <row r="3236">
      <c r="A3236" s="106" t="inlineStr">
        <is>
          <t>Estoque</t>
        </is>
      </c>
      <c r="B3236" s="106" t="inlineStr">
        <is>
          <t>Custo Fixo</t>
        </is>
      </c>
      <c r="C3236" s="106" t="inlineStr">
        <is>
          <t>Telefonia móvel corporativa</t>
        </is>
      </c>
      <c r="D3236" s="107" t="n"/>
      <c r="E3236" s="108" t="n"/>
      <c r="F3236" s="109">
        <f>IFERROR(D3236*E3236,0)</f>
        <v/>
      </c>
      <c r="G3236" s="106">
        <f>INDEX(SETORES!$B:$B,MATCH(A3236,SETORES!$A:$A,0))</f>
        <v/>
      </c>
      <c r="H3236" s="106" t="inlineStr">
        <is>
          <t>Outubro/2026</t>
        </is>
      </c>
    </row>
    <row r="3237">
      <c r="A3237" s="106" t="inlineStr">
        <is>
          <t>Estoque</t>
        </is>
      </c>
      <c r="B3237" s="106" t="inlineStr">
        <is>
          <t>Custo Fixo</t>
        </is>
      </c>
      <c r="C3237" s="106" t="inlineStr">
        <is>
          <t>Folha de pagamento (salários)</t>
        </is>
      </c>
      <c r="D3237" s="107" t="n">
        <v>1</v>
      </c>
      <c r="E3237" s="108" t="n">
        <v>96388.89999999999</v>
      </c>
      <c r="F3237" s="109">
        <f>IFERROR(D3237*E3237,0)</f>
        <v/>
      </c>
      <c r="G3237" s="106">
        <f>INDEX(SETORES!$B:$B,MATCH(A3237,SETORES!$A:$A,0))</f>
        <v/>
      </c>
      <c r="H3237" s="106" t="inlineStr">
        <is>
          <t>Outubro/2026</t>
        </is>
      </c>
    </row>
    <row r="3238">
      <c r="A3238" s="106" t="inlineStr">
        <is>
          <t>Estoque</t>
        </is>
      </c>
      <c r="B3238" s="106" t="inlineStr">
        <is>
          <t>Custo Variável</t>
        </is>
      </c>
      <c r="C3238" s="106" t="inlineStr">
        <is>
          <t>Fardamento novo</t>
        </is>
      </c>
      <c r="D3238" s="107" t="n"/>
      <c r="E3238" s="108" t="n"/>
      <c r="F3238" s="109">
        <f>IFERROR(D3238*E3238,0)</f>
        <v/>
      </c>
      <c r="G3238" s="106">
        <f>INDEX(SETORES!$B:$B,MATCH(A3238,SETORES!$A:$A,0))</f>
        <v/>
      </c>
      <c r="H3238" s="106" t="inlineStr">
        <is>
          <t>Outubro/2026</t>
        </is>
      </c>
    </row>
    <row r="3239">
      <c r="A3239" s="106" t="inlineStr">
        <is>
          <t>Estoque</t>
        </is>
      </c>
      <c r="B3239" s="106" t="inlineStr">
        <is>
          <t>Custo Variável</t>
        </is>
      </c>
      <c r="C3239" s="106" t="inlineStr">
        <is>
          <t>Fardamento substituição</t>
        </is>
      </c>
      <c r="D3239" s="107" t="n"/>
      <c r="E3239" s="108" t="n"/>
      <c r="F3239" s="109">
        <f>IFERROR(D3239*E3239,0)</f>
        <v/>
      </c>
      <c r="G3239" s="106">
        <f>INDEX(SETORES!$B:$B,MATCH(A3239,SETORES!$A:$A,0))</f>
        <v/>
      </c>
      <c r="H3239" s="106" t="inlineStr">
        <is>
          <t>Outubro/2026</t>
        </is>
      </c>
    </row>
    <row r="3240">
      <c r="A3240" s="106" t="inlineStr">
        <is>
          <t>Estoque</t>
        </is>
      </c>
      <c r="B3240" s="106" t="inlineStr">
        <is>
          <t>Custo Variável</t>
        </is>
      </c>
      <c r="C3240" s="106" t="inlineStr">
        <is>
          <t>Rateio de transporte coletivo</t>
        </is>
      </c>
      <c r="D3240" s="107" t="n"/>
      <c r="E3240" s="108" t="n"/>
      <c r="F3240" s="109">
        <f>IFERROR(D3240*E3240,0)</f>
        <v/>
      </c>
      <c r="G3240" s="106">
        <f>INDEX(SETORES!$B:$B,MATCH(A3240,SETORES!$A:$A,0))</f>
        <v/>
      </c>
      <c r="H3240" s="106" t="inlineStr">
        <is>
          <t>Outubro/2026</t>
        </is>
      </c>
    </row>
    <row r="3241">
      <c r="A3241" s="106" t="inlineStr">
        <is>
          <t>Estoque</t>
        </is>
      </c>
      <c r="B3241" s="106" t="inlineStr">
        <is>
          <t>Custo Variável</t>
        </is>
      </c>
      <c r="C3241" s="106" t="inlineStr">
        <is>
          <t>Rescisões trabalhistas</t>
        </is>
      </c>
      <c r="D3241" s="107" t="n"/>
      <c r="E3241" s="108" t="n"/>
      <c r="F3241" s="109">
        <f>IFERROR(D3241*E3241,0)</f>
        <v/>
      </c>
      <c r="G3241" s="106">
        <f>INDEX(SETORES!$B:$B,MATCH(A3241,SETORES!$A:$A,0))</f>
        <v/>
      </c>
      <c r="H3241" s="106" t="inlineStr">
        <is>
          <t>Outubro/2026</t>
        </is>
      </c>
    </row>
    <row r="3242">
      <c r="A3242" s="106" t="inlineStr">
        <is>
          <t>Estoque</t>
        </is>
      </c>
      <c r="B3242" s="106" t="inlineStr">
        <is>
          <t>Custo Variável</t>
        </is>
      </c>
      <c r="C3242" s="106" t="inlineStr">
        <is>
          <t>Exames médicos</t>
        </is>
      </c>
      <c r="D3242" s="107" t="n"/>
      <c r="E3242" s="108" t="n"/>
      <c r="F3242" s="109">
        <f>IFERROR(D3242*E3242,0)</f>
        <v/>
      </c>
      <c r="G3242" s="106">
        <f>INDEX(SETORES!$B:$B,MATCH(A3242,SETORES!$A:$A,0))</f>
        <v/>
      </c>
      <c r="H3242" s="106" t="inlineStr">
        <is>
          <t>Outubro/2026</t>
        </is>
      </c>
    </row>
    <row r="3243">
      <c r="A3243" s="106" t="inlineStr">
        <is>
          <t>Estoque</t>
        </is>
      </c>
      <c r="B3243" s="106" t="inlineStr">
        <is>
          <t>Custo Fixo</t>
        </is>
      </c>
      <c r="C3243" s="106" t="inlineStr">
        <is>
          <t>Licença de e-mail corporativo</t>
        </is>
      </c>
      <c r="D3243" s="107" t="n">
        <v>16</v>
      </c>
      <c r="E3243" s="108" t="n">
        <v>50</v>
      </c>
      <c r="F3243" s="109">
        <f>IFERROR(D3243*E3243,0)</f>
        <v/>
      </c>
      <c r="G3243" s="106">
        <f>INDEX(SETORES!$B:$B,MATCH(A3243,SETORES!$A:$A,0))</f>
        <v/>
      </c>
      <c r="H3243" s="106" t="inlineStr">
        <is>
          <t>Outubro/2026</t>
        </is>
      </c>
    </row>
    <row r="3244">
      <c r="A3244" s="106" t="inlineStr">
        <is>
          <t>Estoque</t>
        </is>
      </c>
      <c r="B3244" s="106" t="inlineStr">
        <is>
          <t>Custo Fixo</t>
        </is>
      </c>
      <c r="C3244" s="106" t="inlineStr">
        <is>
          <t>Impressora</t>
        </is>
      </c>
      <c r="D3244" s="107" t="n"/>
      <c r="E3244" s="108" t="n"/>
      <c r="F3244" s="109">
        <f>IFERROR(D3244*E3244,0)</f>
        <v/>
      </c>
      <c r="G3244" s="106">
        <f>INDEX(SETORES!$B:$B,MATCH(A3244,SETORES!$A:$A,0))</f>
        <v/>
      </c>
      <c r="H3244" s="106" t="inlineStr">
        <is>
          <t>Outubro/2026</t>
        </is>
      </c>
    </row>
    <row r="3245">
      <c r="A3245" s="106" t="inlineStr">
        <is>
          <t>Estoque</t>
        </is>
      </c>
      <c r="B3245" s="106" t="inlineStr">
        <is>
          <t>Custo Fixo</t>
        </is>
      </c>
      <c r="C3245" s="106" t="inlineStr">
        <is>
          <t>Gympass</t>
        </is>
      </c>
      <c r="D3245" s="107" t="n"/>
      <c r="E3245" s="108" t="n"/>
      <c r="F3245" s="109">
        <f>IFERROR(D3245*E3245,0)</f>
        <v/>
      </c>
      <c r="G3245" s="106">
        <f>INDEX(SETORES!$B:$B,MATCH(A3245,SETORES!$A:$A,0))</f>
        <v/>
      </c>
      <c r="H3245" s="106" t="inlineStr">
        <is>
          <t>Outubro/2026</t>
        </is>
      </c>
    </row>
    <row r="3246">
      <c r="A3246" s="106" t="inlineStr">
        <is>
          <t>Estoque</t>
        </is>
      </c>
      <c r="B3246" s="106" t="inlineStr">
        <is>
          <t>Custo Fixo</t>
        </is>
      </c>
      <c r="C3246" s="106" t="inlineStr">
        <is>
          <t>Stargrid</t>
        </is>
      </c>
      <c r="D3246" s="107" t="n">
        <v>16</v>
      </c>
      <c r="E3246" s="108" t="n">
        <v>1.87</v>
      </c>
      <c r="F3246" s="109">
        <f>IFERROR(D3246*E3246,0)</f>
        <v/>
      </c>
      <c r="G3246" s="106">
        <f>INDEX(SETORES!$B:$B,MATCH(A3246,SETORES!$A:$A,0))</f>
        <v/>
      </c>
      <c r="H3246" s="106" t="inlineStr">
        <is>
          <t>Outubro/2026</t>
        </is>
      </c>
    </row>
    <row r="3247">
      <c r="A3247" s="106" t="inlineStr">
        <is>
          <t>Financeiro</t>
        </is>
      </c>
      <c r="B3247" s="106" t="inlineStr">
        <is>
          <t>Custo Fixo</t>
        </is>
      </c>
      <c r="C3247" s="106" t="inlineStr">
        <is>
          <t>Material de escritório (suprimentos de informática)</t>
        </is>
      </c>
      <c r="D3247" s="107" t="n">
        <v>1</v>
      </c>
      <c r="E3247" s="108" t="n">
        <v>4.82</v>
      </c>
      <c r="F3247" s="109">
        <f>IFERROR(D3247*E3247,0)</f>
        <v/>
      </c>
      <c r="G3247" s="106">
        <f>INDEX(SETORES!$B:$B,MATCH(A3247,SETORES!$A:$A,0))</f>
        <v/>
      </c>
      <c r="H3247" s="106" t="inlineStr">
        <is>
          <t>Outubro/2026</t>
        </is>
      </c>
    </row>
    <row r="3248">
      <c r="A3248" s="106" t="inlineStr">
        <is>
          <t>Financeiro</t>
        </is>
      </c>
      <c r="B3248" s="106" t="inlineStr">
        <is>
          <t>Custo Fixo</t>
        </is>
      </c>
      <c r="C3248" s="106" t="inlineStr">
        <is>
          <t>Material de uso coletivo (copa/limpeza)</t>
        </is>
      </c>
      <c r="D3248" s="107" t="n">
        <v>1</v>
      </c>
      <c r="E3248" s="108" t="n">
        <v>438.85</v>
      </c>
      <c r="F3248" s="109">
        <f>IFERROR(D3248*E3248,0)</f>
        <v/>
      </c>
      <c r="G3248" s="106">
        <f>INDEX(SETORES!$B:$B,MATCH(A3248,SETORES!$A:$A,0))</f>
        <v/>
      </c>
      <c r="H3248" s="106" t="inlineStr">
        <is>
          <t>Outubro/2026</t>
        </is>
      </c>
    </row>
    <row r="3249">
      <c r="A3249" s="106" t="inlineStr">
        <is>
          <t>Financeiro</t>
        </is>
      </c>
      <c r="B3249" s="106" t="inlineStr">
        <is>
          <t>Custo Fixo</t>
        </is>
      </c>
      <c r="C3249" s="106" t="inlineStr">
        <is>
          <t>Energia elétrica (rateio)</t>
        </is>
      </c>
      <c r="D3249" s="107" t="n"/>
      <c r="E3249" s="108" t="n"/>
      <c r="F3249" s="109">
        <f>IFERROR(D3249*E3249,0)</f>
        <v/>
      </c>
      <c r="G3249" s="106">
        <f>INDEX(SETORES!$B:$B,MATCH(A3249,SETORES!$A:$A,0))</f>
        <v/>
      </c>
      <c r="H3249" s="106" t="inlineStr">
        <is>
          <t>Outubro/2026</t>
        </is>
      </c>
    </row>
    <row r="3250">
      <c r="A3250" s="106" t="inlineStr">
        <is>
          <t>Financeiro</t>
        </is>
      </c>
      <c r="B3250" s="106" t="inlineStr">
        <is>
          <t>Custo Fixo</t>
        </is>
      </c>
      <c r="C3250" s="106" t="inlineStr">
        <is>
          <t>Água e esgoto (rateio)</t>
        </is>
      </c>
      <c r="D3250" s="107" t="n"/>
      <c r="E3250" s="108" t="n"/>
      <c r="F3250" s="109">
        <f>IFERROR(D3250*E3250,0)</f>
        <v/>
      </c>
      <c r="G3250" s="106">
        <f>INDEX(SETORES!$B:$B,MATCH(A3250,SETORES!$A:$A,0))</f>
        <v/>
      </c>
      <c r="H3250" s="106" t="inlineStr">
        <is>
          <t>Outubro/2026</t>
        </is>
      </c>
    </row>
    <row r="3251">
      <c r="A3251" s="106" t="inlineStr">
        <is>
          <t>Financeiro</t>
        </is>
      </c>
      <c r="B3251" s="106" t="inlineStr">
        <is>
          <t>Custo Fixo</t>
        </is>
      </c>
      <c r="C3251" s="106" t="inlineStr">
        <is>
          <t>Telefonia móvel corporativa</t>
        </is>
      </c>
      <c r="D3251" s="107" t="n"/>
      <c r="E3251" s="108" t="n"/>
      <c r="F3251" s="109">
        <f>IFERROR(D3251*E3251,0)</f>
        <v/>
      </c>
      <c r="G3251" s="106">
        <f>INDEX(SETORES!$B:$B,MATCH(A3251,SETORES!$A:$A,0))</f>
        <v/>
      </c>
      <c r="H3251" s="106" t="inlineStr">
        <is>
          <t>Outubro/2026</t>
        </is>
      </c>
    </row>
    <row r="3252">
      <c r="A3252" s="106" t="inlineStr">
        <is>
          <t>Financeiro</t>
        </is>
      </c>
      <c r="B3252" s="106" t="inlineStr">
        <is>
          <t>Custo Fixo</t>
        </is>
      </c>
      <c r="C3252" s="106" t="inlineStr">
        <is>
          <t>Folha de pagamento (salários)</t>
        </is>
      </c>
      <c r="D3252" s="107" t="n">
        <v>1</v>
      </c>
      <c r="E3252" s="108" t="n">
        <v>33181.94</v>
      </c>
      <c r="F3252" s="109">
        <f>IFERROR(D3252*E3252,0)</f>
        <v/>
      </c>
      <c r="G3252" s="106">
        <f>INDEX(SETORES!$B:$B,MATCH(A3252,SETORES!$A:$A,0))</f>
        <v/>
      </c>
      <c r="H3252" s="106" t="inlineStr">
        <is>
          <t>Outubro/2026</t>
        </is>
      </c>
    </row>
    <row r="3253">
      <c r="A3253" s="106" t="inlineStr">
        <is>
          <t>Financeiro</t>
        </is>
      </c>
      <c r="B3253" s="106" t="inlineStr">
        <is>
          <t>Custo Fixo</t>
        </is>
      </c>
      <c r="C3253" s="106" t="inlineStr">
        <is>
          <t>Licenças de software/sistemas corporativos (Financeiro)</t>
        </is>
      </c>
      <c r="D3253" s="107" t="n"/>
      <c r="E3253" s="108" t="n"/>
      <c r="F3253" s="109">
        <f>IFERROR(D3253*E3253,0)</f>
        <v/>
      </c>
      <c r="G3253" s="106">
        <f>INDEX(SETORES!$B:$B,MATCH(A3253,SETORES!$A:$A,0))</f>
        <v/>
      </c>
      <c r="H3253" s="106" t="inlineStr">
        <is>
          <t>Outubro/2026</t>
        </is>
      </c>
    </row>
    <row r="3254">
      <c r="A3254" s="106" t="inlineStr">
        <is>
          <t>Financeiro</t>
        </is>
      </c>
      <c r="B3254" s="106" t="inlineStr">
        <is>
          <t>Custo Variável</t>
        </is>
      </c>
      <c r="C3254" s="106" t="inlineStr">
        <is>
          <t>Fardamento novo</t>
        </is>
      </c>
      <c r="D3254" s="107" t="n"/>
      <c r="E3254" s="108" t="n"/>
      <c r="F3254" s="109">
        <f>IFERROR(D3254*E3254,0)</f>
        <v/>
      </c>
      <c r="G3254" s="106">
        <f>INDEX(SETORES!$B:$B,MATCH(A3254,SETORES!$A:$A,0))</f>
        <v/>
      </c>
      <c r="H3254" s="106" t="inlineStr">
        <is>
          <t>Outubro/2026</t>
        </is>
      </c>
    </row>
    <row r="3255">
      <c r="A3255" s="106" t="inlineStr">
        <is>
          <t>Financeiro</t>
        </is>
      </c>
      <c r="B3255" s="106" t="inlineStr">
        <is>
          <t>Custo Variável</t>
        </is>
      </c>
      <c r="C3255" s="106" t="inlineStr">
        <is>
          <t>Fardamento substituição</t>
        </is>
      </c>
      <c r="D3255" s="107" t="n"/>
      <c r="E3255" s="108" t="n"/>
      <c r="F3255" s="109">
        <f>IFERROR(D3255*E3255,0)</f>
        <v/>
      </c>
      <c r="G3255" s="106">
        <f>INDEX(SETORES!$B:$B,MATCH(A3255,SETORES!$A:$A,0))</f>
        <v/>
      </c>
      <c r="H3255" s="106" t="inlineStr">
        <is>
          <t>Outubro/2026</t>
        </is>
      </c>
    </row>
    <row r="3256">
      <c r="A3256" s="106" t="inlineStr">
        <is>
          <t>Financeiro</t>
        </is>
      </c>
      <c r="B3256" s="106" t="inlineStr">
        <is>
          <t>Custo Fixo</t>
        </is>
      </c>
      <c r="C3256" s="106" t="inlineStr">
        <is>
          <t>Licença de e-mail corporativo</t>
        </is>
      </c>
      <c r="D3256" s="107" t="n">
        <v>8</v>
      </c>
      <c r="E3256" s="108" t="n">
        <v>50</v>
      </c>
      <c r="F3256" s="109">
        <f>IFERROR(D3256*E3256,0)</f>
        <v/>
      </c>
      <c r="G3256" s="106">
        <f>INDEX(SETORES!$B:$B,MATCH(A3256,SETORES!$A:$A,0))</f>
        <v/>
      </c>
      <c r="H3256" s="106" t="inlineStr">
        <is>
          <t>Outubro/2026</t>
        </is>
      </c>
    </row>
    <row r="3257">
      <c r="A3257" s="106" t="inlineStr">
        <is>
          <t>Financeiro</t>
        </is>
      </c>
      <c r="B3257" s="106" t="inlineStr">
        <is>
          <t>Custo Fixo</t>
        </is>
      </c>
      <c r="C3257" s="106" t="inlineStr">
        <is>
          <t>Impressora</t>
        </is>
      </c>
      <c r="D3257" s="107" t="n"/>
      <c r="E3257" s="108" t="n"/>
      <c r="F3257" s="109">
        <f>IFERROR(D3257*E3257,0)</f>
        <v/>
      </c>
      <c r="G3257" s="106">
        <f>INDEX(SETORES!$B:$B,MATCH(A3257,SETORES!$A:$A,0))</f>
        <v/>
      </c>
      <c r="H3257" s="106" t="inlineStr">
        <is>
          <t>Outubro/2026</t>
        </is>
      </c>
    </row>
    <row r="3258">
      <c r="A3258" s="106" t="inlineStr">
        <is>
          <t>Financeiro</t>
        </is>
      </c>
      <c r="B3258" s="106" t="inlineStr">
        <is>
          <t>Custo Fixo</t>
        </is>
      </c>
      <c r="C3258" s="106" t="inlineStr">
        <is>
          <t>Gympass</t>
        </is>
      </c>
      <c r="D3258" s="107" t="n"/>
      <c r="E3258" s="108" t="n"/>
      <c r="F3258" s="109">
        <f>IFERROR(D3258*E3258,0)</f>
        <v/>
      </c>
      <c r="G3258" s="106">
        <f>INDEX(SETORES!$B:$B,MATCH(A3258,SETORES!$A:$A,0))</f>
        <v/>
      </c>
      <c r="H3258" s="106" t="inlineStr">
        <is>
          <t>Outubro/2026</t>
        </is>
      </c>
    </row>
    <row r="3259">
      <c r="A3259" s="106" t="inlineStr">
        <is>
          <t>Financeiro</t>
        </is>
      </c>
      <c r="B3259" s="106" t="inlineStr">
        <is>
          <t>Custo Fixo</t>
        </is>
      </c>
      <c r="C3259" s="106" t="inlineStr">
        <is>
          <t>Stargrid</t>
        </is>
      </c>
      <c r="D3259" s="107" t="n">
        <v>8</v>
      </c>
      <c r="E3259" s="108" t="n">
        <v>1.87</v>
      </c>
      <c r="F3259" s="109">
        <f>IFERROR(D3259*E3259,0)</f>
        <v/>
      </c>
      <c r="G3259" s="106">
        <f>INDEX(SETORES!$B:$B,MATCH(A3259,SETORES!$A:$A,0))</f>
        <v/>
      </c>
      <c r="H3259" s="106" t="inlineStr">
        <is>
          <t>Outubro/2026</t>
        </is>
      </c>
    </row>
    <row r="3260">
      <c r="A3260" s="106" t="inlineStr">
        <is>
          <t>Logística</t>
        </is>
      </c>
      <c r="B3260" s="106" t="inlineStr">
        <is>
          <t>Custo Fixo</t>
        </is>
      </c>
      <c r="C3260" s="106" t="inlineStr">
        <is>
          <t>Material de escritório (suprimentos de informática)</t>
        </is>
      </c>
      <c r="D3260" s="107" t="n">
        <v>1</v>
      </c>
      <c r="E3260" s="108" t="n">
        <v>89.59</v>
      </c>
      <c r="F3260" s="109">
        <f>IFERROR(D3260*E3260,0)</f>
        <v/>
      </c>
      <c r="G3260" s="106">
        <f>INDEX(SETORES!$B:$B,MATCH(A3260,SETORES!$A:$A,0))</f>
        <v/>
      </c>
      <c r="H3260" s="106" t="inlineStr">
        <is>
          <t>Outubro/2026</t>
        </is>
      </c>
    </row>
    <row r="3261">
      <c r="A3261" s="106" t="inlineStr">
        <is>
          <t>Logística</t>
        </is>
      </c>
      <c r="B3261" s="106" t="inlineStr">
        <is>
          <t>Custo Fixo</t>
        </is>
      </c>
      <c r="C3261" s="106" t="inlineStr">
        <is>
          <t>Material de uso coletivo (copa/limpeza)</t>
        </is>
      </c>
      <c r="D3261" s="107" t="n">
        <v>1</v>
      </c>
      <c r="E3261" s="108" t="n">
        <v>830.33</v>
      </c>
      <c r="F3261" s="109">
        <f>IFERROR(D3261*E3261,0)</f>
        <v/>
      </c>
      <c r="G3261" s="106">
        <f>INDEX(SETORES!$B:$B,MATCH(A3261,SETORES!$A:$A,0))</f>
        <v/>
      </c>
      <c r="H3261" s="106" t="inlineStr">
        <is>
          <t>Outubro/2026</t>
        </is>
      </c>
    </row>
    <row r="3262">
      <c r="A3262" s="106" t="inlineStr">
        <is>
          <t>Logística</t>
        </is>
      </c>
      <c r="B3262" s="106" t="inlineStr">
        <is>
          <t>Custo Fixo</t>
        </is>
      </c>
      <c r="C3262" s="106" t="inlineStr">
        <is>
          <t>Energia elétrica (rateio)</t>
        </is>
      </c>
      <c r="D3262" s="107" t="n"/>
      <c r="E3262" s="108" t="n"/>
      <c r="F3262" s="109">
        <f>IFERROR(D3262*E3262,0)</f>
        <v/>
      </c>
      <c r="G3262" s="106">
        <f>INDEX(SETORES!$B:$B,MATCH(A3262,SETORES!$A:$A,0))</f>
        <v/>
      </c>
      <c r="H3262" s="106" t="inlineStr">
        <is>
          <t>Outubro/2026</t>
        </is>
      </c>
    </row>
    <row r="3263">
      <c r="A3263" s="106" t="inlineStr">
        <is>
          <t>Logística</t>
        </is>
      </c>
      <c r="B3263" s="106" t="inlineStr">
        <is>
          <t>Custo Fixo</t>
        </is>
      </c>
      <c r="C3263" s="106" t="inlineStr">
        <is>
          <t>Água e esgoto (rateio)</t>
        </is>
      </c>
      <c r="D3263" s="107" t="n"/>
      <c r="E3263" s="108" t="n"/>
      <c r="F3263" s="109">
        <f>IFERROR(D3263*E3263,0)</f>
        <v/>
      </c>
      <c r="G3263" s="106">
        <f>INDEX(SETORES!$B:$B,MATCH(A3263,SETORES!$A:$A,0))</f>
        <v/>
      </c>
      <c r="H3263" s="106" t="inlineStr">
        <is>
          <t>Outubro/2026</t>
        </is>
      </c>
    </row>
    <row r="3264">
      <c r="A3264" s="106" t="inlineStr">
        <is>
          <t>Logística</t>
        </is>
      </c>
      <c r="B3264" s="106" t="inlineStr">
        <is>
          <t>Custo Fixo</t>
        </is>
      </c>
      <c r="C3264" s="106" t="inlineStr">
        <is>
          <t>Telefonia móvel corporativa</t>
        </is>
      </c>
      <c r="D3264" s="107" t="n"/>
      <c r="E3264" s="108" t="n"/>
      <c r="F3264" s="109">
        <f>IFERROR(D3264*E3264,0)</f>
        <v/>
      </c>
      <c r="G3264" s="106">
        <f>INDEX(SETORES!$B:$B,MATCH(A3264,SETORES!$A:$A,0))</f>
        <v/>
      </c>
      <c r="H3264" s="106" t="inlineStr">
        <is>
          <t>Outubro/2026</t>
        </is>
      </c>
    </row>
    <row r="3265">
      <c r="A3265" s="106" t="inlineStr">
        <is>
          <t>Logística</t>
        </is>
      </c>
      <c r="B3265" s="106" t="inlineStr">
        <is>
          <t>Custo Fixo</t>
        </is>
      </c>
      <c r="C3265" s="106" t="inlineStr">
        <is>
          <t>Folha de pagamento (salários)</t>
        </is>
      </c>
      <c r="D3265" s="107" t="n">
        <v>1</v>
      </c>
      <c r="E3265" s="108" t="n">
        <v>92482.67999999999</v>
      </c>
      <c r="F3265" s="109">
        <f>IFERROR(D3265*E3265,0)</f>
        <v/>
      </c>
      <c r="G3265" s="106">
        <f>INDEX(SETORES!$B:$B,MATCH(A3265,SETORES!$A:$A,0))</f>
        <v/>
      </c>
      <c r="H3265" s="106" t="inlineStr">
        <is>
          <t>Outubro/2026</t>
        </is>
      </c>
    </row>
    <row r="3266">
      <c r="A3266" s="106" t="inlineStr">
        <is>
          <t>Logística</t>
        </is>
      </c>
      <c r="B3266" s="106" t="inlineStr">
        <is>
          <t>Custo Variável</t>
        </is>
      </c>
      <c r="C3266" s="106" t="inlineStr">
        <is>
          <t>Combustível de frota</t>
        </is>
      </c>
      <c r="D3266" s="107" t="n">
        <v>1</v>
      </c>
      <c r="E3266" s="108" t="n">
        <v>39191.62</v>
      </c>
      <c r="F3266" s="109">
        <f>IFERROR(D3266*E3266,0)</f>
        <v/>
      </c>
      <c r="G3266" s="106">
        <f>INDEX(SETORES!$B:$B,MATCH(A3266,SETORES!$A:$A,0))</f>
        <v/>
      </c>
      <c r="H3266" s="106" t="inlineStr">
        <is>
          <t>Outubro/2026</t>
        </is>
      </c>
    </row>
    <row r="3267">
      <c r="A3267" s="106" t="inlineStr">
        <is>
          <t>Logística</t>
        </is>
      </c>
      <c r="B3267" s="106" t="inlineStr">
        <is>
          <t>Custo Variável</t>
        </is>
      </c>
      <c r="C3267" s="106" t="inlineStr">
        <is>
          <t>Manutenção de veículos</t>
        </is>
      </c>
      <c r="D3267" s="107" t="n"/>
      <c r="E3267" s="108" t="n"/>
      <c r="F3267" s="109">
        <f>IFERROR(D3267*E3267,0)</f>
        <v/>
      </c>
      <c r="G3267" s="106">
        <f>INDEX(SETORES!$B:$B,MATCH(A3267,SETORES!$A:$A,0))</f>
        <v/>
      </c>
      <c r="H3267" s="106" t="inlineStr">
        <is>
          <t>Outubro/2026</t>
        </is>
      </c>
    </row>
    <row r="3268">
      <c r="A3268" s="106" t="inlineStr">
        <is>
          <t>Logística</t>
        </is>
      </c>
      <c r="B3268" s="106" t="inlineStr">
        <is>
          <t>Custo Variável</t>
        </is>
      </c>
      <c r="C3268" s="106" t="inlineStr">
        <is>
          <t>Fardamento novo</t>
        </is>
      </c>
      <c r="D3268" s="107" t="n">
        <v>1</v>
      </c>
      <c r="E3268" s="108" t="n">
        <v>90</v>
      </c>
      <c r="F3268" s="109">
        <f>IFERROR(D3268*E3268,0)</f>
        <v/>
      </c>
      <c r="G3268" s="106">
        <f>INDEX(SETORES!$B:$B,MATCH(A3268,SETORES!$A:$A,0))</f>
        <v/>
      </c>
      <c r="H3268" s="106" t="inlineStr">
        <is>
          <t>Outubro/2026</t>
        </is>
      </c>
    </row>
    <row r="3269">
      <c r="A3269" s="106" t="inlineStr">
        <is>
          <t>Logística</t>
        </is>
      </c>
      <c r="B3269" s="106" t="inlineStr">
        <is>
          <t>Custo Variável</t>
        </is>
      </c>
      <c r="C3269" s="106" t="inlineStr">
        <is>
          <t>Fardamento substituição</t>
        </is>
      </c>
      <c r="D3269" s="107" t="n"/>
      <c r="E3269" s="108" t="n"/>
      <c r="F3269" s="109">
        <f>IFERROR(D3269*E3269,0)</f>
        <v/>
      </c>
      <c r="G3269" s="106">
        <f>INDEX(SETORES!$B:$B,MATCH(A3269,SETORES!$A:$A,0))</f>
        <v/>
      </c>
      <c r="H3269" s="106" t="inlineStr">
        <is>
          <t>Outubro/2026</t>
        </is>
      </c>
    </row>
    <row r="3270">
      <c r="A3270" s="106" t="inlineStr">
        <is>
          <t>Logística</t>
        </is>
      </c>
      <c r="B3270" s="106" t="inlineStr">
        <is>
          <t>Custo Variável</t>
        </is>
      </c>
      <c r="C3270" s="106" t="inlineStr">
        <is>
          <t>EPIs - Equipamento de Proteção Individual</t>
        </is>
      </c>
      <c r="D3270" s="107" t="n"/>
      <c r="E3270" s="108" t="n"/>
      <c r="F3270" s="109">
        <f>IFERROR(D3270*E3270,0)</f>
        <v/>
      </c>
      <c r="G3270" s="106">
        <f>INDEX(SETORES!$B:$B,MATCH(A3270,SETORES!$A:$A,0))</f>
        <v/>
      </c>
      <c r="H3270" s="106" t="inlineStr">
        <is>
          <t>Outubro/2026</t>
        </is>
      </c>
    </row>
    <row r="3271">
      <c r="A3271" s="106" t="inlineStr">
        <is>
          <t>Logística</t>
        </is>
      </c>
      <c r="B3271" s="106" t="inlineStr">
        <is>
          <t>Custo Variável</t>
        </is>
      </c>
      <c r="C3271" s="106" t="inlineStr">
        <is>
          <t>Rateio de transporte coletivo</t>
        </is>
      </c>
      <c r="D3271" s="107" t="n"/>
      <c r="E3271" s="108" t="n"/>
      <c r="F3271" s="109">
        <f>IFERROR(D3271*E3271,0)</f>
        <v/>
      </c>
      <c r="G3271" s="106">
        <f>INDEX(SETORES!$B:$B,MATCH(A3271,SETORES!$A:$A,0))</f>
        <v/>
      </c>
      <c r="H3271" s="106" t="inlineStr">
        <is>
          <t>Outubro/2026</t>
        </is>
      </c>
    </row>
    <row r="3272">
      <c r="A3272" s="106" t="inlineStr">
        <is>
          <t>Logística</t>
        </is>
      </c>
      <c r="B3272" s="106" t="inlineStr">
        <is>
          <t>Custo Fixo</t>
        </is>
      </c>
      <c r="C3272" s="106" t="inlineStr">
        <is>
          <t>Licença de e-mail corporativo</t>
        </is>
      </c>
      <c r="D3272" s="107" t="n">
        <v>16</v>
      </c>
      <c r="E3272" s="108" t="n">
        <v>50</v>
      </c>
      <c r="F3272" s="109">
        <f>IFERROR(D3272*E3272,0)</f>
        <v/>
      </c>
      <c r="G3272" s="106">
        <f>INDEX(SETORES!$B:$B,MATCH(A3272,SETORES!$A:$A,0))</f>
        <v/>
      </c>
      <c r="H3272" s="106" t="inlineStr">
        <is>
          <t>Outubro/2026</t>
        </is>
      </c>
    </row>
    <row r="3273">
      <c r="A3273" s="106" t="inlineStr">
        <is>
          <t>Logística</t>
        </is>
      </c>
      <c r="B3273" s="106" t="inlineStr">
        <is>
          <t>Custo Fixo</t>
        </is>
      </c>
      <c r="C3273" s="106" t="inlineStr">
        <is>
          <t>Impressora</t>
        </is>
      </c>
      <c r="D3273" s="107" t="n"/>
      <c r="E3273" s="108" t="n"/>
      <c r="F3273" s="109">
        <f>IFERROR(D3273*E3273,0)</f>
        <v/>
      </c>
      <c r="G3273" s="106">
        <f>INDEX(SETORES!$B:$B,MATCH(A3273,SETORES!$A:$A,0))</f>
        <v/>
      </c>
      <c r="H3273" s="106" t="inlineStr">
        <is>
          <t>Outubro/2026</t>
        </is>
      </c>
    </row>
    <row r="3274">
      <c r="A3274" s="106" t="inlineStr">
        <is>
          <t>Logística</t>
        </is>
      </c>
      <c r="B3274" s="106" t="inlineStr">
        <is>
          <t>Custo Fixo</t>
        </is>
      </c>
      <c r="C3274" s="106" t="inlineStr">
        <is>
          <t>Gympass</t>
        </is>
      </c>
      <c r="D3274" s="107" t="n"/>
      <c r="E3274" s="108" t="n"/>
      <c r="F3274" s="109">
        <f>IFERROR(D3274*E3274,0)</f>
        <v/>
      </c>
      <c r="G3274" s="106">
        <f>INDEX(SETORES!$B:$B,MATCH(A3274,SETORES!$A:$A,0))</f>
        <v/>
      </c>
      <c r="H3274" s="106" t="inlineStr">
        <is>
          <t>Outubro/2026</t>
        </is>
      </c>
    </row>
    <row r="3275">
      <c r="A3275" s="106" t="inlineStr">
        <is>
          <t>Logística</t>
        </is>
      </c>
      <c r="B3275" s="106" t="inlineStr">
        <is>
          <t>Custo Fixo</t>
        </is>
      </c>
      <c r="C3275" s="106" t="inlineStr">
        <is>
          <t>Stargrid</t>
        </is>
      </c>
      <c r="D3275" s="107" t="n">
        <v>16</v>
      </c>
      <c r="E3275" s="108" t="n">
        <v>1.87</v>
      </c>
      <c r="F3275" s="109">
        <f>IFERROR(D3275*E3275,0)</f>
        <v/>
      </c>
      <c r="G3275" s="106">
        <f>INDEX(SETORES!$B:$B,MATCH(A3275,SETORES!$A:$A,0))</f>
        <v/>
      </c>
      <c r="H3275" s="106" t="inlineStr">
        <is>
          <t>Outubro/2026</t>
        </is>
      </c>
    </row>
    <row r="3276">
      <c r="A3276" s="106" t="inlineStr">
        <is>
          <t>Manutenção Predial</t>
        </is>
      </c>
      <c r="B3276" s="106" t="inlineStr">
        <is>
          <t>Custo Fixo</t>
        </is>
      </c>
      <c r="C3276" s="106" t="inlineStr">
        <is>
          <t>Material de escritório (suprimentos de informática)</t>
        </is>
      </c>
      <c r="D3276" s="107" t="n"/>
      <c r="E3276" s="108" t="n"/>
      <c r="F3276" s="109">
        <f>IFERROR(D3276*E3276,0)</f>
        <v/>
      </c>
      <c r="G3276" s="106">
        <f>INDEX(SETORES!$B:$B,MATCH(A3276,SETORES!$A:$A,0))</f>
        <v/>
      </c>
      <c r="H3276" s="106" t="inlineStr">
        <is>
          <t>Outubro/2026</t>
        </is>
      </c>
    </row>
    <row r="3277">
      <c r="A3277" s="106" t="inlineStr">
        <is>
          <t>Manutenção Predial</t>
        </is>
      </c>
      <c r="B3277" s="106" t="inlineStr">
        <is>
          <t>Custo Fixo</t>
        </is>
      </c>
      <c r="C3277" s="106" t="inlineStr">
        <is>
          <t>Material de uso coletivo (copa/limpeza)</t>
        </is>
      </c>
      <c r="D3277" s="107" t="n"/>
      <c r="E3277" s="108" t="n"/>
      <c r="F3277" s="109">
        <f>IFERROR(D3277*E3277,0)</f>
        <v/>
      </c>
      <c r="G3277" s="106">
        <f>INDEX(SETORES!$B:$B,MATCH(A3277,SETORES!$A:$A,0))</f>
        <v/>
      </c>
      <c r="H3277" s="106" t="inlineStr">
        <is>
          <t>Outubro/2026</t>
        </is>
      </c>
    </row>
    <row r="3278">
      <c r="A3278" s="106" t="inlineStr">
        <is>
          <t>Manutenção Predial</t>
        </is>
      </c>
      <c r="B3278" s="106" t="inlineStr">
        <is>
          <t>Custo Fixo</t>
        </is>
      </c>
      <c r="C3278" s="106" t="inlineStr">
        <is>
          <t>Telefonia móvel corporativa</t>
        </is>
      </c>
      <c r="D3278" s="107" t="n"/>
      <c r="E3278" s="108" t="n"/>
      <c r="F3278" s="109">
        <f>IFERROR(D3278*E3278,0)</f>
        <v/>
      </c>
      <c r="G3278" s="106">
        <f>INDEX(SETORES!$B:$B,MATCH(A3278,SETORES!$A:$A,0))</f>
        <v/>
      </c>
      <c r="H3278" s="106" t="inlineStr">
        <is>
          <t>Outubro/2026</t>
        </is>
      </c>
    </row>
    <row r="3279">
      <c r="A3279" s="106" t="inlineStr">
        <is>
          <t>Manutenção Predial</t>
        </is>
      </c>
      <c r="B3279" s="106" t="inlineStr">
        <is>
          <t>Custo Fixo</t>
        </is>
      </c>
      <c r="C3279" s="106" t="inlineStr">
        <is>
          <t>Folha de pagamento (salários)</t>
        </is>
      </c>
      <c r="D3279" s="107" t="n">
        <v>1</v>
      </c>
      <c r="E3279" s="108" t="n">
        <v>116417.9</v>
      </c>
      <c r="F3279" s="109">
        <f>IFERROR(D3279*E3279,0)</f>
        <v/>
      </c>
      <c r="G3279" s="106">
        <f>INDEX(SETORES!$B:$B,MATCH(A3279,SETORES!$A:$A,0))</f>
        <v/>
      </c>
      <c r="H3279" s="106" t="inlineStr">
        <is>
          <t>Outubro/2026</t>
        </is>
      </c>
    </row>
    <row r="3280">
      <c r="A3280" s="106" t="inlineStr">
        <is>
          <t>Manutenção Predial</t>
        </is>
      </c>
      <c r="B3280" s="106" t="inlineStr">
        <is>
          <t>Custo Variável</t>
        </is>
      </c>
      <c r="C3280" s="106" t="inlineStr">
        <is>
          <t>Investimento de equipamentos (não patrimoniável)</t>
        </is>
      </c>
      <c r="D3280" s="107" t="n"/>
      <c r="E3280" s="108" t="n"/>
      <c r="F3280" s="109">
        <f>IFERROR(D3280*E3280,0)</f>
        <v/>
      </c>
      <c r="G3280" s="106">
        <f>INDEX(SETORES!$B:$B,MATCH(A3280,SETORES!$A:$A,0))</f>
        <v/>
      </c>
      <c r="H3280" s="106" t="inlineStr">
        <is>
          <t>Outubro/2026</t>
        </is>
      </c>
    </row>
    <row r="3281">
      <c r="A3281" s="106" t="inlineStr">
        <is>
          <t>Manutenção Predial</t>
        </is>
      </c>
      <c r="B3281" s="106" t="inlineStr">
        <is>
          <t>Custo Variável</t>
        </is>
      </c>
      <c r="C3281" s="106" t="inlineStr">
        <is>
          <t>EPIs - Equipamento de Proteção Individual</t>
        </is>
      </c>
      <c r="D3281" s="107" t="n"/>
      <c r="E3281" s="108" t="n"/>
      <c r="F3281" s="109">
        <f>IFERROR(D3281*E3281,0)</f>
        <v/>
      </c>
      <c r="G3281" s="106">
        <f>INDEX(SETORES!$B:$B,MATCH(A3281,SETORES!$A:$A,0))</f>
        <v/>
      </c>
      <c r="H3281" s="106" t="inlineStr">
        <is>
          <t>Outubro/2026</t>
        </is>
      </c>
    </row>
    <row r="3282">
      <c r="A3282" s="106" t="inlineStr">
        <is>
          <t>Manutenção Predial</t>
        </is>
      </c>
      <c r="B3282" s="106" t="inlineStr">
        <is>
          <t>Custo Fixo</t>
        </is>
      </c>
      <c r="C3282" s="106" t="inlineStr">
        <is>
          <t>Licença de e-mail corporativo</t>
        </is>
      </c>
      <c r="D3282" s="107" t="n">
        <v>15</v>
      </c>
      <c r="E3282" s="108" t="n">
        <v>50</v>
      </c>
      <c r="F3282" s="109">
        <f>IFERROR(D3282*E3282,0)</f>
        <v/>
      </c>
      <c r="G3282" s="106">
        <f>INDEX(SETORES!$B:$B,MATCH(A3282,SETORES!$A:$A,0))</f>
        <v/>
      </c>
      <c r="H3282" s="106" t="inlineStr">
        <is>
          <t>Outubro/2026</t>
        </is>
      </c>
    </row>
    <row r="3283">
      <c r="A3283" s="106" t="inlineStr">
        <is>
          <t>Manutenção Predial</t>
        </is>
      </c>
      <c r="B3283" s="106" t="inlineStr">
        <is>
          <t>Custo Variável</t>
        </is>
      </c>
      <c r="C3283" s="106" t="inlineStr">
        <is>
          <t>Combustível de frota</t>
        </is>
      </c>
      <c r="D3283" s="107" t="n">
        <v>1</v>
      </c>
      <c r="E3283" s="108" t="n">
        <v>11623.33</v>
      </c>
      <c r="F3283" s="109">
        <f>IFERROR(D3283*E3283,0)</f>
        <v/>
      </c>
      <c r="G3283" s="106">
        <f>INDEX(SETORES!$B:$B,MATCH(A3283,SETORES!$A:$A,0))</f>
        <v/>
      </c>
      <c r="H3283" s="106" t="inlineStr">
        <is>
          <t>Outubro/2026</t>
        </is>
      </c>
    </row>
    <row r="3284">
      <c r="A3284" s="106" t="inlineStr">
        <is>
          <t>Manutenção Predial</t>
        </is>
      </c>
      <c r="B3284" s="106" t="inlineStr">
        <is>
          <t>Custo Fixo</t>
        </is>
      </c>
      <c r="C3284" s="106" t="inlineStr">
        <is>
          <t>Gympass</t>
        </is>
      </c>
      <c r="D3284" s="107" t="n"/>
      <c r="E3284" s="108" t="n"/>
      <c r="F3284" s="109">
        <f>IFERROR(D3284*E3284,0)</f>
        <v/>
      </c>
      <c r="G3284" s="106">
        <f>INDEX(SETORES!$B:$B,MATCH(A3284,SETORES!$A:$A,0))</f>
        <v/>
      </c>
      <c r="H3284" s="106" t="inlineStr">
        <is>
          <t>Outubro/2026</t>
        </is>
      </c>
    </row>
    <row r="3285">
      <c r="A3285" s="106" t="inlineStr">
        <is>
          <t>Manutenção Predial</t>
        </is>
      </c>
      <c r="B3285" s="106" t="inlineStr">
        <is>
          <t>Custo Fixo</t>
        </is>
      </c>
      <c r="C3285" s="106" t="inlineStr">
        <is>
          <t>Stargrid</t>
        </is>
      </c>
      <c r="D3285" s="107" t="n">
        <v>15</v>
      </c>
      <c r="E3285" s="108" t="n">
        <v>1.87</v>
      </c>
      <c r="F3285" s="109">
        <f>IFERROR(D3285*E3285,0)</f>
        <v/>
      </c>
      <c r="G3285" s="106">
        <f>INDEX(SETORES!$B:$B,MATCH(A3285,SETORES!$A:$A,0))</f>
        <v/>
      </c>
      <c r="H3285" s="106" t="inlineStr">
        <is>
          <t>Outubro/2026</t>
        </is>
      </c>
    </row>
    <row r="3286">
      <c r="A3286" s="106" t="inlineStr">
        <is>
          <t>NOC</t>
        </is>
      </c>
      <c r="B3286" s="106" t="inlineStr">
        <is>
          <t>Custo Fixo</t>
        </is>
      </c>
      <c r="C3286" s="106" t="inlineStr">
        <is>
          <t>Material de escritório (suprimentos de informática)</t>
        </is>
      </c>
      <c r="D3286" s="107" t="n">
        <v>1</v>
      </c>
      <c r="E3286" s="108" t="n">
        <v>37.24</v>
      </c>
      <c r="F3286" s="109">
        <f>IFERROR(D3286*E3286,0)</f>
        <v/>
      </c>
      <c r="G3286" s="106">
        <f>INDEX(SETORES!$B:$B,MATCH(A3286,SETORES!$A:$A,0))</f>
        <v/>
      </c>
      <c r="H3286" s="106" t="inlineStr">
        <is>
          <t>Outubro/2026</t>
        </is>
      </c>
    </row>
    <row r="3287">
      <c r="A3287" s="106" t="inlineStr">
        <is>
          <t>NOC</t>
        </is>
      </c>
      <c r="B3287" s="106" t="inlineStr">
        <is>
          <t>Custo Fixo</t>
        </is>
      </c>
      <c r="C3287" s="106" t="inlineStr">
        <is>
          <t>Material de uso coletivo (copa/limpeza)</t>
        </is>
      </c>
      <c r="D3287" s="107" t="n">
        <v>1</v>
      </c>
      <c r="E3287" s="108" t="n">
        <v>288.15</v>
      </c>
      <c r="F3287" s="109">
        <f>IFERROR(D3287*E3287,0)</f>
        <v/>
      </c>
      <c r="G3287" s="106">
        <f>INDEX(SETORES!$B:$B,MATCH(A3287,SETORES!$A:$A,0))</f>
        <v/>
      </c>
      <c r="H3287" s="106" t="inlineStr">
        <is>
          <t>Outubro/2026</t>
        </is>
      </c>
    </row>
    <row r="3288">
      <c r="A3288" s="106" t="inlineStr">
        <is>
          <t>NOC</t>
        </is>
      </c>
      <c r="B3288" s="106" t="inlineStr">
        <is>
          <t>Custo Fixo</t>
        </is>
      </c>
      <c r="C3288" s="106" t="inlineStr">
        <is>
          <t>Energia elétrica (rateio)</t>
        </is>
      </c>
      <c r="D3288" s="107" t="n"/>
      <c r="E3288" s="108" t="n"/>
      <c r="F3288" s="109">
        <f>IFERROR(D3288*E3288,0)</f>
        <v/>
      </c>
      <c r="G3288" s="106">
        <f>INDEX(SETORES!$B:$B,MATCH(A3288,SETORES!$A:$A,0))</f>
        <v/>
      </c>
      <c r="H3288" s="106" t="inlineStr">
        <is>
          <t>Outubro/2026</t>
        </is>
      </c>
    </row>
    <row r="3289">
      <c r="A3289" s="106" t="inlineStr">
        <is>
          <t>NOC</t>
        </is>
      </c>
      <c r="B3289" s="106" t="inlineStr">
        <is>
          <t>Custo Fixo</t>
        </is>
      </c>
      <c r="C3289" s="106" t="inlineStr">
        <is>
          <t>Água e esgoto (rateio)</t>
        </is>
      </c>
      <c r="D3289" s="107" t="n"/>
      <c r="E3289" s="108" t="n"/>
      <c r="F3289" s="109">
        <f>IFERROR(D3289*E3289,0)</f>
        <v/>
      </c>
      <c r="G3289" s="106">
        <f>INDEX(SETORES!$B:$B,MATCH(A3289,SETORES!$A:$A,0))</f>
        <v/>
      </c>
      <c r="H3289" s="106" t="inlineStr">
        <is>
          <t>Outubro/2026</t>
        </is>
      </c>
    </row>
    <row r="3290">
      <c r="A3290" s="106" t="inlineStr">
        <is>
          <t>NOC</t>
        </is>
      </c>
      <c r="B3290" s="106" t="inlineStr">
        <is>
          <t>Custo Fixo</t>
        </is>
      </c>
      <c r="C3290" s="106" t="inlineStr">
        <is>
          <t>Telefonia móvel corporativa</t>
        </is>
      </c>
      <c r="D3290" s="107" t="n"/>
      <c r="E3290" s="108" t="n"/>
      <c r="F3290" s="109">
        <f>IFERROR(D3290*E3290,0)</f>
        <v/>
      </c>
      <c r="G3290" s="106">
        <f>INDEX(SETORES!$B:$B,MATCH(A3290,SETORES!$A:$A,0))</f>
        <v/>
      </c>
      <c r="H3290" s="106" t="inlineStr">
        <is>
          <t>Outubro/2026</t>
        </is>
      </c>
    </row>
    <row r="3291">
      <c r="A3291" s="106" t="inlineStr">
        <is>
          <t>NOC</t>
        </is>
      </c>
      <c r="B3291" s="106" t="inlineStr">
        <is>
          <t>Custo Fixo</t>
        </is>
      </c>
      <c r="C3291" s="106" t="inlineStr">
        <is>
          <t>Folha de pagamento (salários)</t>
        </is>
      </c>
      <c r="D3291" s="107" t="n">
        <v>1</v>
      </c>
      <c r="E3291" s="108" t="n">
        <v>42164.64</v>
      </c>
      <c r="F3291" s="109">
        <f>IFERROR(D3291*E3291,0)</f>
        <v/>
      </c>
      <c r="G3291" s="106">
        <f>INDEX(SETORES!$B:$B,MATCH(A3291,SETORES!$A:$A,0))</f>
        <v/>
      </c>
      <c r="H3291" s="106" t="inlineStr">
        <is>
          <t>Outubro/2026</t>
        </is>
      </c>
    </row>
    <row r="3292">
      <c r="A3292" s="106" t="inlineStr">
        <is>
          <t>NOC</t>
        </is>
      </c>
      <c r="B3292" s="106" t="inlineStr">
        <is>
          <t>Custo Fixo</t>
        </is>
      </c>
      <c r="C3292" s="106" t="inlineStr">
        <is>
          <t>Licença de e-mail corporativo</t>
        </is>
      </c>
      <c r="D3292" s="107" t="n">
        <v>3</v>
      </c>
      <c r="E3292" s="108" t="n">
        <v>50</v>
      </c>
      <c r="F3292" s="109">
        <f>IFERROR(D3292*E3292,0)</f>
        <v/>
      </c>
      <c r="G3292" s="106">
        <f>INDEX(SETORES!$B:$B,MATCH(A3292,SETORES!$A:$A,0))</f>
        <v/>
      </c>
      <c r="H3292" s="106" t="inlineStr">
        <is>
          <t>Outubro/2026</t>
        </is>
      </c>
    </row>
    <row r="3293">
      <c r="A3293" s="106" t="inlineStr">
        <is>
          <t>NOC</t>
        </is>
      </c>
      <c r="B3293" s="106" t="inlineStr">
        <is>
          <t>Custo Variável</t>
        </is>
      </c>
      <c r="C3293" s="106" t="inlineStr">
        <is>
          <t>Combustível de frota</t>
        </is>
      </c>
      <c r="D3293" s="107" t="n">
        <v>1</v>
      </c>
      <c r="E3293" s="108" t="n">
        <v>1882.43</v>
      </c>
      <c r="F3293" s="109">
        <f>IFERROR(D3293*E3293,0)</f>
        <v/>
      </c>
      <c r="G3293" s="106">
        <f>INDEX(SETORES!$B:$B,MATCH(A3293,SETORES!$A:$A,0))</f>
        <v/>
      </c>
      <c r="H3293" s="106" t="inlineStr">
        <is>
          <t>Outubro/2026</t>
        </is>
      </c>
    </row>
    <row r="3294">
      <c r="A3294" s="106" t="inlineStr">
        <is>
          <t>NOC</t>
        </is>
      </c>
      <c r="B3294" s="106" t="inlineStr">
        <is>
          <t>Custo Fixo</t>
        </is>
      </c>
      <c r="C3294" s="106" t="inlineStr">
        <is>
          <t>Gympass</t>
        </is>
      </c>
      <c r="D3294" s="107" t="n"/>
      <c r="E3294" s="108" t="n"/>
      <c r="F3294" s="109">
        <f>IFERROR(D3294*E3294,0)</f>
        <v/>
      </c>
      <c r="G3294" s="106">
        <f>INDEX(SETORES!$B:$B,MATCH(A3294,SETORES!$A:$A,0))</f>
        <v/>
      </c>
      <c r="H3294" s="106" t="inlineStr">
        <is>
          <t>Outubro/2026</t>
        </is>
      </c>
    </row>
    <row r="3295">
      <c r="A3295" s="106" t="inlineStr">
        <is>
          <t>NOC</t>
        </is>
      </c>
      <c r="B3295" s="106" t="inlineStr">
        <is>
          <t>Custo Fixo</t>
        </is>
      </c>
      <c r="C3295" s="106" t="inlineStr">
        <is>
          <t>Stargrid</t>
        </is>
      </c>
      <c r="D3295" s="107" t="n">
        <v>3</v>
      </c>
      <c r="E3295" s="108" t="n">
        <v>1.87</v>
      </c>
      <c r="F3295" s="109">
        <f>IFERROR(D3295*E3295,0)</f>
        <v/>
      </c>
      <c r="G3295" s="106">
        <f>INDEX(SETORES!$B:$B,MATCH(A3295,SETORES!$A:$A,0))</f>
        <v/>
      </c>
      <c r="H3295" s="106" t="inlineStr">
        <is>
          <t>Outubro/2026</t>
        </is>
      </c>
    </row>
    <row r="3296">
      <c r="A3296" s="106" t="inlineStr">
        <is>
          <t>NRC</t>
        </is>
      </c>
      <c r="B3296" s="106" t="inlineStr">
        <is>
          <t>Custo Fixo</t>
        </is>
      </c>
      <c r="C3296" s="106" t="inlineStr">
        <is>
          <t>Material de escritório (suprimentos de informática)</t>
        </is>
      </c>
      <c r="D3296" s="107" t="n">
        <v>1</v>
      </c>
      <c r="E3296" s="108" t="n">
        <v>12.09</v>
      </c>
      <c r="F3296" s="109">
        <f>IFERROR(D3296*E3296,0)</f>
        <v/>
      </c>
      <c r="G3296" s="106">
        <f>INDEX(SETORES!$B:$B,MATCH(A3296,SETORES!$A:$A,0))</f>
        <v/>
      </c>
      <c r="H3296" s="106" t="inlineStr">
        <is>
          <t>Outubro/2026</t>
        </is>
      </c>
    </row>
    <row r="3297">
      <c r="A3297" s="106" t="inlineStr">
        <is>
          <t>NRC</t>
        </is>
      </c>
      <c r="B3297" s="106" t="inlineStr">
        <is>
          <t>Custo Fixo</t>
        </is>
      </c>
      <c r="C3297" s="106" t="inlineStr">
        <is>
          <t>Material de uso coletivo (copa/limpeza)</t>
        </is>
      </c>
      <c r="D3297" s="107" t="n">
        <v>1</v>
      </c>
      <c r="E3297" s="108" t="n">
        <v>2123.29</v>
      </c>
      <c r="F3297" s="109">
        <f>IFERROR(D3297*E3297,0)</f>
        <v/>
      </c>
      <c r="G3297" s="106">
        <f>INDEX(SETORES!$B:$B,MATCH(A3297,SETORES!$A:$A,0))</f>
        <v/>
      </c>
      <c r="H3297" s="106" t="inlineStr">
        <is>
          <t>Outubro/2026</t>
        </is>
      </c>
    </row>
    <row r="3298">
      <c r="A3298" s="106" t="inlineStr">
        <is>
          <t>NRC</t>
        </is>
      </c>
      <c r="B3298" s="106" t="inlineStr">
        <is>
          <t>Custo Fixo</t>
        </is>
      </c>
      <c r="C3298" s="106" t="inlineStr">
        <is>
          <t>Energia elétrica (rateio)</t>
        </is>
      </c>
      <c r="D3298" s="107" t="n"/>
      <c r="E3298" s="108" t="n"/>
      <c r="F3298" s="109">
        <f>IFERROR(D3298*E3298,0)</f>
        <v/>
      </c>
      <c r="G3298" s="106">
        <f>INDEX(SETORES!$B:$B,MATCH(A3298,SETORES!$A:$A,0))</f>
        <v/>
      </c>
      <c r="H3298" s="106" t="inlineStr">
        <is>
          <t>Outubro/2026</t>
        </is>
      </c>
    </row>
    <row r="3299">
      <c r="A3299" s="106" t="inlineStr">
        <is>
          <t>NRC</t>
        </is>
      </c>
      <c r="B3299" s="106" t="inlineStr">
        <is>
          <t>Custo Fixo</t>
        </is>
      </c>
      <c r="C3299" s="106" t="inlineStr">
        <is>
          <t>Água e esgoto (rateio)</t>
        </is>
      </c>
      <c r="D3299" s="107" t="n"/>
      <c r="E3299" s="108" t="n"/>
      <c r="F3299" s="109">
        <f>IFERROR(D3299*E3299,0)</f>
        <v/>
      </c>
      <c r="G3299" s="106">
        <f>INDEX(SETORES!$B:$B,MATCH(A3299,SETORES!$A:$A,0))</f>
        <v/>
      </c>
      <c r="H3299" s="106" t="inlineStr">
        <is>
          <t>Outubro/2026</t>
        </is>
      </c>
    </row>
    <row r="3300">
      <c r="A3300" s="106" t="inlineStr">
        <is>
          <t>NRC</t>
        </is>
      </c>
      <c r="B3300" s="106" t="inlineStr">
        <is>
          <t>Custo Fixo</t>
        </is>
      </c>
      <c r="C3300" s="106" t="inlineStr">
        <is>
          <t>Telefonia móvel corporativa</t>
        </is>
      </c>
      <c r="D3300" s="107" t="n"/>
      <c r="E3300" s="108" t="n"/>
      <c r="F3300" s="109">
        <f>IFERROR(D3300*E3300,0)</f>
        <v/>
      </c>
      <c r="G3300" s="106">
        <f>INDEX(SETORES!$B:$B,MATCH(A3300,SETORES!$A:$A,0))</f>
        <v/>
      </c>
      <c r="H3300" s="106" t="inlineStr">
        <is>
          <t>Outubro/2026</t>
        </is>
      </c>
    </row>
    <row r="3301">
      <c r="A3301" s="106" t="inlineStr">
        <is>
          <t>NRC</t>
        </is>
      </c>
      <c r="B3301" s="106" t="inlineStr">
        <is>
          <t>Custo Fixo</t>
        </is>
      </c>
      <c r="C3301" s="106" t="inlineStr">
        <is>
          <t>Folha de pagamento (salários)</t>
        </is>
      </c>
      <c r="D3301" s="107" t="n">
        <v>1</v>
      </c>
      <c r="E3301" s="108" t="n">
        <v>145351.16</v>
      </c>
      <c r="F3301" s="109">
        <f>IFERROR(D3301*E3301,0)</f>
        <v/>
      </c>
      <c r="G3301" s="106">
        <f>INDEX(SETORES!$B:$B,MATCH(A3301,SETORES!$A:$A,0))</f>
        <v/>
      </c>
      <c r="H3301" s="106" t="inlineStr">
        <is>
          <t>Outubro/2026</t>
        </is>
      </c>
    </row>
    <row r="3302">
      <c r="A3302" s="106" t="inlineStr">
        <is>
          <t>NRC</t>
        </is>
      </c>
      <c r="B3302" s="106" t="inlineStr">
        <is>
          <t>Custo Fixo</t>
        </is>
      </c>
      <c r="C3302" s="106" t="inlineStr">
        <is>
          <t>Licenças de software/sistemas corporativos</t>
        </is>
      </c>
      <c r="D3302" s="107" t="n"/>
      <c r="E3302" s="108" t="n"/>
      <c r="F3302" s="109">
        <f>IFERROR(D3302*E3302,0)</f>
        <v/>
      </c>
      <c r="G3302" s="106">
        <f>INDEX(SETORES!$B:$B,MATCH(A3302,SETORES!$A:$A,0))</f>
        <v/>
      </c>
      <c r="H3302" s="106" t="inlineStr">
        <is>
          <t>Outubro/2026</t>
        </is>
      </c>
    </row>
    <row r="3303">
      <c r="A3303" s="106" t="inlineStr">
        <is>
          <t>NRC</t>
        </is>
      </c>
      <c r="B3303" s="106" t="inlineStr">
        <is>
          <t>Custo Variável</t>
        </is>
      </c>
      <c r="C3303" s="106" t="inlineStr">
        <is>
          <t>Fardamento novo</t>
        </is>
      </c>
      <c r="D3303" s="107" t="n"/>
      <c r="E3303" s="108" t="n"/>
      <c r="F3303" s="109">
        <f>IFERROR(D3303*E3303,0)</f>
        <v/>
      </c>
      <c r="G3303" s="106">
        <f>INDEX(SETORES!$B:$B,MATCH(A3303,SETORES!$A:$A,0))</f>
        <v/>
      </c>
      <c r="H3303" s="106" t="inlineStr">
        <is>
          <t>Outubro/2026</t>
        </is>
      </c>
    </row>
    <row r="3304">
      <c r="A3304" s="106" t="inlineStr">
        <is>
          <t>NRC</t>
        </is>
      </c>
      <c r="B3304" s="106" t="inlineStr">
        <is>
          <t>Custo Variável</t>
        </is>
      </c>
      <c r="C3304" s="106" t="inlineStr">
        <is>
          <t>Fardamento substituição</t>
        </is>
      </c>
      <c r="D3304" s="107" t="n"/>
      <c r="E3304" s="108" t="n"/>
      <c r="F3304" s="109">
        <f>IFERROR(D3304*E3304,0)</f>
        <v/>
      </c>
      <c r="G3304" s="106">
        <f>INDEX(SETORES!$B:$B,MATCH(A3304,SETORES!$A:$A,0))</f>
        <v/>
      </c>
      <c r="H3304" s="106" t="inlineStr">
        <is>
          <t>Outubro/2026</t>
        </is>
      </c>
    </row>
    <row r="3305">
      <c r="A3305" s="106" t="inlineStr">
        <is>
          <t>NRC</t>
        </is>
      </c>
      <c r="B3305" s="106" t="inlineStr">
        <is>
          <t>Custo Variável</t>
        </is>
      </c>
      <c r="C3305" s="106" t="inlineStr">
        <is>
          <t>Rescisões trabalhistas</t>
        </is>
      </c>
      <c r="D3305" s="107" t="n"/>
      <c r="E3305" s="108" t="n"/>
      <c r="F3305" s="109">
        <f>IFERROR(D3305*E3305,0)</f>
        <v/>
      </c>
      <c r="G3305" s="106">
        <f>INDEX(SETORES!$B:$B,MATCH(A3305,SETORES!$A:$A,0))</f>
        <v/>
      </c>
      <c r="H3305" s="106" t="inlineStr">
        <is>
          <t>Outubro/2026</t>
        </is>
      </c>
    </row>
    <row r="3306">
      <c r="A3306" s="106" t="inlineStr">
        <is>
          <t>NRC</t>
        </is>
      </c>
      <c r="B3306" s="106" t="inlineStr">
        <is>
          <t>Custo Fixo</t>
        </is>
      </c>
      <c r="C3306" s="106" t="inlineStr">
        <is>
          <t>Licença de e-mail corporativo</t>
        </is>
      </c>
      <c r="D3306" s="107" t="n">
        <v>42</v>
      </c>
      <c r="E3306" s="108" t="n">
        <v>50</v>
      </c>
      <c r="F3306" s="109">
        <f>IFERROR(D3306*E3306,0)</f>
        <v/>
      </c>
      <c r="G3306" s="106">
        <f>INDEX(SETORES!$B:$B,MATCH(A3306,SETORES!$A:$A,0))</f>
        <v/>
      </c>
      <c r="H3306" s="106" t="inlineStr">
        <is>
          <t>Outubro/2026</t>
        </is>
      </c>
    </row>
    <row r="3307">
      <c r="A3307" s="106" t="inlineStr">
        <is>
          <t>NRC</t>
        </is>
      </c>
      <c r="B3307" s="106" t="inlineStr">
        <is>
          <t>Custo Fixo</t>
        </is>
      </c>
      <c r="C3307" s="106" t="inlineStr">
        <is>
          <t>Software MATRIX (rateio equipe Relacionamento)</t>
        </is>
      </c>
      <c r="D3307" s="107" t="n"/>
      <c r="E3307" s="108" t="n"/>
      <c r="F3307" s="109">
        <f>IFERROR(D3307*E3307,0)</f>
        <v/>
      </c>
      <c r="G3307" s="106">
        <f>INDEX(SETORES!$B:$B,MATCH(A3307,SETORES!$A:$A,0))</f>
        <v/>
      </c>
      <c r="H3307" s="106" t="inlineStr">
        <is>
          <t>Outubro/2026</t>
        </is>
      </c>
    </row>
    <row r="3308">
      <c r="A3308" s="106" t="inlineStr">
        <is>
          <t>NRC</t>
        </is>
      </c>
      <c r="B3308" s="106" t="inlineStr">
        <is>
          <t>Custo Fixo</t>
        </is>
      </c>
      <c r="C3308" s="106" t="inlineStr">
        <is>
          <t>Impressora (rateio equipe Relacionamento)</t>
        </is>
      </c>
      <c r="D3308" s="107" t="n"/>
      <c r="E3308" s="108" t="n"/>
      <c r="F3308" s="109">
        <f>IFERROR(D3308*E3308,0)</f>
        <v/>
      </c>
      <c r="G3308" s="106">
        <f>INDEX(SETORES!$B:$B,MATCH(A3308,SETORES!$A:$A,0))</f>
        <v/>
      </c>
      <c r="H3308" s="106" t="inlineStr">
        <is>
          <t>Outubro/2026</t>
        </is>
      </c>
    </row>
    <row r="3309">
      <c r="A3309" s="106" t="inlineStr">
        <is>
          <t>NRC</t>
        </is>
      </c>
      <c r="B3309" s="106" t="inlineStr">
        <is>
          <t>Custo Fixo</t>
        </is>
      </c>
      <c r="C3309" s="106" t="inlineStr">
        <is>
          <t>Gympass</t>
        </is>
      </c>
      <c r="D3309" s="107" t="n"/>
      <c r="E3309" s="108" t="n"/>
      <c r="F3309" s="109">
        <f>IFERROR(D3309*E3309,0)</f>
        <v/>
      </c>
      <c r="G3309" s="106">
        <f>INDEX(SETORES!$B:$B,MATCH(A3309,SETORES!$A:$A,0))</f>
        <v/>
      </c>
      <c r="H3309" s="106" t="inlineStr">
        <is>
          <t>Outubro/2026</t>
        </is>
      </c>
    </row>
    <row r="3310">
      <c r="A3310" s="106" t="inlineStr">
        <is>
          <t>NRC</t>
        </is>
      </c>
      <c r="B3310" s="106" t="inlineStr">
        <is>
          <t>Custo Fixo</t>
        </is>
      </c>
      <c r="C3310" s="106" t="inlineStr">
        <is>
          <t>Stargrid</t>
        </is>
      </c>
      <c r="D3310" s="107" t="n">
        <v>42</v>
      </c>
      <c r="E3310" s="108" t="n">
        <v>1.87</v>
      </c>
      <c r="F3310" s="109">
        <f>IFERROR(D3310*E3310,0)</f>
        <v/>
      </c>
      <c r="G3310" s="106">
        <f>INDEX(SETORES!$B:$B,MATCH(A3310,SETORES!$A:$A,0))</f>
        <v/>
      </c>
      <c r="H3310" s="106" t="inlineStr">
        <is>
          <t>Outubro/2026</t>
        </is>
      </c>
    </row>
    <row r="3311">
      <c r="A3311" s="106" t="inlineStr">
        <is>
          <t>Obras</t>
        </is>
      </c>
      <c r="B3311" s="106" t="inlineStr">
        <is>
          <t>Custo Fixo</t>
        </is>
      </c>
      <c r="C3311" s="106" t="inlineStr">
        <is>
          <t>Telefonia móvel corporativa</t>
        </is>
      </c>
      <c r="D3311" s="107" t="n"/>
      <c r="E3311" s="108" t="n"/>
      <c r="F3311" s="109">
        <f>IFERROR(D3311*E3311,0)</f>
        <v/>
      </c>
      <c r="G3311" s="106">
        <f>INDEX(SETORES!$B:$B,MATCH(A3311,SETORES!$A:$A,0))</f>
        <v/>
      </c>
      <c r="H3311" s="106" t="inlineStr">
        <is>
          <t>Outubro/2026</t>
        </is>
      </c>
    </row>
    <row r="3312">
      <c r="A3312" s="106" t="inlineStr">
        <is>
          <t>Obras</t>
        </is>
      </c>
      <c r="B3312" s="106" t="inlineStr">
        <is>
          <t>Custo Fixo</t>
        </is>
      </c>
      <c r="C3312" s="106" t="inlineStr">
        <is>
          <t>Folha de pagamento (salários)</t>
        </is>
      </c>
      <c r="D3312" s="107" t="n">
        <v>1</v>
      </c>
      <c r="E3312" s="108" t="n">
        <v>155833.72</v>
      </c>
      <c r="F3312" s="109">
        <f>IFERROR(D3312*E3312,0)</f>
        <v/>
      </c>
      <c r="G3312" s="106">
        <f>INDEX(SETORES!$B:$B,MATCH(A3312,SETORES!$A:$A,0))</f>
        <v/>
      </c>
      <c r="H3312" s="106" t="inlineStr">
        <is>
          <t>Outubro/2026</t>
        </is>
      </c>
    </row>
    <row r="3313">
      <c r="A3313" s="106" t="inlineStr">
        <is>
          <t>Obras</t>
        </is>
      </c>
      <c r="B3313" s="106" t="inlineStr">
        <is>
          <t>Custo Variável</t>
        </is>
      </c>
      <c r="C3313" s="106" t="inlineStr">
        <is>
          <t>Investimento de equipamentos (não patrimoniável)</t>
        </is>
      </c>
      <c r="D3313" s="107" t="n"/>
      <c r="E3313" s="108" t="n"/>
      <c r="F3313" s="109">
        <f>IFERROR(D3313*E3313,0)</f>
        <v/>
      </c>
      <c r="G3313" s="106">
        <f>INDEX(SETORES!$B:$B,MATCH(A3313,SETORES!$A:$A,0))</f>
        <v/>
      </c>
      <c r="H3313" s="106" t="inlineStr">
        <is>
          <t>Outubro/2026</t>
        </is>
      </c>
    </row>
    <row r="3314">
      <c r="A3314" s="106" t="inlineStr">
        <is>
          <t>Obras</t>
        </is>
      </c>
      <c r="B3314" s="106" t="inlineStr">
        <is>
          <t>Custo Variável</t>
        </is>
      </c>
      <c r="C3314" s="106" t="inlineStr">
        <is>
          <t>EPIs - Equipamento de Proteção Individual</t>
        </is>
      </c>
      <c r="D3314" s="107" t="n"/>
      <c r="E3314" s="108" t="n"/>
      <c r="F3314" s="109">
        <f>IFERROR(D3314*E3314,0)</f>
        <v/>
      </c>
      <c r="G3314" s="106">
        <f>INDEX(SETORES!$B:$B,MATCH(A3314,SETORES!$A:$A,0))</f>
        <v/>
      </c>
      <c r="H3314" s="106" t="inlineStr">
        <is>
          <t>Outubro/2026</t>
        </is>
      </c>
    </row>
    <row r="3315">
      <c r="A3315" s="106" t="inlineStr">
        <is>
          <t>Obras</t>
        </is>
      </c>
      <c r="B3315" s="106" t="inlineStr">
        <is>
          <t>Custo Variável</t>
        </is>
      </c>
      <c r="C3315" s="106" t="inlineStr">
        <is>
          <t>Rescisões trabalhistas</t>
        </is>
      </c>
      <c r="D3315" s="107" t="n"/>
      <c r="E3315" s="108" t="n"/>
      <c r="F3315" s="109">
        <f>IFERROR(D3315*E3315,0)</f>
        <v/>
      </c>
      <c r="G3315" s="106">
        <f>INDEX(SETORES!$B:$B,MATCH(A3315,SETORES!$A:$A,0))</f>
        <v/>
      </c>
      <c r="H3315" s="106" t="inlineStr">
        <is>
          <t>Outubro/2026</t>
        </is>
      </c>
    </row>
    <row r="3316">
      <c r="A3316" s="106" t="inlineStr">
        <is>
          <t>Obras</t>
        </is>
      </c>
      <c r="B3316" s="106" t="inlineStr">
        <is>
          <t>Custo Fixo</t>
        </is>
      </c>
      <c r="C3316" s="106" t="inlineStr">
        <is>
          <t>Licença de e-mail corporativo</t>
        </is>
      </c>
      <c r="D3316" s="107" t="n">
        <v>24</v>
      </c>
      <c r="E3316" s="108" t="n">
        <v>50</v>
      </c>
      <c r="F3316" s="109">
        <f>IFERROR(D3316*E3316,0)</f>
        <v/>
      </c>
      <c r="G3316" s="106">
        <f>INDEX(SETORES!$B:$B,MATCH(A3316,SETORES!$A:$A,0))</f>
        <v/>
      </c>
      <c r="H3316" s="106" t="inlineStr">
        <is>
          <t>Outubro/2026</t>
        </is>
      </c>
    </row>
    <row r="3317">
      <c r="A3317" s="106" t="inlineStr">
        <is>
          <t>Obras</t>
        </is>
      </c>
      <c r="B3317" s="106" t="inlineStr">
        <is>
          <t>Custo Variável</t>
        </is>
      </c>
      <c r="C3317" s="106" t="inlineStr">
        <is>
          <t>Combustível de frota</t>
        </is>
      </c>
      <c r="D3317" s="107" t="n">
        <v>1</v>
      </c>
      <c r="E3317" s="108" t="n">
        <v>11761.57</v>
      </c>
      <c r="F3317" s="109">
        <f>IFERROR(D3317*E3317,0)</f>
        <v/>
      </c>
      <c r="G3317" s="106">
        <f>INDEX(SETORES!$B:$B,MATCH(A3317,SETORES!$A:$A,0))</f>
        <v/>
      </c>
      <c r="H3317" s="106" t="inlineStr">
        <is>
          <t>Outubro/2026</t>
        </is>
      </c>
    </row>
    <row r="3318">
      <c r="A3318" s="106" t="inlineStr">
        <is>
          <t>Obras</t>
        </is>
      </c>
      <c r="B3318" s="106" t="inlineStr">
        <is>
          <t>Custo Fixo</t>
        </is>
      </c>
      <c r="C3318" s="106" t="inlineStr">
        <is>
          <t>Gympass</t>
        </is>
      </c>
      <c r="D3318" s="107" t="n"/>
      <c r="E3318" s="108" t="n"/>
      <c r="F3318" s="109">
        <f>IFERROR(D3318*E3318,0)</f>
        <v/>
      </c>
      <c r="G3318" s="106">
        <f>INDEX(SETORES!$B:$B,MATCH(A3318,SETORES!$A:$A,0))</f>
        <v/>
      </c>
      <c r="H3318" s="106" t="inlineStr">
        <is>
          <t>Outubro/2026</t>
        </is>
      </c>
    </row>
    <row r="3319">
      <c r="A3319" s="106" t="inlineStr">
        <is>
          <t>Obras</t>
        </is>
      </c>
      <c r="B3319" s="106" t="inlineStr">
        <is>
          <t>Custo Fixo</t>
        </is>
      </c>
      <c r="C3319" s="106" t="inlineStr">
        <is>
          <t>Stargrid</t>
        </is>
      </c>
      <c r="D3319" s="107" t="n">
        <v>24</v>
      </c>
      <c r="E3319" s="108" t="n">
        <v>1.87</v>
      </c>
      <c r="F3319" s="109">
        <f>IFERROR(D3319*E3319,0)</f>
        <v/>
      </c>
      <c r="G3319" s="106">
        <f>INDEX(SETORES!$B:$B,MATCH(A3319,SETORES!$A:$A,0))</f>
        <v/>
      </c>
      <c r="H3319" s="106" t="inlineStr">
        <is>
          <t>Outubro/2026</t>
        </is>
      </c>
    </row>
    <row r="3320">
      <c r="A3320" s="106" t="inlineStr">
        <is>
          <t>Oficina</t>
        </is>
      </c>
      <c r="B3320" s="106" t="inlineStr">
        <is>
          <t>Custo Fixo</t>
        </is>
      </c>
      <c r="C3320" s="106" t="inlineStr">
        <is>
          <t>Material de escritório (suprimentos de informática)</t>
        </is>
      </c>
      <c r="D3320" s="107" t="n"/>
      <c r="E3320" s="108" t="n"/>
      <c r="F3320" s="109">
        <f>IFERROR(D3320*E3320,0)</f>
        <v/>
      </c>
      <c r="G3320" s="106">
        <f>INDEX(SETORES!$B:$B,MATCH(A3320,SETORES!$A:$A,0))</f>
        <v/>
      </c>
      <c r="H3320" s="106" t="inlineStr">
        <is>
          <t>Outubro/2026</t>
        </is>
      </c>
    </row>
    <row r="3321">
      <c r="A3321" s="106" t="inlineStr">
        <is>
          <t>Oficina</t>
        </is>
      </c>
      <c r="B3321" s="106" t="inlineStr">
        <is>
          <t>Custo Fixo</t>
        </is>
      </c>
      <c r="C3321" s="106" t="inlineStr">
        <is>
          <t>Material de uso coletivo (copa/limpeza)</t>
        </is>
      </c>
      <c r="D3321" s="107" t="n"/>
      <c r="E3321" s="108" t="n"/>
      <c r="F3321" s="109">
        <f>IFERROR(D3321*E3321,0)</f>
        <v/>
      </c>
      <c r="G3321" s="106">
        <f>INDEX(SETORES!$B:$B,MATCH(A3321,SETORES!$A:$A,0))</f>
        <v/>
      </c>
      <c r="H3321" s="106" t="inlineStr">
        <is>
          <t>Outubro/2026</t>
        </is>
      </c>
    </row>
    <row r="3322">
      <c r="A3322" s="106" t="inlineStr">
        <is>
          <t>Oficina</t>
        </is>
      </c>
      <c r="B3322" s="106" t="inlineStr">
        <is>
          <t>Custo Fixo</t>
        </is>
      </c>
      <c r="C3322" s="106" t="inlineStr">
        <is>
          <t>Software da oficina (soutech soluções)</t>
        </is>
      </c>
      <c r="D3322" s="107" t="n">
        <v>1</v>
      </c>
      <c r="E3322" s="108" t="n">
        <v>1800</v>
      </c>
      <c r="F3322" s="109">
        <f>IFERROR(D3322*E3322,0)</f>
        <v/>
      </c>
      <c r="G3322" s="106">
        <f>INDEX(SETORES!$B:$B,MATCH(A3322,SETORES!$A:$A,0))</f>
        <v/>
      </c>
      <c r="H3322" s="106" t="inlineStr">
        <is>
          <t>Outubro/2026</t>
        </is>
      </c>
    </row>
    <row r="3323">
      <c r="A3323" s="106" t="inlineStr">
        <is>
          <t>Oficina</t>
        </is>
      </c>
      <c r="B3323" s="106" t="inlineStr">
        <is>
          <t>Custo Fixo</t>
        </is>
      </c>
      <c r="C3323" s="106" t="inlineStr">
        <is>
          <t>Energia elétrica (rateio)</t>
        </is>
      </c>
      <c r="D3323" s="107" t="n"/>
      <c r="E3323" s="108" t="n"/>
      <c r="F3323" s="109">
        <f>IFERROR(D3323*E3323,0)</f>
        <v/>
      </c>
      <c r="G3323" s="106">
        <f>INDEX(SETORES!$B:$B,MATCH(A3323,SETORES!$A:$A,0))</f>
        <v/>
      </c>
      <c r="H3323" s="106" t="inlineStr">
        <is>
          <t>Outubro/2026</t>
        </is>
      </c>
    </row>
    <row r="3324">
      <c r="A3324" s="106" t="inlineStr">
        <is>
          <t>Oficina</t>
        </is>
      </c>
      <c r="B3324" s="106" t="inlineStr">
        <is>
          <t>Custo Fixo</t>
        </is>
      </c>
      <c r="C3324" s="106" t="inlineStr">
        <is>
          <t>Água e esgoto (rateio)</t>
        </is>
      </c>
      <c r="D3324" s="107" t="n"/>
      <c r="E3324" s="108" t="n"/>
      <c r="F3324" s="109">
        <f>IFERROR(D3324*E3324,0)</f>
        <v/>
      </c>
      <c r="G3324" s="106">
        <f>INDEX(SETORES!$B:$B,MATCH(A3324,SETORES!$A:$A,0))</f>
        <v/>
      </c>
      <c r="H3324" s="106" t="inlineStr">
        <is>
          <t>Outubro/2026</t>
        </is>
      </c>
    </row>
    <row r="3325">
      <c r="A3325" s="106" t="inlineStr">
        <is>
          <t>Oficina</t>
        </is>
      </c>
      <c r="B3325" s="106" t="inlineStr">
        <is>
          <t>Custo Fixo</t>
        </is>
      </c>
      <c r="C3325" s="106" t="inlineStr">
        <is>
          <t>Telefonia móvel corporativa</t>
        </is>
      </c>
      <c r="D3325" s="107" t="n"/>
      <c r="E3325" s="108" t="n"/>
      <c r="F3325" s="109">
        <f>IFERROR(D3325*E3325,0)</f>
        <v/>
      </c>
      <c r="G3325" s="106">
        <f>INDEX(SETORES!$B:$B,MATCH(A3325,SETORES!$A:$A,0))</f>
        <v/>
      </c>
      <c r="H3325" s="106" t="inlineStr">
        <is>
          <t>Outubro/2026</t>
        </is>
      </c>
    </row>
    <row r="3326">
      <c r="A3326" s="106" t="inlineStr">
        <is>
          <t>Oficina</t>
        </is>
      </c>
      <c r="B3326" s="106" t="inlineStr">
        <is>
          <t>Custo Fixo</t>
        </is>
      </c>
      <c r="C3326" s="106" t="inlineStr">
        <is>
          <t>Folha de pagamento (salários)</t>
        </is>
      </c>
      <c r="D3326" s="107" t="n">
        <v>1</v>
      </c>
      <c r="E3326" s="108" t="n">
        <v>25793.59</v>
      </c>
      <c r="F3326" s="109">
        <f>IFERROR(D3326*E3326,0)</f>
        <v/>
      </c>
      <c r="G3326" s="106">
        <f>INDEX(SETORES!$B:$B,MATCH(A3326,SETORES!$A:$A,0))</f>
        <v/>
      </c>
      <c r="H3326" s="106" t="inlineStr">
        <is>
          <t>Outubro/2026</t>
        </is>
      </c>
    </row>
    <row r="3327">
      <c r="A3327" s="106" t="inlineStr">
        <is>
          <t>Oficina</t>
        </is>
      </c>
      <c r="B3327" s="106" t="inlineStr">
        <is>
          <t>Custo Variável</t>
        </is>
      </c>
      <c r="C3327" s="106" t="inlineStr">
        <is>
          <t>Combustível de frota</t>
        </is>
      </c>
      <c r="D3327" s="107" t="n"/>
      <c r="E3327" s="108" t="n"/>
      <c r="F3327" s="109">
        <f>IFERROR(D3327*E3327,0)</f>
        <v/>
      </c>
      <c r="G3327" s="106">
        <f>INDEX(SETORES!$B:$B,MATCH(A3327,SETORES!$A:$A,0))</f>
        <v/>
      </c>
      <c r="H3327" s="106" t="inlineStr">
        <is>
          <t>Outubro/2026</t>
        </is>
      </c>
    </row>
    <row r="3328">
      <c r="A3328" s="106" t="inlineStr">
        <is>
          <t>Oficina</t>
        </is>
      </c>
      <c r="B3328" s="106" t="inlineStr">
        <is>
          <t>Custo Variável</t>
        </is>
      </c>
      <c r="C3328" s="106" t="inlineStr">
        <is>
          <t>Manutenção de veículos</t>
        </is>
      </c>
      <c r="D3328" s="107" t="n"/>
      <c r="E3328" s="108" t="n"/>
      <c r="F3328" s="109">
        <f>IFERROR(D3328*E3328,0)</f>
        <v/>
      </c>
      <c r="G3328" s="106">
        <f>INDEX(SETORES!$B:$B,MATCH(A3328,SETORES!$A:$A,0))</f>
        <v/>
      </c>
      <c r="H3328" s="106" t="inlineStr">
        <is>
          <t>Outubro/2026</t>
        </is>
      </c>
    </row>
    <row r="3329">
      <c r="A3329" s="106" t="inlineStr">
        <is>
          <t>Oficina</t>
        </is>
      </c>
      <c r="B3329" s="106" t="inlineStr">
        <is>
          <t>Custo Variável</t>
        </is>
      </c>
      <c r="C3329" s="106" t="inlineStr">
        <is>
          <t>Rateio de transporte coletivo</t>
        </is>
      </c>
      <c r="D3329" s="107" t="n"/>
      <c r="E3329" s="108" t="n"/>
      <c r="F3329" s="109">
        <f>IFERROR(D3329*E3329,0)</f>
        <v/>
      </c>
      <c r="G3329" s="106">
        <f>INDEX(SETORES!$B:$B,MATCH(A3329,SETORES!$A:$A,0))</f>
        <v/>
      </c>
      <c r="H3329" s="106" t="inlineStr">
        <is>
          <t>Outubro/2026</t>
        </is>
      </c>
    </row>
    <row r="3330">
      <c r="A3330" s="106" t="inlineStr">
        <is>
          <t>Oficina</t>
        </is>
      </c>
      <c r="B3330" s="106" t="inlineStr">
        <is>
          <t>Custo Fixo</t>
        </is>
      </c>
      <c r="C3330" s="106" t="inlineStr">
        <is>
          <t>Gympass</t>
        </is>
      </c>
      <c r="D3330" s="107" t="n"/>
      <c r="E3330" s="108" t="n"/>
      <c r="F3330" s="109">
        <f>IFERROR(D3330*E3330,0)</f>
        <v/>
      </c>
      <c r="G3330" s="106">
        <f>INDEX(SETORES!$B:$B,MATCH(A3330,SETORES!$A:$A,0))</f>
        <v/>
      </c>
      <c r="H3330" s="106" t="inlineStr">
        <is>
          <t>Outubro/2026</t>
        </is>
      </c>
    </row>
    <row r="3331">
      <c r="A3331" s="106" t="inlineStr">
        <is>
          <t>Oficina</t>
        </is>
      </c>
      <c r="B3331" s="106" t="inlineStr">
        <is>
          <t>Custo Fixo</t>
        </is>
      </c>
      <c r="C3331" s="106" t="inlineStr">
        <is>
          <t>Stargrid</t>
        </is>
      </c>
      <c r="D3331" s="107" t="n">
        <v>4</v>
      </c>
      <c r="E3331" s="108" t="n">
        <v>1.87</v>
      </c>
      <c r="F3331" s="109">
        <f>IFERROR(D3331*E3331,0)</f>
        <v/>
      </c>
      <c r="G3331" s="106">
        <f>INDEX(SETORES!$B:$B,MATCH(A3331,SETORES!$A:$A,0))</f>
        <v/>
      </c>
      <c r="H3331" s="106" t="inlineStr">
        <is>
          <t>Outubro/2026</t>
        </is>
      </c>
    </row>
    <row r="3332">
      <c r="A3332" s="106" t="inlineStr">
        <is>
          <t>RH</t>
        </is>
      </c>
      <c r="B3332" s="106" t="inlineStr">
        <is>
          <t>Custo Fixo</t>
        </is>
      </c>
      <c r="C3332" s="106" t="inlineStr">
        <is>
          <t>Material de escritório (suprimentos de informática)</t>
        </is>
      </c>
      <c r="D3332" s="107" t="n">
        <v>1</v>
      </c>
      <c r="E3332" s="108" t="n">
        <v>9.85</v>
      </c>
      <c r="F3332" s="109">
        <f>IFERROR(D3332*E3332,0)</f>
        <v/>
      </c>
      <c r="G3332" s="106">
        <f>INDEX(SETORES!$B:$B,MATCH(A3332,SETORES!$A:$A,0))</f>
        <v/>
      </c>
      <c r="H3332" s="106" t="inlineStr">
        <is>
          <t>Outubro/2026</t>
        </is>
      </c>
    </row>
    <row r="3333">
      <c r="A3333" s="106" t="inlineStr">
        <is>
          <t>RH</t>
        </is>
      </c>
      <c r="B3333" s="106" t="inlineStr">
        <is>
          <t>Custo Fixo</t>
        </is>
      </c>
      <c r="C3333" s="106" t="inlineStr">
        <is>
          <t>Material de uso coletivo (copa/limpeza)</t>
        </is>
      </c>
      <c r="D3333" s="107" t="n">
        <v>1</v>
      </c>
      <c r="E3333" s="108" t="n">
        <v>167.98</v>
      </c>
      <c r="F3333" s="109">
        <f>IFERROR(D3333*E3333,0)</f>
        <v/>
      </c>
      <c r="G3333" s="106">
        <f>INDEX(SETORES!$B:$B,MATCH(A3333,SETORES!$A:$A,0))</f>
        <v/>
      </c>
      <c r="H3333" s="106" t="inlineStr">
        <is>
          <t>Outubro/2026</t>
        </is>
      </c>
    </row>
    <row r="3334">
      <c r="A3334" s="106" t="inlineStr">
        <is>
          <t>RH</t>
        </is>
      </c>
      <c r="B3334" s="106" t="inlineStr">
        <is>
          <t>Custo Fixo</t>
        </is>
      </c>
      <c r="C3334" s="106" t="inlineStr">
        <is>
          <t>Energia elétrica (rateio)</t>
        </is>
      </c>
      <c r="D3334" s="107" t="n"/>
      <c r="E3334" s="108" t="n"/>
      <c r="F3334" s="109">
        <f>IFERROR(D3334*E3334,0)</f>
        <v/>
      </c>
      <c r="G3334" s="106">
        <f>INDEX(SETORES!$B:$B,MATCH(A3334,SETORES!$A:$A,0))</f>
        <v/>
      </c>
      <c r="H3334" s="106" t="inlineStr">
        <is>
          <t>Outubro/2026</t>
        </is>
      </c>
    </row>
    <row r="3335">
      <c r="A3335" s="106" t="inlineStr">
        <is>
          <t>RH</t>
        </is>
      </c>
      <c r="B3335" s="106" t="inlineStr">
        <is>
          <t>Custo Fixo</t>
        </is>
      </c>
      <c r="C3335" s="106" t="inlineStr">
        <is>
          <t>Água e esgoto (rateio)</t>
        </is>
      </c>
      <c r="D3335" s="107" t="n"/>
      <c r="E3335" s="108" t="n"/>
      <c r="F3335" s="109">
        <f>IFERROR(D3335*E3335,0)</f>
        <v/>
      </c>
      <c r="G3335" s="106">
        <f>INDEX(SETORES!$B:$B,MATCH(A3335,SETORES!$A:$A,0))</f>
        <v/>
      </c>
      <c r="H3335" s="106" t="inlineStr">
        <is>
          <t>Outubro/2026</t>
        </is>
      </c>
    </row>
    <row r="3336">
      <c r="A3336" s="106" t="inlineStr">
        <is>
          <t>RH</t>
        </is>
      </c>
      <c r="B3336" s="106" t="inlineStr">
        <is>
          <t>Custo Fixo</t>
        </is>
      </c>
      <c r="C3336" s="106" t="inlineStr">
        <is>
          <t>Telefonia móvel corporativa</t>
        </is>
      </c>
      <c r="D3336" s="107" t="n"/>
      <c r="E3336" s="108" t="n"/>
      <c r="F3336" s="109">
        <f>IFERROR(D3336*E3336,0)</f>
        <v/>
      </c>
      <c r="G3336" s="106">
        <f>INDEX(SETORES!$B:$B,MATCH(A3336,SETORES!$A:$A,0))</f>
        <v/>
      </c>
      <c r="H3336" s="106" t="inlineStr">
        <is>
          <t>Outubro/2026</t>
        </is>
      </c>
    </row>
    <row r="3337">
      <c r="A3337" s="106" t="inlineStr">
        <is>
          <t>RH</t>
        </is>
      </c>
      <c r="B3337" s="106" t="inlineStr">
        <is>
          <t>Custo Fixo</t>
        </is>
      </c>
      <c r="C3337" s="106" t="inlineStr">
        <is>
          <t>Folha de pagamento (salários)</t>
        </is>
      </c>
      <c r="D3337" s="107" t="n">
        <v>1</v>
      </c>
      <c r="E3337" s="108" t="n">
        <v>30326.87</v>
      </c>
      <c r="F3337" s="109">
        <f>IFERROR(D3337*E3337,0)</f>
        <v/>
      </c>
      <c r="G3337" s="106">
        <f>INDEX(SETORES!$B:$B,MATCH(A3337,SETORES!$A:$A,0))</f>
        <v/>
      </c>
      <c r="H3337" s="106" t="inlineStr">
        <is>
          <t>Outubro/2026</t>
        </is>
      </c>
    </row>
    <row r="3338">
      <c r="A3338" s="106" t="inlineStr">
        <is>
          <t>RH</t>
        </is>
      </c>
      <c r="B3338" s="106" t="inlineStr">
        <is>
          <t>Custo Variável</t>
        </is>
      </c>
      <c r="C3338" s="106" t="inlineStr">
        <is>
          <t>Fardamento novo (compra corporativa)</t>
        </is>
      </c>
      <c r="D3338" s="107" t="n"/>
      <c r="E3338" s="108" t="n"/>
      <c r="F3338" s="109">
        <f>IFERROR(D3338*E3338,0)</f>
        <v/>
      </c>
      <c r="G3338" s="106">
        <f>INDEX(SETORES!$B:$B,MATCH(A3338,SETORES!$A:$A,0))</f>
        <v/>
      </c>
      <c r="H3338" s="106" t="inlineStr">
        <is>
          <t>Outubro/2026</t>
        </is>
      </c>
    </row>
    <row r="3339">
      <c r="A3339" s="106" t="inlineStr">
        <is>
          <t>RH</t>
        </is>
      </c>
      <c r="B3339" s="106" t="inlineStr">
        <is>
          <t>Custo Variável</t>
        </is>
      </c>
      <c r="C3339" s="106" t="inlineStr">
        <is>
          <t>Fardamento substituição (compra corporativa)</t>
        </is>
      </c>
      <c r="D3339" s="107" t="n"/>
      <c r="E3339" s="108" t="n"/>
      <c r="F3339" s="109">
        <f>IFERROR(D3339*E3339,0)</f>
        <v/>
      </c>
      <c r="G3339" s="106">
        <f>INDEX(SETORES!$B:$B,MATCH(A3339,SETORES!$A:$A,0))</f>
        <v/>
      </c>
      <c r="H3339" s="106" t="inlineStr">
        <is>
          <t>Outubro/2026</t>
        </is>
      </c>
    </row>
    <row r="3340">
      <c r="A3340" s="106" t="inlineStr">
        <is>
          <t>RH</t>
        </is>
      </c>
      <c r="B3340" s="106" t="inlineStr">
        <is>
          <t>Custo Fixo</t>
        </is>
      </c>
      <c r="C3340" s="106" t="inlineStr">
        <is>
          <t>Treinamento e capacitação</t>
        </is>
      </c>
      <c r="D3340" s="107" t="n"/>
      <c r="E3340" s="108" t="n"/>
      <c r="F3340" s="109">
        <f>IFERROR(D3340*E3340,0)</f>
        <v/>
      </c>
      <c r="G3340" s="106">
        <f>INDEX(SETORES!$B:$B,MATCH(A3340,SETORES!$A:$A,0))</f>
        <v/>
      </c>
      <c r="H3340" s="106" t="inlineStr">
        <is>
          <t>Outubro/2026</t>
        </is>
      </c>
    </row>
    <row r="3341">
      <c r="A3341" s="106" t="inlineStr">
        <is>
          <t>RH</t>
        </is>
      </c>
      <c r="B3341" s="106" t="inlineStr">
        <is>
          <t>Custo Variável</t>
        </is>
      </c>
      <c r="C3341" s="106" t="inlineStr">
        <is>
          <t>Recrutamento e seleção</t>
        </is>
      </c>
      <c r="D3341" s="107" t="n"/>
      <c r="E3341" s="108" t="n"/>
      <c r="F3341" s="109">
        <f>IFERROR(D3341*E3341,0)</f>
        <v/>
      </c>
      <c r="G3341" s="106">
        <f>INDEX(SETORES!$B:$B,MATCH(A3341,SETORES!$A:$A,0))</f>
        <v/>
      </c>
      <c r="H3341" s="106" t="inlineStr">
        <is>
          <t>Outubro/2026</t>
        </is>
      </c>
    </row>
    <row r="3342">
      <c r="A3342" s="106" t="inlineStr">
        <is>
          <t>RH</t>
        </is>
      </c>
      <c r="B3342" s="106" t="inlineStr">
        <is>
          <t>Custo Fixo</t>
        </is>
      </c>
      <c r="C3342" s="106" t="inlineStr">
        <is>
          <t>Ações de endomarketing</t>
        </is>
      </c>
      <c r="D3342" s="107" t="n"/>
      <c r="E3342" s="108" t="n"/>
      <c r="F3342" s="109">
        <f>IFERROR(D3342*E3342,0)</f>
        <v/>
      </c>
      <c r="G3342" s="106">
        <f>INDEX(SETORES!$B:$B,MATCH(A3342,SETORES!$A:$A,0))</f>
        <v/>
      </c>
      <c r="H3342" s="106" t="inlineStr">
        <is>
          <t>Outubro/2026</t>
        </is>
      </c>
    </row>
    <row r="3343">
      <c r="A3343" s="106" t="inlineStr">
        <is>
          <t>RH</t>
        </is>
      </c>
      <c r="B3343" s="106" t="inlineStr">
        <is>
          <t>Custo Fixo</t>
        </is>
      </c>
      <c r="C3343" s="106" t="inlineStr">
        <is>
          <t>Pesquisa de clima organizacional</t>
        </is>
      </c>
      <c r="D3343" s="107" t="n"/>
      <c r="E3343" s="108" t="n"/>
      <c r="F3343" s="109">
        <f>IFERROR(D3343*E3343,0)</f>
        <v/>
      </c>
      <c r="G3343" s="106">
        <f>INDEX(SETORES!$B:$B,MATCH(A3343,SETORES!$A:$A,0))</f>
        <v/>
      </c>
      <c r="H3343" s="106" t="inlineStr">
        <is>
          <t>Outubro/2026</t>
        </is>
      </c>
    </row>
    <row r="3344">
      <c r="A3344" s="106" t="inlineStr">
        <is>
          <t>RH</t>
        </is>
      </c>
      <c r="B3344" s="106" t="inlineStr">
        <is>
          <t>Custo Fixo</t>
        </is>
      </c>
      <c r="C3344" s="106" t="inlineStr">
        <is>
          <t>Licença de e-mail corporativo</t>
        </is>
      </c>
      <c r="D3344" s="107" t="n">
        <v>6</v>
      </c>
      <c r="E3344" s="108" t="n">
        <v>50</v>
      </c>
      <c r="F3344" s="109">
        <f>IFERROR(D3344*E3344,0)</f>
        <v/>
      </c>
      <c r="G3344" s="106">
        <f>INDEX(SETORES!$B:$B,MATCH(A3344,SETORES!$A:$A,0))</f>
        <v/>
      </c>
      <c r="H3344" s="106" t="inlineStr">
        <is>
          <t>Outubro/2026</t>
        </is>
      </c>
    </row>
    <row r="3345">
      <c r="A3345" s="106" t="inlineStr">
        <is>
          <t>RH</t>
        </is>
      </c>
      <c r="B3345" s="106" t="inlineStr">
        <is>
          <t>Custo Fixo</t>
        </is>
      </c>
      <c r="C3345" s="106" t="inlineStr">
        <is>
          <t>Impressora</t>
        </is>
      </c>
      <c r="D3345" s="107" t="n"/>
      <c r="E3345" s="108" t="n"/>
      <c r="F3345" s="109">
        <f>IFERROR(D3345*E3345,0)</f>
        <v/>
      </c>
      <c r="G3345" s="106">
        <f>INDEX(SETORES!$B:$B,MATCH(A3345,SETORES!$A:$A,0))</f>
        <v/>
      </c>
      <c r="H3345" s="106" t="inlineStr">
        <is>
          <t>Outubro/2026</t>
        </is>
      </c>
    </row>
    <row r="3346">
      <c r="A3346" s="106" t="inlineStr">
        <is>
          <t>RH</t>
        </is>
      </c>
      <c r="B3346" s="106" t="inlineStr">
        <is>
          <t>Custo Fixo</t>
        </is>
      </c>
      <c r="C3346" s="106" t="inlineStr">
        <is>
          <t>Gympass</t>
        </is>
      </c>
      <c r="D3346" s="107" t="n"/>
      <c r="E3346" s="108" t="n"/>
      <c r="F3346" s="109">
        <f>IFERROR(D3346*E3346,0)</f>
        <v/>
      </c>
      <c r="G3346" s="106">
        <f>INDEX(SETORES!$B:$B,MATCH(A3346,SETORES!$A:$A,0))</f>
        <v/>
      </c>
      <c r="H3346" s="106" t="inlineStr">
        <is>
          <t>Outubro/2026</t>
        </is>
      </c>
    </row>
    <row r="3347">
      <c r="A3347" s="106" t="inlineStr">
        <is>
          <t>RH</t>
        </is>
      </c>
      <c r="B3347" s="106" t="inlineStr">
        <is>
          <t>Custo Fixo</t>
        </is>
      </c>
      <c r="C3347" s="106" t="inlineStr">
        <is>
          <t>Stargrid</t>
        </is>
      </c>
      <c r="D3347" s="107" t="n">
        <v>6</v>
      </c>
      <c r="E3347" s="108" t="n">
        <v>1.87</v>
      </c>
      <c r="F3347" s="109">
        <f>IFERROR(D3347*E3347,0)</f>
        <v/>
      </c>
      <c r="G3347" s="106">
        <f>INDEX(SETORES!$B:$B,MATCH(A3347,SETORES!$A:$A,0))</f>
        <v/>
      </c>
      <c r="H3347" s="106" t="inlineStr">
        <is>
          <t>Outubro/2026</t>
        </is>
      </c>
    </row>
    <row r="3348">
      <c r="A3348" s="106" t="inlineStr">
        <is>
          <t>Retenção</t>
        </is>
      </c>
      <c r="B3348" s="106" t="inlineStr">
        <is>
          <t>Custo Fixo</t>
        </is>
      </c>
      <c r="C3348" s="106" t="inlineStr">
        <is>
          <t>Material de escritório (suprimentos de informática)</t>
        </is>
      </c>
      <c r="D3348" s="107" t="n">
        <v>1</v>
      </c>
      <c r="E3348" s="108" t="n">
        <v>3.45</v>
      </c>
      <c r="F3348" s="109">
        <f>IFERROR(D3348*E3348,0)</f>
        <v/>
      </c>
      <c r="G3348" s="106">
        <f>INDEX(SETORES!$B:$B,MATCH(A3348,SETORES!$A:$A,0))</f>
        <v/>
      </c>
      <c r="H3348" s="106" t="inlineStr">
        <is>
          <t>Outubro/2026</t>
        </is>
      </c>
    </row>
    <row r="3349">
      <c r="A3349" s="106" t="inlineStr">
        <is>
          <t>Retenção</t>
        </is>
      </c>
      <c r="B3349" s="106" t="inlineStr">
        <is>
          <t>Custo Fixo</t>
        </is>
      </c>
      <c r="C3349" s="106" t="inlineStr">
        <is>
          <t>Material de uso coletivo (copa/limpeza)</t>
        </is>
      </c>
      <c r="D3349" s="107" t="n">
        <v>1</v>
      </c>
      <c r="E3349" s="108" t="n">
        <v>606.65</v>
      </c>
      <c r="F3349" s="109">
        <f>IFERROR(D3349*E3349,0)</f>
        <v/>
      </c>
      <c r="G3349" s="106">
        <f>INDEX(SETORES!$B:$B,MATCH(A3349,SETORES!$A:$A,0))</f>
        <v/>
      </c>
      <c r="H3349" s="106" t="inlineStr">
        <is>
          <t>Outubro/2026</t>
        </is>
      </c>
    </row>
    <row r="3350">
      <c r="A3350" s="106" t="inlineStr">
        <is>
          <t>Retenção</t>
        </is>
      </c>
      <c r="B3350" s="106" t="inlineStr">
        <is>
          <t>Custo Fixo</t>
        </is>
      </c>
      <c r="C3350" s="106" t="inlineStr">
        <is>
          <t>Energia elétrica (rateio)</t>
        </is>
      </c>
      <c r="D3350" s="107" t="n"/>
      <c r="E3350" s="108" t="n"/>
      <c r="F3350" s="109">
        <f>IFERROR(D3350*E3350,0)</f>
        <v/>
      </c>
      <c r="G3350" s="106">
        <f>INDEX(SETORES!$B:$B,MATCH(A3350,SETORES!$A:$A,0))</f>
        <v/>
      </c>
      <c r="H3350" s="106" t="inlineStr">
        <is>
          <t>Outubro/2026</t>
        </is>
      </c>
    </row>
    <row r="3351">
      <c r="A3351" s="106" t="inlineStr">
        <is>
          <t>Retenção</t>
        </is>
      </c>
      <c r="B3351" s="106" t="inlineStr">
        <is>
          <t>Custo Fixo</t>
        </is>
      </c>
      <c r="C3351" s="106" t="inlineStr">
        <is>
          <t>Água e esgoto (rateio)</t>
        </is>
      </c>
      <c r="D3351" s="107" t="n"/>
      <c r="E3351" s="108" t="n"/>
      <c r="F3351" s="109">
        <f>IFERROR(D3351*E3351,0)</f>
        <v/>
      </c>
      <c r="G3351" s="106">
        <f>INDEX(SETORES!$B:$B,MATCH(A3351,SETORES!$A:$A,0))</f>
        <v/>
      </c>
      <c r="H3351" s="106" t="inlineStr">
        <is>
          <t>Outubro/2026</t>
        </is>
      </c>
    </row>
    <row r="3352">
      <c r="A3352" s="106" t="inlineStr">
        <is>
          <t>Retenção</t>
        </is>
      </c>
      <c r="B3352" s="106" t="inlineStr">
        <is>
          <t>Custo Fixo</t>
        </is>
      </c>
      <c r="C3352" s="106" t="inlineStr">
        <is>
          <t>Telefonia móvel corporativa</t>
        </is>
      </c>
      <c r="D3352" s="107" t="n"/>
      <c r="E3352" s="108" t="n"/>
      <c r="F3352" s="109">
        <f>IFERROR(D3352*E3352,0)</f>
        <v/>
      </c>
      <c r="G3352" s="106">
        <f>INDEX(SETORES!$B:$B,MATCH(A3352,SETORES!$A:$A,0))</f>
        <v/>
      </c>
      <c r="H3352" s="106" t="inlineStr">
        <is>
          <t>Outubro/2026</t>
        </is>
      </c>
    </row>
    <row r="3353">
      <c r="A3353" s="106" t="inlineStr">
        <is>
          <t>Retenção</t>
        </is>
      </c>
      <c r="B3353" s="106" t="inlineStr">
        <is>
          <t>Custo Fixo</t>
        </is>
      </c>
      <c r="C3353" s="106" t="inlineStr">
        <is>
          <t>Folha de pagamento (salários)</t>
        </is>
      </c>
      <c r="D3353" s="107" t="n">
        <v>1</v>
      </c>
      <c r="E3353" s="108" t="n">
        <v>41989.1</v>
      </c>
      <c r="F3353" s="109">
        <f>IFERROR(D3353*E3353,0)</f>
        <v/>
      </c>
      <c r="G3353" s="106">
        <f>INDEX(SETORES!$B:$B,MATCH(A3353,SETORES!$A:$A,0))</f>
        <v/>
      </c>
      <c r="H3353" s="106" t="inlineStr">
        <is>
          <t>Outubro/2026</t>
        </is>
      </c>
    </row>
    <row r="3354">
      <c r="A3354" s="106" t="inlineStr">
        <is>
          <t>Retenção</t>
        </is>
      </c>
      <c r="B3354" s="106" t="inlineStr">
        <is>
          <t>Custo Variável</t>
        </is>
      </c>
      <c r="C3354" s="106" t="inlineStr">
        <is>
          <t>Fardamento novo</t>
        </is>
      </c>
      <c r="D3354" s="107" t="n"/>
      <c r="E3354" s="108" t="n"/>
      <c r="F3354" s="109">
        <f>IFERROR(D3354*E3354,0)</f>
        <v/>
      </c>
      <c r="G3354" s="106">
        <f>INDEX(SETORES!$B:$B,MATCH(A3354,SETORES!$A:$A,0))</f>
        <v/>
      </c>
      <c r="H3354" s="106" t="inlineStr">
        <is>
          <t>Outubro/2026</t>
        </is>
      </c>
    </row>
    <row r="3355">
      <c r="A3355" s="106" t="inlineStr">
        <is>
          <t>Retenção</t>
        </is>
      </c>
      <c r="B3355" s="106" t="inlineStr">
        <is>
          <t>Custo Variável</t>
        </is>
      </c>
      <c r="C3355" s="106" t="inlineStr">
        <is>
          <t>Fardamento substituição</t>
        </is>
      </c>
      <c r="D3355" s="107" t="n"/>
      <c r="E3355" s="108" t="n"/>
      <c r="F3355" s="109">
        <f>IFERROR(D3355*E3355,0)</f>
        <v/>
      </c>
      <c r="G3355" s="106">
        <f>INDEX(SETORES!$B:$B,MATCH(A3355,SETORES!$A:$A,0))</f>
        <v/>
      </c>
      <c r="H3355" s="106" t="inlineStr">
        <is>
          <t>Outubro/2026</t>
        </is>
      </c>
    </row>
    <row r="3356">
      <c r="A3356" s="106" t="inlineStr">
        <is>
          <t>Retenção</t>
        </is>
      </c>
      <c r="B3356" s="106" t="inlineStr">
        <is>
          <t>Custo Variável</t>
        </is>
      </c>
      <c r="C3356" s="106" t="inlineStr">
        <is>
          <t>Rescisões trabalhistas</t>
        </is>
      </c>
      <c r="D3356" s="107" t="n"/>
      <c r="E3356" s="108" t="n"/>
      <c r="F3356" s="109">
        <f>IFERROR(D3356*E3356,0)</f>
        <v/>
      </c>
      <c r="G3356" s="106">
        <f>INDEX(SETORES!$B:$B,MATCH(A3356,SETORES!$A:$A,0))</f>
        <v/>
      </c>
      <c r="H3356" s="106" t="inlineStr">
        <is>
          <t>Outubro/2026</t>
        </is>
      </c>
    </row>
    <row r="3357">
      <c r="A3357" s="106" t="inlineStr">
        <is>
          <t>Retenção</t>
        </is>
      </c>
      <c r="B3357" s="106" t="inlineStr">
        <is>
          <t>Custo Fixo</t>
        </is>
      </c>
      <c r="C3357" s="106" t="inlineStr">
        <is>
          <t>Licença de e-mail corporativo</t>
        </is>
      </c>
      <c r="D3357" s="107" t="n">
        <v>12</v>
      </c>
      <c r="E3357" s="108" t="n">
        <v>50</v>
      </c>
      <c r="F3357" s="109">
        <f>IFERROR(D3357*E3357,0)</f>
        <v/>
      </c>
      <c r="G3357" s="106">
        <f>INDEX(SETORES!$B:$B,MATCH(A3357,SETORES!$A:$A,0))</f>
        <v/>
      </c>
      <c r="H3357" s="106" t="inlineStr">
        <is>
          <t>Outubro/2026</t>
        </is>
      </c>
    </row>
    <row r="3358">
      <c r="A3358" s="106" t="inlineStr">
        <is>
          <t>Retenção</t>
        </is>
      </c>
      <c r="B3358" s="106" t="inlineStr">
        <is>
          <t>Custo Fixo</t>
        </is>
      </c>
      <c r="C3358" s="106" t="inlineStr">
        <is>
          <t>Software MATRIX (rateio equipe Relacionamento)</t>
        </is>
      </c>
      <c r="D3358" s="107" t="n"/>
      <c r="E3358" s="108" t="n"/>
      <c r="F3358" s="109">
        <f>IFERROR(D3358*E3358,0)</f>
        <v/>
      </c>
      <c r="G3358" s="106">
        <f>INDEX(SETORES!$B:$B,MATCH(A3358,SETORES!$A:$A,0))</f>
        <v/>
      </c>
      <c r="H3358" s="106" t="inlineStr">
        <is>
          <t>Outubro/2026</t>
        </is>
      </c>
    </row>
    <row r="3359">
      <c r="A3359" s="106" t="inlineStr">
        <is>
          <t>Retenção</t>
        </is>
      </c>
      <c r="B3359" s="106" t="inlineStr">
        <is>
          <t>Custo Fixo</t>
        </is>
      </c>
      <c r="C3359" s="106" t="inlineStr">
        <is>
          <t>Impressora (rateio equipe Relacionamento)</t>
        </is>
      </c>
      <c r="D3359" s="107" t="n"/>
      <c r="E3359" s="108" t="n"/>
      <c r="F3359" s="109">
        <f>IFERROR(D3359*E3359,0)</f>
        <v/>
      </c>
      <c r="G3359" s="106">
        <f>INDEX(SETORES!$B:$B,MATCH(A3359,SETORES!$A:$A,0))</f>
        <v/>
      </c>
      <c r="H3359" s="106" t="inlineStr">
        <is>
          <t>Outubro/2026</t>
        </is>
      </c>
    </row>
    <row r="3360">
      <c r="A3360" s="106" t="inlineStr">
        <is>
          <t>Retenção</t>
        </is>
      </c>
      <c r="B3360" s="106" t="inlineStr">
        <is>
          <t>Custo Fixo</t>
        </is>
      </c>
      <c r="C3360" s="106" t="inlineStr">
        <is>
          <t>Gympass</t>
        </is>
      </c>
      <c r="D3360" s="107" t="n"/>
      <c r="E3360" s="108" t="n"/>
      <c r="F3360" s="109">
        <f>IFERROR(D3360*E3360,0)</f>
        <v/>
      </c>
      <c r="G3360" s="106">
        <f>INDEX(SETORES!$B:$B,MATCH(A3360,SETORES!$A:$A,0))</f>
        <v/>
      </c>
      <c r="H3360" s="106" t="inlineStr">
        <is>
          <t>Outubro/2026</t>
        </is>
      </c>
    </row>
    <row r="3361">
      <c r="A3361" s="106" t="inlineStr">
        <is>
          <t>Retenção</t>
        </is>
      </c>
      <c r="B3361" s="106" t="inlineStr">
        <is>
          <t>Custo Fixo</t>
        </is>
      </c>
      <c r="C3361" s="106" t="inlineStr">
        <is>
          <t>Stargrid</t>
        </is>
      </c>
      <c r="D3361" s="107" t="n">
        <v>12</v>
      </c>
      <c r="E3361" s="108" t="n">
        <v>1.87</v>
      </c>
      <c r="F3361" s="109">
        <f>IFERROR(D3361*E3361,0)</f>
        <v/>
      </c>
      <c r="G3361" s="106">
        <f>INDEX(SETORES!$B:$B,MATCH(A3361,SETORES!$A:$A,0))</f>
        <v/>
      </c>
      <c r="H3361" s="106" t="inlineStr">
        <is>
          <t>Outubro/2026</t>
        </is>
      </c>
    </row>
    <row r="3362">
      <c r="A3362" s="106" t="inlineStr">
        <is>
          <t>Segurança do Trabalho</t>
        </is>
      </c>
      <c r="B3362" s="106" t="inlineStr">
        <is>
          <t>Custo Fixo</t>
        </is>
      </c>
      <c r="C3362" s="106" t="inlineStr">
        <is>
          <t>Material de escritório (suprimentos de informática)</t>
        </is>
      </c>
      <c r="D3362" s="107" t="n">
        <v>1</v>
      </c>
      <c r="E3362" s="108" t="n">
        <v>56.96</v>
      </c>
      <c r="F3362" s="109">
        <f>IFERROR(D3362*E3362,0)</f>
        <v/>
      </c>
      <c r="G3362" s="106">
        <f>INDEX(SETORES!$B:$B,MATCH(A3362,SETORES!$A:$A,0))</f>
        <v/>
      </c>
      <c r="H3362" s="106" t="inlineStr">
        <is>
          <t>Outubro/2026</t>
        </is>
      </c>
    </row>
    <row r="3363">
      <c r="A3363" s="106" t="inlineStr">
        <is>
          <t>Segurança do Trabalho</t>
        </is>
      </c>
      <c r="B3363" s="106" t="inlineStr">
        <is>
          <t>Custo Fixo</t>
        </is>
      </c>
      <c r="C3363" s="106" t="inlineStr">
        <is>
          <t>Material de uso coletivo (copa/limpeza)</t>
        </is>
      </c>
      <c r="D3363" s="107" t="n"/>
      <c r="E3363" s="108" t="n"/>
      <c r="F3363" s="109">
        <f>IFERROR(D3363*E3363,0)</f>
        <v/>
      </c>
      <c r="G3363" s="106">
        <f>INDEX(SETORES!$B:$B,MATCH(A3363,SETORES!$A:$A,0))</f>
        <v/>
      </c>
      <c r="H3363" s="106" t="inlineStr">
        <is>
          <t>Outubro/2026</t>
        </is>
      </c>
    </row>
    <row r="3364">
      <c r="A3364" s="106" t="inlineStr">
        <is>
          <t>Segurança do Trabalho</t>
        </is>
      </c>
      <c r="B3364" s="106" t="inlineStr">
        <is>
          <t>Custo Fixo</t>
        </is>
      </c>
      <c r="C3364" s="106" t="inlineStr">
        <is>
          <t>Energia elétrica (rateio)</t>
        </is>
      </c>
      <c r="D3364" s="107" t="n"/>
      <c r="E3364" s="108" t="n"/>
      <c r="F3364" s="109">
        <f>IFERROR(D3364*E3364,0)</f>
        <v/>
      </c>
      <c r="G3364" s="106">
        <f>INDEX(SETORES!$B:$B,MATCH(A3364,SETORES!$A:$A,0))</f>
        <v/>
      </c>
      <c r="H3364" s="106" t="inlineStr">
        <is>
          <t>Outubro/2026</t>
        </is>
      </c>
    </row>
    <row r="3365">
      <c r="A3365" s="106" t="inlineStr">
        <is>
          <t>Segurança do Trabalho</t>
        </is>
      </c>
      <c r="B3365" s="106" t="inlineStr">
        <is>
          <t>Custo Fixo</t>
        </is>
      </c>
      <c r="C3365" s="106" t="inlineStr">
        <is>
          <t>Água e esgoto (rateio)</t>
        </is>
      </c>
      <c r="D3365" s="107" t="n"/>
      <c r="E3365" s="108" t="n"/>
      <c r="F3365" s="109">
        <f>IFERROR(D3365*E3365,0)</f>
        <v/>
      </c>
      <c r="G3365" s="106">
        <f>INDEX(SETORES!$B:$B,MATCH(A3365,SETORES!$A:$A,0))</f>
        <v/>
      </c>
      <c r="H3365" s="106" t="inlineStr">
        <is>
          <t>Outubro/2026</t>
        </is>
      </c>
    </row>
    <row r="3366">
      <c r="A3366" s="106" t="inlineStr">
        <is>
          <t>Segurança do Trabalho</t>
        </is>
      </c>
      <c r="B3366" s="106" t="inlineStr">
        <is>
          <t>Custo Fixo</t>
        </is>
      </c>
      <c r="C3366" s="106" t="inlineStr">
        <is>
          <t>Telefonia móvel corporativa</t>
        </is>
      </c>
      <c r="D3366" s="107" t="n"/>
      <c r="E3366" s="108" t="n"/>
      <c r="F3366" s="109">
        <f>IFERROR(D3366*E3366,0)</f>
        <v/>
      </c>
      <c r="G3366" s="106">
        <f>INDEX(SETORES!$B:$B,MATCH(A3366,SETORES!$A:$A,0))</f>
        <v/>
      </c>
      <c r="H3366" s="106" t="inlineStr">
        <is>
          <t>Outubro/2026</t>
        </is>
      </c>
    </row>
    <row r="3367">
      <c r="A3367" s="106" t="inlineStr">
        <is>
          <t>Segurança do Trabalho</t>
        </is>
      </c>
      <c r="B3367" s="106" t="inlineStr">
        <is>
          <t>Custo Fixo</t>
        </is>
      </c>
      <c r="C3367" s="106" t="inlineStr">
        <is>
          <t>Folha de pagamento (salários)</t>
        </is>
      </c>
      <c r="D3367" s="107" t="n">
        <v>1</v>
      </c>
      <c r="E3367" s="108" t="n">
        <v>43760.48</v>
      </c>
      <c r="F3367" s="109">
        <f>IFERROR(D3367*E3367,0)</f>
        <v/>
      </c>
      <c r="G3367" s="106">
        <f>INDEX(SETORES!$B:$B,MATCH(A3367,SETORES!$A:$A,0))</f>
        <v/>
      </c>
      <c r="H3367" s="106" t="inlineStr">
        <is>
          <t>Outubro/2026</t>
        </is>
      </c>
    </row>
    <row r="3368">
      <c r="A3368" s="106" t="inlineStr">
        <is>
          <t>Segurança do Trabalho</t>
        </is>
      </c>
      <c r="B3368" s="106" t="inlineStr">
        <is>
          <t>Custo Variável</t>
        </is>
      </c>
      <c r="C3368" s="106" t="inlineStr">
        <is>
          <t>EPIs - Equipamento de Proteção Individual</t>
        </is>
      </c>
      <c r="D3368" s="107" t="n"/>
      <c r="E3368" s="108" t="n"/>
      <c r="F3368" s="109">
        <f>IFERROR(D3368*E3368,0)</f>
        <v/>
      </c>
      <c r="G3368" s="106">
        <f>INDEX(SETORES!$B:$B,MATCH(A3368,SETORES!$A:$A,0))</f>
        <v/>
      </c>
      <c r="H3368" s="106" t="inlineStr">
        <is>
          <t>Outubro/2026</t>
        </is>
      </c>
    </row>
    <row r="3369">
      <c r="A3369" s="106" t="inlineStr">
        <is>
          <t>Cobrança</t>
        </is>
      </c>
      <c r="B3369" s="106" t="inlineStr">
        <is>
          <t>Custo Variável</t>
        </is>
      </c>
      <c r="C3369" s="106" t="inlineStr">
        <is>
          <t>Exames médicos</t>
        </is>
      </c>
      <c r="D3369" s="107" t="n"/>
      <c r="E3369" s="108" t="n"/>
      <c r="F3369" s="109">
        <f>IFERROR(D3369*E3369,0)</f>
        <v/>
      </c>
      <c r="G3369" s="106">
        <f>INDEX(SETORES!$B:$B,MATCH(A3369,SETORES!$A:$A,0))</f>
        <v/>
      </c>
      <c r="H3369" s="106" t="inlineStr">
        <is>
          <t>Outubro/2026</t>
        </is>
      </c>
    </row>
    <row r="3370">
      <c r="A3370" s="106" t="inlineStr">
        <is>
          <t>NRC</t>
        </is>
      </c>
      <c r="B3370" s="106" t="inlineStr">
        <is>
          <t>Custo Variável</t>
        </is>
      </c>
      <c r="C3370" s="106" t="inlineStr">
        <is>
          <t>Exames médicos</t>
        </is>
      </c>
      <c r="D3370" s="107" t="n"/>
      <c r="E3370" s="108" t="n"/>
      <c r="F3370" s="109">
        <f>IFERROR(D3370*E3370,0)</f>
        <v/>
      </c>
      <c r="G3370" s="106">
        <f>INDEX(SETORES!$B:$B,MATCH(A3370,SETORES!$A:$A,0))</f>
        <v/>
      </c>
      <c r="H3370" s="106" t="inlineStr">
        <is>
          <t>Outubro/2026</t>
        </is>
      </c>
    </row>
    <row r="3371">
      <c r="A3371" s="106" t="inlineStr">
        <is>
          <t>Suporte da Central</t>
        </is>
      </c>
      <c r="B3371" s="106" t="inlineStr">
        <is>
          <t>Custo Variável</t>
        </is>
      </c>
      <c r="C3371" s="106" t="inlineStr">
        <is>
          <t>Exames médicos</t>
        </is>
      </c>
      <c r="D3371" s="107" t="n"/>
      <c r="E3371" s="108" t="n"/>
      <c r="F3371" s="109">
        <f>IFERROR(D3371*E3371,0)</f>
        <v/>
      </c>
      <c r="G3371" s="106">
        <f>INDEX(SETORES!$B:$B,MATCH(A3371,SETORES!$A:$A,0))</f>
        <v/>
      </c>
      <c r="H3371" s="106" t="inlineStr">
        <is>
          <t>Outubro/2026</t>
        </is>
      </c>
    </row>
    <row r="3372">
      <c r="A3372" s="106" t="inlineStr">
        <is>
          <t>Manutenção Predial</t>
        </is>
      </c>
      <c r="B3372" s="106" t="inlineStr">
        <is>
          <t>Custo Variável</t>
        </is>
      </c>
      <c r="C3372" s="106" t="inlineStr">
        <is>
          <t>Exames médicos</t>
        </is>
      </c>
      <c r="D3372" s="107" t="n"/>
      <c r="E3372" s="108" t="n"/>
      <c r="F3372" s="109">
        <f>IFERROR(D3372*E3372,0)</f>
        <v/>
      </c>
      <c r="G3372" s="106">
        <f>INDEX(SETORES!$B:$B,MATCH(A3372,SETORES!$A:$A,0))</f>
        <v/>
      </c>
      <c r="H3372" s="106" t="inlineStr">
        <is>
          <t>Outubro/2026</t>
        </is>
      </c>
    </row>
    <row r="3373">
      <c r="A3373" s="106" t="inlineStr">
        <is>
          <t>Segurança do Trabalho</t>
        </is>
      </c>
      <c r="B3373" s="106" t="inlineStr">
        <is>
          <t>Custo Variável</t>
        </is>
      </c>
      <c r="C3373" s="106" t="inlineStr">
        <is>
          <t>Exames médicos</t>
        </is>
      </c>
      <c r="D3373" s="107" t="n"/>
      <c r="E3373" s="108" t="n"/>
      <c r="F3373" s="109">
        <f>IFERROR(D3373*E3373,0)</f>
        <v/>
      </c>
      <c r="G3373" s="106">
        <f>INDEX(SETORES!$B:$B,MATCH(A3373,SETORES!$A:$A,0))</f>
        <v/>
      </c>
      <c r="H3373" s="106" t="inlineStr">
        <is>
          <t>Outubro/2026</t>
        </is>
      </c>
    </row>
    <row r="3374">
      <c r="A3374" s="106" t="inlineStr">
        <is>
          <t>Segurança do Trabalho</t>
        </is>
      </c>
      <c r="B3374" s="106" t="inlineStr">
        <is>
          <t>Custo Variável</t>
        </is>
      </c>
      <c r="C3374" s="106" t="inlineStr">
        <is>
          <t>Fardamento novo</t>
        </is>
      </c>
      <c r="D3374" s="107" t="n"/>
      <c r="E3374" s="108" t="n"/>
      <c r="F3374" s="109">
        <f>IFERROR(D3374*E3374,0)</f>
        <v/>
      </c>
      <c r="G3374" s="106">
        <f>INDEX(SETORES!$B:$B,MATCH(A3374,SETORES!$A:$A,0))</f>
        <v/>
      </c>
      <c r="H3374" s="106" t="inlineStr">
        <is>
          <t>Outubro/2026</t>
        </is>
      </c>
    </row>
    <row r="3375">
      <c r="A3375" s="106" t="inlineStr">
        <is>
          <t>Segurança do Trabalho</t>
        </is>
      </c>
      <c r="B3375" s="106" t="inlineStr">
        <is>
          <t>Custo Variável</t>
        </is>
      </c>
      <c r="C3375" s="106" t="inlineStr">
        <is>
          <t>Fardamento substituição</t>
        </is>
      </c>
      <c r="D3375" s="107" t="n">
        <v>1</v>
      </c>
      <c r="E3375" s="108" t="n">
        <v>204</v>
      </c>
      <c r="F3375" s="109">
        <f>IFERROR(D3375*E3375,0)</f>
        <v/>
      </c>
      <c r="G3375" s="106">
        <f>INDEX(SETORES!$B:$B,MATCH(A3375,SETORES!$A:$A,0))</f>
        <v/>
      </c>
      <c r="H3375" s="106" t="inlineStr">
        <is>
          <t>Outubro/2026</t>
        </is>
      </c>
    </row>
    <row r="3376">
      <c r="A3376" s="106" t="inlineStr">
        <is>
          <t>Segurança do Trabalho</t>
        </is>
      </c>
      <c r="B3376" s="106" t="inlineStr">
        <is>
          <t>Custo Variável</t>
        </is>
      </c>
      <c r="C3376" s="106" t="inlineStr">
        <is>
          <t>Rateio de transporte coletivo</t>
        </is>
      </c>
      <c r="D3376" s="107" t="n"/>
      <c r="E3376" s="108" t="n"/>
      <c r="F3376" s="109">
        <f>IFERROR(D3376*E3376,0)</f>
        <v/>
      </c>
      <c r="G3376" s="106">
        <f>INDEX(SETORES!$B:$B,MATCH(A3376,SETORES!$A:$A,0))</f>
        <v/>
      </c>
      <c r="H3376" s="106" t="inlineStr">
        <is>
          <t>Outubro/2026</t>
        </is>
      </c>
    </row>
    <row r="3377">
      <c r="A3377" s="106" t="inlineStr">
        <is>
          <t>Segurança do Trabalho</t>
        </is>
      </c>
      <c r="B3377" s="106" t="inlineStr">
        <is>
          <t>Custo Variável</t>
        </is>
      </c>
      <c r="C3377" s="106" t="inlineStr">
        <is>
          <t>Médico do trabalho</t>
        </is>
      </c>
      <c r="D3377" s="107" t="n">
        <v>1</v>
      </c>
      <c r="E3377" s="108" t="n">
        <v>7689.5</v>
      </c>
      <c r="F3377" s="109">
        <f>IFERROR(D3377*E3377,0)</f>
        <v/>
      </c>
      <c r="G3377" s="106">
        <f>INDEX(SETORES!$B:$B,MATCH(A3377,SETORES!$A:$A,0))</f>
        <v/>
      </c>
      <c r="H3377" s="106" t="inlineStr">
        <is>
          <t>Outubro/2026</t>
        </is>
      </c>
    </row>
    <row r="3378">
      <c r="A3378" s="106" t="inlineStr">
        <is>
          <t>Segurança do Trabalho</t>
        </is>
      </c>
      <c r="B3378" s="106" t="inlineStr">
        <is>
          <t>Custo Fixo</t>
        </is>
      </c>
      <c r="C3378" s="106" t="inlineStr">
        <is>
          <t>Licença de e-mail corporativo</t>
        </is>
      </c>
      <c r="D3378" s="107" t="n">
        <v>8</v>
      </c>
      <c r="E3378" s="108" t="n">
        <v>50</v>
      </c>
      <c r="F3378" s="109">
        <f>IFERROR(D3378*E3378,0)</f>
        <v/>
      </c>
      <c r="G3378" s="106">
        <f>INDEX(SETORES!$B:$B,MATCH(A3378,SETORES!$A:$A,0))</f>
        <v/>
      </c>
      <c r="H3378" s="106" t="inlineStr">
        <is>
          <t>Outubro/2026</t>
        </is>
      </c>
    </row>
    <row r="3379">
      <c r="A3379" s="106" t="inlineStr">
        <is>
          <t>Segurança do Trabalho</t>
        </is>
      </c>
      <c r="B3379" s="106" t="inlineStr">
        <is>
          <t>Custo Variável</t>
        </is>
      </c>
      <c r="C3379" s="106" t="inlineStr">
        <is>
          <t>Combustível de frota</t>
        </is>
      </c>
      <c r="D3379" s="107" t="n">
        <v>1</v>
      </c>
      <c r="E3379" s="108" t="n">
        <v>4175.57</v>
      </c>
      <c r="F3379" s="109">
        <f>IFERROR(D3379*E3379,0)</f>
        <v/>
      </c>
      <c r="G3379" s="106">
        <f>INDEX(SETORES!$B:$B,MATCH(A3379,SETORES!$A:$A,0))</f>
        <v/>
      </c>
      <c r="H3379" s="106" t="inlineStr">
        <is>
          <t>Outubro/2026</t>
        </is>
      </c>
    </row>
    <row r="3380">
      <c r="A3380" s="106" t="inlineStr">
        <is>
          <t>Segurança do Trabalho</t>
        </is>
      </c>
      <c r="B3380" s="106" t="inlineStr">
        <is>
          <t>Custo Fixo</t>
        </is>
      </c>
      <c r="C3380" s="106" t="inlineStr">
        <is>
          <t>Impressora</t>
        </is>
      </c>
      <c r="D3380" s="107" t="n"/>
      <c r="E3380" s="108" t="n"/>
      <c r="F3380" s="109">
        <f>IFERROR(D3380*E3380,0)</f>
        <v/>
      </c>
      <c r="G3380" s="106">
        <f>INDEX(SETORES!$B:$B,MATCH(A3380,SETORES!$A:$A,0))</f>
        <v/>
      </c>
      <c r="H3380" s="106" t="inlineStr">
        <is>
          <t>Outubro/2026</t>
        </is>
      </c>
    </row>
    <row r="3381">
      <c r="A3381" s="106" t="inlineStr">
        <is>
          <t>Segurança do Trabalho</t>
        </is>
      </c>
      <c r="B3381" s="106" t="inlineStr">
        <is>
          <t>Custo Fixo</t>
        </is>
      </c>
      <c r="C3381" s="106" t="inlineStr">
        <is>
          <t>Gympass</t>
        </is>
      </c>
      <c r="D3381" s="107" t="n"/>
      <c r="E3381" s="108" t="n"/>
      <c r="F3381" s="109">
        <f>IFERROR(D3381*E3381,0)</f>
        <v/>
      </c>
      <c r="G3381" s="106">
        <f>INDEX(SETORES!$B:$B,MATCH(A3381,SETORES!$A:$A,0))</f>
        <v/>
      </c>
      <c r="H3381" s="106" t="inlineStr">
        <is>
          <t>Outubro/2026</t>
        </is>
      </c>
    </row>
    <row r="3382">
      <c r="A3382" s="106" t="inlineStr">
        <is>
          <t>Segurança do Trabalho</t>
        </is>
      </c>
      <c r="B3382" s="106" t="inlineStr">
        <is>
          <t>Custo Fixo</t>
        </is>
      </c>
      <c r="C3382" s="106" t="inlineStr">
        <is>
          <t>Stargrid</t>
        </is>
      </c>
      <c r="D3382" s="107" t="n">
        <v>8</v>
      </c>
      <c r="E3382" s="108" t="n">
        <v>1.87</v>
      </c>
      <c r="F3382" s="109">
        <f>IFERROR(D3382*E3382,0)</f>
        <v/>
      </c>
      <c r="G3382" s="106">
        <f>INDEX(SETORES!$B:$B,MATCH(A3382,SETORES!$A:$A,0))</f>
        <v/>
      </c>
      <c r="H3382" s="106" t="inlineStr">
        <is>
          <t>Outubro/2026</t>
        </is>
      </c>
    </row>
    <row r="3383">
      <c r="A3383" s="106" t="inlineStr">
        <is>
          <t>Suporte Orbix</t>
        </is>
      </c>
      <c r="B3383" s="106" t="inlineStr">
        <is>
          <t>Custo Fixo</t>
        </is>
      </c>
      <c r="C3383" s="106" t="inlineStr">
        <is>
          <t>Material de escritório (suprimentos de informática)</t>
        </is>
      </c>
      <c r="D3383" s="107" t="n">
        <v>1</v>
      </c>
      <c r="E3383" s="108" t="n">
        <v>2.3</v>
      </c>
      <c r="F3383" s="109">
        <f>IFERROR(D3383*E3383,0)</f>
        <v/>
      </c>
      <c r="G3383" s="106">
        <f>INDEX(SETORES!$B:$B,MATCH(A3383,SETORES!$A:$A,0))</f>
        <v/>
      </c>
      <c r="H3383" s="106" t="inlineStr">
        <is>
          <t>Outubro/2026</t>
        </is>
      </c>
    </row>
    <row r="3384">
      <c r="A3384" s="106" t="inlineStr">
        <is>
          <t>Suporte Orbix</t>
        </is>
      </c>
      <c r="B3384" s="106" t="inlineStr">
        <is>
          <t>Custo Fixo</t>
        </is>
      </c>
      <c r="C3384" s="106" t="inlineStr">
        <is>
          <t>Material de uso coletivo (copa/limpeza)</t>
        </is>
      </c>
      <c r="D3384" s="107" t="n">
        <v>1</v>
      </c>
      <c r="E3384" s="108" t="n">
        <v>404.44</v>
      </c>
      <c r="F3384" s="109">
        <f>IFERROR(D3384*E3384,0)</f>
        <v/>
      </c>
      <c r="G3384" s="106">
        <f>INDEX(SETORES!$B:$B,MATCH(A3384,SETORES!$A:$A,0))</f>
        <v/>
      </c>
      <c r="H3384" s="106" t="inlineStr">
        <is>
          <t>Outubro/2026</t>
        </is>
      </c>
    </row>
    <row r="3385">
      <c r="A3385" s="106" t="inlineStr">
        <is>
          <t>Suporte Orbix</t>
        </is>
      </c>
      <c r="B3385" s="106" t="inlineStr">
        <is>
          <t>Custo Fixo</t>
        </is>
      </c>
      <c r="C3385" s="106" t="inlineStr">
        <is>
          <t>Energia elétrica (rateio)</t>
        </is>
      </c>
      <c r="D3385" s="107" t="n"/>
      <c r="E3385" s="108" t="n"/>
      <c r="F3385" s="109">
        <f>IFERROR(D3385*E3385,0)</f>
        <v/>
      </c>
      <c r="G3385" s="106">
        <f>INDEX(SETORES!$B:$B,MATCH(A3385,SETORES!$A:$A,0))</f>
        <v/>
      </c>
      <c r="H3385" s="106" t="inlineStr">
        <is>
          <t>Outubro/2026</t>
        </is>
      </c>
    </row>
    <row r="3386">
      <c r="A3386" s="106" t="inlineStr">
        <is>
          <t>Suporte Orbix</t>
        </is>
      </c>
      <c r="B3386" s="106" t="inlineStr">
        <is>
          <t>Custo Fixo</t>
        </is>
      </c>
      <c r="C3386" s="106" t="inlineStr">
        <is>
          <t>Água e esgoto (rateio)</t>
        </is>
      </c>
      <c r="D3386" s="107" t="n"/>
      <c r="E3386" s="108" t="n"/>
      <c r="F3386" s="109">
        <f>IFERROR(D3386*E3386,0)</f>
        <v/>
      </c>
      <c r="G3386" s="106">
        <f>INDEX(SETORES!$B:$B,MATCH(A3386,SETORES!$A:$A,0))</f>
        <v/>
      </c>
      <c r="H3386" s="106" t="inlineStr">
        <is>
          <t>Outubro/2026</t>
        </is>
      </c>
    </row>
    <row r="3387">
      <c r="A3387" s="106" t="inlineStr">
        <is>
          <t>Suporte Orbix</t>
        </is>
      </c>
      <c r="B3387" s="106" t="inlineStr">
        <is>
          <t>Custo Fixo</t>
        </is>
      </c>
      <c r="C3387" s="106" t="inlineStr">
        <is>
          <t>Telefonia móvel corporativa</t>
        </is>
      </c>
      <c r="D3387" s="107" t="n"/>
      <c r="E3387" s="108" t="n"/>
      <c r="F3387" s="109">
        <f>IFERROR(D3387*E3387,0)</f>
        <v/>
      </c>
      <c r="G3387" s="106">
        <f>INDEX(SETORES!$B:$B,MATCH(A3387,SETORES!$A:$A,0))</f>
        <v/>
      </c>
      <c r="H3387" s="106" t="inlineStr">
        <is>
          <t>Outubro/2026</t>
        </is>
      </c>
    </row>
    <row r="3388">
      <c r="A3388" s="106" t="inlineStr">
        <is>
          <t>Suporte Orbix</t>
        </is>
      </c>
      <c r="B3388" s="106" t="inlineStr">
        <is>
          <t>Custo Fixo</t>
        </is>
      </c>
      <c r="C3388" s="106" t="inlineStr">
        <is>
          <t>Folha de pagamento (salários)</t>
        </is>
      </c>
      <c r="D3388" s="107" t="n">
        <v>1</v>
      </c>
      <c r="E3388" s="108" t="n">
        <v>30736.23</v>
      </c>
      <c r="F3388" s="109">
        <f>IFERROR(D3388*E3388,0)</f>
        <v/>
      </c>
      <c r="G3388" s="106">
        <f>INDEX(SETORES!$B:$B,MATCH(A3388,SETORES!$A:$A,0))</f>
        <v/>
      </c>
      <c r="H3388" s="106" t="inlineStr">
        <is>
          <t>Outubro/2026</t>
        </is>
      </c>
    </row>
    <row r="3389">
      <c r="A3389" s="106" t="inlineStr">
        <is>
          <t>Suporte Orbix</t>
        </is>
      </c>
      <c r="B3389" s="106" t="inlineStr">
        <is>
          <t>Custo Fixo</t>
        </is>
      </c>
      <c r="C3389" s="106" t="inlineStr">
        <is>
          <t>Licença de e-mail corporativo</t>
        </is>
      </c>
      <c r="D3389" s="107" t="n">
        <v>8</v>
      </c>
      <c r="E3389" s="108" t="n">
        <v>50</v>
      </c>
      <c r="F3389" s="109">
        <f>IFERROR(D3389*E3389,0)</f>
        <v/>
      </c>
      <c r="G3389" s="106">
        <f>INDEX(SETORES!$B:$B,MATCH(A3389,SETORES!$A:$A,0))</f>
        <v/>
      </c>
      <c r="H3389" s="106" t="inlineStr">
        <is>
          <t>Outubro/2026</t>
        </is>
      </c>
    </row>
    <row r="3390">
      <c r="A3390" s="106" t="inlineStr">
        <is>
          <t>Suporte Orbix</t>
        </is>
      </c>
      <c r="B3390" s="106" t="inlineStr">
        <is>
          <t>Custo Fixo</t>
        </is>
      </c>
      <c r="C3390" s="106" t="inlineStr">
        <is>
          <t>Software MATRIX (rateio equipe Relacionamento)</t>
        </is>
      </c>
      <c r="D3390" s="107" t="n"/>
      <c r="E3390" s="108" t="n"/>
      <c r="F3390" s="109">
        <f>IFERROR(D3390*E3390,0)</f>
        <v/>
      </c>
      <c r="G3390" s="106">
        <f>INDEX(SETORES!$B:$B,MATCH(A3390,SETORES!$A:$A,0))</f>
        <v/>
      </c>
      <c r="H3390" s="106" t="inlineStr">
        <is>
          <t>Outubro/2026</t>
        </is>
      </c>
    </row>
    <row r="3391">
      <c r="A3391" s="106" t="inlineStr">
        <is>
          <t>Suporte Orbix</t>
        </is>
      </c>
      <c r="B3391" s="106" t="inlineStr">
        <is>
          <t>Custo Fixo</t>
        </is>
      </c>
      <c r="C3391" s="106" t="inlineStr">
        <is>
          <t>Impressora (rateio equipe Relacionamento)</t>
        </is>
      </c>
      <c r="D3391" s="107" t="n"/>
      <c r="E3391" s="108" t="n"/>
      <c r="F3391" s="109">
        <f>IFERROR(D3391*E3391,0)</f>
        <v/>
      </c>
      <c r="G3391" s="106">
        <f>INDEX(SETORES!$B:$B,MATCH(A3391,SETORES!$A:$A,0))</f>
        <v/>
      </c>
      <c r="H3391" s="106" t="inlineStr">
        <is>
          <t>Outubro/2026</t>
        </is>
      </c>
    </row>
    <row r="3392">
      <c r="A3392" s="106" t="inlineStr">
        <is>
          <t>Suporte Orbix</t>
        </is>
      </c>
      <c r="B3392" s="106" t="inlineStr">
        <is>
          <t>Custo Fixo</t>
        </is>
      </c>
      <c r="C3392" s="106" t="inlineStr">
        <is>
          <t>Gympass</t>
        </is>
      </c>
      <c r="D3392" s="107" t="n"/>
      <c r="E3392" s="108" t="n"/>
      <c r="F3392" s="109">
        <f>IFERROR(D3392*E3392,0)</f>
        <v/>
      </c>
      <c r="G3392" s="106">
        <f>INDEX(SETORES!$B:$B,MATCH(A3392,SETORES!$A:$A,0))</f>
        <v/>
      </c>
      <c r="H3392" s="106" t="inlineStr">
        <is>
          <t>Outubro/2026</t>
        </is>
      </c>
    </row>
    <row r="3393">
      <c r="A3393" s="106" t="inlineStr">
        <is>
          <t>Suporte Orbix</t>
        </is>
      </c>
      <c r="B3393" s="106" t="inlineStr">
        <is>
          <t>Custo Fixo</t>
        </is>
      </c>
      <c r="C3393" s="106" t="inlineStr">
        <is>
          <t>Stargrid</t>
        </is>
      </c>
      <c r="D3393" s="107" t="n">
        <v>8</v>
      </c>
      <c r="E3393" s="108" t="n">
        <v>1.87</v>
      </c>
      <c r="F3393" s="109">
        <f>IFERROR(D3393*E3393,0)</f>
        <v/>
      </c>
      <c r="G3393" s="106">
        <f>INDEX(SETORES!$B:$B,MATCH(A3393,SETORES!$A:$A,0))</f>
        <v/>
      </c>
      <c r="H3393" s="106" t="inlineStr">
        <is>
          <t>Outubro/2026</t>
        </is>
      </c>
    </row>
    <row r="3394">
      <c r="A3394" s="106" t="inlineStr">
        <is>
          <t>Suporte da Central</t>
        </is>
      </c>
      <c r="B3394" s="106" t="inlineStr">
        <is>
          <t>Custo Fixo</t>
        </is>
      </c>
      <c r="C3394" s="106" t="inlineStr">
        <is>
          <t>Material de escritório (suprimentos de informática)</t>
        </is>
      </c>
      <c r="D3394" s="107" t="n">
        <v>1</v>
      </c>
      <c r="E3394" s="108" t="n">
        <v>9.5</v>
      </c>
      <c r="F3394" s="109">
        <f>IFERROR(D3394*E3394,0)</f>
        <v/>
      </c>
      <c r="G3394" s="106">
        <f>INDEX(SETORES!$B:$B,MATCH(A3394,SETORES!$A:$A,0))</f>
        <v/>
      </c>
      <c r="H3394" s="106" t="inlineStr">
        <is>
          <t>Outubro/2026</t>
        </is>
      </c>
    </row>
    <row r="3395">
      <c r="A3395" s="106" t="inlineStr">
        <is>
          <t>Suporte da Central</t>
        </is>
      </c>
      <c r="B3395" s="106" t="inlineStr">
        <is>
          <t>Custo Fixo</t>
        </is>
      </c>
      <c r="C3395" s="106" t="inlineStr">
        <is>
          <t>Material de uso coletivo (copa/limpeza)</t>
        </is>
      </c>
      <c r="D3395" s="107" t="n">
        <v>1</v>
      </c>
      <c r="E3395" s="108" t="n">
        <v>1668.3</v>
      </c>
      <c r="F3395" s="109">
        <f>IFERROR(D3395*E3395,0)</f>
        <v/>
      </c>
      <c r="G3395" s="106">
        <f>INDEX(SETORES!$B:$B,MATCH(A3395,SETORES!$A:$A,0))</f>
        <v/>
      </c>
      <c r="H3395" s="106" t="inlineStr">
        <is>
          <t>Outubro/2026</t>
        </is>
      </c>
    </row>
    <row r="3396">
      <c r="A3396" s="106" t="inlineStr">
        <is>
          <t>Suporte da Central</t>
        </is>
      </c>
      <c r="B3396" s="106" t="inlineStr">
        <is>
          <t>Custo Fixo</t>
        </is>
      </c>
      <c r="C3396" s="106" t="inlineStr">
        <is>
          <t>Energia elétrica (rateio)</t>
        </is>
      </c>
      <c r="D3396" s="107" t="n"/>
      <c r="E3396" s="108" t="n"/>
      <c r="F3396" s="109">
        <f>IFERROR(D3396*E3396,0)</f>
        <v/>
      </c>
      <c r="G3396" s="106">
        <f>INDEX(SETORES!$B:$B,MATCH(A3396,SETORES!$A:$A,0))</f>
        <v/>
      </c>
      <c r="H3396" s="106" t="inlineStr">
        <is>
          <t>Outubro/2026</t>
        </is>
      </c>
    </row>
    <row r="3397">
      <c r="A3397" s="106" t="inlineStr">
        <is>
          <t>Suporte da Central</t>
        </is>
      </c>
      <c r="B3397" s="106" t="inlineStr">
        <is>
          <t>Custo Fixo</t>
        </is>
      </c>
      <c r="C3397" s="106" t="inlineStr">
        <is>
          <t>Água e esgoto (rateio)</t>
        </is>
      </c>
      <c r="D3397" s="107" t="n"/>
      <c r="E3397" s="108" t="n"/>
      <c r="F3397" s="109">
        <f>IFERROR(D3397*E3397,0)</f>
        <v/>
      </c>
      <c r="G3397" s="106">
        <f>INDEX(SETORES!$B:$B,MATCH(A3397,SETORES!$A:$A,0))</f>
        <v/>
      </c>
      <c r="H3397" s="106" t="inlineStr">
        <is>
          <t>Outubro/2026</t>
        </is>
      </c>
    </row>
    <row r="3398">
      <c r="A3398" s="106" t="inlineStr">
        <is>
          <t>Suporte da Central</t>
        </is>
      </c>
      <c r="B3398" s="106" t="inlineStr">
        <is>
          <t>Custo Fixo</t>
        </is>
      </c>
      <c r="C3398" s="106" t="inlineStr">
        <is>
          <t>Telefonia móvel corporativa</t>
        </is>
      </c>
      <c r="D3398" s="107" t="n"/>
      <c r="E3398" s="108" t="n"/>
      <c r="F3398" s="109">
        <f>IFERROR(D3398*E3398,0)</f>
        <v/>
      </c>
      <c r="G3398" s="106">
        <f>INDEX(SETORES!$B:$B,MATCH(A3398,SETORES!$A:$A,0))</f>
        <v/>
      </c>
      <c r="H3398" s="106" t="inlineStr">
        <is>
          <t>Outubro/2026</t>
        </is>
      </c>
    </row>
    <row r="3399">
      <c r="A3399" s="106" t="inlineStr">
        <is>
          <t>Suporte da Central</t>
        </is>
      </c>
      <c r="B3399" s="106" t="inlineStr">
        <is>
          <t>Custo Fixo</t>
        </is>
      </c>
      <c r="C3399" s="106" t="inlineStr">
        <is>
          <t>Folha de pagamento (salários)</t>
        </is>
      </c>
      <c r="D3399" s="107" t="n">
        <v>1</v>
      </c>
      <c r="E3399" s="108" t="n">
        <v>106886.23</v>
      </c>
      <c r="F3399" s="109">
        <f>IFERROR(D3399*E3399,0)</f>
        <v/>
      </c>
      <c r="G3399" s="106">
        <f>INDEX(SETORES!$B:$B,MATCH(A3399,SETORES!$A:$A,0))</f>
        <v/>
      </c>
      <c r="H3399" s="106" t="inlineStr">
        <is>
          <t>Outubro/2026</t>
        </is>
      </c>
    </row>
    <row r="3400">
      <c r="A3400" s="106" t="inlineStr">
        <is>
          <t>Suporte da Central</t>
        </is>
      </c>
      <c r="B3400" s="106" t="inlineStr">
        <is>
          <t>Custo Fixo</t>
        </is>
      </c>
      <c r="C3400" s="106" t="inlineStr">
        <is>
          <t>Licença de e-mail corporativo</t>
        </is>
      </c>
      <c r="D3400" s="107" t="n">
        <v>33</v>
      </c>
      <c r="E3400" s="108" t="n">
        <v>50</v>
      </c>
      <c r="F3400" s="109">
        <f>IFERROR(D3400*E3400,0)</f>
        <v/>
      </c>
      <c r="G3400" s="106">
        <f>INDEX(SETORES!$B:$B,MATCH(A3400,SETORES!$A:$A,0))</f>
        <v/>
      </c>
      <c r="H3400" s="106" t="inlineStr">
        <is>
          <t>Outubro/2026</t>
        </is>
      </c>
    </row>
    <row r="3401">
      <c r="A3401" s="106" t="inlineStr">
        <is>
          <t>Suporte da Central</t>
        </is>
      </c>
      <c r="B3401" s="106" t="inlineStr">
        <is>
          <t>Custo Fixo</t>
        </is>
      </c>
      <c r="C3401" s="106" t="inlineStr">
        <is>
          <t>Software MATRIX (rateio equipe Relacionamento)</t>
        </is>
      </c>
      <c r="D3401" s="107" t="n"/>
      <c r="E3401" s="108" t="n"/>
      <c r="F3401" s="109">
        <f>IFERROR(D3401*E3401,0)</f>
        <v/>
      </c>
      <c r="G3401" s="106">
        <f>INDEX(SETORES!$B:$B,MATCH(A3401,SETORES!$A:$A,0))</f>
        <v/>
      </c>
      <c r="H3401" s="106" t="inlineStr">
        <is>
          <t>Outubro/2026</t>
        </is>
      </c>
    </row>
    <row r="3402">
      <c r="A3402" s="106" t="inlineStr">
        <is>
          <t>Suporte da Central</t>
        </is>
      </c>
      <c r="B3402" s="106" t="inlineStr">
        <is>
          <t>Custo Fixo</t>
        </is>
      </c>
      <c r="C3402" s="106" t="inlineStr">
        <is>
          <t>Impressora (rateio equipe Relacionamento)</t>
        </is>
      </c>
      <c r="D3402" s="107" t="n"/>
      <c r="E3402" s="108" t="n"/>
      <c r="F3402" s="109">
        <f>IFERROR(D3402*E3402,0)</f>
        <v/>
      </c>
      <c r="G3402" s="106">
        <f>INDEX(SETORES!$B:$B,MATCH(A3402,SETORES!$A:$A,0))</f>
        <v/>
      </c>
      <c r="H3402" s="106" t="inlineStr">
        <is>
          <t>Outubro/2026</t>
        </is>
      </c>
    </row>
    <row r="3403">
      <c r="A3403" s="106" t="inlineStr">
        <is>
          <t>Suporte da Central</t>
        </is>
      </c>
      <c r="B3403" s="106" t="inlineStr">
        <is>
          <t>Custo Fixo</t>
        </is>
      </c>
      <c r="C3403" s="106" t="inlineStr">
        <is>
          <t>Gympass</t>
        </is>
      </c>
      <c r="D3403" s="107" t="n"/>
      <c r="E3403" s="108" t="n"/>
      <c r="F3403" s="109">
        <f>IFERROR(D3403*E3403,0)</f>
        <v/>
      </c>
      <c r="G3403" s="106">
        <f>INDEX(SETORES!$B:$B,MATCH(A3403,SETORES!$A:$A,0))</f>
        <v/>
      </c>
      <c r="H3403" s="106" t="inlineStr">
        <is>
          <t>Outubro/2026</t>
        </is>
      </c>
    </row>
    <row r="3404">
      <c r="A3404" s="106" t="inlineStr">
        <is>
          <t>Suporte da Central</t>
        </is>
      </c>
      <c r="B3404" s="106" t="inlineStr">
        <is>
          <t>Custo Fixo</t>
        </is>
      </c>
      <c r="C3404" s="106" t="inlineStr">
        <is>
          <t>Stargrid</t>
        </is>
      </c>
      <c r="D3404" s="107" t="n">
        <v>33</v>
      </c>
      <c r="E3404" s="108" t="n">
        <v>1.87</v>
      </c>
      <c r="F3404" s="109">
        <f>IFERROR(D3404*E3404,0)</f>
        <v/>
      </c>
      <c r="G3404" s="106">
        <f>INDEX(SETORES!$B:$B,MATCH(A3404,SETORES!$A:$A,0))</f>
        <v/>
      </c>
      <c r="H3404" s="106" t="inlineStr">
        <is>
          <t>Outubro/2026</t>
        </is>
      </c>
    </row>
    <row r="3405">
      <c r="A3405" s="106" t="inlineStr">
        <is>
          <t>Televendas</t>
        </is>
      </c>
      <c r="B3405" s="106" t="inlineStr">
        <is>
          <t>Custo Fixo</t>
        </is>
      </c>
      <c r="C3405" s="106" t="inlineStr">
        <is>
          <t>Material de escritório (suprimentos de informática)</t>
        </is>
      </c>
      <c r="D3405" s="107" t="n">
        <v>1</v>
      </c>
      <c r="E3405" s="108" t="n">
        <v>3.17</v>
      </c>
      <c r="F3405" s="109">
        <f>IFERROR(D3405*E3405,0)</f>
        <v/>
      </c>
      <c r="G3405" s="106">
        <f>INDEX(SETORES!$B:$B,MATCH(A3405,SETORES!$A:$A,0))</f>
        <v/>
      </c>
      <c r="H3405" s="106" t="inlineStr">
        <is>
          <t>Outubro/2026</t>
        </is>
      </c>
    </row>
    <row r="3406">
      <c r="A3406" s="106" t="inlineStr">
        <is>
          <t>Televendas</t>
        </is>
      </c>
      <c r="B3406" s="106" t="inlineStr">
        <is>
          <t>Custo Fixo</t>
        </is>
      </c>
      <c r="C3406" s="106" t="inlineStr">
        <is>
          <t>Material de uso coletivo (copa/limpeza)</t>
        </is>
      </c>
      <c r="D3406" s="107" t="n">
        <v>1</v>
      </c>
      <c r="E3406" s="108" t="n">
        <v>556.1</v>
      </c>
      <c r="F3406" s="109">
        <f>IFERROR(D3406*E3406,0)</f>
        <v/>
      </c>
      <c r="G3406" s="106">
        <f>INDEX(SETORES!$B:$B,MATCH(A3406,SETORES!$A:$A,0))</f>
        <v/>
      </c>
      <c r="H3406" s="106" t="inlineStr">
        <is>
          <t>Outubro/2026</t>
        </is>
      </c>
    </row>
    <row r="3407">
      <c r="A3407" s="106" t="inlineStr">
        <is>
          <t>Televendas</t>
        </is>
      </c>
      <c r="B3407" s="106" t="inlineStr">
        <is>
          <t>Custo Fixo</t>
        </is>
      </c>
      <c r="C3407" s="106" t="inlineStr">
        <is>
          <t>Energia elétrica (rateio)</t>
        </is>
      </c>
      <c r="D3407" s="107" t="n"/>
      <c r="E3407" s="108" t="n"/>
      <c r="F3407" s="109">
        <f>IFERROR(D3407*E3407,0)</f>
        <v/>
      </c>
      <c r="G3407" s="106">
        <f>INDEX(SETORES!$B:$B,MATCH(A3407,SETORES!$A:$A,0))</f>
        <v/>
      </c>
      <c r="H3407" s="106" t="inlineStr">
        <is>
          <t>Outubro/2026</t>
        </is>
      </c>
    </row>
    <row r="3408">
      <c r="A3408" s="106" t="inlineStr">
        <is>
          <t>Televendas</t>
        </is>
      </c>
      <c r="B3408" s="106" t="inlineStr">
        <is>
          <t>Custo Fixo</t>
        </is>
      </c>
      <c r="C3408" s="106" t="inlineStr">
        <is>
          <t>Água e esgoto (rateio)</t>
        </is>
      </c>
      <c r="D3408" s="107" t="n"/>
      <c r="E3408" s="108" t="n"/>
      <c r="F3408" s="109">
        <f>IFERROR(D3408*E3408,0)</f>
        <v/>
      </c>
      <c r="G3408" s="106">
        <f>INDEX(SETORES!$B:$B,MATCH(A3408,SETORES!$A:$A,0))</f>
        <v/>
      </c>
      <c r="H3408" s="106" t="inlineStr">
        <is>
          <t>Outubro/2026</t>
        </is>
      </c>
    </row>
    <row r="3409">
      <c r="A3409" s="106" t="inlineStr">
        <is>
          <t>Televendas</t>
        </is>
      </c>
      <c r="B3409" s="106" t="inlineStr">
        <is>
          <t>Custo Fixo</t>
        </is>
      </c>
      <c r="C3409" s="106" t="inlineStr">
        <is>
          <t>Telefonia móvel corporativa</t>
        </is>
      </c>
      <c r="D3409" s="107" t="n"/>
      <c r="E3409" s="108" t="n"/>
      <c r="F3409" s="109">
        <f>IFERROR(D3409*E3409,0)</f>
        <v/>
      </c>
      <c r="G3409" s="106">
        <f>INDEX(SETORES!$B:$B,MATCH(A3409,SETORES!$A:$A,0))</f>
        <v/>
      </c>
      <c r="H3409" s="106" t="inlineStr">
        <is>
          <t>Outubro/2026</t>
        </is>
      </c>
    </row>
    <row r="3410">
      <c r="A3410" s="106" t="inlineStr">
        <is>
          <t>Televendas</t>
        </is>
      </c>
      <c r="B3410" s="106" t="inlineStr">
        <is>
          <t>Custo Fixo</t>
        </is>
      </c>
      <c r="C3410" s="106" t="inlineStr">
        <is>
          <t>Folha de pagamento (salários)</t>
        </is>
      </c>
      <c r="D3410" s="107" t="n">
        <v>1</v>
      </c>
      <c r="E3410" s="108" t="n">
        <v>128483.01</v>
      </c>
      <c r="F3410" s="109">
        <f>IFERROR(D3410*E3410,0)</f>
        <v/>
      </c>
      <c r="G3410" s="106">
        <f>INDEX(SETORES!$B:$B,MATCH(A3410,SETORES!$A:$A,0))</f>
        <v/>
      </c>
      <c r="H3410" s="106" t="inlineStr">
        <is>
          <t>Outubro/2026</t>
        </is>
      </c>
    </row>
    <row r="3411">
      <c r="A3411" s="106" t="inlineStr">
        <is>
          <t>Televendas</t>
        </is>
      </c>
      <c r="B3411" s="106" t="inlineStr">
        <is>
          <t>Custo Fixo</t>
        </is>
      </c>
      <c r="C3411" s="106" t="inlineStr">
        <is>
          <t>Licença de e-mail corporativo</t>
        </is>
      </c>
      <c r="D3411" s="107" t="n">
        <v>11</v>
      </c>
      <c r="E3411" s="108" t="n">
        <v>50</v>
      </c>
      <c r="F3411" s="109">
        <f>IFERROR(D3411*E3411,0)</f>
        <v/>
      </c>
      <c r="G3411" s="106">
        <f>INDEX(SETORES!$B:$B,MATCH(A3411,SETORES!$A:$A,0))</f>
        <v/>
      </c>
      <c r="H3411" s="106" t="inlineStr">
        <is>
          <t>Outubro/2026</t>
        </is>
      </c>
    </row>
    <row r="3412">
      <c r="A3412" s="106" t="inlineStr">
        <is>
          <t>Televendas</t>
        </is>
      </c>
      <c r="B3412" s="106" t="inlineStr">
        <is>
          <t>Custo Fixo</t>
        </is>
      </c>
      <c r="C3412" s="106" t="inlineStr">
        <is>
          <t>Gympass</t>
        </is>
      </c>
      <c r="D3412" s="107" t="n"/>
      <c r="E3412" s="108" t="n"/>
      <c r="F3412" s="109">
        <f>IFERROR(D3412*E3412,0)</f>
        <v/>
      </c>
      <c r="G3412" s="106">
        <f>INDEX(SETORES!$B:$B,MATCH(A3412,SETORES!$A:$A,0))</f>
        <v/>
      </c>
      <c r="H3412" s="106" t="inlineStr">
        <is>
          <t>Outubro/2026</t>
        </is>
      </c>
    </row>
    <row r="3413">
      <c r="A3413" s="106" t="inlineStr">
        <is>
          <t>Televendas</t>
        </is>
      </c>
      <c r="B3413" s="106" t="inlineStr">
        <is>
          <t>Custo Fixo</t>
        </is>
      </c>
      <c r="C3413" s="106" t="inlineStr">
        <is>
          <t>Stargrid</t>
        </is>
      </c>
      <c r="D3413" s="107" t="n">
        <v>11</v>
      </c>
      <c r="E3413" s="108" t="n">
        <v>1.87</v>
      </c>
      <c r="F3413" s="109">
        <f>IFERROR(D3413*E3413,0)</f>
        <v/>
      </c>
      <c r="G3413" s="106">
        <f>INDEX(SETORES!$B:$B,MATCH(A3413,SETORES!$A:$A,0))</f>
        <v/>
      </c>
      <c r="H3413" s="106" t="inlineStr">
        <is>
          <t>Outubro/2026</t>
        </is>
      </c>
    </row>
    <row r="3414">
      <c r="A3414" s="106" t="inlineStr">
        <is>
          <t>Administrativo</t>
        </is>
      </c>
      <c r="B3414" s="106" t="inlineStr">
        <is>
          <t>Custo Fixo</t>
        </is>
      </c>
      <c r="C3414" s="106" t="inlineStr">
        <is>
          <t>Licença Google Workspace</t>
        </is>
      </c>
      <c r="D3414" s="107" t="n">
        <v>1</v>
      </c>
      <c r="E3414" s="108" t="n">
        <v>21454</v>
      </c>
      <c r="F3414" s="109">
        <f>IFERROR(D3414*E3414,0)</f>
        <v/>
      </c>
      <c r="G3414" s="106">
        <f>INDEX(SETORES!$B:$B,MATCH(A3414,SETORES!$A:$A,0))</f>
        <v/>
      </c>
      <c r="H3414" s="106" t="inlineStr">
        <is>
          <t>Outubro/2026</t>
        </is>
      </c>
    </row>
    <row r="3415">
      <c r="A3415" s="106" t="inlineStr">
        <is>
          <t>Gestão de Atendimento</t>
        </is>
      </c>
      <c r="B3415" s="106" t="inlineStr">
        <is>
          <t>Custo Fixo</t>
        </is>
      </c>
      <c r="C3415" s="106" t="inlineStr">
        <is>
          <t>Despesas com RH</t>
        </is>
      </c>
      <c r="D3415" s="107" t="n">
        <v>17</v>
      </c>
      <c r="E3415" s="108" t="n">
        <v>32.55</v>
      </c>
      <c r="F3415" s="109">
        <f>IFERROR(D3415*E3415,0)</f>
        <v/>
      </c>
      <c r="G3415" s="106">
        <f>INDEX(SETORES!$B:$B,MATCH(A3415,SETORES!$A:$A,0))</f>
        <v/>
      </c>
      <c r="H3415" s="106" t="inlineStr">
        <is>
          <t>Outubro/2026</t>
        </is>
      </c>
    </row>
    <row r="3416">
      <c r="A3416" s="106" t="inlineStr">
        <is>
          <t>Gestão de Atendimento</t>
        </is>
      </c>
      <c r="B3416" s="106" t="inlineStr">
        <is>
          <t>Custo Fixo</t>
        </is>
      </c>
      <c r="C3416" s="106" t="inlineStr">
        <is>
          <t>Despesas com DP</t>
        </is>
      </c>
      <c r="D3416" s="107" t="n">
        <v>17</v>
      </c>
      <c r="E3416" s="108" t="n">
        <v>52.09</v>
      </c>
      <c r="F3416" s="109">
        <f>IFERROR(D3416*E3416,0)</f>
        <v/>
      </c>
      <c r="G3416" s="106">
        <f>INDEX(SETORES!$B:$B,MATCH(A3416,SETORES!$A:$A,0))</f>
        <v/>
      </c>
      <c r="H3416" s="106" t="inlineStr">
        <is>
          <t>Outubro/2026</t>
        </is>
      </c>
    </row>
    <row r="3417">
      <c r="A3417" s="106" t="inlineStr">
        <is>
          <t>Gestão de Atendimento</t>
        </is>
      </c>
      <c r="B3417" s="106" t="inlineStr">
        <is>
          <t>Custo Fixo</t>
        </is>
      </c>
      <c r="C3417" s="106" t="inlineStr">
        <is>
          <t>Despesas com SST</t>
        </is>
      </c>
      <c r="D3417" s="107" t="n">
        <v>17</v>
      </c>
      <c r="E3417" s="108" t="n">
        <v>52.35</v>
      </c>
      <c r="F3417" s="109">
        <f>IFERROR(D3417*E3417,0)</f>
        <v/>
      </c>
      <c r="G3417" s="106">
        <f>INDEX(SETORES!$B:$B,MATCH(A3417,SETORES!$A:$A,0))</f>
        <v/>
      </c>
      <c r="H3417" s="106" t="inlineStr">
        <is>
          <t>Outubro/2026</t>
        </is>
      </c>
    </row>
    <row r="3418">
      <c r="A3418" s="106" t="inlineStr">
        <is>
          <t>CAC</t>
        </is>
      </c>
      <c r="B3418" s="106" t="inlineStr">
        <is>
          <t>Custo Fixo</t>
        </is>
      </c>
      <c r="C3418" s="106" t="inlineStr">
        <is>
          <t>Despesas com RH</t>
        </is>
      </c>
      <c r="D3418" s="107" t="n">
        <v>5</v>
      </c>
      <c r="E3418" s="108" t="n">
        <v>32.55</v>
      </c>
      <c r="F3418" s="109">
        <f>IFERROR(D3418*E3418,0)</f>
        <v/>
      </c>
      <c r="G3418" s="106">
        <f>INDEX(SETORES!$B:$B,MATCH(A3418,SETORES!$A:$A,0))</f>
        <v/>
      </c>
      <c r="H3418" s="106" t="inlineStr">
        <is>
          <t>Outubro/2026</t>
        </is>
      </c>
    </row>
    <row r="3419">
      <c r="A3419" s="106" t="inlineStr">
        <is>
          <t>CAC</t>
        </is>
      </c>
      <c r="B3419" s="106" t="inlineStr">
        <is>
          <t>Custo Fixo</t>
        </is>
      </c>
      <c r="C3419" s="106" t="inlineStr">
        <is>
          <t>Despesas com DP</t>
        </is>
      </c>
      <c r="D3419" s="107" t="n">
        <v>5</v>
      </c>
      <c r="E3419" s="108" t="n">
        <v>52.09</v>
      </c>
      <c r="F3419" s="109">
        <f>IFERROR(D3419*E3419,0)</f>
        <v/>
      </c>
      <c r="G3419" s="106">
        <f>INDEX(SETORES!$B:$B,MATCH(A3419,SETORES!$A:$A,0))</f>
        <v/>
      </c>
      <c r="H3419" s="106" t="inlineStr">
        <is>
          <t>Outubro/2026</t>
        </is>
      </c>
    </row>
    <row r="3420">
      <c r="A3420" s="106" t="inlineStr">
        <is>
          <t>CAC</t>
        </is>
      </c>
      <c r="B3420" s="106" t="inlineStr">
        <is>
          <t>Custo Fixo</t>
        </is>
      </c>
      <c r="C3420" s="106" t="inlineStr">
        <is>
          <t>Despesas com SST</t>
        </is>
      </c>
      <c r="D3420" s="107" t="n">
        <v>5</v>
      </c>
      <c r="E3420" s="108" t="n">
        <v>52.35</v>
      </c>
      <c r="F3420" s="109">
        <f>IFERROR(D3420*E3420,0)</f>
        <v/>
      </c>
      <c r="G3420" s="106">
        <f>INDEX(SETORES!$B:$B,MATCH(A3420,SETORES!$A:$A,0))</f>
        <v/>
      </c>
      <c r="H3420" s="106" t="inlineStr">
        <is>
          <t>Outubro/2026</t>
        </is>
      </c>
    </row>
    <row r="3421">
      <c r="A3421" s="106" t="inlineStr">
        <is>
          <t>Cobrança</t>
        </is>
      </c>
      <c r="B3421" s="106" t="inlineStr">
        <is>
          <t>Custo Fixo</t>
        </is>
      </c>
      <c r="C3421" s="106" t="inlineStr">
        <is>
          <t>Despesas com RH</t>
        </is>
      </c>
      <c r="D3421" s="107" t="n">
        <v>13</v>
      </c>
      <c r="E3421" s="108" t="n">
        <v>32.55</v>
      </c>
      <c r="F3421" s="109">
        <f>IFERROR(D3421*E3421,0)</f>
        <v/>
      </c>
      <c r="G3421" s="106">
        <f>INDEX(SETORES!$B:$B,MATCH(A3421,SETORES!$A:$A,0))</f>
        <v/>
      </c>
      <c r="H3421" s="106" t="inlineStr">
        <is>
          <t>Outubro/2026</t>
        </is>
      </c>
    </row>
    <row r="3422">
      <c r="A3422" s="106" t="inlineStr">
        <is>
          <t>Cobrança</t>
        </is>
      </c>
      <c r="B3422" s="106" t="inlineStr">
        <is>
          <t>Custo Fixo</t>
        </is>
      </c>
      <c r="C3422" s="106" t="inlineStr">
        <is>
          <t>Despesas com DP</t>
        </is>
      </c>
      <c r="D3422" s="107" t="n">
        <v>13</v>
      </c>
      <c r="E3422" s="108" t="n">
        <v>52.09</v>
      </c>
      <c r="F3422" s="109">
        <f>IFERROR(D3422*E3422,0)</f>
        <v/>
      </c>
      <c r="G3422" s="106">
        <f>INDEX(SETORES!$B:$B,MATCH(A3422,SETORES!$A:$A,0))</f>
        <v/>
      </c>
      <c r="H3422" s="106" t="inlineStr">
        <is>
          <t>Outubro/2026</t>
        </is>
      </c>
    </row>
    <row r="3423">
      <c r="A3423" s="106" t="inlineStr">
        <is>
          <t>Cobrança</t>
        </is>
      </c>
      <c r="B3423" s="106" t="inlineStr">
        <is>
          <t>Custo Fixo</t>
        </is>
      </c>
      <c r="C3423" s="106" t="inlineStr">
        <is>
          <t>Despesas com SST</t>
        </is>
      </c>
      <c r="D3423" s="107" t="n">
        <v>13</v>
      </c>
      <c r="E3423" s="108" t="n">
        <v>52.35</v>
      </c>
      <c r="F3423" s="109">
        <f>IFERROR(D3423*E3423,0)</f>
        <v/>
      </c>
      <c r="G3423" s="106">
        <f>INDEX(SETORES!$B:$B,MATCH(A3423,SETORES!$A:$A,0))</f>
        <v/>
      </c>
      <c r="H3423" s="106" t="inlineStr">
        <is>
          <t>Outubro/2026</t>
        </is>
      </c>
    </row>
    <row r="3424">
      <c r="A3424" s="106" t="inlineStr">
        <is>
          <t>Compras</t>
        </is>
      </c>
      <c r="B3424" s="106" t="inlineStr">
        <is>
          <t>Custo Fixo</t>
        </is>
      </c>
      <c r="C3424" s="106" t="inlineStr">
        <is>
          <t>Despesas com RH</t>
        </is>
      </c>
      <c r="D3424" s="107" t="n">
        <v>5</v>
      </c>
      <c r="E3424" s="108" t="n">
        <v>32.55</v>
      </c>
      <c r="F3424" s="109">
        <f>IFERROR(D3424*E3424,0)</f>
        <v/>
      </c>
      <c r="G3424" s="106">
        <f>INDEX(SETORES!$B:$B,MATCH(A3424,SETORES!$A:$A,0))</f>
        <v/>
      </c>
      <c r="H3424" s="106" t="inlineStr">
        <is>
          <t>Outubro/2026</t>
        </is>
      </c>
    </row>
    <row r="3425">
      <c r="A3425" s="106" t="inlineStr">
        <is>
          <t>Compras</t>
        </is>
      </c>
      <c r="B3425" s="106" t="inlineStr">
        <is>
          <t>Custo Fixo</t>
        </is>
      </c>
      <c r="C3425" s="106" t="inlineStr">
        <is>
          <t>Despesas com DP</t>
        </is>
      </c>
      <c r="D3425" s="107" t="n">
        <v>5</v>
      </c>
      <c r="E3425" s="108" t="n">
        <v>52.09</v>
      </c>
      <c r="F3425" s="109">
        <f>IFERROR(D3425*E3425,0)</f>
        <v/>
      </c>
      <c r="G3425" s="106">
        <f>INDEX(SETORES!$B:$B,MATCH(A3425,SETORES!$A:$A,0))</f>
        <v/>
      </c>
      <c r="H3425" s="106" t="inlineStr">
        <is>
          <t>Outubro/2026</t>
        </is>
      </c>
    </row>
    <row r="3426">
      <c r="A3426" s="106" t="inlineStr">
        <is>
          <t>Compras</t>
        </is>
      </c>
      <c r="B3426" s="106" t="inlineStr">
        <is>
          <t>Custo Fixo</t>
        </is>
      </c>
      <c r="C3426" s="106" t="inlineStr">
        <is>
          <t>Despesas com SST</t>
        </is>
      </c>
      <c r="D3426" s="107" t="n">
        <v>5</v>
      </c>
      <c r="E3426" s="108" t="n">
        <v>52.35</v>
      </c>
      <c r="F3426" s="109">
        <f>IFERROR(D3426*E3426,0)</f>
        <v/>
      </c>
      <c r="G3426" s="106">
        <f>INDEX(SETORES!$B:$B,MATCH(A3426,SETORES!$A:$A,0))</f>
        <v/>
      </c>
      <c r="H3426" s="106" t="inlineStr">
        <is>
          <t>Outubro/2026</t>
        </is>
      </c>
    </row>
    <row r="3427">
      <c r="A3427" s="106" t="inlineStr">
        <is>
          <t>Contabilidade</t>
        </is>
      </c>
      <c r="B3427" s="106" t="inlineStr">
        <is>
          <t>Custo Fixo</t>
        </is>
      </c>
      <c r="C3427" s="106" t="inlineStr">
        <is>
          <t>Despesas com RH</t>
        </is>
      </c>
      <c r="D3427" s="107" t="n">
        <v>6</v>
      </c>
      <c r="E3427" s="108" t="n">
        <v>32.55</v>
      </c>
      <c r="F3427" s="109">
        <f>IFERROR(D3427*E3427,0)</f>
        <v/>
      </c>
      <c r="G3427" s="106">
        <f>INDEX(SETORES!$B:$B,MATCH(A3427,SETORES!$A:$A,0))</f>
        <v/>
      </c>
      <c r="H3427" s="106" t="inlineStr">
        <is>
          <t>Outubro/2026</t>
        </is>
      </c>
    </row>
    <row r="3428">
      <c r="A3428" s="106" t="inlineStr">
        <is>
          <t>Contabilidade</t>
        </is>
      </c>
      <c r="B3428" s="106" t="inlineStr">
        <is>
          <t>Custo Fixo</t>
        </is>
      </c>
      <c r="C3428" s="106" t="inlineStr">
        <is>
          <t>Despesas com DP</t>
        </is>
      </c>
      <c r="D3428" s="107" t="n">
        <v>6</v>
      </c>
      <c r="E3428" s="108" t="n">
        <v>52.09</v>
      </c>
      <c r="F3428" s="109">
        <f>IFERROR(D3428*E3428,0)</f>
        <v/>
      </c>
      <c r="G3428" s="106">
        <f>INDEX(SETORES!$B:$B,MATCH(A3428,SETORES!$A:$A,0))</f>
        <v/>
      </c>
      <c r="H3428" s="106" t="inlineStr">
        <is>
          <t>Outubro/2026</t>
        </is>
      </c>
    </row>
    <row r="3429">
      <c r="A3429" s="106" t="inlineStr">
        <is>
          <t>Contabilidade</t>
        </is>
      </c>
      <c r="B3429" s="106" t="inlineStr">
        <is>
          <t>Custo Fixo</t>
        </is>
      </c>
      <c r="C3429" s="106" t="inlineStr">
        <is>
          <t>Despesas com SST</t>
        </is>
      </c>
      <c r="D3429" s="107" t="n">
        <v>6</v>
      </c>
      <c r="E3429" s="108" t="n">
        <v>52.35</v>
      </c>
      <c r="F3429" s="109">
        <f>IFERROR(D3429*E3429,0)</f>
        <v/>
      </c>
      <c r="G3429" s="106">
        <f>INDEX(SETORES!$B:$B,MATCH(A3429,SETORES!$A:$A,0))</f>
        <v/>
      </c>
      <c r="H3429" s="106" t="inlineStr">
        <is>
          <t>Outubro/2026</t>
        </is>
      </c>
    </row>
    <row r="3430">
      <c r="A3430" s="106" t="inlineStr">
        <is>
          <t>Controladoria</t>
        </is>
      </c>
      <c r="B3430" s="106" t="inlineStr">
        <is>
          <t>Custo Fixo</t>
        </is>
      </c>
      <c r="C3430" s="106" t="inlineStr">
        <is>
          <t>Despesas com RH</t>
        </is>
      </c>
      <c r="D3430" s="107" t="n">
        <v>1</v>
      </c>
      <c r="E3430" s="108" t="n">
        <v>32.55</v>
      </c>
      <c r="F3430" s="109">
        <f>IFERROR(D3430*E3430,0)</f>
        <v/>
      </c>
      <c r="G3430" s="106">
        <f>INDEX(SETORES!$B:$B,MATCH(A3430,SETORES!$A:$A,0))</f>
        <v/>
      </c>
      <c r="H3430" s="106" t="inlineStr">
        <is>
          <t>Outubro/2026</t>
        </is>
      </c>
    </row>
    <row r="3431">
      <c r="A3431" s="106" t="inlineStr">
        <is>
          <t>Controladoria</t>
        </is>
      </c>
      <c r="B3431" s="106" t="inlineStr">
        <is>
          <t>Custo Fixo</t>
        </is>
      </c>
      <c r="C3431" s="106" t="inlineStr">
        <is>
          <t>Despesas com DP</t>
        </is>
      </c>
      <c r="D3431" s="107" t="n">
        <v>1</v>
      </c>
      <c r="E3431" s="108" t="n">
        <v>52.09</v>
      </c>
      <c r="F3431" s="109">
        <f>IFERROR(D3431*E3431,0)</f>
        <v/>
      </c>
      <c r="G3431" s="106">
        <f>INDEX(SETORES!$B:$B,MATCH(A3431,SETORES!$A:$A,0))</f>
        <v/>
      </c>
      <c r="H3431" s="106" t="inlineStr">
        <is>
          <t>Outubro/2026</t>
        </is>
      </c>
    </row>
    <row r="3432">
      <c r="A3432" s="106" t="inlineStr">
        <is>
          <t>Controladoria</t>
        </is>
      </c>
      <c r="B3432" s="106" t="inlineStr">
        <is>
          <t>Custo Fixo</t>
        </is>
      </c>
      <c r="C3432" s="106" t="inlineStr">
        <is>
          <t>Despesas com SST</t>
        </is>
      </c>
      <c r="D3432" s="107" t="n">
        <v>1</v>
      </c>
      <c r="E3432" s="108" t="n">
        <v>52.35</v>
      </c>
      <c r="F3432" s="109">
        <f>IFERROR(D3432*E3432,0)</f>
        <v/>
      </c>
      <c r="G3432" s="106">
        <f>INDEX(SETORES!$B:$B,MATCH(A3432,SETORES!$A:$A,0))</f>
        <v/>
      </c>
      <c r="H3432" s="106" t="inlineStr">
        <is>
          <t>Outubro/2026</t>
        </is>
      </c>
    </row>
    <row r="3433">
      <c r="A3433" s="106" t="inlineStr">
        <is>
          <t>DP</t>
        </is>
      </c>
      <c r="B3433" s="106" t="inlineStr">
        <is>
          <t>Custo Fixo</t>
        </is>
      </c>
      <c r="C3433" s="106" t="inlineStr">
        <is>
          <t>Despesas com RH</t>
        </is>
      </c>
      <c r="D3433" s="107" t="n">
        <v>9</v>
      </c>
      <c r="E3433" s="108" t="n">
        <v>32.55</v>
      </c>
      <c r="F3433" s="109">
        <f>IFERROR(D3433*E3433,0)</f>
        <v/>
      </c>
      <c r="G3433" s="106">
        <f>INDEX(SETORES!$B:$B,MATCH(A3433,SETORES!$A:$A,0))</f>
        <v/>
      </c>
      <c r="H3433" s="106" t="inlineStr">
        <is>
          <t>Outubro/2026</t>
        </is>
      </c>
    </row>
    <row r="3434">
      <c r="A3434" s="106" t="inlineStr">
        <is>
          <t>DP</t>
        </is>
      </c>
      <c r="B3434" s="106" t="inlineStr">
        <is>
          <t>Custo Fixo</t>
        </is>
      </c>
      <c r="C3434" s="106" t="inlineStr">
        <is>
          <t>Despesas com DP</t>
        </is>
      </c>
      <c r="D3434" s="107" t="n">
        <v>9</v>
      </c>
      <c r="E3434" s="108" t="n">
        <v>52.09</v>
      </c>
      <c r="F3434" s="109">
        <f>IFERROR(D3434*E3434,0)</f>
        <v/>
      </c>
      <c r="G3434" s="106">
        <f>INDEX(SETORES!$B:$B,MATCH(A3434,SETORES!$A:$A,0))</f>
        <v/>
      </c>
      <c r="H3434" s="106" t="inlineStr">
        <is>
          <t>Outubro/2026</t>
        </is>
      </c>
    </row>
    <row r="3435">
      <c r="A3435" s="106" t="inlineStr">
        <is>
          <t>DP</t>
        </is>
      </c>
      <c r="B3435" s="106" t="inlineStr">
        <is>
          <t>Custo Fixo</t>
        </is>
      </c>
      <c r="C3435" s="106" t="inlineStr">
        <is>
          <t>Despesas com SST</t>
        </is>
      </c>
      <c r="D3435" s="107" t="n">
        <v>9</v>
      </c>
      <c r="E3435" s="108" t="n">
        <v>52.35</v>
      </c>
      <c r="F3435" s="109">
        <f>IFERROR(D3435*E3435,0)</f>
        <v/>
      </c>
      <c r="G3435" s="106">
        <f>INDEX(SETORES!$B:$B,MATCH(A3435,SETORES!$A:$A,0))</f>
        <v/>
      </c>
      <c r="H3435" s="106" t="inlineStr">
        <is>
          <t>Outubro/2026</t>
        </is>
      </c>
    </row>
    <row r="3436">
      <c r="A3436" s="106" t="inlineStr">
        <is>
          <t>Diretoria Operacional</t>
        </is>
      </c>
      <c r="B3436" s="106" t="inlineStr">
        <is>
          <t>Custo Fixo</t>
        </is>
      </c>
      <c r="C3436" s="106" t="inlineStr">
        <is>
          <t>Despesas com RH</t>
        </is>
      </c>
      <c r="D3436" s="107" t="n">
        <v>2</v>
      </c>
      <c r="E3436" s="108" t="n">
        <v>32.55</v>
      </c>
      <c r="F3436" s="109">
        <f>IFERROR(D3436*E3436,0)</f>
        <v/>
      </c>
      <c r="G3436" s="106">
        <f>INDEX(SETORES!$B:$B,MATCH(A3436,SETORES!$A:$A,0))</f>
        <v/>
      </c>
      <c r="H3436" s="106" t="inlineStr">
        <is>
          <t>Outubro/2026</t>
        </is>
      </c>
    </row>
    <row r="3437">
      <c r="A3437" s="106" t="inlineStr">
        <is>
          <t>Diretoria Operacional</t>
        </is>
      </c>
      <c r="B3437" s="106" t="inlineStr">
        <is>
          <t>Custo Fixo</t>
        </is>
      </c>
      <c r="C3437" s="106" t="inlineStr">
        <is>
          <t>Despesas com DP</t>
        </is>
      </c>
      <c r="D3437" s="107" t="n">
        <v>2</v>
      </c>
      <c r="E3437" s="108" t="n">
        <v>52.09</v>
      </c>
      <c r="F3437" s="109">
        <f>IFERROR(D3437*E3437,0)</f>
        <v/>
      </c>
      <c r="G3437" s="106">
        <f>INDEX(SETORES!$B:$B,MATCH(A3437,SETORES!$A:$A,0))</f>
        <v/>
      </c>
      <c r="H3437" s="106" t="inlineStr">
        <is>
          <t>Outubro/2026</t>
        </is>
      </c>
    </row>
    <row r="3438">
      <c r="A3438" s="106" t="inlineStr">
        <is>
          <t>Diretoria Operacional</t>
        </is>
      </c>
      <c r="B3438" s="106" t="inlineStr">
        <is>
          <t>Custo Fixo</t>
        </is>
      </c>
      <c r="C3438" s="106" t="inlineStr">
        <is>
          <t>Despesas com SST</t>
        </is>
      </c>
      <c r="D3438" s="107" t="n">
        <v>2</v>
      </c>
      <c r="E3438" s="108" t="n">
        <v>52.35</v>
      </c>
      <c r="F3438" s="109">
        <f>IFERROR(D3438*E3438,0)</f>
        <v/>
      </c>
      <c r="G3438" s="106">
        <f>INDEX(SETORES!$B:$B,MATCH(A3438,SETORES!$A:$A,0))</f>
        <v/>
      </c>
      <c r="H3438" s="106" t="inlineStr">
        <is>
          <t>Outubro/2026</t>
        </is>
      </c>
    </row>
    <row r="3439">
      <c r="A3439" s="106" t="inlineStr">
        <is>
          <t>Engenharia</t>
        </is>
      </c>
      <c r="B3439" s="106" t="inlineStr">
        <is>
          <t>Custo Fixo</t>
        </is>
      </c>
      <c r="C3439" s="106" t="inlineStr">
        <is>
          <t>Despesas com RH</t>
        </is>
      </c>
      <c r="D3439" s="107" t="n">
        <v>9</v>
      </c>
      <c r="E3439" s="108" t="n">
        <v>32.55</v>
      </c>
      <c r="F3439" s="109">
        <f>IFERROR(D3439*E3439,0)</f>
        <v/>
      </c>
      <c r="G3439" s="106">
        <f>INDEX(SETORES!$B:$B,MATCH(A3439,SETORES!$A:$A,0))</f>
        <v/>
      </c>
      <c r="H3439" s="106" t="inlineStr">
        <is>
          <t>Outubro/2026</t>
        </is>
      </c>
    </row>
    <row r="3440">
      <c r="A3440" s="106" t="inlineStr">
        <is>
          <t>Engenharia</t>
        </is>
      </c>
      <c r="B3440" s="106" t="inlineStr">
        <is>
          <t>Custo Fixo</t>
        </is>
      </c>
      <c r="C3440" s="106" t="inlineStr">
        <is>
          <t>Despesas com DP</t>
        </is>
      </c>
      <c r="D3440" s="107" t="n">
        <v>9</v>
      </c>
      <c r="E3440" s="108" t="n">
        <v>52.09</v>
      </c>
      <c r="F3440" s="109">
        <f>IFERROR(D3440*E3440,0)</f>
        <v/>
      </c>
      <c r="G3440" s="106">
        <f>INDEX(SETORES!$B:$B,MATCH(A3440,SETORES!$A:$A,0))</f>
        <v/>
      </c>
      <c r="H3440" s="106" t="inlineStr">
        <is>
          <t>Outubro/2026</t>
        </is>
      </c>
    </row>
    <row r="3441">
      <c r="A3441" s="106" t="inlineStr">
        <is>
          <t>Engenharia</t>
        </is>
      </c>
      <c r="B3441" s="106" t="inlineStr">
        <is>
          <t>Custo Fixo</t>
        </is>
      </c>
      <c r="C3441" s="106" t="inlineStr">
        <is>
          <t>Despesas com SST</t>
        </is>
      </c>
      <c r="D3441" s="107" t="n">
        <v>9</v>
      </c>
      <c r="E3441" s="108" t="n">
        <v>52.35</v>
      </c>
      <c r="F3441" s="109">
        <f>IFERROR(D3441*E3441,0)</f>
        <v/>
      </c>
      <c r="G3441" s="106">
        <f>INDEX(SETORES!$B:$B,MATCH(A3441,SETORES!$A:$A,0))</f>
        <v/>
      </c>
      <c r="H3441" s="106" t="inlineStr">
        <is>
          <t>Outubro/2026</t>
        </is>
      </c>
    </row>
    <row r="3442">
      <c r="A3442" s="106" t="inlineStr">
        <is>
          <t>Estoque</t>
        </is>
      </c>
      <c r="B3442" s="106" t="inlineStr">
        <is>
          <t>Custo Fixo</t>
        </is>
      </c>
      <c r="C3442" s="106" t="inlineStr">
        <is>
          <t>Despesas com RH</t>
        </is>
      </c>
      <c r="D3442" s="107" t="n">
        <v>16</v>
      </c>
      <c r="E3442" s="108" t="n">
        <v>32.55</v>
      </c>
      <c r="F3442" s="109">
        <f>IFERROR(D3442*E3442,0)</f>
        <v/>
      </c>
      <c r="G3442" s="106">
        <f>INDEX(SETORES!$B:$B,MATCH(A3442,SETORES!$A:$A,0))</f>
        <v/>
      </c>
      <c r="H3442" s="106" t="inlineStr">
        <is>
          <t>Outubro/2026</t>
        </is>
      </c>
    </row>
    <row r="3443">
      <c r="A3443" s="106" t="inlineStr">
        <is>
          <t>Estoque</t>
        </is>
      </c>
      <c r="B3443" s="106" t="inlineStr">
        <is>
          <t>Custo Fixo</t>
        </is>
      </c>
      <c r="C3443" s="106" t="inlineStr">
        <is>
          <t>Despesas com DP</t>
        </is>
      </c>
      <c r="D3443" s="107" t="n">
        <v>16</v>
      </c>
      <c r="E3443" s="108" t="n">
        <v>52.09</v>
      </c>
      <c r="F3443" s="109">
        <f>IFERROR(D3443*E3443,0)</f>
        <v/>
      </c>
      <c r="G3443" s="106">
        <f>INDEX(SETORES!$B:$B,MATCH(A3443,SETORES!$A:$A,0))</f>
        <v/>
      </c>
      <c r="H3443" s="106" t="inlineStr">
        <is>
          <t>Outubro/2026</t>
        </is>
      </c>
    </row>
    <row r="3444">
      <c r="A3444" s="106" t="inlineStr">
        <is>
          <t>Estoque</t>
        </is>
      </c>
      <c r="B3444" s="106" t="inlineStr">
        <is>
          <t>Custo Fixo</t>
        </is>
      </c>
      <c r="C3444" s="106" t="inlineStr">
        <is>
          <t>Despesas com SST</t>
        </is>
      </c>
      <c r="D3444" s="107" t="n">
        <v>16</v>
      </c>
      <c r="E3444" s="108" t="n">
        <v>52.35</v>
      </c>
      <c r="F3444" s="109">
        <f>IFERROR(D3444*E3444,0)</f>
        <v/>
      </c>
      <c r="G3444" s="106">
        <f>INDEX(SETORES!$B:$B,MATCH(A3444,SETORES!$A:$A,0))</f>
        <v/>
      </c>
      <c r="H3444" s="106" t="inlineStr">
        <is>
          <t>Outubro/2026</t>
        </is>
      </c>
    </row>
    <row r="3445">
      <c r="A3445" s="106" t="inlineStr">
        <is>
          <t>Financeiro</t>
        </is>
      </c>
      <c r="B3445" s="106" t="inlineStr">
        <is>
          <t>Custo Fixo</t>
        </is>
      </c>
      <c r="C3445" s="106" t="inlineStr">
        <is>
          <t>Despesas com RH</t>
        </is>
      </c>
      <c r="D3445" s="107" t="n">
        <v>8</v>
      </c>
      <c r="E3445" s="108" t="n">
        <v>32.55</v>
      </c>
      <c r="F3445" s="109">
        <f>IFERROR(D3445*E3445,0)</f>
        <v/>
      </c>
      <c r="G3445" s="106">
        <f>INDEX(SETORES!$B:$B,MATCH(A3445,SETORES!$A:$A,0))</f>
        <v/>
      </c>
      <c r="H3445" s="106" t="inlineStr">
        <is>
          <t>Outubro/2026</t>
        </is>
      </c>
    </row>
    <row r="3446">
      <c r="A3446" s="106" t="inlineStr">
        <is>
          <t>Financeiro</t>
        </is>
      </c>
      <c r="B3446" s="106" t="inlineStr">
        <is>
          <t>Custo Fixo</t>
        </is>
      </c>
      <c r="C3446" s="106" t="inlineStr">
        <is>
          <t>Despesas com DP</t>
        </is>
      </c>
      <c r="D3446" s="107" t="n">
        <v>8</v>
      </c>
      <c r="E3446" s="108" t="n">
        <v>52.09</v>
      </c>
      <c r="F3446" s="109">
        <f>IFERROR(D3446*E3446,0)</f>
        <v/>
      </c>
      <c r="G3446" s="106">
        <f>INDEX(SETORES!$B:$B,MATCH(A3446,SETORES!$A:$A,0))</f>
        <v/>
      </c>
      <c r="H3446" s="106" t="inlineStr">
        <is>
          <t>Outubro/2026</t>
        </is>
      </c>
    </row>
    <row r="3447">
      <c r="A3447" s="106" t="inlineStr">
        <is>
          <t>Financeiro</t>
        </is>
      </c>
      <c r="B3447" s="106" t="inlineStr">
        <is>
          <t>Custo Fixo</t>
        </is>
      </c>
      <c r="C3447" s="106" t="inlineStr">
        <is>
          <t>Despesas com SST</t>
        </is>
      </c>
      <c r="D3447" s="107" t="n">
        <v>8</v>
      </c>
      <c r="E3447" s="108" t="n">
        <v>52.35</v>
      </c>
      <c r="F3447" s="109">
        <f>IFERROR(D3447*E3447,0)</f>
        <v/>
      </c>
      <c r="G3447" s="106">
        <f>INDEX(SETORES!$B:$B,MATCH(A3447,SETORES!$A:$A,0))</f>
        <v/>
      </c>
      <c r="H3447" s="106" t="inlineStr">
        <is>
          <t>Outubro/2026</t>
        </is>
      </c>
    </row>
    <row r="3448">
      <c r="A3448" s="106" t="inlineStr">
        <is>
          <t>Logística</t>
        </is>
      </c>
      <c r="B3448" s="106" t="inlineStr">
        <is>
          <t>Custo Fixo</t>
        </is>
      </c>
      <c r="C3448" s="106" t="inlineStr">
        <is>
          <t>Despesas com RH</t>
        </is>
      </c>
      <c r="D3448" s="107" t="n">
        <v>16</v>
      </c>
      <c r="E3448" s="108" t="n">
        <v>32.55</v>
      </c>
      <c r="F3448" s="109">
        <f>IFERROR(D3448*E3448,0)</f>
        <v/>
      </c>
      <c r="G3448" s="106">
        <f>INDEX(SETORES!$B:$B,MATCH(A3448,SETORES!$A:$A,0))</f>
        <v/>
      </c>
      <c r="H3448" s="106" t="inlineStr">
        <is>
          <t>Outubro/2026</t>
        </is>
      </c>
    </row>
    <row r="3449">
      <c r="A3449" s="106" t="inlineStr">
        <is>
          <t>Logística</t>
        </is>
      </c>
      <c r="B3449" s="106" t="inlineStr">
        <is>
          <t>Custo Fixo</t>
        </is>
      </c>
      <c r="C3449" s="106" t="inlineStr">
        <is>
          <t>Despesas com DP</t>
        </is>
      </c>
      <c r="D3449" s="107" t="n">
        <v>16</v>
      </c>
      <c r="E3449" s="108" t="n">
        <v>52.09</v>
      </c>
      <c r="F3449" s="109">
        <f>IFERROR(D3449*E3449,0)</f>
        <v/>
      </c>
      <c r="G3449" s="106">
        <f>INDEX(SETORES!$B:$B,MATCH(A3449,SETORES!$A:$A,0))</f>
        <v/>
      </c>
      <c r="H3449" s="106" t="inlineStr">
        <is>
          <t>Outubro/2026</t>
        </is>
      </c>
    </row>
    <row r="3450">
      <c r="A3450" s="106" t="inlineStr">
        <is>
          <t>Logística</t>
        </is>
      </c>
      <c r="B3450" s="106" t="inlineStr">
        <is>
          <t>Custo Fixo</t>
        </is>
      </c>
      <c r="C3450" s="106" t="inlineStr">
        <is>
          <t>Despesas com SST</t>
        </is>
      </c>
      <c r="D3450" s="107" t="n">
        <v>16</v>
      </c>
      <c r="E3450" s="108" t="n">
        <v>52.35</v>
      </c>
      <c r="F3450" s="109">
        <f>IFERROR(D3450*E3450,0)</f>
        <v/>
      </c>
      <c r="G3450" s="106">
        <f>INDEX(SETORES!$B:$B,MATCH(A3450,SETORES!$A:$A,0))</f>
        <v/>
      </c>
      <c r="H3450" s="106" t="inlineStr">
        <is>
          <t>Outubro/2026</t>
        </is>
      </c>
    </row>
    <row r="3451">
      <c r="A3451" s="106" t="inlineStr">
        <is>
          <t>Manutenção Predial</t>
        </is>
      </c>
      <c r="B3451" s="106" t="inlineStr">
        <is>
          <t>Custo Fixo</t>
        </is>
      </c>
      <c r="C3451" s="106" t="inlineStr">
        <is>
          <t>Despesas com RH</t>
        </is>
      </c>
      <c r="D3451" s="107" t="n">
        <v>15</v>
      </c>
      <c r="E3451" s="108" t="n">
        <v>32.55</v>
      </c>
      <c r="F3451" s="109">
        <f>IFERROR(D3451*E3451,0)</f>
        <v/>
      </c>
      <c r="G3451" s="106">
        <f>INDEX(SETORES!$B:$B,MATCH(A3451,SETORES!$A:$A,0))</f>
        <v/>
      </c>
      <c r="H3451" s="106" t="inlineStr">
        <is>
          <t>Outubro/2026</t>
        </is>
      </c>
    </row>
    <row r="3452">
      <c r="A3452" s="106" t="inlineStr">
        <is>
          <t>Manutenção Predial</t>
        </is>
      </c>
      <c r="B3452" s="106" t="inlineStr">
        <is>
          <t>Custo Fixo</t>
        </is>
      </c>
      <c r="C3452" s="106" t="inlineStr">
        <is>
          <t>Despesas com DP</t>
        </is>
      </c>
      <c r="D3452" s="107" t="n">
        <v>15</v>
      </c>
      <c r="E3452" s="108" t="n">
        <v>52.09</v>
      </c>
      <c r="F3452" s="109">
        <f>IFERROR(D3452*E3452,0)</f>
        <v/>
      </c>
      <c r="G3452" s="106">
        <f>INDEX(SETORES!$B:$B,MATCH(A3452,SETORES!$A:$A,0))</f>
        <v/>
      </c>
      <c r="H3452" s="106" t="inlineStr">
        <is>
          <t>Outubro/2026</t>
        </is>
      </c>
    </row>
    <row r="3453">
      <c r="A3453" s="106" t="inlineStr">
        <is>
          <t>Manutenção Predial</t>
        </is>
      </c>
      <c r="B3453" s="106" t="inlineStr">
        <is>
          <t>Custo Fixo</t>
        </is>
      </c>
      <c r="C3453" s="106" t="inlineStr">
        <is>
          <t>Despesas com SST</t>
        </is>
      </c>
      <c r="D3453" s="107" t="n">
        <v>15</v>
      </c>
      <c r="E3453" s="108" t="n">
        <v>52.35</v>
      </c>
      <c r="F3453" s="109">
        <f>IFERROR(D3453*E3453,0)</f>
        <v/>
      </c>
      <c r="G3453" s="106">
        <f>INDEX(SETORES!$B:$B,MATCH(A3453,SETORES!$A:$A,0))</f>
        <v/>
      </c>
      <c r="H3453" s="106" t="inlineStr">
        <is>
          <t>Outubro/2026</t>
        </is>
      </c>
    </row>
    <row r="3454">
      <c r="A3454" s="106" t="inlineStr">
        <is>
          <t>NOC</t>
        </is>
      </c>
      <c r="B3454" s="106" t="inlineStr">
        <is>
          <t>Custo Fixo</t>
        </is>
      </c>
      <c r="C3454" s="106" t="inlineStr">
        <is>
          <t>Despesas com RH</t>
        </is>
      </c>
      <c r="D3454" s="107" t="n">
        <v>3</v>
      </c>
      <c r="E3454" s="108" t="n">
        <v>32.55</v>
      </c>
      <c r="F3454" s="109">
        <f>IFERROR(D3454*E3454,0)</f>
        <v/>
      </c>
      <c r="G3454" s="106">
        <f>INDEX(SETORES!$B:$B,MATCH(A3454,SETORES!$A:$A,0))</f>
        <v/>
      </c>
      <c r="H3454" s="106" t="inlineStr">
        <is>
          <t>Outubro/2026</t>
        </is>
      </c>
    </row>
    <row r="3455">
      <c r="A3455" s="106" t="inlineStr">
        <is>
          <t>NOC</t>
        </is>
      </c>
      <c r="B3455" s="106" t="inlineStr">
        <is>
          <t>Custo Fixo</t>
        </is>
      </c>
      <c r="C3455" s="106" t="inlineStr">
        <is>
          <t>Despesas com DP</t>
        </is>
      </c>
      <c r="D3455" s="107" t="n">
        <v>3</v>
      </c>
      <c r="E3455" s="108" t="n">
        <v>52.09</v>
      </c>
      <c r="F3455" s="109">
        <f>IFERROR(D3455*E3455,0)</f>
        <v/>
      </c>
      <c r="G3455" s="106">
        <f>INDEX(SETORES!$B:$B,MATCH(A3455,SETORES!$A:$A,0))</f>
        <v/>
      </c>
      <c r="H3455" s="106" t="inlineStr">
        <is>
          <t>Outubro/2026</t>
        </is>
      </c>
    </row>
    <row r="3456">
      <c r="A3456" s="106" t="inlineStr">
        <is>
          <t>NOC</t>
        </is>
      </c>
      <c r="B3456" s="106" t="inlineStr">
        <is>
          <t>Custo Fixo</t>
        </is>
      </c>
      <c r="C3456" s="106" t="inlineStr">
        <is>
          <t>Despesas com SST</t>
        </is>
      </c>
      <c r="D3456" s="107" t="n">
        <v>3</v>
      </c>
      <c r="E3456" s="108" t="n">
        <v>52.35</v>
      </c>
      <c r="F3456" s="109">
        <f>IFERROR(D3456*E3456,0)</f>
        <v/>
      </c>
      <c r="G3456" s="106">
        <f>INDEX(SETORES!$B:$B,MATCH(A3456,SETORES!$A:$A,0))</f>
        <v/>
      </c>
      <c r="H3456" s="106" t="inlineStr">
        <is>
          <t>Outubro/2026</t>
        </is>
      </c>
    </row>
    <row r="3457">
      <c r="A3457" s="106" t="inlineStr">
        <is>
          <t>NRC</t>
        </is>
      </c>
      <c r="B3457" s="106" t="inlineStr">
        <is>
          <t>Custo Fixo</t>
        </is>
      </c>
      <c r="C3457" s="106" t="inlineStr">
        <is>
          <t>Despesas com RH</t>
        </is>
      </c>
      <c r="D3457" s="107" t="n">
        <v>42</v>
      </c>
      <c r="E3457" s="108" t="n">
        <v>32.55</v>
      </c>
      <c r="F3457" s="109">
        <f>IFERROR(D3457*E3457,0)</f>
        <v/>
      </c>
      <c r="G3457" s="106">
        <f>INDEX(SETORES!$B:$B,MATCH(A3457,SETORES!$A:$A,0))</f>
        <v/>
      </c>
      <c r="H3457" s="106" t="inlineStr">
        <is>
          <t>Outubro/2026</t>
        </is>
      </c>
    </row>
    <row r="3458">
      <c r="A3458" s="106" t="inlineStr">
        <is>
          <t>NRC</t>
        </is>
      </c>
      <c r="B3458" s="106" t="inlineStr">
        <is>
          <t>Custo Fixo</t>
        </is>
      </c>
      <c r="C3458" s="106" t="inlineStr">
        <is>
          <t>Despesas com DP</t>
        </is>
      </c>
      <c r="D3458" s="107" t="n">
        <v>42</v>
      </c>
      <c r="E3458" s="108" t="n">
        <v>52.09</v>
      </c>
      <c r="F3458" s="109">
        <f>IFERROR(D3458*E3458,0)</f>
        <v/>
      </c>
      <c r="G3458" s="106">
        <f>INDEX(SETORES!$B:$B,MATCH(A3458,SETORES!$A:$A,0))</f>
        <v/>
      </c>
      <c r="H3458" s="106" t="inlineStr">
        <is>
          <t>Outubro/2026</t>
        </is>
      </c>
    </row>
    <row r="3459">
      <c r="A3459" s="106" t="inlineStr">
        <is>
          <t>NRC</t>
        </is>
      </c>
      <c r="B3459" s="106" t="inlineStr">
        <is>
          <t>Custo Fixo</t>
        </is>
      </c>
      <c r="C3459" s="106" t="inlineStr">
        <is>
          <t>Despesas com SST</t>
        </is>
      </c>
      <c r="D3459" s="107" t="n">
        <v>42</v>
      </c>
      <c r="E3459" s="108" t="n">
        <v>52.35</v>
      </c>
      <c r="F3459" s="109">
        <f>IFERROR(D3459*E3459,0)</f>
        <v/>
      </c>
      <c r="G3459" s="106">
        <f>INDEX(SETORES!$B:$B,MATCH(A3459,SETORES!$A:$A,0))</f>
        <v/>
      </c>
      <c r="H3459" s="106" t="inlineStr">
        <is>
          <t>Outubro/2026</t>
        </is>
      </c>
    </row>
    <row r="3460">
      <c r="A3460" s="106" t="inlineStr">
        <is>
          <t>Obras</t>
        </is>
      </c>
      <c r="B3460" s="106" t="inlineStr">
        <is>
          <t>Custo Fixo</t>
        </is>
      </c>
      <c r="C3460" s="106" t="inlineStr">
        <is>
          <t>Despesas com RH</t>
        </is>
      </c>
      <c r="D3460" s="107" t="n">
        <v>24</v>
      </c>
      <c r="E3460" s="108" t="n">
        <v>32.55</v>
      </c>
      <c r="F3460" s="109">
        <f>IFERROR(D3460*E3460,0)</f>
        <v/>
      </c>
      <c r="G3460" s="106">
        <f>INDEX(SETORES!$B:$B,MATCH(A3460,SETORES!$A:$A,0))</f>
        <v/>
      </c>
      <c r="H3460" s="106" t="inlineStr">
        <is>
          <t>Outubro/2026</t>
        </is>
      </c>
    </row>
    <row r="3461">
      <c r="A3461" s="106" t="inlineStr">
        <is>
          <t>Obras</t>
        </is>
      </c>
      <c r="B3461" s="106" t="inlineStr">
        <is>
          <t>Custo Fixo</t>
        </is>
      </c>
      <c r="C3461" s="106" t="inlineStr">
        <is>
          <t>Despesas com DP</t>
        </is>
      </c>
      <c r="D3461" s="107" t="n">
        <v>24</v>
      </c>
      <c r="E3461" s="108" t="n">
        <v>52.09</v>
      </c>
      <c r="F3461" s="109">
        <f>IFERROR(D3461*E3461,0)</f>
        <v/>
      </c>
      <c r="G3461" s="106">
        <f>INDEX(SETORES!$B:$B,MATCH(A3461,SETORES!$A:$A,0))</f>
        <v/>
      </c>
      <c r="H3461" s="106" t="inlineStr">
        <is>
          <t>Outubro/2026</t>
        </is>
      </c>
    </row>
    <row r="3462">
      <c r="A3462" s="106" t="inlineStr">
        <is>
          <t>Obras</t>
        </is>
      </c>
      <c r="B3462" s="106" t="inlineStr">
        <is>
          <t>Custo Fixo</t>
        </is>
      </c>
      <c r="C3462" s="106" t="inlineStr">
        <is>
          <t>Despesas com SST</t>
        </is>
      </c>
      <c r="D3462" s="107" t="n">
        <v>24</v>
      </c>
      <c r="E3462" s="108" t="n">
        <v>52.35</v>
      </c>
      <c r="F3462" s="109">
        <f>IFERROR(D3462*E3462,0)</f>
        <v/>
      </c>
      <c r="G3462" s="106">
        <f>INDEX(SETORES!$B:$B,MATCH(A3462,SETORES!$A:$A,0))</f>
        <v/>
      </c>
      <c r="H3462" s="106" t="inlineStr">
        <is>
          <t>Outubro/2026</t>
        </is>
      </c>
    </row>
    <row r="3463">
      <c r="A3463" s="106" t="inlineStr">
        <is>
          <t>Oficina</t>
        </is>
      </c>
      <c r="B3463" s="106" t="inlineStr">
        <is>
          <t>Custo Fixo</t>
        </is>
      </c>
      <c r="C3463" s="106" t="inlineStr">
        <is>
          <t>Despesas com RH</t>
        </is>
      </c>
      <c r="D3463" s="107" t="n">
        <v>4</v>
      </c>
      <c r="E3463" s="108" t="n">
        <v>32.55</v>
      </c>
      <c r="F3463" s="109">
        <f>IFERROR(D3463*E3463,0)</f>
        <v/>
      </c>
      <c r="G3463" s="106">
        <f>INDEX(SETORES!$B:$B,MATCH(A3463,SETORES!$A:$A,0))</f>
        <v/>
      </c>
      <c r="H3463" s="106" t="inlineStr">
        <is>
          <t>Outubro/2026</t>
        </is>
      </c>
    </row>
    <row r="3464">
      <c r="A3464" s="106" t="inlineStr">
        <is>
          <t>Oficina</t>
        </is>
      </c>
      <c r="B3464" s="106" t="inlineStr">
        <is>
          <t>Custo Fixo</t>
        </is>
      </c>
      <c r="C3464" s="106" t="inlineStr">
        <is>
          <t>Despesas com DP</t>
        </is>
      </c>
      <c r="D3464" s="107" t="n">
        <v>4</v>
      </c>
      <c r="E3464" s="108" t="n">
        <v>52.09</v>
      </c>
      <c r="F3464" s="109">
        <f>IFERROR(D3464*E3464,0)</f>
        <v/>
      </c>
      <c r="G3464" s="106">
        <f>INDEX(SETORES!$B:$B,MATCH(A3464,SETORES!$A:$A,0))</f>
        <v/>
      </c>
      <c r="H3464" s="106" t="inlineStr">
        <is>
          <t>Outubro/2026</t>
        </is>
      </c>
    </row>
    <row r="3465">
      <c r="A3465" s="106" t="inlineStr">
        <is>
          <t>Oficina</t>
        </is>
      </c>
      <c r="B3465" s="106" t="inlineStr">
        <is>
          <t>Custo Fixo</t>
        </is>
      </c>
      <c r="C3465" s="106" t="inlineStr">
        <is>
          <t>Despesas com SST</t>
        </is>
      </c>
      <c r="D3465" s="107" t="n">
        <v>4</v>
      </c>
      <c r="E3465" s="108" t="n">
        <v>52.35</v>
      </c>
      <c r="F3465" s="109">
        <f>IFERROR(D3465*E3465,0)</f>
        <v/>
      </c>
      <c r="G3465" s="106">
        <f>INDEX(SETORES!$B:$B,MATCH(A3465,SETORES!$A:$A,0))</f>
        <v/>
      </c>
      <c r="H3465" s="106" t="inlineStr">
        <is>
          <t>Outubro/2026</t>
        </is>
      </c>
    </row>
    <row r="3466">
      <c r="A3466" s="106" t="inlineStr">
        <is>
          <t>RH</t>
        </is>
      </c>
      <c r="B3466" s="106" t="inlineStr">
        <is>
          <t>Custo Fixo</t>
        </is>
      </c>
      <c r="C3466" s="106" t="inlineStr">
        <is>
          <t>Despesas com RH</t>
        </is>
      </c>
      <c r="D3466" s="107" t="n">
        <v>6</v>
      </c>
      <c r="E3466" s="108" t="n">
        <v>32.55</v>
      </c>
      <c r="F3466" s="109">
        <f>IFERROR(D3466*E3466,0)</f>
        <v/>
      </c>
      <c r="G3466" s="106">
        <f>INDEX(SETORES!$B:$B,MATCH(A3466,SETORES!$A:$A,0))</f>
        <v/>
      </c>
      <c r="H3466" s="106" t="inlineStr">
        <is>
          <t>Outubro/2026</t>
        </is>
      </c>
    </row>
    <row r="3467">
      <c r="A3467" s="106" t="inlineStr">
        <is>
          <t>RH</t>
        </is>
      </c>
      <c r="B3467" s="106" t="inlineStr">
        <is>
          <t>Custo Fixo</t>
        </is>
      </c>
      <c r="C3467" s="106" t="inlineStr">
        <is>
          <t>Despesas com DP</t>
        </is>
      </c>
      <c r="D3467" s="107" t="n">
        <v>6</v>
      </c>
      <c r="E3467" s="108" t="n">
        <v>52.09</v>
      </c>
      <c r="F3467" s="109">
        <f>IFERROR(D3467*E3467,0)</f>
        <v/>
      </c>
      <c r="G3467" s="106">
        <f>INDEX(SETORES!$B:$B,MATCH(A3467,SETORES!$A:$A,0))</f>
        <v/>
      </c>
      <c r="H3467" s="106" t="inlineStr">
        <is>
          <t>Outubro/2026</t>
        </is>
      </c>
    </row>
    <row r="3468">
      <c r="A3468" s="106" t="inlineStr">
        <is>
          <t>RH</t>
        </is>
      </c>
      <c r="B3468" s="106" t="inlineStr">
        <is>
          <t>Custo Fixo</t>
        </is>
      </c>
      <c r="C3468" s="106" t="inlineStr">
        <is>
          <t>Despesas com SST</t>
        </is>
      </c>
      <c r="D3468" s="107" t="n">
        <v>6</v>
      </c>
      <c r="E3468" s="108" t="n">
        <v>52.35</v>
      </c>
      <c r="F3468" s="109">
        <f>IFERROR(D3468*E3468,0)</f>
        <v/>
      </c>
      <c r="G3468" s="106">
        <f>INDEX(SETORES!$B:$B,MATCH(A3468,SETORES!$A:$A,0))</f>
        <v/>
      </c>
      <c r="H3468" s="106" t="inlineStr">
        <is>
          <t>Outubro/2026</t>
        </is>
      </c>
    </row>
    <row r="3469">
      <c r="A3469" s="106" t="inlineStr">
        <is>
          <t>Retenção</t>
        </is>
      </c>
      <c r="B3469" s="106" t="inlineStr">
        <is>
          <t>Custo Fixo</t>
        </is>
      </c>
      <c r="C3469" s="106" t="inlineStr">
        <is>
          <t>Despesas com RH</t>
        </is>
      </c>
      <c r="D3469" s="107" t="n">
        <v>12</v>
      </c>
      <c r="E3469" s="108" t="n">
        <v>32.55</v>
      </c>
      <c r="F3469" s="109">
        <f>IFERROR(D3469*E3469,0)</f>
        <v/>
      </c>
      <c r="G3469" s="106">
        <f>INDEX(SETORES!$B:$B,MATCH(A3469,SETORES!$A:$A,0))</f>
        <v/>
      </c>
      <c r="H3469" s="106" t="inlineStr">
        <is>
          <t>Outubro/2026</t>
        </is>
      </c>
    </row>
    <row r="3470">
      <c r="A3470" s="106" t="inlineStr">
        <is>
          <t>Retenção</t>
        </is>
      </c>
      <c r="B3470" s="106" t="inlineStr">
        <is>
          <t>Custo Fixo</t>
        </is>
      </c>
      <c r="C3470" s="106" t="inlineStr">
        <is>
          <t>Despesas com DP</t>
        </is>
      </c>
      <c r="D3470" s="107" t="n">
        <v>12</v>
      </c>
      <c r="E3470" s="108" t="n">
        <v>52.09</v>
      </c>
      <c r="F3470" s="109">
        <f>IFERROR(D3470*E3470,0)</f>
        <v/>
      </c>
      <c r="G3470" s="106">
        <f>INDEX(SETORES!$B:$B,MATCH(A3470,SETORES!$A:$A,0))</f>
        <v/>
      </c>
      <c r="H3470" s="106" t="inlineStr">
        <is>
          <t>Outubro/2026</t>
        </is>
      </c>
    </row>
    <row r="3471">
      <c r="A3471" s="106" t="inlineStr">
        <is>
          <t>Retenção</t>
        </is>
      </c>
      <c r="B3471" s="106" t="inlineStr">
        <is>
          <t>Custo Fixo</t>
        </is>
      </c>
      <c r="C3471" s="106" t="inlineStr">
        <is>
          <t>Despesas com SST</t>
        </is>
      </c>
      <c r="D3471" s="107" t="n">
        <v>12</v>
      </c>
      <c r="E3471" s="108" t="n">
        <v>52.35</v>
      </c>
      <c r="F3471" s="109">
        <f>IFERROR(D3471*E3471,0)</f>
        <v/>
      </c>
      <c r="G3471" s="106">
        <f>INDEX(SETORES!$B:$B,MATCH(A3471,SETORES!$A:$A,0))</f>
        <v/>
      </c>
      <c r="H3471" s="106" t="inlineStr">
        <is>
          <t>Outubro/2026</t>
        </is>
      </c>
    </row>
    <row r="3472">
      <c r="A3472" s="106" t="inlineStr">
        <is>
          <t>Segurança do Trabalho</t>
        </is>
      </c>
      <c r="B3472" s="106" t="inlineStr">
        <is>
          <t>Custo Fixo</t>
        </is>
      </c>
      <c r="C3472" s="106" t="inlineStr">
        <is>
          <t>Despesas com RH</t>
        </is>
      </c>
      <c r="D3472" s="107" t="n">
        <v>8</v>
      </c>
      <c r="E3472" s="108" t="n">
        <v>32.55</v>
      </c>
      <c r="F3472" s="109">
        <f>IFERROR(D3472*E3472,0)</f>
        <v/>
      </c>
      <c r="G3472" s="106">
        <f>INDEX(SETORES!$B:$B,MATCH(A3472,SETORES!$A:$A,0))</f>
        <v/>
      </c>
      <c r="H3472" s="106" t="inlineStr">
        <is>
          <t>Outubro/2026</t>
        </is>
      </c>
    </row>
    <row r="3473">
      <c r="A3473" s="106" t="inlineStr">
        <is>
          <t>Segurança do Trabalho</t>
        </is>
      </c>
      <c r="B3473" s="106" t="inlineStr">
        <is>
          <t>Custo Fixo</t>
        </is>
      </c>
      <c r="C3473" s="106" t="inlineStr">
        <is>
          <t>Despesas com DP</t>
        </is>
      </c>
      <c r="D3473" s="107" t="n">
        <v>8</v>
      </c>
      <c r="E3473" s="108" t="n">
        <v>52.09</v>
      </c>
      <c r="F3473" s="109">
        <f>IFERROR(D3473*E3473,0)</f>
        <v/>
      </c>
      <c r="G3473" s="106">
        <f>INDEX(SETORES!$B:$B,MATCH(A3473,SETORES!$A:$A,0))</f>
        <v/>
      </c>
      <c r="H3473" s="106" t="inlineStr">
        <is>
          <t>Outubro/2026</t>
        </is>
      </c>
    </row>
    <row r="3474">
      <c r="A3474" s="106" t="inlineStr">
        <is>
          <t>Segurança do Trabalho</t>
        </is>
      </c>
      <c r="B3474" s="106" t="inlineStr">
        <is>
          <t>Custo Fixo</t>
        </is>
      </c>
      <c r="C3474" s="106" t="inlineStr">
        <is>
          <t>Despesas com SST</t>
        </is>
      </c>
      <c r="D3474" s="107" t="n">
        <v>8</v>
      </c>
      <c r="E3474" s="108" t="n">
        <v>52.35</v>
      </c>
      <c r="F3474" s="109">
        <f>IFERROR(D3474*E3474,0)</f>
        <v/>
      </c>
      <c r="G3474" s="106">
        <f>INDEX(SETORES!$B:$B,MATCH(A3474,SETORES!$A:$A,0))</f>
        <v/>
      </c>
      <c r="H3474" s="106" t="inlineStr">
        <is>
          <t>Outubro/2026</t>
        </is>
      </c>
    </row>
    <row r="3475">
      <c r="A3475" s="106" t="inlineStr">
        <is>
          <t>Suporte Orbix</t>
        </is>
      </c>
      <c r="B3475" s="106" t="inlineStr">
        <is>
          <t>Custo Fixo</t>
        </is>
      </c>
      <c r="C3475" s="106" t="inlineStr">
        <is>
          <t>Despesas com RH</t>
        </is>
      </c>
      <c r="D3475" s="107" t="n">
        <v>8</v>
      </c>
      <c r="E3475" s="108" t="n">
        <v>32.55</v>
      </c>
      <c r="F3475" s="109">
        <f>IFERROR(D3475*E3475,0)</f>
        <v/>
      </c>
      <c r="G3475" s="106">
        <f>INDEX(SETORES!$B:$B,MATCH(A3475,SETORES!$A:$A,0))</f>
        <v/>
      </c>
      <c r="H3475" s="106" t="inlineStr">
        <is>
          <t>Outubro/2026</t>
        </is>
      </c>
    </row>
    <row r="3476">
      <c r="A3476" s="106" t="inlineStr">
        <is>
          <t>Suporte Orbix</t>
        </is>
      </c>
      <c r="B3476" s="106" t="inlineStr">
        <is>
          <t>Custo Fixo</t>
        </is>
      </c>
      <c r="C3476" s="106" t="inlineStr">
        <is>
          <t>Despesas com DP</t>
        </is>
      </c>
      <c r="D3476" s="107" t="n">
        <v>8</v>
      </c>
      <c r="E3476" s="108" t="n">
        <v>52.09</v>
      </c>
      <c r="F3476" s="109">
        <f>IFERROR(D3476*E3476,0)</f>
        <v/>
      </c>
      <c r="G3476" s="106">
        <f>INDEX(SETORES!$B:$B,MATCH(A3476,SETORES!$A:$A,0))</f>
        <v/>
      </c>
      <c r="H3476" s="106" t="inlineStr">
        <is>
          <t>Outubro/2026</t>
        </is>
      </c>
    </row>
    <row r="3477">
      <c r="A3477" s="106" t="inlineStr">
        <is>
          <t>Suporte Orbix</t>
        </is>
      </c>
      <c r="B3477" s="106" t="inlineStr">
        <is>
          <t>Custo Fixo</t>
        </is>
      </c>
      <c r="C3477" s="106" t="inlineStr">
        <is>
          <t>Despesas com SST</t>
        </is>
      </c>
      <c r="D3477" s="107" t="n">
        <v>8</v>
      </c>
      <c r="E3477" s="108" t="n">
        <v>52.35</v>
      </c>
      <c r="F3477" s="109">
        <f>IFERROR(D3477*E3477,0)</f>
        <v/>
      </c>
      <c r="G3477" s="106">
        <f>INDEX(SETORES!$B:$B,MATCH(A3477,SETORES!$A:$A,0))</f>
        <v/>
      </c>
      <c r="H3477" s="106" t="inlineStr">
        <is>
          <t>Outubro/2026</t>
        </is>
      </c>
    </row>
    <row r="3478">
      <c r="A3478" s="106" t="inlineStr">
        <is>
          <t>Suporte da Central</t>
        </is>
      </c>
      <c r="B3478" s="106" t="inlineStr">
        <is>
          <t>Custo Fixo</t>
        </is>
      </c>
      <c r="C3478" s="106" t="inlineStr">
        <is>
          <t>Despesas com RH</t>
        </is>
      </c>
      <c r="D3478" s="107" t="n">
        <v>33</v>
      </c>
      <c r="E3478" s="108" t="n">
        <v>32.55</v>
      </c>
      <c r="F3478" s="109">
        <f>IFERROR(D3478*E3478,0)</f>
        <v/>
      </c>
      <c r="G3478" s="106">
        <f>INDEX(SETORES!$B:$B,MATCH(A3478,SETORES!$A:$A,0))</f>
        <v/>
      </c>
      <c r="H3478" s="106" t="inlineStr">
        <is>
          <t>Outubro/2026</t>
        </is>
      </c>
    </row>
    <row r="3479">
      <c r="A3479" s="106" t="inlineStr">
        <is>
          <t>Suporte da Central</t>
        </is>
      </c>
      <c r="B3479" s="106" t="inlineStr">
        <is>
          <t>Custo Fixo</t>
        </is>
      </c>
      <c r="C3479" s="106" t="inlineStr">
        <is>
          <t>Despesas com DP</t>
        </is>
      </c>
      <c r="D3479" s="107" t="n">
        <v>33</v>
      </c>
      <c r="E3479" s="108" t="n">
        <v>52.09</v>
      </c>
      <c r="F3479" s="109">
        <f>IFERROR(D3479*E3479,0)</f>
        <v/>
      </c>
      <c r="G3479" s="106">
        <f>INDEX(SETORES!$B:$B,MATCH(A3479,SETORES!$A:$A,0))</f>
        <v/>
      </c>
      <c r="H3479" s="106" t="inlineStr">
        <is>
          <t>Outubro/2026</t>
        </is>
      </c>
    </row>
    <row r="3480">
      <c r="A3480" s="106" t="inlineStr">
        <is>
          <t>Suporte da Central</t>
        </is>
      </c>
      <c r="B3480" s="106" t="inlineStr">
        <is>
          <t>Custo Fixo</t>
        </is>
      </c>
      <c r="C3480" s="106" t="inlineStr">
        <is>
          <t>Despesas com SST</t>
        </is>
      </c>
      <c r="D3480" s="107" t="n">
        <v>33</v>
      </c>
      <c r="E3480" s="108" t="n">
        <v>52.35</v>
      </c>
      <c r="F3480" s="109">
        <f>IFERROR(D3480*E3480,0)</f>
        <v/>
      </c>
      <c r="G3480" s="106">
        <f>INDEX(SETORES!$B:$B,MATCH(A3480,SETORES!$A:$A,0))</f>
        <v/>
      </c>
      <c r="H3480" s="106" t="inlineStr">
        <is>
          <t>Outubro/2026</t>
        </is>
      </c>
    </row>
    <row r="3481">
      <c r="A3481" s="106" t="inlineStr">
        <is>
          <t>Televendas</t>
        </is>
      </c>
      <c r="B3481" s="106" t="inlineStr">
        <is>
          <t>Custo Fixo</t>
        </is>
      </c>
      <c r="C3481" s="106" t="inlineStr">
        <is>
          <t>Despesas com RH</t>
        </is>
      </c>
      <c r="D3481" s="107" t="n">
        <v>11</v>
      </c>
      <c r="E3481" s="108" t="n">
        <v>32.55</v>
      </c>
      <c r="F3481" s="109">
        <f>IFERROR(D3481*E3481,0)</f>
        <v/>
      </c>
      <c r="G3481" s="106">
        <f>INDEX(SETORES!$B:$B,MATCH(A3481,SETORES!$A:$A,0))</f>
        <v/>
      </c>
      <c r="H3481" s="106" t="inlineStr">
        <is>
          <t>Outubro/2026</t>
        </is>
      </c>
    </row>
    <row r="3482">
      <c r="A3482" s="106" t="inlineStr">
        <is>
          <t>Televendas</t>
        </is>
      </c>
      <c r="B3482" s="106" t="inlineStr">
        <is>
          <t>Custo Fixo</t>
        </is>
      </c>
      <c r="C3482" s="106" t="inlineStr">
        <is>
          <t>Despesas com DP</t>
        </is>
      </c>
      <c r="D3482" s="107" t="n">
        <v>11</v>
      </c>
      <c r="E3482" s="108" t="n">
        <v>52.09</v>
      </c>
      <c r="F3482" s="109">
        <f>IFERROR(D3482*E3482,0)</f>
        <v/>
      </c>
      <c r="G3482" s="106">
        <f>INDEX(SETORES!$B:$B,MATCH(A3482,SETORES!$A:$A,0))</f>
        <v/>
      </c>
      <c r="H3482" s="106" t="inlineStr">
        <is>
          <t>Outubro/2026</t>
        </is>
      </c>
    </row>
    <row r="3483">
      <c r="A3483" s="106" t="inlineStr">
        <is>
          <t>Televendas</t>
        </is>
      </c>
      <c r="B3483" s="106" t="inlineStr">
        <is>
          <t>Custo Fixo</t>
        </is>
      </c>
      <c r="C3483" s="106" t="inlineStr">
        <is>
          <t>Despesas com SST</t>
        </is>
      </c>
      <c r="D3483" s="107" t="n">
        <v>11</v>
      </c>
      <c r="E3483" s="108" t="n">
        <v>52.35</v>
      </c>
      <c r="F3483" s="109">
        <f>IFERROR(D3483*E3483,0)</f>
        <v/>
      </c>
      <c r="G3483" s="106">
        <f>INDEX(SETORES!$B:$B,MATCH(A3483,SETORES!$A:$A,0))</f>
        <v/>
      </c>
      <c r="H3483" s="106" t="inlineStr">
        <is>
          <t>Outubro/2026</t>
        </is>
      </c>
    </row>
    <row r="3484">
      <c r="A3484" s="106" t="inlineStr">
        <is>
          <t>Comercial Corporativo</t>
        </is>
      </c>
      <c r="B3484" s="106" t="inlineStr">
        <is>
          <t>Custo Fixo</t>
        </is>
      </c>
      <c r="C3484" s="106" t="inlineStr">
        <is>
          <t>Plataforma de licitações (pago anual em julho, ref. 12 meses)</t>
        </is>
      </c>
      <c r="D3484" s="107" t="n"/>
      <c r="E3484" s="108" t="n"/>
      <c r="F3484" s="109">
        <f>IFERROR(D3484*E3484,0)</f>
        <v/>
      </c>
      <c r="G3484" s="106">
        <f>INDEX(SETORES!$B:$B,MATCH(A3484,SETORES!$A:$A,0))</f>
        <v/>
      </c>
      <c r="H3484" s="106" t="inlineStr">
        <is>
          <t>Outubro/2026</t>
        </is>
      </c>
    </row>
    <row r="3485">
      <c r="A3485" s="106" t="inlineStr">
        <is>
          <t>Televendas</t>
        </is>
      </c>
      <c r="B3485" s="106" t="inlineStr">
        <is>
          <t>Custo Fixo</t>
        </is>
      </c>
      <c r="C3485" s="106" t="inlineStr">
        <is>
          <t>Impressora (rateio equipe Relacionamento)</t>
        </is>
      </c>
      <c r="D3485" s="107" t="n"/>
      <c r="E3485" s="108" t="n"/>
      <c r="F3485" s="109">
        <f>IFERROR(D3485*E3485,0)</f>
        <v/>
      </c>
      <c r="G3485" s="106">
        <f>INDEX(SETORES!$B:$B,MATCH(A3485,SETORES!$A:$A,0))</f>
        <v/>
      </c>
      <c r="H3485" s="106" t="inlineStr">
        <is>
          <t>Outubro/2026</t>
        </is>
      </c>
    </row>
    <row r="3486">
      <c r="A3486" s="106" t="inlineStr">
        <is>
          <t>Compras</t>
        </is>
      </c>
      <c r="B3486" s="106" t="inlineStr">
        <is>
          <t>Custo Variável</t>
        </is>
      </c>
      <c r="C3486" s="106" t="inlineStr">
        <is>
          <t>Combustível de frota</t>
        </is>
      </c>
      <c r="D3486" s="107" t="n">
        <v>1</v>
      </c>
      <c r="E3486" s="108" t="n">
        <v>0</v>
      </c>
      <c r="F3486" s="109">
        <f>IFERROR(D3486*E3486,0)</f>
        <v/>
      </c>
      <c r="G3486" s="106">
        <f>INDEX(SETORES!$B:$B,MATCH(A3486,SETORES!$A:$A,0))</f>
        <v/>
      </c>
      <c r="H3486" s="106" t="inlineStr">
        <is>
          <t>Outubro/2026</t>
        </is>
      </c>
    </row>
    <row r="3487">
      <c r="A3487" s="106" t="inlineStr">
        <is>
          <t>Contabilidade</t>
        </is>
      </c>
      <c r="B3487" s="106" t="inlineStr">
        <is>
          <t>Custo Variável</t>
        </is>
      </c>
      <c r="C3487" s="106" t="inlineStr">
        <is>
          <t>Exames médicos</t>
        </is>
      </c>
      <c r="D3487" s="107" t="n"/>
      <c r="E3487" s="108" t="n"/>
      <c r="F3487" s="109">
        <f>IFERROR(D3487*E3487,0)</f>
        <v/>
      </c>
      <c r="G3487" s="106">
        <f>INDEX(SETORES!$B:$B,MATCH(A3487,SETORES!$A:$A,0))</f>
        <v/>
      </c>
      <c r="H3487" s="106" t="inlineStr">
        <is>
          <t>Outubro/2026</t>
        </is>
      </c>
    </row>
    <row r="3488">
      <c r="A3488" s="106" t="inlineStr">
        <is>
          <t>Suporte da Central</t>
        </is>
      </c>
      <c r="B3488" s="106" t="inlineStr">
        <is>
          <t>Custo Variável</t>
        </is>
      </c>
      <c r="C3488" s="106" t="inlineStr">
        <is>
          <t>Rescisões trabalhistas</t>
        </is>
      </c>
      <c r="D3488" s="107" t="n"/>
      <c r="E3488" s="108" t="n"/>
      <c r="F3488" s="109">
        <f>IFERROR(D3488*E3488,0)</f>
        <v/>
      </c>
      <c r="G3488" s="106">
        <f>INDEX(SETORES!$B:$B,MATCH(A3488,SETORES!$A:$A,0))</f>
        <v/>
      </c>
      <c r="H3488" s="106" t="inlineStr">
        <is>
          <t>Outubro/2026</t>
        </is>
      </c>
    </row>
    <row r="3489">
      <c r="A3489" s="106" t="inlineStr">
        <is>
          <t>Televendas</t>
        </is>
      </c>
      <c r="B3489" s="106" t="inlineStr">
        <is>
          <t>Custo Variável</t>
        </is>
      </c>
      <c r="C3489" s="106" t="inlineStr">
        <is>
          <t>Rescisões trabalhistas</t>
        </is>
      </c>
      <c r="D3489" s="107" t="n"/>
      <c r="E3489" s="108" t="n"/>
      <c r="F3489" s="109">
        <f>IFERROR(D3489*E3489,0)</f>
        <v/>
      </c>
      <c r="G3489" s="106">
        <f>INDEX(SETORES!$B:$B,MATCH(A3489,SETORES!$A:$A,0))</f>
        <v/>
      </c>
      <c r="H3489" s="106" t="inlineStr">
        <is>
          <t>Outubro/2026</t>
        </is>
      </c>
    </row>
    <row r="3490">
      <c r="A3490" s="106" t="inlineStr">
        <is>
          <t>CAC</t>
        </is>
      </c>
      <c r="B3490" s="106" t="inlineStr">
        <is>
          <t>Custo Variável</t>
        </is>
      </c>
      <c r="C3490" s="106" t="inlineStr">
        <is>
          <t>Rescisões trabalhistas</t>
        </is>
      </c>
      <c r="D3490" s="107" t="n"/>
      <c r="E3490" s="108" t="n"/>
      <c r="F3490" s="109">
        <f>IFERROR(D3490*E3490,0)</f>
        <v/>
      </c>
      <c r="G3490" s="106">
        <f>INDEX(SETORES!$B:$B,MATCH(A3490,SETORES!$A:$A,0))</f>
        <v/>
      </c>
      <c r="H3490" s="106" t="inlineStr">
        <is>
          <t>Outubro/2026</t>
        </is>
      </c>
    </row>
    <row r="3491">
      <c r="A3491" s="106" t="inlineStr">
        <is>
          <t>NOC</t>
        </is>
      </c>
      <c r="B3491" s="106" t="inlineStr">
        <is>
          <t>Custo Variável</t>
        </is>
      </c>
      <c r="C3491" s="106" t="inlineStr">
        <is>
          <t>Rescisões trabalhistas</t>
        </is>
      </c>
      <c r="D3491" s="107" t="n"/>
      <c r="E3491" s="108" t="n"/>
      <c r="F3491" s="109">
        <f>IFERROR(D3491*E3491,0)</f>
        <v/>
      </c>
      <c r="G3491" s="106">
        <f>INDEX(SETORES!$B:$B,MATCH(A3491,SETORES!$A:$A,0))</f>
        <v/>
      </c>
      <c r="H3491" s="106" t="inlineStr">
        <is>
          <t>Outubro/2026</t>
        </is>
      </c>
    </row>
    <row r="3492">
      <c r="A3492" s="106" t="inlineStr">
        <is>
          <t>Segurança do Trabalho</t>
        </is>
      </c>
      <c r="B3492" s="106" t="inlineStr">
        <is>
          <t>Custo Variável</t>
        </is>
      </c>
      <c r="C3492" s="106" t="inlineStr">
        <is>
          <t>Rescisões trabalhistas</t>
        </is>
      </c>
      <c r="D3492" s="107" t="n"/>
      <c r="E3492" s="108" t="n"/>
      <c r="F3492" s="109">
        <f>IFERROR(D3492*E3492,0)</f>
        <v/>
      </c>
      <c r="G3492" s="106">
        <f>INDEX(SETORES!$B:$B,MATCH(A3492,SETORES!$A:$A,0))</f>
        <v/>
      </c>
      <c r="H3492" s="106" t="inlineStr">
        <is>
          <t>Outubro/2026</t>
        </is>
      </c>
    </row>
    <row r="3493">
      <c r="A3493" s="106" t="inlineStr">
        <is>
          <t>Administrativo</t>
        </is>
      </c>
      <c r="B3493" s="106" t="inlineStr">
        <is>
          <t>Custo Variável</t>
        </is>
      </c>
      <c r="C3493" s="106" t="inlineStr">
        <is>
          <t>Rescisões trabalhistas</t>
        </is>
      </c>
      <c r="D3493" s="107" t="n"/>
      <c r="E3493" s="108" t="n"/>
      <c r="F3493" s="109">
        <f>IFERROR(D3493*E3493,0)</f>
        <v/>
      </c>
      <c r="G3493" s="106">
        <f>INDEX(SETORES!$B:$B,MATCH(A3493,SETORES!$A:$A,0))</f>
        <v/>
      </c>
      <c r="H3493" s="106" t="inlineStr">
        <is>
          <t>Outubro/2026</t>
        </is>
      </c>
    </row>
    <row r="3494">
      <c r="A3494" s="106" t="inlineStr">
        <is>
          <t>Suporte Orbix</t>
        </is>
      </c>
      <c r="B3494" s="106" t="inlineStr">
        <is>
          <t>Custo Variável</t>
        </is>
      </c>
      <c r="C3494" s="106" t="inlineStr">
        <is>
          <t>Rescisões trabalhistas</t>
        </is>
      </c>
      <c r="D3494" s="107" t="n"/>
      <c r="E3494" s="108" t="n"/>
      <c r="F3494" s="109">
        <f>IFERROR(D3494*E3494,0)</f>
        <v/>
      </c>
      <c r="G3494" s="106">
        <f>INDEX(SETORES!$B:$B,MATCH(A3494,SETORES!$A:$A,0))</f>
        <v/>
      </c>
      <c r="H3494" s="106" t="inlineStr">
        <is>
          <t>Outubro/2026</t>
        </is>
      </c>
    </row>
    <row r="3495">
      <c r="A3495" s="106" t="inlineStr">
        <is>
          <t>Controladoria</t>
        </is>
      </c>
      <c r="B3495" s="106" t="inlineStr">
        <is>
          <t>Custo Variável</t>
        </is>
      </c>
      <c r="C3495" s="106" t="inlineStr">
        <is>
          <t>Combustível de frota</t>
        </is>
      </c>
      <c r="D3495" s="107" t="n">
        <v>1</v>
      </c>
      <c r="E3495" s="108" t="n">
        <v>1581.98</v>
      </c>
      <c r="F3495" s="109">
        <f>IFERROR(D3495*E3495,0)</f>
        <v/>
      </c>
      <c r="G3495" s="106">
        <f>INDEX(SETORES!$B:$B,MATCH(A3495,SETORES!$A:$A,0))</f>
        <v/>
      </c>
      <c r="H3495" s="106" t="inlineStr">
        <is>
          <t>Outubro/2026</t>
        </is>
      </c>
    </row>
    <row r="3496">
      <c r="A3496" s="106" t="inlineStr">
        <is>
          <t>Logística</t>
        </is>
      </c>
      <c r="B3496" s="106" t="inlineStr">
        <is>
          <t>Custo Variável</t>
        </is>
      </c>
      <c r="C3496" s="106" t="inlineStr">
        <is>
          <t>Combustível de frota (gerador e veículos sem condutor identificado)</t>
        </is>
      </c>
      <c r="D3496" s="107" t="n"/>
      <c r="E3496" s="108" t="n"/>
      <c r="F3496" s="109">
        <f>IFERROR(D3496*E3496,0)</f>
        <v/>
      </c>
      <c r="G3496" s="106">
        <f>INDEX(SETORES!$B:$B,MATCH(A3496,SETORES!$A:$A,0))</f>
        <v/>
      </c>
      <c r="H3496" s="106" t="inlineStr">
        <is>
          <t>Outubro/2026</t>
        </is>
      </c>
    </row>
    <row r="3497">
      <c r="A3497" s="106" t="inlineStr">
        <is>
          <t>Qualidade</t>
        </is>
      </c>
      <c r="B3497" s="106" t="inlineStr">
        <is>
          <t>Custo Fixo</t>
        </is>
      </c>
      <c r="C3497" s="106" t="inlineStr">
        <is>
          <t>Folha de pagamento (salários)</t>
        </is>
      </c>
      <c r="D3497" s="107" t="n">
        <v>1</v>
      </c>
      <c r="E3497" s="108" t="n">
        <v>42206.73</v>
      </c>
      <c r="F3497" s="109">
        <f>IFERROR(D3497*E3497,0)</f>
        <v/>
      </c>
      <c r="G3497" s="106">
        <f>INDEX(SETORES!$B:$B,MATCH(A3497,SETORES!$A:$A,0))</f>
        <v/>
      </c>
      <c r="H3497" s="106" t="inlineStr">
        <is>
          <t>Outubro/2026</t>
        </is>
      </c>
    </row>
    <row r="3498">
      <c r="A3498" s="106" t="inlineStr">
        <is>
          <t>Qualidade</t>
        </is>
      </c>
      <c r="B3498" s="106" t="inlineStr">
        <is>
          <t>Custo Fixo</t>
        </is>
      </c>
      <c r="C3498" s="106" t="inlineStr">
        <is>
          <t>Material de uso coletivo (copa/limpeza)</t>
        </is>
      </c>
      <c r="D3498" s="107" t="n">
        <v>1</v>
      </c>
      <c r="E3498" s="108" t="n">
        <v>350.54</v>
      </c>
      <c r="F3498" s="109">
        <f>IFERROR(D3498*E3498,0)</f>
        <v/>
      </c>
      <c r="G3498" s="106">
        <f>INDEX(SETORES!$B:$B,MATCH(A3498,SETORES!$A:$A,0))</f>
        <v/>
      </c>
      <c r="H3498" s="106" t="inlineStr">
        <is>
          <t>Outubro/2026</t>
        </is>
      </c>
    </row>
    <row r="3499">
      <c r="A3499" s="106" t="inlineStr">
        <is>
          <t>Qualidade</t>
        </is>
      </c>
      <c r="B3499" s="106" t="inlineStr">
        <is>
          <t>Custo Variável</t>
        </is>
      </c>
      <c r="C3499" s="106" t="inlineStr">
        <is>
          <t>Exames médicos</t>
        </is>
      </c>
      <c r="D3499" s="107" t="n"/>
      <c r="E3499" s="108" t="n"/>
      <c r="F3499" s="109">
        <f>IFERROR(D3499*E3499,0)</f>
        <v/>
      </c>
      <c r="G3499" s="106">
        <f>INDEX(SETORES!$B:$B,MATCH(A3499,SETORES!$A:$A,0))</f>
        <v/>
      </c>
      <c r="H3499" s="106" t="inlineStr">
        <is>
          <t>Outubro/2026</t>
        </is>
      </c>
    </row>
    <row r="3500">
      <c r="A3500" s="106" t="inlineStr">
        <is>
          <t>Jurídico</t>
        </is>
      </c>
      <c r="B3500" s="106" t="inlineStr">
        <is>
          <t>Custo Fixo</t>
        </is>
      </c>
      <c r="C3500" s="106" t="inlineStr">
        <is>
          <t>Folha de pagamento (salários)</t>
        </is>
      </c>
      <c r="D3500" s="107" t="n">
        <v>1</v>
      </c>
      <c r="E3500" s="108" t="n">
        <v>7846.31</v>
      </c>
      <c r="F3500" s="109">
        <f>IFERROR(D3500*E3500,0)</f>
        <v/>
      </c>
      <c r="G3500" s="106">
        <f>INDEX(SETORES!$B:$B,MATCH(A3500,SETORES!$A:$A,0))</f>
        <v/>
      </c>
      <c r="H3500" s="106" t="inlineStr">
        <is>
          <t>Outubro/2026</t>
        </is>
      </c>
    </row>
    <row r="3501">
      <c r="A3501" s="106" t="inlineStr">
        <is>
          <t>Jurídico</t>
        </is>
      </c>
      <c r="B3501" s="106" t="inlineStr">
        <is>
          <t>Custo Fixo</t>
        </is>
      </c>
      <c r="C3501" s="106" t="inlineStr">
        <is>
          <t>Material de uso coletivo (copa/limpeza)</t>
        </is>
      </c>
      <c r="D3501" s="107" t="n">
        <v>1</v>
      </c>
      <c r="E3501" s="108" t="n">
        <v>150.42</v>
      </c>
      <c r="F3501" s="109">
        <f>IFERROR(D3501*E3501,0)</f>
        <v/>
      </c>
      <c r="G3501" s="106">
        <f>INDEX(SETORES!$B:$B,MATCH(A3501,SETORES!$A:$A,0))</f>
        <v/>
      </c>
      <c r="H3501" s="106" t="inlineStr">
        <is>
          <t>Outubro/2026</t>
        </is>
      </c>
    </row>
    <row r="3502">
      <c r="A3502" s="106" t="inlineStr">
        <is>
          <t>Jurídico</t>
        </is>
      </c>
      <c r="B3502" s="106" t="inlineStr">
        <is>
          <t>Custo Variável</t>
        </is>
      </c>
      <c r="C3502" s="106" t="inlineStr">
        <is>
          <t>Combustível de frota</t>
        </is>
      </c>
      <c r="D3502" s="107" t="n">
        <v>1</v>
      </c>
      <c r="E3502" s="108" t="n">
        <v>1280.1</v>
      </c>
      <c r="F3502" s="109">
        <f>IFERROR(D3502*E3502,0)</f>
        <v/>
      </c>
      <c r="G3502" s="106">
        <f>INDEX(SETORES!$B:$B,MATCH(A3502,SETORES!$A:$A,0))</f>
        <v/>
      </c>
      <c r="H3502" s="106" t="inlineStr">
        <is>
          <t>Outubro/2026</t>
        </is>
      </c>
    </row>
    <row r="3503">
      <c r="A3503" s="106" t="inlineStr">
        <is>
          <t>Marketing</t>
        </is>
      </c>
      <c r="B3503" s="106" t="inlineStr">
        <is>
          <t>Custo Fixo</t>
        </is>
      </c>
      <c r="C3503" s="106" t="inlineStr">
        <is>
          <t>Folha de pagamento (salários)</t>
        </is>
      </c>
      <c r="D3503" s="107" t="n">
        <v>1</v>
      </c>
      <c r="E3503" s="108" t="n">
        <v>62265.7</v>
      </c>
      <c r="F3503" s="109">
        <f>IFERROR(D3503*E3503,0)</f>
        <v/>
      </c>
      <c r="G3503" s="106">
        <f>INDEX(SETORES!$B:$B,MATCH(A3503,SETORES!$A:$A,0))</f>
        <v/>
      </c>
      <c r="H3503" s="106" t="inlineStr">
        <is>
          <t>Outubro/2026</t>
        </is>
      </c>
    </row>
    <row r="3504">
      <c r="A3504" s="106" t="inlineStr">
        <is>
          <t>Marketing</t>
        </is>
      </c>
      <c r="B3504" s="106" t="inlineStr">
        <is>
          <t>Custo Fixo</t>
        </is>
      </c>
      <c r="C3504" s="106" t="inlineStr">
        <is>
          <t>Material de uso coletivo (copa/limpeza)</t>
        </is>
      </c>
      <c r="D3504" s="107" t="n">
        <v>1</v>
      </c>
      <c r="E3504" s="108" t="n">
        <v>507.51</v>
      </c>
      <c r="F3504" s="109">
        <f>IFERROR(D3504*E3504,0)</f>
        <v/>
      </c>
      <c r="G3504" s="106">
        <f>INDEX(SETORES!$B:$B,MATCH(A3504,SETORES!$A:$A,0))</f>
        <v/>
      </c>
      <c r="H3504" s="106" t="inlineStr">
        <is>
          <t>Outubro/2026</t>
        </is>
      </c>
    </row>
    <row r="3505">
      <c r="A3505" s="106" t="inlineStr">
        <is>
          <t>Marketing</t>
        </is>
      </c>
      <c r="B3505" s="106" t="inlineStr">
        <is>
          <t>Custo Variável</t>
        </is>
      </c>
      <c r="C3505" s="106" t="inlineStr">
        <is>
          <t>Combustível de frota</t>
        </is>
      </c>
      <c r="D3505" s="107" t="n">
        <v>1</v>
      </c>
      <c r="E3505" s="108" t="n">
        <v>1514.08</v>
      </c>
      <c r="F3505" s="109">
        <f>IFERROR(D3505*E3505,0)</f>
        <v/>
      </c>
      <c r="G3505" s="106">
        <f>INDEX(SETORES!$B:$B,MATCH(A3505,SETORES!$A:$A,0))</f>
        <v/>
      </c>
      <c r="H3505" s="106" t="inlineStr">
        <is>
          <t>Outubro/2026</t>
        </is>
      </c>
    </row>
    <row r="3506">
      <c r="A3506" s="106" t="inlineStr">
        <is>
          <t>Marketing</t>
        </is>
      </c>
      <c r="B3506" s="106" t="inlineStr">
        <is>
          <t>Custo Variável</t>
        </is>
      </c>
      <c r="C3506" s="106" t="inlineStr">
        <is>
          <t>Exames médicos</t>
        </is>
      </c>
      <c r="D3506" s="107" t="n"/>
      <c r="E3506" s="108" t="n"/>
      <c r="F3506" s="109">
        <f>IFERROR(D3506*E3506,0)</f>
        <v/>
      </c>
      <c r="G3506" s="106">
        <f>INDEX(SETORES!$B:$B,MATCH(A3506,SETORES!$A:$A,0))</f>
        <v/>
      </c>
      <c r="H3506" s="106" t="inlineStr">
        <is>
          <t>Outubro/2026</t>
        </is>
      </c>
    </row>
    <row r="3507">
      <c r="A3507" s="106" t="inlineStr">
        <is>
          <t>TIC</t>
        </is>
      </c>
      <c r="B3507" s="106" t="inlineStr">
        <is>
          <t>Custo Fixo</t>
        </is>
      </c>
      <c r="C3507" s="106" t="inlineStr">
        <is>
          <t>Folha de pagamento (salários)</t>
        </is>
      </c>
      <c r="D3507" s="107" t="n">
        <v>1</v>
      </c>
      <c r="E3507" s="108" t="n">
        <v>35073.9</v>
      </c>
      <c r="F3507" s="109">
        <f>IFERROR(D3507*E3507,0)</f>
        <v/>
      </c>
      <c r="G3507" s="106">
        <f>INDEX(SETORES!$B:$B,MATCH(A3507,SETORES!$A:$A,0))</f>
        <v/>
      </c>
      <c r="H3507" s="106" t="inlineStr">
        <is>
          <t>Outubro/2026</t>
        </is>
      </c>
    </row>
    <row r="3508">
      <c r="A3508" s="106" t="inlineStr">
        <is>
          <t>TIC</t>
        </is>
      </c>
      <c r="B3508" s="106" t="inlineStr">
        <is>
          <t>Custo Fixo</t>
        </is>
      </c>
      <c r="C3508" s="106" t="inlineStr">
        <is>
          <t>Material de uso coletivo (copa/limpeza)</t>
        </is>
      </c>
      <c r="D3508" s="107" t="n">
        <v>1</v>
      </c>
      <c r="E3508" s="108" t="n">
        <v>107.14</v>
      </c>
      <c r="F3508" s="109">
        <f>IFERROR(D3508*E3508,0)</f>
        <v/>
      </c>
      <c r="G3508" s="106">
        <f>INDEX(SETORES!$B:$B,MATCH(A3508,SETORES!$A:$A,0))</f>
        <v/>
      </c>
      <c r="H3508" s="106" t="inlineStr">
        <is>
          <t>Outubro/2026</t>
        </is>
      </c>
    </row>
    <row r="3509">
      <c r="A3509" s="106" t="inlineStr">
        <is>
          <t>COE</t>
        </is>
      </c>
      <c r="B3509" s="106" t="inlineStr">
        <is>
          <t>Custo Fixo</t>
        </is>
      </c>
      <c r="C3509" s="106" t="inlineStr">
        <is>
          <t>Folha de pagamento (salários)</t>
        </is>
      </c>
      <c r="D3509" s="107" t="n">
        <v>1</v>
      </c>
      <c r="E3509" s="108" t="n">
        <v>71692.57000000001</v>
      </c>
      <c r="F3509" s="109">
        <f>IFERROR(D3509*E3509,0)</f>
        <v/>
      </c>
      <c r="G3509" s="106">
        <f>INDEX(SETORES!$B:$B,MATCH(A3509,SETORES!$A:$A,0))</f>
        <v/>
      </c>
      <c r="H3509" s="106" t="inlineStr">
        <is>
          <t>Outubro/2026</t>
        </is>
      </c>
    </row>
    <row r="3510">
      <c r="A3510" s="106" t="inlineStr">
        <is>
          <t>Fique Móvel</t>
        </is>
      </c>
      <c r="B3510" s="106" t="inlineStr">
        <is>
          <t>Custo Fixo</t>
        </is>
      </c>
      <c r="C3510" s="106" t="inlineStr">
        <is>
          <t>Folha de pagamento (salários)</t>
        </is>
      </c>
      <c r="D3510" s="107" t="n">
        <v>1</v>
      </c>
      <c r="E3510" s="108" t="n">
        <v>13644.85</v>
      </c>
      <c r="F3510" s="109">
        <f>IFERROR(D3510*E3510,0)</f>
        <v/>
      </c>
      <c r="G3510" s="106">
        <f>INDEX(SETORES!$B:$B,MATCH(A3510,SETORES!$A:$A,0))</f>
        <v/>
      </c>
      <c r="H3510" s="106" t="inlineStr">
        <is>
          <t>Outubro/2026</t>
        </is>
      </c>
    </row>
    <row r="3511">
      <c r="A3511" s="106" t="inlineStr">
        <is>
          <t>Lançamento</t>
        </is>
      </c>
      <c r="B3511" s="106" t="inlineStr">
        <is>
          <t>Custo Fixo</t>
        </is>
      </c>
      <c r="C3511" s="106" t="inlineStr">
        <is>
          <t>Folha de pagamento (salários)</t>
        </is>
      </c>
      <c r="D3511" s="107" t="n">
        <v>1</v>
      </c>
      <c r="E3511" s="108" t="n">
        <v>184970.83</v>
      </c>
      <c r="F3511" s="109">
        <f>IFERROR(D3511*E3511,0)</f>
        <v/>
      </c>
      <c r="G3511" s="106">
        <f>INDEX(SETORES!$B:$B,MATCH(A3511,SETORES!$A:$A,0))</f>
        <v/>
      </c>
      <c r="H3511" s="106" t="inlineStr">
        <is>
          <t>Outubro/2026</t>
        </is>
      </c>
    </row>
    <row r="3512">
      <c r="A3512" s="106" t="inlineStr">
        <is>
          <t>Lançamento</t>
        </is>
      </c>
      <c r="B3512" s="106" t="inlineStr">
        <is>
          <t>Custo Variável</t>
        </is>
      </c>
      <c r="C3512" s="106" t="inlineStr">
        <is>
          <t>Combustível de frota</t>
        </is>
      </c>
      <c r="D3512" s="107" t="n">
        <v>1</v>
      </c>
      <c r="E3512" s="108" t="n">
        <v>12181.5</v>
      </c>
      <c r="F3512" s="109">
        <f>IFERROR(D3512*E3512,0)</f>
        <v/>
      </c>
      <c r="G3512" s="106">
        <f>INDEX(SETORES!$B:$B,MATCH(A3512,SETORES!$A:$A,0))</f>
        <v/>
      </c>
      <c r="H3512" s="106" t="inlineStr">
        <is>
          <t>Outubro/2026</t>
        </is>
      </c>
    </row>
    <row r="3513">
      <c r="A3513" s="106" t="inlineStr">
        <is>
          <t>Lançamento</t>
        </is>
      </c>
      <c r="B3513" s="106" t="inlineStr">
        <is>
          <t>Custo Variável</t>
        </is>
      </c>
      <c r="C3513" s="106" t="inlineStr">
        <is>
          <t>EPIs - Equipamento de Proteção Individual</t>
        </is>
      </c>
      <c r="D3513" s="107" t="n"/>
      <c r="E3513" s="108" t="n"/>
      <c r="F3513" s="109">
        <f>IFERROR(D3513*E3513,0)</f>
        <v/>
      </c>
      <c r="G3513" s="106">
        <f>INDEX(SETORES!$B:$B,MATCH(A3513,SETORES!$A:$A,0))</f>
        <v/>
      </c>
      <c r="H3513" s="106" t="inlineStr">
        <is>
          <t>Outubro/2026</t>
        </is>
      </c>
    </row>
    <row r="3514">
      <c r="A3514" s="106" t="inlineStr">
        <is>
          <t>Fusão</t>
        </is>
      </c>
      <c r="B3514" s="106" t="inlineStr">
        <is>
          <t>Custo Fixo</t>
        </is>
      </c>
      <c r="C3514" s="106" t="inlineStr">
        <is>
          <t>Folha de pagamento (salários)</t>
        </is>
      </c>
      <c r="D3514" s="107" t="n">
        <v>1</v>
      </c>
      <c r="E3514" s="108" t="n">
        <v>108616.1</v>
      </c>
      <c r="F3514" s="109">
        <f>IFERROR(D3514*E3514,0)</f>
        <v/>
      </c>
      <c r="G3514" s="106">
        <f>INDEX(SETORES!$B:$B,MATCH(A3514,SETORES!$A:$A,0))</f>
        <v/>
      </c>
      <c r="H3514" s="106" t="inlineStr">
        <is>
          <t>Outubro/2026</t>
        </is>
      </c>
    </row>
    <row r="3515">
      <c r="A3515" s="106" t="inlineStr">
        <is>
          <t>Fusão</t>
        </is>
      </c>
      <c r="B3515" s="106" t="inlineStr">
        <is>
          <t>Custo Variável</t>
        </is>
      </c>
      <c r="C3515" s="106" t="inlineStr">
        <is>
          <t>Combustível de frota</t>
        </is>
      </c>
      <c r="D3515" s="107" t="n">
        <v>1</v>
      </c>
      <c r="E3515" s="108" t="n">
        <v>19762.11</v>
      </c>
      <c r="F3515" s="109">
        <f>IFERROR(D3515*E3515,0)</f>
        <v/>
      </c>
      <c r="G3515" s="106">
        <f>INDEX(SETORES!$B:$B,MATCH(A3515,SETORES!$A:$A,0))</f>
        <v/>
      </c>
      <c r="H3515" s="106" t="inlineStr">
        <is>
          <t>Outubro/2026</t>
        </is>
      </c>
    </row>
    <row r="3516">
      <c r="A3516" s="106" t="inlineStr">
        <is>
          <t>Fusão</t>
        </is>
      </c>
      <c r="B3516" s="106" t="inlineStr">
        <is>
          <t>Custo Variável</t>
        </is>
      </c>
      <c r="C3516" s="106" t="inlineStr">
        <is>
          <t>EPIs - Equipamento de Proteção Individual</t>
        </is>
      </c>
      <c r="D3516" s="107" t="n"/>
      <c r="E3516" s="108" t="n"/>
      <c r="F3516" s="109">
        <f>IFERROR(D3516*E3516,0)</f>
        <v/>
      </c>
      <c r="G3516" s="106">
        <f>INDEX(SETORES!$B:$B,MATCH(A3516,SETORES!$A:$A,0))</f>
        <v/>
      </c>
      <c r="H3516" s="106" t="inlineStr">
        <is>
          <t>Outubro/2026</t>
        </is>
      </c>
    </row>
    <row r="3517">
      <c r="A3517" s="106" t="inlineStr">
        <is>
          <t>Diretoria Adm</t>
        </is>
      </c>
      <c r="B3517" s="106" t="inlineStr">
        <is>
          <t>Custo Fixo</t>
        </is>
      </c>
      <c r="C3517" s="106" t="inlineStr">
        <is>
          <t>Folha de pagamento (salários)</t>
        </is>
      </c>
      <c r="D3517" s="107" t="n">
        <v>1</v>
      </c>
      <c r="E3517" s="108" t="n">
        <v>11133.4</v>
      </c>
      <c r="F3517" s="109">
        <f>IFERROR(D3517*E3517,0)</f>
        <v/>
      </c>
      <c r="G3517" s="106">
        <f>INDEX(SETORES!$B:$B,MATCH(A3517,SETORES!$A:$A,0))</f>
        <v/>
      </c>
      <c r="H3517" s="106" t="inlineStr">
        <is>
          <t>Outubro/2026</t>
        </is>
      </c>
    </row>
    <row r="3518">
      <c r="A3518" s="106" t="inlineStr">
        <is>
          <t>Diretoria Adm</t>
        </is>
      </c>
      <c r="B3518" s="106" t="inlineStr">
        <is>
          <t>Custo Fixo</t>
        </is>
      </c>
      <c r="C3518" s="106" t="inlineStr">
        <is>
          <t>Material de escritório (suprimentos de informática)</t>
        </is>
      </c>
      <c r="D3518" s="107" t="n"/>
      <c r="E3518" s="108" t="n"/>
      <c r="F3518" s="109">
        <f>IFERROR(D3518*E3518,0)</f>
        <v/>
      </c>
      <c r="G3518" s="106">
        <f>INDEX(SETORES!$B:$B,MATCH(A3518,SETORES!$A:$A,0))</f>
        <v/>
      </c>
      <c r="H3518" s="106" t="inlineStr">
        <is>
          <t>Outubro/2026</t>
        </is>
      </c>
    </row>
    <row r="3519">
      <c r="A3519" s="106" t="inlineStr">
        <is>
          <t>Diretoria Adm</t>
        </is>
      </c>
      <c r="B3519" s="106" t="inlineStr">
        <is>
          <t>Custo Fixo</t>
        </is>
      </c>
      <c r="C3519" s="106" t="inlineStr">
        <is>
          <t>Material de uso coletivo (copa/limpeza)</t>
        </is>
      </c>
      <c r="D3519" s="107" t="n"/>
      <c r="E3519" s="108" t="n"/>
      <c r="F3519" s="109">
        <f>IFERROR(D3519*E3519,0)</f>
        <v/>
      </c>
      <c r="G3519" s="106">
        <f>INDEX(SETORES!$B:$B,MATCH(A3519,SETORES!$A:$A,0))</f>
        <v/>
      </c>
      <c r="H3519" s="106" t="inlineStr">
        <is>
          <t>Outubro/2026</t>
        </is>
      </c>
    </row>
    <row r="3520">
      <c r="A3520" s="106" t="inlineStr">
        <is>
          <t>Comercial Corporativo</t>
        </is>
      </c>
      <c r="B3520" s="106" t="inlineStr">
        <is>
          <t>Custo Fixo</t>
        </is>
      </c>
      <c r="C3520" s="106" t="inlineStr">
        <is>
          <t>Material de uso coletivo (copa/limpeza)</t>
        </is>
      </c>
      <c r="D3520" s="107" t="n"/>
      <c r="E3520" s="108" t="n"/>
      <c r="F3520" s="109">
        <f>IFERROR(D3520*E3520,0)</f>
        <v/>
      </c>
      <c r="G3520" s="106">
        <f>INDEX(SETORES!$B:$B,MATCH(A3520,SETORES!$A:$A,0))</f>
        <v/>
      </c>
      <c r="H3520" s="106" t="inlineStr">
        <is>
          <t>Outubro/2026</t>
        </is>
      </c>
    </row>
    <row r="3521">
      <c r="A3521" s="106" t="inlineStr">
        <is>
          <t>Fique Móvel</t>
        </is>
      </c>
      <c r="B3521" s="106" t="inlineStr">
        <is>
          <t>Custo Fixo</t>
        </is>
      </c>
      <c r="C3521" s="106" t="inlineStr">
        <is>
          <t>Material de uso coletivo (copa/limpeza)</t>
        </is>
      </c>
      <c r="D3521" s="107" t="n">
        <v>1</v>
      </c>
      <c r="E3521" s="108" t="n">
        <v>175.81</v>
      </c>
      <c r="F3521" s="109">
        <f>IFERROR(D3521*E3521,0)</f>
        <v/>
      </c>
      <c r="G3521" s="106">
        <f>INDEX(SETORES!$B:$B,MATCH(A3521,SETORES!$A:$A,0))</f>
        <v/>
      </c>
      <c r="H3521" s="106" t="inlineStr">
        <is>
          <t>Outubro/2026</t>
        </is>
      </c>
    </row>
    <row r="3522">
      <c r="A3522" s="106" t="inlineStr">
        <is>
          <t>Qualidade</t>
        </is>
      </c>
      <c r="B3522" s="106" t="inlineStr">
        <is>
          <t>Custo Fixo</t>
        </is>
      </c>
      <c r="C3522" s="106" t="inlineStr">
        <is>
          <t>Gympass</t>
        </is>
      </c>
      <c r="D3522" s="107" t="n"/>
      <c r="E3522" s="108" t="n"/>
      <c r="F3522" s="109">
        <f>IFERROR(D3522*E3522,0)</f>
        <v/>
      </c>
      <c r="G3522" s="106">
        <f>INDEX(SETORES!$B:$B,MATCH(A3522,SETORES!$A:$A,0))</f>
        <v/>
      </c>
      <c r="H3522" s="106" t="inlineStr">
        <is>
          <t>Outubro/2026</t>
        </is>
      </c>
    </row>
    <row r="3523">
      <c r="A3523" s="106" t="inlineStr">
        <is>
          <t>Qualidade</t>
        </is>
      </c>
      <c r="B3523" s="106" t="inlineStr">
        <is>
          <t>Custo Fixo</t>
        </is>
      </c>
      <c r="C3523" s="106" t="inlineStr">
        <is>
          <t>Stargrid</t>
        </is>
      </c>
      <c r="D3523" s="107" t="n">
        <v>11</v>
      </c>
      <c r="E3523" s="108" t="n">
        <v>1.87</v>
      </c>
      <c r="F3523" s="109">
        <f>IFERROR(D3523*E3523,0)</f>
        <v/>
      </c>
      <c r="G3523" s="106">
        <f>INDEX(SETORES!$B:$B,MATCH(A3523,SETORES!$A:$A,0))</f>
        <v/>
      </c>
      <c r="H3523" s="106" t="inlineStr">
        <is>
          <t>Outubro/2026</t>
        </is>
      </c>
    </row>
    <row r="3524">
      <c r="A3524" s="106" t="inlineStr">
        <is>
          <t>Qualidade</t>
        </is>
      </c>
      <c r="B3524" s="106" t="inlineStr">
        <is>
          <t>Custo Fixo</t>
        </is>
      </c>
      <c r="C3524" s="106" t="inlineStr">
        <is>
          <t>Licença de e-mail corporativo</t>
        </is>
      </c>
      <c r="D3524" s="107" t="n">
        <v>11</v>
      </c>
      <c r="E3524" s="108" t="n">
        <v>50</v>
      </c>
      <c r="F3524" s="109">
        <f>IFERROR(D3524*E3524,0)</f>
        <v/>
      </c>
      <c r="G3524" s="106">
        <f>INDEX(SETORES!$B:$B,MATCH(A3524,SETORES!$A:$A,0))</f>
        <v/>
      </c>
      <c r="H3524" s="106" t="inlineStr">
        <is>
          <t>Outubro/2026</t>
        </is>
      </c>
    </row>
    <row r="3525">
      <c r="A3525" s="106" t="inlineStr">
        <is>
          <t>Qualidade</t>
        </is>
      </c>
      <c r="B3525" s="106" t="inlineStr">
        <is>
          <t>Custo Fixo</t>
        </is>
      </c>
      <c r="C3525" s="106" t="inlineStr">
        <is>
          <t>Despesas com RH</t>
        </is>
      </c>
      <c r="D3525" s="107" t="n">
        <v>11</v>
      </c>
      <c r="E3525" s="108" t="n">
        <v>32.55</v>
      </c>
      <c r="F3525" s="109">
        <f>IFERROR(D3525*E3525,0)</f>
        <v/>
      </c>
      <c r="G3525" s="106">
        <f>INDEX(SETORES!$B:$B,MATCH(A3525,SETORES!$A:$A,0))</f>
        <v/>
      </c>
      <c r="H3525" s="106" t="inlineStr">
        <is>
          <t>Outubro/2026</t>
        </is>
      </c>
    </row>
    <row r="3526">
      <c r="A3526" s="106" t="inlineStr">
        <is>
          <t>Qualidade</t>
        </is>
      </c>
      <c r="B3526" s="106" t="inlineStr">
        <is>
          <t>Custo Fixo</t>
        </is>
      </c>
      <c r="C3526" s="106" t="inlineStr">
        <is>
          <t>Despesas com DP</t>
        </is>
      </c>
      <c r="D3526" s="107" t="n">
        <v>11</v>
      </c>
      <c r="E3526" s="108" t="n">
        <v>52.09</v>
      </c>
      <c r="F3526" s="109">
        <f>IFERROR(D3526*E3526,0)</f>
        <v/>
      </c>
      <c r="G3526" s="106">
        <f>INDEX(SETORES!$B:$B,MATCH(A3526,SETORES!$A:$A,0))</f>
        <v/>
      </c>
      <c r="H3526" s="106" t="inlineStr">
        <is>
          <t>Outubro/2026</t>
        </is>
      </c>
    </row>
    <row r="3527">
      <c r="A3527" s="106" t="inlineStr">
        <is>
          <t>Qualidade</t>
        </is>
      </c>
      <c r="B3527" s="106" t="inlineStr">
        <is>
          <t>Custo Fixo</t>
        </is>
      </c>
      <c r="C3527" s="106" t="inlineStr">
        <is>
          <t>Despesas com SST</t>
        </is>
      </c>
      <c r="D3527" s="107" t="n">
        <v>11</v>
      </c>
      <c r="E3527" s="108" t="n">
        <v>52.35</v>
      </c>
      <c r="F3527" s="109">
        <f>IFERROR(D3527*E3527,0)</f>
        <v/>
      </c>
      <c r="G3527" s="106">
        <f>INDEX(SETORES!$B:$B,MATCH(A3527,SETORES!$A:$A,0))</f>
        <v/>
      </c>
      <c r="H3527" s="106" t="inlineStr">
        <is>
          <t>Outubro/2026</t>
        </is>
      </c>
    </row>
    <row r="3528">
      <c r="A3528" s="106" t="inlineStr">
        <is>
          <t>Jurídico</t>
        </is>
      </c>
      <c r="B3528" s="106" t="inlineStr">
        <is>
          <t>Custo Fixo</t>
        </is>
      </c>
      <c r="C3528" s="106" t="inlineStr">
        <is>
          <t>Gympass</t>
        </is>
      </c>
      <c r="D3528" s="107" t="n"/>
      <c r="E3528" s="108" t="n"/>
      <c r="F3528" s="109">
        <f>IFERROR(D3528*E3528,0)</f>
        <v/>
      </c>
      <c r="G3528" s="106">
        <f>INDEX(SETORES!$B:$B,MATCH(A3528,SETORES!$A:$A,0))</f>
        <v/>
      </c>
      <c r="H3528" s="106" t="inlineStr">
        <is>
          <t>Outubro/2026</t>
        </is>
      </c>
    </row>
    <row r="3529">
      <c r="A3529" s="106" t="inlineStr">
        <is>
          <t>Jurídico</t>
        </is>
      </c>
      <c r="B3529" s="106" t="inlineStr">
        <is>
          <t>Custo Fixo</t>
        </is>
      </c>
      <c r="C3529" s="106" t="inlineStr">
        <is>
          <t>Stargrid</t>
        </is>
      </c>
      <c r="D3529" s="107" t="n">
        <v>2</v>
      </c>
      <c r="E3529" s="108" t="n">
        <v>1.87</v>
      </c>
      <c r="F3529" s="109">
        <f>IFERROR(D3529*E3529,0)</f>
        <v/>
      </c>
      <c r="G3529" s="106">
        <f>INDEX(SETORES!$B:$B,MATCH(A3529,SETORES!$A:$A,0))</f>
        <v/>
      </c>
      <c r="H3529" s="106" t="inlineStr">
        <is>
          <t>Outubro/2026</t>
        </is>
      </c>
    </row>
    <row r="3530">
      <c r="A3530" s="106" t="inlineStr">
        <is>
          <t>Jurídico</t>
        </is>
      </c>
      <c r="B3530" s="106" t="inlineStr">
        <is>
          <t>Custo Fixo</t>
        </is>
      </c>
      <c r="C3530" s="106" t="inlineStr">
        <is>
          <t>Licença de e-mail corporativo</t>
        </is>
      </c>
      <c r="D3530" s="107" t="n">
        <v>2</v>
      </c>
      <c r="E3530" s="108" t="n">
        <v>50</v>
      </c>
      <c r="F3530" s="109">
        <f>IFERROR(D3530*E3530,0)</f>
        <v/>
      </c>
      <c r="G3530" s="106">
        <f>INDEX(SETORES!$B:$B,MATCH(A3530,SETORES!$A:$A,0))</f>
        <v/>
      </c>
      <c r="H3530" s="106" t="inlineStr">
        <is>
          <t>Outubro/2026</t>
        </is>
      </c>
    </row>
    <row r="3531">
      <c r="A3531" s="106" t="inlineStr">
        <is>
          <t>Jurídico</t>
        </is>
      </c>
      <c r="B3531" s="106" t="inlineStr">
        <is>
          <t>Custo Fixo</t>
        </is>
      </c>
      <c r="C3531" s="106" t="inlineStr">
        <is>
          <t>Despesas com RH</t>
        </is>
      </c>
      <c r="D3531" s="107" t="n">
        <v>2</v>
      </c>
      <c r="E3531" s="108" t="n">
        <v>32.55</v>
      </c>
      <c r="F3531" s="109">
        <f>IFERROR(D3531*E3531,0)</f>
        <v/>
      </c>
      <c r="G3531" s="106">
        <f>INDEX(SETORES!$B:$B,MATCH(A3531,SETORES!$A:$A,0))</f>
        <v/>
      </c>
      <c r="H3531" s="106" t="inlineStr">
        <is>
          <t>Outubro/2026</t>
        </is>
      </c>
    </row>
    <row r="3532">
      <c r="A3532" s="106" t="inlineStr">
        <is>
          <t>Jurídico</t>
        </is>
      </c>
      <c r="B3532" s="106" t="inlineStr">
        <is>
          <t>Custo Fixo</t>
        </is>
      </c>
      <c r="C3532" s="106" t="inlineStr">
        <is>
          <t>Despesas com DP</t>
        </is>
      </c>
      <c r="D3532" s="107" t="n">
        <v>2</v>
      </c>
      <c r="E3532" s="108" t="n">
        <v>52.09</v>
      </c>
      <c r="F3532" s="109">
        <f>IFERROR(D3532*E3532,0)</f>
        <v/>
      </c>
      <c r="G3532" s="106">
        <f>INDEX(SETORES!$B:$B,MATCH(A3532,SETORES!$A:$A,0))</f>
        <v/>
      </c>
      <c r="H3532" s="106" t="inlineStr">
        <is>
          <t>Outubro/2026</t>
        </is>
      </c>
    </row>
    <row r="3533">
      <c r="A3533" s="106" t="inlineStr">
        <is>
          <t>Jurídico</t>
        </is>
      </c>
      <c r="B3533" s="106" t="inlineStr">
        <is>
          <t>Custo Fixo</t>
        </is>
      </c>
      <c r="C3533" s="106" t="inlineStr">
        <is>
          <t>Despesas com SST</t>
        </is>
      </c>
      <c r="D3533" s="107" t="n">
        <v>2</v>
      </c>
      <c r="E3533" s="108" t="n">
        <v>52.35</v>
      </c>
      <c r="F3533" s="109">
        <f>IFERROR(D3533*E3533,0)</f>
        <v/>
      </c>
      <c r="G3533" s="106">
        <f>INDEX(SETORES!$B:$B,MATCH(A3533,SETORES!$A:$A,0))</f>
        <v/>
      </c>
      <c r="H3533" s="106" t="inlineStr">
        <is>
          <t>Outubro/2026</t>
        </is>
      </c>
    </row>
    <row r="3534">
      <c r="A3534" s="106" t="inlineStr">
        <is>
          <t>Marketing</t>
        </is>
      </c>
      <c r="B3534" s="106" t="inlineStr">
        <is>
          <t>Custo Fixo</t>
        </is>
      </c>
      <c r="C3534" s="106" t="inlineStr">
        <is>
          <t>Gympass</t>
        </is>
      </c>
      <c r="D3534" s="107" t="n"/>
      <c r="E3534" s="108" t="n"/>
      <c r="F3534" s="109">
        <f>IFERROR(D3534*E3534,0)</f>
        <v/>
      </c>
      <c r="G3534" s="106">
        <f>INDEX(SETORES!$B:$B,MATCH(A3534,SETORES!$A:$A,0))</f>
        <v/>
      </c>
      <c r="H3534" s="106" t="inlineStr">
        <is>
          <t>Outubro/2026</t>
        </is>
      </c>
    </row>
    <row r="3535">
      <c r="A3535" s="106" t="inlineStr">
        <is>
          <t>Marketing</t>
        </is>
      </c>
      <c r="B3535" s="106" t="inlineStr">
        <is>
          <t>Custo Fixo</t>
        </is>
      </c>
      <c r="C3535" s="106" t="inlineStr">
        <is>
          <t>Stargrid</t>
        </is>
      </c>
      <c r="D3535" s="107" t="n">
        <v>17</v>
      </c>
      <c r="E3535" s="108" t="n">
        <v>1.87</v>
      </c>
      <c r="F3535" s="109">
        <f>IFERROR(D3535*E3535,0)</f>
        <v/>
      </c>
      <c r="G3535" s="106">
        <f>INDEX(SETORES!$B:$B,MATCH(A3535,SETORES!$A:$A,0))</f>
        <v/>
      </c>
      <c r="H3535" s="106" t="inlineStr">
        <is>
          <t>Outubro/2026</t>
        </is>
      </c>
    </row>
    <row r="3536">
      <c r="A3536" s="106" t="inlineStr">
        <is>
          <t>Marketing</t>
        </is>
      </c>
      <c r="B3536" s="106" t="inlineStr">
        <is>
          <t>Custo Fixo</t>
        </is>
      </c>
      <c r="C3536" s="106" t="inlineStr">
        <is>
          <t>Licença de e-mail corporativo</t>
        </is>
      </c>
      <c r="D3536" s="107" t="n">
        <v>17</v>
      </c>
      <c r="E3536" s="108" t="n">
        <v>50</v>
      </c>
      <c r="F3536" s="109">
        <f>IFERROR(D3536*E3536,0)</f>
        <v/>
      </c>
      <c r="G3536" s="106">
        <f>INDEX(SETORES!$B:$B,MATCH(A3536,SETORES!$A:$A,0))</f>
        <v/>
      </c>
      <c r="H3536" s="106" t="inlineStr">
        <is>
          <t>Outubro/2026</t>
        </is>
      </c>
    </row>
    <row r="3537">
      <c r="A3537" s="106" t="inlineStr">
        <is>
          <t>Marketing</t>
        </is>
      </c>
      <c r="B3537" s="106" t="inlineStr">
        <is>
          <t>Custo Fixo</t>
        </is>
      </c>
      <c r="C3537" s="106" t="inlineStr">
        <is>
          <t>Despesas com RH</t>
        </is>
      </c>
      <c r="D3537" s="107" t="n">
        <v>17</v>
      </c>
      <c r="E3537" s="108" t="n">
        <v>32.55</v>
      </c>
      <c r="F3537" s="109">
        <f>IFERROR(D3537*E3537,0)</f>
        <v/>
      </c>
      <c r="G3537" s="106">
        <f>INDEX(SETORES!$B:$B,MATCH(A3537,SETORES!$A:$A,0))</f>
        <v/>
      </c>
      <c r="H3537" s="106" t="inlineStr">
        <is>
          <t>Outubro/2026</t>
        </is>
      </c>
    </row>
    <row r="3538">
      <c r="A3538" s="106" t="inlineStr">
        <is>
          <t>Marketing</t>
        </is>
      </c>
      <c r="B3538" s="106" t="inlineStr">
        <is>
          <t>Custo Fixo</t>
        </is>
      </c>
      <c r="C3538" s="106" t="inlineStr">
        <is>
          <t>Despesas com DP</t>
        </is>
      </c>
      <c r="D3538" s="107" t="n">
        <v>17</v>
      </c>
      <c r="E3538" s="108" t="n">
        <v>52.09</v>
      </c>
      <c r="F3538" s="109">
        <f>IFERROR(D3538*E3538,0)</f>
        <v/>
      </c>
      <c r="G3538" s="106">
        <f>INDEX(SETORES!$B:$B,MATCH(A3538,SETORES!$A:$A,0))</f>
        <v/>
      </c>
      <c r="H3538" s="106" t="inlineStr">
        <is>
          <t>Outubro/2026</t>
        </is>
      </c>
    </row>
    <row r="3539">
      <c r="A3539" s="106" t="inlineStr">
        <is>
          <t>Marketing</t>
        </is>
      </c>
      <c r="B3539" s="106" t="inlineStr">
        <is>
          <t>Custo Fixo</t>
        </is>
      </c>
      <c r="C3539" s="106" t="inlineStr">
        <is>
          <t>Despesas com SST</t>
        </is>
      </c>
      <c r="D3539" s="107" t="n">
        <v>17</v>
      </c>
      <c r="E3539" s="108" t="n">
        <v>52.35</v>
      </c>
      <c r="F3539" s="109">
        <f>IFERROR(D3539*E3539,0)</f>
        <v/>
      </c>
      <c r="G3539" s="106">
        <f>INDEX(SETORES!$B:$B,MATCH(A3539,SETORES!$A:$A,0))</f>
        <v/>
      </c>
      <c r="H3539" s="106" t="inlineStr">
        <is>
          <t>Outubro/2026</t>
        </is>
      </c>
    </row>
    <row r="3540">
      <c r="A3540" s="106" t="inlineStr">
        <is>
          <t>TIC</t>
        </is>
      </c>
      <c r="B3540" s="106" t="inlineStr">
        <is>
          <t>Custo Fixo</t>
        </is>
      </c>
      <c r="C3540" s="106" t="inlineStr">
        <is>
          <t>Gympass</t>
        </is>
      </c>
      <c r="D3540" s="107" t="n"/>
      <c r="E3540" s="108" t="n"/>
      <c r="F3540" s="109">
        <f>IFERROR(D3540*E3540,0)</f>
        <v/>
      </c>
      <c r="G3540" s="106">
        <f>INDEX(SETORES!$B:$B,MATCH(A3540,SETORES!$A:$A,0))</f>
        <v/>
      </c>
      <c r="H3540" s="106" t="inlineStr">
        <is>
          <t>Outubro/2026</t>
        </is>
      </c>
    </row>
    <row r="3541">
      <c r="A3541" s="106" t="inlineStr">
        <is>
          <t>TIC</t>
        </is>
      </c>
      <c r="B3541" s="106" t="inlineStr">
        <is>
          <t>Custo Fixo</t>
        </is>
      </c>
      <c r="C3541" s="106" t="inlineStr">
        <is>
          <t>Stargrid</t>
        </is>
      </c>
      <c r="D3541" s="107" t="n">
        <v>7</v>
      </c>
      <c r="E3541" s="108" t="n">
        <v>1.87</v>
      </c>
      <c r="F3541" s="109">
        <f>IFERROR(D3541*E3541,0)</f>
        <v/>
      </c>
      <c r="G3541" s="106">
        <f>INDEX(SETORES!$B:$B,MATCH(A3541,SETORES!$A:$A,0))</f>
        <v/>
      </c>
      <c r="H3541" s="106" t="inlineStr">
        <is>
          <t>Outubro/2026</t>
        </is>
      </c>
    </row>
    <row r="3542">
      <c r="A3542" s="106" t="inlineStr">
        <is>
          <t>TIC</t>
        </is>
      </c>
      <c r="B3542" s="106" t="inlineStr">
        <is>
          <t>Custo Fixo</t>
        </is>
      </c>
      <c r="C3542" s="106" t="inlineStr">
        <is>
          <t>Licença de e-mail corporativo</t>
        </is>
      </c>
      <c r="D3542" s="107" t="n">
        <v>7</v>
      </c>
      <c r="E3542" s="108" t="n">
        <v>50</v>
      </c>
      <c r="F3542" s="109">
        <f>IFERROR(D3542*E3542,0)</f>
        <v/>
      </c>
      <c r="G3542" s="106">
        <f>INDEX(SETORES!$B:$B,MATCH(A3542,SETORES!$A:$A,0))</f>
        <v/>
      </c>
      <c r="H3542" s="106" t="inlineStr">
        <is>
          <t>Outubro/2026</t>
        </is>
      </c>
    </row>
    <row r="3543">
      <c r="A3543" s="106" t="inlineStr">
        <is>
          <t>TIC</t>
        </is>
      </c>
      <c r="B3543" s="106" t="inlineStr">
        <is>
          <t>Custo Fixo</t>
        </is>
      </c>
      <c r="C3543" s="106" t="inlineStr">
        <is>
          <t>Despesas com RH</t>
        </is>
      </c>
      <c r="D3543" s="107" t="n">
        <v>7</v>
      </c>
      <c r="E3543" s="108" t="n">
        <v>32.55</v>
      </c>
      <c r="F3543" s="109">
        <f>IFERROR(D3543*E3543,0)</f>
        <v/>
      </c>
      <c r="G3543" s="106">
        <f>INDEX(SETORES!$B:$B,MATCH(A3543,SETORES!$A:$A,0))</f>
        <v/>
      </c>
      <c r="H3543" s="106" t="inlineStr">
        <is>
          <t>Outubro/2026</t>
        </is>
      </c>
    </row>
    <row r="3544">
      <c r="A3544" s="106" t="inlineStr">
        <is>
          <t>TIC</t>
        </is>
      </c>
      <c r="B3544" s="106" t="inlineStr">
        <is>
          <t>Custo Fixo</t>
        </is>
      </c>
      <c r="C3544" s="106" t="inlineStr">
        <is>
          <t>Despesas com DP</t>
        </is>
      </c>
      <c r="D3544" s="107" t="n">
        <v>7</v>
      </c>
      <c r="E3544" s="108" t="n">
        <v>52.09</v>
      </c>
      <c r="F3544" s="109">
        <f>IFERROR(D3544*E3544,0)</f>
        <v/>
      </c>
      <c r="G3544" s="106">
        <f>INDEX(SETORES!$B:$B,MATCH(A3544,SETORES!$A:$A,0))</f>
        <v/>
      </c>
      <c r="H3544" s="106" t="inlineStr">
        <is>
          <t>Outubro/2026</t>
        </is>
      </c>
    </row>
    <row r="3545">
      <c r="A3545" s="106" t="inlineStr">
        <is>
          <t>TIC</t>
        </is>
      </c>
      <c r="B3545" s="106" t="inlineStr">
        <is>
          <t>Custo Fixo</t>
        </is>
      </c>
      <c r="C3545" s="106" t="inlineStr">
        <is>
          <t>Despesas com SST</t>
        </is>
      </c>
      <c r="D3545" s="107" t="n">
        <v>7</v>
      </c>
      <c r="E3545" s="108" t="n">
        <v>52.35</v>
      </c>
      <c r="F3545" s="109">
        <f>IFERROR(D3545*E3545,0)</f>
        <v/>
      </c>
      <c r="G3545" s="106">
        <f>INDEX(SETORES!$B:$B,MATCH(A3545,SETORES!$A:$A,0))</f>
        <v/>
      </c>
      <c r="H3545" s="106" t="inlineStr">
        <is>
          <t>Outubro/2026</t>
        </is>
      </c>
    </row>
    <row r="3546">
      <c r="A3546" s="106" t="inlineStr">
        <is>
          <t>COE</t>
        </is>
      </c>
      <c r="B3546" s="106" t="inlineStr">
        <is>
          <t>Custo Fixo</t>
        </is>
      </c>
      <c r="C3546" s="106" t="inlineStr">
        <is>
          <t>Gympass</t>
        </is>
      </c>
      <c r="D3546" s="107" t="n"/>
      <c r="E3546" s="108" t="n"/>
      <c r="F3546" s="109">
        <f>IFERROR(D3546*E3546,0)</f>
        <v/>
      </c>
      <c r="G3546" s="106">
        <f>INDEX(SETORES!$B:$B,MATCH(A3546,SETORES!$A:$A,0))</f>
        <v/>
      </c>
      <c r="H3546" s="106" t="inlineStr">
        <is>
          <t>Outubro/2026</t>
        </is>
      </c>
    </row>
    <row r="3547">
      <c r="A3547" s="106" t="inlineStr">
        <is>
          <t>COE</t>
        </is>
      </c>
      <c r="B3547" s="106" t="inlineStr">
        <is>
          <t>Custo Fixo</t>
        </is>
      </c>
      <c r="C3547" s="106" t="inlineStr">
        <is>
          <t>Stargrid</t>
        </is>
      </c>
      <c r="D3547" s="107" t="n">
        <v>11</v>
      </c>
      <c r="E3547" s="108" t="n">
        <v>1.87</v>
      </c>
      <c r="F3547" s="109">
        <f>IFERROR(D3547*E3547,0)</f>
        <v/>
      </c>
      <c r="G3547" s="106">
        <f>INDEX(SETORES!$B:$B,MATCH(A3547,SETORES!$A:$A,0))</f>
        <v/>
      </c>
      <c r="H3547" s="106" t="inlineStr">
        <is>
          <t>Outubro/2026</t>
        </is>
      </c>
    </row>
    <row r="3548">
      <c r="A3548" s="106" t="inlineStr">
        <is>
          <t>COE</t>
        </is>
      </c>
      <c r="B3548" s="106" t="inlineStr">
        <is>
          <t>Custo Fixo</t>
        </is>
      </c>
      <c r="C3548" s="106" t="inlineStr">
        <is>
          <t>Licença de e-mail corporativo</t>
        </is>
      </c>
      <c r="D3548" s="107" t="n">
        <v>11</v>
      </c>
      <c r="E3548" s="108" t="n">
        <v>50</v>
      </c>
      <c r="F3548" s="109">
        <f>IFERROR(D3548*E3548,0)</f>
        <v/>
      </c>
      <c r="G3548" s="106">
        <f>INDEX(SETORES!$B:$B,MATCH(A3548,SETORES!$A:$A,0))</f>
        <v/>
      </c>
      <c r="H3548" s="106" t="inlineStr">
        <is>
          <t>Outubro/2026</t>
        </is>
      </c>
    </row>
    <row r="3549">
      <c r="A3549" s="106" t="inlineStr">
        <is>
          <t>COE</t>
        </is>
      </c>
      <c r="B3549" s="106" t="inlineStr">
        <is>
          <t>Custo Fixo</t>
        </is>
      </c>
      <c r="C3549" s="106" t="inlineStr">
        <is>
          <t>Despesas com RH</t>
        </is>
      </c>
      <c r="D3549" s="107" t="n">
        <v>11</v>
      </c>
      <c r="E3549" s="108" t="n">
        <v>32.55</v>
      </c>
      <c r="F3549" s="109">
        <f>IFERROR(D3549*E3549,0)</f>
        <v/>
      </c>
      <c r="G3549" s="106">
        <f>INDEX(SETORES!$B:$B,MATCH(A3549,SETORES!$A:$A,0))</f>
        <v/>
      </c>
      <c r="H3549" s="106" t="inlineStr">
        <is>
          <t>Outubro/2026</t>
        </is>
      </c>
    </row>
    <row r="3550">
      <c r="A3550" s="106" t="inlineStr">
        <is>
          <t>COE</t>
        </is>
      </c>
      <c r="B3550" s="106" t="inlineStr">
        <is>
          <t>Custo Fixo</t>
        </is>
      </c>
      <c r="C3550" s="106" t="inlineStr">
        <is>
          <t>Despesas com DP</t>
        </is>
      </c>
      <c r="D3550" s="107" t="n">
        <v>11</v>
      </c>
      <c r="E3550" s="108" t="n">
        <v>52.09</v>
      </c>
      <c r="F3550" s="109">
        <f>IFERROR(D3550*E3550,0)</f>
        <v/>
      </c>
      <c r="G3550" s="106">
        <f>INDEX(SETORES!$B:$B,MATCH(A3550,SETORES!$A:$A,0))</f>
        <v/>
      </c>
      <c r="H3550" s="106" t="inlineStr">
        <is>
          <t>Outubro/2026</t>
        </is>
      </c>
    </row>
    <row r="3551">
      <c r="A3551" s="106" t="inlineStr">
        <is>
          <t>COE</t>
        </is>
      </c>
      <c r="B3551" s="106" t="inlineStr">
        <is>
          <t>Custo Fixo</t>
        </is>
      </c>
      <c r="C3551" s="106" t="inlineStr">
        <is>
          <t>Despesas com SST</t>
        </is>
      </c>
      <c r="D3551" s="107" t="n">
        <v>11</v>
      </c>
      <c r="E3551" s="108" t="n">
        <v>52.35</v>
      </c>
      <c r="F3551" s="109">
        <f>IFERROR(D3551*E3551,0)</f>
        <v/>
      </c>
      <c r="G3551" s="106">
        <f>INDEX(SETORES!$B:$B,MATCH(A3551,SETORES!$A:$A,0))</f>
        <v/>
      </c>
      <c r="H3551" s="106" t="inlineStr">
        <is>
          <t>Outubro/2026</t>
        </is>
      </c>
    </row>
    <row r="3552">
      <c r="A3552" s="106" t="inlineStr">
        <is>
          <t>Fique Móvel</t>
        </is>
      </c>
      <c r="B3552" s="106" t="inlineStr">
        <is>
          <t>Custo Fixo</t>
        </is>
      </c>
      <c r="C3552" s="106" t="inlineStr">
        <is>
          <t>Gympass</t>
        </is>
      </c>
      <c r="D3552" s="107" t="n"/>
      <c r="E3552" s="108" t="n"/>
      <c r="F3552" s="109">
        <f>IFERROR(D3552*E3552,0)</f>
        <v/>
      </c>
      <c r="G3552" s="106">
        <f>INDEX(SETORES!$B:$B,MATCH(A3552,SETORES!$A:$A,0))</f>
        <v/>
      </c>
      <c r="H3552" s="106" t="inlineStr">
        <is>
          <t>Outubro/2026</t>
        </is>
      </c>
    </row>
    <row r="3553">
      <c r="A3553" s="106" t="inlineStr">
        <is>
          <t>Fique Móvel</t>
        </is>
      </c>
      <c r="B3553" s="106" t="inlineStr">
        <is>
          <t>Custo Fixo</t>
        </is>
      </c>
      <c r="C3553" s="106" t="inlineStr">
        <is>
          <t>Stargrid</t>
        </is>
      </c>
      <c r="D3553" s="107" t="n">
        <v>3</v>
      </c>
      <c r="E3553" s="108" t="n">
        <v>1.87</v>
      </c>
      <c r="F3553" s="109">
        <f>IFERROR(D3553*E3553,0)</f>
        <v/>
      </c>
      <c r="G3553" s="106">
        <f>INDEX(SETORES!$B:$B,MATCH(A3553,SETORES!$A:$A,0))</f>
        <v/>
      </c>
      <c r="H3553" s="106" t="inlineStr">
        <is>
          <t>Outubro/2026</t>
        </is>
      </c>
    </row>
    <row r="3554">
      <c r="A3554" s="106" t="inlineStr">
        <is>
          <t>Fique Móvel</t>
        </is>
      </c>
      <c r="B3554" s="106" t="inlineStr">
        <is>
          <t>Custo Fixo</t>
        </is>
      </c>
      <c r="C3554" s="106" t="inlineStr">
        <is>
          <t>Licença de e-mail corporativo</t>
        </is>
      </c>
      <c r="D3554" s="107" t="n">
        <v>3</v>
      </c>
      <c r="E3554" s="108" t="n">
        <v>50</v>
      </c>
      <c r="F3554" s="109">
        <f>IFERROR(D3554*E3554,0)</f>
        <v/>
      </c>
      <c r="G3554" s="106">
        <f>INDEX(SETORES!$B:$B,MATCH(A3554,SETORES!$A:$A,0))</f>
        <v/>
      </c>
      <c r="H3554" s="106" t="inlineStr">
        <is>
          <t>Outubro/2026</t>
        </is>
      </c>
    </row>
    <row r="3555">
      <c r="A3555" s="106" t="inlineStr">
        <is>
          <t>Fique Móvel</t>
        </is>
      </c>
      <c r="B3555" s="106" t="inlineStr">
        <is>
          <t>Custo Fixo</t>
        </is>
      </c>
      <c r="C3555" s="106" t="inlineStr">
        <is>
          <t>Despesas com RH</t>
        </is>
      </c>
      <c r="D3555" s="107" t="n">
        <v>3</v>
      </c>
      <c r="E3555" s="108" t="n">
        <v>32.55</v>
      </c>
      <c r="F3555" s="109">
        <f>IFERROR(D3555*E3555,0)</f>
        <v/>
      </c>
      <c r="G3555" s="106">
        <f>INDEX(SETORES!$B:$B,MATCH(A3555,SETORES!$A:$A,0))</f>
        <v/>
      </c>
      <c r="H3555" s="106" t="inlineStr">
        <is>
          <t>Outubro/2026</t>
        </is>
      </c>
    </row>
    <row r="3556">
      <c r="A3556" s="106" t="inlineStr">
        <is>
          <t>Fique Móvel</t>
        </is>
      </c>
      <c r="B3556" s="106" t="inlineStr">
        <is>
          <t>Custo Fixo</t>
        </is>
      </c>
      <c r="C3556" s="106" t="inlineStr">
        <is>
          <t>Despesas com DP</t>
        </is>
      </c>
      <c r="D3556" s="107" t="n">
        <v>3</v>
      </c>
      <c r="E3556" s="108" t="n">
        <v>52.09</v>
      </c>
      <c r="F3556" s="109">
        <f>IFERROR(D3556*E3556,0)</f>
        <v/>
      </c>
      <c r="G3556" s="106">
        <f>INDEX(SETORES!$B:$B,MATCH(A3556,SETORES!$A:$A,0))</f>
        <v/>
      </c>
      <c r="H3556" s="106" t="inlineStr">
        <is>
          <t>Outubro/2026</t>
        </is>
      </c>
    </row>
    <row r="3557">
      <c r="A3557" s="106" t="inlineStr">
        <is>
          <t>Fique Móvel</t>
        </is>
      </c>
      <c r="B3557" s="106" t="inlineStr">
        <is>
          <t>Custo Fixo</t>
        </is>
      </c>
      <c r="C3557" s="106" t="inlineStr">
        <is>
          <t>Despesas com SST</t>
        </is>
      </c>
      <c r="D3557" s="107" t="n">
        <v>3</v>
      </c>
      <c r="E3557" s="108" t="n">
        <v>52.35</v>
      </c>
      <c r="F3557" s="109">
        <f>IFERROR(D3557*E3557,0)</f>
        <v/>
      </c>
      <c r="G3557" s="106">
        <f>INDEX(SETORES!$B:$B,MATCH(A3557,SETORES!$A:$A,0))</f>
        <v/>
      </c>
      <c r="H3557" s="106" t="inlineStr">
        <is>
          <t>Outubro/2026</t>
        </is>
      </c>
    </row>
    <row r="3558">
      <c r="A3558" s="106" t="inlineStr">
        <is>
          <t>Lançamento</t>
        </is>
      </c>
      <c r="B3558" s="106" t="inlineStr">
        <is>
          <t>Custo Fixo</t>
        </is>
      </c>
      <c r="C3558" s="106" t="inlineStr">
        <is>
          <t>Gympass</t>
        </is>
      </c>
      <c r="D3558" s="107" t="n"/>
      <c r="E3558" s="108" t="n"/>
      <c r="F3558" s="109">
        <f>IFERROR(D3558*E3558,0)</f>
        <v/>
      </c>
      <c r="G3558" s="106">
        <f>INDEX(SETORES!$B:$B,MATCH(A3558,SETORES!$A:$A,0))</f>
        <v/>
      </c>
      <c r="H3558" s="106" t="inlineStr">
        <is>
          <t>Outubro/2026</t>
        </is>
      </c>
    </row>
    <row r="3559">
      <c r="A3559" s="106" t="inlineStr">
        <is>
          <t>Lançamento</t>
        </is>
      </c>
      <c r="B3559" s="106" t="inlineStr">
        <is>
          <t>Custo Fixo</t>
        </is>
      </c>
      <c r="C3559" s="106" t="inlineStr">
        <is>
          <t>Stargrid</t>
        </is>
      </c>
      <c r="D3559" s="107" t="n">
        <v>24</v>
      </c>
      <c r="E3559" s="108" t="n">
        <v>1.87</v>
      </c>
      <c r="F3559" s="109">
        <f>IFERROR(D3559*E3559,0)</f>
        <v/>
      </c>
      <c r="G3559" s="106">
        <f>INDEX(SETORES!$B:$B,MATCH(A3559,SETORES!$A:$A,0))</f>
        <v/>
      </c>
      <c r="H3559" s="106" t="inlineStr">
        <is>
          <t>Outubro/2026</t>
        </is>
      </c>
    </row>
    <row r="3560">
      <c r="A3560" s="106" t="inlineStr">
        <is>
          <t>Lançamento</t>
        </is>
      </c>
      <c r="B3560" s="106" t="inlineStr">
        <is>
          <t>Custo Fixo</t>
        </is>
      </c>
      <c r="C3560" s="106" t="inlineStr">
        <is>
          <t>Licença de e-mail corporativo</t>
        </is>
      </c>
      <c r="D3560" s="107" t="n">
        <v>24</v>
      </c>
      <c r="E3560" s="108" t="n">
        <v>50</v>
      </c>
      <c r="F3560" s="109">
        <f>IFERROR(D3560*E3560,0)</f>
        <v/>
      </c>
      <c r="G3560" s="106">
        <f>INDEX(SETORES!$B:$B,MATCH(A3560,SETORES!$A:$A,0))</f>
        <v/>
      </c>
      <c r="H3560" s="106" t="inlineStr">
        <is>
          <t>Outubro/2026</t>
        </is>
      </c>
    </row>
    <row r="3561">
      <c r="A3561" s="106" t="inlineStr">
        <is>
          <t>Lançamento</t>
        </is>
      </c>
      <c r="B3561" s="106" t="inlineStr">
        <is>
          <t>Custo Fixo</t>
        </is>
      </c>
      <c r="C3561" s="106" t="inlineStr">
        <is>
          <t>Despesas com RH</t>
        </is>
      </c>
      <c r="D3561" s="107" t="n">
        <v>24</v>
      </c>
      <c r="E3561" s="108" t="n">
        <v>32.55</v>
      </c>
      <c r="F3561" s="109">
        <f>IFERROR(D3561*E3561,0)</f>
        <v/>
      </c>
      <c r="G3561" s="106">
        <f>INDEX(SETORES!$B:$B,MATCH(A3561,SETORES!$A:$A,0))</f>
        <v/>
      </c>
      <c r="H3561" s="106" t="inlineStr">
        <is>
          <t>Outubro/2026</t>
        </is>
      </c>
    </row>
    <row r="3562">
      <c r="A3562" s="106" t="inlineStr">
        <is>
          <t>Lançamento</t>
        </is>
      </c>
      <c r="B3562" s="106" t="inlineStr">
        <is>
          <t>Custo Fixo</t>
        </is>
      </c>
      <c r="C3562" s="106" t="inlineStr">
        <is>
          <t>Despesas com DP</t>
        </is>
      </c>
      <c r="D3562" s="107" t="n">
        <v>24</v>
      </c>
      <c r="E3562" s="108" t="n">
        <v>52.09</v>
      </c>
      <c r="F3562" s="109">
        <f>IFERROR(D3562*E3562,0)</f>
        <v/>
      </c>
      <c r="G3562" s="106">
        <f>INDEX(SETORES!$B:$B,MATCH(A3562,SETORES!$A:$A,0))</f>
        <v/>
      </c>
      <c r="H3562" s="106" t="inlineStr">
        <is>
          <t>Outubro/2026</t>
        </is>
      </c>
    </row>
    <row r="3563">
      <c r="A3563" s="106" t="inlineStr">
        <is>
          <t>Lançamento</t>
        </is>
      </c>
      <c r="B3563" s="106" t="inlineStr">
        <is>
          <t>Custo Fixo</t>
        </is>
      </c>
      <c r="C3563" s="106" t="inlineStr">
        <is>
          <t>Despesas com SST</t>
        </is>
      </c>
      <c r="D3563" s="107" t="n">
        <v>24</v>
      </c>
      <c r="E3563" s="108" t="n">
        <v>52.35</v>
      </c>
      <c r="F3563" s="109">
        <f>IFERROR(D3563*E3563,0)</f>
        <v/>
      </c>
      <c r="G3563" s="106">
        <f>INDEX(SETORES!$B:$B,MATCH(A3563,SETORES!$A:$A,0))</f>
        <v/>
      </c>
      <c r="H3563" s="106" t="inlineStr">
        <is>
          <t>Outubro/2026</t>
        </is>
      </c>
    </row>
    <row r="3564">
      <c r="A3564" s="106" t="inlineStr">
        <is>
          <t>Fusão</t>
        </is>
      </c>
      <c r="B3564" s="106" t="inlineStr">
        <is>
          <t>Custo Fixo</t>
        </is>
      </c>
      <c r="C3564" s="106" t="inlineStr">
        <is>
          <t>Gympass</t>
        </is>
      </c>
      <c r="D3564" s="107" t="n"/>
      <c r="E3564" s="108" t="n"/>
      <c r="F3564" s="109">
        <f>IFERROR(D3564*E3564,0)</f>
        <v/>
      </c>
      <c r="G3564" s="106">
        <f>INDEX(SETORES!$B:$B,MATCH(A3564,SETORES!$A:$A,0))</f>
        <v/>
      </c>
      <c r="H3564" s="106" t="inlineStr">
        <is>
          <t>Outubro/2026</t>
        </is>
      </c>
    </row>
    <row r="3565">
      <c r="A3565" s="106" t="inlineStr">
        <is>
          <t>Fusão</t>
        </is>
      </c>
      <c r="B3565" s="106" t="inlineStr">
        <is>
          <t>Custo Fixo</t>
        </is>
      </c>
      <c r="C3565" s="106" t="inlineStr">
        <is>
          <t>Stargrid</t>
        </is>
      </c>
      <c r="D3565" s="107" t="n">
        <v>10</v>
      </c>
      <c r="E3565" s="108" t="n">
        <v>1.87</v>
      </c>
      <c r="F3565" s="109">
        <f>IFERROR(D3565*E3565,0)</f>
        <v/>
      </c>
      <c r="G3565" s="106">
        <f>INDEX(SETORES!$B:$B,MATCH(A3565,SETORES!$A:$A,0))</f>
        <v/>
      </c>
      <c r="H3565" s="106" t="inlineStr">
        <is>
          <t>Outubro/2026</t>
        </is>
      </c>
    </row>
    <row r="3566">
      <c r="A3566" s="106" t="inlineStr">
        <is>
          <t>Fusão</t>
        </is>
      </c>
      <c r="B3566" s="106" t="inlineStr">
        <is>
          <t>Custo Fixo</t>
        </is>
      </c>
      <c r="C3566" s="106" t="inlineStr">
        <is>
          <t>Licença de e-mail corporativo</t>
        </is>
      </c>
      <c r="D3566" s="107" t="n">
        <v>10</v>
      </c>
      <c r="E3566" s="108" t="n">
        <v>50</v>
      </c>
      <c r="F3566" s="109">
        <f>IFERROR(D3566*E3566,0)</f>
        <v/>
      </c>
      <c r="G3566" s="106">
        <f>INDEX(SETORES!$B:$B,MATCH(A3566,SETORES!$A:$A,0))</f>
        <v/>
      </c>
      <c r="H3566" s="106" t="inlineStr">
        <is>
          <t>Outubro/2026</t>
        </is>
      </c>
    </row>
    <row r="3567">
      <c r="A3567" s="106" t="inlineStr">
        <is>
          <t>Fusão</t>
        </is>
      </c>
      <c r="B3567" s="106" t="inlineStr">
        <is>
          <t>Custo Fixo</t>
        </is>
      </c>
      <c r="C3567" s="106" t="inlineStr">
        <is>
          <t>Despesas com RH</t>
        </is>
      </c>
      <c r="D3567" s="107" t="n">
        <v>10</v>
      </c>
      <c r="E3567" s="108" t="n">
        <v>32.55</v>
      </c>
      <c r="F3567" s="109">
        <f>IFERROR(D3567*E3567,0)</f>
        <v/>
      </c>
      <c r="G3567" s="106">
        <f>INDEX(SETORES!$B:$B,MATCH(A3567,SETORES!$A:$A,0))</f>
        <v/>
      </c>
      <c r="H3567" s="106" t="inlineStr">
        <is>
          <t>Outubro/2026</t>
        </is>
      </c>
    </row>
    <row r="3568">
      <c r="A3568" s="106" t="inlineStr">
        <is>
          <t>Fusão</t>
        </is>
      </c>
      <c r="B3568" s="106" t="inlineStr">
        <is>
          <t>Custo Fixo</t>
        </is>
      </c>
      <c r="C3568" s="106" t="inlineStr">
        <is>
          <t>Despesas com DP</t>
        </is>
      </c>
      <c r="D3568" s="107" t="n">
        <v>10</v>
      </c>
      <c r="E3568" s="108" t="n">
        <v>52.09</v>
      </c>
      <c r="F3568" s="109">
        <f>IFERROR(D3568*E3568,0)</f>
        <v/>
      </c>
      <c r="G3568" s="106">
        <f>INDEX(SETORES!$B:$B,MATCH(A3568,SETORES!$A:$A,0))</f>
        <v/>
      </c>
      <c r="H3568" s="106" t="inlineStr">
        <is>
          <t>Outubro/2026</t>
        </is>
      </c>
    </row>
    <row r="3569">
      <c r="A3569" s="106" t="inlineStr">
        <is>
          <t>Fusão</t>
        </is>
      </c>
      <c r="B3569" s="106" t="inlineStr">
        <is>
          <t>Custo Fixo</t>
        </is>
      </c>
      <c r="C3569" s="106" t="inlineStr">
        <is>
          <t>Despesas com SST</t>
        </is>
      </c>
      <c r="D3569" s="107" t="n">
        <v>10</v>
      </c>
      <c r="E3569" s="108" t="n">
        <v>52.35</v>
      </c>
      <c r="F3569" s="109">
        <f>IFERROR(D3569*E3569,0)</f>
        <v/>
      </c>
      <c r="G3569" s="106">
        <f>INDEX(SETORES!$B:$B,MATCH(A3569,SETORES!$A:$A,0))</f>
        <v/>
      </c>
      <c r="H3569" s="106" t="inlineStr">
        <is>
          <t>Outubro/2026</t>
        </is>
      </c>
    </row>
    <row r="3570">
      <c r="A3570" s="106" t="inlineStr">
        <is>
          <t>Diretoria Adm</t>
        </is>
      </c>
      <c r="B3570" s="106" t="inlineStr">
        <is>
          <t>Custo Fixo</t>
        </is>
      </c>
      <c r="C3570" s="106" t="inlineStr">
        <is>
          <t>Gympass</t>
        </is>
      </c>
      <c r="D3570" s="107" t="n"/>
      <c r="E3570" s="108" t="n"/>
      <c r="F3570" s="109">
        <f>IFERROR(D3570*E3570,0)</f>
        <v/>
      </c>
      <c r="G3570" s="106">
        <f>INDEX(SETORES!$B:$B,MATCH(A3570,SETORES!$A:$A,0))</f>
        <v/>
      </c>
      <c r="H3570" s="106" t="inlineStr">
        <is>
          <t>Outubro/2026</t>
        </is>
      </c>
    </row>
    <row r="3571">
      <c r="A3571" s="106" t="inlineStr">
        <is>
          <t>Diretoria Adm</t>
        </is>
      </c>
      <c r="B3571" s="106" t="inlineStr">
        <is>
          <t>Custo Fixo</t>
        </is>
      </c>
      <c r="C3571" s="106" t="inlineStr">
        <is>
          <t>Stargrid</t>
        </is>
      </c>
      <c r="D3571" s="107" t="n">
        <v>2</v>
      </c>
      <c r="E3571" s="108" t="n">
        <v>1.87</v>
      </c>
      <c r="F3571" s="109">
        <f>IFERROR(D3571*E3571,0)</f>
        <v/>
      </c>
      <c r="G3571" s="106">
        <f>INDEX(SETORES!$B:$B,MATCH(A3571,SETORES!$A:$A,0))</f>
        <v/>
      </c>
      <c r="H3571" s="106" t="inlineStr">
        <is>
          <t>Outubro/2026</t>
        </is>
      </c>
    </row>
    <row r="3572">
      <c r="A3572" s="106" t="inlineStr">
        <is>
          <t>Diretoria Adm</t>
        </is>
      </c>
      <c r="B3572" s="106" t="inlineStr">
        <is>
          <t>Custo Fixo</t>
        </is>
      </c>
      <c r="C3572" s="106" t="inlineStr">
        <is>
          <t>Licença de e-mail corporativo</t>
        </is>
      </c>
      <c r="D3572" s="107" t="n">
        <v>2</v>
      </c>
      <c r="E3572" s="108" t="n">
        <v>50</v>
      </c>
      <c r="F3572" s="109">
        <f>IFERROR(D3572*E3572,0)</f>
        <v/>
      </c>
      <c r="G3572" s="106">
        <f>INDEX(SETORES!$B:$B,MATCH(A3572,SETORES!$A:$A,0))</f>
        <v/>
      </c>
      <c r="H3572" s="106" t="inlineStr">
        <is>
          <t>Outubro/2026</t>
        </is>
      </c>
    </row>
    <row r="3573">
      <c r="A3573" s="106" t="inlineStr">
        <is>
          <t>Diretoria Adm</t>
        </is>
      </c>
      <c r="B3573" s="106" t="inlineStr">
        <is>
          <t>Custo Fixo</t>
        </is>
      </c>
      <c r="C3573" s="106" t="inlineStr">
        <is>
          <t>Despesas com RH</t>
        </is>
      </c>
      <c r="D3573" s="107" t="n">
        <v>2</v>
      </c>
      <c r="E3573" s="108" t="n">
        <v>32.55</v>
      </c>
      <c r="F3573" s="109">
        <f>IFERROR(D3573*E3573,0)</f>
        <v/>
      </c>
      <c r="G3573" s="106">
        <f>INDEX(SETORES!$B:$B,MATCH(A3573,SETORES!$A:$A,0))</f>
        <v/>
      </c>
      <c r="H3573" s="106" t="inlineStr">
        <is>
          <t>Outubro/2026</t>
        </is>
      </c>
    </row>
    <row r="3574">
      <c r="A3574" s="106" t="inlineStr">
        <is>
          <t>Diretoria Adm</t>
        </is>
      </c>
      <c r="B3574" s="106" t="inlineStr">
        <is>
          <t>Custo Fixo</t>
        </is>
      </c>
      <c r="C3574" s="106" t="inlineStr">
        <is>
          <t>Despesas com DP</t>
        </is>
      </c>
      <c r="D3574" s="107" t="n">
        <v>2</v>
      </c>
      <c r="E3574" s="108" t="n">
        <v>52.09</v>
      </c>
      <c r="F3574" s="109">
        <f>IFERROR(D3574*E3574,0)</f>
        <v/>
      </c>
      <c r="G3574" s="106">
        <f>INDEX(SETORES!$B:$B,MATCH(A3574,SETORES!$A:$A,0))</f>
        <v/>
      </c>
      <c r="H3574" s="106" t="inlineStr">
        <is>
          <t>Outubro/2026</t>
        </is>
      </c>
    </row>
    <row r="3575">
      <c r="A3575" s="106" t="inlineStr">
        <is>
          <t>Diretoria Adm</t>
        </is>
      </c>
      <c r="B3575" s="106" t="inlineStr">
        <is>
          <t>Custo Fixo</t>
        </is>
      </c>
      <c r="C3575" s="106" t="inlineStr">
        <is>
          <t>Despesas com SST</t>
        </is>
      </c>
      <c r="D3575" s="107" t="n">
        <v>2</v>
      </c>
      <c r="E3575" s="108" t="n">
        <v>52.35</v>
      </c>
      <c r="F3575" s="109">
        <f>IFERROR(D3575*E3575,0)</f>
        <v/>
      </c>
      <c r="G3575" s="106">
        <f>INDEX(SETORES!$B:$B,MATCH(A3575,SETORES!$A:$A,0))</f>
        <v/>
      </c>
      <c r="H3575" s="106" t="inlineStr">
        <is>
          <t>Outubro/2026</t>
        </is>
      </c>
    </row>
    <row r="3576">
      <c r="A3576" s="106" t="inlineStr">
        <is>
          <t>TIC</t>
        </is>
      </c>
      <c r="B3576" s="106" t="inlineStr">
        <is>
          <t>Custo Fixo</t>
        </is>
      </c>
      <c r="C3576" s="106" t="inlineStr">
        <is>
          <t>Impressora</t>
        </is>
      </c>
      <c r="D3576" s="107" t="n"/>
      <c r="E3576" s="108" t="n"/>
      <c r="F3576" s="109">
        <f>IFERROR(D3576*E3576,0)</f>
        <v/>
      </c>
      <c r="G3576" s="106">
        <f>INDEX(SETORES!$B:$B,MATCH(A3576,SETORES!$A:$A,0))</f>
        <v/>
      </c>
      <c r="H3576" s="106" t="inlineStr">
        <is>
          <t>Outubro/2026</t>
        </is>
      </c>
    </row>
    <row r="3577">
      <c r="A3577" s="106" t="inlineStr">
        <is>
          <t>Marketing</t>
        </is>
      </c>
      <c r="B3577" s="106" t="inlineStr">
        <is>
          <t>Custo Fixo</t>
        </is>
      </c>
      <c r="C3577" s="106" t="inlineStr">
        <is>
          <t>Impressora</t>
        </is>
      </c>
      <c r="D3577" s="107" t="n"/>
      <c r="E3577" s="108" t="n"/>
      <c r="F3577" s="109">
        <f>IFERROR(D3577*E3577,0)</f>
        <v/>
      </c>
      <c r="G3577" s="106">
        <f>INDEX(SETORES!$B:$B,MATCH(A3577,SETORES!$A:$A,0))</f>
        <v/>
      </c>
      <c r="H3577" s="106" t="inlineStr">
        <is>
          <t>Outubro/2026</t>
        </is>
      </c>
    </row>
    <row r="3578">
      <c r="A3578" s="106" t="inlineStr">
        <is>
          <t>NOC</t>
        </is>
      </c>
      <c r="B3578" s="106" t="inlineStr">
        <is>
          <t>Custo Fixo</t>
        </is>
      </c>
      <c r="C3578" s="106" t="inlineStr">
        <is>
          <t>Impressora</t>
        </is>
      </c>
      <c r="D3578" s="107" t="n"/>
      <c r="E3578" s="108" t="n"/>
      <c r="F3578" s="109">
        <f>IFERROR(D3578*E3578,0)</f>
        <v/>
      </c>
      <c r="G3578" s="106">
        <f>INDEX(SETORES!$B:$B,MATCH(A3578,SETORES!$A:$A,0))</f>
        <v/>
      </c>
      <c r="H3578" s="106" t="inlineStr">
        <is>
          <t>Outubro/2026</t>
        </is>
      </c>
    </row>
    <row r="3579">
      <c r="A3579" s="106" t="inlineStr">
        <is>
          <t>COE</t>
        </is>
      </c>
      <c r="B3579" s="106" t="inlineStr">
        <is>
          <t>Custo Fixo</t>
        </is>
      </c>
      <c r="C3579" s="106" t="inlineStr">
        <is>
          <t>Impressora</t>
        </is>
      </c>
      <c r="D3579" s="107" t="n"/>
      <c r="E3579" s="108" t="n"/>
      <c r="F3579" s="109">
        <f>IFERROR(D3579*E3579,0)</f>
        <v/>
      </c>
      <c r="G3579" s="106">
        <f>INDEX(SETORES!$B:$B,MATCH(A3579,SETORES!$A:$A,0))</f>
        <v/>
      </c>
      <c r="H3579" s="106" t="inlineStr">
        <is>
          <t>Outubro/2026</t>
        </is>
      </c>
    </row>
    <row r="3580">
      <c r="A3580" s="106" t="inlineStr">
        <is>
          <t>Oficina</t>
        </is>
      </c>
      <c r="B3580" s="106" t="inlineStr">
        <is>
          <t>Custo Fixo</t>
        </is>
      </c>
      <c r="C3580" s="106" t="inlineStr">
        <is>
          <t>Impressora</t>
        </is>
      </c>
      <c r="D3580" s="107" t="n"/>
      <c r="E3580" s="108" t="n"/>
      <c r="F3580" s="109">
        <f>IFERROR(D3580*E3580,0)</f>
        <v/>
      </c>
      <c r="G3580" s="106">
        <f>INDEX(SETORES!$B:$B,MATCH(A3580,SETORES!$A:$A,0))</f>
        <v/>
      </c>
      <c r="H3580" s="106" t="inlineStr">
        <is>
          <t>Outubro/2026</t>
        </is>
      </c>
    </row>
    <row r="3581">
      <c r="A3581" s="106" t="inlineStr">
        <is>
          <t>Jurídico</t>
        </is>
      </c>
      <c r="B3581" s="106" t="inlineStr">
        <is>
          <t>Custo Fixo</t>
        </is>
      </c>
      <c r="C3581" s="106" t="inlineStr">
        <is>
          <t>Impressora</t>
        </is>
      </c>
      <c r="D3581" s="107" t="n"/>
      <c r="E3581" s="108" t="n"/>
      <c r="F3581" s="109">
        <f>IFERROR(D3581*E3581,0)</f>
        <v/>
      </c>
      <c r="G3581" s="106">
        <f>INDEX(SETORES!$B:$B,MATCH(A3581,SETORES!$A:$A,0))</f>
        <v/>
      </c>
      <c r="H3581" s="106" t="inlineStr">
        <is>
          <t>Outubro/2026</t>
        </is>
      </c>
    </row>
    <row r="3582">
      <c r="A3582" s="106" t="inlineStr">
        <is>
          <t>Controladoria</t>
        </is>
      </c>
      <c r="B3582" s="106" t="inlineStr">
        <is>
          <t>Custo Fixo</t>
        </is>
      </c>
      <c r="C3582" s="106" t="inlineStr">
        <is>
          <t>Licença de e-mail corporativo</t>
        </is>
      </c>
      <c r="D3582" s="107" t="n"/>
      <c r="E3582" s="108" t="n"/>
      <c r="F3582" s="109">
        <f>IFERROR(D3582*E3582,0)</f>
        <v/>
      </c>
      <c r="G3582" s="106">
        <f>INDEX(SETORES!$B:$B,MATCH(A3582,SETORES!$A:$A,0))</f>
        <v/>
      </c>
      <c r="H3582" s="106" t="inlineStr">
        <is>
          <t>Outubro/2026</t>
        </is>
      </c>
    </row>
    <row r="3583">
      <c r="A3583" s="106" t="inlineStr">
        <is>
          <t>Jurídico</t>
        </is>
      </c>
      <c r="B3583" s="106" t="inlineStr">
        <is>
          <t>Custo Fixo</t>
        </is>
      </c>
      <c r="C3583" s="106" t="inlineStr">
        <is>
          <t>Consultoria Jurídica</t>
        </is>
      </c>
      <c r="D3583" s="107" t="n">
        <v>1</v>
      </c>
      <c r="E3583" s="108" t="n">
        <v>7500</v>
      </c>
      <c r="F3583" s="109">
        <f>IFERROR(D3583*E3583,0)</f>
        <v/>
      </c>
      <c r="G3583" s="106">
        <f>INDEX(SETORES!$B:$B,MATCH(A3583,SETORES!$A:$A,0))</f>
        <v/>
      </c>
      <c r="H3583" s="106" t="inlineStr">
        <is>
          <t>Outubro/2026</t>
        </is>
      </c>
    </row>
    <row r="3584">
      <c r="A3584" s="106" t="inlineStr">
        <is>
          <t>Cozinha</t>
        </is>
      </c>
      <c r="B3584" s="106" t="inlineStr">
        <is>
          <t>Custo Fixo</t>
        </is>
      </c>
      <c r="C3584" s="106" t="inlineStr">
        <is>
          <t>Folha de pagamento (salários)</t>
        </is>
      </c>
      <c r="D3584" s="107" t="n">
        <v>1</v>
      </c>
      <c r="E3584" s="108" t="n">
        <v>23971.48</v>
      </c>
      <c r="F3584" s="109">
        <f>IFERROR(D3584*E3584,0)</f>
        <v/>
      </c>
      <c r="G3584" s="106">
        <f>INDEX(SETORES!$B:$B,MATCH(A3584,SETORES!$A:$A,0))</f>
        <v/>
      </c>
      <c r="H3584" s="106" t="inlineStr">
        <is>
          <t>Outubro/2026</t>
        </is>
      </c>
    </row>
    <row r="3585">
      <c r="A3585" s="106" t="inlineStr">
        <is>
          <t>Cozinha</t>
        </is>
      </c>
      <c r="B3585" s="106" t="inlineStr">
        <is>
          <t>Custo Fixo</t>
        </is>
      </c>
      <c r="C3585" s="106" t="inlineStr">
        <is>
          <t>Licença de e-mail corporativo</t>
        </is>
      </c>
      <c r="D3585" s="107" t="n">
        <v>4</v>
      </c>
      <c r="E3585" s="108" t="n">
        <v>50</v>
      </c>
      <c r="F3585" s="109">
        <f>IFERROR(D3585*E3585,0)</f>
        <v/>
      </c>
      <c r="G3585" s="106">
        <f>INDEX(SETORES!$B:$B,MATCH(A3585,SETORES!$A:$A,0))</f>
        <v/>
      </c>
      <c r="H3585" s="106" t="inlineStr">
        <is>
          <t>Outubro/2026</t>
        </is>
      </c>
    </row>
    <row r="3586">
      <c r="A3586" s="106" t="inlineStr">
        <is>
          <t>COE</t>
        </is>
      </c>
      <c r="B3586" s="106" t="inlineStr">
        <is>
          <t>Custo Variável</t>
        </is>
      </c>
      <c r="C3586" s="106" t="inlineStr">
        <is>
          <t>Rateio de transporte coletivo</t>
        </is>
      </c>
      <c r="D3586" s="107" t="n"/>
      <c r="E3586" s="108" t="n"/>
      <c r="F3586" s="109">
        <f>IFERROR(D3586*E3586,0)</f>
        <v/>
      </c>
      <c r="G3586" s="106">
        <f>INDEX(SETORES!$B:$B,MATCH(A3586,SETORES!$A:$A,0))</f>
        <v/>
      </c>
      <c r="H3586" s="106" t="inlineStr">
        <is>
          <t>Outubro/2026</t>
        </is>
      </c>
    </row>
    <row r="3587">
      <c r="A3587" s="106" t="inlineStr">
        <is>
          <t>Cozinha</t>
        </is>
      </c>
      <c r="B3587" s="106" t="inlineStr">
        <is>
          <t>Custo Variável</t>
        </is>
      </c>
      <c r="C3587" s="106" t="inlineStr">
        <is>
          <t>Rateio de transporte coletivo</t>
        </is>
      </c>
      <c r="D3587" s="107" t="n"/>
      <c r="E3587" s="108" t="n"/>
      <c r="F3587" s="109">
        <f>IFERROR(D3587*E3587,0)</f>
        <v/>
      </c>
      <c r="G3587" s="106">
        <f>INDEX(SETORES!$B:$B,MATCH(A3587,SETORES!$A:$A,0))</f>
        <v/>
      </c>
      <c r="H3587" s="106" t="inlineStr">
        <is>
          <t>Outubro/2026</t>
        </is>
      </c>
    </row>
    <row r="3588">
      <c r="A3588" s="106" t="inlineStr">
        <is>
          <t>COE</t>
        </is>
      </c>
      <c r="B3588" s="106" t="inlineStr">
        <is>
          <t>Custo Fixo</t>
        </is>
      </c>
      <c r="C3588" s="106" t="inlineStr">
        <is>
          <t>Energia elétrica (rateio)</t>
        </is>
      </c>
      <c r="D3588" s="107" t="n"/>
      <c r="E3588" s="108" t="n"/>
      <c r="F3588" s="109">
        <f>IFERROR(D3588*E3588,0)</f>
        <v/>
      </c>
      <c r="G3588" s="106">
        <f>INDEX(SETORES!$B:$B,MATCH(A3588,SETORES!$A:$A,0))</f>
        <v/>
      </c>
      <c r="H3588" s="106" t="inlineStr">
        <is>
          <t>Outubro/2026</t>
        </is>
      </c>
    </row>
    <row r="3589">
      <c r="A3589" s="106" t="inlineStr">
        <is>
          <t>COE</t>
        </is>
      </c>
      <c r="B3589" s="106" t="inlineStr">
        <is>
          <t>Custo Fixo</t>
        </is>
      </c>
      <c r="C3589" s="106" t="inlineStr">
        <is>
          <t>Água e esgoto (rateio)</t>
        </is>
      </c>
      <c r="D3589" s="107" t="n"/>
      <c r="E3589" s="108" t="n"/>
      <c r="F3589" s="109">
        <f>IFERROR(D3589*E3589,0)</f>
        <v/>
      </c>
      <c r="G3589" s="106">
        <f>INDEX(SETORES!$B:$B,MATCH(A3589,SETORES!$A:$A,0))</f>
        <v/>
      </c>
      <c r="H3589" s="106" t="inlineStr">
        <is>
          <t>Outubro/2026</t>
        </is>
      </c>
    </row>
    <row r="3590">
      <c r="A3590" s="106" t="inlineStr">
        <is>
          <t>Cozinha</t>
        </is>
      </c>
      <c r="B3590" s="106" t="inlineStr">
        <is>
          <t>Custo Fixo</t>
        </is>
      </c>
      <c r="C3590" s="106" t="inlineStr">
        <is>
          <t>Energia elétrica (rateio)</t>
        </is>
      </c>
      <c r="D3590" s="107" t="n"/>
      <c r="E3590" s="108" t="n"/>
      <c r="F3590" s="109">
        <f>IFERROR(D3590*E3590,0)</f>
        <v/>
      </c>
      <c r="G3590" s="106">
        <f>INDEX(SETORES!$B:$B,MATCH(A3590,SETORES!$A:$A,0))</f>
        <v/>
      </c>
      <c r="H3590" s="106" t="inlineStr">
        <is>
          <t>Outubro/2026</t>
        </is>
      </c>
    </row>
    <row r="3591">
      <c r="A3591" s="106" t="inlineStr">
        <is>
          <t>Cozinha</t>
        </is>
      </c>
      <c r="B3591" s="106" t="inlineStr">
        <is>
          <t>Custo Fixo</t>
        </is>
      </c>
      <c r="C3591" s="106" t="inlineStr">
        <is>
          <t>Água e esgoto (rateio)</t>
        </is>
      </c>
      <c r="D3591" s="107" t="n"/>
      <c r="E3591" s="108" t="n"/>
      <c r="F3591" s="109">
        <f>IFERROR(D3591*E3591,0)</f>
        <v/>
      </c>
      <c r="G3591" s="106">
        <f>INDEX(SETORES!$B:$B,MATCH(A3591,SETORES!$A:$A,0))</f>
        <v/>
      </c>
      <c r="H3591" s="106" t="inlineStr">
        <is>
          <t>Outubro/2026</t>
        </is>
      </c>
    </row>
    <row r="3592">
      <c r="A3592" s="106" t="inlineStr">
        <is>
          <t>COE</t>
        </is>
      </c>
      <c r="B3592" s="106" t="inlineStr">
        <is>
          <t>Custo Variável</t>
        </is>
      </c>
      <c r="C3592" s="106" t="inlineStr">
        <is>
          <t>Rescisões trabalhistas</t>
        </is>
      </c>
      <c r="D3592" s="107" t="n"/>
      <c r="E3592" s="108" t="n"/>
      <c r="F3592" s="109">
        <f>IFERROR(D3592*E3592,0)</f>
        <v/>
      </c>
      <c r="G3592" s="106">
        <f>INDEX(SETORES!$B:$B,MATCH(A3592,SETORES!$A:$A,0))</f>
        <v/>
      </c>
      <c r="H3592" s="106" t="inlineStr">
        <is>
          <t>Outubro/2026</t>
        </is>
      </c>
    </row>
    <row r="3593">
      <c r="A3593" s="106" t="inlineStr">
        <is>
          <t>Compras</t>
        </is>
      </c>
      <c r="B3593" s="106" t="inlineStr">
        <is>
          <t>Custo Variável</t>
        </is>
      </c>
      <c r="C3593" s="106" t="inlineStr">
        <is>
          <t>Rescisões trabalhistas</t>
        </is>
      </c>
      <c r="D3593" s="107" t="n"/>
      <c r="E3593" s="108" t="n"/>
      <c r="F3593" s="109">
        <f>IFERROR(D3593*E3593,0)</f>
        <v/>
      </c>
      <c r="G3593" s="106">
        <f>INDEX(SETORES!$B:$B,MATCH(A3593,SETORES!$A:$A,0))</f>
        <v/>
      </c>
      <c r="H3593" s="106" t="inlineStr">
        <is>
          <t>Outubro/2026</t>
        </is>
      </c>
    </row>
    <row r="3594">
      <c r="A3594" s="106" t="inlineStr">
        <is>
          <t>Controladoria</t>
        </is>
      </c>
      <c r="B3594" s="106" t="inlineStr">
        <is>
          <t>Custo Variável</t>
        </is>
      </c>
      <c r="C3594" s="106" t="inlineStr">
        <is>
          <t>Rescisões trabalhistas</t>
        </is>
      </c>
      <c r="D3594" s="107" t="n"/>
      <c r="E3594" s="108" t="n"/>
      <c r="F3594" s="109">
        <f>IFERROR(D3594*E3594,0)</f>
        <v/>
      </c>
      <c r="G3594" s="106">
        <f>INDEX(SETORES!$B:$B,MATCH(A3594,SETORES!$A:$A,0))</f>
        <v/>
      </c>
      <c r="H3594" s="106" t="inlineStr">
        <is>
          <t>Outubro/2026</t>
        </is>
      </c>
    </row>
    <row r="3595">
      <c r="A3595" s="106" t="inlineStr">
        <is>
          <t>Cozinha</t>
        </is>
      </c>
      <c r="B3595" s="106" t="inlineStr">
        <is>
          <t>Custo Variável</t>
        </is>
      </c>
      <c r="C3595" s="106" t="inlineStr">
        <is>
          <t>Rescisões trabalhistas</t>
        </is>
      </c>
      <c r="D3595" s="107" t="n"/>
      <c r="E3595" s="108" t="n"/>
      <c r="F3595" s="109">
        <f>IFERROR(D3595*E3595,0)</f>
        <v/>
      </c>
      <c r="G3595" s="106">
        <f>INDEX(SETORES!$B:$B,MATCH(A3595,SETORES!$A:$A,0))</f>
        <v/>
      </c>
      <c r="H3595" s="106" t="inlineStr">
        <is>
          <t>Outubro/2026</t>
        </is>
      </c>
    </row>
    <row r="3596">
      <c r="A3596" s="106" t="inlineStr">
        <is>
          <t>Diretoria Adm</t>
        </is>
      </c>
      <c r="B3596" s="106" t="inlineStr">
        <is>
          <t>Custo Variável</t>
        </is>
      </c>
      <c r="C3596" s="106" t="inlineStr">
        <is>
          <t>Rescisões trabalhistas</t>
        </is>
      </c>
      <c r="D3596" s="107" t="n"/>
      <c r="E3596" s="108" t="n"/>
      <c r="F3596" s="109">
        <f>IFERROR(D3596*E3596,0)</f>
        <v/>
      </c>
      <c r="G3596" s="106">
        <f>INDEX(SETORES!$B:$B,MATCH(A3596,SETORES!$A:$A,0))</f>
        <v/>
      </c>
      <c r="H3596" s="106" t="inlineStr">
        <is>
          <t>Outubro/2026</t>
        </is>
      </c>
    </row>
    <row r="3597">
      <c r="A3597" s="106" t="inlineStr">
        <is>
          <t>Diretoria Operacional</t>
        </is>
      </c>
      <c r="B3597" s="106" t="inlineStr">
        <is>
          <t>Custo Variável</t>
        </is>
      </c>
      <c r="C3597" s="106" t="inlineStr">
        <is>
          <t>Rescisões trabalhistas</t>
        </is>
      </c>
      <c r="D3597" s="107" t="n"/>
      <c r="E3597" s="108" t="n"/>
      <c r="F3597" s="109">
        <f>IFERROR(D3597*E3597,0)</f>
        <v/>
      </c>
      <c r="G3597" s="106">
        <f>INDEX(SETORES!$B:$B,MATCH(A3597,SETORES!$A:$A,0))</f>
        <v/>
      </c>
      <c r="H3597" s="106" t="inlineStr">
        <is>
          <t>Outubro/2026</t>
        </is>
      </c>
    </row>
    <row r="3598">
      <c r="A3598" s="106" t="inlineStr">
        <is>
          <t>Financeiro</t>
        </is>
      </c>
      <c r="B3598" s="106" t="inlineStr">
        <is>
          <t>Custo Variável</t>
        </is>
      </c>
      <c r="C3598" s="106" t="inlineStr">
        <is>
          <t>Rescisões trabalhistas</t>
        </is>
      </c>
      <c r="D3598" s="107" t="n"/>
      <c r="E3598" s="108" t="n"/>
      <c r="F3598" s="109">
        <f>IFERROR(D3598*E3598,0)</f>
        <v/>
      </c>
      <c r="G3598" s="106">
        <f>INDEX(SETORES!$B:$B,MATCH(A3598,SETORES!$A:$A,0))</f>
        <v/>
      </c>
      <c r="H3598" s="106" t="inlineStr">
        <is>
          <t>Outubro/2026</t>
        </is>
      </c>
    </row>
    <row r="3599">
      <c r="A3599" s="106" t="inlineStr">
        <is>
          <t>Fique Móvel</t>
        </is>
      </c>
      <c r="B3599" s="106" t="inlineStr">
        <is>
          <t>Custo Variável</t>
        </is>
      </c>
      <c r="C3599" s="106" t="inlineStr">
        <is>
          <t>Rescisões trabalhistas</t>
        </is>
      </c>
      <c r="D3599" s="107" t="n"/>
      <c r="E3599" s="108" t="n"/>
      <c r="F3599" s="109">
        <f>IFERROR(D3599*E3599,0)</f>
        <v/>
      </c>
      <c r="G3599" s="106">
        <f>INDEX(SETORES!$B:$B,MATCH(A3599,SETORES!$A:$A,0))</f>
        <v/>
      </c>
      <c r="H3599" s="106" t="inlineStr">
        <is>
          <t>Outubro/2026</t>
        </is>
      </c>
    </row>
    <row r="3600">
      <c r="A3600" s="106" t="inlineStr">
        <is>
          <t>Fusão</t>
        </is>
      </c>
      <c r="B3600" s="106" t="inlineStr">
        <is>
          <t>Custo Variável</t>
        </is>
      </c>
      <c r="C3600" s="106" t="inlineStr">
        <is>
          <t>Rescisões trabalhistas</t>
        </is>
      </c>
      <c r="D3600" s="107" t="n"/>
      <c r="E3600" s="108" t="n"/>
      <c r="F3600" s="109">
        <f>IFERROR(D3600*E3600,0)</f>
        <v/>
      </c>
      <c r="G3600" s="106">
        <f>INDEX(SETORES!$B:$B,MATCH(A3600,SETORES!$A:$A,0))</f>
        <v/>
      </c>
      <c r="H3600" s="106" t="inlineStr">
        <is>
          <t>Outubro/2026</t>
        </is>
      </c>
    </row>
    <row r="3601">
      <c r="A3601" s="106" t="inlineStr">
        <is>
          <t>Gestão de Atendimento</t>
        </is>
      </c>
      <c r="B3601" s="106" t="inlineStr">
        <is>
          <t>Custo Variável</t>
        </is>
      </c>
      <c r="C3601" s="106" t="inlineStr">
        <is>
          <t>Rescisões trabalhistas</t>
        </is>
      </c>
      <c r="D3601" s="107" t="n"/>
      <c r="E3601" s="108" t="n"/>
      <c r="F3601" s="109">
        <f>IFERROR(D3601*E3601,0)</f>
        <v/>
      </c>
      <c r="G3601" s="106">
        <f>INDEX(SETORES!$B:$B,MATCH(A3601,SETORES!$A:$A,0))</f>
        <v/>
      </c>
      <c r="H3601" s="106" t="inlineStr">
        <is>
          <t>Outubro/2026</t>
        </is>
      </c>
    </row>
    <row r="3602">
      <c r="A3602" s="106" t="inlineStr">
        <is>
          <t>Jurídico</t>
        </is>
      </c>
      <c r="B3602" s="106" t="inlineStr">
        <is>
          <t>Custo Variável</t>
        </is>
      </c>
      <c r="C3602" s="106" t="inlineStr">
        <is>
          <t>Rescisões trabalhistas</t>
        </is>
      </c>
      <c r="D3602" s="107" t="n"/>
      <c r="E3602" s="108" t="n"/>
      <c r="F3602" s="109">
        <f>IFERROR(D3602*E3602,0)</f>
        <v/>
      </c>
      <c r="G3602" s="106">
        <f>INDEX(SETORES!$B:$B,MATCH(A3602,SETORES!$A:$A,0))</f>
        <v/>
      </c>
      <c r="H3602" s="106" t="inlineStr">
        <is>
          <t>Outubro/2026</t>
        </is>
      </c>
    </row>
    <row r="3603">
      <c r="A3603" s="106" t="inlineStr">
        <is>
          <t>Logística</t>
        </is>
      </c>
      <c r="B3603" s="106" t="inlineStr">
        <is>
          <t>Custo Variável</t>
        </is>
      </c>
      <c r="C3603" s="106" t="inlineStr">
        <is>
          <t>Rescisões trabalhistas</t>
        </is>
      </c>
      <c r="D3603" s="107" t="n"/>
      <c r="E3603" s="108" t="n"/>
      <c r="F3603" s="109">
        <f>IFERROR(D3603*E3603,0)</f>
        <v/>
      </c>
      <c r="G3603" s="106">
        <f>INDEX(SETORES!$B:$B,MATCH(A3603,SETORES!$A:$A,0))</f>
        <v/>
      </c>
      <c r="H3603" s="106" t="inlineStr">
        <is>
          <t>Outubro/2026</t>
        </is>
      </c>
    </row>
    <row r="3604">
      <c r="A3604" s="106" t="inlineStr">
        <is>
          <t>Marketing</t>
        </is>
      </c>
      <c r="B3604" s="106" t="inlineStr">
        <is>
          <t>Custo Variável</t>
        </is>
      </c>
      <c r="C3604" s="106" t="inlineStr">
        <is>
          <t>Rescisões trabalhistas</t>
        </is>
      </c>
      <c r="D3604" s="107" t="n"/>
      <c r="E3604" s="108" t="n"/>
      <c r="F3604" s="109">
        <f>IFERROR(D3604*E3604,0)</f>
        <v/>
      </c>
      <c r="G3604" s="106">
        <f>INDEX(SETORES!$B:$B,MATCH(A3604,SETORES!$A:$A,0))</f>
        <v/>
      </c>
      <c r="H3604" s="106" t="inlineStr">
        <is>
          <t>Outubro/2026</t>
        </is>
      </c>
    </row>
    <row r="3605">
      <c r="A3605" s="106" t="inlineStr">
        <is>
          <t>Oficina</t>
        </is>
      </c>
      <c r="B3605" s="106" t="inlineStr">
        <is>
          <t>Custo Variável</t>
        </is>
      </c>
      <c r="C3605" s="106" t="inlineStr">
        <is>
          <t>Rescisões trabalhistas</t>
        </is>
      </c>
      <c r="D3605" s="107" t="n"/>
      <c r="E3605" s="108" t="n"/>
      <c r="F3605" s="109">
        <f>IFERROR(D3605*E3605,0)</f>
        <v/>
      </c>
      <c r="G3605" s="106">
        <f>INDEX(SETORES!$B:$B,MATCH(A3605,SETORES!$A:$A,0))</f>
        <v/>
      </c>
      <c r="H3605" s="106" t="inlineStr">
        <is>
          <t>Outubro/2026</t>
        </is>
      </c>
    </row>
    <row r="3606">
      <c r="A3606" s="106" t="inlineStr">
        <is>
          <t>Qualidade</t>
        </is>
      </c>
      <c r="B3606" s="106" t="inlineStr">
        <is>
          <t>Custo Variável</t>
        </is>
      </c>
      <c r="C3606" s="106" t="inlineStr">
        <is>
          <t>Rescisões trabalhistas</t>
        </is>
      </c>
      <c r="D3606" s="107" t="n"/>
      <c r="E3606" s="108" t="n"/>
      <c r="F3606" s="109">
        <f>IFERROR(D3606*E3606,0)</f>
        <v/>
      </c>
      <c r="G3606" s="106">
        <f>INDEX(SETORES!$B:$B,MATCH(A3606,SETORES!$A:$A,0))</f>
        <v/>
      </c>
      <c r="H3606" s="106" t="inlineStr">
        <is>
          <t>Outubro/2026</t>
        </is>
      </c>
    </row>
    <row r="3607">
      <c r="A3607" s="106" t="inlineStr">
        <is>
          <t>RH</t>
        </is>
      </c>
      <c r="B3607" s="106" t="inlineStr">
        <is>
          <t>Custo Variável</t>
        </is>
      </c>
      <c r="C3607" s="106" t="inlineStr">
        <is>
          <t>Rescisões trabalhistas</t>
        </is>
      </c>
      <c r="D3607" s="107" t="n"/>
      <c r="E3607" s="108" t="n"/>
      <c r="F3607" s="109">
        <f>IFERROR(D3607*E3607,0)</f>
        <v/>
      </c>
      <c r="G3607" s="106">
        <f>INDEX(SETORES!$B:$B,MATCH(A3607,SETORES!$A:$A,0))</f>
        <v/>
      </c>
      <c r="H3607" s="106" t="inlineStr">
        <is>
          <t>Outubro/2026</t>
        </is>
      </c>
    </row>
    <row r="3608">
      <c r="A3608" s="106" t="inlineStr">
        <is>
          <t>Fique Móvel</t>
        </is>
      </c>
      <c r="B3608" s="106" t="inlineStr">
        <is>
          <t>Custo Fixo</t>
        </is>
      </c>
      <c r="C3608" s="106" t="inlineStr">
        <is>
          <t>Impressora</t>
        </is>
      </c>
      <c r="D3608" s="107" t="n"/>
      <c r="E3608" s="108" t="n"/>
      <c r="F3608" s="109">
        <f>IFERROR(D3608*E3608,0)</f>
        <v/>
      </c>
      <c r="G3608" s="106">
        <f>INDEX(SETORES!$B:$B,MATCH(A3608,SETORES!$A:$A,0))</f>
        <v/>
      </c>
      <c r="H3608" s="106" t="inlineStr">
        <is>
          <t>Outubro/2026</t>
        </is>
      </c>
    </row>
    <row r="3609">
      <c r="A3609" s="106" t="inlineStr">
        <is>
          <t>Comercial Corporativo</t>
        </is>
      </c>
      <c r="B3609" s="106" t="inlineStr">
        <is>
          <t>Custo Fixo</t>
        </is>
      </c>
      <c r="C3609" s="106" t="inlineStr">
        <is>
          <t>Impressora</t>
        </is>
      </c>
      <c r="D3609" s="107" t="n"/>
      <c r="E3609" s="108" t="n"/>
      <c r="F3609" s="109">
        <f>IFERROR(D3609*E3609,0)</f>
        <v/>
      </c>
      <c r="G3609" s="106">
        <f>INDEX(SETORES!$B:$B,MATCH(A3609,SETORES!$A:$A,0))</f>
        <v/>
      </c>
      <c r="H3609" s="106" t="inlineStr">
        <is>
          <t>Outubro/2026</t>
        </is>
      </c>
    </row>
    <row r="3610">
      <c r="A3610" s="106" t="inlineStr">
        <is>
          <t>Contabilidade</t>
        </is>
      </c>
      <c r="B3610" s="106" t="inlineStr">
        <is>
          <t>Custo Fixo</t>
        </is>
      </c>
      <c r="C3610" s="106" t="inlineStr">
        <is>
          <t>Impressora</t>
        </is>
      </c>
      <c r="D3610" s="107" t="n"/>
      <c r="E3610" s="108" t="n"/>
      <c r="F3610" s="109">
        <f>IFERROR(D3610*E3610,0)</f>
        <v/>
      </c>
      <c r="G3610" s="106">
        <f>INDEX(SETORES!$B:$B,MATCH(A3610,SETORES!$A:$A,0))</f>
        <v/>
      </c>
      <c r="H3610" s="106" t="inlineStr">
        <is>
          <t>Outubro/2026</t>
        </is>
      </c>
    </row>
    <row r="3611">
      <c r="A3611" s="106" t="inlineStr">
        <is>
          <t>Qualidade</t>
        </is>
      </c>
      <c r="B3611" s="106" t="inlineStr">
        <is>
          <t>Custo Fixo</t>
        </is>
      </c>
      <c r="C3611" s="106" t="inlineStr">
        <is>
          <t>Impressora</t>
        </is>
      </c>
      <c r="D3611" s="107" t="n"/>
      <c r="E3611" s="108" t="n"/>
      <c r="F3611" s="109">
        <f>IFERROR(D3611*E3611,0)</f>
        <v/>
      </c>
      <c r="G3611" s="106">
        <f>INDEX(SETORES!$B:$B,MATCH(A3611,SETORES!$A:$A,0))</f>
        <v/>
      </c>
      <c r="H3611" s="106" t="inlineStr">
        <is>
          <t>Outubro/2026</t>
        </is>
      </c>
    </row>
    <row r="3612">
      <c r="A3612" s="106" t="inlineStr">
        <is>
          <t>Diretoria Adm</t>
        </is>
      </c>
      <c r="B3612" s="106" t="inlineStr">
        <is>
          <t>Custo Fixo</t>
        </is>
      </c>
      <c r="C3612" s="106" t="inlineStr">
        <is>
          <t>Impressora</t>
        </is>
      </c>
      <c r="D3612" s="107" t="n"/>
      <c r="E3612" s="108" t="n"/>
      <c r="F3612" s="109">
        <f>IFERROR(D3612*E3612,0)</f>
        <v/>
      </c>
      <c r="G3612" s="106">
        <f>INDEX(SETORES!$B:$B,MATCH(A3612,SETORES!$A:$A,0))</f>
        <v/>
      </c>
      <c r="H3612" s="106" t="inlineStr">
        <is>
          <t>Outubro/2026</t>
        </is>
      </c>
    </row>
    <row r="3613">
      <c r="A3613" s="106" t="inlineStr">
        <is>
          <t>Diretoria Operacional</t>
        </is>
      </c>
      <c r="B3613" s="106" t="inlineStr">
        <is>
          <t>Custo Fixo</t>
        </is>
      </c>
      <c r="C3613" s="106" t="inlineStr">
        <is>
          <t>Impressora</t>
        </is>
      </c>
      <c r="D3613" s="107" t="n"/>
      <c r="E3613" s="108" t="n"/>
      <c r="F3613" s="109">
        <f>IFERROR(D3613*E3613,0)</f>
        <v/>
      </c>
      <c r="G3613" s="106">
        <f>INDEX(SETORES!$B:$B,MATCH(A3613,SETORES!$A:$A,0))</f>
        <v/>
      </c>
      <c r="H3613" s="106" t="inlineStr">
        <is>
          <t>Outubro/2026</t>
        </is>
      </c>
    </row>
    <row r="3614">
      <c r="A3614" s="106" t="inlineStr">
        <is>
          <t>Gestão de Atendimento</t>
        </is>
      </c>
      <c r="B3614" s="106" t="inlineStr">
        <is>
          <t>Custo Fixo</t>
        </is>
      </c>
      <c r="C3614" s="106" t="inlineStr">
        <is>
          <t>Impressora</t>
        </is>
      </c>
      <c r="D3614" s="107" t="n"/>
      <c r="E3614" s="108" t="n"/>
      <c r="F3614" s="109">
        <f>IFERROR(D3614*E3614,0)</f>
        <v/>
      </c>
      <c r="G3614" s="106">
        <f>INDEX(SETORES!$B:$B,MATCH(A3614,SETORES!$A:$A,0))</f>
        <v/>
      </c>
      <c r="H3614" s="106" t="inlineStr">
        <is>
          <t>Outubro/2026</t>
        </is>
      </c>
    </row>
    <row r="3615">
      <c r="A3615" s="106" t="inlineStr">
        <is>
          <t>Controladoria</t>
        </is>
      </c>
      <c r="B3615" s="106" t="inlineStr">
        <is>
          <t>Custo Fixo</t>
        </is>
      </c>
      <c r="C3615" s="106" t="inlineStr">
        <is>
          <t>Impressora</t>
        </is>
      </c>
      <c r="D3615" s="107" t="n"/>
      <c r="E3615" s="108" t="n"/>
      <c r="F3615" s="109">
        <f>IFERROR(D3615*E3615,0)</f>
        <v/>
      </c>
      <c r="G3615" s="106">
        <f>INDEX(SETORES!$B:$B,MATCH(A3615,SETORES!$A:$A,0))</f>
        <v/>
      </c>
      <c r="H3615" s="106" t="inlineStr">
        <is>
          <t>Outubro/2026</t>
        </is>
      </c>
    </row>
    <row r="3616">
      <c r="A3616" s="106" t="inlineStr">
        <is>
          <t>CAC</t>
        </is>
      </c>
      <c r="B3616" s="106" t="inlineStr">
        <is>
          <t>Custo Fixo</t>
        </is>
      </c>
      <c r="C3616" s="106" t="inlineStr">
        <is>
          <t>Chip móvel corporativo</t>
        </is>
      </c>
      <c r="D3616" s="107" t="n">
        <v>1</v>
      </c>
      <c r="E3616" s="108" t="n">
        <v>30</v>
      </c>
      <c r="F3616" s="109">
        <f>IFERROR(D3616*E3616,0)</f>
        <v/>
      </c>
      <c r="G3616" s="106">
        <f>INDEX(SETORES!$B:$B,MATCH(A3616,SETORES!$A:$A,0))</f>
        <v/>
      </c>
      <c r="H3616" s="106" t="inlineStr">
        <is>
          <t>Outubro/2026</t>
        </is>
      </c>
    </row>
    <row r="3617">
      <c r="A3617" s="106" t="inlineStr">
        <is>
          <t>COE</t>
        </is>
      </c>
      <c r="B3617" s="106" t="inlineStr">
        <is>
          <t>Custo Fixo</t>
        </is>
      </c>
      <c r="C3617" s="106" t="inlineStr">
        <is>
          <t>Chip móvel corporativo</t>
        </is>
      </c>
      <c r="D3617" s="107" t="n">
        <v>12</v>
      </c>
      <c r="E3617" s="108" t="n">
        <v>30</v>
      </c>
      <c r="F3617" s="109">
        <f>IFERROR(D3617*E3617,0)</f>
        <v/>
      </c>
      <c r="G3617" s="106">
        <f>INDEX(SETORES!$B:$B,MATCH(A3617,SETORES!$A:$A,0))</f>
        <v/>
      </c>
      <c r="H3617" s="106" t="inlineStr">
        <is>
          <t>Outubro/2026</t>
        </is>
      </c>
    </row>
    <row r="3618">
      <c r="A3618" s="106" t="inlineStr">
        <is>
          <t>Compras</t>
        </is>
      </c>
      <c r="B3618" s="106" t="inlineStr">
        <is>
          <t>Custo Fixo</t>
        </is>
      </c>
      <c r="C3618" s="106" t="inlineStr">
        <is>
          <t>Chip móvel corporativo</t>
        </is>
      </c>
      <c r="D3618" s="107" t="n">
        <v>2</v>
      </c>
      <c r="E3618" s="108" t="n">
        <v>30</v>
      </c>
      <c r="F3618" s="109">
        <f>IFERROR(D3618*E3618,0)</f>
        <v/>
      </c>
      <c r="G3618" s="106">
        <f>INDEX(SETORES!$B:$B,MATCH(A3618,SETORES!$A:$A,0))</f>
        <v/>
      </c>
      <c r="H3618" s="106" t="inlineStr">
        <is>
          <t>Outubro/2026</t>
        </is>
      </c>
    </row>
    <row r="3619">
      <c r="A3619" s="106" t="inlineStr">
        <is>
          <t>Contabilidade</t>
        </is>
      </c>
      <c r="B3619" s="106" t="inlineStr">
        <is>
          <t>Custo Fixo</t>
        </is>
      </c>
      <c r="C3619" s="106" t="inlineStr">
        <is>
          <t>Chip móvel corporativo</t>
        </is>
      </c>
      <c r="D3619" s="107" t="n">
        <v>2</v>
      </c>
      <c r="E3619" s="108" t="n">
        <v>30</v>
      </c>
      <c r="F3619" s="109">
        <f>IFERROR(D3619*E3619,0)</f>
        <v/>
      </c>
      <c r="G3619" s="106">
        <f>INDEX(SETORES!$B:$B,MATCH(A3619,SETORES!$A:$A,0))</f>
        <v/>
      </c>
      <c r="H3619" s="106" t="inlineStr">
        <is>
          <t>Outubro/2026</t>
        </is>
      </c>
    </row>
    <row r="3620">
      <c r="A3620" s="106" t="inlineStr">
        <is>
          <t>DP</t>
        </is>
      </c>
      <c r="B3620" s="106" t="inlineStr">
        <is>
          <t>Custo Fixo</t>
        </is>
      </c>
      <c r="C3620" s="106" t="inlineStr">
        <is>
          <t>Chip móvel corporativo</t>
        </is>
      </c>
      <c r="D3620" s="107" t="n">
        <v>2</v>
      </c>
      <c r="E3620" s="108" t="n">
        <v>30</v>
      </c>
      <c r="F3620" s="109">
        <f>IFERROR(D3620*E3620,0)</f>
        <v/>
      </c>
      <c r="G3620" s="106">
        <f>INDEX(SETORES!$B:$B,MATCH(A3620,SETORES!$A:$A,0))</f>
        <v/>
      </c>
      <c r="H3620" s="106" t="inlineStr">
        <is>
          <t>Outubro/2026</t>
        </is>
      </c>
    </row>
    <row r="3621">
      <c r="A3621" s="106" t="inlineStr">
        <is>
          <t>Engenharia</t>
        </is>
      </c>
      <c r="B3621" s="106" t="inlineStr">
        <is>
          <t>Custo Fixo</t>
        </is>
      </c>
      <c r="C3621" s="106" t="inlineStr">
        <is>
          <t>Chip móvel corporativo</t>
        </is>
      </c>
      <c r="D3621" s="107" t="n">
        <v>8</v>
      </c>
      <c r="E3621" s="108" t="n">
        <v>30</v>
      </c>
      <c r="F3621" s="109">
        <f>IFERROR(D3621*E3621,0)</f>
        <v/>
      </c>
      <c r="G3621" s="106">
        <f>INDEX(SETORES!$B:$B,MATCH(A3621,SETORES!$A:$A,0))</f>
        <v/>
      </c>
      <c r="H3621" s="106" t="inlineStr">
        <is>
          <t>Outubro/2026</t>
        </is>
      </c>
    </row>
    <row r="3622">
      <c r="A3622" s="106" t="inlineStr">
        <is>
          <t>Financeiro</t>
        </is>
      </c>
      <c r="B3622" s="106" t="inlineStr">
        <is>
          <t>Custo Fixo</t>
        </is>
      </c>
      <c r="C3622" s="106" t="inlineStr">
        <is>
          <t>Chip móvel corporativo</t>
        </is>
      </c>
      <c r="D3622" s="107" t="n">
        <v>2</v>
      </c>
      <c r="E3622" s="108" t="n">
        <v>30</v>
      </c>
      <c r="F3622" s="109">
        <f>IFERROR(D3622*E3622,0)</f>
        <v/>
      </c>
      <c r="G3622" s="106">
        <f>INDEX(SETORES!$B:$B,MATCH(A3622,SETORES!$A:$A,0))</f>
        <v/>
      </c>
      <c r="H3622" s="106" t="inlineStr">
        <is>
          <t>Outubro/2026</t>
        </is>
      </c>
    </row>
    <row r="3623">
      <c r="A3623" s="106" t="inlineStr">
        <is>
          <t>Fique Móvel</t>
        </is>
      </c>
      <c r="B3623" s="106" t="inlineStr">
        <is>
          <t>Custo Fixo</t>
        </is>
      </c>
      <c r="C3623" s="106" t="inlineStr">
        <is>
          <t>Chip móvel corporativo</t>
        </is>
      </c>
      <c r="D3623" s="107" t="n">
        <v>2</v>
      </c>
      <c r="E3623" s="108" t="n">
        <v>30</v>
      </c>
      <c r="F3623" s="109">
        <f>IFERROR(D3623*E3623,0)</f>
        <v/>
      </c>
      <c r="G3623" s="106">
        <f>INDEX(SETORES!$B:$B,MATCH(A3623,SETORES!$A:$A,0))</f>
        <v/>
      </c>
      <c r="H3623" s="106" t="inlineStr">
        <is>
          <t>Outubro/2026</t>
        </is>
      </c>
    </row>
    <row r="3624">
      <c r="A3624" s="106" t="inlineStr">
        <is>
          <t>Gestão de Atendimento</t>
        </is>
      </c>
      <c r="B3624" s="106" t="inlineStr">
        <is>
          <t>Custo Fixo</t>
        </is>
      </c>
      <c r="C3624" s="106" t="inlineStr">
        <is>
          <t>Chip móvel corporativo</t>
        </is>
      </c>
      <c r="D3624" s="107" t="n">
        <v>2</v>
      </c>
      <c r="E3624" s="108" t="n">
        <v>30</v>
      </c>
      <c r="F3624" s="109">
        <f>IFERROR(D3624*E3624,0)</f>
        <v/>
      </c>
      <c r="G3624" s="106">
        <f>INDEX(SETORES!$B:$B,MATCH(A3624,SETORES!$A:$A,0))</f>
        <v/>
      </c>
      <c r="H3624" s="106" t="inlineStr">
        <is>
          <t>Outubro/2026</t>
        </is>
      </c>
    </row>
    <row r="3625">
      <c r="A3625" s="106" t="inlineStr">
        <is>
          <t>Jurídico</t>
        </is>
      </c>
      <c r="B3625" s="106" t="inlineStr">
        <is>
          <t>Custo Fixo</t>
        </is>
      </c>
      <c r="C3625" s="106" t="inlineStr">
        <is>
          <t>Chip móvel corporativo</t>
        </is>
      </c>
      <c r="D3625" s="107" t="n">
        <v>2</v>
      </c>
      <c r="E3625" s="108" t="n">
        <v>30</v>
      </c>
      <c r="F3625" s="109">
        <f>IFERROR(D3625*E3625,0)</f>
        <v/>
      </c>
      <c r="G3625" s="106">
        <f>INDEX(SETORES!$B:$B,MATCH(A3625,SETORES!$A:$A,0))</f>
        <v/>
      </c>
      <c r="H3625" s="106" t="inlineStr">
        <is>
          <t>Outubro/2026</t>
        </is>
      </c>
    </row>
    <row r="3626">
      <c r="A3626" s="106" t="inlineStr">
        <is>
          <t>Logística</t>
        </is>
      </c>
      <c r="B3626" s="106" t="inlineStr">
        <is>
          <t>Custo Fixo</t>
        </is>
      </c>
      <c r="C3626" s="106" t="inlineStr">
        <is>
          <t>Chip móvel corporativo</t>
        </is>
      </c>
      <c r="D3626" s="107" t="n">
        <v>7</v>
      </c>
      <c r="E3626" s="108" t="n">
        <v>30</v>
      </c>
      <c r="F3626" s="109">
        <f>IFERROR(D3626*E3626,0)</f>
        <v/>
      </c>
      <c r="G3626" s="106">
        <f>INDEX(SETORES!$B:$B,MATCH(A3626,SETORES!$A:$A,0))</f>
        <v/>
      </c>
      <c r="H3626" s="106" t="inlineStr">
        <is>
          <t>Outubro/2026</t>
        </is>
      </c>
    </row>
    <row r="3627">
      <c r="A3627" s="106" t="inlineStr">
        <is>
          <t>Manutenção Predial</t>
        </is>
      </c>
      <c r="B3627" s="106" t="inlineStr">
        <is>
          <t>Custo Fixo</t>
        </is>
      </c>
      <c r="C3627" s="106" t="inlineStr">
        <is>
          <t>Chip móvel corporativo</t>
        </is>
      </c>
      <c r="D3627" s="107" t="n">
        <v>7</v>
      </c>
      <c r="E3627" s="108" t="n">
        <v>30</v>
      </c>
      <c r="F3627" s="109">
        <f>IFERROR(D3627*E3627,0)</f>
        <v/>
      </c>
      <c r="G3627" s="106">
        <f>INDEX(SETORES!$B:$B,MATCH(A3627,SETORES!$A:$A,0))</f>
        <v/>
      </c>
      <c r="H3627" s="106" t="inlineStr">
        <is>
          <t>Outubro/2026</t>
        </is>
      </c>
    </row>
    <row r="3628">
      <c r="A3628" s="106" t="inlineStr">
        <is>
          <t>Marketing</t>
        </is>
      </c>
      <c r="B3628" s="106" t="inlineStr">
        <is>
          <t>Custo Fixo</t>
        </is>
      </c>
      <c r="C3628" s="106" t="inlineStr">
        <is>
          <t>Chip móvel corporativo</t>
        </is>
      </c>
      <c r="D3628" s="107" t="n">
        <v>10</v>
      </c>
      <c r="E3628" s="108" t="n">
        <v>30</v>
      </c>
      <c r="F3628" s="109">
        <f>IFERROR(D3628*E3628,0)</f>
        <v/>
      </c>
      <c r="G3628" s="106">
        <f>INDEX(SETORES!$B:$B,MATCH(A3628,SETORES!$A:$A,0))</f>
        <v/>
      </c>
      <c r="H3628" s="106" t="inlineStr">
        <is>
          <t>Outubro/2026</t>
        </is>
      </c>
    </row>
    <row r="3629">
      <c r="A3629" s="106" t="inlineStr">
        <is>
          <t>NOC</t>
        </is>
      </c>
      <c r="B3629" s="106" t="inlineStr">
        <is>
          <t>Custo Fixo</t>
        </is>
      </c>
      <c r="C3629" s="106" t="inlineStr">
        <is>
          <t>Chip móvel corporativo</t>
        </is>
      </c>
      <c r="D3629" s="107" t="n">
        <v>3</v>
      </c>
      <c r="E3629" s="108" t="n">
        <v>30</v>
      </c>
      <c r="F3629" s="109">
        <f>IFERROR(D3629*E3629,0)</f>
        <v/>
      </c>
      <c r="G3629" s="106">
        <f>INDEX(SETORES!$B:$B,MATCH(A3629,SETORES!$A:$A,0))</f>
        <v/>
      </c>
      <c r="H3629" s="106" t="inlineStr">
        <is>
          <t>Outubro/2026</t>
        </is>
      </c>
    </row>
    <row r="3630">
      <c r="A3630" s="106" t="inlineStr">
        <is>
          <t>Obras</t>
        </is>
      </c>
      <c r="B3630" s="106" t="inlineStr">
        <is>
          <t>Custo Fixo</t>
        </is>
      </c>
      <c r="C3630" s="106" t="inlineStr">
        <is>
          <t>Chip móvel corporativo</t>
        </is>
      </c>
      <c r="D3630" s="107" t="n">
        <v>5</v>
      </c>
      <c r="E3630" s="108" t="n">
        <v>30</v>
      </c>
      <c r="F3630" s="109">
        <f>IFERROR(D3630*E3630,0)</f>
        <v/>
      </c>
      <c r="G3630" s="106">
        <f>INDEX(SETORES!$B:$B,MATCH(A3630,SETORES!$A:$A,0))</f>
        <v/>
      </c>
      <c r="H3630" s="106" t="inlineStr">
        <is>
          <t>Outubro/2026</t>
        </is>
      </c>
    </row>
    <row r="3631">
      <c r="A3631" s="106" t="inlineStr">
        <is>
          <t>Qualidade</t>
        </is>
      </c>
      <c r="B3631" s="106" t="inlineStr">
        <is>
          <t>Custo Fixo</t>
        </is>
      </c>
      <c r="C3631" s="106" t="inlineStr">
        <is>
          <t>Chip móvel corporativo</t>
        </is>
      </c>
      <c r="D3631" s="107" t="n">
        <v>4</v>
      </c>
      <c r="E3631" s="108" t="n">
        <v>30</v>
      </c>
      <c r="F3631" s="109">
        <f>IFERROR(D3631*E3631,0)</f>
        <v/>
      </c>
      <c r="G3631" s="106">
        <f>INDEX(SETORES!$B:$B,MATCH(A3631,SETORES!$A:$A,0))</f>
        <v/>
      </c>
      <c r="H3631" s="106" t="inlineStr">
        <is>
          <t>Outubro/2026</t>
        </is>
      </c>
    </row>
    <row r="3632">
      <c r="A3632" s="106" t="inlineStr">
        <is>
          <t>RH</t>
        </is>
      </c>
      <c r="B3632" s="106" t="inlineStr">
        <is>
          <t>Custo Fixo</t>
        </is>
      </c>
      <c r="C3632" s="106" t="inlineStr">
        <is>
          <t>Chip móvel corporativo</t>
        </is>
      </c>
      <c r="D3632" s="107" t="n">
        <v>3</v>
      </c>
      <c r="E3632" s="108" t="n">
        <v>30</v>
      </c>
      <c r="F3632" s="109">
        <f>IFERROR(D3632*E3632,0)</f>
        <v/>
      </c>
      <c r="G3632" s="106">
        <f>INDEX(SETORES!$B:$B,MATCH(A3632,SETORES!$A:$A,0))</f>
        <v/>
      </c>
      <c r="H3632" s="106" t="inlineStr">
        <is>
          <t>Outubro/2026</t>
        </is>
      </c>
    </row>
    <row r="3633">
      <c r="A3633" s="106" t="inlineStr">
        <is>
          <t>Segurança do Trabalho</t>
        </is>
      </c>
      <c r="B3633" s="106" t="inlineStr">
        <is>
          <t>Custo Fixo</t>
        </is>
      </c>
      <c r="C3633" s="106" t="inlineStr">
        <is>
          <t>Chip móvel corporativo</t>
        </is>
      </c>
      <c r="D3633" s="107" t="n">
        <v>3</v>
      </c>
      <c r="E3633" s="108" t="n">
        <v>30</v>
      </c>
      <c r="F3633" s="109">
        <f>IFERROR(D3633*E3633,0)</f>
        <v/>
      </c>
      <c r="G3633" s="106">
        <f>INDEX(SETORES!$B:$B,MATCH(A3633,SETORES!$A:$A,0))</f>
        <v/>
      </c>
      <c r="H3633" s="106" t="inlineStr">
        <is>
          <t>Outubro/2026</t>
        </is>
      </c>
    </row>
    <row r="3634">
      <c r="A3634" s="106" t="inlineStr">
        <is>
          <t>TIC</t>
        </is>
      </c>
      <c r="B3634" s="106" t="inlineStr">
        <is>
          <t>Custo Fixo</t>
        </is>
      </c>
      <c r="C3634" s="106" t="inlineStr">
        <is>
          <t>Chip móvel corporativo</t>
        </is>
      </c>
      <c r="D3634" s="107" t="n">
        <v>5</v>
      </c>
      <c r="E3634" s="108" t="n">
        <v>30</v>
      </c>
      <c r="F3634" s="109">
        <f>IFERROR(D3634*E3634,0)</f>
        <v/>
      </c>
      <c r="G3634" s="106">
        <f>INDEX(SETORES!$B:$B,MATCH(A3634,SETORES!$A:$A,0))</f>
        <v/>
      </c>
      <c r="H3634" s="106" t="inlineStr">
        <is>
          <t>Outubro/2026</t>
        </is>
      </c>
    </row>
    <row r="3635">
      <c r="A3635" s="106" t="inlineStr">
        <is>
          <t>Backoffice Comercial Varejo</t>
        </is>
      </c>
      <c r="B3635" s="106" t="inlineStr">
        <is>
          <t>Custo Fixo</t>
        </is>
      </c>
      <c r="C3635" s="106" t="inlineStr">
        <is>
          <t>Folha de pagamento (salários)</t>
        </is>
      </c>
      <c r="D3635" s="107" t="n">
        <v>1</v>
      </c>
      <c r="E3635" s="108" t="n">
        <v>7220.72</v>
      </c>
      <c r="F3635" s="109">
        <f>IFERROR(D3635*E3635,0)</f>
        <v/>
      </c>
      <c r="G3635" s="106">
        <f>INDEX(SETORES!$B:$B,MATCH(A3635,SETORES!$A:$A,0))</f>
        <v/>
      </c>
      <c r="H3635" s="106" t="inlineStr">
        <is>
          <t>Outubro/2026</t>
        </is>
      </c>
    </row>
    <row r="3636">
      <c r="A3636" s="106" t="inlineStr">
        <is>
          <t>Serviços Gerais</t>
        </is>
      </c>
      <c r="B3636" s="106" t="inlineStr">
        <is>
          <t>Custo Fixo</t>
        </is>
      </c>
      <c r="C3636" s="106" t="inlineStr">
        <is>
          <t>Folha de pagamento (salários)</t>
        </is>
      </c>
      <c r="D3636" s="107" t="n">
        <v>1</v>
      </c>
      <c r="E3636" s="108" t="n">
        <v>27256.45</v>
      </c>
      <c r="F3636" s="109">
        <f>IFERROR(D3636*E3636,0)</f>
        <v/>
      </c>
      <c r="G3636" s="106">
        <f>INDEX(SETORES!$B:$B,MATCH(A3636,SETORES!$A:$A,0))</f>
        <v/>
      </c>
      <c r="H3636" s="106" t="inlineStr">
        <is>
          <t>Outubro/2026</t>
        </is>
      </c>
    </row>
    <row r="3637">
      <c r="A3637" s="106" t="inlineStr">
        <is>
          <t>Gestão de Atendimento</t>
        </is>
      </c>
      <c r="B3637" s="106" t="inlineStr">
        <is>
          <t>Custo Fixo</t>
        </is>
      </c>
      <c r="C3637" s="106" t="inlineStr">
        <is>
          <t>Custo de gestão administrativa (rateado — Renata Thaysa dos Santos Cunha)</t>
        </is>
      </c>
      <c r="D3637" s="107" t="n">
        <v>1</v>
      </c>
      <c r="E3637" s="108" t="n">
        <v>4947.47</v>
      </c>
      <c r="F3637" s="109">
        <f>IFERROR(D3637*E3637,0)</f>
        <v/>
      </c>
      <c r="G3637" s="106">
        <f>INDEX(SETORES!$B:$B,MATCH(A3637,SETORES!$A:$A,0))</f>
        <v/>
      </c>
      <c r="H3637" s="106" t="inlineStr">
        <is>
          <t>Outubro/2026</t>
        </is>
      </c>
    </row>
    <row r="3638">
      <c r="A3638" s="106" t="inlineStr">
        <is>
          <t>CAC</t>
        </is>
      </c>
      <c r="B3638" s="106" t="inlineStr">
        <is>
          <t>Custo Fixo</t>
        </is>
      </c>
      <c r="C3638" s="106" t="inlineStr">
        <is>
          <t>Custo de gestão administrativa (rateado — Renata Thaysa dos Santos Cunha)</t>
        </is>
      </c>
      <c r="D3638" s="107" t="n">
        <v>1</v>
      </c>
      <c r="E3638" s="108" t="n">
        <v>1455.14</v>
      </c>
      <c r="F3638" s="109">
        <f>IFERROR(D3638*E3638,0)</f>
        <v/>
      </c>
      <c r="G3638" s="106">
        <f>INDEX(SETORES!$B:$B,MATCH(A3638,SETORES!$A:$A,0))</f>
        <v/>
      </c>
      <c r="H3638" s="106" t="inlineStr">
        <is>
          <t>Outubro/2026</t>
        </is>
      </c>
    </row>
    <row r="3639">
      <c r="A3639" s="106" t="inlineStr">
        <is>
          <t>Backoffice Comercial Varejo</t>
        </is>
      </c>
      <c r="B3639" s="106" t="inlineStr">
        <is>
          <t>Custo Fixo</t>
        </is>
      </c>
      <c r="C3639" s="106" t="inlineStr">
        <is>
          <t>Custo de gestão administrativa (rateado — Renata Thaysa dos Santos Cunha)</t>
        </is>
      </c>
      <c r="D3639" s="107" t="n">
        <v>1</v>
      </c>
      <c r="E3639" s="108" t="n">
        <v>582.0599999999999</v>
      </c>
      <c r="F3639" s="109">
        <f>IFERROR(D3639*E3639,0)</f>
        <v/>
      </c>
      <c r="G3639" s="106">
        <f>INDEX(SETORES!$B:$B,MATCH(A3639,SETORES!$A:$A,0))</f>
        <v/>
      </c>
      <c r="H3639" s="106" t="inlineStr">
        <is>
          <t>Outubro/2026</t>
        </is>
      </c>
    </row>
    <row r="3640">
      <c r="A3640" s="106" t="inlineStr">
        <is>
          <t>NRC</t>
        </is>
      </c>
      <c r="B3640" s="106" t="inlineStr">
        <is>
          <t>Custo Fixo</t>
        </is>
      </c>
      <c r="C3640" s="106" t="inlineStr">
        <is>
          <t>Custo de gestão administrativa (rateado — Ayrton da Silva Lima)</t>
        </is>
      </c>
      <c r="D3640" s="107" t="n">
        <v>1</v>
      </c>
      <c r="E3640" s="108" t="n">
        <v>3272.78</v>
      </c>
      <c r="F3640" s="109">
        <f>IFERROR(D3640*E3640,0)</f>
        <v/>
      </c>
      <c r="G3640" s="106">
        <f>INDEX(SETORES!$B:$B,MATCH(A3640,SETORES!$A:$A,0))</f>
        <v/>
      </c>
      <c r="H3640" s="106" t="inlineStr">
        <is>
          <t>Outubro/2026</t>
        </is>
      </c>
    </row>
    <row r="3641">
      <c r="A3641" s="106" t="inlineStr">
        <is>
          <t>Cobrança</t>
        </is>
      </c>
      <c r="B3641" s="106" t="inlineStr">
        <is>
          <t>Custo Fixo</t>
        </is>
      </c>
      <c r="C3641" s="106" t="inlineStr">
        <is>
          <t>Custo de gestão administrativa (rateado — Ayrton da Silva Lima)</t>
        </is>
      </c>
      <c r="D3641" s="107" t="n">
        <v>1</v>
      </c>
      <c r="E3641" s="108" t="n">
        <v>1013</v>
      </c>
      <c r="F3641" s="109">
        <f>IFERROR(D3641*E3641,0)</f>
        <v/>
      </c>
      <c r="G3641" s="106">
        <f>INDEX(SETORES!$B:$B,MATCH(A3641,SETORES!$A:$A,0))</f>
        <v/>
      </c>
      <c r="H3641" s="106" t="inlineStr">
        <is>
          <t>Outubro/2026</t>
        </is>
      </c>
    </row>
    <row r="3642">
      <c r="A3642" s="106" t="inlineStr">
        <is>
          <t>Retenção</t>
        </is>
      </c>
      <c r="B3642" s="106" t="inlineStr">
        <is>
          <t>Custo Fixo</t>
        </is>
      </c>
      <c r="C3642" s="106" t="inlineStr">
        <is>
          <t>Custo de gestão administrativa (rateado — Ayrton da Silva Lima)</t>
        </is>
      </c>
      <c r="D3642" s="107" t="n">
        <v>1</v>
      </c>
      <c r="E3642" s="108" t="n">
        <v>935.08</v>
      </c>
      <c r="F3642" s="109">
        <f>IFERROR(D3642*E3642,0)</f>
        <v/>
      </c>
      <c r="G3642" s="106">
        <f>INDEX(SETORES!$B:$B,MATCH(A3642,SETORES!$A:$A,0))</f>
        <v/>
      </c>
      <c r="H3642" s="106" t="inlineStr">
        <is>
          <t>Outubro/2026</t>
        </is>
      </c>
    </row>
    <row r="3643">
      <c r="A3643" s="106" t="inlineStr">
        <is>
          <t>Televendas</t>
        </is>
      </c>
      <c r="B3643" s="106" t="inlineStr">
        <is>
          <t>Custo Fixo</t>
        </is>
      </c>
      <c r="C3643" s="106" t="inlineStr">
        <is>
          <t>Custo de gestão administrativa (rateado — Ayrton da Silva Lima)</t>
        </is>
      </c>
      <c r="D3643" s="107" t="n">
        <v>1</v>
      </c>
      <c r="E3643" s="108" t="n">
        <v>857.16</v>
      </c>
      <c r="F3643" s="109">
        <f>IFERROR(D3643*E3643,0)</f>
        <v/>
      </c>
      <c r="G3643" s="106">
        <f>INDEX(SETORES!$B:$B,MATCH(A3643,SETORES!$A:$A,0))</f>
        <v/>
      </c>
      <c r="H3643" s="106" t="inlineStr">
        <is>
          <t>Outubro/2026</t>
        </is>
      </c>
    </row>
    <row r="3644">
      <c r="A3644" s="106" t="inlineStr">
        <is>
          <t>Suporte da Central</t>
        </is>
      </c>
      <c r="B3644" s="106" t="inlineStr">
        <is>
          <t>Custo Fixo</t>
        </is>
      </c>
      <c r="C3644" s="106" t="inlineStr">
        <is>
          <t>Custo de gestão administrativa (rateado — Ayrton da Silva Lima)</t>
        </is>
      </c>
      <c r="D3644" s="107" t="n">
        <v>1</v>
      </c>
      <c r="E3644" s="108" t="n">
        <v>2571.47</v>
      </c>
      <c r="F3644" s="109">
        <f>IFERROR(D3644*E3644,0)</f>
        <v/>
      </c>
      <c r="G3644" s="106">
        <f>INDEX(SETORES!$B:$B,MATCH(A3644,SETORES!$A:$A,0))</f>
        <v/>
      </c>
      <c r="H3644" s="106" t="inlineStr">
        <is>
          <t>Outubro/2026</t>
        </is>
      </c>
    </row>
    <row r="3645">
      <c r="A3645" s="106" t="inlineStr">
        <is>
          <t>Suporte Orbix</t>
        </is>
      </c>
      <c r="B3645" s="106" t="inlineStr">
        <is>
          <t>Custo Fixo</t>
        </is>
      </c>
      <c r="C3645" s="106" t="inlineStr">
        <is>
          <t>Custo de gestão administrativa (rateado — Ayrton da Silva Lima)</t>
        </is>
      </c>
      <c r="D3645" s="107" t="n">
        <v>1</v>
      </c>
      <c r="E3645" s="108" t="n">
        <v>623.39</v>
      </c>
      <c r="F3645" s="109">
        <f>IFERROR(D3645*E3645,0)</f>
        <v/>
      </c>
      <c r="G3645" s="106">
        <f>INDEX(SETORES!$B:$B,MATCH(A3645,SETORES!$A:$A,0))</f>
        <v/>
      </c>
      <c r="H3645" s="106" t="inlineStr">
        <is>
          <t>Outubro/2026</t>
        </is>
      </c>
    </row>
    <row r="3646">
      <c r="A3646" s="106" t="inlineStr">
        <is>
          <t>Engenharia</t>
        </is>
      </c>
      <c r="B3646" s="106" t="inlineStr">
        <is>
          <t>Custo Fixo</t>
        </is>
      </c>
      <c r="C3646" s="106" t="inlineStr">
        <is>
          <t>Custo de gestão administrativa (rateado — Cryslaine Fonseca Rosal)</t>
        </is>
      </c>
      <c r="D3646" s="107" t="n">
        <v>1</v>
      </c>
      <c r="E3646" s="108" t="n">
        <v>1574.51</v>
      </c>
      <c r="F3646" s="109">
        <f>IFERROR(D3646*E3646,0)</f>
        <v/>
      </c>
      <c r="G3646" s="106">
        <f>INDEX(SETORES!$B:$B,MATCH(A3646,SETORES!$A:$A,0))</f>
        <v/>
      </c>
      <c r="H3646" s="106" t="inlineStr">
        <is>
          <t>Outubro/2026</t>
        </is>
      </c>
    </row>
    <row r="3647">
      <c r="A3647" s="106" t="inlineStr">
        <is>
          <t>Obras</t>
        </is>
      </c>
      <c r="B3647" s="106" t="inlineStr">
        <is>
          <t>Custo Fixo</t>
        </is>
      </c>
      <c r="C3647" s="106" t="inlineStr">
        <is>
          <t>Custo de gestão administrativa (rateado — Cryslaine Fonseca Rosal)</t>
        </is>
      </c>
      <c r="D3647" s="107" t="n">
        <v>1</v>
      </c>
      <c r="E3647" s="108" t="n">
        <v>4198.71</v>
      </c>
      <c r="F3647" s="109">
        <f>IFERROR(D3647*E3647,0)</f>
        <v/>
      </c>
      <c r="G3647" s="106">
        <f>INDEX(SETORES!$B:$B,MATCH(A3647,SETORES!$A:$A,0))</f>
        <v/>
      </c>
      <c r="H3647" s="106" t="inlineStr">
        <is>
          <t>Outubro/2026</t>
        </is>
      </c>
    </row>
    <row r="3648">
      <c r="A3648" s="106" t="inlineStr">
        <is>
          <t>Manutenção Predial</t>
        </is>
      </c>
      <c r="B3648" s="106" t="inlineStr">
        <is>
          <t>Custo Fixo</t>
        </is>
      </c>
      <c r="C3648" s="106" t="inlineStr">
        <is>
          <t>Custo de gestão administrativa (rateado — Cryslaine Fonseca Rosal)</t>
        </is>
      </c>
      <c r="D3648" s="107" t="n">
        <v>1</v>
      </c>
      <c r="E3648" s="108" t="n">
        <v>2624.19</v>
      </c>
      <c r="F3648" s="109">
        <f>IFERROR(D3648*E3648,0)</f>
        <v/>
      </c>
      <c r="G3648" s="106">
        <f>INDEX(SETORES!$B:$B,MATCH(A3648,SETORES!$A:$A,0))</f>
        <v/>
      </c>
      <c r="H3648" s="106" t="inlineStr">
        <is>
          <t>Outubro/2026</t>
        </is>
      </c>
    </row>
    <row r="3649">
      <c r="A3649" s="106" t="inlineStr">
        <is>
          <t>Lançamento</t>
        </is>
      </c>
      <c r="B3649" s="106" t="inlineStr">
        <is>
          <t>Custo Fixo</t>
        </is>
      </c>
      <c r="C3649" s="106" t="inlineStr">
        <is>
          <t>Custo de gestão administrativa (rateado — Cryslaine Fonseca Rosal)</t>
        </is>
      </c>
      <c r="D3649" s="107" t="n">
        <v>1</v>
      </c>
      <c r="E3649" s="108" t="n">
        <v>4198.71</v>
      </c>
      <c r="F3649" s="109">
        <f>IFERROR(D3649*E3649,0)</f>
        <v/>
      </c>
      <c r="G3649" s="106">
        <f>INDEX(SETORES!$B:$B,MATCH(A3649,SETORES!$A:$A,0))</f>
        <v/>
      </c>
      <c r="H3649" s="106" t="inlineStr">
        <is>
          <t>Outubro/2026</t>
        </is>
      </c>
    </row>
    <row r="3650">
      <c r="A3650" s="106" t="inlineStr">
        <is>
          <t>Fusão</t>
        </is>
      </c>
      <c r="B3650" s="106" t="inlineStr">
        <is>
          <t>Custo Fixo</t>
        </is>
      </c>
      <c r="C3650" s="106" t="inlineStr">
        <is>
          <t>Custo de gestão administrativa (rateado — Cryslaine Fonseca Rosal)</t>
        </is>
      </c>
      <c r="D3650" s="107" t="n">
        <v>1</v>
      </c>
      <c r="E3650" s="108" t="n">
        <v>1749.46</v>
      </c>
      <c r="F3650" s="109">
        <f>IFERROR(D3650*E3650,0)</f>
        <v/>
      </c>
      <c r="G3650" s="106">
        <f>INDEX(SETORES!$B:$B,MATCH(A3650,SETORES!$A:$A,0))</f>
        <v/>
      </c>
      <c r="H3650" s="106" t="inlineStr">
        <is>
          <t>Outubro/2026</t>
        </is>
      </c>
    </row>
    <row r="3651">
      <c r="A3651" s="106" t="inlineStr">
        <is>
          <t>Serviços Gerais</t>
        </is>
      </c>
      <c r="B3651" s="106" t="inlineStr">
        <is>
          <t>Custo Fixo</t>
        </is>
      </c>
      <c r="C3651" s="106" t="inlineStr">
        <is>
          <t>Custo de gestão administrativa (rateado — Cryslaine Fonseca Rosal)</t>
        </is>
      </c>
      <c r="D3651" s="107" t="n">
        <v>1</v>
      </c>
      <c r="E3651" s="108" t="n">
        <v>1049.68</v>
      </c>
      <c r="F3651" s="109">
        <f>IFERROR(D3651*E3651,0)</f>
        <v/>
      </c>
      <c r="G3651" s="106">
        <f>INDEX(SETORES!$B:$B,MATCH(A3651,SETORES!$A:$A,0))</f>
        <v/>
      </c>
      <c r="H3651" s="106" t="inlineStr">
        <is>
          <t>Outubro/2026</t>
        </is>
      </c>
    </row>
    <row r="3652">
      <c r="A3652" s="106" t="inlineStr">
        <is>
          <t>Backoffice Comercial Varejo</t>
        </is>
      </c>
      <c r="B3652" s="106" t="inlineStr">
        <is>
          <t>Custo Fixo</t>
        </is>
      </c>
      <c r="C3652" s="106" t="inlineStr">
        <is>
          <t>Energia elétrica (rateio)</t>
        </is>
      </c>
      <c r="D3652" s="107" t="n"/>
      <c r="E3652" s="108" t="n"/>
      <c r="F3652" s="109">
        <f>IFERROR(D3652*E3652,0)</f>
        <v/>
      </c>
      <c r="G3652" s="106">
        <f>INDEX(SETORES!$B:$B,MATCH(A3652,SETORES!$A:$A,0))</f>
        <v/>
      </c>
      <c r="H3652" s="106" t="inlineStr">
        <is>
          <t>Outubro/2026</t>
        </is>
      </c>
    </row>
    <row r="3653">
      <c r="A3653" s="106" t="inlineStr">
        <is>
          <t>Backoffice Comercial Varejo</t>
        </is>
      </c>
      <c r="B3653" s="106" t="inlineStr">
        <is>
          <t>Custo Fixo</t>
        </is>
      </c>
      <c r="C3653" s="106" t="inlineStr">
        <is>
          <t>Água e esgoto (rateio)</t>
        </is>
      </c>
      <c r="D3653" s="107" t="n"/>
      <c r="E3653" s="108" t="n"/>
      <c r="F3653" s="109">
        <f>IFERROR(D3653*E3653,0)</f>
        <v/>
      </c>
      <c r="G3653" s="106">
        <f>INDEX(SETORES!$B:$B,MATCH(A3653,SETORES!$A:$A,0))</f>
        <v/>
      </c>
      <c r="H3653" s="106" t="inlineStr">
        <is>
          <t>Outubro/2026</t>
        </is>
      </c>
    </row>
    <row r="3654">
      <c r="A3654" s="106" t="inlineStr">
        <is>
          <t>Marketing</t>
        </is>
      </c>
      <c r="B3654" s="106" t="inlineStr">
        <is>
          <t>Custo Fixo</t>
        </is>
      </c>
      <c r="C3654" s="106" t="inlineStr">
        <is>
          <t>Energia elétrica (rateio)</t>
        </is>
      </c>
      <c r="D3654" s="107" t="n"/>
      <c r="E3654" s="108" t="n"/>
      <c r="F3654" s="109">
        <f>IFERROR(D3654*E3654,0)</f>
        <v/>
      </c>
      <c r="G3654" s="106">
        <f>INDEX(SETORES!$B:$B,MATCH(A3654,SETORES!$A:$A,0))</f>
        <v/>
      </c>
      <c r="H3654" s="106" t="inlineStr">
        <is>
          <t>Outubro/2026</t>
        </is>
      </c>
    </row>
    <row r="3655">
      <c r="A3655" s="106" t="inlineStr">
        <is>
          <t>Marketing</t>
        </is>
      </c>
      <c r="B3655" s="106" t="inlineStr">
        <is>
          <t>Custo Fixo</t>
        </is>
      </c>
      <c r="C3655" s="106" t="inlineStr">
        <is>
          <t>Água e esgoto (rateio)</t>
        </is>
      </c>
      <c r="D3655" s="107" t="n"/>
      <c r="E3655" s="108" t="n"/>
      <c r="F3655" s="109">
        <f>IFERROR(D3655*E3655,0)</f>
        <v/>
      </c>
      <c r="G3655" s="106">
        <f>INDEX(SETORES!$B:$B,MATCH(A3655,SETORES!$A:$A,0))</f>
        <v/>
      </c>
      <c r="H3655" s="106" t="inlineStr">
        <is>
          <t>Outubro/2026</t>
        </is>
      </c>
    </row>
    <row r="3656">
      <c r="A3656" s="106" t="inlineStr">
        <is>
          <t>Comercial Corporativo</t>
        </is>
      </c>
      <c r="B3656" s="106" t="inlineStr">
        <is>
          <t>Custo Fixo</t>
        </is>
      </c>
      <c r="C3656" s="106" t="inlineStr">
        <is>
          <t>Energia elétrica (rateio)</t>
        </is>
      </c>
      <c r="D3656" s="107" t="n"/>
      <c r="E3656" s="108" t="n"/>
      <c r="F3656" s="109">
        <f>IFERROR(D3656*E3656,0)</f>
        <v/>
      </c>
      <c r="G3656" s="106">
        <f>INDEX(SETORES!$B:$B,MATCH(A3656,SETORES!$A:$A,0))</f>
        <v/>
      </c>
      <c r="H3656" s="106" t="inlineStr">
        <is>
          <t>Outubro/2026</t>
        </is>
      </c>
    </row>
    <row r="3657">
      <c r="A3657" s="106" t="inlineStr">
        <is>
          <t>Comercial Corporativo</t>
        </is>
      </c>
      <c r="B3657" s="106" t="inlineStr">
        <is>
          <t>Custo Fixo</t>
        </is>
      </c>
      <c r="C3657" s="106" t="inlineStr">
        <is>
          <t>Água e esgoto (rateio)</t>
        </is>
      </c>
      <c r="D3657" s="107" t="n"/>
      <c r="E3657" s="108" t="n"/>
      <c r="F3657" s="109">
        <f>IFERROR(D3657*E3657,0)</f>
        <v/>
      </c>
      <c r="G3657" s="106">
        <f>INDEX(SETORES!$B:$B,MATCH(A3657,SETORES!$A:$A,0))</f>
        <v/>
      </c>
      <c r="H3657" s="106" t="inlineStr">
        <is>
          <t>Outubro/2026</t>
        </is>
      </c>
    </row>
    <row r="3658">
      <c r="A3658" s="106" t="inlineStr">
        <is>
          <t>TIC</t>
        </is>
      </c>
      <c r="B3658" s="106" t="inlineStr">
        <is>
          <t>Custo Fixo</t>
        </is>
      </c>
      <c r="C3658" s="106" t="inlineStr">
        <is>
          <t>Energia elétrica (rateio)</t>
        </is>
      </c>
      <c r="D3658" s="107" t="n"/>
      <c r="E3658" s="108" t="n"/>
      <c r="F3658" s="109">
        <f>IFERROR(D3658*E3658,0)</f>
        <v/>
      </c>
      <c r="G3658" s="106">
        <f>INDEX(SETORES!$B:$B,MATCH(A3658,SETORES!$A:$A,0))</f>
        <v/>
      </c>
      <c r="H3658" s="106" t="inlineStr">
        <is>
          <t>Outubro/2026</t>
        </is>
      </c>
    </row>
    <row r="3659">
      <c r="A3659" s="106" t="inlineStr">
        <is>
          <t>TIC</t>
        </is>
      </c>
      <c r="B3659" s="106" t="inlineStr">
        <is>
          <t>Custo Fixo</t>
        </is>
      </c>
      <c r="C3659" s="106" t="inlineStr">
        <is>
          <t>Água e esgoto (rateio)</t>
        </is>
      </c>
      <c r="D3659" s="107" t="n"/>
      <c r="E3659" s="108" t="n"/>
      <c r="F3659" s="109">
        <f>IFERROR(D3659*E3659,0)</f>
        <v/>
      </c>
      <c r="G3659" s="106">
        <f>INDEX(SETORES!$B:$B,MATCH(A3659,SETORES!$A:$A,0))</f>
        <v/>
      </c>
      <c r="H3659" s="106" t="inlineStr">
        <is>
          <t>Outubro/2026</t>
        </is>
      </c>
    </row>
    <row r="3660">
      <c r="A3660" s="106" t="inlineStr">
        <is>
          <t>Diretoria Adm</t>
        </is>
      </c>
      <c r="B3660" s="106" t="inlineStr">
        <is>
          <t>Custo Fixo</t>
        </is>
      </c>
      <c r="C3660" s="106" t="inlineStr">
        <is>
          <t>Energia elétrica (rateio)</t>
        </is>
      </c>
      <c r="D3660" s="107" t="n"/>
      <c r="E3660" s="108" t="n"/>
      <c r="F3660" s="109">
        <f>IFERROR(D3660*E3660,0)</f>
        <v/>
      </c>
      <c r="G3660" s="106">
        <f>INDEX(SETORES!$B:$B,MATCH(A3660,SETORES!$A:$A,0))</f>
        <v/>
      </c>
      <c r="H3660" s="106" t="inlineStr">
        <is>
          <t>Outubro/2026</t>
        </is>
      </c>
    </row>
    <row r="3661">
      <c r="A3661" s="106" t="inlineStr">
        <is>
          <t>Diretoria Adm</t>
        </is>
      </c>
      <c r="B3661" s="106" t="inlineStr">
        <is>
          <t>Custo Fixo</t>
        </is>
      </c>
      <c r="C3661" s="106" t="inlineStr">
        <is>
          <t>Água e esgoto (rateio)</t>
        </is>
      </c>
      <c r="D3661" s="107" t="n"/>
      <c r="E3661" s="108" t="n"/>
      <c r="F3661" s="109">
        <f>IFERROR(D3661*E3661,0)</f>
        <v/>
      </c>
      <c r="G3661" s="106">
        <f>INDEX(SETORES!$B:$B,MATCH(A3661,SETORES!$A:$A,0))</f>
        <v/>
      </c>
      <c r="H3661" s="106" t="inlineStr">
        <is>
          <t>Outubro/2026</t>
        </is>
      </c>
    </row>
    <row r="3662">
      <c r="A3662" s="106" t="inlineStr">
        <is>
          <t>Backoffice Comercial Varejo</t>
        </is>
      </c>
      <c r="B3662" s="106" t="inlineStr">
        <is>
          <t>Custo Fixo</t>
        </is>
      </c>
      <c r="C3662" s="106" t="inlineStr">
        <is>
          <t>Gympass</t>
        </is>
      </c>
      <c r="D3662" s="107" t="n"/>
      <c r="E3662" s="108" t="n"/>
      <c r="F3662" s="109">
        <f>IFERROR(D3662*E3662,0)</f>
        <v/>
      </c>
      <c r="G3662" s="106">
        <f>INDEX(SETORES!$B:$B,MATCH(A3662,SETORES!$A:$A,0))</f>
        <v/>
      </c>
      <c r="H3662" s="106" t="inlineStr">
        <is>
          <t>Outubro/2026</t>
        </is>
      </c>
    </row>
    <row r="3663">
      <c r="A3663" s="106" t="inlineStr">
        <is>
          <t>Backoffice Comercial Varejo</t>
        </is>
      </c>
      <c r="B3663" s="106" t="inlineStr">
        <is>
          <t>Custo Fixo</t>
        </is>
      </c>
      <c r="C3663" s="106" t="inlineStr">
        <is>
          <t>Stargrid</t>
        </is>
      </c>
      <c r="D3663" s="107" t="n">
        <v>2</v>
      </c>
      <c r="E3663" s="108" t="n">
        <v>1.87</v>
      </c>
      <c r="F3663" s="109">
        <f>IFERROR(D3663*E3663,0)</f>
        <v/>
      </c>
      <c r="G3663" s="106">
        <f>INDEX(SETORES!$B:$B,MATCH(A3663,SETORES!$A:$A,0))</f>
        <v/>
      </c>
      <c r="H3663" s="106" t="inlineStr">
        <is>
          <t>Outubro/2026</t>
        </is>
      </c>
    </row>
    <row r="3664">
      <c r="A3664" s="106" t="inlineStr">
        <is>
          <t>Backoffice Comercial Varejo</t>
        </is>
      </c>
      <c r="B3664" s="106" t="inlineStr">
        <is>
          <t>Custo Fixo</t>
        </is>
      </c>
      <c r="C3664" s="106" t="inlineStr">
        <is>
          <t>Despesas com RH</t>
        </is>
      </c>
      <c r="D3664" s="107" t="n">
        <v>2</v>
      </c>
      <c r="E3664" s="108" t="n">
        <v>32.55</v>
      </c>
      <c r="F3664" s="109">
        <f>IFERROR(D3664*E3664,0)</f>
        <v/>
      </c>
      <c r="G3664" s="106">
        <f>INDEX(SETORES!$B:$B,MATCH(A3664,SETORES!$A:$A,0))</f>
        <v/>
      </c>
      <c r="H3664" s="106" t="inlineStr">
        <is>
          <t>Outubro/2026</t>
        </is>
      </c>
    </row>
    <row r="3665">
      <c r="A3665" s="106" t="inlineStr">
        <is>
          <t>Backoffice Comercial Varejo</t>
        </is>
      </c>
      <c r="B3665" s="106" t="inlineStr">
        <is>
          <t>Custo Fixo</t>
        </is>
      </c>
      <c r="C3665" s="106" t="inlineStr">
        <is>
          <t>Despesas com DP</t>
        </is>
      </c>
      <c r="D3665" s="107" t="n">
        <v>2</v>
      </c>
      <c r="E3665" s="108" t="n">
        <v>52.09</v>
      </c>
      <c r="F3665" s="109">
        <f>IFERROR(D3665*E3665,0)</f>
        <v/>
      </c>
      <c r="G3665" s="106">
        <f>INDEX(SETORES!$B:$B,MATCH(A3665,SETORES!$A:$A,0))</f>
        <v/>
      </c>
      <c r="H3665" s="106" t="inlineStr">
        <is>
          <t>Outubro/2026</t>
        </is>
      </c>
    </row>
    <row r="3666">
      <c r="A3666" s="106" t="inlineStr">
        <is>
          <t>Backoffice Comercial Varejo</t>
        </is>
      </c>
      <c r="B3666" s="106" t="inlineStr">
        <is>
          <t>Custo Fixo</t>
        </is>
      </c>
      <c r="C3666" s="106" t="inlineStr">
        <is>
          <t>Despesas com SST</t>
        </is>
      </c>
      <c r="D3666" s="107" t="n">
        <v>2</v>
      </c>
      <c r="E3666" s="108" t="n">
        <v>52.35</v>
      </c>
      <c r="F3666" s="109">
        <f>IFERROR(D3666*E3666,0)</f>
        <v/>
      </c>
      <c r="G3666" s="106">
        <f>INDEX(SETORES!$B:$B,MATCH(A3666,SETORES!$A:$A,0))</f>
        <v/>
      </c>
      <c r="H3666" s="106" t="inlineStr">
        <is>
          <t>Outubro/2026</t>
        </is>
      </c>
    </row>
    <row r="3667">
      <c r="A3667" s="106" t="inlineStr">
        <is>
          <t>Backoffice Comercial Varejo</t>
        </is>
      </c>
      <c r="B3667" s="106" t="inlineStr">
        <is>
          <t>Custo Fixo</t>
        </is>
      </c>
      <c r="C3667" s="106" t="inlineStr">
        <is>
          <t>Licença de e-mail corporativo</t>
        </is>
      </c>
      <c r="D3667" s="107" t="n">
        <v>2</v>
      </c>
      <c r="E3667" s="108" t="n">
        <v>50</v>
      </c>
      <c r="F3667" s="109">
        <f>IFERROR(D3667*E3667,0)</f>
        <v/>
      </c>
      <c r="G3667" s="106">
        <f>INDEX(SETORES!$B:$B,MATCH(A3667,SETORES!$A:$A,0))</f>
        <v/>
      </c>
      <c r="H3667" s="106" t="inlineStr">
        <is>
          <t>Outubro/2026</t>
        </is>
      </c>
    </row>
    <row r="3668">
      <c r="A3668" s="106" t="inlineStr">
        <is>
          <t>Backoffice Comercial Varejo</t>
        </is>
      </c>
      <c r="B3668" s="106" t="inlineStr">
        <is>
          <t>Custo Fixo</t>
        </is>
      </c>
      <c r="C3668" s="106" t="inlineStr">
        <is>
          <t>Chip móvel corporativo</t>
        </is>
      </c>
      <c r="D3668" s="107" t="n">
        <v>1</v>
      </c>
      <c r="E3668" s="108" t="n">
        <v>30</v>
      </c>
      <c r="F3668" s="109">
        <f>IFERROR(D3668*E3668,0)</f>
        <v/>
      </c>
      <c r="G3668" s="106">
        <f>INDEX(SETORES!$B:$B,MATCH(A3668,SETORES!$A:$A,0))</f>
        <v/>
      </c>
      <c r="H3668" s="106" t="inlineStr">
        <is>
          <t>Outubro/2026</t>
        </is>
      </c>
    </row>
    <row r="3669">
      <c r="A3669" s="106" t="inlineStr">
        <is>
          <t>Serviços Gerais</t>
        </is>
      </c>
      <c r="B3669" s="106" t="inlineStr">
        <is>
          <t>Custo Fixo</t>
        </is>
      </c>
      <c r="C3669" s="106" t="inlineStr">
        <is>
          <t>Gympass</t>
        </is>
      </c>
      <c r="D3669" s="107" t="n"/>
      <c r="E3669" s="108" t="n"/>
      <c r="F3669" s="109">
        <f>IFERROR(D3669*E3669,0)</f>
        <v/>
      </c>
      <c r="G3669" s="106">
        <f>INDEX(SETORES!$B:$B,MATCH(A3669,SETORES!$A:$A,0))</f>
        <v/>
      </c>
      <c r="H3669" s="106" t="inlineStr">
        <is>
          <t>Outubro/2026</t>
        </is>
      </c>
    </row>
    <row r="3670">
      <c r="A3670" s="106" t="inlineStr">
        <is>
          <t>Serviços Gerais</t>
        </is>
      </c>
      <c r="B3670" s="106" t="inlineStr">
        <is>
          <t>Custo Fixo</t>
        </is>
      </c>
      <c r="C3670" s="106" t="inlineStr">
        <is>
          <t>Stargrid</t>
        </is>
      </c>
      <c r="D3670" s="107" t="n">
        <v>6</v>
      </c>
      <c r="E3670" s="108" t="n">
        <v>1.87</v>
      </c>
      <c r="F3670" s="109">
        <f>IFERROR(D3670*E3670,0)</f>
        <v/>
      </c>
      <c r="G3670" s="106">
        <f>INDEX(SETORES!$B:$B,MATCH(A3670,SETORES!$A:$A,0))</f>
        <v/>
      </c>
      <c r="H3670" s="106" t="inlineStr">
        <is>
          <t>Outubro/2026</t>
        </is>
      </c>
    </row>
    <row r="3671">
      <c r="A3671" s="106" t="inlineStr">
        <is>
          <t>Serviços Gerais</t>
        </is>
      </c>
      <c r="B3671" s="106" t="inlineStr">
        <is>
          <t>Custo Fixo</t>
        </is>
      </c>
      <c r="C3671" s="106" t="inlineStr">
        <is>
          <t>Despesas com RH</t>
        </is>
      </c>
      <c r="D3671" s="107" t="n">
        <v>6</v>
      </c>
      <c r="E3671" s="108" t="n">
        <v>32.55</v>
      </c>
      <c r="F3671" s="109">
        <f>IFERROR(D3671*E3671,0)</f>
        <v/>
      </c>
      <c r="G3671" s="106">
        <f>INDEX(SETORES!$B:$B,MATCH(A3671,SETORES!$A:$A,0))</f>
        <v/>
      </c>
      <c r="H3671" s="106" t="inlineStr">
        <is>
          <t>Outubro/2026</t>
        </is>
      </c>
    </row>
    <row r="3672">
      <c r="A3672" s="106" t="inlineStr">
        <is>
          <t>Serviços Gerais</t>
        </is>
      </c>
      <c r="B3672" s="106" t="inlineStr">
        <is>
          <t>Custo Fixo</t>
        </is>
      </c>
      <c r="C3672" s="106" t="inlineStr">
        <is>
          <t>Despesas com DP</t>
        </is>
      </c>
      <c r="D3672" s="107" t="n">
        <v>6</v>
      </c>
      <c r="E3672" s="108" t="n">
        <v>52.09</v>
      </c>
      <c r="F3672" s="109">
        <f>IFERROR(D3672*E3672,0)</f>
        <v/>
      </c>
      <c r="G3672" s="106">
        <f>INDEX(SETORES!$B:$B,MATCH(A3672,SETORES!$A:$A,0))</f>
        <v/>
      </c>
      <c r="H3672" s="106" t="inlineStr">
        <is>
          <t>Outubro/2026</t>
        </is>
      </c>
    </row>
    <row r="3673">
      <c r="A3673" s="106" t="inlineStr">
        <is>
          <t>Serviços Gerais</t>
        </is>
      </c>
      <c r="B3673" s="106" t="inlineStr">
        <is>
          <t>Custo Fixo</t>
        </is>
      </c>
      <c r="C3673" s="106" t="inlineStr">
        <is>
          <t>Despesas com SST</t>
        </is>
      </c>
      <c r="D3673" s="107" t="n">
        <v>6</v>
      </c>
      <c r="E3673" s="108" t="n">
        <v>52.35</v>
      </c>
      <c r="F3673" s="109">
        <f>IFERROR(D3673*E3673,0)</f>
        <v/>
      </c>
      <c r="G3673" s="106">
        <f>INDEX(SETORES!$B:$B,MATCH(A3673,SETORES!$A:$A,0))</f>
        <v/>
      </c>
      <c r="H3673" s="106" t="inlineStr">
        <is>
          <t>Outubro/2026</t>
        </is>
      </c>
    </row>
    <row r="3674">
      <c r="A3674" s="106" t="inlineStr">
        <is>
          <t>Compras</t>
        </is>
      </c>
      <c r="B3674" s="106" t="inlineStr">
        <is>
          <t>Custo Variável</t>
        </is>
      </c>
      <c r="C3674" s="106" t="inlineStr">
        <is>
          <t>Fardamento novo</t>
        </is>
      </c>
      <c r="D3674" s="107" t="n"/>
      <c r="E3674" s="108" t="n"/>
      <c r="F3674" s="109">
        <f>IFERROR(D3674*E3674,0)</f>
        <v/>
      </c>
      <c r="G3674" s="106">
        <f>INDEX(SETORES!$B:$B,MATCH(A3674,SETORES!$A:$A,0))</f>
        <v/>
      </c>
      <c r="H3674" s="106" t="inlineStr">
        <is>
          <t>Outubro/2026</t>
        </is>
      </c>
    </row>
    <row r="3675">
      <c r="A3675" s="106" t="inlineStr">
        <is>
          <t>Fique Móvel</t>
        </is>
      </c>
      <c r="B3675" s="106" t="inlineStr">
        <is>
          <t>Custo Variável</t>
        </is>
      </c>
      <c r="C3675" s="106" t="inlineStr">
        <is>
          <t>Fardamento novo</t>
        </is>
      </c>
      <c r="D3675" s="107" t="n"/>
      <c r="E3675" s="108" t="n"/>
      <c r="F3675" s="109">
        <f>IFERROR(D3675*E3675,0)</f>
        <v/>
      </c>
      <c r="G3675" s="106">
        <f>INDEX(SETORES!$B:$B,MATCH(A3675,SETORES!$A:$A,0))</f>
        <v/>
      </c>
      <c r="H3675" s="106" t="inlineStr">
        <is>
          <t>Outubro/2026</t>
        </is>
      </c>
    </row>
    <row r="3676">
      <c r="A3676" s="106" t="inlineStr">
        <is>
          <t>Manutenção Predial</t>
        </is>
      </c>
      <c r="B3676" s="106" t="inlineStr">
        <is>
          <t>Custo Variável</t>
        </is>
      </c>
      <c r="C3676" s="106" t="inlineStr">
        <is>
          <t>Fardamento novo</t>
        </is>
      </c>
      <c r="D3676" s="107" t="n"/>
      <c r="E3676" s="108" t="n"/>
      <c r="F3676" s="109">
        <f>IFERROR(D3676*E3676,0)</f>
        <v/>
      </c>
      <c r="G3676" s="106">
        <f>INDEX(SETORES!$B:$B,MATCH(A3676,SETORES!$A:$A,0))</f>
        <v/>
      </c>
      <c r="H3676" s="106" t="inlineStr">
        <is>
          <t>Outubro/2026</t>
        </is>
      </c>
    </row>
    <row r="3677">
      <c r="A3677" s="106" t="inlineStr">
        <is>
          <t>Manutenção Predial</t>
        </is>
      </c>
      <c r="B3677" s="106" t="inlineStr">
        <is>
          <t>Custo Variável</t>
        </is>
      </c>
      <c r="C3677" s="106" t="inlineStr">
        <is>
          <t>Fardamento substituição</t>
        </is>
      </c>
      <c r="D3677" s="107" t="n"/>
      <c r="E3677" s="108" t="n"/>
      <c r="F3677" s="109">
        <f>IFERROR(D3677*E3677,0)</f>
        <v/>
      </c>
      <c r="G3677" s="106">
        <f>INDEX(SETORES!$B:$B,MATCH(A3677,SETORES!$A:$A,0))</f>
        <v/>
      </c>
      <c r="H3677" s="106" t="inlineStr">
        <is>
          <t>Outubro/2026</t>
        </is>
      </c>
    </row>
    <row r="3678">
      <c r="A3678" s="106" t="inlineStr">
        <is>
          <t>Marketing</t>
        </is>
      </c>
      <c r="B3678" s="106" t="inlineStr">
        <is>
          <t>Custo Variável</t>
        </is>
      </c>
      <c r="C3678" s="106" t="inlineStr">
        <is>
          <t>Fardamento novo</t>
        </is>
      </c>
      <c r="D3678" s="107" t="n">
        <v>1</v>
      </c>
      <c r="E3678" s="108" t="n">
        <v>360</v>
      </c>
      <c r="F3678" s="109">
        <f>IFERROR(D3678*E3678,0)</f>
        <v/>
      </c>
      <c r="G3678" s="106">
        <f>INDEX(SETORES!$B:$B,MATCH(A3678,SETORES!$A:$A,0))</f>
        <v/>
      </c>
      <c r="H3678" s="106" t="inlineStr">
        <is>
          <t>Outubro/2026</t>
        </is>
      </c>
    </row>
    <row r="3679">
      <c r="A3679" s="106" t="inlineStr">
        <is>
          <t>Serviços Gerais</t>
        </is>
      </c>
      <c r="B3679" s="106" t="inlineStr">
        <is>
          <t>Custo Variável</t>
        </is>
      </c>
      <c r="C3679" s="106" t="inlineStr">
        <is>
          <t>Fardamento substituição</t>
        </is>
      </c>
      <c r="D3679" s="107" t="n"/>
      <c r="E3679" s="108" t="n"/>
      <c r="F3679" s="109">
        <f>IFERROR(D3679*E3679,0)</f>
        <v/>
      </c>
      <c r="G3679" s="106">
        <f>INDEX(SETORES!$B:$B,MATCH(A3679,SETORES!$A:$A,0))</f>
        <v/>
      </c>
      <c r="H3679" s="106" t="inlineStr">
        <is>
          <t>Outubro/2026</t>
        </is>
      </c>
    </row>
    <row r="3680">
      <c r="A3680" s="106" t="inlineStr">
        <is>
          <t>Suporte da Central</t>
        </is>
      </c>
      <c r="B3680" s="106" t="inlineStr">
        <is>
          <t>Custo Variável</t>
        </is>
      </c>
      <c r="C3680" s="106" t="inlineStr">
        <is>
          <t>Fardamento novo</t>
        </is>
      </c>
      <c r="D3680" s="107" t="n"/>
      <c r="E3680" s="108" t="n"/>
      <c r="F3680" s="109">
        <f>IFERROR(D3680*E3680,0)</f>
        <v/>
      </c>
      <c r="G3680" s="106">
        <f>INDEX(SETORES!$B:$B,MATCH(A3680,SETORES!$A:$A,0))</f>
        <v/>
      </c>
      <c r="H3680" s="106" t="inlineStr">
        <is>
          <t>Outubro/2026</t>
        </is>
      </c>
    </row>
    <row r="3681">
      <c r="A3681" s="106" t="inlineStr">
        <is>
          <t>Suporte Orbix</t>
        </is>
      </c>
      <c r="B3681" s="106" t="inlineStr">
        <is>
          <t>Custo Variável</t>
        </is>
      </c>
      <c r="C3681" s="106" t="inlineStr">
        <is>
          <t>Fardamento substituição</t>
        </is>
      </c>
      <c r="D3681" s="107" t="n"/>
      <c r="E3681" s="108" t="n"/>
      <c r="F3681" s="109">
        <f>IFERROR(D3681*E3681,0)</f>
        <v/>
      </c>
      <c r="G3681" s="106">
        <f>INDEX(SETORES!$B:$B,MATCH(A3681,SETORES!$A:$A,0))</f>
        <v/>
      </c>
      <c r="H3681" s="106" t="inlineStr">
        <is>
          <t>Outubro/2026</t>
        </is>
      </c>
    </row>
    <row r="3682">
      <c r="A3682" s="106" t="inlineStr">
        <is>
          <t>Televendas</t>
        </is>
      </c>
      <c r="B3682" s="106" t="inlineStr">
        <is>
          <t>Custo Variável</t>
        </is>
      </c>
      <c r="C3682" s="106" t="inlineStr">
        <is>
          <t>Fardamento novo</t>
        </is>
      </c>
      <c r="D3682" s="107" t="n"/>
      <c r="E3682" s="108" t="n"/>
      <c r="F3682" s="109">
        <f>IFERROR(D3682*E3682,0)</f>
        <v/>
      </c>
      <c r="G3682" s="106">
        <f>INDEX(SETORES!$B:$B,MATCH(A3682,SETORES!$A:$A,0))</f>
        <v/>
      </c>
      <c r="H3682" s="106" t="inlineStr">
        <is>
          <t>Outubro/2026</t>
        </is>
      </c>
    </row>
    <row r="3683">
      <c r="A3683" s="106" t="inlineStr">
        <is>
          <t>TIC</t>
        </is>
      </c>
      <c r="B3683" s="106" t="inlineStr">
        <is>
          <t>Custo Variável</t>
        </is>
      </c>
      <c r="C3683" s="106" t="inlineStr">
        <is>
          <t>Fardamento novo</t>
        </is>
      </c>
      <c r="D3683" s="107" t="n"/>
      <c r="E3683" s="108" t="n"/>
      <c r="F3683" s="109">
        <f>IFERROR(D3683*E3683,0)</f>
        <v/>
      </c>
      <c r="G3683" s="106">
        <f>INDEX(SETORES!$B:$B,MATCH(A3683,SETORES!$A:$A,0))</f>
        <v/>
      </c>
      <c r="H3683" s="106" t="inlineStr">
        <is>
          <t>Outubro/2026</t>
        </is>
      </c>
    </row>
    <row r="3684">
      <c r="A3684" s="106" t="inlineStr">
        <is>
          <t>Televendas</t>
        </is>
      </c>
      <c r="B3684" s="106" t="inlineStr">
        <is>
          <t>Custo Fixo</t>
        </is>
      </c>
      <c r="C3684" s="106" t="inlineStr">
        <is>
          <t>Software MATRIX (rateio equipe Relacionamento)</t>
        </is>
      </c>
      <c r="D3684" s="107" t="n"/>
      <c r="E3684" s="108" t="n"/>
      <c r="F3684" s="109">
        <f>IFERROR(D3684*E3684,0)</f>
        <v/>
      </c>
      <c r="G3684" s="106">
        <f>INDEX(SETORES!$B:$B,MATCH(A3684,SETORES!$A:$A,0))</f>
        <v/>
      </c>
      <c r="H3684" s="106" t="inlineStr">
        <is>
          <t>Outubro/2026</t>
        </is>
      </c>
    </row>
    <row r="3685">
      <c r="A3685" s="106" t="inlineStr">
        <is>
          <t>Cozinha</t>
        </is>
      </c>
      <c r="B3685" s="106" t="inlineStr">
        <is>
          <t>Custo Fixo</t>
        </is>
      </c>
      <c r="C3685" s="106" t="inlineStr">
        <is>
          <t>Custo de gestão administrativa (rateado — Cryslaine Fonseca Rosal)</t>
        </is>
      </c>
      <c r="D3685" s="107" t="n">
        <v>1</v>
      </c>
      <c r="E3685" s="108" t="n">
        <v>699.78</v>
      </c>
      <c r="F3685" s="109">
        <f>IFERROR(D3685*E3685,0)</f>
        <v/>
      </c>
      <c r="G3685" s="106">
        <f>INDEX(SETORES!$B:$B,MATCH(A3685,SETORES!$A:$A,0))</f>
        <v/>
      </c>
      <c r="H3685" s="106" t="inlineStr">
        <is>
          <t>Outubro/2026</t>
        </is>
      </c>
    </row>
    <row r="3686">
      <c r="A3686" s="106" t="inlineStr">
        <is>
          <t>Cozinha</t>
        </is>
      </c>
      <c r="B3686" s="106" t="inlineStr">
        <is>
          <t>Custo Fixo</t>
        </is>
      </c>
      <c r="C3686" s="106" t="inlineStr">
        <is>
          <t>Gympass</t>
        </is>
      </c>
      <c r="D3686" s="107" t="n"/>
      <c r="E3686" s="108" t="n"/>
      <c r="F3686" s="109">
        <f>IFERROR(D3686*E3686,0)</f>
        <v/>
      </c>
      <c r="G3686" s="106">
        <f>INDEX(SETORES!$B:$B,MATCH(A3686,SETORES!$A:$A,0))</f>
        <v/>
      </c>
      <c r="H3686" s="106" t="inlineStr">
        <is>
          <t>Outubro/2026</t>
        </is>
      </c>
    </row>
    <row r="3687">
      <c r="A3687" s="106" t="inlineStr">
        <is>
          <t>Cozinha</t>
        </is>
      </c>
      <c r="B3687" s="106" t="inlineStr">
        <is>
          <t>Custo Fixo</t>
        </is>
      </c>
      <c r="C3687" s="106" t="inlineStr">
        <is>
          <t>Stargrid</t>
        </is>
      </c>
      <c r="D3687" s="107" t="n">
        <v>4</v>
      </c>
      <c r="E3687" s="108" t="n">
        <v>1.87</v>
      </c>
      <c r="F3687" s="109">
        <f>IFERROR(D3687*E3687,0)</f>
        <v/>
      </c>
      <c r="G3687" s="106">
        <f>INDEX(SETORES!$B:$B,MATCH(A3687,SETORES!$A:$A,0))</f>
        <v/>
      </c>
      <c r="H3687" s="106" t="inlineStr">
        <is>
          <t>Outubro/2026</t>
        </is>
      </c>
    </row>
    <row r="3688">
      <c r="A3688" s="106" t="inlineStr">
        <is>
          <t>Cozinha</t>
        </is>
      </c>
      <c r="B3688" s="106" t="inlineStr">
        <is>
          <t>Custo Fixo</t>
        </is>
      </c>
      <c r="C3688" s="106" t="inlineStr">
        <is>
          <t>Despesas com RH</t>
        </is>
      </c>
      <c r="D3688" s="107" t="n">
        <v>4</v>
      </c>
      <c r="E3688" s="108" t="n">
        <v>32.55</v>
      </c>
      <c r="F3688" s="109">
        <f>IFERROR(D3688*E3688,0)</f>
        <v/>
      </c>
      <c r="G3688" s="106">
        <f>INDEX(SETORES!$B:$B,MATCH(A3688,SETORES!$A:$A,0))</f>
        <v/>
      </c>
      <c r="H3688" s="106" t="inlineStr">
        <is>
          <t>Outubro/2026</t>
        </is>
      </c>
    </row>
    <row r="3689">
      <c r="A3689" s="106" t="inlineStr">
        <is>
          <t>Cozinha</t>
        </is>
      </c>
      <c r="B3689" s="106" t="inlineStr">
        <is>
          <t>Custo Fixo</t>
        </is>
      </c>
      <c r="C3689" s="106" t="inlineStr">
        <is>
          <t>Despesas com DP</t>
        </is>
      </c>
      <c r="D3689" s="107" t="n">
        <v>4</v>
      </c>
      <c r="E3689" s="108" t="n">
        <v>52.09</v>
      </c>
      <c r="F3689" s="109">
        <f>IFERROR(D3689*E3689,0)</f>
        <v/>
      </c>
      <c r="G3689" s="106">
        <f>INDEX(SETORES!$B:$B,MATCH(A3689,SETORES!$A:$A,0))</f>
        <v/>
      </c>
      <c r="H3689" s="106" t="inlineStr">
        <is>
          <t>Outubro/2026</t>
        </is>
      </c>
    </row>
    <row r="3690">
      <c r="A3690" s="106" t="inlineStr">
        <is>
          <t>Cozinha</t>
        </is>
      </c>
      <c r="B3690" s="106" t="inlineStr">
        <is>
          <t>Custo Fixo</t>
        </is>
      </c>
      <c r="C3690" s="106" t="inlineStr">
        <is>
          <t>Despesas com SST</t>
        </is>
      </c>
      <c r="D3690" s="107" t="n">
        <v>4</v>
      </c>
      <c r="E3690" s="108" t="n">
        <v>52.35</v>
      </c>
      <c r="F3690" s="109">
        <f>IFERROR(D3690*E3690,0)</f>
        <v/>
      </c>
      <c r="G3690" s="106">
        <f>INDEX(SETORES!$B:$B,MATCH(A3690,SETORES!$A:$A,0))</f>
        <v/>
      </c>
      <c r="H3690" s="106" t="inlineStr">
        <is>
          <t>Outubro/2026</t>
        </is>
      </c>
    </row>
    <row r="3691">
      <c r="A3691" s="106" t="inlineStr">
        <is>
          <t>Cozinha</t>
        </is>
      </c>
      <c r="B3691" s="106" t="inlineStr">
        <is>
          <t>Custo Variável</t>
        </is>
      </c>
      <c r="C3691" s="106" t="inlineStr">
        <is>
          <t>Alimentação (compras semanais para a cozinha)</t>
        </is>
      </c>
      <c r="D3691" s="107" t="n"/>
      <c r="E3691" s="108" t="n"/>
      <c r="F3691" s="109">
        <f>IFERROR(D3691*E3691,0)</f>
        <v/>
      </c>
      <c r="G3691" s="106">
        <f>INDEX(SETORES!$B:$B,MATCH(A3691,SETORES!$A:$A,0))</f>
        <v/>
      </c>
      <c r="H3691" s="106" t="inlineStr">
        <is>
          <t>Outubro/2026</t>
        </is>
      </c>
    </row>
    <row r="3692">
      <c r="A3692" s="106" t="inlineStr">
        <is>
          <t>Cozinha</t>
        </is>
      </c>
      <c r="B3692" s="106" t="inlineStr">
        <is>
          <t>Custo Variável</t>
        </is>
      </c>
      <c r="C3692" s="106" t="inlineStr">
        <is>
          <t>Material de limpeza (compras mensais para distribuição — Cozinha)</t>
        </is>
      </c>
      <c r="D3692" s="107" t="n"/>
      <c r="E3692" s="108" t="n"/>
      <c r="F3692" s="109">
        <f>IFERROR(D3692*E3692,0)</f>
        <v/>
      </c>
      <c r="G3692" s="106">
        <f>INDEX(SETORES!$B:$B,MATCH(A3692,SETORES!$A:$A,0))</f>
        <v/>
      </c>
      <c r="H3692" s="106" t="inlineStr">
        <is>
          <t>Outubro/2026</t>
        </is>
      </c>
    </row>
    <row r="3693">
      <c r="A3693" s="106" t="inlineStr">
        <is>
          <t>Cozinha</t>
        </is>
      </c>
      <c r="B3693" s="106" t="inlineStr">
        <is>
          <t>Custo Variável</t>
        </is>
      </c>
      <c r="C3693" s="106" t="inlineStr">
        <is>
          <t>Gás de cozinha (compras mensais para a cozinha)</t>
        </is>
      </c>
      <c r="D3693" s="107" t="n"/>
      <c r="E3693" s="108" t="n"/>
      <c r="F3693" s="109">
        <f>IFERROR(D3693*E3693,0)</f>
        <v/>
      </c>
      <c r="G3693" s="106">
        <f>INDEX(SETORES!$B:$B,MATCH(A3693,SETORES!$A:$A,0))</f>
        <v/>
      </c>
      <c r="H3693" s="106" t="inlineStr">
        <is>
          <t>Outubro/2026</t>
        </is>
      </c>
    </row>
    <row r="3694">
      <c r="A3694" s="106" t="inlineStr">
        <is>
          <t>Cozinha</t>
        </is>
      </c>
      <c r="B3694" s="106" t="inlineStr">
        <is>
          <t>Custo Variável</t>
        </is>
      </c>
      <c r="C3694" s="106" t="inlineStr">
        <is>
          <t>Crédito — Refeições pagas pelos colaboradores (valor simbólico, Refeitório)</t>
        </is>
      </c>
      <c r="D3694" s="107" t="n"/>
      <c r="E3694" s="108" t="n"/>
      <c r="F3694" s="109">
        <f>IFERROR(D3694*E3694,0)</f>
        <v/>
      </c>
      <c r="G3694" s="106">
        <f>INDEX(SETORES!$B:$B,MATCH(A3694,SETORES!$A:$A,0))</f>
        <v/>
      </c>
      <c r="H3694" s="106" t="inlineStr">
        <is>
          <t>Outubro/2026</t>
        </is>
      </c>
    </row>
    <row r="3695">
      <c r="A3695" s="106" t="inlineStr">
        <is>
          <t>Desenvolvimento</t>
        </is>
      </c>
      <c r="B3695" s="106" t="inlineStr">
        <is>
          <t>Custo Fixo</t>
        </is>
      </c>
      <c r="C3695" s="106" t="inlineStr">
        <is>
          <t>Folha de pagamento (salários)</t>
        </is>
      </c>
      <c r="D3695" s="107" t="n">
        <v>1</v>
      </c>
      <c r="E3695" s="108" t="n">
        <v>24325.69</v>
      </c>
      <c r="F3695" s="109">
        <f>IFERROR(D3695*E3695,0)</f>
        <v/>
      </c>
      <c r="G3695" s="106">
        <f>INDEX(SETORES!$B:$B,MATCH(A3695,SETORES!$A:$A,0))</f>
        <v/>
      </c>
      <c r="H3695" s="106" t="inlineStr">
        <is>
          <t>Outubro/2026</t>
        </is>
      </c>
    </row>
    <row r="3696">
      <c r="A3696" s="106" t="inlineStr">
        <is>
          <t>Logística</t>
        </is>
      </c>
      <c r="B3696" s="106" t="inlineStr">
        <is>
          <t>Custo Fixo</t>
        </is>
      </c>
      <c r="C3696" s="106" t="inlineStr">
        <is>
          <t>Custo de gestão administrativa (rateado — Demetrius Ribeiro de Aquino)</t>
        </is>
      </c>
      <c r="D3696" s="107" t="n">
        <v>1</v>
      </c>
      <c r="E3696" s="108" t="n">
        <v>11599.66</v>
      </c>
      <c r="F3696" s="109">
        <f>IFERROR(D3696*E3696,0)</f>
        <v/>
      </c>
      <c r="G3696" s="106">
        <f>INDEX(SETORES!$B:$B,MATCH(A3696,SETORES!$A:$A,0))</f>
        <v/>
      </c>
      <c r="H3696" s="106" t="inlineStr">
        <is>
          <t>Outubro/2026</t>
        </is>
      </c>
    </row>
    <row r="3697">
      <c r="A3697" s="106" t="inlineStr">
        <is>
          <t>Oficina</t>
        </is>
      </c>
      <c r="B3697" s="106" t="inlineStr">
        <is>
          <t>Custo Fixo</t>
        </is>
      </c>
      <c r="C3697" s="106" t="inlineStr">
        <is>
          <t>Custo de gestão administrativa (rateado — Demetrius Ribeiro de Aquino)</t>
        </is>
      </c>
      <c r="D3697" s="107" t="n">
        <v>1</v>
      </c>
      <c r="E3697" s="108" t="n">
        <v>2899.91</v>
      </c>
      <c r="F3697" s="109">
        <f>IFERROR(D3697*E3697,0)</f>
        <v/>
      </c>
      <c r="G3697" s="106">
        <f>INDEX(SETORES!$B:$B,MATCH(A3697,SETORES!$A:$A,0))</f>
        <v/>
      </c>
      <c r="H3697" s="106" t="inlineStr">
        <is>
          <t>Outubro/2026</t>
        </is>
      </c>
    </row>
    <row r="3698">
      <c r="A3698" s="106" t="inlineStr">
        <is>
          <t>Configuração</t>
        </is>
      </c>
      <c r="B3698" s="106" t="inlineStr">
        <is>
          <t>Custo Fixo</t>
        </is>
      </c>
      <c r="C3698" s="106" t="inlineStr">
        <is>
          <t>Folha de pagamento (salários)</t>
        </is>
      </c>
      <c r="D3698" s="107" t="n">
        <v>1</v>
      </c>
      <c r="E3698" s="108" t="n">
        <v>46351.21</v>
      </c>
      <c r="F3698" s="109">
        <f>IFERROR(D3698*E3698,0)</f>
        <v/>
      </c>
      <c r="G3698" s="106">
        <f>INDEX(SETORES!$B:$B,MATCH(A3698,SETORES!$A:$A,0))</f>
        <v/>
      </c>
      <c r="H3698" s="106" t="inlineStr">
        <is>
          <t>Outubro/2026</t>
        </is>
      </c>
    </row>
    <row r="3699">
      <c r="A3699" s="106" t="inlineStr">
        <is>
          <t>Cozinha</t>
        </is>
      </c>
      <c r="B3699" s="106" t="inlineStr">
        <is>
          <t>Custo Variável</t>
        </is>
      </c>
      <c r="C3699" s="106" t="inlineStr">
        <is>
          <t>Rescisões trabalhistas</t>
        </is>
      </c>
      <c r="D3699" s="107" t="n"/>
      <c r="E3699" s="108" t="n"/>
      <c r="F3699" s="109">
        <f>IFERROR(D3699*E3699,0)</f>
        <v/>
      </c>
      <c r="G3699" s="106">
        <f>INDEX(SETORES!$B:$B,MATCH(A3699,SETORES!$A:$A,0))</f>
        <v/>
      </c>
      <c r="H3699" s="106" t="inlineStr">
        <is>
          <t>Outubro/2026</t>
        </is>
      </c>
    </row>
    <row r="3700">
      <c r="A3700" s="106" t="inlineStr">
        <is>
          <t>Marketing</t>
        </is>
      </c>
      <c r="B3700" s="106" t="inlineStr">
        <is>
          <t>Custo Variável</t>
        </is>
      </c>
      <c r="C3700" s="106" t="inlineStr">
        <is>
          <t>Rescisões trabalhistas</t>
        </is>
      </c>
      <c r="D3700" s="107" t="n"/>
      <c r="E3700" s="108" t="n"/>
      <c r="F3700" s="109">
        <f>IFERROR(D3700*E3700,0)</f>
        <v/>
      </c>
      <c r="G3700" s="106">
        <f>INDEX(SETORES!$B:$B,MATCH(A3700,SETORES!$A:$A,0))</f>
        <v/>
      </c>
      <c r="H3700" s="106" t="inlineStr">
        <is>
          <t>Outubro/2026</t>
        </is>
      </c>
    </row>
    <row r="3701">
      <c r="A3701" s="106" t="inlineStr">
        <is>
          <t>Configuração</t>
        </is>
      </c>
      <c r="B3701" s="106" t="inlineStr">
        <is>
          <t>Custo Variável</t>
        </is>
      </c>
      <c r="C3701" s="106" t="inlineStr">
        <is>
          <t>Rescisões trabalhistas</t>
        </is>
      </c>
      <c r="D3701" s="107" t="n"/>
      <c r="E3701" s="108" t="n"/>
      <c r="F3701" s="109">
        <f>IFERROR(D3701*E3701,0)</f>
        <v/>
      </c>
      <c r="G3701" s="106">
        <f>INDEX(SETORES!$B:$B,MATCH(A3701,SETORES!$A:$A,0))</f>
        <v/>
      </c>
      <c r="H3701" s="106" t="inlineStr">
        <is>
          <t>Outubro/2026</t>
        </is>
      </c>
    </row>
    <row r="3702">
      <c r="A3702" s="106" t="inlineStr">
        <is>
          <t>Qualidade</t>
        </is>
      </c>
      <c r="B3702" s="106" t="inlineStr">
        <is>
          <t>Custo Variável</t>
        </is>
      </c>
      <c r="C3702" s="106" t="inlineStr">
        <is>
          <t>Fardamento novo</t>
        </is>
      </c>
      <c r="D3702" s="107" t="n">
        <v>1</v>
      </c>
      <c r="E3702" s="108" t="n">
        <v>270</v>
      </c>
      <c r="F3702" s="109">
        <f>IFERROR(D3702*E3702,0)</f>
        <v/>
      </c>
      <c r="G3702" s="106">
        <f>INDEX(SETORES!$B:$B,MATCH(A3702,SETORES!$A:$A,0))</f>
        <v/>
      </c>
      <c r="H3702" s="106" t="inlineStr">
        <is>
          <t>Outubro/2026</t>
        </is>
      </c>
    </row>
    <row r="3703">
      <c r="A3703" s="106" t="inlineStr">
        <is>
          <t>Qualidade</t>
        </is>
      </c>
      <c r="B3703" s="106" t="inlineStr">
        <is>
          <t>Custo Variável</t>
        </is>
      </c>
      <c r="C3703" s="106" t="inlineStr">
        <is>
          <t>Material de escritório (suprimentos de informática)</t>
        </is>
      </c>
      <c r="D3703" s="107" t="n">
        <v>1</v>
      </c>
      <c r="E3703" s="108" t="n">
        <v>69.45</v>
      </c>
      <c r="F3703" s="109">
        <f>IFERROR(D3703*E3703,0)</f>
        <v/>
      </c>
      <c r="G3703" s="106">
        <f>INDEX(SETORES!$B:$B,MATCH(A3703,SETORES!$A:$A,0))</f>
        <v/>
      </c>
      <c r="H3703" s="106" t="inlineStr">
        <is>
          <t>Outubro/2026</t>
        </is>
      </c>
    </row>
    <row r="3704">
      <c r="A3704" s="106" t="inlineStr">
        <is>
          <t>TIC</t>
        </is>
      </c>
      <c r="B3704" s="106" t="inlineStr">
        <is>
          <t>Custo Variável</t>
        </is>
      </c>
      <c r="C3704" s="106" t="inlineStr">
        <is>
          <t>Material de escritório (suprimentos de informática)</t>
        </is>
      </c>
      <c r="D3704" s="107" t="n">
        <v>1</v>
      </c>
      <c r="E3704" s="108" t="n">
        <v>52.84</v>
      </c>
      <c r="F3704" s="109">
        <f>IFERROR(D3704*E3704,0)</f>
        <v/>
      </c>
      <c r="G3704" s="106">
        <f>INDEX(SETORES!$B:$B,MATCH(A3704,SETORES!$A:$A,0))</f>
        <v/>
      </c>
      <c r="H3704" s="106" t="inlineStr">
        <is>
          <t>Outubro/2026</t>
        </is>
      </c>
    </row>
    <row r="3705">
      <c r="A3705" s="106" t="inlineStr">
        <is>
          <t>Comercial Corporativo</t>
        </is>
      </c>
      <c r="B3705" s="106" t="inlineStr">
        <is>
          <t>Custo Variável</t>
        </is>
      </c>
      <c r="C3705" s="106" t="inlineStr">
        <is>
          <t>Material de escritório (suprimentos de informática)</t>
        </is>
      </c>
      <c r="D3705" s="107" t="n">
        <v>1</v>
      </c>
      <c r="E3705" s="108" t="n">
        <v>9.640000000000001</v>
      </c>
      <c r="F3705" s="109">
        <f>IFERROR(D3705*E3705,0)</f>
        <v/>
      </c>
      <c r="G3705" s="106">
        <f>INDEX(SETORES!$B:$B,MATCH(A3705,SETORES!$A:$A,0))</f>
        <v/>
      </c>
      <c r="H3705" s="106" t="inlineStr">
        <is>
          <t>Outubro/2026</t>
        </is>
      </c>
    </row>
    <row r="3706">
      <c r="A3706" s="106" t="inlineStr">
        <is>
          <t>Cozinha</t>
        </is>
      </c>
      <c r="B3706" s="106" t="inlineStr">
        <is>
          <t>Custo Variável</t>
        </is>
      </c>
      <c r="C3706" s="106" t="inlineStr">
        <is>
          <t>Material de uso coletivo (copa/limpeza)</t>
        </is>
      </c>
      <c r="D3706" s="107" t="n">
        <v>1</v>
      </c>
      <c r="E3706" s="108" t="n">
        <v>124.05</v>
      </c>
      <c r="F3706" s="109">
        <f>IFERROR(D3706*E3706,0)</f>
        <v/>
      </c>
      <c r="G3706" s="106">
        <f>INDEX(SETORES!$B:$B,MATCH(A3706,SETORES!$A:$A,0))</f>
        <v/>
      </c>
      <c r="H3706" s="106" t="inlineStr">
        <is>
          <t>Outubro/2026</t>
        </is>
      </c>
    </row>
    <row r="3707">
      <c r="A3707" s="106" t="inlineStr">
        <is>
          <t>Fique Móvel</t>
        </is>
      </c>
      <c r="B3707" s="106" t="inlineStr">
        <is>
          <t>Custo Variável</t>
        </is>
      </c>
      <c r="C3707" s="106" t="inlineStr">
        <is>
          <t>Material de escritório (suprimentos de informática)</t>
        </is>
      </c>
      <c r="D3707" s="107" t="n">
        <v>1</v>
      </c>
      <c r="E3707" s="108" t="n">
        <v>528.1</v>
      </c>
      <c r="F3707" s="109">
        <f>IFERROR(D3707*E3707,0)</f>
        <v/>
      </c>
      <c r="G3707" s="106">
        <f>INDEX(SETORES!$B:$B,MATCH(A3707,SETORES!$A:$A,0))</f>
        <v/>
      </c>
      <c r="H3707" s="106" t="inlineStr">
        <is>
          <t>Outubro/2026</t>
        </is>
      </c>
    </row>
    <row r="3708">
      <c r="A3708" s="106" t="inlineStr">
        <is>
          <t>Gestão de Atendimento</t>
        </is>
      </c>
      <c r="B3708" s="106" t="inlineStr">
        <is>
          <t>Custo Fixo</t>
        </is>
      </c>
      <c r="C3708" s="106" t="inlineStr">
        <is>
          <t>Instalações - corredores e alojamentos (rateio)</t>
        </is>
      </c>
      <c r="D3708" s="107" t="n">
        <v>1</v>
      </c>
      <c r="E3708" s="108" t="n">
        <v>329.56</v>
      </c>
      <c r="F3708" s="109">
        <f>IFERROR(D3708*E3708,0)</f>
        <v/>
      </c>
      <c r="G3708" s="106">
        <f>INDEX(SETORES!$B:$B,MATCH(A3708,SETORES!$A:$A,0))</f>
        <v/>
      </c>
      <c r="H3708" s="106" t="inlineStr">
        <is>
          <t>Outubro/2026</t>
        </is>
      </c>
    </row>
    <row r="3709">
      <c r="A3709" s="106" t="inlineStr">
        <is>
          <t>CAC</t>
        </is>
      </c>
      <c r="B3709" s="106" t="inlineStr">
        <is>
          <t>Custo Fixo</t>
        </is>
      </c>
      <c r="C3709" s="106" t="inlineStr">
        <is>
          <t>Instalações - corredores e alojamentos (rateio)</t>
        </is>
      </c>
      <c r="D3709" s="107" t="n">
        <v>1</v>
      </c>
      <c r="E3709" s="108" t="n">
        <v>96.93000000000001</v>
      </c>
      <c r="F3709" s="109">
        <f>IFERROR(D3709*E3709,0)</f>
        <v/>
      </c>
      <c r="G3709" s="106">
        <f>INDEX(SETORES!$B:$B,MATCH(A3709,SETORES!$A:$A,0))</f>
        <v/>
      </c>
      <c r="H3709" s="106" t="inlineStr">
        <is>
          <t>Outubro/2026</t>
        </is>
      </c>
    </row>
    <row r="3710">
      <c r="A3710" s="106" t="inlineStr">
        <is>
          <t>Cobrança</t>
        </is>
      </c>
      <c r="B3710" s="106" t="inlineStr">
        <is>
          <t>Custo Fixo</t>
        </is>
      </c>
      <c r="C3710" s="106" t="inlineStr">
        <is>
          <t>Instalações - corredores e alojamentos (rateio)</t>
        </is>
      </c>
      <c r="D3710" s="107" t="n">
        <v>1</v>
      </c>
      <c r="E3710" s="108" t="n">
        <v>252.02</v>
      </c>
      <c r="F3710" s="109">
        <f>IFERROR(D3710*E3710,0)</f>
        <v/>
      </c>
      <c r="G3710" s="106">
        <f>INDEX(SETORES!$B:$B,MATCH(A3710,SETORES!$A:$A,0))</f>
        <v/>
      </c>
      <c r="H3710" s="106" t="inlineStr">
        <is>
          <t>Outubro/2026</t>
        </is>
      </c>
    </row>
    <row r="3711">
      <c r="A3711" s="106" t="inlineStr">
        <is>
          <t>Compras</t>
        </is>
      </c>
      <c r="B3711" s="106" t="inlineStr">
        <is>
          <t>Custo Fixo</t>
        </is>
      </c>
      <c r="C3711" s="106" t="inlineStr">
        <is>
          <t>Instalações - corredores e alojamentos (rateio)</t>
        </is>
      </c>
      <c r="D3711" s="107" t="n">
        <v>1</v>
      </c>
      <c r="E3711" s="108" t="n">
        <v>96.93000000000001</v>
      </c>
      <c r="F3711" s="109">
        <f>IFERROR(D3711*E3711,0)</f>
        <v/>
      </c>
      <c r="G3711" s="106">
        <f>INDEX(SETORES!$B:$B,MATCH(A3711,SETORES!$A:$A,0))</f>
        <v/>
      </c>
      <c r="H3711" s="106" t="inlineStr">
        <is>
          <t>Outubro/2026</t>
        </is>
      </c>
    </row>
    <row r="3712">
      <c r="A3712" s="106" t="inlineStr">
        <is>
          <t>Contabilidade</t>
        </is>
      </c>
      <c r="B3712" s="106" t="inlineStr">
        <is>
          <t>Custo Fixo</t>
        </is>
      </c>
      <c r="C3712" s="106" t="inlineStr">
        <is>
          <t>Instalações - corredores e alojamentos (rateio)</t>
        </is>
      </c>
      <c r="D3712" s="107" t="n">
        <v>1</v>
      </c>
      <c r="E3712" s="108" t="n">
        <v>116.32</v>
      </c>
      <c r="F3712" s="109">
        <f>IFERROR(D3712*E3712,0)</f>
        <v/>
      </c>
      <c r="G3712" s="106">
        <f>INDEX(SETORES!$B:$B,MATCH(A3712,SETORES!$A:$A,0))</f>
        <v/>
      </c>
      <c r="H3712" s="106" t="inlineStr">
        <is>
          <t>Outubro/2026</t>
        </is>
      </c>
    </row>
    <row r="3713">
      <c r="A3713" s="106" t="inlineStr">
        <is>
          <t>DP</t>
        </is>
      </c>
      <c r="B3713" s="106" t="inlineStr">
        <is>
          <t>Custo Fixo</t>
        </is>
      </c>
      <c r="C3713" s="106" t="inlineStr">
        <is>
          <t>Instalações - corredores e alojamentos (rateio)</t>
        </is>
      </c>
      <c r="D3713" s="107" t="n">
        <v>1</v>
      </c>
      <c r="E3713" s="108" t="n">
        <v>174.47</v>
      </c>
      <c r="F3713" s="109">
        <f>IFERROR(D3713*E3713,0)</f>
        <v/>
      </c>
      <c r="G3713" s="106">
        <f>INDEX(SETORES!$B:$B,MATCH(A3713,SETORES!$A:$A,0))</f>
        <v/>
      </c>
      <c r="H3713" s="106" t="inlineStr">
        <is>
          <t>Outubro/2026</t>
        </is>
      </c>
    </row>
    <row r="3714">
      <c r="A3714" s="106" t="inlineStr">
        <is>
          <t>Diretoria Operacional</t>
        </is>
      </c>
      <c r="B3714" s="106" t="inlineStr">
        <is>
          <t>Custo Fixo</t>
        </is>
      </c>
      <c r="C3714" s="106" t="inlineStr">
        <is>
          <t>Instalações - corredores e alojamentos (rateio)</t>
        </is>
      </c>
      <c r="D3714" s="107" t="n">
        <v>1</v>
      </c>
      <c r="E3714" s="108" t="n">
        <v>38.77</v>
      </c>
      <c r="F3714" s="109">
        <f>IFERROR(D3714*E3714,0)</f>
        <v/>
      </c>
      <c r="G3714" s="106">
        <f>INDEX(SETORES!$B:$B,MATCH(A3714,SETORES!$A:$A,0))</f>
        <v/>
      </c>
      <c r="H3714" s="106" t="inlineStr">
        <is>
          <t>Outubro/2026</t>
        </is>
      </c>
    </row>
    <row r="3715">
      <c r="A3715" s="106" t="inlineStr">
        <is>
          <t>Engenharia</t>
        </is>
      </c>
      <c r="B3715" s="106" t="inlineStr">
        <is>
          <t>Custo Fixo</t>
        </is>
      </c>
      <c r="C3715" s="106" t="inlineStr">
        <is>
          <t>Instalações - corredores e alojamentos (rateio)</t>
        </is>
      </c>
      <c r="D3715" s="107" t="n">
        <v>1</v>
      </c>
      <c r="E3715" s="108" t="n">
        <v>174.47</v>
      </c>
      <c r="F3715" s="109">
        <f>IFERROR(D3715*E3715,0)</f>
        <v/>
      </c>
      <c r="G3715" s="106">
        <f>INDEX(SETORES!$B:$B,MATCH(A3715,SETORES!$A:$A,0))</f>
        <v/>
      </c>
      <c r="H3715" s="106" t="inlineStr">
        <is>
          <t>Outubro/2026</t>
        </is>
      </c>
    </row>
    <row r="3716">
      <c r="A3716" s="106" t="inlineStr">
        <is>
          <t>Estoque</t>
        </is>
      </c>
      <c r="B3716" s="106" t="inlineStr">
        <is>
          <t>Custo Fixo</t>
        </is>
      </c>
      <c r="C3716" s="106" t="inlineStr">
        <is>
          <t>Instalações - corredores e alojamentos (rateio)</t>
        </is>
      </c>
      <c r="D3716" s="107" t="n">
        <v>1</v>
      </c>
      <c r="E3716" s="108" t="n">
        <v>310.17</v>
      </c>
      <c r="F3716" s="109">
        <f>IFERROR(D3716*E3716,0)</f>
        <v/>
      </c>
      <c r="G3716" s="106">
        <f>INDEX(SETORES!$B:$B,MATCH(A3716,SETORES!$A:$A,0))</f>
        <v/>
      </c>
      <c r="H3716" s="106" t="inlineStr">
        <is>
          <t>Outubro/2026</t>
        </is>
      </c>
    </row>
    <row r="3717">
      <c r="A3717" s="106" t="inlineStr">
        <is>
          <t>Financeiro</t>
        </is>
      </c>
      <c r="B3717" s="106" t="inlineStr">
        <is>
          <t>Custo Fixo</t>
        </is>
      </c>
      <c r="C3717" s="106" t="inlineStr">
        <is>
          <t>Instalações - corredores e alojamentos (rateio)</t>
        </is>
      </c>
      <c r="D3717" s="107" t="n">
        <v>1</v>
      </c>
      <c r="E3717" s="108" t="n">
        <v>155.09</v>
      </c>
      <c r="F3717" s="109">
        <f>IFERROR(D3717*E3717,0)</f>
        <v/>
      </c>
      <c r="G3717" s="106">
        <f>INDEX(SETORES!$B:$B,MATCH(A3717,SETORES!$A:$A,0))</f>
        <v/>
      </c>
      <c r="H3717" s="106" t="inlineStr">
        <is>
          <t>Outubro/2026</t>
        </is>
      </c>
    </row>
    <row r="3718">
      <c r="A3718" s="106" t="inlineStr">
        <is>
          <t>Logística</t>
        </is>
      </c>
      <c r="B3718" s="106" t="inlineStr">
        <is>
          <t>Custo Fixo</t>
        </is>
      </c>
      <c r="C3718" s="106" t="inlineStr">
        <is>
          <t>Instalações - corredores e alojamentos (rateio)</t>
        </is>
      </c>
      <c r="D3718" s="107" t="n">
        <v>1</v>
      </c>
      <c r="E3718" s="108" t="n">
        <v>310.17</v>
      </c>
      <c r="F3718" s="109">
        <f>IFERROR(D3718*E3718,0)</f>
        <v/>
      </c>
      <c r="G3718" s="106">
        <f>INDEX(SETORES!$B:$B,MATCH(A3718,SETORES!$A:$A,0))</f>
        <v/>
      </c>
      <c r="H3718" s="106" t="inlineStr">
        <is>
          <t>Outubro/2026</t>
        </is>
      </c>
    </row>
    <row r="3719">
      <c r="A3719" s="106" t="inlineStr">
        <is>
          <t>NOC</t>
        </is>
      </c>
      <c r="B3719" s="106" t="inlineStr">
        <is>
          <t>Custo Fixo</t>
        </is>
      </c>
      <c r="C3719" s="106" t="inlineStr">
        <is>
          <t>Instalações - corredores e alojamentos (rateio)</t>
        </is>
      </c>
      <c r="D3719" s="107" t="n">
        <v>1</v>
      </c>
      <c r="E3719" s="108" t="n">
        <v>58.16</v>
      </c>
      <c r="F3719" s="109">
        <f>IFERROR(D3719*E3719,0)</f>
        <v/>
      </c>
      <c r="G3719" s="106">
        <f>INDEX(SETORES!$B:$B,MATCH(A3719,SETORES!$A:$A,0))</f>
        <v/>
      </c>
      <c r="H3719" s="106" t="inlineStr">
        <is>
          <t>Outubro/2026</t>
        </is>
      </c>
    </row>
    <row r="3720">
      <c r="A3720" s="106" t="inlineStr">
        <is>
          <t>NRC</t>
        </is>
      </c>
      <c r="B3720" s="106" t="inlineStr">
        <is>
          <t>Custo Fixo</t>
        </is>
      </c>
      <c r="C3720" s="106" t="inlineStr">
        <is>
          <t>Instalações - corredores e alojamentos (rateio)</t>
        </is>
      </c>
      <c r="D3720" s="107" t="n">
        <v>1</v>
      </c>
      <c r="E3720" s="108" t="n">
        <v>814.21</v>
      </c>
      <c r="F3720" s="109">
        <f>IFERROR(D3720*E3720,0)</f>
        <v/>
      </c>
      <c r="G3720" s="106">
        <f>INDEX(SETORES!$B:$B,MATCH(A3720,SETORES!$A:$A,0))</f>
        <v/>
      </c>
      <c r="H3720" s="106" t="inlineStr">
        <is>
          <t>Outubro/2026</t>
        </is>
      </c>
    </row>
    <row r="3721">
      <c r="A3721" s="106" t="inlineStr">
        <is>
          <t>Oficina</t>
        </is>
      </c>
      <c r="B3721" s="106" t="inlineStr">
        <is>
          <t>Custo Fixo</t>
        </is>
      </c>
      <c r="C3721" s="106" t="inlineStr">
        <is>
          <t>Instalações - corredores e alojamentos (rateio)</t>
        </is>
      </c>
      <c r="D3721" s="107" t="n">
        <v>1</v>
      </c>
      <c r="E3721" s="108" t="n">
        <v>77.54000000000001</v>
      </c>
      <c r="F3721" s="109">
        <f>IFERROR(D3721*E3721,0)</f>
        <v/>
      </c>
      <c r="G3721" s="106">
        <f>INDEX(SETORES!$B:$B,MATCH(A3721,SETORES!$A:$A,0))</f>
        <v/>
      </c>
      <c r="H3721" s="106" t="inlineStr">
        <is>
          <t>Outubro/2026</t>
        </is>
      </c>
    </row>
    <row r="3722">
      <c r="A3722" s="106" t="inlineStr">
        <is>
          <t>RH</t>
        </is>
      </c>
      <c r="B3722" s="106" t="inlineStr">
        <is>
          <t>Custo Fixo</t>
        </is>
      </c>
      <c r="C3722" s="106" t="inlineStr">
        <is>
          <t>Instalações - corredores e alojamentos (rateio)</t>
        </is>
      </c>
      <c r="D3722" s="107" t="n">
        <v>1</v>
      </c>
      <c r="E3722" s="108" t="n">
        <v>116.32</v>
      </c>
      <c r="F3722" s="109">
        <f>IFERROR(D3722*E3722,0)</f>
        <v/>
      </c>
      <c r="G3722" s="106">
        <f>INDEX(SETORES!$B:$B,MATCH(A3722,SETORES!$A:$A,0))</f>
        <v/>
      </c>
      <c r="H3722" s="106" t="inlineStr">
        <is>
          <t>Outubro/2026</t>
        </is>
      </c>
    </row>
    <row r="3723">
      <c r="A3723" s="106" t="inlineStr">
        <is>
          <t>Retenção</t>
        </is>
      </c>
      <c r="B3723" s="106" t="inlineStr">
        <is>
          <t>Custo Fixo</t>
        </is>
      </c>
      <c r="C3723" s="106" t="inlineStr">
        <is>
          <t>Instalações - corredores e alojamentos (rateio)</t>
        </is>
      </c>
      <c r="D3723" s="107" t="n">
        <v>1</v>
      </c>
      <c r="E3723" s="108" t="n">
        <v>232.63</v>
      </c>
      <c r="F3723" s="109">
        <f>IFERROR(D3723*E3723,0)</f>
        <v/>
      </c>
      <c r="G3723" s="106">
        <f>INDEX(SETORES!$B:$B,MATCH(A3723,SETORES!$A:$A,0))</f>
        <v/>
      </c>
      <c r="H3723" s="106" t="inlineStr">
        <is>
          <t>Outubro/2026</t>
        </is>
      </c>
    </row>
    <row r="3724">
      <c r="A3724" s="106" t="inlineStr">
        <is>
          <t>Segurança do Trabalho</t>
        </is>
      </c>
      <c r="B3724" s="106" t="inlineStr">
        <is>
          <t>Custo Fixo</t>
        </is>
      </c>
      <c r="C3724" s="106" t="inlineStr">
        <is>
          <t>Instalações - corredores e alojamentos (rateio)</t>
        </is>
      </c>
      <c r="D3724" s="107" t="n">
        <v>1</v>
      </c>
      <c r="E3724" s="108" t="n">
        <v>155.09</v>
      </c>
      <c r="F3724" s="109">
        <f>IFERROR(D3724*E3724,0)</f>
        <v/>
      </c>
      <c r="G3724" s="106">
        <f>INDEX(SETORES!$B:$B,MATCH(A3724,SETORES!$A:$A,0))</f>
        <v/>
      </c>
      <c r="H3724" s="106" t="inlineStr">
        <is>
          <t>Outubro/2026</t>
        </is>
      </c>
    </row>
    <row r="3725">
      <c r="A3725" s="106" t="inlineStr">
        <is>
          <t>Suporte Orbix</t>
        </is>
      </c>
      <c r="B3725" s="106" t="inlineStr">
        <is>
          <t>Custo Fixo</t>
        </is>
      </c>
      <c r="C3725" s="106" t="inlineStr">
        <is>
          <t>Instalações - corredores e alojamentos (rateio)</t>
        </is>
      </c>
      <c r="D3725" s="107" t="n">
        <v>1</v>
      </c>
      <c r="E3725" s="108" t="n">
        <v>155.09</v>
      </c>
      <c r="F3725" s="109">
        <f>IFERROR(D3725*E3725,0)</f>
        <v/>
      </c>
      <c r="G3725" s="106">
        <f>INDEX(SETORES!$B:$B,MATCH(A3725,SETORES!$A:$A,0))</f>
        <v/>
      </c>
      <c r="H3725" s="106" t="inlineStr">
        <is>
          <t>Outubro/2026</t>
        </is>
      </c>
    </row>
    <row r="3726">
      <c r="A3726" s="106" t="inlineStr">
        <is>
          <t>Suporte da Central</t>
        </is>
      </c>
      <c r="B3726" s="106" t="inlineStr">
        <is>
          <t>Custo Fixo</t>
        </is>
      </c>
      <c r="C3726" s="106" t="inlineStr">
        <is>
          <t>Instalações - corredores e alojamentos (rateio)</t>
        </is>
      </c>
      <c r="D3726" s="107" t="n">
        <v>1</v>
      </c>
      <c r="E3726" s="108" t="n">
        <v>639.74</v>
      </c>
      <c r="F3726" s="109">
        <f>IFERROR(D3726*E3726,0)</f>
        <v/>
      </c>
      <c r="G3726" s="106">
        <f>INDEX(SETORES!$B:$B,MATCH(A3726,SETORES!$A:$A,0))</f>
        <v/>
      </c>
      <c r="H3726" s="106" t="inlineStr">
        <is>
          <t>Outubro/2026</t>
        </is>
      </c>
    </row>
    <row r="3727">
      <c r="A3727" s="106" t="inlineStr">
        <is>
          <t>Televendas</t>
        </is>
      </c>
      <c r="B3727" s="106" t="inlineStr">
        <is>
          <t>Custo Fixo</t>
        </is>
      </c>
      <c r="C3727" s="106" t="inlineStr">
        <is>
          <t>Instalações - corredores e alojamentos (rateio)</t>
        </is>
      </c>
      <c r="D3727" s="107" t="n">
        <v>1</v>
      </c>
      <c r="E3727" s="108" t="n">
        <v>213.25</v>
      </c>
      <c r="F3727" s="109">
        <f>IFERROR(D3727*E3727,0)</f>
        <v/>
      </c>
      <c r="G3727" s="106">
        <f>INDEX(SETORES!$B:$B,MATCH(A3727,SETORES!$A:$A,0))</f>
        <v/>
      </c>
      <c r="H3727" s="106" t="inlineStr">
        <is>
          <t>Outubro/2026</t>
        </is>
      </c>
    </row>
    <row r="3728">
      <c r="A3728" s="106" t="inlineStr">
        <is>
          <t>COE</t>
        </is>
      </c>
      <c r="B3728" s="106" t="inlineStr">
        <is>
          <t>Custo Fixo</t>
        </is>
      </c>
      <c r="C3728" s="106" t="inlineStr">
        <is>
          <t>Instalações - corredores e alojamentos (rateio)</t>
        </is>
      </c>
      <c r="D3728" s="107" t="n">
        <v>1</v>
      </c>
      <c r="E3728" s="108" t="n">
        <v>213.25</v>
      </c>
      <c r="F3728" s="109">
        <f>IFERROR(D3728*E3728,0)</f>
        <v/>
      </c>
      <c r="G3728" s="106">
        <f>INDEX(SETORES!$B:$B,MATCH(A3728,SETORES!$A:$A,0))</f>
        <v/>
      </c>
      <c r="H3728" s="106" t="inlineStr">
        <is>
          <t>Outubro/2026</t>
        </is>
      </c>
    </row>
    <row r="3729">
      <c r="A3729" s="106" t="inlineStr">
        <is>
          <t>Cozinha</t>
        </is>
      </c>
      <c r="B3729" s="106" t="inlineStr">
        <is>
          <t>Custo Fixo</t>
        </is>
      </c>
      <c r="C3729" s="106" t="inlineStr">
        <is>
          <t>Instalações - corredores e alojamentos (rateio)</t>
        </is>
      </c>
      <c r="D3729" s="107" t="n">
        <v>1</v>
      </c>
      <c r="E3729" s="108" t="n">
        <v>77.54000000000001</v>
      </c>
      <c r="F3729" s="109">
        <f>IFERROR(D3729*E3729,0)</f>
        <v/>
      </c>
      <c r="G3729" s="106">
        <f>INDEX(SETORES!$B:$B,MATCH(A3729,SETORES!$A:$A,0))</f>
        <v/>
      </c>
      <c r="H3729" s="106" t="inlineStr">
        <is>
          <t>Outubro/2026</t>
        </is>
      </c>
    </row>
    <row r="3730">
      <c r="A3730" s="106" t="inlineStr">
        <is>
          <t>Backoffice Comercial Varejo</t>
        </is>
      </c>
      <c r="B3730" s="106" t="inlineStr">
        <is>
          <t>Custo Fixo</t>
        </is>
      </c>
      <c r="C3730" s="106" t="inlineStr">
        <is>
          <t>Instalações - corredores e alojamentos (rateio)</t>
        </is>
      </c>
      <c r="D3730" s="107" t="n">
        <v>1</v>
      </c>
      <c r="E3730" s="108" t="n">
        <v>38.77</v>
      </c>
      <c r="F3730" s="109">
        <f>IFERROR(D3730*E3730,0)</f>
        <v/>
      </c>
      <c r="G3730" s="106">
        <f>INDEX(SETORES!$B:$B,MATCH(A3730,SETORES!$A:$A,0))</f>
        <v/>
      </c>
      <c r="H3730" s="106" t="inlineStr">
        <is>
          <t>Outubro/2026</t>
        </is>
      </c>
    </row>
    <row r="3731">
      <c r="A3731" s="106" t="inlineStr">
        <is>
          <t>Marketing</t>
        </is>
      </c>
      <c r="B3731" s="106" t="inlineStr">
        <is>
          <t>Custo Fixo</t>
        </is>
      </c>
      <c r="C3731" s="106" t="inlineStr">
        <is>
          <t>Instalações - corredores e alojamentos (rateio)</t>
        </is>
      </c>
      <c r="D3731" s="107" t="n">
        <v>1</v>
      </c>
      <c r="E3731" s="108" t="n">
        <v>329.56</v>
      </c>
      <c r="F3731" s="109">
        <f>IFERROR(D3731*E3731,0)</f>
        <v/>
      </c>
      <c r="G3731" s="106">
        <f>INDEX(SETORES!$B:$B,MATCH(A3731,SETORES!$A:$A,0))</f>
        <v/>
      </c>
      <c r="H3731" s="106" t="inlineStr">
        <is>
          <t>Outubro/2026</t>
        </is>
      </c>
    </row>
    <row r="3732">
      <c r="A3732" s="106" t="inlineStr">
        <is>
          <t>Comercial Corporativo</t>
        </is>
      </c>
      <c r="B3732" s="106" t="inlineStr">
        <is>
          <t>Custo Fixo</t>
        </is>
      </c>
      <c r="C3732" s="106" t="inlineStr">
        <is>
          <t>Instalações - corredores e alojamentos (rateio)</t>
        </is>
      </c>
      <c r="D3732" s="107" t="n">
        <v>1</v>
      </c>
      <c r="E3732" s="108" t="n">
        <v>232.63</v>
      </c>
      <c r="F3732" s="109">
        <f>IFERROR(D3732*E3732,0)</f>
        <v/>
      </c>
      <c r="G3732" s="106">
        <f>INDEX(SETORES!$B:$B,MATCH(A3732,SETORES!$A:$A,0))</f>
        <v/>
      </c>
      <c r="H3732" s="106" t="inlineStr">
        <is>
          <t>Outubro/2026</t>
        </is>
      </c>
    </row>
    <row r="3733">
      <c r="A3733" s="106" t="inlineStr">
        <is>
          <t>TIC</t>
        </is>
      </c>
      <c r="B3733" s="106" t="inlineStr">
        <is>
          <t>Custo Fixo</t>
        </is>
      </c>
      <c r="C3733" s="106" t="inlineStr">
        <is>
          <t>Instalações - corredores e alojamentos (rateio)</t>
        </is>
      </c>
      <c r="D3733" s="107" t="n">
        <v>1</v>
      </c>
      <c r="E3733" s="108" t="n">
        <v>135.7</v>
      </c>
      <c r="F3733" s="109">
        <f>IFERROR(D3733*E3733,0)</f>
        <v/>
      </c>
      <c r="G3733" s="106">
        <f>INDEX(SETORES!$B:$B,MATCH(A3733,SETORES!$A:$A,0))</f>
        <v/>
      </c>
      <c r="H3733" s="106" t="inlineStr">
        <is>
          <t>Outubro/2026</t>
        </is>
      </c>
    </row>
    <row r="3734">
      <c r="A3734" s="106" t="inlineStr">
        <is>
          <t>Diretoria Adm</t>
        </is>
      </c>
      <c r="B3734" s="106" t="inlineStr">
        <is>
          <t>Custo Fixo</t>
        </is>
      </c>
      <c r="C3734" s="106" t="inlineStr">
        <is>
          <t>Instalações - corredores e alojamentos (rateio)</t>
        </is>
      </c>
      <c r="D3734" s="107" t="n">
        <v>1</v>
      </c>
      <c r="E3734" s="108" t="n">
        <v>38.77</v>
      </c>
      <c r="F3734" s="109">
        <f>IFERROR(D3734*E3734,0)</f>
        <v/>
      </c>
      <c r="G3734" s="106">
        <f>INDEX(SETORES!$B:$B,MATCH(A3734,SETORES!$A:$A,0))</f>
        <v/>
      </c>
      <c r="H3734" s="106" t="inlineStr">
        <is>
          <t>Outubro/2026</t>
        </is>
      </c>
    </row>
    <row r="3735">
      <c r="A3735" s="106" t="inlineStr">
        <is>
          <t>Controladoria</t>
        </is>
      </c>
      <c r="B3735" s="106" t="inlineStr">
        <is>
          <t>Custo Fixo</t>
        </is>
      </c>
      <c r="C3735" s="106" t="inlineStr">
        <is>
          <t>Instalações - corredores e alojamentos (rateio)</t>
        </is>
      </c>
      <c r="D3735" s="107" t="n">
        <v>1</v>
      </c>
      <c r="E3735" s="108" t="n">
        <v>19.39</v>
      </c>
      <c r="F3735" s="109">
        <f>IFERROR(D3735*E3735,0)</f>
        <v/>
      </c>
      <c r="G3735" s="106">
        <f>INDEX(SETORES!$B:$B,MATCH(A3735,SETORES!$A:$A,0))</f>
        <v/>
      </c>
      <c r="H3735" s="106" t="inlineStr">
        <is>
          <t>Outubro/2026</t>
        </is>
      </c>
    </row>
    <row r="3736">
      <c r="A3736" s="106" t="inlineStr">
        <is>
          <t>Configuração</t>
        </is>
      </c>
      <c r="B3736" s="106" t="inlineStr">
        <is>
          <t>Custo Fixo</t>
        </is>
      </c>
      <c r="C3736" s="106" t="inlineStr">
        <is>
          <t>Stargrid</t>
        </is>
      </c>
      <c r="D3736" s="107" t="n">
        <v>10</v>
      </c>
      <c r="E3736" s="108" t="n">
        <v>1.87</v>
      </c>
      <c r="F3736" s="109">
        <f>IFERROR(D3736*E3736,0)</f>
        <v/>
      </c>
      <c r="G3736" s="106">
        <f>INDEX(SETORES!$B:$B,MATCH(A3736,SETORES!$A:$A,0))</f>
        <v/>
      </c>
      <c r="H3736" s="106" t="inlineStr">
        <is>
          <t>Outubro/2026</t>
        </is>
      </c>
    </row>
    <row r="3737">
      <c r="A3737" s="106" t="inlineStr">
        <is>
          <t>Configuração</t>
        </is>
      </c>
      <c r="B3737" s="106" t="inlineStr">
        <is>
          <t>Custo Fixo</t>
        </is>
      </c>
      <c r="C3737" s="106" t="inlineStr">
        <is>
          <t>Licença de e-mail corporativo</t>
        </is>
      </c>
      <c r="D3737" s="107" t="n">
        <v>10</v>
      </c>
      <c r="E3737" s="108" t="n">
        <v>50</v>
      </c>
      <c r="F3737" s="109">
        <f>IFERROR(D3737*E3737,0)</f>
        <v/>
      </c>
      <c r="G3737" s="106">
        <f>INDEX(SETORES!$B:$B,MATCH(A3737,SETORES!$A:$A,0))</f>
        <v/>
      </c>
      <c r="H3737" s="106" t="inlineStr">
        <is>
          <t>Outubro/2026</t>
        </is>
      </c>
    </row>
    <row r="3738">
      <c r="A3738" s="106" t="inlineStr">
        <is>
          <t>Desenvolvimento</t>
        </is>
      </c>
      <c r="B3738" s="106" t="inlineStr">
        <is>
          <t>Custo Fixo</t>
        </is>
      </c>
      <c r="C3738" s="106" t="inlineStr">
        <is>
          <t>Stargrid</t>
        </is>
      </c>
      <c r="D3738" s="107" t="n">
        <v>6</v>
      </c>
      <c r="E3738" s="108" t="n">
        <v>1.87</v>
      </c>
      <c r="F3738" s="109">
        <f>IFERROR(D3738*E3738,0)</f>
        <v/>
      </c>
      <c r="G3738" s="106">
        <f>INDEX(SETORES!$B:$B,MATCH(A3738,SETORES!$A:$A,0))</f>
        <v/>
      </c>
      <c r="H3738" s="106" t="inlineStr">
        <is>
          <t>Outubro/2026</t>
        </is>
      </c>
    </row>
    <row r="3739">
      <c r="A3739" s="106" t="inlineStr">
        <is>
          <t>Desenvolvimento</t>
        </is>
      </c>
      <c r="B3739" s="106" t="inlineStr">
        <is>
          <t>Custo Fixo</t>
        </is>
      </c>
      <c r="C3739" s="106" t="inlineStr">
        <is>
          <t>Licença de e-mail corporativo</t>
        </is>
      </c>
      <c r="D3739" s="107" t="n">
        <v>6</v>
      </c>
      <c r="E3739" s="108" t="n">
        <v>50</v>
      </c>
      <c r="F3739" s="109">
        <f>IFERROR(D3739*E3739,0)</f>
        <v/>
      </c>
      <c r="G3739" s="106">
        <f>INDEX(SETORES!$B:$B,MATCH(A3739,SETORES!$A:$A,0))</f>
        <v/>
      </c>
      <c r="H3739" s="106" t="inlineStr">
        <is>
          <t>Outubro/2026</t>
        </is>
      </c>
    </row>
    <row r="3740">
      <c r="A3740" s="110" t="inlineStr">
        <is>
          <t>Projetista</t>
        </is>
      </c>
      <c r="B3740" s="110" t="inlineStr">
        <is>
          <t>Custo Fixo</t>
        </is>
      </c>
      <c r="C3740" s="110" t="inlineStr">
        <is>
          <t>Folha de pagamento (salários)</t>
        </is>
      </c>
      <c r="D3740" s="110" t="n">
        <v>1</v>
      </c>
      <c r="E3740" s="110" t="n">
        <v>25653.46</v>
      </c>
      <c r="F3740" s="110">
        <f>IFERROR(D3740*E3740,0)</f>
        <v/>
      </c>
      <c r="G3740" s="110">
        <f>INDEX(SETORES!$B:$B,MATCH(A3740,SETORES!$A:$A,0))</f>
        <v/>
      </c>
      <c r="H3740" s="110" t="inlineStr">
        <is>
          <t>Outubro/2026</t>
        </is>
      </c>
    </row>
    <row r="3741">
      <c r="A3741" s="110" t="inlineStr">
        <is>
          <t>Suporte da Central</t>
        </is>
      </c>
      <c r="B3741" s="110" t="inlineStr">
        <is>
          <t>Custo Variável</t>
        </is>
      </c>
      <c r="C3741" s="110" t="inlineStr">
        <is>
          <t>Fardamento substituição</t>
        </is>
      </c>
      <c r="D3741" s="110" t="n">
        <v>1</v>
      </c>
      <c r="E3741" s="110" t="n">
        <v>272</v>
      </c>
      <c r="F3741" s="110">
        <f>IFERROR(D3741*E3741,0)</f>
        <v/>
      </c>
      <c r="G3741" s="110">
        <f>INDEX(SETORES!$B:$B,MATCH(A3741,SETORES!$A:$A,0))</f>
        <v/>
      </c>
      <c r="H3741" s="110" t="inlineStr">
        <is>
          <t>Outubro/2026</t>
        </is>
      </c>
    </row>
    <row r="3742">
      <c r="A3742" s="110" t="inlineStr">
        <is>
          <t>Configuração</t>
        </is>
      </c>
      <c r="B3742" s="110" t="inlineStr">
        <is>
          <t>Custo Variável</t>
        </is>
      </c>
      <c r="C3742" s="110" t="inlineStr">
        <is>
          <t>Fardamento novo</t>
        </is>
      </c>
      <c r="D3742" s="110" t="n">
        <v>1</v>
      </c>
      <c r="E3742" s="110" t="n">
        <v>90</v>
      </c>
      <c r="F3742" s="110">
        <f>IFERROR(D3742*E3742,0)</f>
        <v/>
      </c>
      <c r="G3742" s="110">
        <f>INDEX(SETORES!$B:$B,MATCH(A3742,SETORES!$A:$A,0))</f>
        <v/>
      </c>
      <c r="H3742" s="110" t="inlineStr">
        <is>
          <t>Outubro/2026</t>
        </is>
      </c>
    </row>
    <row r="3743">
      <c r="A3743" s="106" t="inlineStr">
        <is>
          <t>Gestão de Atendimento</t>
        </is>
      </c>
      <c r="B3743" s="106" t="inlineStr">
        <is>
          <t>Custo Fixo</t>
        </is>
      </c>
      <c r="C3743" s="106" t="inlineStr">
        <is>
          <t>Material de escritório (suprimentos de informática)</t>
        </is>
      </c>
      <c r="D3743" s="107" t="n">
        <v>1</v>
      </c>
      <c r="E3743" s="108" t="n">
        <v>840.67</v>
      </c>
      <c r="F3743" s="109">
        <f>IFERROR(D3743*E3743,0)</f>
        <v/>
      </c>
      <c r="G3743" s="106">
        <f>INDEX(SETORES!$B:$B,MATCH(A3743,SETORES!$A:$A,0))</f>
        <v/>
      </c>
      <c r="H3743" s="106" t="inlineStr">
        <is>
          <t>Novembro/2026</t>
        </is>
      </c>
    </row>
    <row r="3744">
      <c r="A3744" s="106" t="inlineStr">
        <is>
          <t>Gestão de Atendimento</t>
        </is>
      </c>
      <c r="B3744" s="106" t="inlineStr">
        <is>
          <t>Custo Fixo</t>
        </is>
      </c>
      <c r="C3744" s="106" t="inlineStr">
        <is>
          <t>Material de uso coletivo (copa/limpeza)</t>
        </is>
      </c>
      <c r="D3744" s="107" t="n">
        <v>1</v>
      </c>
      <c r="E3744" s="108" t="n">
        <v>882.22</v>
      </c>
      <c r="F3744" s="109">
        <f>IFERROR(D3744*E3744,0)</f>
        <v/>
      </c>
      <c r="G3744" s="106">
        <f>INDEX(SETORES!$B:$B,MATCH(A3744,SETORES!$A:$A,0))</f>
        <v/>
      </c>
      <c r="H3744" s="106" t="inlineStr">
        <is>
          <t>Novembro/2026</t>
        </is>
      </c>
    </row>
    <row r="3745">
      <c r="A3745" s="106" t="inlineStr">
        <is>
          <t>Gestão de Atendimento</t>
        </is>
      </c>
      <c r="B3745" s="106" t="inlineStr">
        <is>
          <t>Custo Fixo</t>
        </is>
      </c>
      <c r="C3745" s="106" t="inlineStr">
        <is>
          <t>Energia elétrica (rateio)</t>
        </is>
      </c>
      <c r="D3745" s="107" t="n"/>
      <c r="E3745" s="108" t="n"/>
      <c r="F3745" s="109">
        <f>IFERROR(D3745*E3745,0)</f>
        <v/>
      </c>
      <c r="G3745" s="106">
        <f>INDEX(SETORES!$B:$B,MATCH(A3745,SETORES!$A:$A,0))</f>
        <v/>
      </c>
      <c r="H3745" s="106" t="inlineStr">
        <is>
          <t>Novembro/2026</t>
        </is>
      </c>
    </row>
    <row r="3746">
      <c r="A3746" s="106" t="inlineStr">
        <is>
          <t>Gestão de Atendimento</t>
        </is>
      </c>
      <c r="B3746" s="106" t="inlineStr">
        <is>
          <t>Custo Fixo</t>
        </is>
      </c>
      <c r="C3746" s="106" t="inlineStr">
        <is>
          <t>Água e esgoto (rateio)</t>
        </is>
      </c>
      <c r="D3746" s="107" t="n"/>
      <c r="E3746" s="108" t="n"/>
      <c r="F3746" s="109">
        <f>IFERROR(D3746*E3746,0)</f>
        <v/>
      </c>
      <c r="G3746" s="106">
        <f>INDEX(SETORES!$B:$B,MATCH(A3746,SETORES!$A:$A,0))</f>
        <v/>
      </c>
      <c r="H3746" s="106" t="inlineStr">
        <is>
          <t>Novembro/2026</t>
        </is>
      </c>
    </row>
    <row r="3747">
      <c r="A3747" s="106" t="inlineStr">
        <is>
          <t>Gestão de Atendimento</t>
        </is>
      </c>
      <c r="B3747" s="106" t="inlineStr">
        <is>
          <t>Custo Fixo</t>
        </is>
      </c>
      <c r="C3747" s="106" t="inlineStr">
        <is>
          <t>Telefonia móvel corporativa</t>
        </is>
      </c>
      <c r="D3747" s="107" t="n"/>
      <c r="E3747" s="108" t="n"/>
      <c r="F3747" s="109">
        <f>IFERROR(D3747*E3747,0)</f>
        <v/>
      </c>
      <c r="G3747" s="106">
        <f>INDEX(SETORES!$B:$B,MATCH(A3747,SETORES!$A:$A,0))</f>
        <v/>
      </c>
      <c r="H3747" s="106" t="inlineStr">
        <is>
          <t>Novembro/2026</t>
        </is>
      </c>
    </row>
    <row r="3748">
      <c r="A3748" s="106" t="inlineStr">
        <is>
          <t>Gestão de Atendimento</t>
        </is>
      </c>
      <c r="B3748" s="106" t="inlineStr">
        <is>
          <t>Custo Fixo</t>
        </is>
      </c>
      <c r="C3748" s="106" t="inlineStr">
        <is>
          <t>Folha de pagamento (salários)</t>
        </is>
      </c>
      <c r="D3748" s="107" t="n">
        <v>1</v>
      </c>
      <c r="E3748" s="108" t="n">
        <v>55556.32</v>
      </c>
      <c r="F3748" s="109">
        <f>IFERROR(D3748*E3748,0)</f>
        <v/>
      </c>
      <c r="G3748" s="106">
        <f>INDEX(SETORES!$B:$B,MATCH(A3748,SETORES!$A:$A,0))</f>
        <v/>
      </c>
      <c r="H3748" s="106" t="inlineStr">
        <is>
          <t>Novembro/2026</t>
        </is>
      </c>
    </row>
    <row r="3749">
      <c r="A3749" s="106" t="inlineStr">
        <is>
          <t>Gestão de Atendimento</t>
        </is>
      </c>
      <c r="B3749" s="106" t="inlineStr">
        <is>
          <t>Custo Variável</t>
        </is>
      </c>
      <c r="C3749" s="106" t="inlineStr">
        <is>
          <t>Fardamento novo</t>
        </is>
      </c>
      <c r="D3749" s="107" t="n">
        <v>1</v>
      </c>
      <c r="E3749" s="108" t="n">
        <v>180</v>
      </c>
      <c r="F3749" s="109">
        <f>IFERROR(D3749*E3749,0)</f>
        <v/>
      </c>
      <c r="G3749" s="106">
        <f>INDEX(SETORES!$B:$B,MATCH(A3749,SETORES!$A:$A,0))</f>
        <v/>
      </c>
      <c r="H3749" s="106" t="inlineStr">
        <is>
          <t>Novembro/2026</t>
        </is>
      </c>
    </row>
    <row r="3750">
      <c r="A3750" s="106" t="inlineStr">
        <is>
          <t>Gestão de Atendimento</t>
        </is>
      </c>
      <c r="B3750" s="106" t="inlineStr">
        <is>
          <t>Custo Variável</t>
        </is>
      </c>
      <c r="C3750" s="106" t="inlineStr">
        <is>
          <t>Fardamento substituição</t>
        </is>
      </c>
      <c r="D3750" s="107" t="n"/>
      <c r="E3750" s="108" t="n"/>
      <c r="F3750" s="109">
        <f>IFERROR(D3750*E3750,0)</f>
        <v/>
      </c>
      <c r="G3750" s="106">
        <f>INDEX(SETORES!$B:$B,MATCH(A3750,SETORES!$A:$A,0))</f>
        <v/>
      </c>
      <c r="H3750" s="106" t="inlineStr">
        <is>
          <t>Novembro/2026</t>
        </is>
      </c>
    </row>
    <row r="3751">
      <c r="A3751" s="106" t="inlineStr">
        <is>
          <t>Gestão de Atendimento</t>
        </is>
      </c>
      <c r="B3751" s="106" t="inlineStr">
        <is>
          <t>Custo Variável</t>
        </is>
      </c>
      <c r="C3751" s="106" t="inlineStr">
        <is>
          <t>Exames médicos</t>
        </is>
      </c>
      <c r="D3751" s="107" t="n"/>
      <c r="E3751" s="108" t="n"/>
      <c r="F3751" s="109">
        <f>IFERROR(D3751*E3751,0)</f>
        <v/>
      </c>
      <c r="G3751" s="106">
        <f>INDEX(SETORES!$B:$B,MATCH(A3751,SETORES!$A:$A,0))</f>
        <v/>
      </c>
      <c r="H3751" s="106" t="inlineStr">
        <is>
          <t>Novembro/2026</t>
        </is>
      </c>
    </row>
    <row r="3752">
      <c r="A3752" s="106" t="inlineStr">
        <is>
          <t>Gestão de Atendimento</t>
        </is>
      </c>
      <c r="B3752" s="106" t="inlineStr">
        <is>
          <t>Custo Fixo</t>
        </is>
      </c>
      <c r="C3752" s="106" t="inlineStr">
        <is>
          <t>Licença de e-mail corporativo</t>
        </is>
      </c>
      <c r="D3752" s="107" t="n">
        <v>17</v>
      </c>
      <c r="E3752" s="108" t="n">
        <v>50</v>
      </c>
      <c r="F3752" s="109">
        <f>IFERROR(D3752*E3752,0)</f>
        <v/>
      </c>
      <c r="G3752" s="106">
        <f>INDEX(SETORES!$B:$B,MATCH(A3752,SETORES!$A:$A,0))</f>
        <v/>
      </c>
      <c r="H3752" s="106" t="inlineStr">
        <is>
          <t>Novembro/2026</t>
        </is>
      </c>
    </row>
    <row r="3753">
      <c r="A3753" s="106" t="inlineStr">
        <is>
          <t>Gestão de Atendimento</t>
        </is>
      </c>
      <c r="B3753" s="106" t="inlineStr">
        <is>
          <t>Custo Fixo</t>
        </is>
      </c>
      <c r="C3753" s="106" t="inlineStr">
        <is>
          <t>Gympass</t>
        </is>
      </c>
      <c r="D3753" s="107" t="n"/>
      <c r="E3753" s="108" t="n"/>
      <c r="F3753" s="109">
        <f>IFERROR(D3753*E3753,0)</f>
        <v/>
      </c>
      <c r="G3753" s="106">
        <f>INDEX(SETORES!$B:$B,MATCH(A3753,SETORES!$A:$A,0))</f>
        <v/>
      </c>
      <c r="H3753" s="106" t="inlineStr">
        <is>
          <t>Novembro/2026</t>
        </is>
      </c>
    </row>
    <row r="3754">
      <c r="A3754" s="106" t="inlineStr">
        <is>
          <t>Gestão de Atendimento</t>
        </is>
      </c>
      <c r="B3754" s="106" t="inlineStr">
        <is>
          <t>Custo Fixo</t>
        </is>
      </c>
      <c r="C3754" s="106" t="inlineStr">
        <is>
          <t>Stargrid</t>
        </is>
      </c>
      <c r="D3754" s="107" t="n">
        <v>17</v>
      </c>
      <c r="E3754" s="108" t="n">
        <v>1.87</v>
      </c>
      <c r="F3754" s="109">
        <f>IFERROR(D3754*E3754,0)</f>
        <v/>
      </c>
      <c r="G3754" s="106">
        <f>INDEX(SETORES!$B:$B,MATCH(A3754,SETORES!$A:$A,0))</f>
        <v/>
      </c>
      <c r="H3754" s="106" t="inlineStr">
        <is>
          <t>Novembro/2026</t>
        </is>
      </c>
    </row>
    <row r="3755">
      <c r="A3755" s="106" t="inlineStr">
        <is>
          <t>RH</t>
        </is>
      </c>
      <c r="B3755" s="106" t="inlineStr">
        <is>
          <t>Custo Fixo</t>
        </is>
      </c>
      <c r="C3755" s="106" t="inlineStr">
        <is>
          <t>Software exclusivo fiberschool (RH)</t>
        </is>
      </c>
      <c r="D3755" s="107" t="n">
        <v>1</v>
      </c>
      <c r="E3755" s="108" t="n">
        <v>2500</v>
      </c>
      <c r="F3755" s="109">
        <f>IFERROR(D3755*E3755,0)</f>
        <v/>
      </c>
      <c r="G3755" s="106">
        <f>INDEX(SETORES!$B:$B,MATCH(A3755,SETORES!$A:$A,0))</f>
        <v/>
      </c>
      <c r="H3755" s="106" t="inlineStr">
        <is>
          <t>Novembro/2026</t>
        </is>
      </c>
    </row>
    <row r="3756">
      <c r="A3756" s="106" t="inlineStr">
        <is>
          <t>RH</t>
        </is>
      </c>
      <c r="B3756" s="106" t="inlineStr">
        <is>
          <t>Custo Fixo</t>
        </is>
      </c>
      <c r="C3756" s="106" t="inlineStr">
        <is>
          <t>Software RH1000 (RH)</t>
        </is>
      </c>
      <c r="D3756" s="107" t="n">
        <v>1</v>
      </c>
      <c r="E3756" s="108" t="n">
        <v>2612.9</v>
      </c>
      <c r="F3756" s="109">
        <f>IFERROR(D3756*E3756,0)</f>
        <v/>
      </c>
      <c r="G3756" s="106">
        <f>INDEX(SETORES!$B:$B,MATCH(A3756,SETORES!$A:$A,0))</f>
        <v/>
      </c>
      <c r="H3756" s="106" t="inlineStr">
        <is>
          <t>Novembro/2026</t>
        </is>
      </c>
    </row>
    <row r="3757">
      <c r="A3757" s="106" t="inlineStr">
        <is>
          <t>Administrativo</t>
        </is>
      </c>
      <c r="B3757" s="106" t="inlineStr">
        <is>
          <t>Custo Fixo</t>
        </is>
      </c>
      <c r="C3757" s="106" t="inlineStr">
        <is>
          <t>Sistema de assinatura eletronica (autentique) (TIC)</t>
        </is>
      </c>
      <c r="D3757" s="107" t="n">
        <v>1</v>
      </c>
      <c r="E3757" s="108" t="n">
        <v>99</v>
      </c>
      <c r="F3757" s="109">
        <f>IFERROR(D3757*E3757,0)</f>
        <v/>
      </c>
      <c r="G3757" s="106">
        <f>INDEX(SETORES!$B:$B,MATCH(A3757,SETORES!$A:$A,0))</f>
        <v/>
      </c>
      <c r="H3757" s="106" t="inlineStr">
        <is>
          <t>Novembro/2026</t>
        </is>
      </c>
    </row>
    <row r="3758">
      <c r="A3758" s="106" t="inlineStr">
        <is>
          <t>Financeiro</t>
        </is>
      </c>
      <c r="B3758" s="106" t="inlineStr">
        <is>
          <t>Custo Fixo</t>
        </is>
      </c>
      <c r="C3758" s="106" t="inlineStr">
        <is>
          <t>Plataforma do aplicativo Vexpenses (financeiro)</t>
        </is>
      </c>
      <c r="D3758" s="107" t="n"/>
      <c r="E3758" s="108" t="n"/>
      <c r="F3758" s="109">
        <f>IFERROR(D3758*E3758,0)</f>
        <v/>
      </c>
      <c r="G3758" s="106">
        <f>INDEX(SETORES!$B:$B,MATCH(A3758,SETORES!$A:$A,0))</f>
        <v/>
      </c>
      <c r="H3758" s="106" t="inlineStr">
        <is>
          <t>Novembro/2026</t>
        </is>
      </c>
    </row>
    <row r="3759">
      <c r="A3759" s="106" t="inlineStr">
        <is>
          <t>DP</t>
        </is>
      </c>
      <c r="B3759" s="106" t="inlineStr">
        <is>
          <t>Custo Fixo</t>
        </is>
      </c>
      <c r="C3759" s="106" t="inlineStr">
        <is>
          <t>Licenças de software/sistemas corporativos (DP)</t>
        </is>
      </c>
      <c r="D3759" s="107" t="n">
        <v>1</v>
      </c>
      <c r="E3759" s="108" t="n">
        <v>2559.44</v>
      </c>
      <c r="F3759" s="109">
        <f>IFERROR(D3759*E3759,0)</f>
        <v/>
      </c>
      <c r="G3759" s="106">
        <f>INDEX(SETORES!$B:$B,MATCH(A3759,SETORES!$A:$A,0))</f>
        <v/>
      </c>
      <c r="H3759" s="106" t="inlineStr">
        <is>
          <t>Novembro/2026</t>
        </is>
      </c>
    </row>
    <row r="3760">
      <c r="A3760" s="106" t="inlineStr">
        <is>
          <t>DP</t>
        </is>
      </c>
      <c r="B3760" s="106" t="inlineStr">
        <is>
          <t>Custo Fixo</t>
        </is>
      </c>
      <c r="C3760" s="106" t="inlineStr">
        <is>
          <t>Sistema de ponto eletrônico (KAIROS) (DP)</t>
        </is>
      </c>
      <c r="D3760" s="107" t="n"/>
      <c r="E3760" s="108" t="n"/>
      <c r="F3760" s="109">
        <f>IFERROR(D3760*E3760,0)</f>
        <v/>
      </c>
      <c r="G3760" s="106">
        <f>INDEX(SETORES!$B:$B,MATCH(A3760,SETORES!$A:$A,0))</f>
        <v/>
      </c>
      <c r="H3760" s="106" t="inlineStr">
        <is>
          <t>Novembro/2026</t>
        </is>
      </c>
    </row>
    <row r="3761">
      <c r="A3761" s="106" t="inlineStr">
        <is>
          <t>RH</t>
        </is>
      </c>
      <c r="B3761" s="106" t="inlineStr">
        <is>
          <t>Custo Fixo</t>
        </is>
      </c>
      <c r="C3761" s="106" t="inlineStr">
        <is>
          <t>Plataforma de comunicação interna (Useflow) (RH)</t>
        </is>
      </c>
      <c r="D3761" s="107" t="n">
        <v>1</v>
      </c>
      <c r="E3761" s="108" t="n">
        <v>2000</v>
      </c>
      <c r="F3761" s="109">
        <f>IFERROR(D3761*E3761,0)</f>
        <v/>
      </c>
      <c r="G3761" s="106">
        <f>INDEX(SETORES!$B:$B,MATCH(A3761,SETORES!$A:$A,0))</f>
        <v/>
      </c>
      <c r="H3761" s="106" t="inlineStr">
        <is>
          <t>Novembro/2026</t>
        </is>
      </c>
    </row>
    <row r="3762">
      <c r="A3762" s="106" t="inlineStr">
        <is>
          <t>DP</t>
        </is>
      </c>
      <c r="B3762" s="106" t="inlineStr">
        <is>
          <t>Custo Fixo</t>
        </is>
      </c>
      <c r="C3762" s="106" t="inlineStr">
        <is>
          <t>Software exclusivo B2D (Arquivar) (DP)</t>
        </is>
      </c>
      <c r="D3762" s="107" t="n"/>
      <c r="E3762" s="108" t="n"/>
      <c r="F3762" s="109">
        <f>IFERROR(D3762*E3762,0)</f>
        <v/>
      </c>
      <c r="G3762" s="106">
        <f>INDEX(SETORES!$B:$B,MATCH(A3762,SETORES!$A:$A,0))</f>
        <v/>
      </c>
      <c r="H3762" s="106" t="inlineStr">
        <is>
          <t>Novembro/2026</t>
        </is>
      </c>
    </row>
    <row r="3763">
      <c r="A3763" s="106" t="inlineStr">
        <is>
          <t>DP</t>
        </is>
      </c>
      <c r="B3763" s="106" t="inlineStr">
        <is>
          <t>Custo Fixo</t>
        </is>
      </c>
      <c r="C3763" s="106" t="inlineStr">
        <is>
          <t>Software Dominio portal do empregado (DP)</t>
        </is>
      </c>
      <c r="D3763" s="107" t="n"/>
      <c r="E3763" s="108" t="n"/>
      <c r="F3763" s="109">
        <f>IFERROR(D3763*E3763,0)</f>
        <v/>
      </c>
      <c r="G3763" s="106">
        <f>INDEX(SETORES!$B:$B,MATCH(A3763,SETORES!$A:$A,0))</f>
        <v/>
      </c>
      <c r="H3763" s="106" t="inlineStr">
        <is>
          <t>Novembro/2026</t>
        </is>
      </c>
    </row>
    <row r="3764">
      <c r="A3764" s="106" t="inlineStr">
        <is>
          <t>Contabilidade</t>
        </is>
      </c>
      <c r="B3764" s="106" t="inlineStr">
        <is>
          <t>Custo Fixo</t>
        </is>
      </c>
      <c r="C3764" s="106" t="inlineStr">
        <is>
          <t>Licenças de software/sistemas corporativos (Contabilidade)</t>
        </is>
      </c>
      <c r="D3764" s="107" t="n">
        <v>1</v>
      </c>
      <c r="E3764" s="108" t="n">
        <v>2559.45</v>
      </c>
      <c r="F3764" s="109">
        <f>IFERROR(D3764*E3764,0)</f>
        <v/>
      </c>
      <c r="G3764" s="106">
        <f>INDEX(SETORES!$B:$B,MATCH(A3764,SETORES!$A:$A,0))</f>
        <v/>
      </c>
      <c r="H3764" s="106" t="inlineStr">
        <is>
          <t>Novembro/2026</t>
        </is>
      </c>
    </row>
    <row r="3765">
      <c r="A3765" s="106" t="inlineStr">
        <is>
          <t>Administrativo</t>
        </is>
      </c>
      <c r="B3765" s="106" t="inlineStr">
        <is>
          <t>Custo Fixo</t>
        </is>
      </c>
      <c r="C3765" s="106" t="inlineStr">
        <is>
          <t>Software Power BI Dynamics (f001796)</t>
        </is>
      </c>
      <c r="D3765" s="107" t="n">
        <v>1</v>
      </c>
      <c r="E3765" s="108" t="n">
        <v>1787.09</v>
      </c>
      <c r="F3765" s="109">
        <f>IFERROR(D3765*E3765,0)</f>
        <v/>
      </c>
      <c r="G3765" s="106">
        <f>INDEX(SETORES!$B:$B,MATCH(A3765,SETORES!$A:$A,0))</f>
        <v/>
      </c>
      <c r="H3765" s="106" t="inlineStr">
        <is>
          <t>Novembro/2026</t>
        </is>
      </c>
    </row>
    <row r="3766">
      <c r="A3766" s="106" t="inlineStr">
        <is>
          <t>Engenharia</t>
        </is>
      </c>
      <c r="B3766" s="106" t="inlineStr">
        <is>
          <t>Custo Fixo</t>
        </is>
      </c>
      <c r="C3766" s="106" t="inlineStr">
        <is>
          <t>Software de geolocalização (Engenharia)</t>
        </is>
      </c>
      <c r="D3766" s="107" t="n"/>
      <c r="E3766" s="108" t="n"/>
      <c r="F3766" s="109">
        <f>IFERROR(D3766*E3766,0)</f>
        <v/>
      </c>
      <c r="G3766" s="106">
        <f>INDEX(SETORES!$B:$B,MATCH(A3766,SETORES!$A:$A,0))</f>
        <v/>
      </c>
      <c r="H3766" s="106" t="inlineStr">
        <is>
          <t>Novembro/2026</t>
        </is>
      </c>
    </row>
    <row r="3767">
      <c r="A3767" s="106" t="inlineStr">
        <is>
          <t>Logística</t>
        </is>
      </c>
      <c r="B3767" s="106" t="inlineStr">
        <is>
          <t>Custo Fixo</t>
        </is>
      </c>
      <c r="C3767" s="106" t="inlineStr">
        <is>
          <t>Software Full time (Logística)</t>
        </is>
      </c>
      <c r="D3767" s="107" t="n"/>
      <c r="E3767" s="108" t="n"/>
      <c r="F3767" s="109">
        <f>IFERROR(D3767*E3767,0)</f>
        <v/>
      </c>
      <c r="G3767" s="106">
        <f>INDEX(SETORES!$B:$B,MATCH(A3767,SETORES!$A:$A,0))</f>
        <v/>
      </c>
      <c r="H3767" s="106" t="inlineStr">
        <is>
          <t>Novembro/2026</t>
        </is>
      </c>
    </row>
    <row r="3768">
      <c r="A3768" s="106" t="inlineStr">
        <is>
          <t>Administrativo</t>
        </is>
      </c>
      <c r="B3768" s="106" t="inlineStr">
        <is>
          <t>Custo Fixo</t>
        </is>
      </c>
      <c r="C3768" s="106" t="inlineStr">
        <is>
          <t>Software de sistema eletronico de alarme (administrativo)</t>
        </is>
      </c>
      <c r="D3768" s="107" t="n"/>
      <c r="E3768" s="108" t="n"/>
      <c r="F3768" s="109">
        <f>IFERROR(D3768*E3768,0)</f>
        <v/>
      </c>
      <c r="G3768" s="106">
        <f>INDEX(SETORES!$B:$B,MATCH(A3768,SETORES!$A:$A,0))</f>
        <v/>
      </c>
      <c r="H3768" s="106" t="inlineStr">
        <is>
          <t>Novembro/2026</t>
        </is>
      </c>
    </row>
    <row r="3769">
      <c r="A3769" s="106" t="inlineStr">
        <is>
          <t>CAC</t>
        </is>
      </c>
      <c r="B3769" s="106" t="inlineStr">
        <is>
          <t>Custo Fixo</t>
        </is>
      </c>
      <c r="C3769" s="106" t="inlineStr">
        <is>
          <t>Material de escritório (suprimentos de informática)</t>
        </is>
      </c>
      <c r="D3769" s="107" t="n"/>
      <c r="E3769" s="108" t="n"/>
      <c r="F3769" s="109">
        <f>IFERROR(D3769*E3769,0)</f>
        <v/>
      </c>
      <c r="G3769" s="106">
        <f>INDEX(SETORES!$B:$B,MATCH(A3769,SETORES!$A:$A,0))</f>
        <v/>
      </c>
      <c r="H3769" s="106" t="inlineStr">
        <is>
          <t>Novembro/2026</t>
        </is>
      </c>
    </row>
    <row r="3770">
      <c r="A3770" s="106" t="inlineStr">
        <is>
          <t>CAC</t>
        </is>
      </c>
      <c r="B3770" s="106" t="inlineStr">
        <is>
          <t>Custo Fixo</t>
        </is>
      </c>
      <c r="C3770" s="106" t="inlineStr">
        <is>
          <t>Material de uso coletivo (copa/limpeza)</t>
        </is>
      </c>
      <c r="D3770" s="107" t="n"/>
      <c r="E3770" s="108" t="n"/>
      <c r="F3770" s="109">
        <f>IFERROR(D3770*E3770,0)</f>
        <v/>
      </c>
      <c r="G3770" s="106">
        <f>INDEX(SETORES!$B:$B,MATCH(A3770,SETORES!$A:$A,0))</f>
        <v/>
      </c>
      <c r="H3770" s="106" t="inlineStr">
        <is>
          <t>Novembro/2026</t>
        </is>
      </c>
    </row>
    <row r="3771">
      <c r="A3771" s="106" t="inlineStr">
        <is>
          <t>CAC</t>
        </is>
      </c>
      <c r="B3771" s="106" t="inlineStr">
        <is>
          <t>Custo Fixo</t>
        </is>
      </c>
      <c r="C3771" s="106" t="inlineStr">
        <is>
          <t>Energia elétrica (rateio)</t>
        </is>
      </c>
      <c r="D3771" s="107" t="n"/>
      <c r="E3771" s="108" t="n"/>
      <c r="F3771" s="109">
        <f>IFERROR(D3771*E3771,0)</f>
        <v/>
      </c>
      <c r="G3771" s="106">
        <f>INDEX(SETORES!$B:$B,MATCH(A3771,SETORES!$A:$A,0))</f>
        <v/>
      </c>
      <c r="H3771" s="106" t="inlineStr">
        <is>
          <t>Novembro/2026</t>
        </is>
      </c>
    </row>
    <row r="3772">
      <c r="A3772" s="106" t="inlineStr">
        <is>
          <t>CAC</t>
        </is>
      </c>
      <c r="B3772" s="106" t="inlineStr">
        <is>
          <t>Custo Fixo</t>
        </is>
      </c>
      <c r="C3772" s="106" t="inlineStr">
        <is>
          <t>Água e esgoto (rateio)</t>
        </is>
      </c>
      <c r="D3772" s="107" t="n"/>
      <c r="E3772" s="108" t="n"/>
      <c r="F3772" s="109">
        <f>IFERROR(D3772*E3772,0)</f>
        <v/>
      </c>
      <c r="G3772" s="106">
        <f>INDEX(SETORES!$B:$B,MATCH(A3772,SETORES!$A:$A,0))</f>
        <v/>
      </c>
      <c r="H3772" s="106" t="inlineStr">
        <is>
          <t>Novembro/2026</t>
        </is>
      </c>
    </row>
    <row r="3773">
      <c r="A3773" s="106" t="inlineStr">
        <is>
          <t>CAC</t>
        </is>
      </c>
      <c r="B3773" s="106" t="inlineStr">
        <is>
          <t>Custo Fixo</t>
        </is>
      </c>
      <c r="C3773" s="106" t="inlineStr">
        <is>
          <t>Telefonia móvel corporativa</t>
        </is>
      </c>
      <c r="D3773" s="107" t="n"/>
      <c r="E3773" s="108" t="n"/>
      <c r="F3773" s="109">
        <f>IFERROR(D3773*E3773,0)</f>
        <v/>
      </c>
      <c r="G3773" s="106">
        <f>INDEX(SETORES!$B:$B,MATCH(A3773,SETORES!$A:$A,0))</f>
        <v/>
      </c>
      <c r="H3773" s="106" t="inlineStr">
        <is>
          <t>Novembro/2026</t>
        </is>
      </c>
    </row>
    <row r="3774">
      <c r="A3774" s="106" t="inlineStr">
        <is>
          <t>CAC</t>
        </is>
      </c>
      <c r="B3774" s="106" t="inlineStr">
        <is>
          <t>Custo Fixo</t>
        </is>
      </c>
      <c r="C3774" s="106" t="inlineStr">
        <is>
          <t>Folha de pagamento (salários)</t>
        </is>
      </c>
      <c r="D3774" s="107" t="n">
        <v>1</v>
      </c>
      <c r="E3774" s="108" t="n">
        <v>21051.01</v>
      </c>
      <c r="F3774" s="109">
        <f>IFERROR(D3774*E3774,0)</f>
        <v/>
      </c>
      <c r="G3774" s="106">
        <f>INDEX(SETORES!$B:$B,MATCH(A3774,SETORES!$A:$A,0))</f>
        <v/>
      </c>
      <c r="H3774" s="106" t="inlineStr">
        <is>
          <t>Novembro/2026</t>
        </is>
      </c>
    </row>
    <row r="3775">
      <c r="A3775" s="106" t="inlineStr">
        <is>
          <t>CAC</t>
        </is>
      </c>
      <c r="B3775" s="106" t="inlineStr">
        <is>
          <t>Custo Variável</t>
        </is>
      </c>
      <c r="C3775" s="106" t="inlineStr">
        <is>
          <t>Fardamento novo</t>
        </is>
      </c>
      <c r="D3775" s="107" t="n"/>
      <c r="E3775" s="108" t="n"/>
      <c r="F3775" s="109">
        <f>IFERROR(D3775*E3775,0)</f>
        <v/>
      </c>
      <c r="G3775" s="106">
        <f>INDEX(SETORES!$B:$B,MATCH(A3775,SETORES!$A:$A,0))</f>
        <v/>
      </c>
      <c r="H3775" s="106" t="inlineStr">
        <is>
          <t>Novembro/2026</t>
        </is>
      </c>
    </row>
    <row r="3776">
      <c r="A3776" s="106" t="inlineStr">
        <is>
          <t>CAC</t>
        </is>
      </c>
      <c r="B3776" s="106" t="inlineStr">
        <is>
          <t>Custo Variável</t>
        </is>
      </c>
      <c r="C3776" s="106" t="inlineStr">
        <is>
          <t>Fardamento substituição</t>
        </is>
      </c>
      <c r="D3776" s="107" t="n"/>
      <c r="E3776" s="108" t="n"/>
      <c r="F3776" s="109">
        <f>IFERROR(D3776*E3776,0)</f>
        <v/>
      </c>
      <c r="G3776" s="106">
        <f>INDEX(SETORES!$B:$B,MATCH(A3776,SETORES!$A:$A,0))</f>
        <v/>
      </c>
      <c r="H3776" s="106" t="inlineStr">
        <is>
          <t>Novembro/2026</t>
        </is>
      </c>
    </row>
    <row r="3777">
      <c r="A3777" s="106" t="inlineStr">
        <is>
          <t>CAC</t>
        </is>
      </c>
      <c r="B3777" s="106" t="inlineStr">
        <is>
          <t>Custo Variável</t>
        </is>
      </c>
      <c r="C3777" s="106" t="inlineStr">
        <is>
          <t>Exames médicos</t>
        </is>
      </c>
      <c r="D3777" s="107" t="n"/>
      <c r="E3777" s="108" t="n"/>
      <c r="F3777" s="109">
        <f>IFERROR(D3777*E3777,0)</f>
        <v/>
      </c>
      <c r="G3777" s="106">
        <f>INDEX(SETORES!$B:$B,MATCH(A3777,SETORES!$A:$A,0))</f>
        <v/>
      </c>
      <c r="H3777" s="106" t="inlineStr">
        <is>
          <t>Novembro/2026</t>
        </is>
      </c>
    </row>
    <row r="3778">
      <c r="A3778" s="106" t="inlineStr">
        <is>
          <t>CAC</t>
        </is>
      </c>
      <c r="B3778" s="106" t="inlineStr">
        <is>
          <t>Custo Fixo</t>
        </is>
      </c>
      <c r="C3778" s="106" t="inlineStr">
        <is>
          <t>Licença de e-mail corporativo</t>
        </is>
      </c>
      <c r="D3778" s="107" t="n">
        <v>5</v>
      </c>
      <c r="E3778" s="108" t="n">
        <v>50</v>
      </c>
      <c r="F3778" s="109">
        <f>IFERROR(D3778*E3778,0)</f>
        <v/>
      </c>
      <c r="G3778" s="106">
        <f>INDEX(SETORES!$B:$B,MATCH(A3778,SETORES!$A:$A,0))</f>
        <v/>
      </c>
      <c r="H3778" s="106" t="inlineStr">
        <is>
          <t>Novembro/2026</t>
        </is>
      </c>
    </row>
    <row r="3779">
      <c r="A3779" s="106" t="inlineStr">
        <is>
          <t>CAC</t>
        </is>
      </c>
      <c r="B3779" s="106" t="inlineStr">
        <is>
          <t>Custo Fixo</t>
        </is>
      </c>
      <c r="C3779" s="106" t="inlineStr">
        <is>
          <t>Gympass</t>
        </is>
      </c>
      <c r="D3779" s="107" t="n"/>
      <c r="E3779" s="108" t="n"/>
      <c r="F3779" s="109">
        <f>IFERROR(D3779*E3779,0)</f>
        <v/>
      </c>
      <c r="G3779" s="106">
        <f>INDEX(SETORES!$B:$B,MATCH(A3779,SETORES!$A:$A,0))</f>
        <v/>
      </c>
      <c r="H3779" s="106" t="inlineStr">
        <is>
          <t>Novembro/2026</t>
        </is>
      </c>
    </row>
    <row r="3780">
      <c r="A3780" s="106" t="inlineStr">
        <is>
          <t>CAC</t>
        </is>
      </c>
      <c r="B3780" s="106" t="inlineStr">
        <is>
          <t>Custo Fixo</t>
        </is>
      </c>
      <c r="C3780" s="106" t="inlineStr">
        <is>
          <t>Stargrid</t>
        </is>
      </c>
      <c r="D3780" s="107" t="n">
        <v>5</v>
      </c>
      <c r="E3780" s="108" t="n">
        <v>1.87</v>
      </c>
      <c r="F3780" s="109">
        <f>IFERROR(D3780*E3780,0)</f>
        <v/>
      </c>
      <c r="G3780" s="106">
        <f>INDEX(SETORES!$B:$B,MATCH(A3780,SETORES!$A:$A,0))</f>
        <v/>
      </c>
      <c r="H3780" s="106" t="inlineStr">
        <is>
          <t>Novembro/2026</t>
        </is>
      </c>
    </row>
    <row r="3781">
      <c r="A3781" s="106" t="inlineStr">
        <is>
          <t>Cobrança</t>
        </is>
      </c>
      <c r="B3781" s="106" t="inlineStr">
        <is>
          <t>Custo Fixo</t>
        </is>
      </c>
      <c r="C3781" s="106" t="inlineStr">
        <is>
          <t>Material de escritório (suprimentos de informática)</t>
        </is>
      </c>
      <c r="D3781" s="107" t="n">
        <v>1</v>
      </c>
      <c r="E3781" s="108" t="n">
        <v>3.74</v>
      </c>
      <c r="F3781" s="109">
        <f>IFERROR(D3781*E3781,0)</f>
        <v/>
      </c>
      <c r="G3781" s="106">
        <f>INDEX(SETORES!$B:$B,MATCH(A3781,SETORES!$A:$A,0))</f>
        <v/>
      </c>
      <c r="H3781" s="106" t="inlineStr">
        <is>
          <t>Novembro/2026</t>
        </is>
      </c>
    </row>
    <row r="3782">
      <c r="A3782" s="106" t="inlineStr">
        <is>
          <t>Cobrança</t>
        </is>
      </c>
      <c r="B3782" s="106" t="inlineStr">
        <is>
          <t>Custo Fixo</t>
        </is>
      </c>
      <c r="C3782" s="106" t="inlineStr">
        <is>
          <t>Material de uso coletivo (copa/limpeza)</t>
        </is>
      </c>
      <c r="D3782" s="107" t="n">
        <v>1</v>
      </c>
      <c r="E3782" s="108" t="n">
        <v>657.21</v>
      </c>
      <c r="F3782" s="109">
        <f>IFERROR(D3782*E3782,0)</f>
        <v/>
      </c>
      <c r="G3782" s="106">
        <f>INDEX(SETORES!$B:$B,MATCH(A3782,SETORES!$A:$A,0))</f>
        <v/>
      </c>
      <c r="H3782" s="106" t="inlineStr">
        <is>
          <t>Novembro/2026</t>
        </is>
      </c>
    </row>
    <row r="3783">
      <c r="A3783" s="106" t="inlineStr">
        <is>
          <t>Cobrança</t>
        </is>
      </c>
      <c r="B3783" s="106" t="inlineStr">
        <is>
          <t>Custo Fixo</t>
        </is>
      </c>
      <c r="C3783" s="106" t="inlineStr">
        <is>
          <t>Energia elétrica (rateio)</t>
        </is>
      </c>
      <c r="D3783" s="107" t="n"/>
      <c r="E3783" s="108" t="n"/>
      <c r="F3783" s="109">
        <f>IFERROR(D3783*E3783,0)</f>
        <v/>
      </c>
      <c r="G3783" s="106">
        <f>INDEX(SETORES!$B:$B,MATCH(A3783,SETORES!$A:$A,0))</f>
        <v/>
      </c>
      <c r="H3783" s="106" t="inlineStr">
        <is>
          <t>Novembro/2026</t>
        </is>
      </c>
    </row>
    <row r="3784">
      <c r="A3784" s="106" t="inlineStr">
        <is>
          <t>Cobrança</t>
        </is>
      </c>
      <c r="B3784" s="106" t="inlineStr">
        <is>
          <t>Custo Fixo</t>
        </is>
      </c>
      <c r="C3784" s="106" t="inlineStr">
        <is>
          <t>Água e esgoto (rateio)</t>
        </is>
      </c>
      <c r="D3784" s="107" t="n"/>
      <c r="E3784" s="108" t="n"/>
      <c r="F3784" s="109">
        <f>IFERROR(D3784*E3784,0)</f>
        <v/>
      </c>
      <c r="G3784" s="106">
        <f>INDEX(SETORES!$B:$B,MATCH(A3784,SETORES!$A:$A,0))</f>
        <v/>
      </c>
      <c r="H3784" s="106" t="inlineStr">
        <is>
          <t>Novembro/2026</t>
        </is>
      </c>
    </row>
    <row r="3785">
      <c r="A3785" s="106" t="inlineStr">
        <is>
          <t>Cobrança</t>
        </is>
      </c>
      <c r="B3785" s="106" t="inlineStr">
        <is>
          <t>Custo Fixo</t>
        </is>
      </c>
      <c r="C3785" s="106" t="inlineStr">
        <is>
          <t>Telefonia móvel corporativa</t>
        </is>
      </c>
      <c r="D3785" s="107" t="n"/>
      <c r="E3785" s="108" t="n"/>
      <c r="F3785" s="109">
        <f>IFERROR(D3785*E3785,0)</f>
        <v/>
      </c>
      <c r="G3785" s="106">
        <f>INDEX(SETORES!$B:$B,MATCH(A3785,SETORES!$A:$A,0))</f>
        <v/>
      </c>
      <c r="H3785" s="106" t="inlineStr">
        <is>
          <t>Novembro/2026</t>
        </is>
      </c>
    </row>
    <row r="3786">
      <c r="A3786" s="106" t="inlineStr">
        <is>
          <t>Cobrança</t>
        </is>
      </c>
      <c r="B3786" s="106" t="inlineStr">
        <is>
          <t>Custo Fixo</t>
        </is>
      </c>
      <c r="C3786" s="106" t="inlineStr">
        <is>
          <t>Folha de pagamento (salários)</t>
        </is>
      </c>
      <c r="D3786" s="107" t="n">
        <v>1</v>
      </c>
      <c r="E3786" s="108" t="n">
        <v>42492.05</v>
      </c>
      <c r="F3786" s="109">
        <f>IFERROR(D3786*E3786,0)</f>
        <v/>
      </c>
      <c r="G3786" s="106">
        <f>INDEX(SETORES!$B:$B,MATCH(A3786,SETORES!$A:$A,0))</f>
        <v/>
      </c>
      <c r="H3786" s="106" t="inlineStr">
        <is>
          <t>Novembro/2026</t>
        </is>
      </c>
    </row>
    <row r="3787">
      <c r="A3787" s="106" t="inlineStr">
        <is>
          <t>Cobrança</t>
        </is>
      </c>
      <c r="B3787" s="106" t="inlineStr">
        <is>
          <t>Custo Variável</t>
        </is>
      </c>
      <c r="C3787" s="106" t="inlineStr">
        <is>
          <t>Fardamento novo</t>
        </is>
      </c>
      <c r="D3787" s="107" t="n"/>
      <c r="E3787" s="108" t="n"/>
      <c r="F3787" s="109">
        <f>IFERROR(D3787*E3787,0)</f>
        <v/>
      </c>
      <c r="G3787" s="106">
        <f>INDEX(SETORES!$B:$B,MATCH(A3787,SETORES!$A:$A,0))</f>
        <v/>
      </c>
      <c r="H3787" s="106" t="inlineStr">
        <is>
          <t>Novembro/2026</t>
        </is>
      </c>
    </row>
    <row r="3788">
      <c r="A3788" s="106" t="inlineStr">
        <is>
          <t>Cobrança</t>
        </is>
      </c>
      <c r="B3788" s="106" t="inlineStr">
        <is>
          <t>Custo Variável</t>
        </is>
      </c>
      <c r="C3788" s="106" t="inlineStr">
        <is>
          <t>Fardamento substituição</t>
        </is>
      </c>
      <c r="D3788" s="107" t="n"/>
      <c r="E3788" s="108" t="n"/>
      <c r="F3788" s="109">
        <f>IFERROR(D3788*E3788,0)</f>
        <v/>
      </c>
      <c r="G3788" s="106">
        <f>INDEX(SETORES!$B:$B,MATCH(A3788,SETORES!$A:$A,0))</f>
        <v/>
      </c>
      <c r="H3788" s="106" t="inlineStr">
        <is>
          <t>Novembro/2026</t>
        </is>
      </c>
    </row>
    <row r="3789">
      <c r="A3789" s="106" t="inlineStr">
        <is>
          <t>Cobrança</t>
        </is>
      </c>
      <c r="B3789" s="106" t="inlineStr">
        <is>
          <t>Custo Variável</t>
        </is>
      </c>
      <c r="C3789" s="106" t="inlineStr">
        <is>
          <t>Rescisões trabalhistas</t>
        </is>
      </c>
      <c r="D3789" s="107" t="n"/>
      <c r="E3789" s="108" t="n"/>
      <c r="F3789" s="109">
        <f>IFERROR(D3789*E3789,0)</f>
        <v/>
      </c>
      <c r="G3789" s="106">
        <f>INDEX(SETORES!$B:$B,MATCH(A3789,SETORES!$A:$A,0))</f>
        <v/>
      </c>
      <c r="H3789" s="106" t="inlineStr">
        <is>
          <t>Novembro/2026</t>
        </is>
      </c>
    </row>
    <row r="3790">
      <c r="A3790" s="106" t="inlineStr">
        <is>
          <t>Cobrança</t>
        </is>
      </c>
      <c r="B3790" s="106" t="inlineStr">
        <is>
          <t>Custo Fixo</t>
        </is>
      </c>
      <c r="C3790" s="106" t="inlineStr">
        <is>
          <t>Licença de e-mail corporativo</t>
        </is>
      </c>
      <c r="D3790" s="107" t="n">
        <v>13</v>
      </c>
      <c r="E3790" s="108" t="n">
        <v>50</v>
      </c>
      <c r="F3790" s="109">
        <f>IFERROR(D3790*E3790,0)</f>
        <v/>
      </c>
      <c r="G3790" s="106">
        <f>INDEX(SETORES!$B:$B,MATCH(A3790,SETORES!$A:$A,0))</f>
        <v/>
      </c>
      <c r="H3790" s="106" t="inlineStr">
        <is>
          <t>Novembro/2026</t>
        </is>
      </c>
    </row>
    <row r="3791">
      <c r="A3791" s="106" t="inlineStr">
        <is>
          <t>Cobrança</t>
        </is>
      </c>
      <c r="B3791" s="106" t="inlineStr">
        <is>
          <t>Custo Fixo</t>
        </is>
      </c>
      <c r="C3791" s="106" t="inlineStr">
        <is>
          <t>Software MATRIX (rateio equipe Relacionamento)</t>
        </is>
      </c>
      <c r="D3791" s="107" t="n"/>
      <c r="E3791" s="108" t="n"/>
      <c r="F3791" s="109">
        <f>IFERROR(D3791*E3791,0)</f>
        <v/>
      </c>
      <c r="G3791" s="106">
        <f>INDEX(SETORES!$B:$B,MATCH(A3791,SETORES!$A:$A,0))</f>
        <v/>
      </c>
      <c r="H3791" s="106" t="inlineStr">
        <is>
          <t>Novembro/2026</t>
        </is>
      </c>
    </row>
    <row r="3792">
      <c r="A3792" s="106" t="inlineStr">
        <is>
          <t>Cobrança</t>
        </is>
      </c>
      <c r="B3792" s="106" t="inlineStr">
        <is>
          <t>Custo Fixo</t>
        </is>
      </c>
      <c r="C3792" s="106" t="inlineStr">
        <is>
          <t>Impressora (rateio equipe Relacionamento)</t>
        </is>
      </c>
      <c r="D3792" s="107" t="n"/>
      <c r="E3792" s="108" t="n"/>
      <c r="F3792" s="109">
        <f>IFERROR(D3792*E3792,0)</f>
        <v/>
      </c>
      <c r="G3792" s="106">
        <f>INDEX(SETORES!$B:$B,MATCH(A3792,SETORES!$A:$A,0))</f>
        <v/>
      </c>
      <c r="H3792" s="106" t="inlineStr">
        <is>
          <t>Novembro/2026</t>
        </is>
      </c>
    </row>
    <row r="3793">
      <c r="A3793" s="106" t="inlineStr">
        <is>
          <t>Cobrança</t>
        </is>
      </c>
      <c r="B3793" s="106" t="inlineStr">
        <is>
          <t>Custo Fixo</t>
        </is>
      </c>
      <c r="C3793" s="106" t="inlineStr">
        <is>
          <t>Gympass</t>
        </is>
      </c>
      <c r="D3793" s="107" t="n"/>
      <c r="E3793" s="108" t="n"/>
      <c r="F3793" s="109">
        <f>IFERROR(D3793*E3793,0)</f>
        <v/>
      </c>
      <c r="G3793" s="106">
        <f>INDEX(SETORES!$B:$B,MATCH(A3793,SETORES!$A:$A,0))</f>
        <v/>
      </c>
      <c r="H3793" s="106" t="inlineStr">
        <is>
          <t>Novembro/2026</t>
        </is>
      </c>
    </row>
    <row r="3794">
      <c r="A3794" s="106" t="inlineStr">
        <is>
          <t>Cobrança</t>
        </is>
      </c>
      <c r="B3794" s="106" t="inlineStr">
        <is>
          <t>Custo Fixo</t>
        </is>
      </c>
      <c r="C3794" s="106" t="inlineStr">
        <is>
          <t>Stargrid</t>
        </is>
      </c>
      <c r="D3794" s="107" t="n">
        <v>13</v>
      </c>
      <c r="E3794" s="108" t="n">
        <v>1.87</v>
      </c>
      <c r="F3794" s="109">
        <f>IFERROR(D3794*E3794,0)</f>
        <v/>
      </c>
      <c r="G3794" s="106">
        <f>INDEX(SETORES!$B:$B,MATCH(A3794,SETORES!$A:$A,0))</f>
        <v/>
      </c>
      <c r="H3794" s="106" t="inlineStr">
        <is>
          <t>Novembro/2026</t>
        </is>
      </c>
    </row>
    <row r="3795">
      <c r="A3795" s="106" t="inlineStr">
        <is>
          <t>Comercial Corporativo</t>
        </is>
      </c>
      <c r="B3795" s="106" t="inlineStr">
        <is>
          <t>Custo Variável</t>
        </is>
      </c>
      <c r="C3795" s="106" t="inlineStr">
        <is>
          <t>Endomarketing</t>
        </is>
      </c>
      <c r="D3795" s="107" t="n"/>
      <c r="E3795" s="108" t="n"/>
      <c r="F3795" s="109">
        <f>IFERROR(D3795*E3795,0)</f>
        <v/>
      </c>
      <c r="G3795" s="106">
        <f>INDEX(SETORES!$B:$B,MATCH(A3795,SETORES!$A:$A,0))</f>
        <v/>
      </c>
      <c r="H3795" s="106" t="inlineStr">
        <is>
          <t>Novembro/2026</t>
        </is>
      </c>
    </row>
    <row r="3796">
      <c r="A3796" s="106" t="inlineStr">
        <is>
          <t>Comercial Corporativo</t>
        </is>
      </c>
      <c r="B3796" s="106" t="inlineStr">
        <is>
          <t>Custo Variável</t>
        </is>
      </c>
      <c r="C3796" s="106" t="inlineStr">
        <is>
          <t>Marketing direto</t>
        </is>
      </c>
      <c r="D3796" s="107" t="n"/>
      <c r="E3796" s="108" t="n"/>
      <c r="F3796" s="109">
        <f>IFERROR(D3796*E3796,0)</f>
        <v/>
      </c>
      <c r="G3796" s="106">
        <f>INDEX(SETORES!$B:$B,MATCH(A3796,SETORES!$A:$A,0))</f>
        <v/>
      </c>
      <c r="H3796" s="106" t="inlineStr">
        <is>
          <t>Novembro/2026</t>
        </is>
      </c>
    </row>
    <row r="3797">
      <c r="A3797" s="106" t="inlineStr">
        <is>
          <t>Comercial Corporativo</t>
        </is>
      </c>
      <c r="B3797" s="106" t="inlineStr">
        <is>
          <t>Custo Fixo</t>
        </is>
      </c>
      <c r="C3797" s="106" t="inlineStr">
        <is>
          <t>E-mail do departamento</t>
        </is>
      </c>
      <c r="D3797" s="107" t="n">
        <v>12</v>
      </c>
      <c r="E3797" s="108" t="n">
        <v>50</v>
      </c>
      <c r="F3797" s="109">
        <f>IFERROR(D3797*E3797,0)</f>
        <v/>
      </c>
      <c r="G3797" s="106">
        <f>INDEX(SETORES!$B:$B,MATCH(A3797,SETORES!$A:$A,0))</f>
        <v/>
      </c>
      <c r="H3797" s="106" t="inlineStr">
        <is>
          <t>Novembro/2026</t>
        </is>
      </c>
    </row>
    <row r="3798">
      <c r="A3798" s="106" t="inlineStr">
        <is>
          <t>Comercial Corporativo</t>
        </is>
      </c>
      <c r="B3798" s="106" t="inlineStr">
        <is>
          <t>Custo Fixo</t>
        </is>
      </c>
      <c r="C3798" s="106" t="inlineStr">
        <is>
          <t>Folha de pagamento (salários)</t>
        </is>
      </c>
      <c r="D3798" s="107" t="n">
        <v>1</v>
      </c>
      <c r="E3798" s="108" t="n">
        <v>189839.41</v>
      </c>
      <c r="F3798" s="109">
        <f>IFERROR(D3798*E3798,0)</f>
        <v/>
      </c>
      <c r="G3798" s="106">
        <f>INDEX(SETORES!$B:$B,MATCH(A3798,SETORES!$A:$A,0))</f>
        <v/>
      </c>
      <c r="H3798" s="106" t="inlineStr">
        <is>
          <t>Novembro/2026</t>
        </is>
      </c>
    </row>
    <row r="3799">
      <c r="A3799" s="106" t="inlineStr">
        <is>
          <t>Comercial Corporativo</t>
        </is>
      </c>
      <c r="B3799" s="106" t="inlineStr">
        <is>
          <t>Custo Fixo</t>
        </is>
      </c>
      <c r="C3799" s="106" t="inlineStr">
        <is>
          <t>Linhas moveis (FIQUE MÓVEL)</t>
        </is>
      </c>
      <c r="D3799" s="107" t="n"/>
      <c r="E3799" s="108" t="n"/>
      <c r="F3799" s="109">
        <f>IFERROR(D3799*E3799,0)</f>
        <v/>
      </c>
      <c r="G3799" s="106">
        <f>INDEX(SETORES!$B:$B,MATCH(A3799,SETORES!$A:$A,0))</f>
        <v/>
      </c>
      <c r="H3799" s="106" t="inlineStr">
        <is>
          <t>Novembro/2026</t>
        </is>
      </c>
    </row>
    <row r="3800">
      <c r="A3800" s="106" t="inlineStr">
        <is>
          <t>Comercial Corporativo</t>
        </is>
      </c>
      <c r="B3800" s="106" t="inlineStr">
        <is>
          <t>Custo Fixo</t>
        </is>
      </c>
      <c r="C3800" s="106" t="inlineStr">
        <is>
          <t>Despesas com RH</t>
        </is>
      </c>
      <c r="D3800" s="107" t="n">
        <v>12</v>
      </c>
      <c r="E3800" s="108" t="n">
        <v>32.55</v>
      </c>
      <c r="F3800" s="109">
        <f>IFERROR(D3800*E3800,0)</f>
        <v/>
      </c>
      <c r="G3800" s="106">
        <f>INDEX(SETORES!$B:$B,MATCH(A3800,SETORES!$A:$A,0))</f>
        <v/>
      </c>
      <c r="H3800" s="106" t="inlineStr">
        <is>
          <t>Novembro/2026</t>
        </is>
      </c>
    </row>
    <row r="3801">
      <c r="A3801" s="106" t="inlineStr">
        <is>
          <t>Comercial Corporativo</t>
        </is>
      </c>
      <c r="B3801" s="106" t="inlineStr">
        <is>
          <t>Custo Fixo</t>
        </is>
      </c>
      <c r="C3801" s="106" t="inlineStr">
        <is>
          <t>Despesas com DP</t>
        </is>
      </c>
      <c r="D3801" s="107" t="n">
        <v>12</v>
      </c>
      <c r="E3801" s="108" t="n">
        <v>52.09</v>
      </c>
      <c r="F3801" s="109">
        <f>IFERROR(D3801*E3801,0)</f>
        <v/>
      </c>
      <c r="G3801" s="106">
        <f>INDEX(SETORES!$B:$B,MATCH(A3801,SETORES!$A:$A,0))</f>
        <v/>
      </c>
      <c r="H3801" s="106" t="inlineStr">
        <is>
          <t>Novembro/2026</t>
        </is>
      </c>
    </row>
    <row r="3802">
      <c r="A3802" s="106" t="inlineStr">
        <is>
          <t>Comercial Corporativo</t>
        </is>
      </c>
      <c r="B3802" s="106" t="inlineStr">
        <is>
          <t>Custo Fixo</t>
        </is>
      </c>
      <c r="C3802" s="106" t="inlineStr">
        <is>
          <t>Despesas com SST</t>
        </is>
      </c>
      <c r="D3802" s="107" t="n">
        <v>12</v>
      </c>
      <c r="E3802" s="108" t="n">
        <v>52.35</v>
      </c>
      <c r="F3802" s="109">
        <f>IFERROR(D3802*E3802,0)</f>
        <v/>
      </c>
      <c r="G3802" s="106">
        <f>INDEX(SETORES!$B:$B,MATCH(A3802,SETORES!$A:$A,0))</f>
        <v/>
      </c>
      <c r="H3802" s="106" t="inlineStr">
        <is>
          <t>Novembro/2026</t>
        </is>
      </c>
    </row>
    <row r="3803">
      <c r="A3803" s="106" t="inlineStr">
        <is>
          <t>Comercial Corporativo</t>
        </is>
      </c>
      <c r="B3803" s="106" t="inlineStr">
        <is>
          <t>Custo Variável</t>
        </is>
      </c>
      <c r="C3803" s="106" t="inlineStr">
        <is>
          <t>Exames médicos</t>
        </is>
      </c>
      <c r="D3803" s="107" t="n"/>
      <c r="E3803" s="108" t="n"/>
      <c r="F3803" s="109">
        <f>IFERROR(D3803*E3803,0)</f>
        <v/>
      </c>
      <c r="G3803" s="106">
        <f>INDEX(SETORES!$B:$B,MATCH(A3803,SETORES!$A:$A,0))</f>
        <v/>
      </c>
      <c r="H3803" s="106" t="inlineStr">
        <is>
          <t>Novembro/2026</t>
        </is>
      </c>
    </row>
    <row r="3804">
      <c r="A3804" s="106" t="inlineStr">
        <is>
          <t>Comercial Corporativo</t>
        </is>
      </c>
      <c r="B3804" s="106" t="inlineStr">
        <is>
          <t>Custo Variável</t>
        </is>
      </c>
      <c r="C3804" s="106" t="inlineStr">
        <is>
          <t>Novo Fardamento</t>
        </is>
      </c>
      <c r="D3804" s="107" t="n">
        <v>1</v>
      </c>
      <c r="E3804" s="108" t="n">
        <v>90</v>
      </c>
      <c r="F3804" s="109">
        <f>IFERROR(D3804*E3804,0)</f>
        <v/>
      </c>
      <c r="G3804" s="106">
        <f>INDEX(SETORES!$B:$B,MATCH(A3804,SETORES!$A:$A,0))</f>
        <v/>
      </c>
      <c r="H3804" s="106" t="inlineStr">
        <is>
          <t>Novembro/2026</t>
        </is>
      </c>
    </row>
    <row r="3805">
      <c r="A3805" s="106" t="inlineStr">
        <is>
          <t>Comercial Corporativo</t>
        </is>
      </c>
      <c r="B3805" s="106" t="inlineStr">
        <is>
          <t>Custo Variável</t>
        </is>
      </c>
      <c r="C3805" s="106" t="inlineStr">
        <is>
          <t>Devolução de fardamento</t>
        </is>
      </c>
      <c r="D3805" s="107" t="n"/>
      <c r="E3805" s="108" t="n"/>
      <c r="F3805" s="109">
        <f>IFERROR(D3805*E3805,0)</f>
        <v/>
      </c>
      <c r="G3805" s="106">
        <f>INDEX(SETORES!$B:$B,MATCH(A3805,SETORES!$A:$A,0))</f>
        <v/>
      </c>
      <c r="H3805" s="106" t="inlineStr">
        <is>
          <t>Novembro/2026</t>
        </is>
      </c>
    </row>
    <row r="3806">
      <c r="A3806" s="106" t="inlineStr">
        <is>
          <t>Comercial Corporativo</t>
        </is>
      </c>
      <c r="B3806" s="106" t="inlineStr">
        <is>
          <t>Custo Variável</t>
        </is>
      </c>
      <c r="C3806" s="106" t="inlineStr">
        <is>
          <t>Substituição extra de Fardamento</t>
        </is>
      </c>
      <c r="D3806" s="107" t="n"/>
      <c r="E3806" s="108" t="n"/>
      <c r="F3806" s="109">
        <f>IFERROR(D3806*E3806,0)</f>
        <v/>
      </c>
      <c r="G3806" s="106">
        <f>INDEX(SETORES!$B:$B,MATCH(A3806,SETORES!$A:$A,0))</f>
        <v/>
      </c>
      <c r="H3806" s="106" t="inlineStr">
        <is>
          <t>Novembro/2026</t>
        </is>
      </c>
    </row>
    <row r="3807">
      <c r="A3807" s="106" t="inlineStr">
        <is>
          <t>Comercial Corporativo</t>
        </is>
      </c>
      <c r="B3807" s="106" t="inlineStr">
        <is>
          <t>Custo Variável</t>
        </is>
      </c>
      <c r="C3807" s="106" t="inlineStr">
        <is>
          <t>Consumo de combustível</t>
        </is>
      </c>
      <c r="D3807" s="107" t="n">
        <v>1</v>
      </c>
      <c r="E3807" s="108" t="n">
        <v>3995.53</v>
      </c>
      <c r="F3807" s="109">
        <f>IFERROR(D3807*E3807,0)</f>
        <v/>
      </c>
      <c r="G3807" s="106">
        <f>INDEX(SETORES!$B:$B,MATCH(A3807,SETORES!$A:$A,0))</f>
        <v/>
      </c>
      <c r="H3807" s="106" t="inlineStr">
        <is>
          <t>Novembro/2026</t>
        </is>
      </c>
    </row>
    <row r="3808">
      <c r="A3808" s="106" t="inlineStr">
        <is>
          <t>Comercial Corporativo</t>
        </is>
      </c>
      <c r="B3808" s="106" t="inlineStr">
        <is>
          <t>Custo Fixo</t>
        </is>
      </c>
      <c r="C3808" s="106" t="inlineStr">
        <is>
          <t>Gympass</t>
        </is>
      </c>
      <c r="D3808" s="107" t="n"/>
      <c r="E3808" s="108" t="n"/>
      <c r="F3808" s="109">
        <f>IFERROR(D3808*E3808,0)</f>
        <v/>
      </c>
      <c r="G3808" s="106">
        <f>INDEX(SETORES!$B:$B,MATCH(A3808,SETORES!$A:$A,0))</f>
        <v/>
      </c>
      <c r="H3808" s="106" t="inlineStr">
        <is>
          <t>Novembro/2026</t>
        </is>
      </c>
    </row>
    <row r="3809">
      <c r="A3809" s="106" t="inlineStr">
        <is>
          <t>Comercial Corporativo</t>
        </is>
      </c>
      <c r="B3809" s="106" t="inlineStr">
        <is>
          <t>Custo Fixo</t>
        </is>
      </c>
      <c r="C3809" s="106" t="inlineStr">
        <is>
          <t>Stargrid</t>
        </is>
      </c>
      <c r="D3809" s="107" t="n">
        <v>12</v>
      </c>
      <c r="E3809" s="108" t="n">
        <v>1.87</v>
      </c>
      <c r="F3809" s="109">
        <f>IFERROR(D3809*E3809,0)</f>
        <v/>
      </c>
      <c r="G3809" s="106">
        <f>INDEX(SETORES!$B:$B,MATCH(A3809,SETORES!$A:$A,0))</f>
        <v/>
      </c>
      <c r="H3809" s="106" t="inlineStr">
        <is>
          <t>Novembro/2026</t>
        </is>
      </c>
    </row>
    <row r="3810">
      <c r="A3810" s="106" t="inlineStr">
        <is>
          <t>Comercial Corporativo</t>
        </is>
      </c>
      <c r="B3810" s="106" t="inlineStr">
        <is>
          <t>Custo Variável</t>
        </is>
      </c>
      <c r="C3810" s="106" t="inlineStr">
        <is>
          <t>Rescisões/Despesas Trabalhistas extra folha</t>
        </is>
      </c>
      <c r="D3810" s="107" t="n"/>
      <c r="E3810" s="108" t="n"/>
      <c r="F3810" s="109">
        <f>IFERROR(D3810*E3810,0)</f>
        <v/>
      </c>
      <c r="G3810" s="106">
        <f>INDEX(SETORES!$B:$B,MATCH(A3810,SETORES!$A:$A,0))</f>
        <v/>
      </c>
      <c r="H3810" s="106" t="inlineStr">
        <is>
          <t>Novembro/2026</t>
        </is>
      </c>
    </row>
    <row r="3811">
      <c r="A3811" s="106" t="inlineStr">
        <is>
          <t>Comercial Corporativo</t>
        </is>
      </c>
      <c r="B3811" s="106" t="inlineStr">
        <is>
          <t>Custo Fixo</t>
        </is>
      </c>
      <c r="C3811" s="106" t="inlineStr">
        <is>
          <t>Datlo</t>
        </is>
      </c>
      <c r="D3811" s="107" t="n">
        <v>1</v>
      </c>
      <c r="E3811" s="108" t="n">
        <v>2997</v>
      </c>
      <c r="F3811" s="109">
        <f>IFERROR(D3811*E3811,0)</f>
        <v/>
      </c>
      <c r="G3811" s="106">
        <f>INDEX(SETORES!$B:$B,MATCH(A3811,SETORES!$A:$A,0))</f>
        <v/>
      </c>
      <c r="H3811" s="106" t="inlineStr">
        <is>
          <t>Novembro/2026</t>
        </is>
      </c>
    </row>
    <row r="3812">
      <c r="A3812" s="106" t="inlineStr">
        <is>
          <t>Comercial Corporativo</t>
        </is>
      </c>
      <c r="B3812" s="106" t="inlineStr">
        <is>
          <t>Custo Fixo</t>
        </is>
      </c>
      <c r="C3812" s="106" t="inlineStr">
        <is>
          <t>Agendor (válido por 3 meses)</t>
        </is>
      </c>
      <c r="D3812" s="107" t="n">
        <v>1</v>
      </c>
      <c r="E3812" s="108" t="n">
        <v>545.99</v>
      </c>
      <c r="F3812" s="109">
        <f>IFERROR(D3812*E3812,0)</f>
        <v/>
      </c>
      <c r="G3812" s="106">
        <f>INDEX(SETORES!$B:$B,MATCH(A3812,SETORES!$A:$A,0))</f>
        <v/>
      </c>
      <c r="H3812" s="106" t="inlineStr">
        <is>
          <t>Novembro/2026</t>
        </is>
      </c>
    </row>
    <row r="3813">
      <c r="A3813" s="106" t="inlineStr">
        <is>
          <t>Comercial Corporativo</t>
        </is>
      </c>
      <c r="B3813" s="106" t="inlineStr">
        <is>
          <t>Custo Fixo</t>
        </is>
      </c>
      <c r="C3813" s="106" t="inlineStr">
        <is>
          <t>Dynamics (f001796)</t>
        </is>
      </c>
      <c r="D3813" s="107" t="n"/>
      <c r="E3813" s="108" t="n"/>
      <c r="F3813" s="109">
        <f>IFERROR(D3813*E3813,0)</f>
        <v/>
      </c>
      <c r="G3813" s="106">
        <f>INDEX(SETORES!$B:$B,MATCH(A3813,SETORES!$A:$A,0))</f>
        <v/>
      </c>
      <c r="H3813" s="106" t="inlineStr">
        <is>
          <t>Novembro/2026</t>
        </is>
      </c>
    </row>
    <row r="3814">
      <c r="A3814" s="106" t="inlineStr">
        <is>
          <t>Comercial Corporativo</t>
        </is>
      </c>
      <c r="B3814" s="106" t="inlineStr">
        <is>
          <t>Custo Fixo</t>
        </is>
      </c>
      <c r="C3814" s="106" t="inlineStr">
        <is>
          <t>Salesforce</t>
        </is>
      </c>
      <c r="D3814" s="107" t="n">
        <v>1</v>
      </c>
      <c r="E3814" s="108" t="n">
        <v>3042.34</v>
      </c>
      <c r="F3814" s="109">
        <f>IFERROR(D3814*E3814,0)</f>
        <v/>
      </c>
      <c r="G3814" s="106">
        <f>INDEX(SETORES!$B:$B,MATCH(A3814,SETORES!$A:$A,0))</f>
        <v/>
      </c>
      <c r="H3814" s="106" t="inlineStr">
        <is>
          <t>Novembro/2026</t>
        </is>
      </c>
    </row>
    <row r="3815">
      <c r="A3815" s="106" t="inlineStr">
        <is>
          <t>Compras</t>
        </is>
      </c>
      <c r="B3815" s="106" t="inlineStr">
        <is>
          <t>Custo Fixo</t>
        </is>
      </c>
      <c r="C3815" s="106" t="inlineStr">
        <is>
          <t>Material de escritório (suprimentos de informática)</t>
        </is>
      </c>
      <c r="D3815" s="107" t="n"/>
      <c r="E3815" s="108" t="n"/>
      <c r="F3815" s="109">
        <f>IFERROR(D3815*E3815,0)</f>
        <v/>
      </c>
      <c r="G3815" s="106">
        <f>INDEX(SETORES!$B:$B,MATCH(A3815,SETORES!$A:$A,0))</f>
        <v/>
      </c>
      <c r="H3815" s="106" t="inlineStr">
        <is>
          <t>Novembro/2026</t>
        </is>
      </c>
    </row>
    <row r="3816">
      <c r="A3816" s="106" t="inlineStr">
        <is>
          <t>Compras</t>
        </is>
      </c>
      <c r="B3816" s="106" t="inlineStr">
        <is>
          <t>Custo Fixo</t>
        </is>
      </c>
      <c r="C3816" s="106" t="inlineStr">
        <is>
          <t>Material de uso coletivo (copa/limpeza)</t>
        </is>
      </c>
      <c r="D3816" s="107" t="n"/>
      <c r="E3816" s="108" t="n"/>
      <c r="F3816" s="109">
        <f>IFERROR(D3816*E3816,0)</f>
        <v/>
      </c>
      <c r="G3816" s="106">
        <f>INDEX(SETORES!$B:$B,MATCH(A3816,SETORES!$A:$A,0))</f>
        <v/>
      </c>
      <c r="H3816" s="106" t="inlineStr">
        <is>
          <t>Novembro/2026</t>
        </is>
      </c>
    </row>
    <row r="3817">
      <c r="A3817" s="106" t="inlineStr">
        <is>
          <t>Compras</t>
        </is>
      </c>
      <c r="B3817" s="106" t="inlineStr">
        <is>
          <t>Custo Fixo</t>
        </is>
      </c>
      <c r="C3817" s="106" t="inlineStr">
        <is>
          <t>Energia elétrica (rateio)</t>
        </is>
      </c>
      <c r="D3817" s="107" t="n"/>
      <c r="E3817" s="108" t="n"/>
      <c r="F3817" s="109">
        <f>IFERROR(D3817*E3817,0)</f>
        <v/>
      </c>
      <c r="G3817" s="106">
        <f>INDEX(SETORES!$B:$B,MATCH(A3817,SETORES!$A:$A,0))</f>
        <v/>
      </c>
      <c r="H3817" s="106" t="inlineStr">
        <is>
          <t>Novembro/2026</t>
        </is>
      </c>
    </row>
    <row r="3818">
      <c r="A3818" s="106" t="inlineStr">
        <is>
          <t>Compras</t>
        </is>
      </c>
      <c r="B3818" s="106" t="inlineStr">
        <is>
          <t>Custo Fixo</t>
        </is>
      </c>
      <c r="C3818" s="106" t="inlineStr">
        <is>
          <t>Água e esgoto (rateio)</t>
        </is>
      </c>
      <c r="D3818" s="107" t="n"/>
      <c r="E3818" s="108" t="n"/>
      <c r="F3818" s="109">
        <f>IFERROR(D3818*E3818,0)</f>
        <v/>
      </c>
      <c r="G3818" s="106">
        <f>INDEX(SETORES!$B:$B,MATCH(A3818,SETORES!$A:$A,0))</f>
        <v/>
      </c>
      <c r="H3818" s="106" t="inlineStr">
        <is>
          <t>Novembro/2026</t>
        </is>
      </c>
    </row>
    <row r="3819">
      <c r="A3819" s="106" t="inlineStr">
        <is>
          <t>Compras</t>
        </is>
      </c>
      <c r="B3819" s="106" t="inlineStr">
        <is>
          <t>Custo Fixo</t>
        </is>
      </c>
      <c r="C3819" s="106" t="inlineStr">
        <is>
          <t>Telefonia móvel corporativa</t>
        </is>
      </c>
      <c r="D3819" s="107" t="n"/>
      <c r="E3819" s="108" t="n"/>
      <c r="F3819" s="109">
        <f>IFERROR(D3819*E3819,0)</f>
        <v/>
      </c>
      <c r="G3819" s="106">
        <f>INDEX(SETORES!$B:$B,MATCH(A3819,SETORES!$A:$A,0))</f>
        <v/>
      </c>
      <c r="H3819" s="106" t="inlineStr">
        <is>
          <t>Novembro/2026</t>
        </is>
      </c>
    </row>
    <row r="3820">
      <c r="A3820" s="106" t="inlineStr">
        <is>
          <t>Compras</t>
        </is>
      </c>
      <c r="B3820" s="106" t="inlineStr">
        <is>
          <t>Custo Fixo</t>
        </is>
      </c>
      <c r="C3820" s="106" t="inlineStr">
        <is>
          <t>Folha de pagamento (salários)</t>
        </is>
      </c>
      <c r="D3820" s="107" t="n">
        <v>1</v>
      </c>
      <c r="E3820" s="108" t="n">
        <v>24935.86</v>
      </c>
      <c r="F3820" s="109">
        <f>IFERROR(D3820*E3820,0)</f>
        <v/>
      </c>
      <c r="G3820" s="106">
        <f>INDEX(SETORES!$B:$B,MATCH(A3820,SETORES!$A:$A,0))</f>
        <v/>
      </c>
      <c r="H3820" s="106" t="inlineStr">
        <is>
          <t>Novembro/2026</t>
        </is>
      </c>
    </row>
    <row r="3821">
      <c r="A3821" s="106" t="inlineStr">
        <is>
          <t>Compras</t>
        </is>
      </c>
      <c r="B3821" s="106" t="inlineStr">
        <is>
          <t>Custo Variável</t>
        </is>
      </c>
      <c r="C3821" s="106" t="inlineStr">
        <is>
          <t>Rateio de transporte coletivo</t>
        </is>
      </c>
      <c r="D3821" s="107" t="n"/>
      <c r="E3821" s="108" t="n"/>
      <c r="F3821" s="109">
        <f>IFERROR(D3821*E3821,0)</f>
        <v/>
      </c>
      <c r="G3821" s="106">
        <f>INDEX(SETORES!$B:$B,MATCH(A3821,SETORES!$A:$A,0))</f>
        <v/>
      </c>
      <c r="H3821" s="106" t="inlineStr">
        <is>
          <t>Novembro/2026</t>
        </is>
      </c>
    </row>
    <row r="3822">
      <c r="A3822" s="106" t="inlineStr">
        <is>
          <t>Compras</t>
        </is>
      </c>
      <c r="B3822" s="106" t="inlineStr">
        <is>
          <t>Custo Fixo</t>
        </is>
      </c>
      <c r="C3822" s="106" t="inlineStr">
        <is>
          <t>Licença de e-mail corporativo</t>
        </is>
      </c>
      <c r="D3822" s="107" t="n">
        <v>5</v>
      </c>
      <c r="E3822" s="108" t="n">
        <v>50</v>
      </c>
      <c r="F3822" s="109">
        <f>IFERROR(D3822*E3822,0)</f>
        <v/>
      </c>
      <c r="G3822" s="106">
        <f>INDEX(SETORES!$B:$B,MATCH(A3822,SETORES!$A:$A,0))</f>
        <v/>
      </c>
      <c r="H3822" s="106" t="inlineStr">
        <is>
          <t>Novembro/2026</t>
        </is>
      </c>
    </row>
    <row r="3823">
      <c r="A3823" s="106" t="inlineStr">
        <is>
          <t>Compras</t>
        </is>
      </c>
      <c r="B3823" s="106" t="inlineStr">
        <is>
          <t>Custo Fixo</t>
        </is>
      </c>
      <c r="C3823" s="106" t="inlineStr">
        <is>
          <t>Impressora</t>
        </is>
      </c>
      <c r="D3823" s="107" t="n"/>
      <c r="E3823" s="108" t="n"/>
      <c r="F3823" s="109">
        <f>IFERROR(D3823*E3823,0)</f>
        <v/>
      </c>
      <c r="G3823" s="106">
        <f>INDEX(SETORES!$B:$B,MATCH(A3823,SETORES!$A:$A,0))</f>
        <v/>
      </c>
      <c r="H3823" s="106" t="inlineStr">
        <is>
          <t>Novembro/2026</t>
        </is>
      </c>
    </row>
    <row r="3824">
      <c r="A3824" s="106" t="inlineStr">
        <is>
          <t>Compras</t>
        </is>
      </c>
      <c r="B3824" s="106" t="inlineStr">
        <is>
          <t>Custo Fixo</t>
        </is>
      </c>
      <c r="C3824" s="106" t="inlineStr">
        <is>
          <t>Gympass</t>
        </is>
      </c>
      <c r="D3824" s="107" t="n"/>
      <c r="E3824" s="108" t="n"/>
      <c r="F3824" s="109">
        <f>IFERROR(D3824*E3824,0)</f>
        <v/>
      </c>
      <c r="G3824" s="106">
        <f>INDEX(SETORES!$B:$B,MATCH(A3824,SETORES!$A:$A,0))</f>
        <v/>
      </c>
      <c r="H3824" s="106" t="inlineStr">
        <is>
          <t>Novembro/2026</t>
        </is>
      </c>
    </row>
    <row r="3825">
      <c r="A3825" s="106" t="inlineStr">
        <is>
          <t>Compras</t>
        </is>
      </c>
      <c r="B3825" s="106" t="inlineStr">
        <is>
          <t>Custo Fixo</t>
        </is>
      </c>
      <c r="C3825" s="106" t="inlineStr">
        <is>
          <t>Stargrid</t>
        </is>
      </c>
      <c r="D3825" s="107" t="n">
        <v>5</v>
      </c>
      <c r="E3825" s="108" t="n">
        <v>1.87</v>
      </c>
      <c r="F3825" s="109">
        <f>IFERROR(D3825*E3825,0)</f>
        <v/>
      </c>
      <c r="G3825" s="106">
        <f>INDEX(SETORES!$B:$B,MATCH(A3825,SETORES!$A:$A,0))</f>
        <v/>
      </c>
      <c r="H3825" s="106" t="inlineStr">
        <is>
          <t>Novembro/2026</t>
        </is>
      </c>
    </row>
    <row r="3826">
      <c r="A3826" s="106" t="inlineStr">
        <is>
          <t>Contabilidade</t>
        </is>
      </c>
      <c r="B3826" s="106" t="inlineStr">
        <is>
          <t>Custo Fixo</t>
        </is>
      </c>
      <c r="C3826" s="106" t="inlineStr">
        <is>
          <t>Material de escritório (suprimentos de informática)</t>
        </is>
      </c>
      <c r="D3826" s="107" t="n"/>
      <c r="E3826" s="108" t="n"/>
      <c r="F3826" s="109">
        <f>IFERROR(D3826*E3826,0)</f>
        <v/>
      </c>
      <c r="G3826" s="106">
        <f>INDEX(SETORES!$B:$B,MATCH(A3826,SETORES!$A:$A,0))</f>
        <v/>
      </c>
      <c r="H3826" s="106" t="inlineStr">
        <is>
          <t>Novembro/2026</t>
        </is>
      </c>
    </row>
    <row r="3827">
      <c r="A3827" s="106" t="inlineStr">
        <is>
          <t>Contabilidade</t>
        </is>
      </c>
      <c r="B3827" s="106" t="inlineStr">
        <is>
          <t>Custo Fixo</t>
        </is>
      </c>
      <c r="C3827" s="106" t="inlineStr">
        <is>
          <t>Material de uso coletivo (copa/limpeza)</t>
        </is>
      </c>
      <c r="D3827" s="107" t="n">
        <v>1</v>
      </c>
      <c r="E3827" s="108" t="n">
        <v>241.44</v>
      </c>
      <c r="F3827" s="109">
        <f>IFERROR(D3827*E3827,0)</f>
        <v/>
      </c>
      <c r="G3827" s="106">
        <f>INDEX(SETORES!$B:$B,MATCH(A3827,SETORES!$A:$A,0))</f>
        <v/>
      </c>
      <c r="H3827" s="106" t="inlineStr">
        <is>
          <t>Novembro/2026</t>
        </is>
      </c>
    </row>
    <row r="3828">
      <c r="A3828" s="106" t="inlineStr">
        <is>
          <t>Contabilidade</t>
        </is>
      </c>
      <c r="B3828" s="106" t="inlineStr">
        <is>
          <t>Custo Fixo</t>
        </is>
      </c>
      <c r="C3828" s="106" t="inlineStr">
        <is>
          <t>Energia elétrica (rateio)</t>
        </is>
      </c>
      <c r="D3828" s="107" t="n"/>
      <c r="E3828" s="108" t="n"/>
      <c r="F3828" s="109">
        <f>IFERROR(D3828*E3828,0)</f>
        <v/>
      </c>
      <c r="G3828" s="106">
        <f>INDEX(SETORES!$B:$B,MATCH(A3828,SETORES!$A:$A,0))</f>
        <v/>
      </c>
      <c r="H3828" s="106" t="inlineStr">
        <is>
          <t>Novembro/2026</t>
        </is>
      </c>
    </row>
    <row r="3829">
      <c r="A3829" s="106" t="inlineStr">
        <is>
          <t>Contabilidade</t>
        </is>
      </c>
      <c r="B3829" s="106" t="inlineStr">
        <is>
          <t>Custo Fixo</t>
        </is>
      </c>
      <c r="C3829" s="106" t="inlineStr">
        <is>
          <t>Água e esgoto (rateio)</t>
        </is>
      </c>
      <c r="D3829" s="107" t="n"/>
      <c r="E3829" s="108" t="n"/>
      <c r="F3829" s="109">
        <f>IFERROR(D3829*E3829,0)</f>
        <v/>
      </c>
      <c r="G3829" s="106">
        <f>INDEX(SETORES!$B:$B,MATCH(A3829,SETORES!$A:$A,0))</f>
        <v/>
      </c>
      <c r="H3829" s="106" t="inlineStr">
        <is>
          <t>Novembro/2026</t>
        </is>
      </c>
    </row>
    <row r="3830">
      <c r="A3830" s="106" t="inlineStr">
        <is>
          <t>Contabilidade</t>
        </is>
      </c>
      <c r="B3830" s="106" t="inlineStr">
        <is>
          <t>Custo Fixo</t>
        </is>
      </c>
      <c r="C3830" s="106" t="inlineStr">
        <is>
          <t>Telefonia móvel corporativa</t>
        </is>
      </c>
      <c r="D3830" s="107" t="n"/>
      <c r="E3830" s="108" t="n"/>
      <c r="F3830" s="109">
        <f>IFERROR(D3830*E3830,0)</f>
        <v/>
      </c>
      <c r="G3830" s="106">
        <f>INDEX(SETORES!$B:$B,MATCH(A3830,SETORES!$A:$A,0))</f>
        <v/>
      </c>
      <c r="H3830" s="106" t="inlineStr">
        <is>
          <t>Novembro/2026</t>
        </is>
      </c>
    </row>
    <row r="3831">
      <c r="A3831" s="106" t="inlineStr">
        <is>
          <t>Contabilidade</t>
        </is>
      </c>
      <c r="B3831" s="106" t="inlineStr">
        <is>
          <t>Custo Fixo</t>
        </is>
      </c>
      <c r="C3831" s="106" t="inlineStr">
        <is>
          <t>Folha de pagamento (salários)</t>
        </is>
      </c>
      <c r="D3831" s="107" t="n">
        <v>1</v>
      </c>
      <c r="E3831" s="108" t="n">
        <v>36209.58</v>
      </c>
      <c r="F3831" s="109">
        <f>IFERROR(D3831*E3831,0)</f>
        <v/>
      </c>
      <c r="G3831" s="106">
        <f>INDEX(SETORES!$B:$B,MATCH(A3831,SETORES!$A:$A,0))</f>
        <v/>
      </c>
      <c r="H3831" s="106" t="inlineStr">
        <is>
          <t>Novembro/2026</t>
        </is>
      </c>
    </row>
    <row r="3832">
      <c r="A3832" s="106" t="inlineStr">
        <is>
          <t>Contabilidade</t>
        </is>
      </c>
      <c r="B3832" s="106" t="inlineStr">
        <is>
          <t>Custo Variável</t>
        </is>
      </c>
      <c r="C3832" s="106" t="inlineStr">
        <is>
          <t>Auditoria contábil externa (fiber finance)</t>
        </is>
      </c>
      <c r="D3832" s="107" t="n"/>
      <c r="E3832" s="108" t="n"/>
      <c r="F3832" s="109">
        <f>IFERROR(D3832*E3832,0)</f>
        <v/>
      </c>
      <c r="G3832" s="106">
        <f>INDEX(SETORES!$B:$B,MATCH(A3832,SETORES!$A:$A,0))</f>
        <v/>
      </c>
      <c r="H3832" s="106" t="inlineStr">
        <is>
          <t>Novembro/2026</t>
        </is>
      </c>
    </row>
    <row r="3833">
      <c r="A3833" s="106" t="inlineStr">
        <is>
          <t>Contabilidade</t>
        </is>
      </c>
      <c r="B3833" s="106" t="inlineStr">
        <is>
          <t>Custo Variável</t>
        </is>
      </c>
      <c r="C3833" s="106" t="inlineStr">
        <is>
          <t>Fardamento novo</t>
        </is>
      </c>
      <c r="D3833" s="107" t="n">
        <v>1</v>
      </c>
      <c r="E3833" s="108" t="n">
        <v>90</v>
      </c>
      <c r="F3833" s="109">
        <f>IFERROR(D3833*E3833,0)</f>
        <v/>
      </c>
      <c r="G3833" s="106">
        <f>INDEX(SETORES!$B:$B,MATCH(A3833,SETORES!$A:$A,0))</f>
        <v/>
      </c>
      <c r="H3833" s="106" t="inlineStr">
        <is>
          <t>Novembro/2026</t>
        </is>
      </c>
    </row>
    <row r="3834">
      <c r="A3834" s="106" t="inlineStr">
        <is>
          <t>Contabilidade</t>
        </is>
      </c>
      <c r="B3834" s="106" t="inlineStr">
        <is>
          <t>Custo Variável</t>
        </is>
      </c>
      <c r="C3834" s="106" t="inlineStr">
        <is>
          <t>Fardamento substituição</t>
        </is>
      </c>
      <c r="D3834" s="107" t="n"/>
      <c r="E3834" s="108" t="n"/>
      <c r="F3834" s="109">
        <f>IFERROR(D3834*E3834,0)</f>
        <v/>
      </c>
      <c r="G3834" s="106">
        <f>INDEX(SETORES!$B:$B,MATCH(A3834,SETORES!$A:$A,0))</f>
        <v/>
      </c>
      <c r="H3834" s="106" t="inlineStr">
        <is>
          <t>Novembro/2026</t>
        </is>
      </c>
    </row>
    <row r="3835">
      <c r="A3835" s="106" t="inlineStr">
        <is>
          <t>Contabilidade</t>
        </is>
      </c>
      <c r="B3835" s="106" t="inlineStr">
        <is>
          <t>Custo Variável</t>
        </is>
      </c>
      <c r="C3835" s="106" t="inlineStr">
        <is>
          <t>Rescisões trabalhistas</t>
        </is>
      </c>
      <c r="D3835" s="107" t="n"/>
      <c r="E3835" s="108" t="n"/>
      <c r="F3835" s="109">
        <f>IFERROR(D3835*E3835,0)</f>
        <v/>
      </c>
      <c r="G3835" s="106">
        <f>INDEX(SETORES!$B:$B,MATCH(A3835,SETORES!$A:$A,0))</f>
        <v/>
      </c>
      <c r="H3835" s="106" t="inlineStr">
        <is>
          <t>Novembro/2026</t>
        </is>
      </c>
    </row>
    <row r="3836">
      <c r="A3836" s="106" t="inlineStr">
        <is>
          <t>Contabilidade</t>
        </is>
      </c>
      <c r="B3836" s="106" t="inlineStr">
        <is>
          <t>Custo Fixo</t>
        </is>
      </c>
      <c r="C3836" s="106" t="inlineStr">
        <is>
          <t>Licença de e-mail corporativo</t>
        </is>
      </c>
      <c r="D3836" s="107" t="n">
        <v>6</v>
      </c>
      <c r="E3836" s="108" t="n">
        <v>50</v>
      </c>
      <c r="F3836" s="109">
        <f>IFERROR(D3836*E3836,0)</f>
        <v/>
      </c>
      <c r="G3836" s="106">
        <f>INDEX(SETORES!$B:$B,MATCH(A3836,SETORES!$A:$A,0))</f>
        <v/>
      </c>
      <c r="H3836" s="106" t="inlineStr">
        <is>
          <t>Novembro/2026</t>
        </is>
      </c>
    </row>
    <row r="3837">
      <c r="A3837" s="106" t="inlineStr">
        <is>
          <t>Contabilidade</t>
        </is>
      </c>
      <c r="B3837" s="106" t="inlineStr">
        <is>
          <t>Custo Fixo</t>
        </is>
      </c>
      <c r="C3837" s="106" t="inlineStr">
        <is>
          <t>Gympass</t>
        </is>
      </c>
      <c r="D3837" s="107" t="n"/>
      <c r="E3837" s="108" t="n"/>
      <c r="F3837" s="109">
        <f>IFERROR(D3837*E3837,0)</f>
        <v/>
      </c>
      <c r="G3837" s="106">
        <f>INDEX(SETORES!$B:$B,MATCH(A3837,SETORES!$A:$A,0))</f>
        <v/>
      </c>
      <c r="H3837" s="106" t="inlineStr">
        <is>
          <t>Novembro/2026</t>
        </is>
      </c>
    </row>
    <row r="3838">
      <c r="A3838" s="106" t="inlineStr">
        <is>
          <t>Contabilidade</t>
        </is>
      </c>
      <c r="B3838" s="106" t="inlineStr">
        <is>
          <t>Custo Fixo</t>
        </is>
      </c>
      <c r="C3838" s="106" t="inlineStr">
        <is>
          <t>Stargrid</t>
        </is>
      </c>
      <c r="D3838" s="107" t="n">
        <v>6</v>
      </c>
      <c r="E3838" s="108" t="n">
        <v>1.87</v>
      </c>
      <c r="F3838" s="109">
        <f>IFERROR(D3838*E3838,0)</f>
        <v/>
      </c>
      <c r="G3838" s="106">
        <f>INDEX(SETORES!$B:$B,MATCH(A3838,SETORES!$A:$A,0))</f>
        <v/>
      </c>
      <c r="H3838" s="106" t="inlineStr">
        <is>
          <t>Novembro/2026</t>
        </is>
      </c>
    </row>
    <row r="3839">
      <c r="A3839" s="106" t="inlineStr">
        <is>
          <t>Contabilidade</t>
        </is>
      </c>
      <c r="B3839" s="106" t="inlineStr">
        <is>
          <t>Custo Variável</t>
        </is>
      </c>
      <c r="C3839" s="106" t="inlineStr">
        <is>
          <t>Consultoria contábil PJ (Wadson Genuíno)</t>
        </is>
      </c>
      <c r="D3839" s="107" t="n"/>
      <c r="E3839" s="108" t="n"/>
      <c r="F3839" s="109">
        <f>IFERROR(D3839*E3839,0)</f>
        <v/>
      </c>
      <c r="G3839" s="106">
        <f>INDEX(SETORES!$B:$B,MATCH(A3839,SETORES!$A:$A,0))</f>
        <v/>
      </c>
      <c r="H3839" s="106" t="inlineStr">
        <is>
          <t>Novembro/2026</t>
        </is>
      </c>
    </row>
    <row r="3840">
      <c r="A3840" s="106" t="inlineStr">
        <is>
          <t>Controladoria</t>
        </is>
      </c>
      <c r="B3840" s="106" t="inlineStr">
        <is>
          <t>Custo Fixo</t>
        </is>
      </c>
      <c r="C3840" s="106" t="inlineStr">
        <is>
          <t>Material de escritório (suprimentos de informática)</t>
        </is>
      </c>
      <c r="D3840" s="107" t="n"/>
      <c r="E3840" s="108" t="n"/>
      <c r="F3840" s="109">
        <f>IFERROR(D3840*E3840,0)</f>
        <v/>
      </c>
      <c r="G3840" s="106">
        <f>INDEX(SETORES!$B:$B,MATCH(A3840,SETORES!$A:$A,0))</f>
        <v/>
      </c>
      <c r="H3840" s="106" t="inlineStr">
        <is>
          <t>Novembro/2026</t>
        </is>
      </c>
    </row>
    <row r="3841">
      <c r="A3841" s="106" t="inlineStr">
        <is>
          <t>Controladoria</t>
        </is>
      </c>
      <c r="B3841" s="106" t="inlineStr">
        <is>
          <t>Custo Fixo</t>
        </is>
      </c>
      <c r="C3841" s="106" t="inlineStr">
        <is>
          <t>Material de uso coletivo (copa/limpeza)</t>
        </is>
      </c>
      <c r="D3841" s="107" t="n">
        <v>1</v>
      </c>
      <c r="E3841" s="108" t="n">
        <v>36.22</v>
      </c>
      <c r="F3841" s="109">
        <f>IFERROR(D3841*E3841,0)</f>
        <v/>
      </c>
      <c r="G3841" s="106">
        <f>INDEX(SETORES!$B:$B,MATCH(A3841,SETORES!$A:$A,0))</f>
        <v/>
      </c>
      <c r="H3841" s="106" t="inlineStr">
        <is>
          <t>Novembro/2026</t>
        </is>
      </c>
    </row>
    <row r="3842">
      <c r="A3842" s="106" t="inlineStr">
        <is>
          <t>Controladoria</t>
        </is>
      </c>
      <c r="B3842" s="106" t="inlineStr">
        <is>
          <t>Custo Fixo</t>
        </is>
      </c>
      <c r="C3842" s="106" t="inlineStr">
        <is>
          <t>Energia elétrica (rateio)</t>
        </is>
      </c>
      <c r="D3842" s="107" t="n"/>
      <c r="E3842" s="108" t="n"/>
      <c r="F3842" s="109">
        <f>IFERROR(D3842*E3842,0)</f>
        <v/>
      </c>
      <c r="G3842" s="106">
        <f>INDEX(SETORES!$B:$B,MATCH(A3842,SETORES!$A:$A,0))</f>
        <v/>
      </c>
      <c r="H3842" s="106" t="inlineStr">
        <is>
          <t>Novembro/2026</t>
        </is>
      </c>
    </row>
    <row r="3843">
      <c r="A3843" s="106" t="inlineStr">
        <is>
          <t>Controladoria</t>
        </is>
      </c>
      <c r="B3843" s="106" t="inlineStr">
        <is>
          <t>Custo Fixo</t>
        </is>
      </c>
      <c r="C3843" s="106" t="inlineStr">
        <is>
          <t>Água e esgoto (rateio)</t>
        </is>
      </c>
      <c r="D3843" s="107" t="n"/>
      <c r="E3843" s="108" t="n"/>
      <c r="F3843" s="109">
        <f>IFERROR(D3843*E3843,0)</f>
        <v/>
      </c>
      <c r="G3843" s="106">
        <f>INDEX(SETORES!$B:$B,MATCH(A3843,SETORES!$A:$A,0))</f>
        <v/>
      </c>
      <c r="H3843" s="106" t="inlineStr">
        <is>
          <t>Novembro/2026</t>
        </is>
      </c>
    </row>
    <row r="3844">
      <c r="A3844" s="106" t="inlineStr">
        <is>
          <t>Controladoria</t>
        </is>
      </c>
      <c r="B3844" s="106" t="inlineStr">
        <is>
          <t>Custo Fixo</t>
        </is>
      </c>
      <c r="C3844" s="106" t="inlineStr">
        <is>
          <t>Chip móvel corporativo</t>
        </is>
      </c>
      <c r="D3844" s="107" t="n"/>
      <c r="E3844" s="108" t="n"/>
      <c r="F3844" s="109">
        <f>IFERROR(D3844*E3844,0)</f>
        <v/>
      </c>
      <c r="G3844" s="106">
        <f>INDEX(SETORES!$B:$B,MATCH(A3844,SETORES!$A:$A,0))</f>
        <v/>
      </c>
      <c r="H3844" s="106" t="inlineStr">
        <is>
          <t>Novembro/2026</t>
        </is>
      </c>
    </row>
    <row r="3845">
      <c r="A3845" s="106" t="inlineStr">
        <is>
          <t>Controladoria</t>
        </is>
      </c>
      <c r="B3845" s="106" t="inlineStr">
        <is>
          <t>Custo Fixo</t>
        </is>
      </c>
      <c r="C3845" s="106" t="inlineStr">
        <is>
          <t>Folha de pagamento (salários)</t>
        </is>
      </c>
      <c r="D3845" s="107" t="n">
        <v>1</v>
      </c>
      <c r="E3845" s="108" t="n">
        <v>18000</v>
      </c>
      <c r="F3845" s="109">
        <f>IFERROR(D3845*E3845,0)</f>
        <v/>
      </c>
      <c r="G3845" s="106">
        <f>INDEX(SETORES!$B:$B,MATCH(A3845,SETORES!$A:$A,0))</f>
        <v/>
      </c>
      <c r="H3845" s="106" t="inlineStr">
        <is>
          <t>Novembro/2026</t>
        </is>
      </c>
    </row>
    <row r="3846">
      <c r="A3846" s="106" t="inlineStr">
        <is>
          <t>Controladoria</t>
        </is>
      </c>
      <c r="B3846" s="106" t="inlineStr">
        <is>
          <t>Custo Fixo</t>
        </is>
      </c>
      <c r="C3846" s="106" t="inlineStr">
        <is>
          <t>Gympass</t>
        </is>
      </c>
      <c r="D3846" s="107" t="n"/>
      <c r="E3846" s="108" t="n"/>
      <c r="F3846" s="109">
        <f>IFERROR(D3846*E3846,0)</f>
        <v/>
      </c>
      <c r="G3846" s="106">
        <f>INDEX(SETORES!$B:$B,MATCH(A3846,SETORES!$A:$A,0))</f>
        <v/>
      </c>
      <c r="H3846" s="106" t="inlineStr">
        <is>
          <t>Novembro/2026</t>
        </is>
      </c>
    </row>
    <row r="3847">
      <c r="A3847" s="106" t="inlineStr">
        <is>
          <t>Controladoria</t>
        </is>
      </c>
      <c r="B3847" s="106" t="inlineStr">
        <is>
          <t>Custo Fixo</t>
        </is>
      </c>
      <c r="C3847" s="106" t="inlineStr">
        <is>
          <t>Stargrid</t>
        </is>
      </c>
      <c r="D3847" s="107" t="n">
        <v>1</v>
      </c>
      <c r="E3847" s="108" t="n">
        <v>1.87</v>
      </c>
      <c r="F3847" s="109">
        <f>IFERROR(D3847*E3847,0)</f>
        <v/>
      </c>
      <c r="G3847" s="106">
        <f>INDEX(SETORES!$B:$B,MATCH(A3847,SETORES!$A:$A,0))</f>
        <v/>
      </c>
      <c r="H3847" s="106" t="inlineStr">
        <is>
          <t>Novembro/2026</t>
        </is>
      </c>
    </row>
    <row r="3848">
      <c r="A3848" s="106" t="inlineStr">
        <is>
          <t>DP</t>
        </is>
      </c>
      <c r="B3848" s="106" t="inlineStr">
        <is>
          <t>Custo Fixo</t>
        </is>
      </c>
      <c r="C3848" s="106" t="inlineStr">
        <is>
          <t>Material de escritório (suprimentos de informática)</t>
        </is>
      </c>
      <c r="D3848" s="107" t="n">
        <v>1</v>
      </c>
      <c r="E3848" s="108" t="n">
        <v>9.24</v>
      </c>
      <c r="F3848" s="109">
        <f>IFERROR(D3848*E3848,0)</f>
        <v/>
      </c>
      <c r="G3848" s="106">
        <f>INDEX(SETORES!$B:$B,MATCH(A3848,SETORES!$A:$A,0))</f>
        <v/>
      </c>
      <c r="H3848" s="106" t="inlineStr">
        <is>
          <t>Novembro/2026</t>
        </is>
      </c>
    </row>
    <row r="3849">
      <c r="A3849" s="106" t="inlineStr">
        <is>
          <t>DP</t>
        </is>
      </c>
      <c r="B3849" s="106" t="inlineStr">
        <is>
          <t>Custo Fixo</t>
        </is>
      </c>
      <c r="C3849" s="106" t="inlineStr">
        <is>
          <t>Material de uso coletivo (copa/limpeza)</t>
        </is>
      </c>
      <c r="D3849" s="107" t="n">
        <v>1</v>
      </c>
      <c r="E3849" s="108" t="n">
        <v>204.89</v>
      </c>
      <c r="F3849" s="109">
        <f>IFERROR(D3849*E3849,0)</f>
        <v/>
      </c>
      <c r="G3849" s="106">
        <f>INDEX(SETORES!$B:$B,MATCH(A3849,SETORES!$A:$A,0))</f>
        <v/>
      </c>
      <c r="H3849" s="106" t="inlineStr">
        <is>
          <t>Novembro/2026</t>
        </is>
      </c>
    </row>
    <row r="3850">
      <c r="A3850" s="106" t="inlineStr">
        <is>
          <t>DP</t>
        </is>
      </c>
      <c r="B3850" s="106" t="inlineStr">
        <is>
          <t>Custo Fixo</t>
        </is>
      </c>
      <c r="C3850" s="106" t="inlineStr">
        <is>
          <t>Energia elétrica (rateio)</t>
        </is>
      </c>
      <c r="D3850" s="107" t="n"/>
      <c r="E3850" s="108" t="n"/>
      <c r="F3850" s="109">
        <f>IFERROR(D3850*E3850,0)</f>
        <v/>
      </c>
      <c r="G3850" s="106">
        <f>INDEX(SETORES!$B:$B,MATCH(A3850,SETORES!$A:$A,0))</f>
        <v/>
      </c>
      <c r="H3850" s="106" t="inlineStr">
        <is>
          <t>Novembro/2026</t>
        </is>
      </c>
    </row>
    <row r="3851">
      <c r="A3851" s="106" t="inlineStr">
        <is>
          <t>DP</t>
        </is>
      </c>
      <c r="B3851" s="106" t="inlineStr">
        <is>
          <t>Custo Fixo</t>
        </is>
      </c>
      <c r="C3851" s="106" t="inlineStr">
        <is>
          <t>Água e esgoto (rateio)</t>
        </is>
      </c>
      <c r="D3851" s="107" t="n"/>
      <c r="E3851" s="108" t="n"/>
      <c r="F3851" s="109">
        <f>IFERROR(D3851*E3851,0)</f>
        <v/>
      </c>
      <c r="G3851" s="106">
        <f>INDEX(SETORES!$B:$B,MATCH(A3851,SETORES!$A:$A,0))</f>
        <v/>
      </c>
      <c r="H3851" s="106" t="inlineStr">
        <is>
          <t>Novembro/2026</t>
        </is>
      </c>
    </row>
    <row r="3852">
      <c r="A3852" s="106" t="inlineStr">
        <is>
          <t>DP</t>
        </is>
      </c>
      <c r="B3852" s="106" t="inlineStr">
        <is>
          <t>Custo Fixo</t>
        </is>
      </c>
      <c r="C3852" s="106" t="inlineStr">
        <is>
          <t>Telefonia móvel corporativa</t>
        </is>
      </c>
      <c r="D3852" s="107" t="n"/>
      <c r="E3852" s="108" t="n"/>
      <c r="F3852" s="109">
        <f>IFERROR(D3852*E3852,0)</f>
        <v/>
      </c>
      <c r="G3852" s="106">
        <f>INDEX(SETORES!$B:$B,MATCH(A3852,SETORES!$A:$A,0))</f>
        <v/>
      </c>
      <c r="H3852" s="106" t="inlineStr">
        <is>
          <t>Novembro/2026</t>
        </is>
      </c>
    </row>
    <row r="3853">
      <c r="A3853" s="106" t="inlineStr">
        <is>
          <t>DP</t>
        </is>
      </c>
      <c r="B3853" s="106" t="inlineStr">
        <is>
          <t>Custo Fixo</t>
        </is>
      </c>
      <c r="C3853" s="106" t="inlineStr">
        <is>
          <t>Folha de pagamento (salários)</t>
        </is>
      </c>
      <c r="D3853" s="107" t="n">
        <v>1</v>
      </c>
      <c r="E3853" s="108" t="n">
        <v>48158.28</v>
      </c>
      <c r="F3853" s="109">
        <f>IFERROR(D3853*E3853,0)</f>
        <v/>
      </c>
      <c r="G3853" s="106">
        <f>INDEX(SETORES!$B:$B,MATCH(A3853,SETORES!$A:$A,0))</f>
        <v/>
      </c>
      <c r="H3853" s="106" t="inlineStr">
        <is>
          <t>Novembro/2026</t>
        </is>
      </c>
    </row>
    <row r="3854">
      <c r="A3854" s="106" t="inlineStr">
        <is>
          <t>Logística</t>
        </is>
      </c>
      <c r="B3854" s="106" t="inlineStr">
        <is>
          <t>Custo Variável</t>
        </is>
      </c>
      <c r="C3854" s="106" t="inlineStr">
        <is>
          <t>Exames médicos</t>
        </is>
      </c>
      <c r="D3854" s="107" t="n"/>
      <c r="E3854" s="108" t="n"/>
      <c r="F3854" s="109">
        <f>IFERROR(D3854*E3854,0)</f>
        <v/>
      </c>
      <c r="G3854" s="106">
        <f>INDEX(SETORES!$B:$B,MATCH(A3854,SETORES!$A:$A,0))</f>
        <v/>
      </c>
      <c r="H3854" s="106" t="inlineStr">
        <is>
          <t>Novembro/2026</t>
        </is>
      </c>
    </row>
    <row r="3855">
      <c r="A3855" s="106" t="inlineStr">
        <is>
          <t>Oficina</t>
        </is>
      </c>
      <c r="B3855" s="106" t="inlineStr">
        <is>
          <t>Custo Variável</t>
        </is>
      </c>
      <c r="C3855" s="106" t="inlineStr">
        <is>
          <t>Exames médicos</t>
        </is>
      </c>
      <c r="D3855" s="107" t="n"/>
      <c r="E3855" s="108" t="n"/>
      <c r="F3855" s="109">
        <f>IFERROR(D3855*E3855,0)</f>
        <v/>
      </c>
      <c r="G3855" s="106">
        <f>INDEX(SETORES!$B:$B,MATCH(A3855,SETORES!$A:$A,0))</f>
        <v/>
      </c>
      <c r="H3855" s="106" t="inlineStr">
        <is>
          <t>Novembro/2026</t>
        </is>
      </c>
    </row>
    <row r="3856">
      <c r="A3856" s="106" t="inlineStr">
        <is>
          <t>DP</t>
        </is>
      </c>
      <c r="B3856" s="106" t="inlineStr">
        <is>
          <t>Custo Variável</t>
        </is>
      </c>
      <c r="C3856" s="106" t="inlineStr">
        <is>
          <t>Exames médicos</t>
        </is>
      </c>
      <c r="D3856" s="107" t="n"/>
      <c r="E3856" s="108" t="n"/>
      <c r="F3856" s="109">
        <f>IFERROR(D3856*E3856,0)</f>
        <v/>
      </c>
      <c r="G3856" s="106">
        <f>INDEX(SETORES!$B:$B,MATCH(A3856,SETORES!$A:$A,0))</f>
        <v/>
      </c>
      <c r="H3856" s="106" t="inlineStr">
        <is>
          <t>Novembro/2026</t>
        </is>
      </c>
    </row>
    <row r="3857">
      <c r="A3857" s="106" t="inlineStr">
        <is>
          <t>DP</t>
        </is>
      </c>
      <c r="B3857" s="106" t="inlineStr">
        <is>
          <t>Custo Variável</t>
        </is>
      </c>
      <c r="C3857" s="106" t="inlineStr">
        <is>
          <t>Homologações e rescisões</t>
        </is>
      </c>
      <c r="D3857" s="107" t="n"/>
      <c r="E3857" s="108" t="n"/>
      <c r="F3857" s="109">
        <f>IFERROR(D3857*E3857,0)</f>
        <v/>
      </c>
      <c r="G3857" s="106">
        <f>INDEX(SETORES!$B:$B,MATCH(A3857,SETORES!$A:$A,0))</f>
        <v/>
      </c>
      <c r="H3857" s="106" t="inlineStr">
        <is>
          <t>Novembro/2026</t>
        </is>
      </c>
    </row>
    <row r="3858">
      <c r="A3858" s="106" t="inlineStr">
        <is>
          <t>DP</t>
        </is>
      </c>
      <c r="B3858" s="106" t="inlineStr">
        <is>
          <t>Custo Variável</t>
        </is>
      </c>
      <c r="C3858" s="106" t="inlineStr">
        <is>
          <t>Fardamento novo</t>
        </is>
      </c>
      <c r="D3858" s="107" t="n">
        <v>1</v>
      </c>
      <c r="E3858" s="108" t="n">
        <v>180</v>
      </c>
      <c r="F3858" s="109">
        <f>IFERROR(D3858*E3858,0)</f>
        <v/>
      </c>
      <c r="G3858" s="106">
        <f>INDEX(SETORES!$B:$B,MATCH(A3858,SETORES!$A:$A,0))</f>
        <v/>
      </c>
      <c r="H3858" s="106" t="inlineStr">
        <is>
          <t>Novembro/2026</t>
        </is>
      </c>
    </row>
    <row r="3859">
      <c r="A3859" s="106" t="inlineStr">
        <is>
          <t>DP</t>
        </is>
      </c>
      <c r="B3859" s="106" t="inlineStr">
        <is>
          <t>Custo Variável</t>
        </is>
      </c>
      <c r="C3859" s="106" t="inlineStr">
        <is>
          <t>Fardamento substituição</t>
        </is>
      </c>
      <c r="D3859" s="107" t="n">
        <v>1</v>
      </c>
      <c r="E3859" s="108" t="n">
        <v>272</v>
      </c>
      <c r="F3859" s="109">
        <f>IFERROR(D3859*E3859,0)</f>
        <v/>
      </c>
      <c r="G3859" s="106">
        <f>INDEX(SETORES!$B:$B,MATCH(A3859,SETORES!$A:$A,0))</f>
        <v/>
      </c>
      <c r="H3859" s="106" t="inlineStr">
        <is>
          <t>Novembro/2026</t>
        </is>
      </c>
    </row>
    <row r="3860">
      <c r="A3860" s="106" t="inlineStr">
        <is>
          <t>DP</t>
        </is>
      </c>
      <c r="B3860" s="106" t="inlineStr">
        <is>
          <t>Custo Fixo</t>
        </is>
      </c>
      <c r="C3860" s="106" t="inlineStr">
        <is>
          <t>Licença de e-mail corporativo</t>
        </is>
      </c>
      <c r="D3860" s="107" t="n">
        <v>9</v>
      </c>
      <c r="E3860" s="108" t="n">
        <v>50</v>
      </c>
      <c r="F3860" s="109">
        <f>IFERROR(D3860*E3860,0)</f>
        <v/>
      </c>
      <c r="G3860" s="106">
        <f>INDEX(SETORES!$B:$B,MATCH(A3860,SETORES!$A:$A,0))</f>
        <v/>
      </c>
      <c r="H3860" s="106" t="inlineStr">
        <is>
          <t>Novembro/2026</t>
        </is>
      </c>
    </row>
    <row r="3861">
      <c r="A3861" s="106" t="inlineStr">
        <is>
          <t>DP</t>
        </is>
      </c>
      <c r="B3861" s="106" t="inlineStr">
        <is>
          <t>Custo Fixo</t>
        </is>
      </c>
      <c r="C3861" s="106" t="inlineStr">
        <is>
          <t>Impressora</t>
        </is>
      </c>
      <c r="D3861" s="107" t="n"/>
      <c r="E3861" s="108" t="n"/>
      <c r="F3861" s="109">
        <f>IFERROR(D3861*E3861,0)</f>
        <v/>
      </c>
      <c r="G3861" s="106">
        <f>INDEX(SETORES!$B:$B,MATCH(A3861,SETORES!$A:$A,0))</f>
        <v/>
      </c>
      <c r="H3861" s="106" t="inlineStr">
        <is>
          <t>Novembro/2026</t>
        </is>
      </c>
    </row>
    <row r="3862">
      <c r="A3862" s="106" t="inlineStr">
        <is>
          <t>DP</t>
        </is>
      </c>
      <c r="B3862" s="106" t="inlineStr">
        <is>
          <t>Custo Fixo</t>
        </is>
      </c>
      <c r="C3862" s="106" t="inlineStr">
        <is>
          <t>Gympass</t>
        </is>
      </c>
      <c r="D3862" s="107" t="n"/>
      <c r="E3862" s="108" t="n"/>
      <c r="F3862" s="109">
        <f>IFERROR(D3862*E3862,0)</f>
        <v/>
      </c>
      <c r="G3862" s="106">
        <f>INDEX(SETORES!$B:$B,MATCH(A3862,SETORES!$A:$A,0))</f>
        <v/>
      </c>
      <c r="H3862" s="106" t="inlineStr">
        <is>
          <t>Novembro/2026</t>
        </is>
      </c>
    </row>
    <row r="3863">
      <c r="A3863" s="106" t="inlineStr">
        <is>
          <t>DP</t>
        </is>
      </c>
      <c r="B3863" s="106" t="inlineStr">
        <is>
          <t>Custo Fixo</t>
        </is>
      </c>
      <c r="C3863" s="106" t="inlineStr">
        <is>
          <t>Stargrid</t>
        </is>
      </c>
      <c r="D3863" s="107" t="n">
        <v>9</v>
      </c>
      <c r="E3863" s="108" t="n">
        <v>1.87</v>
      </c>
      <c r="F3863" s="109">
        <f>IFERROR(D3863*E3863,0)</f>
        <v/>
      </c>
      <c r="G3863" s="106">
        <f>INDEX(SETORES!$B:$B,MATCH(A3863,SETORES!$A:$A,0))</f>
        <v/>
      </c>
      <c r="H3863" s="106" t="inlineStr">
        <is>
          <t>Novembro/2026</t>
        </is>
      </c>
    </row>
    <row r="3864">
      <c r="A3864" s="106" t="inlineStr">
        <is>
          <t>Diretoria Operacional</t>
        </is>
      </c>
      <c r="B3864" s="106" t="inlineStr">
        <is>
          <t>Custo Fixo</t>
        </is>
      </c>
      <c r="C3864" s="106" t="inlineStr">
        <is>
          <t>Material de escritório (suprimentos de informática)</t>
        </is>
      </c>
      <c r="D3864" s="107" t="n">
        <v>1</v>
      </c>
      <c r="E3864" s="108" t="n">
        <v>9.31</v>
      </c>
      <c r="F3864" s="109">
        <f>IFERROR(D3864*E3864,0)</f>
        <v/>
      </c>
      <c r="G3864" s="106">
        <f>INDEX(SETORES!$B:$B,MATCH(A3864,SETORES!$A:$A,0))</f>
        <v/>
      </c>
      <c r="H3864" s="106" t="inlineStr">
        <is>
          <t>Novembro/2026</t>
        </is>
      </c>
    </row>
    <row r="3865">
      <c r="A3865" s="106" t="inlineStr">
        <is>
          <t>Diretoria Operacional</t>
        </is>
      </c>
      <c r="B3865" s="106" t="inlineStr">
        <is>
          <t>Custo Fixo</t>
        </is>
      </c>
      <c r="C3865" s="106" t="inlineStr">
        <is>
          <t>Material de uso coletivo (copa/limpeza)</t>
        </is>
      </c>
      <c r="D3865" s="107" t="n">
        <v>1</v>
      </c>
      <c r="E3865" s="108" t="n">
        <v>70.76000000000001</v>
      </c>
      <c r="F3865" s="109">
        <f>IFERROR(D3865*E3865,0)</f>
        <v/>
      </c>
      <c r="G3865" s="106">
        <f>INDEX(SETORES!$B:$B,MATCH(A3865,SETORES!$A:$A,0))</f>
        <v/>
      </c>
      <c r="H3865" s="106" t="inlineStr">
        <is>
          <t>Novembro/2026</t>
        </is>
      </c>
    </row>
    <row r="3866">
      <c r="A3866" s="106" t="inlineStr">
        <is>
          <t>Diretoria Operacional</t>
        </is>
      </c>
      <c r="B3866" s="106" t="inlineStr">
        <is>
          <t>Custo Fixo</t>
        </is>
      </c>
      <c r="C3866" s="106" t="inlineStr">
        <is>
          <t>Energia elétrica (rateio)</t>
        </is>
      </c>
      <c r="D3866" s="107" t="n"/>
      <c r="E3866" s="108" t="n"/>
      <c r="F3866" s="109">
        <f>IFERROR(D3866*E3866,0)</f>
        <v/>
      </c>
      <c r="G3866" s="106">
        <f>INDEX(SETORES!$B:$B,MATCH(A3866,SETORES!$A:$A,0))</f>
        <v/>
      </c>
      <c r="H3866" s="106" t="inlineStr">
        <is>
          <t>Novembro/2026</t>
        </is>
      </c>
    </row>
    <row r="3867">
      <c r="A3867" s="106" t="inlineStr">
        <is>
          <t>Diretoria Operacional</t>
        </is>
      </c>
      <c r="B3867" s="106" t="inlineStr">
        <is>
          <t>Custo Fixo</t>
        </is>
      </c>
      <c r="C3867" s="106" t="inlineStr">
        <is>
          <t>Água e esgoto (rateio)</t>
        </is>
      </c>
      <c r="D3867" s="107" t="n"/>
      <c r="E3867" s="108" t="n"/>
      <c r="F3867" s="109">
        <f>IFERROR(D3867*E3867,0)</f>
        <v/>
      </c>
      <c r="G3867" s="106">
        <f>INDEX(SETORES!$B:$B,MATCH(A3867,SETORES!$A:$A,0))</f>
        <v/>
      </c>
      <c r="H3867" s="106" t="inlineStr">
        <is>
          <t>Novembro/2026</t>
        </is>
      </c>
    </row>
    <row r="3868">
      <c r="A3868" s="106" t="inlineStr">
        <is>
          <t>Diretoria Operacional</t>
        </is>
      </c>
      <c r="B3868" s="106" t="inlineStr">
        <is>
          <t>Custo Fixo</t>
        </is>
      </c>
      <c r="C3868" s="106" t="inlineStr">
        <is>
          <t>Telefonia móvel corporativa</t>
        </is>
      </c>
      <c r="D3868" s="107" t="n"/>
      <c r="E3868" s="108" t="n"/>
      <c r="F3868" s="109">
        <f>IFERROR(D3868*E3868,0)</f>
        <v/>
      </c>
      <c r="G3868" s="106">
        <f>INDEX(SETORES!$B:$B,MATCH(A3868,SETORES!$A:$A,0))</f>
        <v/>
      </c>
      <c r="H3868" s="106" t="inlineStr">
        <is>
          <t>Novembro/2026</t>
        </is>
      </c>
    </row>
    <row r="3869">
      <c r="A3869" s="106" t="inlineStr">
        <is>
          <t>Diretoria Operacional</t>
        </is>
      </c>
      <c r="B3869" s="106" t="inlineStr">
        <is>
          <t>Custo Fixo</t>
        </is>
      </c>
      <c r="C3869" s="106" t="inlineStr">
        <is>
          <t>Folha de pagamento (salários)</t>
        </is>
      </c>
      <c r="D3869" s="107" t="n">
        <v>1</v>
      </c>
      <c r="E3869" s="108" t="n">
        <v>28328.94</v>
      </c>
      <c r="F3869" s="109">
        <f>IFERROR(D3869*E3869,0)</f>
        <v/>
      </c>
      <c r="G3869" s="106">
        <f>INDEX(SETORES!$B:$B,MATCH(A3869,SETORES!$A:$A,0))</f>
        <v/>
      </c>
      <c r="H3869" s="106" t="inlineStr">
        <is>
          <t>Novembro/2026</t>
        </is>
      </c>
    </row>
    <row r="3870">
      <c r="A3870" s="106" t="inlineStr">
        <is>
          <t>Diretoria Operacional</t>
        </is>
      </c>
      <c r="B3870" s="106" t="inlineStr">
        <is>
          <t>Custo Variável</t>
        </is>
      </c>
      <c r="C3870" s="106" t="inlineStr">
        <is>
          <t>Viagens e hospedagem corporativas</t>
        </is>
      </c>
      <c r="D3870" s="107" t="n"/>
      <c r="E3870" s="108" t="n"/>
      <c r="F3870" s="109">
        <f>IFERROR(D3870*E3870,0)</f>
        <v/>
      </c>
      <c r="G3870" s="106">
        <f>INDEX(SETORES!$B:$B,MATCH(A3870,SETORES!$A:$A,0))</f>
        <v/>
      </c>
      <c r="H3870" s="106" t="inlineStr">
        <is>
          <t>Novembro/2026</t>
        </is>
      </c>
    </row>
    <row r="3871">
      <c r="A3871" s="106" t="inlineStr">
        <is>
          <t>Diretoria Operacional</t>
        </is>
      </c>
      <c r="B3871" s="106" t="inlineStr">
        <is>
          <t>Custo Variável</t>
        </is>
      </c>
      <c r="C3871" s="106" t="inlineStr">
        <is>
          <t>Fardamento novo</t>
        </is>
      </c>
      <c r="D3871" s="107" t="n"/>
      <c r="E3871" s="108" t="n"/>
      <c r="F3871" s="109">
        <f>IFERROR(D3871*E3871,0)</f>
        <v/>
      </c>
      <c r="G3871" s="106">
        <f>INDEX(SETORES!$B:$B,MATCH(A3871,SETORES!$A:$A,0))</f>
        <v/>
      </c>
      <c r="H3871" s="106" t="inlineStr">
        <is>
          <t>Novembro/2026</t>
        </is>
      </c>
    </row>
    <row r="3872">
      <c r="A3872" s="106" t="inlineStr">
        <is>
          <t>Diretoria Operacional</t>
        </is>
      </c>
      <c r="B3872" s="106" t="inlineStr">
        <is>
          <t>Custo Variável</t>
        </is>
      </c>
      <c r="C3872" s="106" t="inlineStr">
        <is>
          <t>Fardamento substituição</t>
        </is>
      </c>
      <c r="D3872" s="107" t="n"/>
      <c r="E3872" s="108" t="n"/>
      <c r="F3872" s="109">
        <f>IFERROR(D3872*E3872,0)</f>
        <v/>
      </c>
      <c r="G3872" s="106">
        <f>INDEX(SETORES!$B:$B,MATCH(A3872,SETORES!$A:$A,0))</f>
        <v/>
      </c>
      <c r="H3872" s="106" t="inlineStr">
        <is>
          <t>Novembro/2026</t>
        </is>
      </c>
    </row>
    <row r="3873">
      <c r="A3873" s="106" t="inlineStr">
        <is>
          <t>Diretoria Operacional</t>
        </is>
      </c>
      <c r="B3873" s="106" t="inlineStr">
        <is>
          <t>Custo Fixo</t>
        </is>
      </c>
      <c r="C3873" s="106" t="inlineStr">
        <is>
          <t>Licença de e-mail corporativo</t>
        </is>
      </c>
      <c r="D3873" s="107" t="n">
        <v>2</v>
      </c>
      <c r="E3873" s="108" t="n">
        <v>50</v>
      </c>
      <c r="F3873" s="109">
        <f>IFERROR(D3873*E3873,0)</f>
        <v/>
      </c>
      <c r="G3873" s="106">
        <f>INDEX(SETORES!$B:$B,MATCH(A3873,SETORES!$A:$A,0))</f>
        <v/>
      </c>
      <c r="H3873" s="106" t="inlineStr">
        <is>
          <t>Novembro/2026</t>
        </is>
      </c>
    </row>
    <row r="3874">
      <c r="A3874" s="106" t="inlineStr">
        <is>
          <t>Diretoria Operacional</t>
        </is>
      </c>
      <c r="B3874" s="106" t="inlineStr">
        <is>
          <t>Custo Fixo</t>
        </is>
      </c>
      <c r="C3874" s="106" t="inlineStr">
        <is>
          <t>Gympass</t>
        </is>
      </c>
      <c r="D3874" s="107" t="n"/>
      <c r="E3874" s="108" t="n"/>
      <c r="F3874" s="109">
        <f>IFERROR(D3874*E3874,0)</f>
        <v/>
      </c>
      <c r="G3874" s="106">
        <f>INDEX(SETORES!$B:$B,MATCH(A3874,SETORES!$A:$A,0))</f>
        <v/>
      </c>
      <c r="H3874" s="106" t="inlineStr">
        <is>
          <t>Novembro/2026</t>
        </is>
      </c>
    </row>
    <row r="3875">
      <c r="A3875" s="106" t="inlineStr">
        <is>
          <t>Diretoria Operacional</t>
        </is>
      </c>
      <c r="B3875" s="106" t="inlineStr">
        <is>
          <t>Custo Fixo</t>
        </is>
      </c>
      <c r="C3875" s="106" t="inlineStr">
        <is>
          <t>Stargrid</t>
        </is>
      </c>
      <c r="D3875" s="107" t="n">
        <v>2</v>
      </c>
      <c r="E3875" s="108" t="n">
        <v>1.87</v>
      </c>
      <c r="F3875" s="109">
        <f>IFERROR(D3875*E3875,0)</f>
        <v/>
      </c>
      <c r="G3875" s="106">
        <f>INDEX(SETORES!$B:$B,MATCH(A3875,SETORES!$A:$A,0))</f>
        <v/>
      </c>
      <c r="H3875" s="106" t="inlineStr">
        <is>
          <t>Novembro/2026</t>
        </is>
      </c>
    </row>
    <row r="3876">
      <c r="A3876" s="106" t="inlineStr">
        <is>
          <t>Engenharia</t>
        </is>
      </c>
      <c r="B3876" s="106" t="inlineStr">
        <is>
          <t>Custo Fixo</t>
        </is>
      </c>
      <c r="C3876" s="106" t="inlineStr">
        <is>
          <t>Material de escritório (suprimentos de informática)</t>
        </is>
      </c>
      <c r="D3876" s="107" t="n"/>
      <c r="E3876" s="108" t="n"/>
      <c r="F3876" s="109">
        <f>IFERROR(D3876*E3876,0)</f>
        <v/>
      </c>
      <c r="G3876" s="106">
        <f>INDEX(SETORES!$B:$B,MATCH(A3876,SETORES!$A:$A,0))</f>
        <v/>
      </c>
      <c r="H3876" s="106" t="inlineStr">
        <is>
          <t>Novembro/2026</t>
        </is>
      </c>
    </row>
    <row r="3877">
      <c r="A3877" s="106" t="inlineStr">
        <is>
          <t>Engenharia</t>
        </is>
      </c>
      <c r="B3877" s="106" t="inlineStr">
        <is>
          <t>Custo Fixo</t>
        </is>
      </c>
      <c r="C3877" s="106" t="inlineStr">
        <is>
          <t>Material de uso coletivo (copa/limpeza)</t>
        </is>
      </c>
      <c r="D3877" s="107" t="n"/>
      <c r="E3877" s="108" t="n"/>
      <c r="F3877" s="109">
        <f>IFERROR(D3877*E3877,0)</f>
        <v/>
      </c>
      <c r="G3877" s="106">
        <f>INDEX(SETORES!$B:$B,MATCH(A3877,SETORES!$A:$A,0))</f>
        <v/>
      </c>
      <c r="H3877" s="106" t="inlineStr">
        <is>
          <t>Novembro/2026</t>
        </is>
      </c>
    </row>
    <row r="3878">
      <c r="A3878" s="106" t="inlineStr">
        <is>
          <t>Engenharia</t>
        </is>
      </c>
      <c r="B3878" s="106" t="inlineStr">
        <is>
          <t>Custo Variável</t>
        </is>
      </c>
      <c r="C3878" s="106" t="inlineStr">
        <is>
          <t>Endomarketing</t>
        </is>
      </c>
      <c r="D3878" s="107" t="n"/>
      <c r="E3878" s="108" t="n"/>
      <c r="F3878" s="109">
        <f>IFERROR(D3878*E3878,0)</f>
        <v/>
      </c>
      <c r="G3878" s="106">
        <f>INDEX(SETORES!$B:$B,MATCH(A3878,SETORES!$A:$A,0))</f>
        <v/>
      </c>
      <c r="H3878" s="106" t="inlineStr">
        <is>
          <t>Novembro/2026</t>
        </is>
      </c>
    </row>
    <row r="3879">
      <c r="A3879" s="106" t="inlineStr">
        <is>
          <t>Engenharia</t>
        </is>
      </c>
      <c r="B3879" s="106" t="inlineStr">
        <is>
          <t>Custo Fixo</t>
        </is>
      </c>
      <c r="C3879" s="106" t="inlineStr">
        <is>
          <t>Energia elétrica (rateio)</t>
        </is>
      </c>
      <c r="D3879" s="107" t="n"/>
      <c r="E3879" s="108" t="n"/>
      <c r="F3879" s="109">
        <f>IFERROR(D3879*E3879,0)</f>
        <v/>
      </c>
      <c r="G3879" s="106">
        <f>INDEX(SETORES!$B:$B,MATCH(A3879,SETORES!$A:$A,0))</f>
        <v/>
      </c>
      <c r="H3879" s="106" t="inlineStr">
        <is>
          <t>Novembro/2026</t>
        </is>
      </c>
    </row>
    <row r="3880">
      <c r="A3880" s="106" t="inlineStr">
        <is>
          <t>Engenharia</t>
        </is>
      </c>
      <c r="B3880" s="106" t="inlineStr">
        <is>
          <t>Custo Fixo</t>
        </is>
      </c>
      <c r="C3880" s="106" t="inlineStr">
        <is>
          <t>Água e esgoto (rateio)</t>
        </is>
      </c>
      <c r="D3880" s="107" t="n"/>
      <c r="E3880" s="108" t="n"/>
      <c r="F3880" s="109">
        <f>IFERROR(D3880*E3880,0)</f>
        <v/>
      </c>
      <c r="G3880" s="106">
        <f>INDEX(SETORES!$B:$B,MATCH(A3880,SETORES!$A:$A,0))</f>
        <v/>
      </c>
      <c r="H3880" s="106" t="inlineStr">
        <is>
          <t>Novembro/2026</t>
        </is>
      </c>
    </row>
    <row r="3881">
      <c r="A3881" s="106" t="inlineStr">
        <is>
          <t>Engenharia</t>
        </is>
      </c>
      <c r="B3881" s="106" t="inlineStr">
        <is>
          <t>Custo Fixo</t>
        </is>
      </c>
      <c r="C3881" s="106" t="inlineStr">
        <is>
          <t>Telefonia móvel corporativa</t>
        </is>
      </c>
      <c r="D3881" s="107" t="n"/>
      <c r="E3881" s="108" t="n"/>
      <c r="F3881" s="109">
        <f>IFERROR(D3881*E3881,0)</f>
        <v/>
      </c>
      <c r="G3881" s="106">
        <f>INDEX(SETORES!$B:$B,MATCH(A3881,SETORES!$A:$A,0))</f>
        <v/>
      </c>
      <c r="H3881" s="106" t="inlineStr">
        <is>
          <t>Novembro/2026</t>
        </is>
      </c>
    </row>
    <row r="3882">
      <c r="A3882" s="106" t="inlineStr">
        <is>
          <t>Engenharia</t>
        </is>
      </c>
      <c r="B3882" s="106" t="inlineStr">
        <is>
          <t>Custo Fixo</t>
        </is>
      </c>
      <c r="C3882" s="106" t="inlineStr">
        <is>
          <t>Folha de pagamento (salários)</t>
        </is>
      </c>
      <c r="D3882" s="107" t="n">
        <v>1</v>
      </c>
      <c r="E3882" s="108" t="n">
        <v>64244.34</v>
      </c>
      <c r="F3882" s="109">
        <f>IFERROR(D3882*E3882,0)</f>
        <v/>
      </c>
      <c r="G3882" s="106">
        <f>INDEX(SETORES!$B:$B,MATCH(A3882,SETORES!$A:$A,0))</f>
        <v/>
      </c>
      <c r="H3882" s="106" t="inlineStr">
        <is>
          <t>Novembro/2026</t>
        </is>
      </c>
    </row>
    <row r="3883">
      <c r="A3883" s="106" t="inlineStr">
        <is>
          <t>Engenharia</t>
        </is>
      </c>
      <c r="B3883" s="106" t="inlineStr">
        <is>
          <t>Custo Variável</t>
        </is>
      </c>
      <c r="C3883" s="106" t="inlineStr">
        <is>
          <t>Fardamento novo</t>
        </is>
      </c>
      <c r="D3883" s="107" t="n">
        <v>1</v>
      </c>
      <c r="E3883" s="108" t="n">
        <v>90</v>
      </c>
      <c r="F3883" s="109">
        <f>IFERROR(D3883*E3883,0)</f>
        <v/>
      </c>
      <c r="G3883" s="106">
        <f>INDEX(SETORES!$B:$B,MATCH(A3883,SETORES!$A:$A,0))</f>
        <v/>
      </c>
      <c r="H3883" s="106" t="inlineStr">
        <is>
          <t>Novembro/2026</t>
        </is>
      </c>
    </row>
    <row r="3884">
      <c r="A3884" s="106" t="inlineStr">
        <is>
          <t>Engenharia</t>
        </is>
      </c>
      <c r="B3884" s="106" t="inlineStr">
        <is>
          <t>Custo Variável</t>
        </is>
      </c>
      <c r="C3884" s="106" t="inlineStr">
        <is>
          <t>Fardamento substituição</t>
        </is>
      </c>
      <c r="D3884" s="107" t="n"/>
      <c r="E3884" s="108" t="n"/>
      <c r="F3884" s="109">
        <f>IFERROR(D3884*E3884,0)</f>
        <v/>
      </c>
      <c r="G3884" s="106">
        <f>INDEX(SETORES!$B:$B,MATCH(A3884,SETORES!$A:$A,0))</f>
        <v/>
      </c>
      <c r="H3884" s="106" t="inlineStr">
        <is>
          <t>Novembro/2026</t>
        </is>
      </c>
    </row>
    <row r="3885">
      <c r="A3885" s="106" t="inlineStr">
        <is>
          <t>Engenharia</t>
        </is>
      </c>
      <c r="B3885" s="106" t="inlineStr">
        <is>
          <t>Custo Variável</t>
        </is>
      </c>
      <c r="C3885" s="106" t="inlineStr">
        <is>
          <t>Rateio de transporte coletivo</t>
        </is>
      </c>
      <c r="D3885" s="107" t="n"/>
      <c r="E3885" s="108" t="n"/>
      <c r="F3885" s="109">
        <f>IFERROR(D3885*E3885,0)</f>
        <v/>
      </c>
      <c r="G3885" s="106">
        <f>INDEX(SETORES!$B:$B,MATCH(A3885,SETORES!$A:$A,0))</f>
        <v/>
      </c>
      <c r="H3885" s="106" t="inlineStr">
        <is>
          <t>Novembro/2026</t>
        </is>
      </c>
    </row>
    <row r="3886">
      <c r="A3886" s="106" t="inlineStr">
        <is>
          <t>Engenharia</t>
        </is>
      </c>
      <c r="B3886" s="106" t="inlineStr">
        <is>
          <t>Custo Variável</t>
        </is>
      </c>
      <c r="C3886" s="106" t="inlineStr">
        <is>
          <t>Rescisões trabalhistas</t>
        </is>
      </c>
      <c r="D3886" s="107" t="n"/>
      <c r="E3886" s="108" t="n"/>
      <c r="F3886" s="109">
        <f>IFERROR(D3886*E3886,0)</f>
        <v/>
      </c>
      <c r="G3886" s="106">
        <f>INDEX(SETORES!$B:$B,MATCH(A3886,SETORES!$A:$A,0))</f>
        <v/>
      </c>
      <c r="H3886" s="106" t="inlineStr">
        <is>
          <t>Novembro/2026</t>
        </is>
      </c>
    </row>
    <row r="3887">
      <c r="A3887" s="106" t="inlineStr">
        <is>
          <t>Engenharia</t>
        </is>
      </c>
      <c r="B3887" s="106" t="inlineStr">
        <is>
          <t>Custo Fixo</t>
        </is>
      </c>
      <c r="C3887" s="106" t="inlineStr">
        <is>
          <t>Licença de e-mail corporativo</t>
        </is>
      </c>
      <c r="D3887" s="107" t="n">
        <v>9</v>
      </c>
      <c r="E3887" s="108" t="n">
        <v>50</v>
      </c>
      <c r="F3887" s="109">
        <f>IFERROR(D3887*E3887,0)</f>
        <v/>
      </c>
      <c r="G3887" s="106">
        <f>INDEX(SETORES!$B:$B,MATCH(A3887,SETORES!$A:$A,0))</f>
        <v/>
      </c>
      <c r="H3887" s="106" t="inlineStr">
        <is>
          <t>Novembro/2026</t>
        </is>
      </c>
    </row>
    <row r="3888">
      <c r="A3888" s="106" t="inlineStr">
        <is>
          <t>Engenharia</t>
        </is>
      </c>
      <c r="B3888" s="106" t="inlineStr">
        <is>
          <t>Custo Variável</t>
        </is>
      </c>
      <c r="C3888" s="106" t="inlineStr">
        <is>
          <t>Combustível de frota</t>
        </is>
      </c>
      <c r="D3888" s="107" t="n">
        <v>1</v>
      </c>
      <c r="E3888" s="108" t="n">
        <v>4864.24</v>
      </c>
      <c r="F3888" s="109">
        <f>IFERROR(D3888*E3888,0)</f>
        <v/>
      </c>
      <c r="G3888" s="106">
        <f>INDEX(SETORES!$B:$B,MATCH(A3888,SETORES!$A:$A,0))</f>
        <v/>
      </c>
      <c r="H3888" s="106" t="inlineStr">
        <is>
          <t>Novembro/2026</t>
        </is>
      </c>
    </row>
    <row r="3889">
      <c r="A3889" s="106" t="inlineStr">
        <is>
          <t>Engenharia</t>
        </is>
      </c>
      <c r="B3889" s="106" t="inlineStr">
        <is>
          <t>Custo Fixo</t>
        </is>
      </c>
      <c r="C3889" s="106" t="inlineStr">
        <is>
          <t>Impressora</t>
        </is>
      </c>
      <c r="D3889" s="107" t="n"/>
      <c r="E3889" s="108" t="n"/>
      <c r="F3889" s="109">
        <f>IFERROR(D3889*E3889,0)</f>
        <v/>
      </c>
      <c r="G3889" s="106">
        <f>INDEX(SETORES!$B:$B,MATCH(A3889,SETORES!$A:$A,0))</f>
        <v/>
      </c>
      <c r="H3889" s="106" t="inlineStr">
        <is>
          <t>Novembro/2026</t>
        </is>
      </c>
    </row>
    <row r="3890">
      <c r="A3890" s="106" t="inlineStr">
        <is>
          <t>Engenharia</t>
        </is>
      </c>
      <c r="B3890" s="106" t="inlineStr">
        <is>
          <t>Custo Fixo</t>
        </is>
      </c>
      <c r="C3890" s="106" t="inlineStr">
        <is>
          <t>Gympass</t>
        </is>
      </c>
      <c r="D3890" s="107" t="n"/>
      <c r="E3890" s="108" t="n"/>
      <c r="F3890" s="109">
        <f>IFERROR(D3890*E3890,0)</f>
        <v/>
      </c>
      <c r="G3890" s="106">
        <f>INDEX(SETORES!$B:$B,MATCH(A3890,SETORES!$A:$A,0))</f>
        <v/>
      </c>
      <c r="H3890" s="106" t="inlineStr">
        <is>
          <t>Novembro/2026</t>
        </is>
      </c>
    </row>
    <row r="3891">
      <c r="A3891" s="106" t="inlineStr">
        <is>
          <t>Engenharia</t>
        </is>
      </c>
      <c r="B3891" s="106" t="inlineStr">
        <is>
          <t>Custo Fixo</t>
        </is>
      </c>
      <c r="C3891" s="106" t="inlineStr">
        <is>
          <t>Stargrid</t>
        </is>
      </c>
      <c r="D3891" s="107" t="n">
        <v>9</v>
      </c>
      <c r="E3891" s="108" t="n">
        <v>1.87</v>
      </c>
      <c r="F3891" s="109">
        <f>IFERROR(D3891*E3891,0)</f>
        <v/>
      </c>
      <c r="G3891" s="106">
        <f>INDEX(SETORES!$B:$B,MATCH(A3891,SETORES!$A:$A,0))</f>
        <v/>
      </c>
      <c r="H3891" s="106" t="inlineStr">
        <is>
          <t>Novembro/2026</t>
        </is>
      </c>
    </row>
    <row r="3892">
      <c r="A3892" s="106" t="inlineStr">
        <is>
          <t>Estoque</t>
        </is>
      </c>
      <c r="B3892" s="106" t="inlineStr">
        <is>
          <t>Custo Fixo</t>
        </is>
      </c>
      <c r="C3892" s="106" t="inlineStr">
        <is>
          <t>Material de escritório (suprimentos de informática)</t>
        </is>
      </c>
      <c r="D3892" s="107" t="n"/>
      <c r="E3892" s="108" t="n"/>
      <c r="F3892" s="109">
        <f>IFERROR(D3892*E3892,0)</f>
        <v/>
      </c>
      <c r="G3892" s="106">
        <f>INDEX(SETORES!$B:$B,MATCH(A3892,SETORES!$A:$A,0))</f>
        <v/>
      </c>
      <c r="H3892" s="106" t="inlineStr">
        <is>
          <t>Novembro/2026</t>
        </is>
      </c>
    </row>
    <row r="3893">
      <c r="A3893" s="106" t="inlineStr">
        <is>
          <t>Estoque</t>
        </is>
      </c>
      <c r="B3893" s="106" t="inlineStr">
        <is>
          <t>Custo Fixo</t>
        </is>
      </c>
      <c r="C3893" s="106" t="inlineStr">
        <is>
          <t>Material de uso coletivo (copa/limpeza)</t>
        </is>
      </c>
      <c r="D3893" s="107" t="n">
        <v>1</v>
      </c>
      <c r="E3893" s="108" t="n">
        <v>828.61</v>
      </c>
      <c r="F3893" s="109">
        <f>IFERROR(D3893*E3893,0)</f>
        <v/>
      </c>
      <c r="G3893" s="106">
        <f>INDEX(SETORES!$B:$B,MATCH(A3893,SETORES!$A:$A,0))</f>
        <v/>
      </c>
      <c r="H3893" s="106" t="inlineStr">
        <is>
          <t>Novembro/2026</t>
        </is>
      </c>
    </row>
    <row r="3894">
      <c r="A3894" s="106" t="inlineStr">
        <is>
          <t>Estoque</t>
        </is>
      </c>
      <c r="B3894" s="106" t="inlineStr">
        <is>
          <t>Custo Fixo</t>
        </is>
      </c>
      <c r="C3894" s="106" t="inlineStr">
        <is>
          <t>Energia elétrica (rateio)</t>
        </is>
      </c>
      <c r="D3894" s="107" t="n"/>
      <c r="E3894" s="108" t="n"/>
      <c r="F3894" s="109">
        <f>IFERROR(D3894*E3894,0)</f>
        <v/>
      </c>
      <c r="G3894" s="106">
        <f>INDEX(SETORES!$B:$B,MATCH(A3894,SETORES!$A:$A,0))</f>
        <v/>
      </c>
      <c r="H3894" s="106" t="inlineStr">
        <is>
          <t>Novembro/2026</t>
        </is>
      </c>
    </row>
    <row r="3895">
      <c r="A3895" s="106" t="inlineStr">
        <is>
          <t>Estoque</t>
        </is>
      </c>
      <c r="B3895" s="106" t="inlineStr">
        <is>
          <t>Custo Fixo</t>
        </is>
      </c>
      <c r="C3895" s="106" t="inlineStr">
        <is>
          <t>Água e esgoto (rateio)</t>
        </is>
      </c>
      <c r="D3895" s="107" t="n"/>
      <c r="E3895" s="108" t="n"/>
      <c r="F3895" s="109">
        <f>IFERROR(D3895*E3895,0)</f>
        <v/>
      </c>
      <c r="G3895" s="106">
        <f>INDEX(SETORES!$B:$B,MATCH(A3895,SETORES!$A:$A,0))</f>
        <v/>
      </c>
      <c r="H3895" s="106" t="inlineStr">
        <is>
          <t>Novembro/2026</t>
        </is>
      </c>
    </row>
    <row r="3896">
      <c r="A3896" s="106" t="inlineStr">
        <is>
          <t>Estoque</t>
        </is>
      </c>
      <c r="B3896" s="106" t="inlineStr">
        <is>
          <t>Custo Fixo</t>
        </is>
      </c>
      <c r="C3896" s="106" t="inlineStr">
        <is>
          <t>Telefonia móvel corporativa</t>
        </is>
      </c>
      <c r="D3896" s="107" t="n"/>
      <c r="E3896" s="108" t="n"/>
      <c r="F3896" s="109">
        <f>IFERROR(D3896*E3896,0)</f>
        <v/>
      </c>
      <c r="G3896" s="106">
        <f>INDEX(SETORES!$B:$B,MATCH(A3896,SETORES!$A:$A,0))</f>
        <v/>
      </c>
      <c r="H3896" s="106" t="inlineStr">
        <is>
          <t>Novembro/2026</t>
        </is>
      </c>
    </row>
    <row r="3897">
      <c r="A3897" s="106" t="inlineStr">
        <is>
          <t>Estoque</t>
        </is>
      </c>
      <c r="B3897" s="106" t="inlineStr">
        <is>
          <t>Custo Fixo</t>
        </is>
      </c>
      <c r="C3897" s="106" t="inlineStr">
        <is>
          <t>Folha de pagamento (salários)</t>
        </is>
      </c>
      <c r="D3897" s="107" t="n">
        <v>1</v>
      </c>
      <c r="E3897" s="108" t="n">
        <v>96388.89999999999</v>
      </c>
      <c r="F3897" s="109">
        <f>IFERROR(D3897*E3897,0)</f>
        <v/>
      </c>
      <c r="G3897" s="106">
        <f>INDEX(SETORES!$B:$B,MATCH(A3897,SETORES!$A:$A,0))</f>
        <v/>
      </c>
      <c r="H3897" s="106" t="inlineStr">
        <is>
          <t>Novembro/2026</t>
        </is>
      </c>
    </row>
    <row r="3898">
      <c r="A3898" s="106" t="inlineStr">
        <is>
          <t>Estoque</t>
        </is>
      </c>
      <c r="B3898" s="106" t="inlineStr">
        <is>
          <t>Custo Variável</t>
        </is>
      </c>
      <c r="C3898" s="106" t="inlineStr">
        <is>
          <t>Fardamento novo</t>
        </is>
      </c>
      <c r="D3898" s="107" t="n"/>
      <c r="E3898" s="108" t="n"/>
      <c r="F3898" s="109">
        <f>IFERROR(D3898*E3898,0)</f>
        <v/>
      </c>
      <c r="G3898" s="106">
        <f>INDEX(SETORES!$B:$B,MATCH(A3898,SETORES!$A:$A,0))</f>
        <v/>
      </c>
      <c r="H3898" s="106" t="inlineStr">
        <is>
          <t>Novembro/2026</t>
        </is>
      </c>
    </row>
    <row r="3899">
      <c r="A3899" s="106" t="inlineStr">
        <is>
          <t>Estoque</t>
        </is>
      </c>
      <c r="B3899" s="106" t="inlineStr">
        <is>
          <t>Custo Variável</t>
        </is>
      </c>
      <c r="C3899" s="106" t="inlineStr">
        <is>
          <t>Fardamento substituição</t>
        </is>
      </c>
      <c r="D3899" s="107" t="n"/>
      <c r="E3899" s="108" t="n"/>
      <c r="F3899" s="109">
        <f>IFERROR(D3899*E3899,0)</f>
        <v/>
      </c>
      <c r="G3899" s="106">
        <f>INDEX(SETORES!$B:$B,MATCH(A3899,SETORES!$A:$A,0))</f>
        <v/>
      </c>
      <c r="H3899" s="106" t="inlineStr">
        <is>
          <t>Novembro/2026</t>
        </is>
      </c>
    </row>
    <row r="3900">
      <c r="A3900" s="106" t="inlineStr">
        <is>
          <t>Estoque</t>
        </is>
      </c>
      <c r="B3900" s="106" t="inlineStr">
        <is>
          <t>Custo Variável</t>
        </is>
      </c>
      <c r="C3900" s="106" t="inlineStr">
        <is>
          <t>Rateio de transporte coletivo</t>
        </is>
      </c>
      <c r="D3900" s="107" t="n"/>
      <c r="E3900" s="108" t="n"/>
      <c r="F3900" s="109">
        <f>IFERROR(D3900*E3900,0)</f>
        <v/>
      </c>
      <c r="G3900" s="106">
        <f>INDEX(SETORES!$B:$B,MATCH(A3900,SETORES!$A:$A,0))</f>
        <v/>
      </c>
      <c r="H3900" s="106" t="inlineStr">
        <is>
          <t>Novembro/2026</t>
        </is>
      </c>
    </row>
    <row r="3901">
      <c r="A3901" s="106" t="inlineStr">
        <is>
          <t>Estoque</t>
        </is>
      </c>
      <c r="B3901" s="106" t="inlineStr">
        <is>
          <t>Custo Variável</t>
        </is>
      </c>
      <c r="C3901" s="106" t="inlineStr">
        <is>
          <t>Rescisões trabalhistas</t>
        </is>
      </c>
      <c r="D3901" s="107" t="n"/>
      <c r="E3901" s="108" t="n"/>
      <c r="F3901" s="109">
        <f>IFERROR(D3901*E3901,0)</f>
        <v/>
      </c>
      <c r="G3901" s="106">
        <f>INDEX(SETORES!$B:$B,MATCH(A3901,SETORES!$A:$A,0))</f>
        <v/>
      </c>
      <c r="H3901" s="106" t="inlineStr">
        <is>
          <t>Novembro/2026</t>
        </is>
      </c>
    </row>
    <row r="3902">
      <c r="A3902" s="106" t="inlineStr">
        <is>
          <t>Estoque</t>
        </is>
      </c>
      <c r="B3902" s="106" t="inlineStr">
        <is>
          <t>Custo Variável</t>
        </is>
      </c>
      <c r="C3902" s="106" t="inlineStr">
        <is>
          <t>Exames médicos</t>
        </is>
      </c>
      <c r="D3902" s="107" t="n"/>
      <c r="E3902" s="108" t="n"/>
      <c r="F3902" s="109">
        <f>IFERROR(D3902*E3902,0)</f>
        <v/>
      </c>
      <c r="G3902" s="106">
        <f>INDEX(SETORES!$B:$B,MATCH(A3902,SETORES!$A:$A,0))</f>
        <v/>
      </c>
      <c r="H3902" s="106" t="inlineStr">
        <is>
          <t>Novembro/2026</t>
        </is>
      </c>
    </row>
    <row r="3903">
      <c r="A3903" s="106" t="inlineStr">
        <is>
          <t>Estoque</t>
        </is>
      </c>
      <c r="B3903" s="106" t="inlineStr">
        <is>
          <t>Custo Fixo</t>
        </is>
      </c>
      <c r="C3903" s="106" t="inlineStr">
        <is>
          <t>Licença de e-mail corporativo</t>
        </is>
      </c>
      <c r="D3903" s="107" t="n">
        <v>16</v>
      </c>
      <c r="E3903" s="108" t="n">
        <v>50</v>
      </c>
      <c r="F3903" s="109">
        <f>IFERROR(D3903*E3903,0)</f>
        <v/>
      </c>
      <c r="G3903" s="106">
        <f>INDEX(SETORES!$B:$B,MATCH(A3903,SETORES!$A:$A,0))</f>
        <v/>
      </c>
      <c r="H3903" s="106" t="inlineStr">
        <is>
          <t>Novembro/2026</t>
        </is>
      </c>
    </row>
    <row r="3904">
      <c r="A3904" s="106" t="inlineStr">
        <is>
          <t>Estoque</t>
        </is>
      </c>
      <c r="B3904" s="106" t="inlineStr">
        <is>
          <t>Custo Fixo</t>
        </is>
      </c>
      <c r="C3904" s="106" t="inlineStr">
        <is>
          <t>Impressora</t>
        </is>
      </c>
      <c r="D3904" s="107" t="n"/>
      <c r="E3904" s="108" t="n"/>
      <c r="F3904" s="109">
        <f>IFERROR(D3904*E3904,0)</f>
        <v/>
      </c>
      <c r="G3904" s="106">
        <f>INDEX(SETORES!$B:$B,MATCH(A3904,SETORES!$A:$A,0))</f>
        <v/>
      </c>
      <c r="H3904" s="106" t="inlineStr">
        <is>
          <t>Novembro/2026</t>
        </is>
      </c>
    </row>
    <row r="3905">
      <c r="A3905" s="106" t="inlineStr">
        <is>
          <t>Estoque</t>
        </is>
      </c>
      <c r="B3905" s="106" t="inlineStr">
        <is>
          <t>Custo Fixo</t>
        </is>
      </c>
      <c r="C3905" s="106" t="inlineStr">
        <is>
          <t>Gympass</t>
        </is>
      </c>
      <c r="D3905" s="107" t="n"/>
      <c r="E3905" s="108" t="n"/>
      <c r="F3905" s="109">
        <f>IFERROR(D3905*E3905,0)</f>
        <v/>
      </c>
      <c r="G3905" s="106">
        <f>INDEX(SETORES!$B:$B,MATCH(A3905,SETORES!$A:$A,0))</f>
        <v/>
      </c>
      <c r="H3905" s="106" t="inlineStr">
        <is>
          <t>Novembro/2026</t>
        </is>
      </c>
    </row>
    <row r="3906">
      <c r="A3906" s="106" t="inlineStr">
        <is>
          <t>Estoque</t>
        </is>
      </c>
      <c r="B3906" s="106" t="inlineStr">
        <is>
          <t>Custo Fixo</t>
        </is>
      </c>
      <c r="C3906" s="106" t="inlineStr">
        <is>
          <t>Stargrid</t>
        </is>
      </c>
      <c r="D3906" s="107" t="n">
        <v>16</v>
      </c>
      <c r="E3906" s="108" t="n">
        <v>1.87</v>
      </c>
      <c r="F3906" s="109">
        <f>IFERROR(D3906*E3906,0)</f>
        <v/>
      </c>
      <c r="G3906" s="106">
        <f>INDEX(SETORES!$B:$B,MATCH(A3906,SETORES!$A:$A,0))</f>
        <v/>
      </c>
      <c r="H3906" s="106" t="inlineStr">
        <is>
          <t>Novembro/2026</t>
        </is>
      </c>
    </row>
    <row r="3907">
      <c r="A3907" s="106" t="inlineStr">
        <is>
          <t>Financeiro</t>
        </is>
      </c>
      <c r="B3907" s="106" t="inlineStr">
        <is>
          <t>Custo Fixo</t>
        </is>
      </c>
      <c r="C3907" s="106" t="inlineStr">
        <is>
          <t>Material de escritório (suprimentos de informática)</t>
        </is>
      </c>
      <c r="D3907" s="107" t="n">
        <v>1</v>
      </c>
      <c r="E3907" s="108" t="n">
        <v>4.82</v>
      </c>
      <c r="F3907" s="109">
        <f>IFERROR(D3907*E3907,0)</f>
        <v/>
      </c>
      <c r="G3907" s="106">
        <f>INDEX(SETORES!$B:$B,MATCH(A3907,SETORES!$A:$A,0))</f>
        <v/>
      </c>
      <c r="H3907" s="106" t="inlineStr">
        <is>
          <t>Novembro/2026</t>
        </is>
      </c>
    </row>
    <row r="3908">
      <c r="A3908" s="106" t="inlineStr">
        <is>
          <t>Financeiro</t>
        </is>
      </c>
      <c r="B3908" s="106" t="inlineStr">
        <is>
          <t>Custo Fixo</t>
        </is>
      </c>
      <c r="C3908" s="106" t="inlineStr">
        <is>
          <t>Material de uso coletivo (copa/limpeza)</t>
        </is>
      </c>
      <c r="D3908" s="107" t="n">
        <v>1</v>
      </c>
      <c r="E3908" s="108" t="n">
        <v>438.85</v>
      </c>
      <c r="F3908" s="109">
        <f>IFERROR(D3908*E3908,0)</f>
        <v/>
      </c>
      <c r="G3908" s="106">
        <f>INDEX(SETORES!$B:$B,MATCH(A3908,SETORES!$A:$A,0))</f>
        <v/>
      </c>
      <c r="H3908" s="106" t="inlineStr">
        <is>
          <t>Novembro/2026</t>
        </is>
      </c>
    </row>
    <row r="3909">
      <c r="A3909" s="106" t="inlineStr">
        <is>
          <t>Financeiro</t>
        </is>
      </c>
      <c r="B3909" s="106" t="inlineStr">
        <is>
          <t>Custo Fixo</t>
        </is>
      </c>
      <c r="C3909" s="106" t="inlineStr">
        <is>
          <t>Energia elétrica (rateio)</t>
        </is>
      </c>
      <c r="D3909" s="107" t="n"/>
      <c r="E3909" s="108" t="n"/>
      <c r="F3909" s="109">
        <f>IFERROR(D3909*E3909,0)</f>
        <v/>
      </c>
      <c r="G3909" s="106">
        <f>INDEX(SETORES!$B:$B,MATCH(A3909,SETORES!$A:$A,0))</f>
        <v/>
      </c>
      <c r="H3909" s="106" t="inlineStr">
        <is>
          <t>Novembro/2026</t>
        </is>
      </c>
    </row>
    <row r="3910">
      <c r="A3910" s="106" t="inlineStr">
        <is>
          <t>Financeiro</t>
        </is>
      </c>
      <c r="B3910" s="106" t="inlineStr">
        <is>
          <t>Custo Fixo</t>
        </is>
      </c>
      <c r="C3910" s="106" t="inlineStr">
        <is>
          <t>Água e esgoto (rateio)</t>
        </is>
      </c>
      <c r="D3910" s="107" t="n"/>
      <c r="E3910" s="108" t="n"/>
      <c r="F3910" s="109">
        <f>IFERROR(D3910*E3910,0)</f>
        <v/>
      </c>
      <c r="G3910" s="106">
        <f>INDEX(SETORES!$B:$B,MATCH(A3910,SETORES!$A:$A,0))</f>
        <v/>
      </c>
      <c r="H3910" s="106" t="inlineStr">
        <is>
          <t>Novembro/2026</t>
        </is>
      </c>
    </row>
    <row r="3911">
      <c r="A3911" s="106" t="inlineStr">
        <is>
          <t>Financeiro</t>
        </is>
      </c>
      <c r="B3911" s="106" t="inlineStr">
        <is>
          <t>Custo Fixo</t>
        </is>
      </c>
      <c r="C3911" s="106" t="inlineStr">
        <is>
          <t>Telefonia móvel corporativa</t>
        </is>
      </c>
      <c r="D3911" s="107" t="n"/>
      <c r="E3911" s="108" t="n"/>
      <c r="F3911" s="109">
        <f>IFERROR(D3911*E3911,0)</f>
        <v/>
      </c>
      <c r="G3911" s="106">
        <f>INDEX(SETORES!$B:$B,MATCH(A3911,SETORES!$A:$A,0))</f>
        <v/>
      </c>
      <c r="H3911" s="106" t="inlineStr">
        <is>
          <t>Novembro/2026</t>
        </is>
      </c>
    </row>
    <row r="3912">
      <c r="A3912" s="106" t="inlineStr">
        <is>
          <t>Financeiro</t>
        </is>
      </c>
      <c r="B3912" s="106" t="inlineStr">
        <is>
          <t>Custo Fixo</t>
        </is>
      </c>
      <c r="C3912" s="106" t="inlineStr">
        <is>
          <t>Folha de pagamento (salários)</t>
        </is>
      </c>
      <c r="D3912" s="107" t="n">
        <v>1</v>
      </c>
      <c r="E3912" s="108" t="n">
        <v>33181.94</v>
      </c>
      <c r="F3912" s="109">
        <f>IFERROR(D3912*E3912,0)</f>
        <v/>
      </c>
      <c r="G3912" s="106">
        <f>INDEX(SETORES!$B:$B,MATCH(A3912,SETORES!$A:$A,0))</f>
        <v/>
      </c>
      <c r="H3912" s="106" t="inlineStr">
        <is>
          <t>Novembro/2026</t>
        </is>
      </c>
    </row>
    <row r="3913">
      <c r="A3913" s="106" t="inlineStr">
        <is>
          <t>Financeiro</t>
        </is>
      </c>
      <c r="B3913" s="106" t="inlineStr">
        <is>
          <t>Custo Fixo</t>
        </is>
      </c>
      <c r="C3913" s="106" t="inlineStr">
        <is>
          <t>Licenças de software/sistemas corporativos (Financeiro)</t>
        </is>
      </c>
      <c r="D3913" s="107" t="n"/>
      <c r="E3913" s="108" t="n"/>
      <c r="F3913" s="109">
        <f>IFERROR(D3913*E3913,0)</f>
        <v/>
      </c>
      <c r="G3913" s="106">
        <f>INDEX(SETORES!$B:$B,MATCH(A3913,SETORES!$A:$A,0))</f>
        <v/>
      </c>
      <c r="H3913" s="106" t="inlineStr">
        <is>
          <t>Novembro/2026</t>
        </is>
      </c>
    </row>
    <row r="3914">
      <c r="A3914" s="106" t="inlineStr">
        <is>
          <t>Financeiro</t>
        </is>
      </c>
      <c r="B3914" s="106" t="inlineStr">
        <is>
          <t>Custo Variável</t>
        </is>
      </c>
      <c r="C3914" s="106" t="inlineStr">
        <is>
          <t>Fardamento novo</t>
        </is>
      </c>
      <c r="D3914" s="107" t="n"/>
      <c r="E3914" s="108" t="n"/>
      <c r="F3914" s="109">
        <f>IFERROR(D3914*E3914,0)</f>
        <v/>
      </c>
      <c r="G3914" s="106">
        <f>INDEX(SETORES!$B:$B,MATCH(A3914,SETORES!$A:$A,0))</f>
        <v/>
      </c>
      <c r="H3914" s="106" t="inlineStr">
        <is>
          <t>Novembro/2026</t>
        </is>
      </c>
    </row>
    <row r="3915">
      <c r="A3915" s="106" t="inlineStr">
        <is>
          <t>Financeiro</t>
        </is>
      </c>
      <c r="B3915" s="106" t="inlineStr">
        <is>
          <t>Custo Variável</t>
        </is>
      </c>
      <c r="C3915" s="106" t="inlineStr">
        <is>
          <t>Fardamento substituição</t>
        </is>
      </c>
      <c r="D3915" s="107" t="n"/>
      <c r="E3915" s="108" t="n"/>
      <c r="F3915" s="109">
        <f>IFERROR(D3915*E3915,0)</f>
        <v/>
      </c>
      <c r="G3915" s="106">
        <f>INDEX(SETORES!$B:$B,MATCH(A3915,SETORES!$A:$A,0))</f>
        <v/>
      </c>
      <c r="H3915" s="106" t="inlineStr">
        <is>
          <t>Novembro/2026</t>
        </is>
      </c>
    </row>
    <row r="3916">
      <c r="A3916" s="106" t="inlineStr">
        <is>
          <t>Financeiro</t>
        </is>
      </c>
      <c r="B3916" s="106" t="inlineStr">
        <is>
          <t>Custo Fixo</t>
        </is>
      </c>
      <c r="C3916" s="106" t="inlineStr">
        <is>
          <t>Licença de e-mail corporativo</t>
        </is>
      </c>
      <c r="D3916" s="107" t="n">
        <v>8</v>
      </c>
      <c r="E3916" s="108" t="n">
        <v>50</v>
      </c>
      <c r="F3916" s="109">
        <f>IFERROR(D3916*E3916,0)</f>
        <v/>
      </c>
      <c r="G3916" s="106">
        <f>INDEX(SETORES!$B:$B,MATCH(A3916,SETORES!$A:$A,0))</f>
        <v/>
      </c>
      <c r="H3916" s="106" t="inlineStr">
        <is>
          <t>Novembro/2026</t>
        </is>
      </c>
    </row>
    <row r="3917">
      <c r="A3917" s="106" t="inlineStr">
        <is>
          <t>Financeiro</t>
        </is>
      </c>
      <c r="B3917" s="106" t="inlineStr">
        <is>
          <t>Custo Fixo</t>
        </is>
      </c>
      <c r="C3917" s="106" t="inlineStr">
        <is>
          <t>Impressora</t>
        </is>
      </c>
      <c r="D3917" s="107" t="n"/>
      <c r="E3917" s="108" t="n"/>
      <c r="F3917" s="109">
        <f>IFERROR(D3917*E3917,0)</f>
        <v/>
      </c>
      <c r="G3917" s="106">
        <f>INDEX(SETORES!$B:$B,MATCH(A3917,SETORES!$A:$A,0))</f>
        <v/>
      </c>
      <c r="H3917" s="106" t="inlineStr">
        <is>
          <t>Novembro/2026</t>
        </is>
      </c>
    </row>
    <row r="3918">
      <c r="A3918" s="106" t="inlineStr">
        <is>
          <t>Financeiro</t>
        </is>
      </c>
      <c r="B3918" s="106" t="inlineStr">
        <is>
          <t>Custo Fixo</t>
        </is>
      </c>
      <c r="C3918" s="106" t="inlineStr">
        <is>
          <t>Gympass</t>
        </is>
      </c>
      <c r="D3918" s="107" t="n"/>
      <c r="E3918" s="108" t="n"/>
      <c r="F3918" s="109">
        <f>IFERROR(D3918*E3918,0)</f>
        <v/>
      </c>
      <c r="G3918" s="106">
        <f>INDEX(SETORES!$B:$B,MATCH(A3918,SETORES!$A:$A,0))</f>
        <v/>
      </c>
      <c r="H3918" s="106" t="inlineStr">
        <is>
          <t>Novembro/2026</t>
        </is>
      </c>
    </row>
    <row r="3919">
      <c r="A3919" s="106" t="inlineStr">
        <is>
          <t>Financeiro</t>
        </is>
      </c>
      <c r="B3919" s="106" t="inlineStr">
        <is>
          <t>Custo Fixo</t>
        </is>
      </c>
      <c r="C3919" s="106" t="inlineStr">
        <is>
          <t>Stargrid</t>
        </is>
      </c>
      <c r="D3919" s="107" t="n">
        <v>8</v>
      </c>
      <c r="E3919" s="108" t="n">
        <v>1.87</v>
      </c>
      <c r="F3919" s="109">
        <f>IFERROR(D3919*E3919,0)</f>
        <v/>
      </c>
      <c r="G3919" s="106">
        <f>INDEX(SETORES!$B:$B,MATCH(A3919,SETORES!$A:$A,0))</f>
        <v/>
      </c>
      <c r="H3919" s="106" t="inlineStr">
        <is>
          <t>Novembro/2026</t>
        </is>
      </c>
    </row>
    <row r="3920">
      <c r="A3920" s="106" t="inlineStr">
        <is>
          <t>Logística</t>
        </is>
      </c>
      <c r="B3920" s="106" t="inlineStr">
        <is>
          <t>Custo Fixo</t>
        </is>
      </c>
      <c r="C3920" s="106" t="inlineStr">
        <is>
          <t>Material de escritório (suprimentos de informática)</t>
        </is>
      </c>
      <c r="D3920" s="107" t="n">
        <v>1</v>
      </c>
      <c r="E3920" s="108" t="n">
        <v>89.59</v>
      </c>
      <c r="F3920" s="109">
        <f>IFERROR(D3920*E3920,0)</f>
        <v/>
      </c>
      <c r="G3920" s="106">
        <f>INDEX(SETORES!$B:$B,MATCH(A3920,SETORES!$A:$A,0))</f>
        <v/>
      </c>
      <c r="H3920" s="106" t="inlineStr">
        <is>
          <t>Novembro/2026</t>
        </is>
      </c>
    </row>
    <row r="3921">
      <c r="A3921" s="106" t="inlineStr">
        <is>
          <t>Logística</t>
        </is>
      </c>
      <c r="B3921" s="106" t="inlineStr">
        <is>
          <t>Custo Fixo</t>
        </is>
      </c>
      <c r="C3921" s="106" t="inlineStr">
        <is>
          <t>Material de uso coletivo (copa/limpeza)</t>
        </is>
      </c>
      <c r="D3921" s="107" t="n">
        <v>1</v>
      </c>
      <c r="E3921" s="108" t="n">
        <v>830.33</v>
      </c>
      <c r="F3921" s="109">
        <f>IFERROR(D3921*E3921,0)</f>
        <v/>
      </c>
      <c r="G3921" s="106">
        <f>INDEX(SETORES!$B:$B,MATCH(A3921,SETORES!$A:$A,0))</f>
        <v/>
      </c>
      <c r="H3921" s="106" t="inlineStr">
        <is>
          <t>Novembro/2026</t>
        </is>
      </c>
    </row>
    <row r="3922">
      <c r="A3922" s="106" t="inlineStr">
        <is>
          <t>Logística</t>
        </is>
      </c>
      <c r="B3922" s="106" t="inlineStr">
        <is>
          <t>Custo Fixo</t>
        </is>
      </c>
      <c r="C3922" s="106" t="inlineStr">
        <is>
          <t>Energia elétrica (rateio)</t>
        </is>
      </c>
      <c r="D3922" s="107" t="n"/>
      <c r="E3922" s="108" t="n"/>
      <c r="F3922" s="109">
        <f>IFERROR(D3922*E3922,0)</f>
        <v/>
      </c>
      <c r="G3922" s="106">
        <f>INDEX(SETORES!$B:$B,MATCH(A3922,SETORES!$A:$A,0))</f>
        <v/>
      </c>
      <c r="H3922" s="106" t="inlineStr">
        <is>
          <t>Novembro/2026</t>
        </is>
      </c>
    </row>
    <row r="3923">
      <c r="A3923" s="106" t="inlineStr">
        <is>
          <t>Logística</t>
        </is>
      </c>
      <c r="B3923" s="106" t="inlineStr">
        <is>
          <t>Custo Fixo</t>
        </is>
      </c>
      <c r="C3923" s="106" t="inlineStr">
        <is>
          <t>Água e esgoto (rateio)</t>
        </is>
      </c>
      <c r="D3923" s="107" t="n"/>
      <c r="E3923" s="108" t="n"/>
      <c r="F3923" s="109">
        <f>IFERROR(D3923*E3923,0)</f>
        <v/>
      </c>
      <c r="G3923" s="106">
        <f>INDEX(SETORES!$B:$B,MATCH(A3923,SETORES!$A:$A,0))</f>
        <v/>
      </c>
      <c r="H3923" s="106" t="inlineStr">
        <is>
          <t>Novembro/2026</t>
        </is>
      </c>
    </row>
    <row r="3924">
      <c r="A3924" s="106" t="inlineStr">
        <is>
          <t>Logística</t>
        </is>
      </c>
      <c r="B3924" s="106" t="inlineStr">
        <is>
          <t>Custo Fixo</t>
        </is>
      </c>
      <c r="C3924" s="106" t="inlineStr">
        <is>
          <t>Telefonia móvel corporativa</t>
        </is>
      </c>
      <c r="D3924" s="107" t="n"/>
      <c r="E3924" s="108" t="n"/>
      <c r="F3924" s="109">
        <f>IFERROR(D3924*E3924,0)</f>
        <v/>
      </c>
      <c r="G3924" s="106">
        <f>INDEX(SETORES!$B:$B,MATCH(A3924,SETORES!$A:$A,0))</f>
        <v/>
      </c>
      <c r="H3924" s="106" t="inlineStr">
        <is>
          <t>Novembro/2026</t>
        </is>
      </c>
    </row>
    <row r="3925">
      <c r="A3925" s="106" t="inlineStr">
        <is>
          <t>Logística</t>
        </is>
      </c>
      <c r="B3925" s="106" t="inlineStr">
        <is>
          <t>Custo Fixo</t>
        </is>
      </c>
      <c r="C3925" s="106" t="inlineStr">
        <is>
          <t>Folha de pagamento (salários)</t>
        </is>
      </c>
      <c r="D3925" s="107" t="n">
        <v>1</v>
      </c>
      <c r="E3925" s="108" t="n">
        <v>92482.67999999999</v>
      </c>
      <c r="F3925" s="109">
        <f>IFERROR(D3925*E3925,0)</f>
        <v/>
      </c>
      <c r="G3925" s="106">
        <f>INDEX(SETORES!$B:$B,MATCH(A3925,SETORES!$A:$A,0))</f>
        <v/>
      </c>
      <c r="H3925" s="106" t="inlineStr">
        <is>
          <t>Novembro/2026</t>
        </is>
      </c>
    </row>
    <row r="3926">
      <c r="A3926" s="106" t="inlineStr">
        <is>
          <t>Logística</t>
        </is>
      </c>
      <c r="B3926" s="106" t="inlineStr">
        <is>
          <t>Custo Variável</t>
        </is>
      </c>
      <c r="C3926" s="106" t="inlineStr">
        <is>
          <t>Combustível de frota</t>
        </is>
      </c>
      <c r="D3926" s="107" t="n">
        <v>1</v>
      </c>
      <c r="E3926" s="108" t="n">
        <v>39191.62</v>
      </c>
      <c r="F3926" s="109">
        <f>IFERROR(D3926*E3926,0)</f>
        <v/>
      </c>
      <c r="G3926" s="106">
        <f>INDEX(SETORES!$B:$B,MATCH(A3926,SETORES!$A:$A,0))</f>
        <v/>
      </c>
      <c r="H3926" s="106" t="inlineStr">
        <is>
          <t>Novembro/2026</t>
        </is>
      </c>
    </row>
    <row r="3927">
      <c r="A3927" s="106" t="inlineStr">
        <is>
          <t>Logística</t>
        </is>
      </c>
      <c r="B3927" s="106" t="inlineStr">
        <is>
          <t>Custo Variável</t>
        </is>
      </c>
      <c r="C3927" s="106" t="inlineStr">
        <is>
          <t>Manutenção de veículos</t>
        </is>
      </c>
      <c r="D3927" s="107" t="n"/>
      <c r="E3927" s="108" t="n"/>
      <c r="F3927" s="109">
        <f>IFERROR(D3927*E3927,0)</f>
        <v/>
      </c>
      <c r="G3927" s="106">
        <f>INDEX(SETORES!$B:$B,MATCH(A3927,SETORES!$A:$A,0))</f>
        <v/>
      </c>
      <c r="H3927" s="106" t="inlineStr">
        <is>
          <t>Novembro/2026</t>
        </is>
      </c>
    </row>
    <row r="3928">
      <c r="A3928" s="106" t="inlineStr">
        <is>
          <t>Logística</t>
        </is>
      </c>
      <c r="B3928" s="106" t="inlineStr">
        <is>
          <t>Custo Variável</t>
        </is>
      </c>
      <c r="C3928" s="106" t="inlineStr">
        <is>
          <t>Fardamento novo</t>
        </is>
      </c>
      <c r="D3928" s="107" t="n">
        <v>1</v>
      </c>
      <c r="E3928" s="108" t="n">
        <v>90</v>
      </c>
      <c r="F3928" s="109">
        <f>IFERROR(D3928*E3928,0)</f>
        <v/>
      </c>
      <c r="G3928" s="106">
        <f>INDEX(SETORES!$B:$B,MATCH(A3928,SETORES!$A:$A,0))</f>
        <v/>
      </c>
      <c r="H3928" s="106" t="inlineStr">
        <is>
          <t>Novembro/2026</t>
        </is>
      </c>
    </row>
    <row r="3929">
      <c r="A3929" s="106" t="inlineStr">
        <is>
          <t>Logística</t>
        </is>
      </c>
      <c r="B3929" s="106" t="inlineStr">
        <is>
          <t>Custo Variável</t>
        </is>
      </c>
      <c r="C3929" s="106" t="inlineStr">
        <is>
          <t>Fardamento substituição</t>
        </is>
      </c>
      <c r="D3929" s="107" t="n"/>
      <c r="E3929" s="108" t="n"/>
      <c r="F3929" s="109">
        <f>IFERROR(D3929*E3929,0)</f>
        <v/>
      </c>
      <c r="G3929" s="106">
        <f>INDEX(SETORES!$B:$B,MATCH(A3929,SETORES!$A:$A,0))</f>
        <v/>
      </c>
      <c r="H3929" s="106" t="inlineStr">
        <is>
          <t>Novembro/2026</t>
        </is>
      </c>
    </row>
    <row r="3930">
      <c r="A3930" s="106" t="inlineStr">
        <is>
          <t>Logística</t>
        </is>
      </c>
      <c r="B3930" s="106" t="inlineStr">
        <is>
          <t>Custo Variável</t>
        </is>
      </c>
      <c r="C3930" s="106" t="inlineStr">
        <is>
          <t>EPIs - Equipamento de Proteção Individual</t>
        </is>
      </c>
      <c r="D3930" s="107" t="n"/>
      <c r="E3930" s="108" t="n"/>
      <c r="F3930" s="109">
        <f>IFERROR(D3930*E3930,0)</f>
        <v/>
      </c>
      <c r="G3930" s="106">
        <f>INDEX(SETORES!$B:$B,MATCH(A3930,SETORES!$A:$A,0))</f>
        <v/>
      </c>
      <c r="H3930" s="106" t="inlineStr">
        <is>
          <t>Novembro/2026</t>
        </is>
      </c>
    </row>
    <row r="3931">
      <c r="A3931" s="106" t="inlineStr">
        <is>
          <t>Logística</t>
        </is>
      </c>
      <c r="B3931" s="106" t="inlineStr">
        <is>
          <t>Custo Variável</t>
        </is>
      </c>
      <c r="C3931" s="106" t="inlineStr">
        <is>
          <t>Rateio de transporte coletivo</t>
        </is>
      </c>
      <c r="D3931" s="107" t="n"/>
      <c r="E3931" s="108" t="n"/>
      <c r="F3931" s="109">
        <f>IFERROR(D3931*E3931,0)</f>
        <v/>
      </c>
      <c r="G3931" s="106">
        <f>INDEX(SETORES!$B:$B,MATCH(A3931,SETORES!$A:$A,0))</f>
        <v/>
      </c>
      <c r="H3931" s="106" t="inlineStr">
        <is>
          <t>Novembro/2026</t>
        </is>
      </c>
    </row>
    <row r="3932">
      <c r="A3932" s="106" t="inlineStr">
        <is>
          <t>Logística</t>
        </is>
      </c>
      <c r="B3932" s="106" t="inlineStr">
        <is>
          <t>Custo Fixo</t>
        </is>
      </c>
      <c r="C3932" s="106" t="inlineStr">
        <is>
          <t>Licença de e-mail corporativo</t>
        </is>
      </c>
      <c r="D3932" s="107" t="n">
        <v>16</v>
      </c>
      <c r="E3932" s="108" t="n">
        <v>50</v>
      </c>
      <c r="F3932" s="109">
        <f>IFERROR(D3932*E3932,0)</f>
        <v/>
      </c>
      <c r="G3932" s="106">
        <f>INDEX(SETORES!$B:$B,MATCH(A3932,SETORES!$A:$A,0))</f>
        <v/>
      </c>
      <c r="H3932" s="106" t="inlineStr">
        <is>
          <t>Novembro/2026</t>
        </is>
      </c>
    </row>
    <row r="3933">
      <c r="A3933" s="106" t="inlineStr">
        <is>
          <t>Logística</t>
        </is>
      </c>
      <c r="B3933" s="106" t="inlineStr">
        <is>
          <t>Custo Fixo</t>
        </is>
      </c>
      <c r="C3933" s="106" t="inlineStr">
        <is>
          <t>Impressora</t>
        </is>
      </c>
      <c r="D3933" s="107" t="n"/>
      <c r="E3933" s="108" t="n"/>
      <c r="F3933" s="109">
        <f>IFERROR(D3933*E3933,0)</f>
        <v/>
      </c>
      <c r="G3933" s="106">
        <f>INDEX(SETORES!$B:$B,MATCH(A3933,SETORES!$A:$A,0))</f>
        <v/>
      </c>
      <c r="H3933" s="106" t="inlineStr">
        <is>
          <t>Novembro/2026</t>
        </is>
      </c>
    </row>
    <row r="3934">
      <c r="A3934" s="106" t="inlineStr">
        <is>
          <t>Logística</t>
        </is>
      </c>
      <c r="B3934" s="106" t="inlineStr">
        <is>
          <t>Custo Fixo</t>
        </is>
      </c>
      <c r="C3934" s="106" t="inlineStr">
        <is>
          <t>Gympass</t>
        </is>
      </c>
      <c r="D3934" s="107" t="n"/>
      <c r="E3934" s="108" t="n"/>
      <c r="F3934" s="109">
        <f>IFERROR(D3934*E3934,0)</f>
        <v/>
      </c>
      <c r="G3934" s="106">
        <f>INDEX(SETORES!$B:$B,MATCH(A3934,SETORES!$A:$A,0))</f>
        <v/>
      </c>
      <c r="H3934" s="106" t="inlineStr">
        <is>
          <t>Novembro/2026</t>
        </is>
      </c>
    </row>
    <row r="3935">
      <c r="A3935" s="106" t="inlineStr">
        <is>
          <t>Logística</t>
        </is>
      </c>
      <c r="B3935" s="106" t="inlineStr">
        <is>
          <t>Custo Fixo</t>
        </is>
      </c>
      <c r="C3935" s="106" t="inlineStr">
        <is>
          <t>Stargrid</t>
        </is>
      </c>
      <c r="D3935" s="107" t="n">
        <v>16</v>
      </c>
      <c r="E3935" s="108" t="n">
        <v>1.87</v>
      </c>
      <c r="F3935" s="109">
        <f>IFERROR(D3935*E3935,0)</f>
        <v/>
      </c>
      <c r="G3935" s="106">
        <f>INDEX(SETORES!$B:$B,MATCH(A3935,SETORES!$A:$A,0))</f>
        <v/>
      </c>
      <c r="H3935" s="106" t="inlineStr">
        <is>
          <t>Novembro/2026</t>
        </is>
      </c>
    </row>
    <row r="3936">
      <c r="A3936" s="106" t="inlineStr">
        <is>
          <t>Manutenção Predial</t>
        </is>
      </c>
      <c r="B3936" s="106" t="inlineStr">
        <is>
          <t>Custo Fixo</t>
        </is>
      </c>
      <c r="C3936" s="106" t="inlineStr">
        <is>
          <t>Material de escritório (suprimentos de informática)</t>
        </is>
      </c>
      <c r="D3936" s="107" t="n"/>
      <c r="E3936" s="108" t="n"/>
      <c r="F3936" s="109">
        <f>IFERROR(D3936*E3936,0)</f>
        <v/>
      </c>
      <c r="G3936" s="106">
        <f>INDEX(SETORES!$B:$B,MATCH(A3936,SETORES!$A:$A,0))</f>
        <v/>
      </c>
      <c r="H3936" s="106" t="inlineStr">
        <is>
          <t>Novembro/2026</t>
        </is>
      </c>
    </row>
    <row r="3937">
      <c r="A3937" s="106" t="inlineStr">
        <is>
          <t>Manutenção Predial</t>
        </is>
      </c>
      <c r="B3937" s="106" t="inlineStr">
        <is>
          <t>Custo Fixo</t>
        </is>
      </c>
      <c r="C3937" s="106" t="inlineStr">
        <is>
          <t>Material de uso coletivo (copa/limpeza)</t>
        </is>
      </c>
      <c r="D3937" s="107" t="n"/>
      <c r="E3937" s="108" t="n"/>
      <c r="F3937" s="109">
        <f>IFERROR(D3937*E3937,0)</f>
        <v/>
      </c>
      <c r="G3937" s="106">
        <f>INDEX(SETORES!$B:$B,MATCH(A3937,SETORES!$A:$A,0))</f>
        <v/>
      </c>
      <c r="H3937" s="106" t="inlineStr">
        <is>
          <t>Novembro/2026</t>
        </is>
      </c>
    </row>
    <row r="3938">
      <c r="A3938" s="106" t="inlineStr">
        <is>
          <t>Manutenção Predial</t>
        </is>
      </c>
      <c r="B3938" s="106" t="inlineStr">
        <is>
          <t>Custo Fixo</t>
        </is>
      </c>
      <c r="C3938" s="106" t="inlineStr">
        <is>
          <t>Telefonia móvel corporativa</t>
        </is>
      </c>
      <c r="D3938" s="107" t="n"/>
      <c r="E3938" s="108" t="n"/>
      <c r="F3938" s="109">
        <f>IFERROR(D3938*E3938,0)</f>
        <v/>
      </c>
      <c r="G3938" s="106">
        <f>INDEX(SETORES!$B:$B,MATCH(A3938,SETORES!$A:$A,0))</f>
        <v/>
      </c>
      <c r="H3938" s="106" t="inlineStr">
        <is>
          <t>Novembro/2026</t>
        </is>
      </c>
    </row>
    <row r="3939">
      <c r="A3939" s="106" t="inlineStr">
        <is>
          <t>Manutenção Predial</t>
        </is>
      </c>
      <c r="B3939" s="106" t="inlineStr">
        <is>
          <t>Custo Fixo</t>
        </is>
      </c>
      <c r="C3939" s="106" t="inlineStr">
        <is>
          <t>Folha de pagamento (salários)</t>
        </is>
      </c>
      <c r="D3939" s="107" t="n">
        <v>1</v>
      </c>
      <c r="E3939" s="108" t="n">
        <v>116417.9</v>
      </c>
      <c r="F3939" s="109">
        <f>IFERROR(D3939*E3939,0)</f>
        <v/>
      </c>
      <c r="G3939" s="106">
        <f>INDEX(SETORES!$B:$B,MATCH(A3939,SETORES!$A:$A,0))</f>
        <v/>
      </c>
      <c r="H3939" s="106" t="inlineStr">
        <is>
          <t>Novembro/2026</t>
        </is>
      </c>
    </row>
    <row r="3940">
      <c r="A3940" s="106" t="inlineStr">
        <is>
          <t>Manutenção Predial</t>
        </is>
      </c>
      <c r="B3940" s="106" t="inlineStr">
        <is>
          <t>Custo Variável</t>
        </is>
      </c>
      <c r="C3940" s="106" t="inlineStr">
        <is>
          <t>Investimento de equipamentos (não patrimoniável)</t>
        </is>
      </c>
      <c r="D3940" s="107" t="n"/>
      <c r="E3940" s="108" t="n"/>
      <c r="F3940" s="109">
        <f>IFERROR(D3940*E3940,0)</f>
        <v/>
      </c>
      <c r="G3940" s="106">
        <f>INDEX(SETORES!$B:$B,MATCH(A3940,SETORES!$A:$A,0))</f>
        <v/>
      </c>
      <c r="H3940" s="106" t="inlineStr">
        <is>
          <t>Novembro/2026</t>
        </is>
      </c>
    </row>
    <row r="3941">
      <c r="A3941" s="106" t="inlineStr">
        <is>
          <t>Manutenção Predial</t>
        </is>
      </c>
      <c r="B3941" s="106" t="inlineStr">
        <is>
          <t>Custo Variável</t>
        </is>
      </c>
      <c r="C3941" s="106" t="inlineStr">
        <is>
          <t>EPIs - Equipamento de Proteção Individual</t>
        </is>
      </c>
      <c r="D3941" s="107" t="n"/>
      <c r="E3941" s="108" t="n"/>
      <c r="F3941" s="109">
        <f>IFERROR(D3941*E3941,0)</f>
        <v/>
      </c>
      <c r="G3941" s="106">
        <f>INDEX(SETORES!$B:$B,MATCH(A3941,SETORES!$A:$A,0))</f>
        <v/>
      </c>
      <c r="H3941" s="106" t="inlineStr">
        <is>
          <t>Novembro/2026</t>
        </is>
      </c>
    </row>
    <row r="3942">
      <c r="A3942" s="106" t="inlineStr">
        <is>
          <t>Manutenção Predial</t>
        </is>
      </c>
      <c r="B3942" s="106" t="inlineStr">
        <is>
          <t>Custo Fixo</t>
        </is>
      </c>
      <c r="C3942" s="106" t="inlineStr">
        <is>
          <t>Licença de e-mail corporativo</t>
        </is>
      </c>
      <c r="D3942" s="107" t="n">
        <v>15</v>
      </c>
      <c r="E3942" s="108" t="n">
        <v>50</v>
      </c>
      <c r="F3942" s="109">
        <f>IFERROR(D3942*E3942,0)</f>
        <v/>
      </c>
      <c r="G3942" s="106">
        <f>INDEX(SETORES!$B:$B,MATCH(A3942,SETORES!$A:$A,0))</f>
        <v/>
      </c>
      <c r="H3942" s="106" t="inlineStr">
        <is>
          <t>Novembro/2026</t>
        </is>
      </c>
    </row>
    <row r="3943">
      <c r="A3943" s="106" t="inlineStr">
        <is>
          <t>Manutenção Predial</t>
        </is>
      </c>
      <c r="B3943" s="106" t="inlineStr">
        <is>
          <t>Custo Variável</t>
        </is>
      </c>
      <c r="C3943" s="106" t="inlineStr">
        <is>
          <t>Combustível de frota</t>
        </is>
      </c>
      <c r="D3943" s="107" t="n">
        <v>1</v>
      </c>
      <c r="E3943" s="108" t="n">
        <v>11623.33</v>
      </c>
      <c r="F3943" s="109">
        <f>IFERROR(D3943*E3943,0)</f>
        <v/>
      </c>
      <c r="G3943" s="106">
        <f>INDEX(SETORES!$B:$B,MATCH(A3943,SETORES!$A:$A,0))</f>
        <v/>
      </c>
      <c r="H3943" s="106" t="inlineStr">
        <is>
          <t>Novembro/2026</t>
        </is>
      </c>
    </row>
    <row r="3944">
      <c r="A3944" s="106" t="inlineStr">
        <is>
          <t>Manutenção Predial</t>
        </is>
      </c>
      <c r="B3944" s="106" t="inlineStr">
        <is>
          <t>Custo Fixo</t>
        </is>
      </c>
      <c r="C3944" s="106" t="inlineStr">
        <is>
          <t>Gympass</t>
        </is>
      </c>
      <c r="D3944" s="107" t="n"/>
      <c r="E3944" s="108" t="n"/>
      <c r="F3944" s="109">
        <f>IFERROR(D3944*E3944,0)</f>
        <v/>
      </c>
      <c r="G3944" s="106">
        <f>INDEX(SETORES!$B:$B,MATCH(A3944,SETORES!$A:$A,0))</f>
        <v/>
      </c>
      <c r="H3944" s="106" t="inlineStr">
        <is>
          <t>Novembro/2026</t>
        </is>
      </c>
    </row>
    <row r="3945">
      <c r="A3945" s="106" t="inlineStr">
        <is>
          <t>Manutenção Predial</t>
        </is>
      </c>
      <c r="B3945" s="106" t="inlineStr">
        <is>
          <t>Custo Fixo</t>
        </is>
      </c>
      <c r="C3945" s="106" t="inlineStr">
        <is>
          <t>Stargrid</t>
        </is>
      </c>
      <c r="D3945" s="107" t="n">
        <v>15</v>
      </c>
      <c r="E3945" s="108" t="n">
        <v>1.87</v>
      </c>
      <c r="F3945" s="109">
        <f>IFERROR(D3945*E3945,0)</f>
        <v/>
      </c>
      <c r="G3945" s="106">
        <f>INDEX(SETORES!$B:$B,MATCH(A3945,SETORES!$A:$A,0))</f>
        <v/>
      </c>
      <c r="H3945" s="106" t="inlineStr">
        <is>
          <t>Novembro/2026</t>
        </is>
      </c>
    </row>
    <row r="3946">
      <c r="A3946" s="106" t="inlineStr">
        <is>
          <t>NOC</t>
        </is>
      </c>
      <c r="B3946" s="106" t="inlineStr">
        <is>
          <t>Custo Fixo</t>
        </is>
      </c>
      <c r="C3946" s="106" t="inlineStr">
        <is>
          <t>Material de escritório (suprimentos de informática)</t>
        </is>
      </c>
      <c r="D3946" s="107" t="n">
        <v>1</v>
      </c>
      <c r="E3946" s="108" t="n">
        <v>37.24</v>
      </c>
      <c r="F3946" s="109">
        <f>IFERROR(D3946*E3946,0)</f>
        <v/>
      </c>
      <c r="G3946" s="106">
        <f>INDEX(SETORES!$B:$B,MATCH(A3946,SETORES!$A:$A,0))</f>
        <v/>
      </c>
      <c r="H3946" s="106" t="inlineStr">
        <is>
          <t>Novembro/2026</t>
        </is>
      </c>
    </row>
    <row r="3947">
      <c r="A3947" s="106" t="inlineStr">
        <is>
          <t>NOC</t>
        </is>
      </c>
      <c r="B3947" s="106" t="inlineStr">
        <is>
          <t>Custo Fixo</t>
        </is>
      </c>
      <c r="C3947" s="106" t="inlineStr">
        <is>
          <t>Material de uso coletivo (copa/limpeza)</t>
        </is>
      </c>
      <c r="D3947" s="107" t="n">
        <v>1</v>
      </c>
      <c r="E3947" s="108" t="n">
        <v>288.15</v>
      </c>
      <c r="F3947" s="109">
        <f>IFERROR(D3947*E3947,0)</f>
        <v/>
      </c>
      <c r="G3947" s="106">
        <f>INDEX(SETORES!$B:$B,MATCH(A3947,SETORES!$A:$A,0))</f>
        <v/>
      </c>
      <c r="H3947" s="106" t="inlineStr">
        <is>
          <t>Novembro/2026</t>
        </is>
      </c>
    </row>
    <row r="3948">
      <c r="A3948" s="106" t="inlineStr">
        <is>
          <t>NOC</t>
        </is>
      </c>
      <c r="B3948" s="106" t="inlineStr">
        <is>
          <t>Custo Fixo</t>
        </is>
      </c>
      <c r="C3948" s="106" t="inlineStr">
        <is>
          <t>Energia elétrica (rateio)</t>
        </is>
      </c>
      <c r="D3948" s="107" t="n"/>
      <c r="E3948" s="108" t="n"/>
      <c r="F3948" s="109">
        <f>IFERROR(D3948*E3948,0)</f>
        <v/>
      </c>
      <c r="G3948" s="106">
        <f>INDEX(SETORES!$B:$B,MATCH(A3948,SETORES!$A:$A,0))</f>
        <v/>
      </c>
      <c r="H3948" s="106" t="inlineStr">
        <is>
          <t>Novembro/2026</t>
        </is>
      </c>
    </row>
    <row r="3949">
      <c r="A3949" s="106" t="inlineStr">
        <is>
          <t>NOC</t>
        </is>
      </c>
      <c r="B3949" s="106" t="inlineStr">
        <is>
          <t>Custo Fixo</t>
        </is>
      </c>
      <c r="C3949" s="106" t="inlineStr">
        <is>
          <t>Água e esgoto (rateio)</t>
        </is>
      </c>
      <c r="D3949" s="107" t="n"/>
      <c r="E3949" s="108" t="n"/>
      <c r="F3949" s="109">
        <f>IFERROR(D3949*E3949,0)</f>
        <v/>
      </c>
      <c r="G3949" s="106">
        <f>INDEX(SETORES!$B:$B,MATCH(A3949,SETORES!$A:$A,0))</f>
        <v/>
      </c>
      <c r="H3949" s="106" t="inlineStr">
        <is>
          <t>Novembro/2026</t>
        </is>
      </c>
    </row>
    <row r="3950">
      <c r="A3950" s="106" t="inlineStr">
        <is>
          <t>NOC</t>
        </is>
      </c>
      <c r="B3950" s="106" t="inlineStr">
        <is>
          <t>Custo Fixo</t>
        </is>
      </c>
      <c r="C3950" s="106" t="inlineStr">
        <is>
          <t>Telefonia móvel corporativa</t>
        </is>
      </c>
      <c r="D3950" s="107" t="n"/>
      <c r="E3950" s="108" t="n"/>
      <c r="F3950" s="109">
        <f>IFERROR(D3950*E3950,0)</f>
        <v/>
      </c>
      <c r="G3950" s="106">
        <f>INDEX(SETORES!$B:$B,MATCH(A3950,SETORES!$A:$A,0))</f>
        <v/>
      </c>
      <c r="H3950" s="106" t="inlineStr">
        <is>
          <t>Novembro/2026</t>
        </is>
      </c>
    </row>
    <row r="3951">
      <c r="A3951" s="106" t="inlineStr">
        <is>
          <t>NOC</t>
        </is>
      </c>
      <c r="B3951" s="106" t="inlineStr">
        <is>
          <t>Custo Fixo</t>
        </is>
      </c>
      <c r="C3951" s="106" t="inlineStr">
        <is>
          <t>Folha de pagamento (salários)</t>
        </is>
      </c>
      <c r="D3951" s="107" t="n">
        <v>1</v>
      </c>
      <c r="E3951" s="108" t="n">
        <v>42164.64</v>
      </c>
      <c r="F3951" s="109">
        <f>IFERROR(D3951*E3951,0)</f>
        <v/>
      </c>
      <c r="G3951" s="106">
        <f>INDEX(SETORES!$B:$B,MATCH(A3951,SETORES!$A:$A,0))</f>
        <v/>
      </c>
      <c r="H3951" s="106" t="inlineStr">
        <is>
          <t>Novembro/2026</t>
        </is>
      </c>
    </row>
    <row r="3952">
      <c r="A3952" s="106" t="inlineStr">
        <is>
          <t>NOC</t>
        </is>
      </c>
      <c r="B3952" s="106" t="inlineStr">
        <is>
          <t>Custo Fixo</t>
        </is>
      </c>
      <c r="C3952" s="106" t="inlineStr">
        <is>
          <t>Licença de e-mail corporativo</t>
        </is>
      </c>
      <c r="D3952" s="107" t="n">
        <v>3</v>
      </c>
      <c r="E3952" s="108" t="n">
        <v>50</v>
      </c>
      <c r="F3952" s="109">
        <f>IFERROR(D3952*E3952,0)</f>
        <v/>
      </c>
      <c r="G3952" s="106">
        <f>INDEX(SETORES!$B:$B,MATCH(A3952,SETORES!$A:$A,0))</f>
        <v/>
      </c>
      <c r="H3952" s="106" t="inlineStr">
        <is>
          <t>Novembro/2026</t>
        </is>
      </c>
    </row>
    <row r="3953">
      <c r="A3953" s="106" t="inlineStr">
        <is>
          <t>NOC</t>
        </is>
      </c>
      <c r="B3953" s="106" t="inlineStr">
        <is>
          <t>Custo Variável</t>
        </is>
      </c>
      <c r="C3953" s="106" t="inlineStr">
        <is>
          <t>Combustível de frota</t>
        </is>
      </c>
      <c r="D3953" s="107" t="n">
        <v>1</v>
      </c>
      <c r="E3953" s="108" t="n">
        <v>1882.43</v>
      </c>
      <c r="F3953" s="109">
        <f>IFERROR(D3953*E3953,0)</f>
        <v/>
      </c>
      <c r="G3953" s="106">
        <f>INDEX(SETORES!$B:$B,MATCH(A3953,SETORES!$A:$A,0))</f>
        <v/>
      </c>
      <c r="H3953" s="106" t="inlineStr">
        <is>
          <t>Novembro/2026</t>
        </is>
      </c>
    </row>
    <row r="3954">
      <c r="A3954" s="106" t="inlineStr">
        <is>
          <t>NOC</t>
        </is>
      </c>
      <c r="B3954" s="106" t="inlineStr">
        <is>
          <t>Custo Fixo</t>
        </is>
      </c>
      <c r="C3954" s="106" t="inlineStr">
        <is>
          <t>Gympass</t>
        </is>
      </c>
      <c r="D3954" s="107" t="n"/>
      <c r="E3954" s="108" t="n"/>
      <c r="F3954" s="109">
        <f>IFERROR(D3954*E3954,0)</f>
        <v/>
      </c>
      <c r="G3954" s="106">
        <f>INDEX(SETORES!$B:$B,MATCH(A3954,SETORES!$A:$A,0))</f>
        <v/>
      </c>
      <c r="H3954" s="106" t="inlineStr">
        <is>
          <t>Novembro/2026</t>
        </is>
      </c>
    </row>
    <row r="3955">
      <c r="A3955" s="106" t="inlineStr">
        <is>
          <t>NOC</t>
        </is>
      </c>
      <c r="B3955" s="106" t="inlineStr">
        <is>
          <t>Custo Fixo</t>
        </is>
      </c>
      <c r="C3955" s="106" t="inlineStr">
        <is>
          <t>Stargrid</t>
        </is>
      </c>
      <c r="D3955" s="107" t="n">
        <v>3</v>
      </c>
      <c r="E3955" s="108" t="n">
        <v>1.87</v>
      </c>
      <c r="F3955" s="109">
        <f>IFERROR(D3955*E3955,0)</f>
        <v/>
      </c>
      <c r="G3955" s="106">
        <f>INDEX(SETORES!$B:$B,MATCH(A3955,SETORES!$A:$A,0))</f>
        <v/>
      </c>
      <c r="H3955" s="106" t="inlineStr">
        <is>
          <t>Novembro/2026</t>
        </is>
      </c>
    </row>
    <row r="3956">
      <c r="A3956" s="106" t="inlineStr">
        <is>
          <t>NRC</t>
        </is>
      </c>
      <c r="B3956" s="106" t="inlineStr">
        <is>
          <t>Custo Fixo</t>
        </is>
      </c>
      <c r="C3956" s="106" t="inlineStr">
        <is>
          <t>Material de escritório (suprimentos de informática)</t>
        </is>
      </c>
      <c r="D3956" s="107" t="n">
        <v>1</v>
      </c>
      <c r="E3956" s="108" t="n">
        <v>12.09</v>
      </c>
      <c r="F3956" s="109">
        <f>IFERROR(D3956*E3956,0)</f>
        <v/>
      </c>
      <c r="G3956" s="106">
        <f>INDEX(SETORES!$B:$B,MATCH(A3956,SETORES!$A:$A,0))</f>
        <v/>
      </c>
      <c r="H3956" s="106" t="inlineStr">
        <is>
          <t>Novembro/2026</t>
        </is>
      </c>
    </row>
    <row r="3957">
      <c r="A3957" s="106" t="inlineStr">
        <is>
          <t>NRC</t>
        </is>
      </c>
      <c r="B3957" s="106" t="inlineStr">
        <is>
          <t>Custo Fixo</t>
        </is>
      </c>
      <c r="C3957" s="106" t="inlineStr">
        <is>
          <t>Material de uso coletivo (copa/limpeza)</t>
        </is>
      </c>
      <c r="D3957" s="107" t="n">
        <v>1</v>
      </c>
      <c r="E3957" s="108" t="n">
        <v>2123.29</v>
      </c>
      <c r="F3957" s="109">
        <f>IFERROR(D3957*E3957,0)</f>
        <v/>
      </c>
      <c r="G3957" s="106">
        <f>INDEX(SETORES!$B:$B,MATCH(A3957,SETORES!$A:$A,0))</f>
        <v/>
      </c>
      <c r="H3957" s="106" t="inlineStr">
        <is>
          <t>Novembro/2026</t>
        </is>
      </c>
    </row>
    <row r="3958">
      <c r="A3958" s="106" t="inlineStr">
        <is>
          <t>NRC</t>
        </is>
      </c>
      <c r="B3958" s="106" t="inlineStr">
        <is>
          <t>Custo Fixo</t>
        </is>
      </c>
      <c r="C3958" s="106" t="inlineStr">
        <is>
          <t>Energia elétrica (rateio)</t>
        </is>
      </c>
      <c r="D3958" s="107" t="n"/>
      <c r="E3958" s="108" t="n"/>
      <c r="F3958" s="109">
        <f>IFERROR(D3958*E3958,0)</f>
        <v/>
      </c>
      <c r="G3958" s="106">
        <f>INDEX(SETORES!$B:$B,MATCH(A3958,SETORES!$A:$A,0))</f>
        <v/>
      </c>
      <c r="H3958" s="106" t="inlineStr">
        <is>
          <t>Novembro/2026</t>
        </is>
      </c>
    </row>
    <row r="3959">
      <c r="A3959" s="106" t="inlineStr">
        <is>
          <t>NRC</t>
        </is>
      </c>
      <c r="B3959" s="106" t="inlineStr">
        <is>
          <t>Custo Fixo</t>
        </is>
      </c>
      <c r="C3959" s="106" t="inlineStr">
        <is>
          <t>Água e esgoto (rateio)</t>
        </is>
      </c>
      <c r="D3959" s="107" t="n"/>
      <c r="E3959" s="108" t="n"/>
      <c r="F3959" s="109">
        <f>IFERROR(D3959*E3959,0)</f>
        <v/>
      </c>
      <c r="G3959" s="106">
        <f>INDEX(SETORES!$B:$B,MATCH(A3959,SETORES!$A:$A,0))</f>
        <v/>
      </c>
      <c r="H3959" s="106" t="inlineStr">
        <is>
          <t>Novembro/2026</t>
        </is>
      </c>
    </row>
    <row r="3960">
      <c r="A3960" s="106" t="inlineStr">
        <is>
          <t>NRC</t>
        </is>
      </c>
      <c r="B3960" s="106" t="inlineStr">
        <is>
          <t>Custo Fixo</t>
        </is>
      </c>
      <c r="C3960" s="106" t="inlineStr">
        <is>
          <t>Telefonia móvel corporativa</t>
        </is>
      </c>
      <c r="D3960" s="107" t="n"/>
      <c r="E3960" s="108" t="n"/>
      <c r="F3960" s="109">
        <f>IFERROR(D3960*E3960,0)</f>
        <v/>
      </c>
      <c r="G3960" s="106">
        <f>INDEX(SETORES!$B:$B,MATCH(A3960,SETORES!$A:$A,0))</f>
        <v/>
      </c>
      <c r="H3960" s="106" t="inlineStr">
        <is>
          <t>Novembro/2026</t>
        </is>
      </c>
    </row>
    <row r="3961">
      <c r="A3961" s="106" t="inlineStr">
        <is>
          <t>NRC</t>
        </is>
      </c>
      <c r="B3961" s="106" t="inlineStr">
        <is>
          <t>Custo Fixo</t>
        </is>
      </c>
      <c r="C3961" s="106" t="inlineStr">
        <is>
          <t>Folha de pagamento (salários)</t>
        </is>
      </c>
      <c r="D3961" s="107" t="n">
        <v>1</v>
      </c>
      <c r="E3961" s="108" t="n">
        <v>145351.16</v>
      </c>
      <c r="F3961" s="109">
        <f>IFERROR(D3961*E3961,0)</f>
        <v/>
      </c>
      <c r="G3961" s="106">
        <f>INDEX(SETORES!$B:$B,MATCH(A3961,SETORES!$A:$A,0))</f>
        <v/>
      </c>
      <c r="H3961" s="106" t="inlineStr">
        <is>
          <t>Novembro/2026</t>
        </is>
      </c>
    </row>
    <row r="3962">
      <c r="A3962" s="106" t="inlineStr">
        <is>
          <t>NRC</t>
        </is>
      </c>
      <c r="B3962" s="106" t="inlineStr">
        <is>
          <t>Custo Fixo</t>
        </is>
      </c>
      <c r="C3962" s="106" t="inlineStr">
        <is>
          <t>Licenças de software/sistemas corporativos</t>
        </is>
      </c>
      <c r="D3962" s="107" t="n"/>
      <c r="E3962" s="108" t="n"/>
      <c r="F3962" s="109">
        <f>IFERROR(D3962*E3962,0)</f>
        <v/>
      </c>
      <c r="G3962" s="106">
        <f>INDEX(SETORES!$B:$B,MATCH(A3962,SETORES!$A:$A,0))</f>
        <v/>
      </c>
      <c r="H3962" s="106" t="inlineStr">
        <is>
          <t>Novembro/2026</t>
        </is>
      </c>
    </row>
    <row r="3963">
      <c r="A3963" s="106" t="inlineStr">
        <is>
          <t>NRC</t>
        </is>
      </c>
      <c r="B3963" s="106" t="inlineStr">
        <is>
          <t>Custo Variável</t>
        </is>
      </c>
      <c r="C3963" s="106" t="inlineStr">
        <is>
          <t>Fardamento novo</t>
        </is>
      </c>
      <c r="D3963" s="107" t="n"/>
      <c r="E3963" s="108" t="n"/>
      <c r="F3963" s="109">
        <f>IFERROR(D3963*E3963,0)</f>
        <v/>
      </c>
      <c r="G3963" s="106">
        <f>INDEX(SETORES!$B:$B,MATCH(A3963,SETORES!$A:$A,0))</f>
        <v/>
      </c>
      <c r="H3963" s="106" t="inlineStr">
        <is>
          <t>Novembro/2026</t>
        </is>
      </c>
    </row>
    <row r="3964">
      <c r="A3964" s="106" t="inlineStr">
        <is>
          <t>NRC</t>
        </is>
      </c>
      <c r="B3964" s="106" t="inlineStr">
        <is>
          <t>Custo Variável</t>
        </is>
      </c>
      <c r="C3964" s="106" t="inlineStr">
        <is>
          <t>Fardamento substituição</t>
        </is>
      </c>
      <c r="D3964" s="107" t="n"/>
      <c r="E3964" s="108" t="n"/>
      <c r="F3964" s="109">
        <f>IFERROR(D3964*E3964,0)</f>
        <v/>
      </c>
      <c r="G3964" s="106">
        <f>INDEX(SETORES!$B:$B,MATCH(A3964,SETORES!$A:$A,0))</f>
        <v/>
      </c>
      <c r="H3964" s="106" t="inlineStr">
        <is>
          <t>Novembro/2026</t>
        </is>
      </c>
    </row>
    <row r="3965">
      <c r="A3965" s="106" t="inlineStr">
        <is>
          <t>NRC</t>
        </is>
      </c>
      <c r="B3965" s="106" t="inlineStr">
        <is>
          <t>Custo Variável</t>
        </is>
      </c>
      <c r="C3965" s="106" t="inlineStr">
        <is>
          <t>Rescisões trabalhistas</t>
        </is>
      </c>
      <c r="D3965" s="107" t="n"/>
      <c r="E3965" s="108" t="n"/>
      <c r="F3965" s="109">
        <f>IFERROR(D3965*E3965,0)</f>
        <v/>
      </c>
      <c r="G3965" s="106">
        <f>INDEX(SETORES!$B:$B,MATCH(A3965,SETORES!$A:$A,0))</f>
        <v/>
      </c>
      <c r="H3965" s="106" t="inlineStr">
        <is>
          <t>Novembro/2026</t>
        </is>
      </c>
    </row>
    <row r="3966">
      <c r="A3966" s="106" t="inlineStr">
        <is>
          <t>NRC</t>
        </is>
      </c>
      <c r="B3966" s="106" t="inlineStr">
        <is>
          <t>Custo Fixo</t>
        </is>
      </c>
      <c r="C3966" s="106" t="inlineStr">
        <is>
          <t>Licença de e-mail corporativo</t>
        </is>
      </c>
      <c r="D3966" s="107" t="n">
        <v>42</v>
      </c>
      <c r="E3966" s="108" t="n">
        <v>50</v>
      </c>
      <c r="F3966" s="109">
        <f>IFERROR(D3966*E3966,0)</f>
        <v/>
      </c>
      <c r="G3966" s="106">
        <f>INDEX(SETORES!$B:$B,MATCH(A3966,SETORES!$A:$A,0))</f>
        <v/>
      </c>
      <c r="H3966" s="106" t="inlineStr">
        <is>
          <t>Novembro/2026</t>
        </is>
      </c>
    </row>
    <row r="3967">
      <c r="A3967" s="106" t="inlineStr">
        <is>
          <t>NRC</t>
        </is>
      </c>
      <c r="B3967" s="106" t="inlineStr">
        <is>
          <t>Custo Fixo</t>
        </is>
      </c>
      <c r="C3967" s="106" t="inlineStr">
        <is>
          <t>Software MATRIX (rateio equipe Relacionamento)</t>
        </is>
      </c>
      <c r="D3967" s="107" t="n"/>
      <c r="E3967" s="108" t="n"/>
      <c r="F3967" s="109">
        <f>IFERROR(D3967*E3967,0)</f>
        <v/>
      </c>
      <c r="G3967" s="106">
        <f>INDEX(SETORES!$B:$B,MATCH(A3967,SETORES!$A:$A,0))</f>
        <v/>
      </c>
      <c r="H3967" s="106" t="inlineStr">
        <is>
          <t>Novembro/2026</t>
        </is>
      </c>
    </row>
    <row r="3968">
      <c r="A3968" s="106" t="inlineStr">
        <is>
          <t>NRC</t>
        </is>
      </c>
      <c r="B3968" s="106" t="inlineStr">
        <is>
          <t>Custo Fixo</t>
        </is>
      </c>
      <c r="C3968" s="106" t="inlineStr">
        <is>
          <t>Impressora (rateio equipe Relacionamento)</t>
        </is>
      </c>
      <c r="D3968" s="107" t="n"/>
      <c r="E3968" s="108" t="n"/>
      <c r="F3968" s="109">
        <f>IFERROR(D3968*E3968,0)</f>
        <v/>
      </c>
      <c r="G3968" s="106">
        <f>INDEX(SETORES!$B:$B,MATCH(A3968,SETORES!$A:$A,0))</f>
        <v/>
      </c>
      <c r="H3968" s="106" t="inlineStr">
        <is>
          <t>Novembro/2026</t>
        </is>
      </c>
    </row>
    <row r="3969">
      <c r="A3969" s="106" t="inlineStr">
        <is>
          <t>NRC</t>
        </is>
      </c>
      <c r="B3969" s="106" t="inlineStr">
        <is>
          <t>Custo Fixo</t>
        </is>
      </c>
      <c r="C3969" s="106" t="inlineStr">
        <is>
          <t>Gympass</t>
        </is>
      </c>
      <c r="D3969" s="107" t="n"/>
      <c r="E3969" s="108" t="n"/>
      <c r="F3969" s="109">
        <f>IFERROR(D3969*E3969,0)</f>
        <v/>
      </c>
      <c r="G3969" s="106">
        <f>INDEX(SETORES!$B:$B,MATCH(A3969,SETORES!$A:$A,0))</f>
        <v/>
      </c>
      <c r="H3969" s="106" t="inlineStr">
        <is>
          <t>Novembro/2026</t>
        </is>
      </c>
    </row>
    <row r="3970">
      <c r="A3970" s="106" t="inlineStr">
        <is>
          <t>NRC</t>
        </is>
      </c>
      <c r="B3970" s="106" t="inlineStr">
        <is>
          <t>Custo Fixo</t>
        </is>
      </c>
      <c r="C3970" s="106" t="inlineStr">
        <is>
          <t>Stargrid</t>
        </is>
      </c>
      <c r="D3970" s="107" t="n">
        <v>42</v>
      </c>
      <c r="E3970" s="108" t="n">
        <v>1.87</v>
      </c>
      <c r="F3970" s="109">
        <f>IFERROR(D3970*E3970,0)</f>
        <v/>
      </c>
      <c r="G3970" s="106">
        <f>INDEX(SETORES!$B:$B,MATCH(A3970,SETORES!$A:$A,0))</f>
        <v/>
      </c>
      <c r="H3970" s="106" t="inlineStr">
        <is>
          <t>Novembro/2026</t>
        </is>
      </c>
    </row>
    <row r="3971">
      <c r="A3971" s="106" t="inlineStr">
        <is>
          <t>Obras</t>
        </is>
      </c>
      <c r="B3971" s="106" t="inlineStr">
        <is>
          <t>Custo Fixo</t>
        </is>
      </c>
      <c r="C3971" s="106" t="inlineStr">
        <is>
          <t>Telefonia móvel corporativa</t>
        </is>
      </c>
      <c r="D3971" s="107" t="n"/>
      <c r="E3971" s="108" t="n"/>
      <c r="F3971" s="109">
        <f>IFERROR(D3971*E3971,0)</f>
        <v/>
      </c>
      <c r="G3971" s="106">
        <f>INDEX(SETORES!$B:$B,MATCH(A3971,SETORES!$A:$A,0))</f>
        <v/>
      </c>
      <c r="H3971" s="106" t="inlineStr">
        <is>
          <t>Novembro/2026</t>
        </is>
      </c>
    </row>
    <row r="3972">
      <c r="A3972" s="106" t="inlineStr">
        <is>
          <t>Obras</t>
        </is>
      </c>
      <c r="B3972" s="106" t="inlineStr">
        <is>
          <t>Custo Fixo</t>
        </is>
      </c>
      <c r="C3972" s="106" t="inlineStr">
        <is>
          <t>Folha de pagamento (salários)</t>
        </is>
      </c>
      <c r="D3972" s="107" t="n">
        <v>1</v>
      </c>
      <c r="E3972" s="108" t="n">
        <v>155833.72</v>
      </c>
      <c r="F3972" s="109">
        <f>IFERROR(D3972*E3972,0)</f>
        <v/>
      </c>
      <c r="G3972" s="106">
        <f>INDEX(SETORES!$B:$B,MATCH(A3972,SETORES!$A:$A,0))</f>
        <v/>
      </c>
      <c r="H3972" s="106" t="inlineStr">
        <is>
          <t>Novembro/2026</t>
        </is>
      </c>
    </row>
    <row r="3973">
      <c r="A3973" s="106" t="inlineStr">
        <is>
          <t>Obras</t>
        </is>
      </c>
      <c r="B3973" s="106" t="inlineStr">
        <is>
          <t>Custo Variável</t>
        </is>
      </c>
      <c r="C3973" s="106" t="inlineStr">
        <is>
          <t>Investimento de equipamentos (não patrimoniável)</t>
        </is>
      </c>
      <c r="D3973" s="107" t="n"/>
      <c r="E3973" s="108" t="n"/>
      <c r="F3973" s="109">
        <f>IFERROR(D3973*E3973,0)</f>
        <v/>
      </c>
      <c r="G3973" s="106">
        <f>INDEX(SETORES!$B:$B,MATCH(A3973,SETORES!$A:$A,0))</f>
        <v/>
      </c>
      <c r="H3973" s="106" t="inlineStr">
        <is>
          <t>Novembro/2026</t>
        </is>
      </c>
    </row>
    <row r="3974">
      <c r="A3974" s="106" t="inlineStr">
        <is>
          <t>Obras</t>
        </is>
      </c>
      <c r="B3974" s="106" t="inlineStr">
        <is>
          <t>Custo Variável</t>
        </is>
      </c>
      <c r="C3974" s="106" t="inlineStr">
        <is>
          <t>EPIs - Equipamento de Proteção Individual</t>
        </is>
      </c>
      <c r="D3974" s="107" t="n"/>
      <c r="E3974" s="108" t="n"/>
      <c r="F3974" s="109">
        <f>IFERROR(D3974*E3974,0)</f>
        <v/>
      </c>
      <c r="G3974" s="106">
        <f>INDEX(SETORES!$B:$B,MATCH(A3974,SETORES!$A:$A,0))</f>
        <v/>
      </c>
      <c r="H3974" s="106" t="inlineStr">
        <is>
          <t>Novembro/2026</t>
        </is>
      </c>
    </row>
    <row r="3975">
      <c r="A3975" s="106" t="inlineStr">
        <is>
          <t>Obras</t>
        </is>
      </c>
      <c r="B3975" s="106" t="inlineStr">
        <is>
          <t>Custo Variável</t>
        </is>
      </c>
      <c r="C3975" s="106" t="inlineStr">
        <is>
          <t>Rescisões trabalhistas</t>
        </is>
      </c>
      <c r="D3975" s="107" t="n"/>
      <c r="E3975" s="108" t="n"/>
      <c r="F3975" s="109">
        <f>IFERROR(D3975*E3975,0)</f>
        <v/>
      </c>
      <c r="G3975" s="106">
        <f>INDEX(SETORES!$B:$B,MATCH(A3975,SETORES!$A:$A,0))</f>
        <v/>
      </c>
      <c r="H3975" s="106" t="inlineStr">
        <is>
          <t>Novembro/2026</t>
        </is>
      </c>
    </row>
    <row r="3976">
      <c r="A3976" s="106" t="inlineStr">
        <is>
          <t>Obras</t>
        </is>
      </c>
      <c r="B3976" s="106" t="inlineStr">
        <is>
          <t>Custo Fixo</t>
        </is>
      </c>
      <c r="C3976" s="106" t="inlineStr">
        <is>
          <t>Licença de e-mail corporativo</t>
        </is>
      </c>
      <c r="D3976" s="107" t="n">
        <v>24</v>
      </c>
      <c r="E3976" s="108" t="n">
        <v>50</v>
      </c>
      <c r="F3976" s="109">
        <f>IFERROR(D3976*E3976,0)</f>
        <v/>
      </c>
      <c r="G3976" s="106">
        <f>INDEX(SETORES!$B:$B,MATCH(A3976,SETORES!$A:$A,0))</f>
        <v/>
      </c>
      <c r="H3976" s="106" t="inlineStr">
        <is>
          <t>Novembro/2026</t>
        </is>
      </c>
    </row>
    <row r="3977">
      <c r="A3977" s="106" t="inlineStr">
        <is>
          <t>Obras</t>
        </is>
      </c>
      <c r="B3977" s="106" t="inlineStr">
        <is>
          <t>Custo Variável</t>
        </is>
      </c>
      <c r="C3977" s="106" t="inlineStr">
        <is>
          <t>Combustível de frota</t>
        </is>
      </c>
      <c r="D3977" s="107" t="n">
        <v>1</v>
      </c>
      <c r="E3977" s="108" t="n">
        <v>11761.57</v>
      </c>
      <c r="F3977" s="109">
        <f>IFERROR(D3977*E3977,0)</f>
        <v/>
      </c>
      <c r="G3977" s="106">
        <f>INDEX(SETORES!$B:$B,MATCH(A3977,SETORES!$A:$A,0))</f>
        <v/>
      </c>
      <c r="H3977" s="106" t="inlineStr">
        <is>
          <t>Novembro/2026</t>
        </is>
      </c>
    </row>
    <row r="3978">
      <c r="A3978" s="106" t="inlineStr">
        <is>
          <t>Obras</t>
        </is>
      </c>
      <c r="B3978" s="106" t="inlineStr">
        <is>
          <t>Custo Fixo</t>
        </is>
      </c>
      <c r="C3978" s="106" t="inlineStr">
        <is>
          <t>Gympass</t>
        </is>
      </c>
      <c r="D3978" s="107" t="n"/>
      <c r="E3978" s="108" t="n"/>
      <c r="F3978" s="109">
        <f>IFERROR(D3978*E3978,0)</f>
        <v/>
      </c>
      <c r="G3978" s="106">
        <f>INDEX(SETORES!$B:$B,MATCH(A3978,SETORES!$A:$A,0))</f>
        <v/>
      </c>
      <c r="H3978" s="106" t="inlineStr">
        <is>
          <t>Novembro/2026</t>
        </is>
      </c>
    </row>
    <row r="3979">
      <c r="A3979" s="106" t="inlineStr">
        <is>
          <t>Obras</t>
        </is>
      </c>
      <c r="B3979" s="106" t="inlineStr">
        <is>
          <t>Custo Fixo</t>
        </is>
      </c>
      <c r="C3979" s="106" t="inlineStr">
        <is>
          <t>Stargrid</t>
        </is>
      </c>
      <c r="D3979" s="107" t="n">
        <v>24</v>
      </c>
      <c r="E3979" s="108" t="n">
        <v>1.87</v>
      </c>
      <c r="F3979" s="109">
        <f>IFERROR(D3979*E3979,0)</f>
        <v/>
      </c>
      <c r="G3979" s="106">
        <f>INDEX(SETORES!$B:$B,MATCH(A3979,SETORES!$A:$A,0))</f>
        <v/>
      </c>
      <c r="H3979" s="106" t="inlineStr">
        <is>
          <t>Novembro/2026</t>
        </is>
      </c>
    </row>
    <row r="3980">
      <c r="A3980" s="106" t="inlineStr">
        <is>
          <t>Oficina</t>
        </is>
      </c>
      <c r="B3980" s="106" t="inlineStr">
        <is>
          <t>Custo Fixo</t>
        </is>
      </c>
      <c r="C3980" s="106" t="inlineStr">
        <is>
          <t>Material de escritório (suprimentos de informática)</t>
        </is>
      </c>
      <c r="D3980" s="107" t="n"/>
      <c r="E3980" s="108" t="n"/>
      <c r="F3980" s="109">
        <f>IFERROR(D3980*E3980,0)</f>
        <v/>
      </c>
      <c r="G3980" s="106">
        <f>INDEX(SETORES!$B:$B,MATCH(A3980,SETORES!$A:$A,0))</f>
        <v/>
      </c>
      <c r="H3980" s="106" t="inlineStr">
        <is>
          <t>Novembro/2026</t>
        </is>
      </c>
    </row>
    <row r="3981">
      <c r="A3981" s="106" t="inlineStr">
        <is>
          <t>Oficina</t>
        </is>
      </c>
      <c r="B3981" s="106" t="inlineStr">
        <is>
          <t>Custo Fixo</t>
        </is>
      </c>
      <c r="C3981" s="106" t="inlineStr">
        <is>
          <t>Material de uso coletivo (copa/limpeza)</t>
        </is>
      </c>
      <c r="D3981" s="107" t="n"/>
      <c r="E3981" s="108" t="n"/>
      <c r="F3981" s="109">
        <f>IFERROR(D3981*E3981,0)</f>
        <v/>
      </c>
      <c r="G3981" s="106">
        <f>INDEX(SETORES!$B:$B,MATCH(A3981,SETORES!$A:$A,0))</f>
        <v/>
      </c>
      <c r="H3981" s="106" t="inlineStr">
        <is>
          <t>Novembro/2026</t>
        </is>
      </c>
    </row>
    <row r="3982">
      <c r="A3982" s="106" t="inlineStr">
        <is>
          <t>Oficina</t>
        </is>
      </c>
      <c r="B3982" s="106" t="inlineStr">
        <is>
          <t>Custo Fixo</t>
        </is>
      </c>
      <c r="C3982" s="106" t="inlineStr">
        <is>
          <t>Software da oficina (soutech soluções)</t>
        </is>
      </c>
      <c r="D3982" s="107" t="n">
        <v>1</v>
      </c>
      <c r="E3982" s="108" t="n">
        <v>1800</v>
      </c>
      <c r="F3982" s="109">
        <f>IFERROR(D3982*E3982,0)</f>
        <v/>
      </c>
      <c r="G3982" s="106">
        <f>INDEX(SETORES!$B:$B,MATCH(A3982,SETORES!$A:$A,0))</f>
        <v/>
      </c>
      <c r="H3982" s="106" t="inlineStr">
        <is>
          <t>Novembro/2026</t>
        </is>
      </c>
    </row>
    <row r="3983">
      <c r="A3983" s="106" t="inlineStr">
        <is>
          <t>Oficina</t>
        </is>
      </c>
      <c r="B3983" s="106" t="inlineStr">
        <is>
          <t>Custo Fixo</t>
        </is>
      </c>
      <c r="C3983" s="106" t="inlineStr">
        <is>
          <t>Energia elétrica (rateio)</t>
        </is>
      </c>
      <c r="D3983" s="107" t="n"/>
      <c r="E3983" s="108" t="n"/>
      <c r="F3983" s="109">
        <f>IFERROR(D3983*E3983,0)</f>
        <v/>
      </c>
      <c r="G3983" s="106">
        <f>INDEX(SETORES!$B:$B,MATCH(A3983,SETORES!$A:$A,0))</f>
        <v/>
      </c>
      <c r="H3983" s="106" t="inlineStr">
        <is>
          <t>Novembro/2026</t>
        </is>
      </c>
    </row>
    <row r="3984">
      <c r="A3984" s="106" t="inlineStr">
        <is>
          <t>Oficina</t>
        </is>
      </c>
      <c r="B3984" s="106" t="inlineStr">
        <is>
          <t>Custo Fixo</t>
        </is>
      </c>
      <c r="C3984" s="106" t="inlineStr">
        <is>
          <t>Água e esgoto (rateio)</t>
        </is>
      </c>
      <c r="D3984" s="107" t="n"/>
      <c r="E3984" s="108" t="n"/>
      <c r="F3984" s="109">
        <f>IFERROR(D3984*E3984,0)</f>
        <v/>
      </c>
      <c r="G3984" s="106">
        <f>INDEX(SETORES!$B:$B,MATCH(A3984,SETORES!$A:$A,0))</f>
        <v/>
      </c>
      <c r="H3984" s="106" t="inlineStr">
        <is>
          <t>Novembro/2026</t>
        </is>
      </c>
    </row>
    <row r="3985">
      <c r="A3985" s="106" t="inlineStr">
        <is>
          <t>Oficina</t>
        </is>
      </c>
      <c r="B3985" s="106" t="inlineStr">
        <is>
          <t>Custo Fixo</t>
        </is>
      </c>
      <c r="C3985" s="106" t="inlineStr">
        <is>
          <t>Telefonia móvel corporativa</t>
        </is>
      </c>
      <c r="D3985" s="107" t="n"/>
      <c r="E3985" s="108" t="n"/>
      <c r="F3985" s="109">
        <f>IFERROR(D3985*E3985,0)</f>
        <v/>
      </c>
      <c r="G3985" s="106">
        <f>INDEX(SETORES!$B:$B,MATCH(A3985,SETORES!$A:$A,0))</f>
        <v/>
      </c>
      <c r="H3985" s="106" t="inlineStr">
        <is>
          <t>Novembro/2026</t>
        </is>
      </c>
    </row>
    <row r="3986">
      <c r="A3986" s="106" t="inlineStr">
        <is>
          <t>Oficina</t>
        </is>
      </c>
      <c r="B3986" s="106" t="inlineStr">
        <is>
          <t>Custo Fixo</t>
        </is>
      </c>
      <c r="C3986" s="106" t="inlineStr">
        <is>
          <t>Folha de pagamento (salários)</t>
        </is>
      </c>
      <c r="D3986" s="107" t="n">
        <v>1</v>
      </c>
      <c r="E3986" s="108" t="n">
        <v>25793.59</v>
      </c>
      <c r="F3986" s="109">
        <f>IFERROR(D3986*E3986,0)</f>
        <v/>
      </c>
      <c r="G3986" s="106">
        <f>INDEX(SETORES!$B:$B,MATCH(A3986,SETORES!$A:$A,0))</f>
        <v/>
      </c>
      <c r="H3986" s="106" t="inlineStr">
        <is>
          <t>Novembro/2026</t>
        </is>
      </c>
    </row>
    <row r="3987">
      <c r="A3987" s="106" t="inlineStr">
        <is>
          <t>Oficina</t>
        </is>
      </c>
      <c r="B3987" s="106" t="inlineStr">
        <is>
          <t>Custo Variável</t>
        </is>
      </c>
      <c r="C3987" s="106" t="inlineStr">
        <is>
          <t>Combustível de frota</t>
        </is>
      </c>
      <c r="D3987" s="107" t="n"/>
      <c r="E3987" s="108" t="n"/>
      <c r="F3987" s="109">
        <f>IFERROR(D3987*E3987,0)</f>
        <v/>
      </c>
      <c r="G3987" s="106">
        <f>INDEX(SETORES!$B:$B,MATCH(A3987,SETORES!$A:$A,0))</f>
        <v/>
      </c>
      <c r="H3987" s="106" t="inlineStr">
        <is>
          <t>Novembro/2026</t>
        </is>
      </c>
    </row>
    <row r="3988">
      <c r="A3988" s="106" t="inlineStr">
        <is>
          <t>Oficina</t>
        </is>
      </c>
      <c r="B3988" s="106" t="inlineStr">
        <is>
          <t>Custo Variável</t>
        </is>
      </c>
      <c r="C3988" s="106" t="inlineStr">
        <is>
          <t>Manutenção de veículos</t>
        </is>
      </c>
      <c r="D3988" s="107" t="n"/>
      <c r="E3988" s="108" t="n"/>
      <c r="F3988" s="109">
        <f>IFERROR(D3988*E3988,0)</f>
        <v/>
      </c>
      <c r="G3988" s="106">
        <f>INDEX(SETORES!$B:$B,MATCH(A3988,SETORES!$A:$A,0))</f>
        <v/>
      </c>
      <c r="H3988" s="106" t="inlineStr">
        <is>
          <t>Novembro/2026</t>
        </is>
      </c>
    </row>
    <row r="3989">
      <c r="A3989" s="106" t="inlineStr">
        <is>
          <t>Oficina</t>
        </is>
      </c>
      <c r="B3989" s="106" t="inlineStr">
        <is>
          <t>Custo Variável</t>
        </is>
      </c>
      <c r="C3989" s="106" t="inlineStr">
        <is>
          <t>Rateio de transporte coletivo</t>
        </is>
      </c>
      <c r="D3989" s="107" t="n"/>
      <c r="E3989" s="108" t="n"/>
      <c r="F3989" s="109">
        <f>IFERROR(D3989*E3989,0)</f>
        <v/>
      </c>
      <c r="G3989" s="106">
        <f>INDEX(SETORES!$B:$B,MATCH(A3989,SETORES!$A:$A,0))</f>
        <v/>
      </c>
      <c r="H3989" s="106" t="inlineStr">
        <is>
          <t>Novembro/2026</t>
        </is>
      </c>
    </row>
    <row r="3990">
      <c r="A3990" s="106" t="inlineStr">
        <is>
          <t>Oficina</t>
        </is>
      </c>
      <c r="B3990" s="106" t="inlineStr">
        <is>
          <t>Custo Fixo</t>
        </is>
      </c>
      <c r="C3990" s="106" t="inlineStr">
        <is>
          <t>Gympass</t>
        </is>
      </c>
      <c r="D3990" s="107" t="n"/>
      <c r="E3990" s="108" t="n"/>
      <c r="F3990" s="109">
        <f>IFERROR(D3990*E3990,0)</f>
        <v/>
      </c>
      <c r="G3990" s="106">
        <f>INDEX(SETORES!$B:$B,MATCH(A3990,SETORES!$A:$A,0))</f>
        <v/>
      </c>
      <c r="H3990" s="106" t="inlineStr">
        <is>
          <t>Novembro/2026</t>
        </is>
      </c>
    </row>
    <row r="3991">
      <c r="A3991" s="106" t="inlineStr">
        <is>
          <t>Oficina</t>
        </is>
      </c>
      <c r="B3991" s="106" t="inlineStr">
        <is>
          <t>Custo Fixo</t>
        </is>
      </c>
      <c r="C3991" s="106" t="inlineStr">
        <is>
          <t>Stargrid</t>
        </is>
      </c>
      <c r="D3991" s="107" t="n">
        <v>4</v>
      </c>
      <c r="E3991" s="108" t="n">
        <v>1.87</v>
      </c>
      <c r="F3991" s="109">
        <f>IFERROR(D3991*E3991,0)</f>
        <v/>
      </c>
      <c r="G3991" s="106">
        <f>INDEX(SETORES!$B:$B,MATCH(A3991,SETORES!$A:$A,0))</f>
        <v/>
      </c>
      <c r="H3991" s="106" t="inlineStr">
        <is>
          <t>Novembro/2026</t>
        </is>
      </c>
    </row>
    <row r="3992">
      <c r="A3992" s="106" t="inlineStr">
        <is>
          <t>RH</t>
        </is>
      </c>
      <c r="B3992" s="106" t="inlineStr">
        <is>
          <t>Custo Fixo</t>
        </is>
      </c>
      <c r="C3992" s="106" t="inlineStr">
        <is>
          <t>Material de escritório (suprimentos de informática)</t>
        </is>
      </c>
      <c r="D3992" s="107" t="n">
        <v>1</v>
      </c>
      <c r="E3992" s="108" t="n">
        <v>9.85</v>
      </c>
      <c r="F3992" s="109">
        <f>IFERROR(D3992*E3992,0)</f>
        <v/>
      </c>
      <c r="G3992" s="106">
        <f>INDEX(SETORES!$B:$B,MATCH(A3992,SETORES!$A:$A,0))</f>
        <v/>
      </c>
      <c r="H3992" s="106" t="inlineStr">
        <is>
          <t>Novembro/2026</t>
        </is>
      </c>
    </row>
    <row r="3993">
      <c r="A3993" s="106" t="inlineStr">
        <is>
          <t>RH</t>
        </is>
      </c>
      <c r="B3993" s="106" t="inlineStr">
        <is>
          <t>Custo Fixo</t>
        </is>
      </c>
      <c r="C3993" s="106" t="inlineStr">
        <is>
          <t>Material de uso coletivo (copa/limpeza)</t>
        </is>
      </c>
      <c r="D3993" s="107" t="n">
        <v>1</v>
      </c>
      <c r="E3993" s="108" t="n">
        <v>167.98</v>
      </c>
      <c r="F3993" s="109">
        <f>IFERROR(D3993*E3993,0)</f>
        <v/>
      </c>
      <c r="G3993" s="106">
        <f>INDEX(SETORES!$B:$B,MATCH(A3993,SETORES!$A:$A,0))</f>
        <v/>
      </c>
      <c r="H3993" s="106" t="inlineStr">
        <is>
          <t>Novembro/2026</t>
        </is>
      </c>
    </row>
    <row r="3994">
      <c r="A3994" s="106" t="inlineStr">
        <is>
          <t>RH</t>
        </is>
      </c>
      <c r="B3994" s="106" t="inlineStr">
        <is>
          <t>Custo Fixo</t>
        </is>
      </c>
      <c r="C3994" s="106" t="inlineStr">
        <is>
          <t>Energia elétrica (rateio)</t>
        </is>
      </c>
      <c r="D3994" s="107" t="n"/>
      <c r="E3994" s="108" t="n"/>
      <c r="F3994" s="109">
        <f>IFERROR(D3994*E3994,0)</f>
        <v/>
      </c>
      <c r="G3994" s="106">
        <f>INDEX(SETORES!$B:$B,MATCH(A3994,SETORES!$A:$A,0))</f>
        <v/>
      </c>
      <c r="H3994" s="106" t="inlineStr">
        <is>
          <t>Novembro/2026</t>
        </is>
      </c>
    </row>
    <row r="3995">
      <c r="A3995" s="106" t="inlineStr">
        <is>
          <t>RH</t>
        </is>
      </c>
      <c r="B3995" s="106" t="inlineStr">
        <is>
          <t>Custo Fixo</t>
        </is>
      </c>
      <c r="C3995" s="106" t="inlineStr">
        <is>
          <t>Água e esgoto (rateio)</t>
        </is>
      </c>
      <c r="D3995" s="107" t="n"/>
      <c r="E3995" s="108" t="n"/>
      <c r="F3995" s="109">
        <f>IFERROR(D3995*E3995,0)</f>
        <v/>
      </c>
      <c r="G3995" s="106">
        <f>INDEX(SETORES!$B:$B,MATCH(A3995,SETORES!$A:$A,0))</f>
        <v/>
      </c>
      <c r="H3995" s="106" t="inlineStr">
        <is>
          <t>Novembro/2026</t>
        </is>
      </c>
    </row>
    <row r="3996">
      <c r="A3996" s="106" t="inlineStr">
        <is>
          <t>RH</t>
        </is>
      </c>
      <c r="B3996" s="106" t="inlineStr">
        <is>
          <t>Custo Fixo</t>
        </is>
      </c>
      <c r="C3996" s="106" t="inlineStr">
        <is>
          <t>Telefonia móvel corporativa</t>
        </is>
      </c>
      <c r="D3996" s="107" t="n"/>
      <c r="E3996" s="108" t="n"/>
      <c r="F3996" s="109">
        <f>IFERROR(D3996*E3996,0)</f>
        <v/>
      </c>
      <c r="G3996" s="106">
        <f>INDEX(SETORES!$B:$B,MATCH(A3996,SETORES!$A:$A,0))</f>
        <v/>
      </c>
      <c r="H3996" s="106" t="inlineStr">
        <is>
          <t>Novembro/2026</t>
        </is>
      </c>
    </row>
    <row r="3997">
      <c r="A3997" s="106" t="inlineStr">
        <is>
          <t>RH</t>
        </is>
      </c>
      <c r="B3997" s="106" t="inlineStr">
        <is>
          <t>Custo Fixo</t>
        </is>
      </c>
      <c r="C3997" s="106" t="inlineStr">
        <is>
          <t>Folha de pagamento (salários)</t>
        </is>
      </c>
      <c r="D3997" s="107" t="n">
        <v>1</v>
      </c>
      <c r="E3997" s="108" t="n">
        <v>30326.87</v>
      </c>
      <c r="F3997" s="109">
        <f>IFERROR(D3997*E3997,0)</f>
        <v/>
      </c>
      <c r="G3997" s="106">
        <f>INDEX(SETORES!$B:$B,MATCH(A3997,SETORES!$A:$A,0))</f>
        <v/>
      </c>
      <c r="H3997" s="106" t="inlineStr">
        <is>
          <t>Novembro/2026</t>
        </is>
      </c>
    </row>
    <row r="3998">
      <c r="A3998" s="106" t="inlineStr">
        <is>
          <t>RH</t>
        </is>
      </c>
      <c r="B3998" s="106" t="inlineStr">
        <is>
          <t>Custo Variável</t>
        </is>
      </c>
      <c r="C3998" s="106" t="inlineStr">
        <is>
          <t>Fardamento novo (compra corporativa)</t>
        </is>
      </c>
      <c r="D3998" s="107" t="n"/>
      <c r="E3998" s="108" t="n"/>
      <c r="F3998" s="109">
        <f>IFERROR(D3998*E3998,0)</f>
        <v/>
      </c>
      <c r="G3998" s="106">
        <f>INDEX(SETORES!$B:$B,MATCH(A3998,SETORES!$A:$A,0))</f>
        <v/>
      </c>
      <c r="H3998" s="106" t="inlineStr">
        <is>
          <t>Novembro/2026</t>
        </is>
      </c>
    </row>
    <row r="3999">
      <c r="A3999" s="106" t="inlineStr">
        <is>
          <t>RH</t>
        </is>
      </c>
      <c r="B3999" s="106" t="inlineStr">
        <is>
          <t>Custo Variável</t>
        </is>
      </c>
      <c r="C3999" s="106" t="inlineStr">
        <is>
          <t>Fardamento substituição (compra corporativa)</t>
        </is>
      </c>
      <c r="D3999" s="107" t="n"/>
      <c r="E3999" s="108" t="n"/>
      <c r="F3999" s="109">
        <f>IFERROR(D3999*E3999,0)</f>
        <v/>
      </c>
      <c r="G3999" s="106">
        <f>INDEX(SETORES!$B:$B,MATCH(A3999,SETORES!$A:$A,0))</f>
        <v/>
      </c>
      <c r="H3999" s="106" t="inlineStr">
        <is>
          <t>Novembro/2026</t>
        </is>
      </c>
    </row>
    <row r="4000">
      <c r="A4000" s="106" t="inlineStr">
        <is>
          <t>RH</t>
        </is>
      </c>
      <c r="B4000" s="106" t="inlineStr">
        <is>
          <t>Custo Fixo</t>
        </is>
      </c>
      <c r="C4000" s="106" t="inlineStr">
        <is>
          <t>Treinamento e capacitação</t>
        </is>
      </c>
      <c r="D4000" s="107" t="n"/>
      <c r="E4000" s="108" t="n"/>
      <c r="F4000" s="109">
        <f>IFERROR(D4000*E4000,0)</f>
        <v/>
      </c>
      <c r="G4000" s="106">
        <f>INDEX(SETORES!$B:$B,MATCH(A4000,SETORES!$A:$A,0))</f>
        <v/>
      </c>
      <c r="H4000" s="106" t="inlineStr">
        <is>
          <t>Novembro/2026</t>
        </is>
      </c>
    </row>
    <row r="4001">
      <c r="A4001" s="106" t="inlineStr">
        <is>
          <t>RH</t>
        </is>
      </c>
      <c r="B4001" s="106" t="inlineStr">
        <is>
          <t>Custo Variável</t>
        </is>
      </c>
      <c r="C4001" s="106" t="inlineStr">
        <is>
          <t>Recrutamento e seleção</t>
        </is>
      </c>
      <c r="D4001" s="107" t="n"/>
      <c r="E4001" s="108" t="n"/>
      <c r="F4001" s="109">
        <f>IFERROR(D4001*E4001,0)</f>
        <v/>
      </c>
      <c r="G4001" s="106">
        <f>INDEX(SETORES!$B:$B,MATCH(A4001,SETORES!$A:$A,0))</f>
        <v/>
      </c>
      <c r="H4001" s="106" t="inlineStr">
        <is>
          <t>Novembro/2026</t>
        </is>
      </c>
    </row>
    <row r="4002">
      <c r="A4002" s="106" t="inlineStr">
        <is>
          <t>RH</t>
        </is>
      </c>
      <c r="B4002" s="106" t="inlineStr">
        <is>
          <t>Custo Fixo</t>
        </is>
      </c>
      <c r="C4002" s="106" t="inlineStr">
        <is>
          <t>Ações de endomarketing</t>
        </is>
      </c>
      <c r="D4002" s="107" t="n"/>
      <c r="E4002" s="108" t="n"/>
      <c r="F4002" s="109">
        <f>IFERROR(D4002*E4002,0)</f>
        <v/>
      </c>
      <c r="G4002" s="106">
        <f>INDEX(SETORES!$B:$B,MATCH(A4002,SETORES!$A:$A,0))</f>
        <v/>
      </c>
      <c r="H4002" s="106" t="inlineStr">
        <is>
          <t>Novembro/2026</t>
        </is>
      </c>
    </row>
    <row r="4003">
      <c r="A4003" s="106" t="inlineStr">
        <is>
          <t>RH</t>
        </is>
      </c>
      <c r="B4003" s="106" t="inlineStr">
        <is>
          <t>Custo Fixo</t>
        </is>
      </c>
      <c r="C4003" s="106" t="inlineStr">
        <is>
          <t>Pesquisa de clima organizacional</t>
        </is>
      </c>
      <c r="D4003" s="107" t="n"/>
      <c r="E4003" s="108" t="n"/>
      <c r="F4003" s="109">
        <f>IFERROR(D4003*E4003,0)</f>
        <v/>
      </c>
      <c r="G4003" s="106">
        <f>INDEX(SETORES!$B:$B,MATCH(A4003,SETORES!$A:$A,0))</f>
        <v/>
      </c>
      <c r="H4003" s="106" t="inlineStr">
        <is>
          <t>Novembro/2026</t>
        </is>
      </c>
    </row>
    <row r="4004">
      <c r="A4004" s="106" t="inlineStr">
        <is>
          <t>RH</t>
        </is>
      </c>
      <c r="B4004" s="106" t="inlineStr">
        <is>
          <t>Custo Fixo</t>
        </is>
      </c>
      <c r="C4004" s="106" t="inlineStr">
        <is>
          <t>Licença de e-mail corporativo</t>
        </is>
      </c>
      <c r="D4004" s="107" t="n">
        <v>6</v>
      </c>
      <c r="E4004" s="108" t="n">
        <v>50</v>
      </c>
      <c r="F4004" s="109">
        <f>IFERROR(D4004*E4004,0)</f>
        <v/>
      </c>
      <c r="G4004" s="106">
        <f>INDEX(SETORES!$B:$B,MATCH(A4004,SETORES!$A:$A,0))</f>
        <v/>
      </c>
      <c r="H4004" s="106" t="inlineStr">
        <is>
          <t>Novembro/2026</t>
        </is>
      </c>
    </row>
    <row r="4005">
      <c r="A4005" s="106" t="inlineStr">
        <is>
          <t>RH</t>
        </is>
      </c>
      <c r="B4005" s="106" t="inlineStr">
        <is>
          <t>Custo Fixo</t>
        </is>
      </c>
      <c r="C4005" s="106" t="inlineStr">
        <is>
          <t>Impressora</t>
        </is>
      </c>
      <c r="D4005" s="107" t="n"/>
      <c r="E4005" s="108" t="n"/>
      <c r="F4005" s="109">
        <f>IFERROR(D4005*E4005,0)</f>
        <v/>
      </c>
      <c r="G4005" s="106">
        <f>INDEX(SETORES!$B:$B,MATCH(A4005,SETORES!$A:$A,0))</f>
        <v/>
      </c>
      <c r="H4005" s="106" t="inlineStr">
        <is>
          <t>Novembro/2026</t>
        </is>
      </c>
    </row>
    <row r="4006">
      <c r="A4006" s="106" t="inlineStr">
        <is>
          <t>RH</t>
        </is>
      </c>
      <c r="B4006" s="106" t="inlineStr">
        <is>
          <t>Custo Fixo</t>
        </is>
      </c>
      <c r="C4006" s="106" t="inlineStr">
        <is>
          <t>Gympass</t>
        </is>
      </c>
      <c r="D4006" s="107" t="n"/>
      <c r="E4006" s="108" t="n"/>
      <c r="F4006" s="109">
        <f>IFERROR(D4006*E4006,0)</f>
        <v/>
      </c>
      <c r="G4006" s="106">
        <f>INDEX(SETORES!$B:$B,MATCH(A4006,SETORES!$A:$A,0))</f>
        <v/>
      </c>
      <c r="H4006" s="106" t="inlineStr">
        <is>
          <t>Novembro/2026</t>
        </is>
      </c>
    </row>
    <row r="4007">
      <c r="A4007" s="106" t="inlineStr">
        <is>
          <t>RH</t>
        </is>
      </c>
      <c r="B4007" s="106" t="inlineStr">
        <is>
          <t>Custo Fixo</t>
        </is>
      </c>
      <c r="C4007" s="106" t="inlineStr">
        <is>
          <t>Stargrid</t>
        </is>
      </c>
      <c r="D4007" s="107" t="n">
        <v>6</v>
      </c>
      <c r="E4007" s="108" t="n">
        <v>1.87</v>
      </c>
      <c r="F4007" s="109">
        <f>IFERROR(D4007*E4007,0)</f>
        <v/>
      </c>
      <c r="G4007" s="106">
        <f>INDEX(SETORES!$B:$B,MATCH(A4007,SETORES!$A:$A,0))</f>
        <v/>
      </c>
      <c r="H4007" s="106" t="inlineStr">
        <is>
          <t>Novembro/2026</t>
        </is>
      </c>
    </row>
    <row r="4008">
      <c r="A4008" s="106" t="inlineStr">
        <is>
          <t>Retenção</t>
        </is>
      </c>
      <c r="B4008" s="106" t="inlineStr">
        <is>
          <t>Custo Fixo</t>
        </is>
      </c>
      <c r="C4008" s="106" t="inlineStr">
        <is>
          <t>Material de escritório (suprimentos de informática)</t>
        </is>
      </c>
      <c r="D4008" s="107" t="n">
        <v>1</v>
      </c>
      <c r="E4008" s="108" t="n">
        <v>3.45</v>
      </c>
      <c r="F4008" s="109">
        <f>IFERROR(D4008*E4008,0)</f>
        <v/>
      </c>
      <c r="G4008" s="106">
        <f>INDEX(SETORES!$B:$B,MATCH(A4008,SETORES!$A:$A,0))</f>
        <v/>
      </c>
      <c r="H4008" s="106" t="inlineStr">
        <is>
          <t>Novembro/2026</t>
        </is>
      </c>
    </row>
    <row r="4009">
      <c r="A4009" s="106" t="inlineStr">
        <is>
          <t>Retenção</t>
        </is>
      </c>
      <c r="B4009" s="106" t="inlineStr">
        <is>
          <t>Custo Fixo</t>
        </is>
      </c>
      <c r="C4009" s="106" t="inlineStr">
        <is>
          <t>Material de uso coletivo (copa/limpeza)</t>
        </is>
      </c>
      <c r="D4009" s="107" t="n">
        <v>1</v>
      </c>
      <c r="E4009" s="108" t="n">
        <v>606.65</v>
      </c>
      <c r="F4009" s="109">
        <f>IFERROR(D4009*E4009,0)</f>
        <v/>
      </c>
      <c r="G4009" s="106">
        <f>INDEX(SETORES!$B:$B,MATCH(A4009,SETORES!$A:$A,0))</f>
        <v/>
      </c>
      <c r="H4009" s="106" t="inlineStr">
        <is>
          <t>Novembro/2026</t>
        </is>
      </c>
    </row>
    <row r="4010">
      <c r="A4010" s="106" t="inlineStr">
        <is>
          <t>Retenção</t>
        </is>
      </c>
      <c r="B4010" s="106" t="inlineStr">
        <is>
          <t>Custo Fixo</t>
        </is>
      </c>
      <c r="C4010" s="106" t="inlineStr">
        <is>
          <t>Energia elétrica (rateio)</t>
        </is>
      </c>
      <c r="D4010" s="107" t="n"/>
      <c r="E4010" s="108" t="n"/>
      <c r="F4010" s="109">
        <f>IFERROR(D4010*E4010,0)</f>
        <v/>
      </c>
      <c r="G4010" s="106">
        <f>INDEX(SETORES!$B:$B,MATCH(A4010,SETORES!$A:$A,0))</f>
        <v/>
      </c>
      <c r="H4010" s="106" t="inlineStr">
        <is>
          <t>Novembro/2026</t>
        </is>
      </c>
    </row>
    <row r="4011">
      <c r="A4011" s="106" t="inlineStr">
        <is>
          <t>Retenção</t>
        </is>
      </c>
      <c r="B4011" s="106" t="inlineStr">
        <is>
          <t>Custo Fixo</t>
        </is>
      </c>
      <c r="C4011" s="106" t="inlineStr">
        <is>
          <t>Água e esgoto (rateio)</t>
        </is>
      </c>
      <c r="D4011" s="107" t="n"/>
      <c r="E4011" s="108" t="n"/>
      <c r="F4011" s="109">
        <f>IFERROR(D4011*E4011,0)</f>
        <v/>
      </c>
      <c r="G4011" s="106">
        <f>INDEX(SETORES!$B:$B,MATCH(A4011,SETORES!$A:$A,0))</f>
        <v/>
      </c>
      <c r="H4011" s="106" t="inlineStr">
        <is>
          <t>Novembro/2026</t>
        </is>
      </c>
    </row>
    <row r="4012">
      <c r="A4012" s="106" t="inlineStr">
        <is>
          <t>Retenção</t>
        </is>
      </c>
      <c r="B4012" s="106" t="inlineStr">
        <is>
          <t>Custo Fixo</t>
        </is>
      </c>
      <c r="C4012" s="106" t="inlineStr">
        <is>
          <t>Telefonia móvel corporativa</t>
        </is>
      </c>
      <c r="D4012" s="107" t="n"/>
      <c r="E4012" s="108" t="n"/>
      <c r="F4012" s="109">
        <f>IFERROR(D4012*E4012,0)</f>
        <v/>
      </c>
      <c r="G4012" s="106">
        <f>INDEX(SETORES!$B:$B,MATCH(A4012,SETORES!$A:$A,0))</f>
        <v/>
      </c>
      <c r="H4012" s="106" t="inlineStr">
        <is>
          <t>Novembro/2026</t>
        </is>
      </c>
    </row>
    <row r="4013">
      <c r="A4013" s="106" t="inlineStr">
        <is>
          <t>Retenção</t>
        </is>
      </c>
      <c r="B4013" s="106" t="inlineStr">
        <is>
          <t>Custo Fixo</t>
        </is>
      </c>
      <c r="C4013" s="106" t="inlineStr">
        <is>
          <t>Folha de pagamento (salários)</t>
        </is>
      </c>
      <c r="D4013" s="107" t="n">
        <v>1</v>
      </c>
      <c r="E4013" s="108" t="n">
        <v>41989.1</v>
      </c>
      <c r="F4013" s="109">
        <f>IFERROR(D4013*E4013,0)</f>
        <v/>
      </c>
      <c r="G4013" s="106">
        <f>INDEX(SETORES!$B:$B,MATCH(A4013,SETORES!$A:$A,0))</f>
        <v/>
      </c>
      <c r="H4013" s="106" t="inlineStr">
        <is>
          <t>Novembro/2026</t>
        </is>
      </c>
    </row>
    <row r="4014">
      <c r="A4014" s="106" t="inlineStr">
        <is>
          <t>Retenção</t>
        </is>
      </c>
      <c r="B4014" s="106" t="inlineStr">
        <is>
          <t>Custo Variável</t>
        </is>
      </c>
      <c r="C4014" s="106" t="inlineStr">
        <is>
          <t>Fardamento novo</t>
        </is>
      </c>
      <c r="D4014" s="107" t="n"/>
      <c r="E4014" s="108" t="n"/>
      <c r="F4014" s="109">
        <f>IFERROR(D4014*E4014,0)</f>
        <v/>
      </c>
      <c r="G4014" s="106">
        <f>INDEX(SETORES!$B:$B,MATCH(A4014,SETORES!$A:$A,0))</f>
        <v/>
      </c>
      <c r="H4014" s="106" t="inlineStr">
        <is>
          <t>Novembro/2026</t>
        </is>
      </c>
    </row>
    <row r="4015">
      <c r="A4015" s="106" t="inlineStr">
        <is>
          <t>Retenção</t>
        </is>
      </c>
      <c r="B4015" s="106" t="inlineStr">
        <is>
          <t>Custo Variável</t>
        </is>
      </c>
      <c r="C4015" s="106" t="inlineStr">
        <is>
          <t>Fardamento substituição</t>
        </is>
      </c>
      <c r="D4015" s="107" t="n"/>
      <c r="E4015" s="108" t="n"/>
      <c r="F4015" s="109">
        <f>IFERROR(D4015*E4015,0)</f>
        <v/>
      </c>
      <c r="G4015" s="106">
        <f>INDEX(SETORES!$B:$B,MATCH(A4015,SETORES!$A:$A,0))</f>
        <v/>
      </c>
      <c r="H4015" s="106" t="inlineStr">
        <is>
          <t>Novembro/2026</t>
        </is>
      </c>
    </row>
    <row r="4016">
      <c r="A4016" s="106" t="inlineStr">
        <is>
          <t>Retenção</t>
        </is>
      </c>
      <c r="B4016" s="106" t="inlineStr">
        <is>
          <t>Custo Variável</t>
        </is>
      </c>
      <c r="C4016" s="106" t="inlineStr">
        <is>
          <t>Rescisões trabalhistas</t>
        </is>
      </c>
      <c r="D4016" s="107" t="n"/>
      <c r="E4016" s="108" t="n"/>
      <c r="F4016" s="109">
        <f>IFERROR(D4016*E4016,0)</f>
        <v/>
      </c>
      <c r="G4016" s="106">
        <f>INDEX(SETORES!$B:$B,MATCH(A4016,SETORES!$A:$A,0))</f>
        <v/>
      </c>
      <c r="H4016" s="106" t="inlineStr">
        <is>
          <t>Novembro/2026</t>
        </is>
      </c>
    </row>
    <row r="4017">
      <c r="A4017" s="106" t="inlineStr">
        <is>
          <t>Retenção</t>
        </is>
      </c>
      <c r="B4017" s="106" t="inlineStr">
        <is>
          <t>Custo Fixo</t>
        </is>
      </c>
      <c r="C4017" s="106" t="inlineStr">
        <is>
          <t>Licença de e-mail corporativo</t>
        </is>
      </c>
      <c r="D4017" s="107" t="n">
        <v>12</v>
      </c>
      <c r="E4017" s="108" t="n">
        <v>50</v>
      </c>
      <c r="F4017" s="109">
        <f>IFERROR(D4017*E4017,0)</f>
        <v/>
      </c>
      <c r="G4017" s="106">
        <f>INDEX(SETORES!$B:$B,MATCH(A4017,SETORES!$A:$A,0))</f>
        <v/>
      </c>
      <c r="H4017" s="106" t="inlineStr">
        <is>
          <t>Novembro/2026</t>
        </is>
      </c>
    </row>
    <row r="4018">
      <c r="A4018" s="106" t="inlineStr">
        <is>
          <t>Retenção</t>
        </is>
      </c>
      <c r="B4018" s="106" t="inlineStr">
        <is>
          <t>Custo Fixo</t>
        </is>
      </c>
      <c r="C4018" s="106" t="inlineStr">
        <is>
          <t>Software MATRIX (rateio equipe Relacionamento)</t>
        </is>
      </c>
      <c r="D4018" s="107" t="n"/>
      <c r="E4018" s="108" t="n"/>
      <c r="F4018" s="109">
        <f>IFERROR(D4018*E4018,0)</f>
        <v/>
      </c>
      <c r="G4018" s="106">
        <f>INDEX(SETORES!$B:$B,MATCH(A4018,SETORES!$A:$A,0))</f>
        <v/>
      </c>
      <c r="H4018" s="106" t="inlineStr">
        <is>
          <t>Novembro/2026</t>
        </is>
      </c>
    </row>
    <row r="4019">
      <c r="A4019" s="106" t="inlineStr">
        <is>
          <t>Retenção</t>
        </is>
      </c>
      <c r="B4019" s="106" t="inlineStr">
        <is>
          <t>Custo Fixo</t>
        </is>
      </c>
      <c r="C4019" s="106" t="inlineStr">
        <is>
          <t>Impressora (rateio equipe Relacionamento)</t>
        </is>
      </c>
      <c r="D4019" s="107" t="n"/>
      <c r="E4019" s="108" t="n"/>
      <c r="F4019" s="109">
        <f>IFERROR(D4019*E4019,0)</f>
        <v/>
      </c>
      <c r="G4019" s="106">
        <f>INDEX(SETORES!$B:$B,MATCH(A4019,SETORES!$A:$A,0))</f>
        <v/>
      </c>
      <c r="H4019" s="106" t="inlineStr">
        <is>
          <t>Novembro/2026</t>
        </is>
      </c>
    </row>
    <row r="4020">
      <c r="A4020" s="106" t="inlineStr">
        <is>
          <t>Retenção</t>
        </is>
      </c>
      <c r="B4020" s="106" t="inlineStr">
        <is>
          <t>Custo Fixo</t>
        </is>
      </c>
      <c r="C4020" s="106" t="inlineStr">
        <is>
          <t>Gympass</t>
        </is>
      </c>
      <c r="D4020" s="107" t="n"/>
      <c r="E4020" s="108" t="n"/>
      <c r="F4020" s="109">
        <f>IFERROR(D4020*E4020,0)</f>
        <v/>
      </c>
      <c r="G4020" s="106">
        <f>INDEX(SETORES!$B:$B,MATCH(A4020,SETORES!$A:$A,0))</f>
        <v/>
      </c>
      <c r="H4020" s="106" t="inlineStr">
        <is>
          <t>Novembro/2026</t>
        </is>
      </c>
    </row>
    <row r="4021">
      <c r="A4021" s="106" t="inlineStr">
        <is>
          <t>Retenção</t>
        </is>
      </c>
      <c r="B4021" s="106" t="inlineStr">
        <is>
          <t>Custo Fixo</t>
        </is>
      </c>
      <c r="C4021" s="106" t="inlineStr">
        <is>
          <t>Stargrid</t>
        </is>
      </c>
      <c r="D4021" s="107" t="n">
        <v>12</v>
      </c>
      <c r="E4021" s="108" t="n">
        <v>1.87</v>
      </c>
      <c r="F4021" s="109">
        <f>IFERROR(D4021*E4021,0)</f>
        <v/>
      </c>
      <c r="G4021" s="106">
        <f>INDEX(SETORES!$B:$B,MATCH(A4021,SETORES!$A:$A,0))</f>
        <v/>
      </c>
      <c r="H4021" s="106" t="inlineStr">
        <is>
          <t>Novembro/2026</t>
        </is>
      </c>
    </row>
    <row r="4022">
      <c r="A4022" s="106" t="inlineStr">
        <is>
          <t>Segurança do Trabalho</t>
        </is>
      </c>
      <c r="B4022" s="106" t="inlineStr">
        <is>
          <t>Custo Fixo</t>
        </is>
      </c>
      <c r="C4022" s="106" t="inlineStr">
        <is>
          <t>Material de escritório (suprimentos de informática)</t>
        </is>
      </c>
      <c r="D4022" s="107" t="n">
        <v>1</v>
      </c>
      <c r="E4022" s="108" t="n">
        <v>56.96</v>
      </c>
      <c r="F4022" s="109">
        <f>IFERROR(D4022*E4022,0)</f>
        <v/>
      </c>
      <c r="G4022" s="106">
        <f>INDEX(SETORES!$B:$B,MATCH(A4022,SETORES!$A:$A,0))</f>
        <v/>
      </c>
      <c r="H4022" s="106" t="inlineStr">
        <is>
          <t>Novembro/2026</t>
        </is>
      </c>
    </row>
    <row r="4023">
      <c r="A4023" s="106" t="inlineStr">
        <is>
          <t>Segurança do Trabalho</t>
        </is>
      </c>
      <c r="B4023" s="106" t="inlineStr">
        <is>
          <t>Custo Fixo</t>
        </is>
      </c>
      <c r="C4023" s="106" t="inlineStr">
        <is>
          <t>Material de uso coletivo (copa/limpeza)</t>
        </is>
      </c>
      <c r="D4023" s="107" t="n"/>
      <c r="E4023" s="108" t="n"/>
      <c r="F4023" s="109">
        <f>IFERROR(D4023*E4023,0)</f>
        <v/>
      </c>
      <c r="G4023" s="106">
        <f>INDEX(SETORES!$B:$B,MATCH(A4023,SETORES!$A:$A,0))</f>
        <v/>
      </c>
      <c r="H4023" s="106" t="inlineStr">
        <is>
          <t>Novembro/2026</t>
        </is>
      </c>
    </row>
    <row r="4024">
      <c r="A4024" s="106" t="inlineStr">
        <is>
          <t>Segurança do Trabalho</t>
        </is>
      </c>
      <c r="B4024" s="106" t="inlineStr">
        <is>
          <t>Custo Fixo</t>
        </is>
      </c>
      <c r="C4024" s="106" t="inlineStr">
        <is>
          <t>Energia elétrica (rateio)</t>
        </is>
      </c>
      <c r="D4024" s="107" t="n"/>
      <c r="E4024" s="108" t="n"/>
      <c r="F4024" s="109">
        <f>IFERROR(D4024*E4024,0)</f>
        <v/>
      </c>
      <c r="G4024" s="106">
        <f>INDEX(SETORES!$B:$B,MATCH(A4024,SETORES!$A:$A,0))</f>
        <v/>
      </c>
      <c r="H4024" s="106" t="inlineStr">
        <is>
          <t>Novembro/2026</t>
        </is>
      </c>
    </row>
    <row r="4025">
      <c r="A4025" s="106" t="inlineStr">
        <is>
          <t>Segurança do Trabalho</t>
        </is>
      </c>
      <c r="B4025" s="106" t="inlineStr">
        <is>
          <t>Custo Fixo</t>
        </is>
      </c>
      <c r="C4025" s="106" t="inlineStr">
        <is>
          <t>Água e esgoto (rateio)</t>
        </is>
      </c>
      <c r="D4025" s="107" t="n"/>
      <c r="E4025" s="108" t="n"/>
      <c r="F4025" s="109">
        <f>IFERROR(D4025*E4025,0)</f>
        <v/>
      </c>
      <c r="G4025" s="106">
        <f>INDEX(SETORES!$B:$B,MATCH(A4025,SETORES!$A:$A,0))</f>
        <v/>
      </c>
      <c r="H4025" s="106" t="inlineStr">
        <is>
          <t>Novembro/2026</t>
        </is>
      </c>
    </row>
    <row r="4026">
      <c r="A4026" s="106" t="inlineStr">
        <is>
          <t>Segurança do Trabalho</t>
        </is>
      </c>
      <c r="B4026" s="106" t="inlineStr">
        <is>
          <t>Custo Fixo</t>
        </is>
      </c>
      <c r="C4026" s="106" t="inlineStr">
        <is>
          <t>Telefonia móvel corporativa</t>
        </is>
      </c>
      <c r="D4026" s="107" t="n"/>
      <c r="E4026" s="108" t="n"/>
      <c r="F4026" s="109">
        <f>IFERROR(D4026*E4026,0)</f>
        <v/>
      </c>
      <c r="G4026" s="106">
        <f>INDEX(SETORES!$B:$B,MATCH(A4026,SETORES!$A:$A,0))</f>
        <v/>
      </c>
      <c r="H4026" s="106" t="inlineStr">
        <is>
          <t>Novembro/2026</t>
        </is>
      </c>
    </row>
    <row r="4027">
      <c r="A4027" s="106" t="inlineStr">
        <is>
          <t>Segurança do Trabalho</t>
        </is>
      </c>
      <c r="B4027" s="106" t="inlineStr">
        <is>
          <t>Custo Fixo</t>
        </is>
      </c>
      <c r="C4027" s="106" t="inlineStr">
        <is>
          <t>Folha de pagamento (salários)</t>
        </is>
      </c>
      <c r="D4027" s="107" t="n">
        <v>1</v>
      </c>
      <c r="E4027" s="108" t="n">
        <v>43760.48</v>
      </c>
      <c r="F4027" s="109">
        <f>IFERROR(D4027*E4027,0)</f>
        <v/>
      </c>
      <c r="G4027" s="106">
        <f>INDEX(SETORES!$B:$B,MATCH(A4027,SETORES!$A:$A,0))</f>
        <v/>
      </c>
      <c r="H4027" s="106" t="inlineStr">
        <is>
          <t>Novembro/2026</t>
        </is>
      </c>
    </row>
    <row r="4028">
      <c r="A4028" s="106" t="inlineStr">
        <is>
          <t>Segurança do Trabalho</t>
        </is>
      </c>
      <c r="B4028" s="106" t="inlineStr">
        <is>
          <t>Custo Variável</t>
        </is>
      </c>
      <c r="C4028" s="106" t="inlineStr">
        <is>
          <t>EPIs - Equipamento de Proteção Individual</t>
        </is>
      </c>
      <c r="D4028" s="107" t="n"/>
      <c r="E4028" s="108" t="n"/>
      <c r="F4028" s="109">
        <f>IFERROR(D4028*E4028,0)</f>
        <v/>
      </c>
      <c r="G4028" s="106">
        <f>INDEX(SETORES!$B:$B,MATCH(A4028,SETORES!$A:$A,0))</f>
        <v/>
      </c>
      <c r="H4028" s="106" t="inlineStr">
        <is>
          <t>Novembro/2026</t>
        </is>
      </c>
    </row>
    <row r="4029">
      <c r="A4029" s="106" t="inlineStr">
        <is>
          <t>Cobrança</t>
        </is>
      </c>
      <c r="B4029" s="106" t="inlineStr">
        <is>
          <t>Custo Variável</t>
        </is>
      </c>
      <c r="C4029" s="106" t="inlineStr">
        <is>
          <t>Exames médicos</t>
        </is>
      </c>
      <c r="D4029" s="107" t="n"/>
      <c r="E4029" s="108" t="n"/>
      <c r="F4029" s="109">
        <f>IFERROR(D4029*E4029,0)</f>
        <v/>
      </c>
      <c r="G4029" s="106">
        <f>INDEX(SETORES!$B:$B,MATCH(A4029,SETORES!$A:$A,0))</f>
        <v/>
      </c>
      <c r="H4029" s="106" t="inlineStr">
        <is>
          <t>Novembro/2026</t>
        </is>
      </c>
    </row>
    <row r="4030">
      <c r="A4030" s="106" t="inlineStr">
        <is>
          <t>NRC</t>
        </is>
      </c>
      <c r="B4030" s="106" t="inlineStr">
        <is>
          <t>Custo Variável</t>
        </is>
      </c>
      <c r="C4030" s="106" t="inlineStr">
        <is>
          <t>Exames médicos</t>
        </is>
      </c>
      <c r="D4030" s="107" t="n"/>
      <c r="E4030" s="108" t="n"/>
      <c r="F4030" s="109">
        <f>IFERROR(D4030*E4030,0)</f>
        <v/>
      </c>
      <c r="G4030" s="106">
        <f>INDEX(SETORES!$B:$B,MATCH(A4030,SETORES!$A:$A,0))</f>
        <v/>
      </c>
      <c r="H4030" s="106" t="inlineStr">
        <is>
          <t>Novembro/2026</t>
        </is>
      </c>
    </row>
    <row r="4031">
      <c r="A4031" s="106" t="inlineStr">
        <is>
          <t>Suporte da Central</t>
        </is>
      </c>
      <c r="B4031" s="106" t="inlineStr">
        <is>
          <t>Custo Variável</t>
        </is>
      </c>
      <c r="C4031" s="106" t="inlineStr">
        <is>
          <t>Exames médicos</t>
        </is>
      </c>
      <c r="D4031" s="107" t="n"/>
      <c r="E4031" s="108" t="n"/>
      <c r="F4031" s="109">
        <f>IFERROR(D4031*E4031,0)</f>
        <v/>
      </c>
      <c r="G4031" s="106">
        <f>INDEX(SETORES!$B:$B,MATCH(A4031,SETORES!$A:$A,0))</f>
        <v/>
      </c>
      <c r="H4031" s="106" t="inlineStr">
        <is>
          <t>Novembro/2026</t>
        </is>
      </c>
    </row>
    <row r="4032">
      <c r="A4032" s="106" t="inlineStr">
        <is>
          <t>Manutenção Predial</t>
        </is>
      </c>
      <c r="B4032" s="106" t="inlineStr">
        <is>
          <t>Custo Variável</t>
        </is>
      </c>
      <c r="C4032" s="106" t="inlineStr">
        <is>
          <t>Exames médicos</t>
        </is>
      </c>
      <c r="D4032" s="107" t="n"/>
      <c r="E4032" s="108" t="n"/>
      <c r="F4032" s="109">
        <f>IFERROR(D4032*E4032,0)</f>
        <v/>
      </c>
      <c r="G4032" s="106">
        <f>INDEX(SETORES!$B:$B,MATCH(A4032,SETORES!$A:$A,0))</f>
        <v/>
      </c>
      <c r="H4032" s="106" t="inlineStr">
        <is>
          <t>Novembro/2026</t>
        </is>
      </c>
    </row>
    <row r="4033">
      <c r="A4033" s="106" t="inlineStr">
        <is>
          <t>Segurança do Trabalho</t>
        </is>
      </c>
      <c r="B4033" s="106" t="inlineStr">
        <is>
          <t>Custo Variável</t>
        </is>
      </c>
      <c r="C4033" s="106" t="inlineStr">
        <is>
          <t>Exames médicos</t>
        </is>
      </c>
      <c r="D4033" s="107" t="n"/>
      <c r="E4033" s="108" t="n"/>
      <c r="F4033" s="109">
        <f>IFERROR(D4033*E4033,0)</f>
        <v/>
      </c>
      <c r="G4033" s="106">
        <f>INDEX(SETORES!$B:$B,MATCH(A4033,SETORES!$A:$A,0))</f>
        <v/>
      </c>
      <c r="H4033" s="106" t="inlineStr">
        <is>
          <t>Novembro/2026</t>
        </is>
      </c>
    </row>
    <row r="4034">
      <c r="A4034" s="106" t="inlineStr">
        <is>
          <t>Segurança do Trabalho</t>
        </is>
      </c>
      <c r="B4034" s="106" t="inlineStr">
        <is>
          <t>Custo Variável</t>
        </is>
      </c>
      <c r="C4034" s="106" t="inlineStr">
        <is>
          <t>Fardamento novo</t>
        </is>
      </c>
      <c r="D4034" s="107" t="n"/>
      <c r="E4034" s="108" t="n"/>
      <c r="F4034" s="109">
        <f>IFERROR(D4034*E4034,0)</f>
        <v/>
      </c>
      <c r="G4034" s="106">
        <f>INDEX(SETORES!$B:$B,MATCH(A4034,SETORES!$A:$A,0))</f>
        <v/>
      </c>
      <c r="H4034" s="106" t="inlineStr">
        <is>
          <t>Novembro/2026</t>
        </is>
      </c>
    </row>
    <row r="4035">
      <c r="A4035" s="106" t="inlineStr">
        <is>
          <t>Segurança do Trabalho</t>
        </is>
      </c>
      <c r="B4035" s="106" t="inlineStr">
        <is>
          <t>Custo Variável</t>
        </is>
      </c>
      <c r="C4035" s="106" t="inlineStr">
        <is>
          <t>Fardamento substituição</t>
        </is>
      </c>
      <c r="D4035" s="107" t="n">
        <v>1</v>
      </c>
      <c r="E4035" s="108" t="n">
        <v>204</v>
      </c>
      <c r="F4035" s="109">
        <f>IFERROR(D4035*E4035,0)</f>
        <v/>
      </c>
      <c r="G4035" s="106">
        <f>INDEX(SETORES!$B:$B,MATCH(A4035,SETORES!$A:$A,0))</f>
        <v/>
      </c>
      <c r="H4035" s="106" t="inlineStr">
        <is>
          <t>Novembro/2026</t>
        </is>
      </c>
    </row>
    <row r="4036">
      <c r="A4036" s="106" t="inlineStr">
        <is>
          <t>Segurança do Trabalho</t>
        </is>
      </c>
      <c r="B4036" s="106" t="inlineStr">
        <is>
          <t>Custo Variável</t>
        </is>
      </c>
      <c r="C4036" s="106" t="inlineStr">
        <is>
          <t>Rateio de transporte coletivo</t>
        </is>
      </c>
      <c r="D4036" s="107" t="n"/>
      <c r="E4036" s="108" t="n"/>
      <c r="F4036" s="109">
        <f>IFERROR(D4036*E4036,0)</f>
        <v/>
      </c>
      <c r="G4036" s="106">
        <f>INDEX(SETORES!$B:$B,MATCH(A4036,SETORES!$A:$A,0))</f>
        <v/>
      </c>
      <c r="H4036" s="106" t="inlineStr">
        <is>
          <t>Novembro/2026</t>
        </is>
      </c>
    </row>
    <row r="4037">
      <c r="A4037" s="106" t="inlineStr">
        <is>
          <t>Segurança do Trabalho</t>
        </is>
      </c>
      <c r="B4037" s="106" t="inlineStr">
        <is>
          <t>Custo Variável</t>
        </is>
      </c>
      <c r="C4037" s="106" t="inlineStr">
        <is>
          <t>Médico do trabalho</t>
        </is>
      </c>
      <c r="D4037" s="107" t="n">
        <v>1</v>
      </c>
      <c r="E4037" s="108" t="n">
        <v>7689.5</v>
      </c>
      <c r="F4037" s="109">
        <f>IFERROR(D4037*E4037,0)</f>
        <v/>
      </c>
      <c r="G4037" s="106">
        <f>INDEX(SETORES!$B:$B,MATCH(A4037,SETORES!$A:$A,0))</f>
        <v/>
      </c>
      <c r="H4037" s="106" t="inlineStr">
        <is>
          <t>Novembro/2026</t>
        </is>
      </c>
    </row>
    <row r="4038">
      <c r="A4038" s="106" t="inlineStr">
        <is>
          <t>Segurança do Trabalho</t>
        </is>
      </c>
      <c r="B4038" s="106" t="inlineStr">
        <is>
          <t>Custo Fixo</t>
        </is>
      </c>
      <c r="C4038" s="106" t="inlineStr">
        <is>
          <t>Licença de e-mail corporativo</t>
        </is>
      </c>
      <c r="D4038" s="107" t="n">
        <v>8</v>
      </c>
      <c r="E4038" s="108" t="n">
        <v>50</v>
      </c>
      <c r="F4038" s="109">
        <f>IFERROR(D4038*E4038,0)</f>
        <v/>
      </c>
      <c r="G4038" s="106">
        <f>INDEX(SETORES!$B:$B,MATCH(A4038,SETORES!$A:$A,0))</f>
        <v/>
      </c>
      <c r="H4038" s="106" t="inlineStr">
        <is>
          <t>Novembro/2026</t>
        </is>
      </c>
    </row>
    <row r="4039">
      <c r="A4039" s="106" t="inlineStr">
        <is>
          <t>Segurança do Trabalho</t>
        </is>
      </c>
      <c r="B4039" s="106" t="inlineStr">
        <is>
          <t>Custo Variável</t>
        </is>
      </c>
      <c r="C4039" s="106" t="inlineStr">
        <is>
          <t>Combustível de frota</t>
        </is>
      </c>
      <c r="D4039" s="107" t="n">
        <v>1</v>
      </c>
      <c r="E4039" s="108" t="n">
        <v>4175.57</v>
      </c>
      <c r="F4039" s="109">
        <f>IFERROR(D4039*E4039,0)</f>
        <v/>
      </c>
      <c r="G4039" s="106">
        <f>INDEX(SETORES!$B:$B,MATCH(A4039,SETORES!$A:$A,0))</f>
        <v/>
      </c>
      <c r="H4039" s="106" t="inlineStr">
        <is>
          <t>Novembro/2026</t>
        </is>
      </c>
    </row>
    <row r="4040">
      <c r="A4040" s="106" t="inlineStr">
        <is>
          <t>Segurança do Trabalho</t>
        </is>
      </c>
      <c r="B4040" s="106" t="inlineStr">
        <is>
          <t>Custo Fixo</t>
        </is>
      </c>
      <c r="C4040" s="106" t="inlineStr">
        <is>
          <t>Impressora</t>
        </is>
      </c>
      <c r="D4040" s="107" t="n"/>
      <c r="E4040" s="108" t="n"/>
      <c r="F4040" s="109">
        <f>IFERROR(D4040*E4040,0)</f>
        <v/>
      </c>
      <c r="G4040" s="106">
        <f>INDEX(SETORES!$B:$B,MATCH(A4040,SETORES!$A:$A,0))</f>
        <v/>
      </c>
      <c r="H4040" s="106" t="inlineStr">
        <is>
          <t>Novembro/2026</t>
        </is>
      </c>
    </row>
    <row r="4041">
      <c r="A4041" s="106" t="inlineStr">
        <is>
          <t>Segurança do Trabalho</t>
        </is>
      </c>
      <c r="B4041" s="106" t="inlineStr">
        <is>
          <t>Custo Fixo</t>
        </is>
      </c>
      <c r="C4041" s="106" t="inlineStr">
        <is>
          <t>Gympass</t>
        </is>
      </c>
      <c r="D4041" s="107" t="n"/>
      <c r="E4041" s="108" t="n"/>
      <c r="F4041" s="109">
        <f>IFERROR(D4041*E4041,0)</f>
        <v/>
      </c>
      <c r="G4041" s="106">
        <f>INDEX(SETORES!$B:$B,MATCH(A4041,SETORES!$A:$A,0))</f>
        <v/>
      </c>
      <c r="H4041" s="106" t="inlineStr">
        <is>
          <t>Novembro/2026</t>
        </is>
      </c>
    </row>
    <row r="4042">
      <c r="A4042" s="106" t="inlineStr">
        <is>
          <t>Segurança do Trabalho</t>
        </is>
      </c>
      <c r="B4042" s="106" t="inlineStr">
        <is>
          <t>Custo Fixo</t>
        </is>
      </c>
      <c r="C4042" s="106" t="inlineStr">
        <is>
          <t>Stargrid</t>
        </is>
      </c>
      <c r="D4042" s="107" t="n">
        <v>8</v>
      </c>
      <c r="E4042" s="108" t="n">
        <v>1.87</v>
      </c>
      <c r="F4042" s="109">
        <f>IFERROR(D4042*E4042,0)</f>
        <v/>
      </c>
      <c r="G4042" s="106">
        <f>INDEX(SETORES!$B:$B,MATCH(A4042,SETORES!$A:$A,0))</f>
        <v/>
      </c>
      <c r="H4042" s="106" t="inlineStr">
        <is>
          <t>Novembro/2026</t>
        </is>
      </c>
    </row>
    <row r="4043">
      <c r="A4043" s="106" t="inlineStr">
        <is>
          <t>Suporte Orbix</t>
        </is>
      </c>
      <c r="B4043" s="106" t="inlineStr">
        <is>
          <t>Custo Fixo</t>
        </is>
      </c>
      <c r="C4043" s="106" t="inlineStr">
        <is>
          <t>Material de escritório (suprimentos de informática)</t>
        </is>
      </c>
      <c r="D4043" s="107" t="n">
        <v>1</v>
      </c>
      <c r="E4043" s="108" t="n">
        <v>2.3</v>
      </c>
      <c r="F4043" s="109">
        <f>IFERROR(D4043*E4043,0)</f>
        <v/>
      </c>
      <c r="G4043" s="106">
        <f>INDEX(SETORES!$B:$B,MATCH(A4043,SETORES!$A:$A,0))</f>
        <v/>
      </c>
      <c r="H4043" s="106" t="inlineStr">
        <is>
          <t>Novembro/2026</t>
        </is>
      </c>
    </row>
    <row r="4044">
      <c r="A4044" s="106" t="inlineStr">
        <is>
          <t>Suporte Orbix</t>
        </is>
      </c>
      <c r="B4044" s="106" t="inlineStr">
        <is>
          <t>Custo Fixo</t>
        </is>
      </c>
      <c r="C4044" s="106" t="inlineStr">
        <is>
          <t>Material de uso coletivo (copa/limpeza)</t>
        </is>
      </c>
      <c r="D4044" s="107" t="n">
        <v>1</v>
      </c>
      <c r="E4044" s="108" t="n">
        <v>404.44</v>
      </c>
      <c r="F4044" s="109">
        <f>IFERROR(D4044*E4044,0)</f>
        <v/>
      </c>
      <c r="G4044" s="106">
        <f>INDEX(SETORES!$B:$B,MATCH(A4044,SETORES!$A:$A,0))</f>
        <v/>
      </c>
      <c r="H4044" s="106" t="inlineStr">
        <is>
          <t>Novembro/2026</t>
        </is>
      </c>
    </row>
    <row r="4045">
      <c r="A4045" s="106" t="inlineStr">
        <is>
          <t>Suporte Orbix</t>
        </is>
      </c>
      <c r="B4045" s="106" t="inlineStr">
        <is>
          <t>Custo Fixo</t>
        </is>
      </c>
      <c r="C4045" s="106" t="inlineStr">
        <is>
          <t>Energia elétrica (rateio)</t>
        </is>
      </c>
      <c r="D4045" s="107" t="n"/>
      <c r="E4045" s="108" t="n"/>
      <c r="F4045" s="109">
        <f>IFERROR(D4045*E4045,0)</f>
        <v/>
      </c>
      <c r="G4045" s="106">
        <f>INDEX(SETORES!$B:$B,MATCH(A4045,SETORES!$A:$A,0))</f>
        <v/>
      </c>
      <c r="H4045" s="106" t="inlineStr">
        <is>
          <t>Novembro/2026</t>
        </is>
      </c>
    </row>
    <row r="4046">
      <c r="A4046" s="106" t="inlineStr">
        <is>
          <t>Suporte Orbix</t>
        </is>
      </c>
      <c r="B4046" s="106" t="inlineStr">
        <is>
          <t>Custo Fixo</t>
        </is>
      </c>
      <c r="C4046" s="106" t="inlineStr">
        <is>
          <t>Água e esgoto (rateio)</t>
        </is>
      </c>
      <c r="D4046" s="107" t="n"/>
      <c r="E4046" s="108" t="n"/>
      <c r="F4046" s="109">
        <f>IFERROR(D4046*E4046,0)</f>
        <v/>
      </c>
      <c r="G4046" s="106">
        <f>INDEX(SETORES!$B:$B,MATCH(A4046,SETORES!$A:$A,0))</f>
        <v/>
      </c>
      <c r="H4046" s="106" t="inlineStr">
        <is>
          <t>Novembro/2026</t>
        </is>
      </c>
    </row>
    <row r="4047">
      <c r="A4047" s="106" t="inlineStr">
        <is>
          <t>Suporte Orbix</t>
        </is>
      </c>
      <c r="B4047" s="106" t="inlineStr">
        <is>
          <t>Custo Fixo</t>
        </is>
      </c>
      <c r="C4047" s="106" t="inlineStr">
        <is>
          <t>Telefonia móvel corporativa</t>
        </is>
      </c>
      <c r="D4047" s="107" t="n"/>
      <c r="E4047" s="108" t="n"/>
      <c r="F4047" s="109">
        <f>IFERROR(D4047*E4047,0)</f>
        <v/>
      </c>
      <c r="G4047" s="106">
        <f>INDEX(SETORES!$B:$B,MATCH(A4047,SETORES!$A:$A,0))</f>
        <v/>
      </c>
      <c r="H4047" s="106" t="inlineStr">
        <is>
          <t>Novembro/2026</t>
        </is>
      </c>
    </row>
    <row r="4048">
      <c r="A4048" s="106" t="inlineStr">
        <is>
          <t>Suporte Orbix</t>
        </is>
      </c>
      <c r="B4048" s="106" t="inlineStr">
        <is>
          <t>Custo Fixo</t>
        </is>
      </c>
      <c r="C4048" s="106" t="inlineStr">
        <is>
          <t>Folha de pagamento (salários)</t>
        </is>
      </c>
      <c r="D4048" s="107" t="n">
        <v>1</v>
      </c>
      <c r="E4048" s="108" t="n">
        <v>30736.23</v>
      </c>
      <c r="F4048" s="109">
        <f>IFERROR(D4048*E4048,0)</f>
        <v/>
      </c>
      <c r="G4048" s="106">
        <f>INDEX(SETORES!$B:$B,MATCH(A4048,SETORES!$A:$A,0))</f>
        <v/>
      </c>
      <c r="H4048" s="106" t="inlineStr">
        <is>
          <t>Novembro/2026</t>
        </is>
      </c>
    </row>
    <row r="4049">
      <c r="A4049" s="106" t="inlineStr">
        <is>
          <t>Suporte Orbix</t>
        </is>
      </c>
      <c r="B4049" s="106" t="inlineStr">
        <is>
          <t>Custo Fixo</t>
        </is>
      </c>
      <c r="C4049" s="106" t="inlineStr">
        <is>
          <t>Licença de e-mail corporativo</t>
        </is>
      </c>
      <c r="D4049" s="107" t="n">
        <v>8</v>
      </c>
      <c r="E4049" s="108" t="n">
        <v>50</v>
      </c>
      <c r="F4049" s="109">
        <f>IFERROR(D4049*E4049,0)</f>
        <v/>
      </c>
      <c r="G4049" s="106">
        <f>INDEX(SETORES!$B:$B,MATCH(A4049,SETORES!$A:$A,0))</f>
        <v/>
      </c>
      <c r="H4049" s="106" t="inlineStr">
        <is>
          <t>Novembro/2026</t>
        </is>
      </c>
    </row>
    <row r="4050">
      <c r="A4050" s="106" t="inlineStr">
        <is>
          <t>Suporte Orbix</t>
        </is>
      </c>
      <c r="B4050" s="106" t="inlineStr">
        <is>
          <t>Custo Fixo</t>
        </is>
      </c>
      <c r="C4050" s="106" t="inlineStr">
        <is>
          <t>Software MATRIX (rateio equipe Relacionamento)</t>
        </is>
      </c>
      <c r="D4050" s="107" t="n"/>
      <c r="E4050" s="108" t="n"/>
      <c r="F4050" s="109">
        <f>IFERROR(D4050*E4050,0)</f>
        <v/>
      </c>
      <c r="G4050" s="106">
        <f>INDEX(SETORES!$B:$B,MATCH(A4050,SETORES!$A:$A,0))</f>
        <v/>
      </c>
      <c r="H4050" s="106" t="inlineStr">
        <is>
          <t>Novembro/2026</t>
        </is>
      </c>
    </row>
    <row r="4051">
      <c r="A4051" s="106" t="inlineStr">
        <is>
          <t>Suporte Orbix</t>
        </is>
      </c>
      <c r="B4051" s="106" t="inlineStr">
        <is>
          <t>Custo Fixo</t>
        </is>
      </c>
      <c r="C4051" s="106" t="inlineStr">
        <is>
          <t>Impressora (rateio equipe Relacionamento)</t>
        </is>
      </c>
      <c r="D4051" s="107" t="n"/>
      <c r="E4051" s="108" t="n"/>
      <c r="F4051" s="109">
        <f>IFERROR(D4051*E4051,0)</f>
        <v/>
      </c>
      <c r="G4051" s="106">
        <f>INDEX(SETORES!$B:$B,MATCH(A4051,SETORES!$A:$A,0))</f>
        <v/>
      </c>
      <c r="H4051" s="106" t="inlineStr">
        <is>
          <t>Novembro/2026</t>
        </is>
      </c>
    </row>
    <row r="4052">
      <c r="A4052" s="106" t="inlineStr">
        <is>
          <t>Suporte Orbix</t>
        </is>
      </c>
      <c r="B4052" s="106" t="inlineStr">
        <is>
          <t>Custo Fixo</t>
        </is>
      </c>
      <c r="C4052" s="106" t="inlineStr">
        <is>
          <t>Gympass</t>
        </is>
      </c>
      <c r="D4052" s="107" t="n"/>
      <c r="E4052" s="108" t="n"/>
      <c r="F4052" s="109">
        <f>IFERROR(D4052*E4052,0)</f>
        <v/>
      </c>
      <c r="G4052" s="106">
        <f>INDEX(SETORES!$B:$B,MATCH(A4052,SETORES!$A:$A,0))</f>
        <v/>
      </c>
      <c r="H4052" s="106" t="inlineStr">
        <is>
          <t>Novembro/2026</t>
        </is>
      </c>
    </row>
    <row r="4053">
      <c r="A4053" s="106" t="inlineStr">
        <is>
          <t>Suporte Orbix</t>
        </is>
      </c>
      <c r="B4053" s="106" t="inlineStr">
        <is>
          <t>Custo Fixo</t>
        </is>
      </c>
      <c r="C4053" s="106" t="inlineStr">
        <is>
          <t>Stargrid</t>
        </is>
      </c>
      <c r="D4053" s="107" t="n">
        <v>8</v>
      </c>
      <c r="E4053" s="108" t="n">
        <v>1.87</v>
      </c>
      <c r="F4053" s="109">
        <f>IFERROR(D4053*E4053,0)</f>
        <v/>
      </c>
      <c r="G4053" s="106">
        <f>INDEX(SETORES!$B:$B,MATCH(A4053,SETORES!$A:$A,0))</f>
        <v/>
      </c>
      <c r="H4053" s="106" t="inlineStr">
        <is>
          <t>Novembro/2026</t>
        </is>
      </c>
    </row>
    <row r="4054">
      <c r="A4054" s="106" t="inlineStr">
        <is>
          <t>Suporte da Central</t>
        </is>
      </c>
      <c r="B4054" s="106" t="inlineStr">
        <is>
          <t>Custo Fixo</t>
        </is>
      </c>
      <c r="C4054" s="106" t="inlineStr">
        <is>
          <t>Material de escritório (suprimentos de informática)</t>
        </is>
      </c>
      <c r="D4054" s="107" t="n">
        <v>1</v>
      </c>
      <c r="E4054" s="108" t="n">
        <v>9.5</v>
      </c>
      <c r="F4054" s="109">
        <f>IFERROR(D4054*E4054,0)</f>
        <v/>
      </c>
      <c r="G4054" s="106">
        <f>INDEX(SETORES!$B:$B,MATCH(A4054,SETORES!$A:$A,0))</f>
        <v/>
      </c>
      <c r="H4054" s="106" t="inlineStr">
        <is>
          <t>Novembro/2026</t>
        </is>
      </c>
    </row>
    <row r="4055">
      <c r="A4055" s="106" t="inlineStr">
        <is>
          <t>Suporte da Central</t>
        </is>
      </c>
      <c r="B4055" s="106" t="inlineStr">
        <is>
          <t>Custo Fixo</t>
        </is>
      </c>
      <c r="C4055" s="106" t="inlineStr">
        <is>
          <t>Material de uso coletivo (copa/limpeza)</t>
        </is>
      </c>
      <c r="D4055" s="107" t="n">
        <v>1</v>
      </c>
      <c r="E4055" s="108" t="n">
        <v>1668.3</v>
      </c>
      <c r="F4055" s="109">
        <f>IFERROR(D4055*E4055,0)</f>
        <v/>
      </c>
      <c r="G4055" s="106">
        <f>INDEX(SETORES!$B:$B,MATCH(A4055,SETORES!$A:$A,0))</f>
        <v/>
      </c>
      <c r="H4055" s="106" t="inlineStr">
        <is>
          <t>Novembro/2026</t>
        </is>
      </c>
    </row>
    <row r="4056">
      <c r="A4056" s="106" t="inlineStr">
        <is>
          <t>Suporte da Central</t>
        </is>
      </c>
      <c r="B4056" s="106" t="inlineStr">
        <is>
          <t>Custo Fixo</t>
        </is>
      </c>
      <c r="C4056" s="106" t="inlineStr">
        <is>
          <t>Energia elétrica (rateio)</t>
        </is>
      </c>
      <c r="D4056" s="107" t="n"/>
      <c r="E4056" s="108" t="n"/>
      <c r="F4056" s="109">
        <f>IFERROR(D4056*E4056,0)</f>
        <v/>
      </c>
      <c r="G4056" s="106">
        <f>INDEX(SETORES!$B:$B,MATCH(A4056,SETORES!$A:$A,0))</f>
        <v/>
      </c>
      <c r="H4056" s="106" t="inlineStr">
        <is>
          <t>Novembro/2026</t>
        </is>
      </c>
    </row>
    <row r="4057">
      <c r="A4057" s="106" t="inlineStr">
        <is>
          <t>Suporte da Central</t>
        </is>
      </c>
      <c r="B4057" s="106" t="inlineStr">
        <is>
          <t>Custo Fixo</t>
        </is>
      </c>
      <c r="C4057" s="106" t="inlineStr">
        <is>
          <t>Água e esgoto (rateio)</t>
        </is>
      </c>
      <c r="D4057" s="107" t="n"/>
      <c r="E4057" s="108" t="n"/>
      <c r="F4057" s="109">
        <f>IFERROR(D4057*E4057,0)</f>
        <v/>
      </c>
      <c r="G4057" s="106">
        <f>INDEX(SETORES!$B:$B,MATCH(A4057,SETORES!$A:$A,0))</f>
        <v/>
      </c>
      <c r="H4057" s="106" t="inlineStr">
        <is>
          <t>Novembro/2026</t>
        </is>
      </c>
    </row>
    <row r="4058">
      <c r="A4058" s="106" t="inlineStr">
        <is>
          <t>Suporte da Central</t>
        </is>
      </c>
      <c r="B4058" s="106" t="inlineStr">
        <is>
          <t>Custo Fixo</t>
        </is>
      </c>
      <c r="C4058" s="106" t="inlineStr">
        <is>
          <t>Telefonia móvel corporativa</t>
        </is>
      </c>
      <c r="D4058" s="107" t="n"/>
      <c r="E4058" s="108" t="n"/>
      <c r="F4058" s="109">
        <f>IFERROR(D4058*E4058,0)</f>
        <v/>
      </c>
      <c r="G4058" s="106">
        <f>INDEX(SETORES!$B:$B,MATCH(A4058,SETORES!$A:$A,0))</f>
        <v/>
      </c>
      <c r="H4058" s="106" t="inlineStr">
        <is>
          <t>Novembro/2026</t>
        </is>
      </c>
    </row>
    <row r="4059">
      <c r="A4059" s="106" t="inlineStr">
        <is>
          <t>Suporte da Central</t>
        </is>
      </c>
      <c r="B4059" s="106" t="inlineStr">
        <is>
          <t>Custo Fixo</t>
        </is>
      </c>
      <c r="C4059" s="106" t="inlineStr">
        <is>
          <t>Folha de pagamento (salários)</t>
        </is>
      </c>
      <c r="D4059" s="107" t="n">
        <v>1</v>
      </c>
      <c r="E4059" s="108" t="n">
        <v>106886.23</v>
      </c>
      <c r="F4059" s="109">
        <f>IFERROR(D4059*E4059,0)</f>
        <v/>
      </c>
      <c r="G4059" s="106">
        <f>INDEX(SETORES!$B:$B,MATCH(A4059,SETORES!$A:$A,0))</f>
        <v/>
      </c>
      <c r="H4059" s="106" t="inlineStr">
        <is>
          <t>Novembro/2026</t>
        </is>
      </c>
    </row>
    <row r="4060">
      <c r="A4060" s="106" t="inlineStr">
        <is>
          <t>Suporte da Central</t>
        </is>
      </c>
      <c r="B4060" s="106" t="inlineStr">
        <is>
          <t>Custo Fixo</t>
        </is>
      </c>
      <c r="C4060" s="106" t="inlineStr">
        <is>
          <t>Licença de e-mail corporativo</t>
        </is>
      </c>
      <c r="D4060" s="107" t="n">
        <v>33</v>
      </c>
      <c r="E4060" s="108" t="n">
        <v>50</v>
      </c>
      <c r="F4060" s="109">
        <f>IFERROR(D4060*E4060,0)</f>
        <v/>
      </c>
      <c r="G4060" s="106">
        <f>INDEX(SETORES!$B:$B,MATCH(A4060,SETORES!$A:$A,0))</f>
        <v/>
      </c>
      <c r="H4060" s="106" t="inlineStr">
        <is>
          <t>Novembro/2026</t>
        </is>
      </c>
    </row>
    <row r="4061">
      <c r="A4061" s="106" t="inlineStr">
        <is>
          <t>Suporte da Central</t>
        </is>
      </c>
      <c r="B4061" s="106" t="inlineStr">
        <is>
          <t>Custo Fixo</t>
        </is>
      </c>
      <c r="C4061" s="106" t="inlineStr">
        <is>
          <t>Software MATRIX (rateio equipe Relacionamento)</t>
        </is>
      </c>
      <c r="D4061" s="107" t="n"/>
      <c r="E4061" s="108" t="n"/>
      <c r="F4061" s="109">
        <f>IFERROR(D4061*E4061,0)</f>
        <v/>
      </c>
      <c r="G4061" s="106">
        <f>INDEX(SETORES!$B:$B,MATCH(A4061,SETORES!$A:$A,0))</f>
        <v/>
      </c>
      <c r="H4061" s="106" t="inlineStr">
        <is>
          <t>Novembro/2026</t>
        </is>
      </c>
    </row>
    <row r="4062">
      <c r="A4062" s="106" t="inlineStr">
        <is>
          <t>Suporte da Central</t>
        </is>
      </c>
      <c r="B4062" s="106" t="inlineStr">
        <is>
          <t>Custo Fixo</t>
        </is>
      </c>
      <c r="C4062" s="106" t="inlineStr">
        <is>
          <t>Impressora (rateio equipe Relacionamento)</t>
        </is>
      </c>
      <c r="D4062" s="107" t="n"/>
      <c r="E4062" s="108" t="n"/>
      <c r="F4062" s="109">
        <f>IFERROR(D4062*E4062,0)</f>
        <v/>
      </c>
      <c r="G4062" s="106">
        <f>INDEX(SETORES!$B:$B,MATCH(A4062,SETORES!$A:$A,0))</f>
        <v/>
      </c>
      <c r="H4062" s="106" t="inlineStr">
        <is>
          <t>Novembro/2026</t>
        </is>
      </c>
    </row>
    <row r="4063">
      <c r="A4063" s="106" t="inlineStr">
        <is>
          <t>Suporte da Central</t>
        </is>
      </c>
      <c r="B4063" s="106" t="inlineStr">
        <is>
          <t>Custo Fixo</t>
        </is>
      </c>
      <c r="C4063" s="106" t="inlineStr">
        <is>
          <t>Gympass</t>
        </is>
      </c>
      <c r="D4063" s="107" t="n"/>
      <c r="E4063" s="108" t="n"/>
      <c r="F4063" s="109">
        <f>IFERROR(D4063*E4063,0)</f>
        <v/>
      </c>
      <c r="G4063" s="106">
        <f>INDEX(SETORES!$B:$B,MATCH(A4063,SETORES!$A:$A,0))</f>
        <v/>
      </c>
      <c r="H4063" s="106" t="inlineStr">
        <is>
          <t>Novembro/2026</t>
        </is>
      </c>
    </row>
    <row r="4064">
      <c r="A4064" s="106" t="inlineStr">
        <is>
          <t>Suporte da Central</t>
        </is>
      </c>
      <c r="B4064" s="106" t="inlineStr">
        <is>
          <t>Custo Fixo</t>
        </is>
      </c>
      <c r="C4064" s="106" t="inlineStr">
        <is>
          <t>Stargrid</t>
        </is>
      </c>
      <c r="D4064" s="107" t="n">
        <v>33</v>
      </c>
      <c r="E4064" s="108" t="n">
        <v>1.87</v>
      </c>
      <c r="F4064" s="109">
        <f>IFERROR(D4064*E4064,0)</f>
        <v/>
      </c>
      <c r="G4064" s="106">
        <f>INDEX(SETORES!$B:$B,MATCH(A4064,SETORES!$A:$A,0))</f>
        <v/>
      </c>
      <c r="H4064" s="106" t="inlineStr">
        <is>
          <t>Novembro/2026</t>
        </is>
      </c>
    </row>
    <row r="4065">
      <c r="A4065" s="106" t="inlineStr">
        <is>
          <t>Televendas</t>
        </is>
      </c>
      <c r="B4065" s="106" t="inlineStr">
        <is>
          <t>Custo Fixo</t>
        </is>
      </c>
      <c r="C4065" s="106" t="inlineStr">
        <is>
          <t>Material de escritório (suprimentos de informática)</t>
        </is>
      </c>
      <c r="D4065" s="107" t="n">
        <v>1</v>
      </c>
      <c r="E4065" s="108" t="n">
        <v>3.17</v>
      </c>
      <c r="F4065" s="109">
        <f>IFERROR(D4065*E4065,0)</f>
        <v/>
      </c>
      <c r="G4065" s="106">
        <f>INDEX(SETORES!$B:$B,MATCH(A4065,SETORES!$A:$A,0))</f>
        <v/>
      </c>
      <c r="H4065" s="106" t="inlineStr">
        <is>
          <t>Novembro/2026</t>
        </is>
      </c>
    </row>
    <row r="4066">
      <c r="A4066" s="106" t="inlineStr">
        <is>
          <t>Televendas</t>
        </is>
      </c>
      <c r="B4066" s="106" t="inlineStr">
        <is>
          <t>Custo Fixo</t>
        </is>
      </c>
      <c r="C4066" s="106" t="inlineStr">
        <is>
          <t>Material de uso coletivo (copa/limpeza)</t>
        </is>
      </c>
      <c r="D4066" s="107" t="n">
        <v>1</v>
      </c>
      <c r="E4066" s="108" t="n">
        <v>556.1</v>
      </c>
      <c r="F4066" s="109">
        <f>IFERROR(D4066*E4066,0)</f>
        <v/>
      </c>
      <c r="G4066" s="106">
        <f>INDEX(SETORES!$B:$B,MATCH(A4066,SETORES!$A:$A,0))</f>
        <v/>
      </c>
      <c r="H4066" s="106" t="inlineStr">
        <is>
          <t>Novembro/2026</t>
        </is>
      </c>
    </row>
    <row r="4067">
      <c r="A4067" s="106" t="inlineStr">
        <is>
          <t>Televendas</t>
        </is>
      </c>
      <c r="B4067" s="106" t="inlineStr">
        <is>
          <t>Custo Fixo</t>
        </is>
      </c>
      <c r="C4067" s="106" t="inlineStr">
        <is>
          <t>Energia elétrica (rateio)</t>
        </is>
      </c>
      <c r="D4067" s="107" t="n"/>
      <c r="E4067" s="108" t="n"/>
      <c r="F4067" s="109">
        <f>IFERROR(D4067*E4067,0)</f>
        <v/>
      </c>
      <c r="G4067" s="106">
        <f>INDEX(SETORES!$B:$B,MATCH(A4067,SETORES!$A:$A,0))</f>
        <v/>
      </c>
      <c r="H4067" s="106" t="inlineStr">
        <is>
          <t>Novembro/2026</t>
        </is>
      </c>
    </row>
    <row r="4068">
      <c r="A4068" s="106" t="inlineStr">
        <is>
          <t>Televendas</t>
        </is>
      </c>
      <c r="B4068" s="106" t="inlineStr">
        <is>
          <t>Custo Fixo</t>
        </is>
      </c>
      <c r="C4068" s="106" t="inlineStr">
        <is>
          <t>Água e esgoto (rateio)</t>
        </is>
      </c>
      <c r="D4068" s="107" t="n"/>
      <c r="E4068" s="108" t="n"/>
      <c r="F4068" s="109">
        <f>IFERROR(D4068*E4068,0)</f>
        <v/>
      </c>
      <c r="G4068" s="106">
        <f>INDEX(SETORES!$B:$B,MATCH(A4068,SETORES!$A:$A,0))</f>
        <v/>
      </c>
      <c r="H4068" s="106" t="inlineStr">
        <is>
          <t>Novembro/2026</t>
        </is>
      </c>
    </row>
    <row r="4069">
      <c r="A4069" s="106" t="inlineStr">
        <is>
          <t>Televendas</t>
        </is>
      </c>
      <c r="B4069" s="106" t="inlineStr">
        <is>
          <t>Custo Fixo</t>
        </is>
      </c>
      <c r="C4069" s="106" t="inlineStr">
        <is>
          <t>Telefonia móvel corporativa</t>
        </is>
      </c>
      <c r="D4069" s="107" t="n"/>
      <c r="E4069" s="108" t="n"/>
      <c r="F4069" s="109">
        <f>IFERROR(D4069*E4069,0)</f>
        <v/>
      </c>
      <c r="G4069" s="106">
        <f>INDEX(SETORES!$B:$B,MATCH(A4069,SETORES!$A:$A,0))</f>
        <v/>
      </c>
      <c r="H4069" s="106" t="inlineStr">
        <is>
          <t>Novembro/2026</t>
        </is>
      </c>
    </row>
    <row r="4070">
      <c r="A4070" s="106" t="inlineStr">
        <is>
          <t>Televendas</t>
        </is>
      </c>
      <c r="B4070" s="106" t="inlineStr">
        <is>
          <t>Custo Fixo</t>
        </is>
      </c>
      <c r="C4070" s="106" t="inlineStr">
        <is>
          <t>Folha de pagamento (salários)</t>
        </is>
      </c>
      <c r="D4070" s="107" t="n">
        <v>1</v>
      </c>
      <c r="E4070" s="108" t="n">
        <v>128483.01</v>
      </c>
      <c r="F4070" s="109">
        <f>IFERROR(D4070*E4070,0)</f>
        <v/>
      </c>
      <c r="G4070" s="106">
        <f>INDEX(SETORES!$B:$B,MATCH(A4070,SETORES!$A:$A,0))</f>
        <v/>
      </c>
      <c r="H4070" s="106" t="inlineStr">
        <is>
          <t>Novembro/2026</t>
        </is>
      </c>
    </row>
    <row r="4071">
      <c r="A4071" s="106" t="inlineStr">
        <is>
          <t>Televendas</t>
        </is>
      </c>
      <c r="B4071" s="106" t="inlineStr">
        <is>
          <t>Custo Fixo</t>
        </is>
      </c>
      <c r="C4071" s="106" t="inlineStr">
        <is>
          <t>Licença de e-mail corporativo</t>
        </is>
      </c>
      <c r="D4071" s="107" t="n">
        <v>11</v>
      </c>
      <c r="E4071" s="108" t="n">
        <v>50</v>
      </c>
      <c r="F4071" s="109">
        <f>IFERROR(D4071*E4071,0)</f>
        <v/>
      </c>
      <c r="G4071" s="106">
        <f>INDEX(SETORES!$B:$B,MATCH(A4071,SETORES!$A:$A,0))</f>
        <v/>
      </c>
      <c r="H4071" s="106" t="inlineStr">
        <is>
          <t>Novembro/2026</t>
        </is>
      </c>
    </row>
    <row r="4072">
      <c r="A4072" s="106" t="inlineStr">
        <is>
          <t>Televendas</t>
        </is>
      </c>
      <c r="B4072" s="106" t="inlineStr">
        <is>
          <t>Custo Fixo</t>
        </is>
      </c>
      <c r="C4072" s="106" t="inlineStr">
        <is>
          <t>Gympass</t>
        </is>
      </c>
      <c r="D4072" s="107" t="n"/>
      <c r="E4072" s="108" t="n"/>
      <c r="F4072" s="109">
        <f>IFERROR(D4072*E4072,0)</f>
        <v/>
      </c>
      <c r="G4072" s="106">
        <f>INDEX(SETORES!$B:$B,MATCH(A4072,SETORES!$A:$A,0))</f>
        <v/>
      </c>
      <c r="H4072" s="106" t="inlineStr">
        <is>
          <t>Novembro/2026</t>
        </is>
      </c>
    </row>
    <row r="4073">
      <c r="A4073" s="106" t="inlineStr">
        <is>
          <t>Televendas</t>
        </is>
      </c>
      <c r="B4073" s="106" t="inlineStr">
        <is>
          <t>Custo Fixo</t>
        </is>
      </c>
      <c r="C4073" s="106" t="inlineStr">
        <is>
          <t>Stargrid</t>
        </is>
      </c>
      <c r="D4073" s="107" t="n">
        <v>11</v>
      </c>
      <c r="E4073" s="108" t="n">
        <v>1.87</v>
      </c>
      <c r="F4073" s="109">
        <f>IFERROR(D4073*E4073,0)</f>
        <v/>
      </c>
      <c r="G4073" s="106">
        <f>INDEX(SETORES!$B:$B,MATCH(A4073,SETORES!$A:$A,0))</f>
        <v/>
      </c>
      <c r="H4073" s="106" t="inlineStr">
        <is>
          <t>Novembro/2026</t>
        </is>
      </c>
    </row>
    <row r="4074">
      <c r="A4074" s="106" t="inlineStr">
        <is>
          <t>Administrativo</t>
        </is>
      </c>
      <c r="B4074" s="106" t="inlineStr">
        <is>
          <t>Custo Fixo</t>
        </is>
      </c>
      <c r="C4074" s="106" t="inlineStr">
        <is>
          <t>Licença Google Workspace</t>
        </is>
      </c>
      <c r="D4074" s="107" t="n">
        <v>1</v>
      </c>
      <c r="E4074" s="108" t="n">
        <v>21454</v>
      </c>
      <c r="F4074" s="109">
        <f>IFERROR(D4074*E4074,0)</f>
        <v/>
      </c>
      <c r="G4074" s="106">
        <f>INDEX(SETORES!$B:$B,MATCH(A4074,SETORES!$A:$A,0))</f>
        <v/>
      </c>
      <c r="H4074" s="106" t="inlineStr">
        <is>
          <t>Novembro/2026</t>
        </is>
      </c>
    </row>
    <row r="4075">
      <c r="A4075" s="106" t="inlineStr">
        <is>
          <t>Gestão de Atendimento</t>
        </is>
      </c>
      <c r="B4075" s="106" t="inlineStr">
        <is>
          <t>Custo Fixo</t>
        </is>
      </c>
      <c r="C4075" s="106" t="inlineStr">
        <is>
          <t>Despesas com RH</t>
        </is>
      </c>
      <c r="D4075" s="107" t="n">
        <v>17</v>
      </c>
      <c r="E4075" s="108" t="n">
        <v>32.55</v>
      </c>
      <c r="F4075" s="109">
        <f>IFERROR(D4075*E4075,0)</f>
        <v/>
      </c>
      <c r="G4075" s="106">
        <f>INDEX(SETORES!$B:$B,MATCH(A4075,SETORES!$A:$A,0))</f>
        <v/>
      </c>
      <c r="H4075" s="106" t="inlineStr">
        <is>
          <t>Novembro/2026</t>
        </is>
      </c>
    </row>
    <row r="4076">
      <c r="A4076" s="106" t="inlineStr">
        <is>
          <t>Gestão de Atendimento</t>
        </is>
      </c>
      <c r="B4076" s="106" t="inlineStr">
        <is>
          <t>Custo Fixo</t>
        </is>
      </c>
      <c r="C4076" s="106" t="inlineStr">
        <is>
          <t>Despesas com DP</t>
        </is>
      </c>
      <c r="D4076" s="107" t="n">
        <v>17</v>
      </c>
      <c r="E4076" s="108" t="n">
        <v>52.09</v>
      </c>
      <c r="F4076" s="109">
        <f>IFERROR(D4076*E4076,0)</f>
        <v/>
      </c>
      <c r="G4076" s="106">
        <f>INDEX(SETORES!$B:$B,MATCH(A4076,SETORES!$A:$A,0))</f>
        <v/>
      </c>
      <c r="H4076" s="106" t="inlineStr">
        <is>
          <t>Novembro/2026</t>
        </is>
      </c>
    </row>
    <row r="4077">
      <c r="A4077" s="106" t="inlineStr">
        <is>
          <t>Gestão de Atendimento</t>
        </is>
      </c>
      <c r="B4077" s="106" t="inlineStr">
        <is>
          <t>Custo Fixo</t>
        </is>
      </c>
      <c r="C4077" s="106" t="inlineStr">
        <is>
          <t>Despesas com SST</t>
        </is>
      </c>
      <c r="D4077" s="107" t="n">
        <v>17</v>
      </c>
      <c r="E4077" s="108" t="n">
        <v>52.35</v>
      </c>
      <c r="F4077" s="109">
        <f>IFERROR(D4077*E4077,0)</f>
        <v/>
      </c>
      <c r="G4077" s="106">
        <f>INDEX(SETORES!$B:$B,MATCH(A4077,SETORES!$A:$A,0))</f>
        <v/>
      </c>
      <c r="H4077" s="106" t="inlineStr">
        <is>
          <t>Novembro/2026</t>
        </is>
      </c>
    </row>
    <row r="4078">
      <c r="A4078" s="106" t="inlineStr">
        <is>
          <t>CAC</t>
        </is>
      </c>
      <c r="B4078" s="106" t="inlineStr">
        <is>
          <t>Custo Fixo</t>
        </is>
      </c>
      <c r="C4078" s="106" t="inlineStr">
        <is>
          <t>Despesas com RH</t>
        </is>
      </c>
      <c r="D4078" s="107" t="n">
        <v>5</v>
      </c>
      <c r="E4078" s="108" t="n">
        <v>32.55</v>
      </c>
      <c r="F4078" s="109">
        <f>IFERROR(D4078*E4078,0)</f>
        <v/>
      </c>
      <c r="G4078" s="106">
        <f>INDEX(SETORES!$B:$B,MATCH(A4078,SETORES!$A:$A,0))</f>
        <v/>
      </c>
      <c r="H4078" s="106" t="inlineStr">
        <is>
          <t>Novembro/2026</t>
        </is>
      </c>
    </row>
    <row r="4079">
      <c r="A4079" s="106" t="inlineStr">
        <is>
          <t>CAC</t>
        </is>
      </c>
      <c r="B4079" s="106" t="inlineStr">
        <is>
          <t>Custo Fixo</t>
        </is>
      </c>
      <c r="C4079" s="106" t="inlineStr">
        <is>
          <t>Despesas com DP</t>
        </is>
      </c>
      <c r="D4079" s="107" t="n">
        <v>5</v>
      </c>
      <c r="E4079" s="108" t="n">
        <v>52.09</v>
      </c>
      <c r="F4079" s="109">
        <f>IFERROR(D4079*E4079,0)</f>
        <v/>
      </c>
      <c r="G4079" s="106">
        <f>INDEX(SETORES!$B:$B,MATCH(A4079,SETORES!$A:$A,0))</f>
        <v/>
      </c>
      <c r="H4079" s="106" t="inlineStr">
        <is>
          <t>Novembro/2026</t>
        </is>
      </c>
    </row>
    <row r="4080">
      <c r="A4080" s="106" t="inlineStr">
        <is>
          <t>CAC</t>
        </is>
      </c>
      <c r="B4080" s="106" t="inlineStr">
        <is>
          <t>Custo Fixo</t>
        </is>
      </c>
      <c r="C4080" s="106" t="inlineStr">
        <is>
          <t>Despesas com SST</t>
        </is>
      </c>
      <c r="D4080" s="107" t="n">
        <v>5</v>
      </c>
      <c r="E4080" s="108" t="n">
        <v>52.35</v>
      </c>
      <c r="F4080" s="109">
        <f>IFERROR(D4080*E4080,0)</f>
        <v/>
      </c>
      <c r="G4080" s="106">
        <f>INDEX(SETORES!$B:$B,MATCH(A4080,SETORES!$A:$A,0))</f>
        <v/>
      </c>
      <c r="H4080" s="106" t="inlineStr">
        <is>
          <t>Novembro/2026</t>
        </is>
      </c>
    </row>
    <row r="4081">
      <c r="A4081" s="106" t="inlineStr">
        <is>
          <t>Cobrança</t>
        </is>
      </c>
      <c r="B4081" s="106" t="inlineStr">
        <is>
          <t>Custo Fixo</t>
        </is>
      </c>
      <c r="C4081" s="106" t="inlineStr">
        <is>
          <t>Despesas com RH</t>
        </is>
      </c>
      <c r="D4081" s="107" t="n">
        <v>13</v>
      </c>
      <c r="E4081" s="108" t="n">
        <v>32.55</v>
      </c>
      <c r="F4081" s="109">
        <f>IFERROR(D4081*E4081,0)</f>
        <v/>
      </c>
      <c r="G4081" s="106">
        <f>INDEX(SETORES!$B:$B,MATCH(A4081,SETORES!$A:$A,0))</f>
        <v/>
      </c>
      <c r="H4081" s="106" t="inlineStr">
        <is>
          <t>Novembro/2026</t>
        </is>
      </c>
    </row>
    <row r="4082">
      <c r="A4082" s="106" t="inlineStr">
        <is>
          <t>Cobrança</t>
        </is>
      </c>
      <c r="B4082" s="106" t="inlineStr">
        <is>
          <t>Custo Fixo</t>
        </is>
      </c>
      <c r="C4082" s="106" t="inlineStr">
        <is>
          <t>Despesas com DP</t>
        </is>
      </c>
      <c r="D4082" s="107" t="n">
        <v>13</v>
      </c>
      <c r="E4082" s="108" t="n">
        <v>52.09</v>
      </c>
      <c r="F4082" s="109">
        <f>IFERROR(D4082*E4082,0)</f>
        <v/>
      </c>
      <c r="G4082" s="106">
        <f>INDEX(SETORES!$B:$B,MATCH(A4082,SETORES!$A:$A,0))</f>
        <v/>
      </c>
      <c r="H4082" s="106" t="inlineStr">
        <is>
          <t>Novembro/2026</t>
        </is>
      </c>
    </row>
    <row r="4083">
      <c r="A4083" s="106" t="inlineStr">
        <is>
          <t>Cobrança</t>
        </is>
      </c>
      <c r="B4083" s="106" t="inlineStr">
        <is>
          <t>Custo Fixo</t>
        </is>
      </c>
      <c r="C4083" s="106" t="inlineStr">
        <is>
          <t>Despesas com SST</t>
        </is>
      </c>
      <c r="D4083" s="107" t="n">
        <v>13</v>
      </c>
      <c r="E4083" s="108" t="n">
        <v>52.35</v>
      </c>
      <c r="F4083" s="109">
        <f>IFERROR(D4083*E4083,0)</f>
        <v/>
      </c>
      <c r="G4083" s="106">
        <f>INDEX(SETORES!$B:$B,MATCH(A4083,SETORES!$A:$A,0))</f>
        <v/>
      </c>
      <c r="H4083" s="106" t="inlineStr">
        <is>
          <t>Novembro/2026</t>
        </is>
      </c>
    </row>
    <row r="4084">
      <c r="A4084" s="106" t="inlineStr">
        <is>
          <t>Compras</t>
        </is>
      </c>
      <c r="B4084" s="106" t="inlineStr">
        <is>
          <t>Custo Fixo</t>
        </is>
      </c>
      <c r="C4084" s="106" t="inlineStr">
        <is>
          <t>Despesas com RH</t>
        </is>
      </c>
      <c r="D4084" s="107" t="n">
        <v>5</v>
      </c>
      <c r="E4084" s="108" t="n">
        <v>32.55</v>
      </c>
      <c r="F4084" s="109">
        <f>IFERROR(D4084*E4084,0)</f>
        <v/>
      </c>
      <c r="G4084" s="106">
        <f>INDEX(SETORES!$B:$B,MATCH(A4084,SETORES!$A:$A,0))</f>
        <v/>
      </c>
      <c r="H4084" s="106" t="inlineStr">
        <is>
          <t>Novembro/2026</t>
        </is>
      </c>
    </row>
    <row r="4085">
      <c r="A4085" s="106" t="inlineStr">
        <is>
          <t>Compras</t>
        </is>
      </c>
      <c r="B4085" s="106" t="inlineStr">
        <is>
          <t>Custo Fixo</t>
        </is>
      </c>
      <c r="C4085" s="106" t="inlineStr">
        <is>
          <t>Despesas com DP</t>
        </is>
      </c>
      <c r="D4085" s="107" t="n">
        <v>5</v>
      </c>
      <c r="E4085" s="108" t="n">
        <v>52.09</v>
      </c>
      <c r="F4085" s="109">
        <f>IFERROR(D4085*E4085,0)</f>
        <v/>
      </c>
      <c r="G4085" s="106">
        <f>INDEX(SETORES!$B:$B,MATCH(A4085,SETORES!$A:$A,0))</f>
        <v/>
      </c>
      <c r="H4085" s="106" t="inlineStr">
        <is>
          <t>Novembro/2026</t>
        </is>
      </c>
    </row>
    <row r="4086">
      <c r="A4086" s="106" t="inlineStr">
        <is>
          <t>Compras</t>
        </is>
      </c>
      <c r="B4086" s="106" t="inlineStr">
        <is>
          <t>Custo Fixo</t>
        </is>
      </c>
      <c r="C4086" s="106" t="inlineStr">
        <is>
          <t>Despesas com SST</t>
        </is>
      </c>
      <c r="D4086" s="107" t="n">
        <v>5</v>
      </c>
      <c r="E4086" s="108" t="n">
        <v>52.35</v>
      </c>
      <c r="F4086" s="109">
        <f>IFERROR(D4086*E4086,0)</f>
        <v/>
      </c>
      <c r="G4086" s="106">
        <f>INDEX(SETORES!$B:$B,MATCH(A4086,SETORES!$A:$A,0))</f>
        <v/>
      </c>
      <c r="H4086" s="106" t="inlineStr">
        <is>
          <t>Novembro/2026</t>
        </is>
      </c>
    </row>
    <row r="4087">
      <c r="A4087" s="106" t="inlineStr">
        <is>
          <t>Contabilidade</t>
        </is>
      </c>
      <c r="B4087" s="106" t="inlineStr">
        <is>
          <t>Custo Fixo</t>
        </is>
      </c>
      <c r="C4087" s="106" t="inlineStr">
        <is>
          <t>Despesas com RH</t>
        </is>
      </c>
      <c r="D4087" s="107" t="n">
        <v>6</v>
      </c>
      <c r="E4087" s="108" t="n">
        <v>32.55</v>
      </c>
      <c r="F4087" s="109">
        <f>IFERROR(D4087*E4087,0)</f>
        <v/>
      </c>
      <c r="G4087" s="106">
        <f>INDEX(SETORES!$B:$B,MATCH(A4087,SETORES!$A:$A,0))</f>
        <v/>
      </c>
      <c r="H4087" s="106" t="inlineStr">
        <is>
          <t>Novembro/2026</t>
        </is>
      </c>
    </row>
    <row r="4088">
      <c r="A4088" s="106" t="inlineStr">
        <is>
          <t>Contabilidade</t>
        </is>
      </c>
      <c r="B4088" s="106" t="inlineStr">
        <is>
          <t>Custo Fixo</t>
        </is>
      </c>
      <c r="C4088" s="106" t="inlineStr">
        <is>
          <t>Despesas com DP</t>
        </is>
      </c>
      <c r="D4088" s="107" t="n">
        <v>6</v>
      </c>
      <c r="E4088" s="108" t="n">
        <v>52.09</v>
      </c>
      <c r="F4088" s="109">
        <f>IFERROR(D4088*E4088,0)</f>
        <v/>
      </c>
      <c r="G4088" s="106">
        <f>INDEX(SETORES!$B:$B,MATCH(A4088,SETORES!$A:$A,0))</f>
        <v/>
      </c>
      <c r="H4088" s="106" t="inlineStr">
        <is>
          <t>Novembro/2026</t>
        </is>
      </c>
    </row>
    <row r="4089">
      <c r="A4089" s="106" t="inlineStr">
        <is>
          <t>Contabilidade</t>
        </is>
      </c>
      <c r="B4089" s="106" t="inlineStr">
        <is>
          <t>Custo Fixo</t>
        </is>
      </c>
      <c r="C4089" s="106" t="inlineStr">
        <is>
          <t>Despesas com SST</t>
        </is>
      </c>
      <c r="D4089" s="107" t="n">
        <v>6</v>
      </c>
      <c r="E4089" s="108" t="n">
        <v>52.35</v>
      </c>
      <c r="F4089" s="109">
        <f>IFERROR(D4089*E4089,0)</f>
        <v/>
      </c>
      <c r="G4089" s="106">
        <f>INDEX(SETORES!$B:$B,MATCH(A4089,SETORES!$A:$A,0))</f>
        <v/>
      </c>
      <c r="H4089" s="106" t="inlineStr">
        <is>
          <t>Novembro/2026</t>
        </is>
      </c>
    </row>
    <row r="4090">
      <c r="A4090" s="106" t="inlineStr">
        <is>
          <t>Controladoria</t>
        </is>
      </c>
      <c r="B4090" s="106" t="inlineStr">
        <is>
          <t>Custo Fixo</t>
        </is>
      </c>
      <c r="C4090" s="106" t="inlineStr">
        <is>
          <t>Despesas com RH</t>
        </is>
      </c>
      <c r="D4090" s="107" t="n">
        <v>1</v>
      </c>
      <c r="E4090" s="108" t="n">
        <v>32.55</v>
      </c>
      <c r="F4090" s="109">
        <f>IFERROR(D4090*E4090,0)</f>
        <v/>
      </c>
      <c r="G4090" s="106">
        <f>INDEX(SETORES!$B:$B,MATCH(A4090,SETORES!$A:$A,0))</f>
        <v/>
      </c>
      <c r="H4090" s="106" t="inlineStr">
        <is>
          <t>Novembro/2026</t>
        </is>
      </c>
    </row>
    <row r="4091">
      <c r="A4091" s="106" t="inlineStr">
        <is>
          <t>Controladoria</t>
        </is>
      </c>
      <c r="B4091" s="106" t="inlineStr">
        <is>
          <t>Custo Fixo</t>
        </is>
      </c>
      <c r="C4091" s="106" t="inlineStr">
        <is>
          <t>Despesas com DP</t>
        </is>
      </c>
      <c r="D4091" s="107" t="n">
        <v>1</v>
      </c>
      <c r="E4091" s="108" t="n">
        <v>52.09</v>
      </c>
      <c r="F4091" s="109">
        <f>IFERROR(D4091*E4091,0)</f>
        <v/>
      </c>
      <c r="G4091" s="106">
        <f>INDEX(SETORES!$B:$B,MATCH(A4091,SETORES!$A:$A,0))</f>
        <v/>
      </c>
      <c r="H4091" s="106" t="inlineStr">
        <is>
          <t>Novembro/2026</t>
        </is>
      </c>
    </row>
    <row r="4092">
      <c r="A4092" s="106" t="inlineStr">
        <is>
          <t>Controladoria</t>
        </is>
      </c>
      <c r="B4092" s="106" t="inlineStr">
        <is>
          <t>Custo Fixo</t>
        </is>
      </c>
      <c r="C4092" s="106" t="inlineStr">
        <is>
          <t>Despesas com SST</t>
        </is>
      </c>
      <c r="D4092" s="107" t="n">
        <v>1</v>
      </c>
      <c r="E4092" s="108" t="n">
        <v>52.35</v>
      </c>
      <c r="F4092" s="109">
        <f>IFERROR(D4092*E4092,0)</f>
        <v/>
      </c>
      <c r="G4092" s="106">
        <f>INDEX(SETORES!$B:$B,MATCH(A4092,SETORES!$A:$A,0))</f>
        <v/>
      </c>
      <c r="H4092" s="106" t="inlineStr">
        <is>
          <t>Novembro/2026</t>
        </is>
      </c>
    </row>
    <row r="4093">
      <c r="A4093" s="106" t="inlineStr">
        <is>
          <t>DP</t>
        </is>
      </c>
      <c r="B4093" s="106" t="inlineStr">
        <is>
          <t>Custo Fixo</t>
        </is>
      </c>
      <c r="C4093" s="106" t="inlineStr">
        <is>
          <t>Despesas com RH</t>
        </is>
      </c>
      <c r="D4093" s="107" t="n">
        <v>9</v>
      </c>
      <c r="E4093" s="108" t="n">
        <v>32.55</v>
      </c>
      <c r="F4093" s="109">
        <f>IFERROR(D4093*E4093,0)</f>
        <v/>
      </c>
      <c r="G4093" s="106">
        <f>INDEX(SETORES!$B:$B,MATCH(A4093,SETORES!$A:$A,0))</f>
        <v/>
      </c>
      <c r="H4093" s="106" t="inlineStr">
        <is>
          <t>Novembro/2026</t>
        </is>
      </c>
    </row>
    <row r="4094">
      <c r="A4094" s="106" t="inlineStr">
        <is>
          <t>DP</t>
        </is>
      </c>
      <c r="B4094" s="106" t="inlineStr">
        <is>
          <t>Custo Fixo</t>
        </is>
      </c>
      <c r="C4094" s="106" t="inlineStr">
        <is>
          <t>Despesas com DP</t>
        </is>
      </c>
      <c r="D4094" s="107" t="n">
        <v>9</v>
      </c>
      <c r="E4094" s="108" t="n">
        <v>52.09</v>
      </c>
      <c r="F4094" s="109">
        <f>IFERROR(D4094*E4094,0)</f>
        <v/>
      </c>
      <c r="G4094" s="106">
        <f>INDEX(SETORES!$B:$B,MATCH(A4094,SETORES!$A:$A,0))</f>
        <v/>
      </c>
      <c r="H4094" s="106" t="inlineStr">
        <is>
          <t>Novembro/2026</t>
        </is>
      </c>
    </row>
    <row r="4095">
      <c r="A4095" s="106" t="inlineStr">
        <is>
          <t>DP</t>
        </is>
      </c>
      <c r="B4095" s="106" t="inlineStr">
        <is>
          <t>Custo Fixo</t>
        </is>
      </c>
      <c r="C4095" s="106" t="inlineStr">
        <is>
          <t>Despesas com SST</t>
        </is>
      </c>
      <c r="D4095" s="107" t="n">
        <v>9</v>
      </c>
      <c r="E4095" s="108" t="n">
        <v>52.35</v>
      </c>
      <c r="F4095" s="109">
        <f>IFERROR(D4095*E4095,0)</f>
        <v/>
      </c>
      <c r="G4095" s="106">
        <f>INDEX(SETORES!$B:$B,MATCH(A4095,SETORES!$A:$A,0))</f>
        <v/>
      </c>
      <c r="H4095" s="106" t="inlineStr">
        <is>
          <t>Novembro/2026</t>
        </is>
      </c>
    </row>
    <row r="4096">
      <c r="A4096" s="106" t="inlineStr">
        <is>
          <t>Diretoria Operacional</t>
        </is>
      </c>
      <c r="B4096" s="106" t="inlineStr">
        <is>
          <t>Custo Fixo</t>
        </is>
      </c>
      <c r="C4096" s="106" t="inlineStr">
        <is>
          <t>Despesas com RH</t>
        </is>
      </c>
      <c r="D4096" s="107" t="n">
        <v>2</v>
      </c>
      <c r="E4096" s="108" t="n">
        <v>32.55</v>
      </c>
      <c r="F4096" s="109">
        <f>IFERROR(D4096*E4096,0)</f>
        <v/>
      </c>
      <c r="G4096" s="106">
        <f>INDEX(SETORES!$B:$B,MATCH(A4096,SETORES!$A:$A,0))</f>
        <v/>
      </c>
      <c r="H4096" s="106" t="inlineStr">
        <is>
          <t>Novembro/2026</t>
        </is>
      </c>
    </row>
    <row r="4097">
      <c r="A4097" s="106" t="inlineStr">
        <is>
          <t>Diretoria Operacional</t>
        </is>
      </c>
      <c r="B4097" s="106" t="inlineStr">
        <is>
          <t>Custo Fixo</t>
        </is>
      </c>
      <c r="C4097" s="106" t="inlineStr">
        <is>
          <t>Despesas com DP</t>
        </is>
      </c>
      <c r="D4097" s="107" t="n">
        <v>2</v>
      </c>
      <c r="E4097" s="108" t="n">
        <v>52.09</v>
      </c>
      <c r="F4097" s="109">
        <f>IFERROR(D4097*E4097,0)</f>
        <v/>
      </c>
      <c r="G4097" s="106">
        <f>INDEX(SETORES!$B:$B,MATCH(A4097,SETORES!$A:$A,0))</f>
        <v/>
      </c>
      <c r="H4097" s="106" t="inlineStr">
        <is>
          <t>Novembro/2026</t>
        </is>
      </c>
    </row>
    <row r="4098">
      <c r="A4098" s="106" t="inlineStr">
        <is>
          <t>Diretoria Operacional</t>
        </is>
      </c>
      <c r="B4098" s="106" t="inlineStr">
        <is>
          <t>Custo Fixo</t>
        </is>
      </c>
      <c r="C4098" s="106" t="inlineStr">
        <is>
          <t>Despesas com SST</t>
        </is>
      </c>
      <c r="D4098" s="107" t="n">
        <v>2</v>
      </c>
      <c r="E4098" s="108" t="n">
        <v>52.35</v>
      </c>
      <c r="F4098" s="109">
        <f>IFERROR(D4098*E4098,0)</f>
        <v/>
      </c>
      <c r="G4098" s="106">
        <f>INDEX(SETORES!$B:$B,MATCH(A4098,SETORES!$A:$A,0))</f>
        <v/>
      </c>
      <c r="H4098" s="106" t="inlineStr">
        <is>
          <t>Novembro/2026</t>
        </is>
      </c>
    </row>
    <row r="4099">
      <c r="A4099" s="106" t="inlineStr">
        <is>
          <t>Engenharia</t>
        </is>
      </c>
      <c r="B4099" s="106" t="inlineStr">
        <is>
          <t>Custo Fixo</t>
        </is>
      </c>
      <c r="C4099" s="106" t="inlineStr">
        <is>
          <t>Despesas com RH</t>
        </is>
      </c>
      <c r="D4099" s="107" t="n">
        <v>9</v>
      </c>
      <c r="E4099" s="108" t="n">
        <v>32.55</v>
      </c>
      <c r="F4099" s="109">
        <f>IFERROR(D4099*E4099,0)</f>
        <v/>
      </c>
      <c r="G4099" s="106">
        <f>INDEX(SETORES!$B:$B,MATCH(A4099,SETORES!$A:$A,0))</f>
        <v/>
      </c>
      <c r="H4099" s="106" t="inlineStr">
        <is>
          <t>Novembro/2026</t>
        </is>
      </c>
    </row>
    <row r="4100">
      <c r="A4100" s="106" t="inlineStr">
        <is>
          <t>Engenharia</t>
        </is>
      </c>
      <c r="B4100" s="106" t="inlineStr">
        <is>
          <t>Custo Fixo</t>
        </is>
      </c>
      <c r="C4100" s="106" t="inlineStr">
        <is>
          <t>Despesas com DP</t>
        </is>
      </c>
      <c r="D4100" s="107" t="n">
        <v>9</v>
      </c>
      <c r="E4100" s="108" t="n">
        <v>52.09</v>
      </c>
      <c r="F4100" s="109">
        <f>IFERROR(D4100*E4100,0)</f>
        <v/>
      </c>
      <c r="G4100" s="106">
        <f>INDEX(SETORES!$B:$B,MATCH(A4100,SETORES!$A:$A,0))</f>
        <v/>
      </c>
      <c r="H4100" s="106" t="inlineStr">
        <is>
          <t>Novembro/2026</t>
        </is>
      </c>
    </row>
    <row r="4101">
      <c r="A4101" s="106" t="inlineStr">
        <is>
          <t>Engenharia</t>
        </is>
      </c>
      <c r="B4101" s="106" t="inlineStr">
        <is>
          <t>Custo Fixo</t>
        </is>
      </c>
      <c r="C4101" s="106" t="inlineStr">
        <is>
          <t>Despesas com SST</t>
        </is>
      </c>
      <c r="D4101" s="107" t="n">
        <v>9</v>
      </c>
      <c r="E4101" s="108" t="n">
        <v>52.35</v>
      </c>
      <c r="F4101" s="109">
        <f>IFERROR(D4101*E4101,0)</f>
        <v/>
      </c>
      <c r="G4101" s="106">
        <f>INDEX(SETORES!$B:$B,MATCH(A4101,SETORES!$A:$A,0))</f>
        <v/>
      </c>
      <c r="H4101" s="106" t="inlineStr">
        <is>
          <t>Novembro/2026</t>
        </is>
      </c>
    </row>
    <row r="4102">
      <c r="A4102" s="106" t="inlineStr">
        <is>
          <t>Estoque</t>
        </is>
      </c>
      <c r="B4102" s="106" t="inlineStr">
        <is>
          <t>Custo Fixo</t>
        </is>
      </c>
      <c r="C4102" s="106" t="inlineStr">
        <is>
          <t>Despesas com RH</t>
        </is>
      </c>
      <c r="D4102" s="107" t="n">
        <v>16</v>
      </c>
      <c r="E4102" s="108" t="n">
        <v>32.55</v>
      </c>
      <c r="F4102" s="109">
        <f>IFERROR(D4102*E4102,0)</f>
        <v/>
      </c>
      <c r="G4102" s="106">
        <f>INDEX(SETORES!$B:$B,MATCH(A4102,SETORES!$A:$A,0))</f>
        <v/>
      </c>
      <c r="H4102" s="106" t="inlineStr">
        <is>
          <t>Novembro/2026</t>
        </is>
      </c>
    </row>
    <row r="4103">
      <c r="A4103" s="106" t="inlineStr">
        <is>
          <t>Estoque</t>
        </is>
      </c>
      <c r="B4103" s="106" t="inlineStr">
        <is>
          <t>Custo Fixo</t>
        </is>
      </c>
      <c r="C4103" s="106" t="inlineStr">
        <is>
          <t>Despesas com DP</t>
        </is>
      </c>
      <c r="D4103" s="107" t="n">
        <v>16</v>
      </c>
      <c r="E4103" s="108" t="n">
        <v>52.09</v>
      </c>
      <c r="F4103" s="109">
        <f>IFERROR(D4103*E4103,0)</f>
        <v/>
      </c>
      <c r="G4103" s="106">
        <f>INDEX(SETORES!$B:$B,MATCH(A4103,SETORES!$A:$A,0))</f>
        <v/>
      </c>
      <c r="H4103" s="106" t="inlineStr">
        <is>
          <t>Novembro/2026</t>
        </is>
      </c>
    </row>
    <row r="4104">
      <c r="A4104" s="106" t="inlineStr">
        <is>
          <t>Estoque</t>
        </is>
      </c>
      <c r="B4104" s="106" t="inlineStr">
        <is>
          <t>Custo Fixo</t>
        </is>
      </c>
      <c r="C4104" s="106" t="inlineStr">
        <is>
          <t>Despesas com SST</t>
        </is>
      </c>
      <c r="D4104" s="107" t="n">
        <v>16</v>
      </c>
      <c r="E4104" s="108" t="n">
        <v>52.35</v>
      </c>
      <c r="F4104" s="109">
        <f>IFERROR(D4104*E4104,0)</f>
        <v/>
      </c>
      <c r="G4104" s="106">
        <f>INDEX(SETORES!$B:$B,MATCH(A4104,SETORES!$A:$A,0))</f>
        <v/>
      </c>
      <c r="H4104" s="106" t="inlineStr">
        <is>
          <t>Novembro/2026</t>
        </is>
      </c>
    </row>
    <row r="4105">
      <c r="A4105" s="106" t="inlineStr">
        <is>
          <t>Financeiro</t>
        </is>
      </c>
      <c r="B4105" s="106" t="inlineStr">
        <is>
          <t>Custo Fixo</t>
        </is>
      </c>
      <c r="C4105" s="106" t="inlineStr">
        <is>
          <t>Despesas com RH</t>
        </is>
      </c>
      <c r="D4105" s="107" t="n">
        <v>8</v>
      </c>
      <c r="E4105" s="108" t="n">
        <v>32.55</v>
      </c>
      <c r="F4105" s="109">
        <f>IFERROR(D4105*E4105,0)</f>
        <v/>
      </c>
      <c r="G4105" s="106">
        <f>INDEX(SETORES!$B:$B,MATCH(A4105,SETORES!$A:$A,0))</f>
        <v/>
      </c>
      <c r="H4105" s="106" t="inlineStr">
        <is>
          <t>Novembro/2026</t>
        </is>
      </c>
    </row>
    <row r="4106">
      <c r="A4106" s="106" t="inlineStr">
        <is>
          <t>Financeiro</t>
        </is>
      </c>
      <c r="B4106" s="106" t="inlineStr">
        <is>
          <t>Custo Fixo</t>
        </is>
      </c>
      <c r="C4106" s="106" t="inlineStr">
        <is>
          <t>Despesas com DP</t>
        </is>
      </c>
      <c r="D4106" s="107" t="n">
        <v>8</v>
      </c>
      <c r="E4106" s="108" t="n">
        <v>52.09</v>
      </c>
      <c r="F4106" s="109">
        <f>IFERROR(D4106*E4106,0)</f>
        <v/>
      </c>
      <c r="G4106" s="106">
        <f>INDEX(SETORES!$B:$B,MATCH(A4106,SETORES!$A:$A,0))</f>
        <v/>
      </c>
      <c r="H4106" s="106" t="inlineStr">
        <is>
          <t>Novembro/2026</t>
        </is>
      </c>
    </row>
    <row r="4107">
      <c r="A4107" s="106" t="inlineStr">
        <is>
          <t>Financeiro</t>
        </is>
      </c>
      <c r="B4107" s="106" t="inlineStr">
        <is>
          <t>Custo Fixo</t>
        </is>
      </c>
      <c r="C4107" s="106" t="inlineStr">
        <is>
          <t>Despesas com SST</t>
        </is>
      </c>
      <c r="D4107" s="107" t="n">
        <v>8</v>
      </c>
      <c r="E4107" s="108" t="n">
        <v>52.35</v>
      </c>
      <c r="F4107" s="109">
        <f>IFERROR(D4107*E4107,0)</f>
        <v/>
      </c>
      <c r="G4107" s="106">
        <f>INDEX(SETORES!$B:$B,MATCH(A4107,SETORES!$A:$A,0))</f>
        <v/>
      </c>
      <c r="H4107" s="106" t="inlineStr">
        <is>
          <t>Novembro/2026</t>
        </is>
      </c>
    </row>
    <row r="4108">
      <c r="A4108" s="106" t="inlineStr">
        <is>
          <t>Logística</t>
        </is>
      </c>
      <c r="B4108" s="106" t="inlineStr">
        <is>
          <t>Custo Fixo</t>
        </is>
      </c>
      <c r="C4108" s="106" t="inlineStr">
        <is>
          <t>Despesas com RH</t>
        </is>
      </c>
      <c r="D4108" s="107" t="n">
        <v>16</v>
      </c>
      <c r="E4108" s="108" t="n">
        <v>32.55</v>
      </c>
      <c r="F4108" s="109">
        <f>IFERROR(D4108*E4108,0)</f>
        <v/>
      </c>
      <c r="G4108" s="106">
        <f>INDEX(SETORES!$B:$B,MATCH(A4108,SETORES!$A:$A,0))</f>
        <v/>
      </c>
      <c r="H4108" s="106" t="inlineStr">
        <is>
          <t>Novembro/2026</t>
        </is>
      </c>
    </row>
    <row r="4109">
      <c r="A4109" s="106" t="inlineStr">
        <is>
          <t>Logística</t>
        </is>
      </c>
      <c r="B4109" s="106" t="inlineStr">
        <is>
          <t>Custo Fixo</t>
        </is>
      </c>
      <c r="C4109" s="106" t="inlineStr">
        <is>
          <t>Despesas com DP</t>
        </is>
      </c>
      <c r="D4109" s="107" t="n">
        <v>16</v>
      </c>
      <c r="E4109" s="108" t="n">
        <v>52.09</v>
      </c>
      <c r="F4109" s="109">
        <f>IFERROR(D4109*E4109,0)</f>
        <v/>
      </c>
      <c r="G4109" s="106">
        <f>INDEX(SETORES!$B:$B,MATCH(A4109,SETORES!$A:$A,0))</f>
        <v/>
      </c>
      <c r="H4109" s="106" t="inlineStr">
        <is>
          <t>Novembro/2026</t>
        </is>
      </c>
    </row>
    <row r="4110">
      <c r="A4110" s="106" t="inlineStr">
        <is>
          <t>Logística</t>
        </is>
      </c>
      <c r="B4110" s="106" t="inlineStr">
        <is>
          <t>Custo Fixo</t>
        </is>
      </c>
      <c r="C4110" s="106" t="inlineStr">
        <is>
          <t>Despesas com SST</t>
        </is>
      </c>
      <c r="D4110" s="107" t="n">
        <v>16</v>
      </c>
      <c r="E4110" s="108" t="n">
        <v>52.35</v>
      </c>
      <c r="F4110" s="109">
        <f>IFERROR(D4110*E4110,0)</f>
        <v/>
      </c>
      <c r="G4110" s="106">
        <f>INDEX(SETORES!$B:$B,MATCH(A4110,SETORES!$A:$A,0))</f>
        <v/>
      </c>
      <c r="H4110" s="106" t="inlineStr">
        <is>
          <t>Novembro/2026</t>
        </is>
      </c>
    </row>
    <row r="4111">
      <c r="A4111" s="106" t="inlineStr">
        <is>
          <t>Manutenção Predial</t>
        </is>
      </c>
      <c r="B4111" s="106" t="inlineStr">
        <is>
          <t>Custo Fixo</t>
        </is>
      </c>
      <c r="C4111" s="106" t="inlineStr">
        <is>
          <t>Despesas com RH</t>
        </is>
      </c>
      <c r="D4111" s="107" t="n">
        <v>15</v>
      </c>
      <c r="E4111" s="108" t="n">
        <v>32.55</v>
      </c>
      <c r="F4111" s="109">
        <f>IFERROR(D4111*E4111,0)</f>
        <v/>
      </c>
      <c r="G4111" s="106">
        <f>INDEX(SETORES!$B:$B,MATCH(A4111,SETORES!$A:$A,0))</f>
        <v/>
      </c>
      <c r="H4111" s="106" t="inlineStr">
        <is>
          <t>Novembro/2026</t>
        </is>
      </c>
    </row>
    <row r="4112">
      <c r="A4112" s="106" t="inlineStr">
        <is>
          <t>Manutenção Predial</t>
        </is>
      </c>
      <c r="B4112" s="106" t="inlineStr">
        <is>
          <t>Custo Fixo</t>
        </is>
      </c>
      <c r="C4112" s="106" t="inlineStr">
        <is>
          <t>Despesas com DP</t>
        </is>
      </c>
      <c r="D4112" s="107" t="n">
        <v>15</v>
      </c>
      <c r="E4112" s="108" t="n">
        <v>52.09</v>
      </c>
      <c r="F4112" s="109">
        <f>IFERROR(D4112*E4112,0)</f>
        <v/>
      </c>
      <c r="G4112" s="106">
        <f>INDEX(SETORES!$B:$B,MATCH(A4112,SETORES!$A:$A,0))</f>
        <v/>
      </c>
      <c r="H4112" s="106" t="inlineStr">
        <is>
          <t>Novembro/2026</t>
        </is>
      </c>
    </row>
    <row r="4113">
      <c r="A4113" s="106" t="inlineStr">
        <is>
          <t>Manutenção Predial</t>
        </is>
      </c>
      <c r="B4113" s="106" t="inlineStr">
        <is>
          <t>Custo Fixo</t>
        </is>
      </c>
      <c r="C4113" s="106" t="inlineStr">
        <is>
          <t>Despesas com SST</t>
        </is>
      </c>
      <c r="D4113" s="107" t="n">
        <v>15</v>
      </c>
      <c r="E4113" s="108" t="n">
        <v>52.35</v>
      </c>
      <c r="F4113" s="109">
        <f>IFERROR(D4113*E4113,0)</f>
        <v/>
      </c>
      <c r="G4113" s="106">
        <f>INDEX(SETORES!$B:$B,MATCH(A4113,SETORES!$A:$A,0))</f>
        <v/>
      </c>
      <c r="H4113" s="106" t="inlineStr">
        <is>
          <t>Novembro/2026</t>
        </is>
      </c>
    </row>
    <row r="4114">
      <c r="A4114" s="106" t="inlineStr">
        <is>
          <t>NOC</t>
        </is>
      </c>
      <c r="B4114" s="106" t="inlineStr">
        <is>
          <t>Custo Fixo</t>
        </is>
      </c>
      <c r="C4114" s="106" t="inlineStr">
        <is>
          <t>Despesas com RH</t>
        </is>
      </c>
      <c r="D4114" s="107" t="n">
        <v>3</v>
      </c>
      <c r="E4114" s="108" t="n">
        <v>32.55</v>
      </c>
      <c r="F4114" s="109">
        <f>IFERROR(D4114*E4114,0)</f>
        <v/>
      </c>
      <c r="G4114" s="106">
        <f>INDEX(SETORES!$B:$B,MATCH(A4114,SETORES!$A:$A,0))</f>
        <v/>
      </c>
      <c r="H4114" s="106" t="inlineStr">
        <is>
          <t>Novembro/2026</t>
        </is>
      </c>
    </row>
    <row r="4115">
      <c r="A4115" s="106" t="inlineStr">
        <is>
          <t>NOC</t>
        </is>
      </c>
      <c r="B4115" s="106" t="inlineStr">
        <is>
          <t>Custo Fixo</t>
        </is>
      </c>
      <c r="C4115" s="106" t="inlineStr">
        <is>
          <t>Despesas com DP</t>
        </is>
      </c>
      <c r="D4115" s="107" t="n">
        <v>3</v>
      </c>
      <c r="E4115" s="108" t="n">
        <v>52.09</v>
      </c>
      <c r="F4115" s="109">
        <f>IFERROR(D4115*E4115,0)</f>
        <v/>
      </c>
      <c r="G4115" s="106">
        <f>INDEX(SETORES!$B:$B,MATCH(A4115,SETORES!$A:$A,0))</f>
        <v/>
      </c>
      <c r="H4115" s="106" t="inlineStr">
        <is>
          <t>Novembro/2026</t>
        </is>
      </c>
    </row>
    <row r="4116">
      <c r="A4116" s="106" t="inlineStr">
        <is>
          <t>NOC</t>
        </is>
      </c>
      <c r="B4116" s="106" t="inlineStr">
        <is>
          <t>Custo Fixo</t>
        </is>
      </c>
      <c r="C4116" s="106" t="inlineStr">
        <is>
          <t>Despesas com SST</t>
        </is>
      </c>
      <c r="D4116" s="107" t="n">
        <v>3</v>
      </c>
      <c r="E4116" s="108" t="n">
        <v>52.35</v>
      </c>
      <c r="F4116" s="109">
        <f>IFERROR(D4116*E4116,0)</f>
        <v/>
      </c>
      <c r="G4116" s="106">
        <f>INDEX(SETORES!$B:$B,MATCH(A4116,SETORES!$A:$A,0))</f>
        <v/>
      </c>
      <c r="H4116" s="106" t="inlineStr">
        <is>
          <t>Novembro/2026</t>
        </is>
      </c>
    </row>
    <row r="4117">
      <c r="A4117" s="106" t="inlineStr">
        <is>
          <t>NRC</t>
        </is>
      </c>
      <c r="B4117" s="106" t="inlineStr">
        <is>
          <t>Custo Fixo</t>
        </is>
      </c>
      <c r="C4117" s="106" t="inlineStr">
        <is>
          <t>Despesas com RH</t>
        </is>
      </c>
      <c r="D4117" s="107" t="n">
        <v>42</v>
      </c>
      <c r="E4117" s="108" t="n">
        <v>32.55</v>
      </c>
      <c r="F4117" s="109">
        <f>IFERROR(D4117*E4117,0)</f>
        <v/>
      </c>
      <c r="G4117" s="106">
        <f>INDEX(SETORES!$B:$B,MATCH(A4117,SETORES!$A:$A,0))</f>
        <v/>
      </c>
      <c r="H4117" s="106" t="inlineStr">
        <is>
          <t>Novembro/2026</t>
        </is>
      </c>
    </row>
    <row r="4118">
      <c r="A4118" s="106" t="inlineStr">
        <is>
          <t>NRC</t>
        </is>
      </c>
      <c r="B4118" s="106" t="inlineStr">
        <is>
          <t>Custo Fixo</t>
        </is>
      </c>
      <c r="C4118" s="106" t="inlineStr">
        <is>
          <t>Despesas com DP</t>
        </is>
      </c>
      <c r="D4118" s="107" t="n">
        <v>42</v>
      </c>
      <c r="E4118" s="108" t="n">
        <v>52.09</v>
      </c>
      <c r="F4118" s="109">
        <f>IFERROR(D4118*E4118,0)</f>
        <v/>
      </c>
      <c r="G4118" s="106">
        <f>INDEX(SETORES!$B:$B,MATCH(A4118,SETORES!$A:$A,0))</f>
        <v/>
      </c>
      <c r="H4118" s="106" t="inlineStr">
        <is>
          <t>Novembro/2026</t>
        </is>
      </c>
    </row>
    <row r="4119">
      <c r="A4119" s="106" t="inlineStr">
        <is>
          <t>NRC</t>
        </is>
      </c>
      <c r="B4119" s="106" t="inlineStr">
        <is>
          <t>Custo Fixo</t>
        </is>
      </c>
      <c r="C4119" s="106" t="inlineStr">
        <is>
          <t>Despesas com SST</t>
        </is>
      </c>
      <c r="D4119" s="107" t="n">
        <v>42</v>
      </c>
      <c r="E4119" s="108" t="n">
        <v>52.35</v>
      </c>
      <c r="F4119" s="109">
        <f>IFERROR(D4119*E4119,0)</f>
        <v/>
      </c>
      <c r="G4119" s="106">
        <f>INDEX(SETORES!$B:$B,MATCH(A4119,SETORES!$A:$A,0))</f>
        <v/>
      </c>
      <c r="H4119" s="106" t="inlineStr">
        <is>
          <t>Novembro/2026</t>
        </is>
      </c>
    </row>
    <row r="4120">
      <c r="A4120" s="106" t="inlineStr">
        <is>
          <t>Obras</t>
        </is>
      </c>
      <c r="B4120" s="106" t="inlineStr">
        <is>
          <t>Custo Fixo</t>
        </is>
      </c>
      <c r="C4120" s="106" t="inlineStr">
        <is>
          <t>Despesas com RH</t>
        </is>
      </c>
      <c r="D4120" s="107" t="n">
        <v>24</v>
      </c>
      <c r="E4120" s="108" t="n">
        <v>32.55</v>
      </c>
      <c r="F4120" s="109">
        <f>IFERROR(D4120*E4120,0)</f>
        <v/>
      </c>
      <c r="G4120" s="106">
        <f>INDEX(SETORES!$B:$B,MATCH(A4120,SETORES!$A:$A,0))</f>
        <v/>
      </c>
      <c r="H4120" s="106" t="inlineStr">
        <is>
          <t>Novembro/2026</t>
        </is>
      </c>
    </row>
    <row r="4121">
      <c r="A4121" s="106" t="inlineStr">
        <is>
          <t>Obras</t>
        </is>
      </c>
      <c r="B4121" s="106" t="inlineStr">
        <is>
          <t>Custo Fixo</t>
        </is>
      </c>
      <c r="C4121" s="106" t="inlineStr">
        <is>
          <t>Despesas com DP</t>
        </is>
      </c>
      <c r="D4121" s="107" t="n">
        <v>24</v>
      </c>
      <c r="E4121" s="108" t="n">
        <v>52.09</v>
      </c>
      <c r="F4121" s="109">
        <f>IFERROR(D4121*E4121,0)</f>
        <v/>
      </c>
      <c r="G4121" s="106">
        <f>INDEX(SETORES!$B:$B,MATCH(A4121,SETORES!$A:$A,0))</f>
        <v/>
      </c>
      <c r="H4121" s="106" t="inlineStr">
        <is>
          <t>Novembro/2026</t>
        </is>
      </c>
    </row>
    <row r="4122">
      <c r="A4122" s="106" t="inlineStr">
        <is>
          <t>Obras</t>
        </is>
      </c>
      <c r="B4122" s="106" t="inlineStr">
        <is>
          <t>Custo Fixo</t>
        </is>
      </c>
      <c r="C4122" s="106" t="inlineStr">
        <is>
          <t>Despesas com SST</t>
        </is>
      </c>
      <c r="D4122" s="107" t="n">
        <v>24</v>
      </c>
      <c r="E4122" s="108" t="n">
        <v>52.35</v>
      </c>
      <c r="F4122" s="109">
        <f>IFERROR(D4122*E4122,0)</f>
        <v/>
      </c>
      <c r="G4122" s="106">
        <f>INDEX(SETORES!$B:$B,MATCH(A4122,SETORES!$A:$A,0))</f>
        <v/>
      </c>
      <c r="H4122" s="106" t="inlineStr">
        <is>
          <t>Novembro/2026</t>
        </is>
      </c>
    </row>
    <row r="4123">
      <c r="A4123" s="106" t="inlineStr">
        <is>
          <t>Oficina</t>
        </is>
      </c>
      <c r="B4123" s="106" t="inlineStr">
        <is>
          <t>Custo Fixo</t>
        </is>
      </c>
      <c r="C4123" s="106" t="inlineStr">
        <is>
          <t>Despesas com RH</t>
        </is>
      </c>
      <c r="D4123" s="107" t="n">
        <v>4</v>
      </c>
      <c r="E4123" s="108" t="n">
        <v>32.55</v>
      </c>
      <c r="F4123" s="109">
        <f>IFERROR(D4123*E4123,0)</f>
        <v/>
      </c>
      <c r="G4123" s="106">
        <f>INDEX(SETORES!$B:$B,MATCH(A4123,SETORES!$A:$A,0))</f>
        <v/>
      </c>
      <c r="H4123" s="106" t="inlineStr">
        <is>
          <t>Novembro/2026</t>
        </is>
      </c>
    </row>
    <row r="4124">
      <c r="A4124" s="106" t="inlineStr">
        <is>
          <t>Oficina</t>
        </is>
      </c>
      <c r="B4124" s="106" t="inlineStr">
        <is>
          <t>Custo Fixo</t>
        </is>
      </c>
      <c r="C4124" s="106" t="inlineStr">
        <is>
          <t>Despesas com DP</t>
        </is>
      </c>
      <c r="D4124" s="107" t="n">
        <v>4</v>
      </c>
      <c r="E4124" s="108" t="n">
        <v>52.09</v>
      </c>
      <c r="F4124" s="109">
        <f>IFERROR(D4124*E4124,0)</f>
        <v/>
      </c>
      <c r="G4124" s="106">
        <f>INDEX(SETORES!$B:$B,MATCH(A4124,SETORES!$A:$A,0))</f>
        <v/>
      </c>
      <c r="H4124" s="106" t="inlineStr">
        <is>
          <t>Novembro/2026</t>
        </is>
      </c>
    </row>
    <row r="4125">
      <c r="A4125" s="106" t="inlineStr">
        <is>
          <t>Oficina</t>
        </is>
      </c>
      <c r="B4125" s="106" t="inlineStr">
        <is>
          <t>Custo Fixo</t>
        </is>
      </c>
      <c r="C4125" s="106" t="inlineStr">
        <is>
          <t>Despesas com SST</t>
        </is>
      </c>
      <c r="D4125" s="107" t="n">
        <v>4</v>
      </c>
      <c r="E4125" s="108" t="n">
        <v>52.35</v>
      </c>
      <c r="F4125" s="109">
        <f>IFERROR(D4125*E4125,0)</f>
        <v/>
      </c>
      <c r="G4125" s="106">
        <f>INDEX(SETORES!$B:$B,MATCH(A4125,SETORES!$A:$A,0))</f>
        <v/>
      </c>
      <c r="H4125" s="106" t="inlineStr">
        <is>
          <t>Novembro/2026</t>
        </is>
      </c>
    </row>
    <row r="4126">
      <c r="A4126" s="106" t="inlineStr">
        <is>
          <t>RH</t>
        </is>
      </c>
      <c r="B4126" s="106" t="inlineStr">
        <is>
          <t>Custo Fixo</t>
        </is>
      </c>
      <c r="C4126" s="106" t="inlineStr">
        <is>
          <t>Despesas com RH</t>
        </is>
      </c>
      <c r="D4126" s="107" t="n">
        <v>6</v>
      </c>
      <c r="E4126" s="108" t="n">
        <v>32.55</v>
      </c>
      <c r="F4126" s="109">
        <f>IFERROR(D4126*E4126,0)</f>
        <v/>
      </c>
      <c r="G4126" s="106">
        <f>INDEX(SETORES!$B:$B,MATCH(A4126,SETORES!$A:$A,0))</f>
        <v/>
      </c>
      <c r="H4126" s="106" t="inlineStr">
        <is>
          <t>Novembro/2026</t>
        </is>
      </c>
    </row>
    <row r="4127">
      <c r="A4127" s="106" t="inlineStr">
        <is>
          <t>RH</t>
        </is>
      </c>
      <c r="B4127" s="106" t="inlineStr">
        <is>
          <t>Custo Fixo</t>
        </is>
      </c>
      <c r="C4127" s="106" t="inlineStr">
        <is>
          <t>Despesas com DP</t>
        </is>
      </c>
      <c r="D4127" s="107" t="n">
        <v>6</v>
      </c>
      <c r="E4127" s="108" t="n">
        <v>52.09</v>
      </c>
      <c r="F4127" s="109">
        <f>IFERROR(D4127*E4127,0)</f>
        <v/>
      </c>
      <c r="G4127" s="106">
        <f>INDEX(SETORES!$B:$B,MATCH(A4127,SETORES!$A:$A,0))</f>
        <v/>
      </c>
      <c r="H4127" s="106" t="inlineStr">
        <is>
          <t>Novembro/2026</t>
        </is>
      </c>
    </row>
    <row r="4128">
      <c r="A4128" s="106" t="inlineStr">
        <is>
          <t>RH</t>
        </is>
      </c>
      <c r="B4128" s="106" t="inlineStr">
        <is>
          <t>Custo Fixo</t>
        </is>
      </c>
      <c r="C4128" s="106" t="inlineStr">
        <is>
          <t>Despesas com SST</t>
        </is>
      </c>
      <c r="D4128" s="107" t="n">
        <v>6</v>
      </c>
      <c r="E4128" s="108" t="n">
        <v>52.35</v>
      </c>
      <c r="F4128" s="109">
        <f>IFERROR(D4128*E4128,0)</f>
        <v/>
      </c>
      <c r="G4128" s="106">
        <f>INDEX(SETORES!$B:$B,MATCH(A4128,SETORES!$A:$A,0))</f>
        <v/>
      </c>
      <c r="H4128" s="106" t="inlineStr">
        <is>
          <t>Novembro/2026</t>
        </is>
      </c>
    </row>
    <row r="4129">
      <c r="A4129" s="106" t="inlineStr">
        <is>
          <t>Retenção</t>
        </is>
      </c>
      <c r="B4129" s="106" t="inlineStr">
        <is>
          <t>Custo Fixo</t>
        </is>
      </c>
      <c r="C4129" s="106" t="inlineStr">
        <is>
          <t>Despesas com RH</t>
        </is>
      </c>
      <c r="D4129" s="107" t="n">
        <v>12</v>
      </c>
      <c r="E4129" s="108" t="n">
        <v>32.55</v>
      </c>
      <c r="F4129" s="109">
        <f>IFERROR(D4129*E4129,0)</f>
        <v/>
      </c>
      <c r="G4129" s="106">
        <f>INDEX(SETORES!$B:$B,MATCH(A4129,SETORES!$A:$A,0))</f>
        <v/>
      </c>
      <c r="H4129" s="106" t="inlineStr">
        <is>
          <t>Novembro/2026</t>
        </is>
      </c>
    </row>
    <row r="4130">
      <c r="A4130" s="106" t="inlineStr">
        <is>
          <t>Retenção</t>
        </is>
      </c>
      <c r="B4130" s="106" t="inlineStr">
        <is>
          <t>Custo Fixo</t>
        </is>
      </c>
      <c r="C4130" s="106" t="inlineStr">
        <is>
          <t>Despesas com DP</t>
        </is>
      </c>
      <c r="D4130" s="107" t="n">
        <v>12</v>
      </c>
      <c r="E4130" s="108" t="n">
        <v>52.09</v>
      </c>
      <c r="F4130" s="109">
        <f>IFERROR(D4130*E4130,0)</f>
        <v/>
      </c>
      <c r="G4130" s="106">
        <f>INDEX(SETORES!$B:$B,MATCH(A4130,SETORES!$A:$A,0))</f>
        <v/>
      </c>
      <c r="H4130" s="106" t="inlineStr">
        <is>
          <t>Novembro/2026</t>
        </is>
      </c>
    </row>
    <row r="4131">
      <c r="A4131" s="106" t="inlineStr">
        <is>
          <t>Retenção</t>
        </is>
      </c>
      <c r="B4131" s="106" t="inlineStr">
        <is>
          <t>Custo Fixo</t>
        </is>
      </c>
      <c r="C4131" s="106" t="inlineStr">
        <is>
          <t>Despesas com SST</t>
        </is>
      </c>
      <c r="D4131" s="107" t="n">
        <v>12</v>
      </c>
      <c r="E4131" s="108" t="n">
        <v>52.35</v>
      </c>
      <c r="F4131" s="109">
        <f>IFERROR(D4131*E4131,0)</f>
        <v/>
      </c>
      <c r="G4131" s="106">
        <f>INDEX(SETORES!$B:$B,MATCH(A4131,SETORES!$A:$A,0))</f>
        <v/>
      </c>
      <c r="H4131" s="106" t="inlineStr">
        <is>
          <t>Novembro/2026</t>
        </is>
      </c>
    </row>
    <row r="4132">
      <c r="A4132" s="106" t="inlineStr">
        <is>
          <t>Segurança do Trabalho</t>
        </is>
      </c>
      <c r="B4132" s="106" t="inlineStr">
        <is>
          <t>Custo Fixo</t>
        </is>
      </c>
      <c r="C4132" s="106" t="inlineStr">
        <is>
          <t>Despesas com RH</t>
        </is>
      </c>
      <c r="D4132" s="107" t="n">
        <v>8</v>
      </c>
      <c r="E4132" s="108" t="n">
        <v>32.55</v>
      </c>
      <c r="F4132" s="109">
        <f>IFERROR(D4132*E4132,0)</f>
        <v/>
      </c>
      <c r="G4132" s="106">
        <f>INDEX(SETORES!$B:$B,MATCH(A4132,SETORES!$A:$A,0))</f>
        <v/>
      </c>
      <c r="H4132" s="106" t="inlineStr">
        <is>
          <t>Novembro/2026</t>
        </is>
      </c>
    </row>
    <row r="4133">
      <c r="A4133" s="106" t="inlineStr">
        <is>
          <t>Segurança do Trabalho</t>
        </is>
      </c>
      <c r="B4133" s="106" t="inlineStr">
        <is>
          <t>Custo Fixo</t>
        </is>
      </c>
      <c r="C4133" s="106" t="inlineStr">
        <is>
          <t>Despesas com DP</t>
        </is>
      </c>
      <c r="D4133" s="107" t="n">
        <v>8</v>
      </c>
      <c r="E4133" s="108" t="n">
        <v>52.09</v>
      </c>
      <c r="F4133" s="109">
        <f>IFERROR(D4133*E4133,0)</f>
        <v/>
      </c>
      <c r="G4133" s="106">
        <f>INDEX(SETORES!$B:$B,MATCH(A4133,SETORES!$A:$A,0))</f>
        <v/>
      </c>
      <c r="H4133" s="106" t="inlineStr">
        <is>
          <t>Novembro/2026</t>
        </is>
      </c>
    </row>
    <row r="4134">
      <c r="A4134" s="106" t="inlineStr">
        <is>
          <t>Segurança do Trabalho</t>
        </is>
      </c>
      <c r="B4134" s="106" t="inlineStr">
        <is>
          <t>Custo Fixo</t>
        </is>
      </c>
      <c r="C4134" s="106" t="inlineStr">
        <is>
          <t>Despesas com SST</t>
        </is>
      </c>
      <c r="D4134" s="107" t="n">
        <v>8</v>
      </c>
      <c r="E4134" s="108" t="n">
        <v>52.35</v>
      </c>
      <c r="F4134" s="109">
        <f>IFERROR(D4134*E4134,0)</f>
        <v/>
      </c>
      <c r="G4134" s="106">
        <f>INDEX(SETORES!$B:$B,MATCH(A4134,SETORES!$A:$A,0))</f>
        <v/>
      </c>
      <c r="H4134" s="106" t="inlineStr">
        <is>
          <t>Novembro/2026</t>
        </is>
      </c>
    </row>
    <row r="4135">
      <c r="A4135" s="106" t="inlineStr">
        <is>
          <t>Suporte Orbix</t>
        </is>
      </c>
      <c r="B4135" s="106" t="inlineStr">
        <is>
          <t>Custo Fixo</t>
        </is>
      </c>
      <c r="C4135" s="106" t="inlineStr">
        <is>
          <t>Despesas com RH</t>
        </is>
      </c>
      <c r="D4135" s="107" t="n">
        <v>8</v>
      </c>
      <c r="E4135" s="108" t="n">
        <v>32.55</v>
      </c>
      <c r="F4135" s="109">
        <f>IFERROR(D4135*E4135,0)</f>
        <v/>
      </c>
      <c r="G4135" s="106">
        <f>INDEX(SETORES!$B:$B,MATCH(A4135,SETORES!$A:$A,0))</f>
        <v/>
      </c>
      <c r="H4135" s="106" t="inlineStr">
        <is>
          <t>Novembro/2026</t>
        </is>
      </c>
    </row>
    <row r="4136">
      <c r="A4136" s="106" t="inlineStr">
        <is>
          <t>Suporte Orbix</t>
        </is>
      </c>
      <c r="B4136" s="106" t="inlineStr">
        <is>
          <t>Custo Fixo</t>
        </is>
      </c>
      <c r="C4136" s="106" t="inlineStr">
        <is>
          <t>Despesas com DP</t>
        </is>
      </c>
      <c r="D4136" s="107" t="n">
        <v>8</v>
      </c>
      <c r="E4136" s="108" t="n">
        <v>52.09</v>
      </c>
      <c r="F4136" s="109">
        <f>IFERROR(D4136*E4136,0)</f>
        <v/>
      </c>
      <c r="G4136" s="106">
        <f>INDEX(SETORES!$B:$B,MATCH(A4136,SETORES!$A:$A,0))</f>
        <v/>
      </c>
      <c r="H4136" s="106" t="inlineStr">
        <is>
          <t>Novembro/2026</t>
        </is>
      </c>
    </row>
    <row r="4137">
      <c r="A4137" s="106" t="inlineStr">
        <is>
          <t>Suporte Orbix</t>
        </is>
      </c>
      <c r="B4137" s="106" t="inlineStr">
        <is>
          <t>Custo Fixo</t>
        </is>
      </c>
      <c r="C4137" s="106" t="inlineStr">
        <is>
          <t>Despesas com SST</t>
        </is>
      </c>
      <c r="D4137" s="107" t="n">
        <v>8</v>
      </c>
      <c r="E4137" s="108" t="n">
        <v>52.35</v>
      </c>
      <c r="F4137" s="109">
        <f>IFERROR(D4137*E4137,0)</f>
        <v/>
      </c>
      <c r="G4137" s="106">
        <f>INDEX(SETORES!$B:$B,MATCH(A4137,SETORES!$A:$A,0))</f>
        <v/>
      </c>
      <c r="H4137" s="106" t="inlineStr">
        <is>
          <t>Novembro/2026</t>
        </is>
      </c>
    </row>
    <row r="4138">
      <c r="A4138" s="106" t="inlineStr">
        <is>
          <t>Suporte da Central</t>
        </is>
      </c>
      <c r="B4138" s="106" t="inlineStr">
        <is>
          <t>Custo Fixo</t>
        </is>
      </c>
      <c r="C4138" s="106" t="inlineStr">
        <is>
          <t>Despesas com RH</t>
        </is>
      </c>
      <c r="D4138" s="107" t="n">
        <v>33</v>
      </c>
      <c r="E4138" s="108" t="n">
        <v>32.55</v>
      </c>
      <c r="F4138" s="109">
        <f>IFERROR(D4138*E4138,0)</f>
        <v/>
      </c>
      <c r="G4138" s="106">
        <f>INDEX(SETORES!$B:$B,MATCH(A4138,SETORES!$A:$A,0))</f>
        <v/>
      </c>
      <c r="H4138" s="106" t="inlineStr">
        <is>
          <t>Novembro/2026</t>
        </is>
      </c>
    </row>
    <row r="4139">
      <c r="A4139" s="106" t="inlineStr">
        <is>
          <t>Suporte da Central</t>
        </is>
      </c>
      <c r="B4139" s="106" t="inlineStr">
        <is>
          <t>Custo Fixo</t>
        </is>
      </c>
      <c r="C4139" s="106" t="inlineStr">
        <is>
          <t>Despesas com DP</t>
        </is>
      </c>
      <c r="D4139" s="107" t="n">
        <v>33</v>
      </c>
      <c r="E4139" s="108" t="n">
        <v>52.09</v>
      </c>
      <c r="F4139" s="109">
        <f>IFERROR(D4139*E4139,0)</f>
        <v/>
      </c>
      <c r="G4139" s="106">
        <f>INDEX(SETORES!$B:$B,MATCH(A4139,SETORES!$A:$A,0))</f>
        <v/>
      </c>
      <c r="H4139" s="106" t="inlineStr">
        <is>
          <t>Novembro/2026</t>
        </is>
      </c>
    </row>
    <row r="4140">
      <c r="A4140" s="106" t="inlineStr">
        <is>
          <t>Suporte da Central</t>
        </is>
      </c>
      <c r="B4140" s="106" t="inlineStr">
        <is>
          <t>Custo Fixo</t>
        </is>
      </c>
      <c r="C4140" s="106" t="inlineStr">
        <is>
          <t>Despesas com SST</t>
        </is>
      </c>
      <c r="D4140" s="107" t="n">
        <v>33</v>
      </c>
      <c r="E4140" s="108" t="n">
        <v>52.35</v>
      </c>
      <c r="F4140" s="109">
        <f>IFERROR(D4140*E4140,0)</f>
        <v/>
      </c>
      <c r="G4140" s="106">
        <f>INDEX(SETORES!$B:$B,MATCH(A4140,SETORES!$A:$A,0))</f>
        <v/>
      </c>
      <c r="H4140" s="106" t="inlineStr">
        <is>
          <t>Novembro/2026</t>
        </is>
      </c>
    </row>
    <row r="4141">
      <c r="A4141" s="106" t="inlineStr">
        <is>
          <t>Televendas</t>
        </is>
      </c>
      <c r="B4141" s="106" t="inlineStr">
        <is>
          <t>Custo Fixo</t>
        </is>
      </c>
      <c r="C4141" s="106" t="inlineStr">
        <is>
          <t>Despesas com RH</t>
        </is>
      </c>
      <c r="D4141" s="107" t="n">
        <v>11</v>
      </c>
      <c r="E4141" s="108" t="n">
        <v>32.55</v>
      </c>
      <c r="F4141" s="109">
        <f>IFERROR(D4141*E4141,0)</f>
        <v/>
      </c>
      <c r="G4141" s="106">
        <f>INDEX(SETORES!$B:$B,MATCH(A4141,SETORES!$A:$A,0))</f>
        <v/>
      </c>
      <c r="H4141" s="106" t="inlineStr">
        <is>
          <t>Novembro/2026</t>
        </is>
      </c>
    </row>
    <row r="4142">
      <c r="A4142" s="106" t="inlineStr">
        <is>
          <t>Televendas</t>
        </is>
      </c>
      <c r="B4142" s="106" t="inlineStr">
        <is>
          <t>Custo Fixo</t>
        </is>
      </c>
      <c r="C4142" s="106" t="inlineStr">
        <is>
          <t>Despesas com DP</t>
        </is>
      </c>
      <c r="D4142" s="107" t="n">
        <v>11</v>
      </c>
      <c r="E4142" s="108" t="n">
        <v>52.09</v>
      </c>
      <c r="F4142" s="109">
        <f>IFERROR(D4142*E4142,0)</f>
        <v/>
      </c>
      <c r="G4142" s="106">
        <f>INDEX(SETORES!$B:$B,MATCH(A4142,SETORES!$A:$A,0))</f>
        <v/>
      </c>
      <c r="H4142" s="106" t="inlineStr">
        <is>
          <t>Novembro/2026</t>
        </is>
      </c>
    </row>
    <row r="4143">
      <c r="A4143" s="106" t="inlineStr">
        <is>
          <t>Televendas</t>
        </is>
      </c>
      <c r="B4143" s="106" t="inlineStr">
        <is>
          <t>Custo Fixo</t>
        </is>
      </c>
      <c r="C4143" s="106" t="inlineStr">
        <is>
          <t>Despesas com SST</t>
        </is>
      </c>
      <c r="D4143" s="107" t="n">
        <v>11</v>
      </c>
      <c r="E4143" s="108" t="n">
        <v>52.35</v>
      </c>
      <c r="F4143" s="109">
        <f>IFERROR(D4143*E4143,0)</f>
        <v/>
      </c>
      <c r="G4143" s="106">
        <f>INDEX(SETORES!$B:$B,MATCH(A4143,SETORES!$A:$A,0))</f>
        <v/>
      </c>
      <c r="H4143" s="106" t="inlineStr">
        <is>
          <t>Novembro/2026</t>
        </is>
      </c>
    </row>
    <row r="4144">
      <c r="A4144" s="106" t="inlineStr">
        <is>
          <t>Comercial Corporativo</t>
        </is>
      </c>
      <c r="B4144" s="106" t="inlineStr">
        <is>
          <t>Custo Fixo</t>
        </is>
      </c>
      <c r="C4144" s="106" t="inlineStr">
        <is>
          <t>Plataforma de licitações (pago anual em julho, ref. 12 meses)</t>
        </is>
      </c>
      <c r="D4144" s="107" t="n"/>
      <c r="E4144" s="108" t="n"/>
      <c r="F4144" s="109">
        <f>IFERROR(D4144*E4144,0)</f>
        <v/>
      </c>
      <c r="G4144" s="106">
        <f>INDEX(SETORES!$B:$B,MATCH(A4144,SETORES!$A:$A,0))</f>
        <v/>
      </c>
      <c r="H4144" s="106" t="inlineStr">
        <is>
          <t>Novembro/2026</t>
        </is>
      </c>
    </row>
    <row r="4145">
      <c r="A4145" s="106" t="inlineStr">
        <is>
          <t>Televendas</t>
        </is>
      </c>
      <c r="B4145" s="106" t="inlineStr">
        <is>
          <t>Custo Fixo</t>
        </is>
      </c>
      <c r="C4145" s="106" t="inlineStr">
        <is>
          <t>Impressora (rateio equipe Relacionamento)</t>
        </is>
      </c>
      <c r="D4145" s="107" t="n"/>
      <c r="E4145" s="108" t="n"/>
      <c r="F4145" s="109">
        <f>IFERROR(D4145*E4145,0)</f>
        <v/>
      </c>
      <c r="G4145" s="106">
        <f>INDEX(SETORES!$B:$B,MATCH(A4145,SETORES!$A:$A,0))</f>
        <v/>
      </c>
      <c r="H4145" s="106" t="inlineStr">
        <is>
          <t>Novembro/2026</t>
        </is>
      </c>
    </row>
    <row r="4146">
      <c r="A4146" s="106" t="inlineStr">
        <is>
          <t>Compras</t>
        </is>
      </c>
      <c r="B4146" s="106" t="inlineStr">
        <is>
          <t>Custo Variável</t>
        </is>
      </c>
      <c r="C4146" s="106" t="inlineStr">
        <is>
          <t>Combustível de frota</t>
        </is>
      </c>
      <c r="D4146" s="107" t="n">
        <v>1</v>
      </c>
      <c r="E4146" s="108" t="n">
        <v>0</v>
      </c>
      <c r="F4146" s="109">
        <f>IFERROR(D4146*E4146,0)</f>
        <v/>
      </c>
      <c r="G4146" s="106">
        <f>INDEX(SETORES!$B:$B,MATCH(A4146,SETORES!$A:$A,0))</f>
        <v/>
      </c>
      <c r="H4146" s="106" t="inlineStr">
        <is>
          <t>Novembro/2026</t>
        </is>
      </c>
    </row>
    <row r="4147">
      <c r="A4147" s="106" t="inlineStr">
        <is>
          <t>Contabilidade</t>
        </is>
      </c>
      <c r="B4147" s="106" t="inlineStr">
        <is>
          <t>Custo Variável</t>
        </is>
      </c>
      <c r="C4147" s="106" t="inlineStr">
        <is>
          <t>Exames médicos</t>
        </is>
      </c>
      <c r="D4147" s="107" t="n"/>
      <c r="E4147" s="108" t="n"/>
      <c r="F4147" s="109">
        <f>IFERROR(D4147*E4147,0)</f>
        <v/>
      </c>
      <c r="G4147" s="106">
        <f>INDEX(SETORES!$B:$B,MATCH(A4147,SETORES!$A:$A,0))</f>
        <v/>
      </c>
      <c r="H4147" s="106" t="inlineStr">
        <is>
          <t>Novembro/2026</t>
        </is>
      </c>
    </row>
    <row r="4148">
      <c r="A4148" s="106" t="inlineStr">
        <is>
          <t>Suporte da Central</t>
        </is>
      </c>
      <c r="B4148" s="106" t="inlineStr">
        <is>
          <t>Custo Variável</t>
        </is>
      </c>
      <c r="C4148" s="106" t="inlineStr">
        <is>
          <t>Rescisões trabalhistas</t>
        </is>
      </c>
      <c r="D4148" s="107" t="n"/>
      <c r="E4148" s="108" t="n"/>
      <c r="F4148" s="109">
        <f>IFERROR(D4148*E4148,0)</f>
        <v/>
      </c>
      <c r="G4148" s="106">
        <f>INDEX(SETORES!$B:$B,MATCH(A4148,SETORES!$A:$A,0))</f>
        <v/>
      </c>
      <c r="H4148" s="106" t="inlineStr">
        <is>
          <t>Novembro/2026</t>
        </is>
      </c>
    </row>
    <row r="4149">
      <c r="A4149" s="106" t="inlineStr">
        <is>
          <t>Televendas</t>
        </is>
      </c>
      <c r="B4149" s="106" t="inlineStr">
        <is>
          <t>Custo Variável</t>
        </is>
      </c>
      <c r="C4149" s="106" t="inlineStr">
        <is>
          <t>Rescisões trabalhistas</t>
        </is>
      </c>
      <c r="D4149" s="107" t="n"/>
      <c r="E4149" s="108" t="n"/>
      <c r="F4149" s="109">
        <f>IFERROR(D4149*E4149,0)</f>
        <v/>
      </c>
      <c r="G4149" s="106">
        <f>INDEX(SETORES!$B:$B,MATCH(A4149,SETORES!$A:$A,0))</f>
        <v/>
      </c>
      <c r="H4149" s="106" t="inlineStr">
        <is>
          <t>Novembro/2026</t>
        </is>
      </c>
    </row>
    <row r="4150">
      <c r="A4150" s="106" t="inlineStr">
        <is>
          <t>CAC</t>
        </is>
      </c>
      <c r="B4150" s="106" t="inlineStr">
        <is>
          <t>Custo Variável</t>
        </is>
      </c>
      <c r="C4150" s="106" t="inlineStr">
        <is>
          <t>Rescisões trabalhistas</t>
        </is>
      </c>
      <c r="D4150" s="107" t="n"/>
      <c r="E4150" s="108" t="n"/>
      <c r="F4150" s="109">
        <f>IFERROR(D4150*E4150,0)</f>
        <v/>
      </c>
      <c r="G4150" s="106">
        <f>INDEX(SETORES!$B:$B,MATCH(A4150,SETORES!$A:$A,0))</f>
        <v/>
      </c>
      <c r="H4150" s="106" t="inlineStr">
        <is>
          <t>Novembro/2026</t>
        </is>
      </c>
    </row>
    <row r="4151">
      <c r="A4151" s="106" t="inlineStr">
        <is>
          <t>NOC</t>
        </is>
      </c>
      <c r="B4151" s="106" t="inlineStr">
        <is>
          <t>Custo Variável</t>
        </is>
      </c>
      <c r="C4151" s="106" t="inlineStr">
        <is>
          <t>Rescisões trabalhistas</t>
        </is>
      </c>
      <c r="D4151" s="107" t="n"/>
      <c r="E4151" s="108" t="n"/>
      <c r="F4151" s="109">
        <f>IFERROR(D4151*E4151,0)</f>
        <v/>
      </c>
      <c r="G4151" s="106">
        <f>INDEX(SETORES!$B:$B,MATCH(A4151,SETORES!$A:$A,0))</f>
        <v/>
      </c>
      <c r="H4151" s="106" t="inlineStr">
        <is>
          <t>Novembro/2026</t>
        </is>
      </c>
    </row>
    <row r="4152">
      <c r="A4152" s="106" t="inlineStr">
        <is>
          <t>Segurança do Trabalho</t>
        </is>
      </c>
      <c r="B4152" s="106" t="inlineStr">
        <is>
          <t>Custo Variável</t>
        </is>
      </c>
      <c r="C4152" s="106" t="inlineStr">
        <is>
          <t>Rescisões trabalhistas</t>
        </is>
      </c>
      <c r="D4152" s="107" t="n"/>
      <c r="E4152" s="108" t="n"/>
      <c r="F4152" s="109">
        <f>IFERROR(D4152*E4152,0)</f>
        <v/>
      </c>
      <c r="G4152" s="106">
        <f>INDEX(SETORES!$B:$B,MATCH(A4152,SETORES!$A:$A,0))</f>
        <v/>
      </c>
      <c r="H4152" s="106" t="inlineStr">
        <is>
          <t>Novembro/2026</t>
        </is>
      </c>
    </row>
    <row r="4153">
      <c r="A4153" s="106" t="inlineStr">
        <is>
          <t>Administrativo</t>
        </is>
      </c>
      <c r="B4153" s="106" t="inlineStr">
        <is>
          <t>Custo Variável</t>
        </is>
      </c>
      <c r="C4153" s="106" t="inlineStr">
        <is>
          <t>Rescisões trabalhistas</t>
        </is>
      </c>
      <c r="D4153" s="107" t="n"/>
      <c r="E4153" s="108" t="n"/>
      <c r="F4153" s="109">
        <f>IFERROR(D4153*E4153,0)</f>
        <v/>
      </c>
      <c r="G4153" s="106">
        <f>INDEX(SETORES!$B:$B,MATCH(A4153,SETORES!$A:$A,0))</f>
        <v/>
      </c>
      <c r="H4153" s="106" t="inlineStr">
        <is>
          <t>Novembro/2026</t>
        </is>
      </c>
    </row>
    <row r="4154">
      <c r="A4154" s="106" t="inlineStr">
        <is>
          <t>Suporte Orbix</t>
        </is>
      </c>
      <c r="B4154" s="106" t="inlineStr">
        <is>
          <t>Custo Variável</t>
        </is>
      </c>
      <c r="C4154" s="106" t="inlineStr">
        <is>
          <t>Rescisões trabalhistas</t>
        </is>
      </c>
      <c r="D4154" s="107" t="n"/>
      <c r="E4154" s="108" t="n"/>
      <c r="F4154" s="109">
        <f>IFERROR(D4154*E4154,0)</f>
        <v/>
      </c>
      <c r="G4154" s="106">
        <f>INDEX(SETORES!$B:$B,MATCH(A4154,SETORES!$A:$A,0))</f>
        <v/>
      </c>
      <c r="H4154" s="106" t="inlineStr">
        <is>
          <t>Novembro/2026</t>
        </is>
      </c>
    </row>
    <row r="4155">
      <c r="A4155" s="106" t="inlineStr">
        <is>
          <t>Controladoria</t>
        </is>
      </c>
      <c r="B4155" s="106" t="inlineStr">
        <is>
          <t>Custo Variável</t>
        </is>
      </c>
      <c r="C4155" s="106" t="inlineStr">
        <is>
          <t>Combustível de frota</t>
        </is>
      </c>
      <c r="D4155" s="107" t="n">
        <v>1</v>
      </c>
      <c r="E4155" s="108" t="n">
        <v>1581.98</v>
      </c>
      <c r="F4155" s="109">
        <f>IFERROR(D4155*E4155,0)</f>
        <v/>
      </c>
      <c r="G4155" s="106">
        <f>INDEX(SETORES!$B:$B,MATCH(A4155,SETORES!$A:$A,0))</f>
        <v/>
      </c>
      <c r="H4155" s="106" t="inlineStr">
        <is>
          <t>Novembro/2026</t>
        </is>
      </c>
    </row>
    <row r="4156">
      <c r="A4156" s="106" t="inlineStr">
        <is>
          <t>Logística</t>
        </is>
      </c>
      <c r="B4156" s="106" t="inlineStr">
        <is>
          <t>Custo Variável</t>
        </is>
      </c>
      <c r="C4156" s="106" t="inlineStr">
        <is>
          <t>Combustível de frota (gerador e veículos sem condutor identificado)</t>
        </is>
      </c>
      <c r="D4156" s="107" t="n"/>
      <c r="E4156" s="108" t="n"/>
      <c r="F4156" s="109">
        <f>IFERROR(D4156*E4156,0)</f>
        <v/>
      </c>
      <c r="G4156" s="106">
        <f>INDEX(SETORES!$B:$B,MATCH(A4156,SETORES!$A:$A,0))</f>
        <v/>
      </c>
      <c r="H4156" s="106" t="inlineStr">
        <is>
          <t>Novembro/2026</t>
        </is>
      </c>
    </row>
    <row r="4157">
      <c r="A4157" s="106" t="inlineStr">
        <is>
          <t>Qualidade</t>
        </is>
      </c>
      <c r="B4157" s="106" t="inlineStr">
        <is>
          <t>Custo Fixo</t>
        </is>
      </c>
      <c r="C4157" s="106" t="inlineStr">
        <is>
          <t>Folha de pagamento (salários)</t>
        </is>
      </c>
      <c r="D4157" s="107" t="n">
        <v>1</v>
      </c>
      <c r="E4157" s="108" t="n">
        <v>42206.73</v>
      </c>
      <c r="F4157" s="109">
        <f>IFERROR(D4157*E4157,0)</f>
        <v/>
      </c>
      <c r="G4157" s="106">
        <f>INDEX(SETORES!$B:$B,MATCH(A4157,SETORES!$A:$A,0))</f>
        <v/>
      </c>
      <c r="H4157" s="106" t="inlineStr">
        <is>
          <t>Novembro/2026</t>
        </is>
      </c>
    </row>
    <row r="4158">
      <c r="A4158" s="106" t="inlineStr">
        <is>
          <t>Qualidade</t>
        </is>
      </c>
      <c r="B4158" s="106" t="inlineStr">
        <is>
          <t>Custo Fixo</t>
        </is>
      </c>
      <c r="C4158" s="106" t="inlineStr">
        <is>
          <t>Material de uso coletivo (copa/limpeza)</t>
        </is>
      </c>
      <c r="D4158" s="107" t="n">
        <v>1</v>
      </c>
      <c r="E4158" s="108" t="n">
        <v>350.54</v>
      </c>
      <c r="F4158" s="109">
        <f>IFERROR(D4158*E4158,0)</f>
        <v/>
      </c>
      <c r="G4158" s="106">
        <f>INDEX(SETORES!$B:$B,MATCH(A4158,SETORES!$A:$A,0))</f>
        <v/>
      </c>
      <c r="H4158" s="106" t="inlineStr">
        <is>
          <t>Novembro/2026</t>
        </is>
      </c>
    </row>
    <row r="4159">
      <c r="A4159" s="106" t="inlineStr">
        <is>
          <t>Qualidade</t>
        </is>
      </c>
      <c r="B4159" s="106" t="inlineStr">
        <is>
          <t>Custo Variável</t>
        </is>
      </c>
      <c r="C4159" s="106" t="inlineStr">
        <is>
          <t>Exames médicos</t>
        </is>
      </c>
      <c r="D4159" s="107" t="n"/>
      <c r="E4159" s="108" t="n"/>
      <c r="F4159" s="109">
        <f>IFERROR(D4159*E4159,0)</f>
        <v/>
      </c>
      <c r="G4159" s="106">
        <f>INDEX(SETORES!$B:$B,MATCH(A4159,SETORES!$A:$A,0))</f>
        <v/>
      </c>
      <c r="H4159" s="106" t="inlineStr">
        <is>
          <t>Novembro/2026</t>
        </is>
      </c>
    </row>
    <row r="4160">
      <c r="A4160" s="106" t="inlineStr">
        <is>
          <t>Jurídico</t>
        </is>
      </c>
      <c r="B4160" s="106" t="inlineStr">
        <is>
          <t>Custo Fixo</t>
        </is>
      </c>
      <c r="C4160" s="106" t="inlineStr">
        <is>
          <t>Folha de pagamento (salários)</t>
        </is>
      </c>
      <c r="D4160" s="107" t="n">
        <v>1</v>
      </c>
      <c r="E4160" s="108" t="n">
        <v>7846.31</v>
      </c>
      <c r="F4160" s="109">
        <f>IFERROR(D4160*E4160,0)</f>
        <v/>
      </c>
      <c r="G4160" s="106">
        <f>INDEX(SETORES!$B:$B,MATCH(A4160,SETORES!$A:$A,0))</f>
        <v/>
      </c>
      <c r="H4160" s="106" t="inlineStr">
        <is>
          <t>Novembro/2026</t>
        </is>
      </c>
    </row>
    <row r="4161">
      <c r="A4161" s="106" t="inlineStr">
        <is>
          <t>Jurídico</t>
        </is>
      </c>
      <c r="B4161" s="106" t="inlineStr">
        <is>
          <t>Custo Fixo</t>
        </is>
      </c>
      <c r="C4161" s="106" t="inlineStr">
        <is>
          <t>Material de uso coletivo (copa/limpeza)</t>
        </is>
      </c>
      <c r="D4161" s="107" t="n">
        <v>1</v>
      </c>
      <c r="E4161" s="108" t="n">
        <v>150.42</v>
      </c>
      <c r="F4161" s="109">
        <f>IFERROR(D4161*E4161,0)</f>
        <v/>
      </c>
      <c r="G4161" s="106">
        <f>INDEX(SETORES!$B:$B,MATCH(A4161,SETORES!$A:$A,0))</f>
        <v/>
      </c>
      <c r="H4161" s="106" t="inlineStr">
        <is>
          <t>Novembro/2026</t>
        </is>
      </c>
    </row>
    <row r="4162">
      <c r="A4162" s="106" t="inlineStr">
        <is>
          <t>Jurídico</t>
        </is>
      </c>
      <c r="B4162" s="106" t="inlineStr">
        <is>
          <t>Custo Variável</t>
        </is>
      </c>
      <c r="C4162" s="106" t="inlineStr">
        <is>
          <t>Combustível de frota</t>
        </is>
      </c>
      <c r="D4162" s="107" t="n">
        <v>1</v>
      </c>
      <c r="E4162" s="108" t="n">
        <v>1280.1</v>
      </c>
      <c r="F4162" s="109">
        <f>IFERROR(D4162*E4162,0)</f>
        <v/>
      </c>
      <c r="G4162" s="106">
        <f>INDEX(SETORES!$B:$B,MATCH(A4162,SETORES!$A:$A,0))</f>
        <v/>
      </c>
      <c r="H4162" s="106" t="inlineStr">
        <is>
          <t>Novembro/2026</t>
        </is>
      </c>
    </row>
    <row r="4163">
      <c r="A4163" s="106" t="inlineStr">
        <is>
          <t>Marketing</t>
        </is>
      </c>
      <c r="B4163" s="106" t="inlineStr">
        <is>
          <t>Custo Fixo</t>
        </is>
      </c>
      <c r="C4163" s="106" t="inlineStr">
        <is>
          <t>Folha de pagamento (salários)</t>
        </is>
      </c>
      <c r="D4163" s="107" t="n">
        <v>1</v>
      </c>
      <c r="E4163" s="108" t="n">
        <v>62265.7</v>
      </c>
      <c r="F4163" s="109">
        <f>IFERROR(D4163*E4163,0)</f>
        <v/>
      </c>
      <c r="G4163" s="106">
        <f>INDEX(SETORES!$B:$B,MATCH(A4163,SETORES!$A:$A,0))</f>
        <v/>
      </c>
      <c r="H4163" s="106" t="inlineStr">
        <is>
          <t>Novembro/2026</t>
        </is>
      </c>
    </row>
    <row r="4164">
      <c r="A4164" s="106" t="inlineStr">
        <is>
          <t>Marketing</t>
        </is>
      </c>
      <c r="B4164" s="106" t="inlineStr">
        <is>
          <t>Custo Fixo</t>
        </is>
      </c>
      <c r="C4164" s="106" t="inlineStr">
        <is>
          <t>Material de uso coletivo (copa/limpeza)</t>
        </is>
      </c>
      <c r="D4164" s="107" t="n">
        <v>1</v>
      </c>
      <c r="E4164" s="108" t="n">
        <v>507.51</v>
      </c>
      <c r="F4164" s="109">
        <f>IFERROR(D4164*E4164,0)</f>
        <v/>
      </c>
      <c r="G4164" s="106">
        <f>INDEX(SETORES!$B:$B,MATCH(A4164,SETORES!$A:$A,0))</f>
        <v/>
      </c>
      <c r="H4164" s="106" t="inlineStr">
        <is>
          <t>Novembro/2026</t>
        </is>
      </c>
    </row>
    <row r="4165">
      <c r="A4165" s="106" t="inlineStr">
        <is>
          <t>Marketing</t>
        </is>
      </c>
      <c r="B4165" s="106" t="inlineStr">
        <is>
          <t>Custo Variável</t>
        </is>
      </c>
      <c r="C4165" s="106" t="inlineStr">
        <is>
          <t>Combustível de frota</t>
        </is>
      </c>
      <c r="D4165" s="107" t="n">
        <v>1</v>
      </c>
      <c r="E4165" s="108" t="n">
        <v>1514.08</v>
      </c>
      <c r="F4165" s="109">
        <f>IFERROR(D4165*E4165,0)</f>
        <v/>
      </c>
      <c r="G4165" s="106">
        <f>INDEX(SETORES!$B:$B,MATCH(A4165,SETORES!$A:$A,0))</f>
        <v/>
      </c>
      <c r="H4165" s="106" t="inlineStr">
        <is>
          <t>Novembro/2026</t>
        </is>
      </c>
    </row>
    <row r="4166">
      <c r="A4166" s="106" t="inlineStr">
        <is>
          <t>Marketing</t>
        </is>
      </c>
      <c r="B4166" s="106" t="inlineStr">
        <is>
          <t>Custo Variável</t>
        </is>
      </c>
      <c r="C4166" s="106" t="inlineStr">
        <is>
          <t>Exames médicos</t>
        </is>
      </c>
      <c r="D4166" s="107" t="n"/>
      <c r="E4166" s="108" t="n"/>
      <c r="F4166" s="109">
        <f>IFERROR(D4166*E4166,0)</f>
        <v/>
      </c>
      <c r="G4166" s="106">
        <f>INDEX(SETORES!$B:$B,MATCH(A4166,SETORES!$A:$A,0))</f>
        <v/>
      </c>
      <c r="H4166" s="106" t="inlineStr">
        <is>
          <t>Novembro/2026</t>
        </is>
      </c>
    </row>
    <row r="4167">
      <c r="A4167" s="106" t="inlineStr">
        <is>
          <t>TIC</t>
        </is>
      </c>
      <c r="B4167" s="106" t="inlineStr">
        <is>
          <t>Custo Fixo</t>
        </is>
      </c>
      <c r="C4167" s="106" t="inlineStr">
        <is>
          <t>Folha de pagamento (salários)</t>
        </is>
      </c>
      <c r="D4167" s="107" t="n">
        <v>1</v>
      </c>
      <c r="E4167" s="108" t="n">
        <v>35073.9</v>
      </c>
      <c r="F4167" s="109">
        <f>IFERROR(D4167*E4167,0)</f>
        <v/>
      </c>
      <c r="G4167" s="106">
        <f>INDEX(SETORES!$B:$B,MATCH(A4167,SETORES!$A:$A,0))</f>
        <v/>
      </c>
      <c r="H4167" s="106" t="inlineStr">
        <is>
          <t>Novembro/2026</t>
        </is>
      </c>
    </row>
    <row r="4168">
      <c r="A4168" s="106" t="inlineStr">
        <is>
          <t>TIC</t>
        </is>
      </c>
      <c r="B4168" s="106" t="inlineStr">
        <is>
          <t>Custo Fixo</t>
        </is>
      </c>
      <c r="C4168" s="106" t="inlineStr">
        <is>
          <t>Material de uso coletivo (copa/limpeza)</t>
        </is>
      </c>
      <c r="D4168" s="107" t="n">
        <v>1</v>
      </c>
      <c r="E4168" s="108" t="n">
        <v>107.14</v>
      </c>
      <c r="F4168" s="109">
        <f>IFERROR(D4168*E4168,0)</f>
        <v/>
      </c>
      <c r="G4168" s="106">
        <f>INDEX(SETORES!$B:$B,MATCH(A4168,SETORES!$A:$A,0))</f>
        <v/>
      </c>
      <c r="H4168" s="106" t="inlineStr">
        <is>
          <t>Novembro/2026</t>
        </is>
      </c>
    </row>
    <row r="4169">
      <c r="A4169" s="106" t="inlineStr">
        <is>
          <t>COE</t>
        </is>
      </c>
      <c r="B4169" s="106" t="inlineStr">
        <is>
          <t>Custo Fixo</t>
        </is>
      </c>
      <c r="C4169" s="106" t="inlineStr">
        <is>
          <t>Folha de pagamento (salários)</t>
        </is>
      </c>
      <c r="D4169" s="107" t="n">
        <v>1</v>
      </c>
      <c r="E4169" s="108" t="n">
        <v>71692.57000000001</v>
      </c>
      <c r="F4169" s="109">
        <f>IFERROR(D4169*E4169,0)</f>
        <v/>
      </c>
      <c r="G4169" s="106">
        <f>INDEX(SETORES!$B:$B,MATCH(A4169,SETORES!$A:$A,0))</f>
        <v/>
      </c>
      <c r="H4169" s="106" t="inlineStr">
        <is>
          <t>Novembro/2026</t>
        </is>
      </c>
    </row>
    <row r="4170">
      <c r="A4170" s="106" t="inlineStr">
        <is>
          <t>Fique Móvel</t>
        </is>
      </c>
      <c r="B4170" s="106" t="inlineStr">
        <is>
          <t>Custo Fixo</t>
        </is>
      </c>
      <c r="C4170" s="106" t="inlineStr">
        <is>
          <t>Folha de pagamento (salários)</t>
        </is>
      </c>
      <c r="D4170" s="107" t="n">
        <v>1</v>
      </c>
      <c r="E4170" s="108" t="n">
        <v>13644.85</v>
      </c>
      <c r="F4170" s="109">
        <f>IFERROR(D4170*E4170,0)</f>
        <v/>
      </c>
      <c r="G4170" s="106">
        <f>INDEX(SETORES!$B:$B,MATCH(A4170,SETORES!$A:$A,0))</f>
        <v/>
      </c>
      <c r="H4170" s="106" t="inlineStr">
        <is>
          <t>Novembro/2026</t>
        </is>
      </c>
    </row>
    <row r="4171">
      <c r="A4171" s="106" t="inlineStr">
        <is>
          <t>Lançamento</t>
        </is>
      </c>
      <c r="B4171" s="106" t="inlineStr">
        <is>
          <t>Custo Fixo</t>
        </is>
      </c>
      <c r="C4171" s="106" t="inlineStr">
        <is>
          <t>Folha de pagamento (salários)</t>
        </is>
      </c>
      <c r="D4171" s="107" t="n">
        <v>1</v>
      </c>
      <c r="E4171" s="108" t="n">
        <v>184970.83</v>
      </c>
      <c r="F4171" s="109">
        <f>IFERROR(D4171*E4171,0)</f>
        <v/>
      </c>
      <c r="G4171" s="106">
        <f>INDEX(SETORES!$B:$B,MATCH(A4171,SETORES!$A:$A,0))</f>
        <v/>
      </c>
      <c r="H4171" s="106" t="inlineStr">
        <is>
          <t>Novembro/2026</t>
        </is>
      </c>
    </row>
    <row r="4172">
      <c r="A4172" s="106" t="inlineStr">
        <is>
          <t>Lançamento</t>
        </is>
      </c>
      <c r="B4172" s="106" t="inlineStr">
        <is>
          <t>Custo Variável</t>
        </is>
      </c>
      <c r="C4172" s="106" t="inlineStr">
        <is>
          <t>Combustível de frota</t>
        </is>
      </c>
      <c r="D4172" s="107" t="n">
        <v>1</v>
      </c>
      <c r="E4172" s="108" t="n">
        <v>12181.5</v>
      </c>
      <c r="F4172" s="109">
        <f>IFERROR(D4172*E4172,0)</f>
        <v/>
      </c>
      <c r="G4172" s="106">
        <f>INDEX(SETORES!$B:$B,MATCH(A4172,SETORES!$A:$A,0))</f>
        <v/>
      </c>
      <c r="H4172" s="106" t="inlineStr">
        <is>
          <t>Novembro/2026</t>
        </is>
      </c>
    </row>
    <row r="4173">
      <c r="A4173" s="106" t="inlineStr">
        <is>
          <t>Lançamento</t>
        </is>
      </c>
      <c r="B4173" s="106" t="inlineStr">
        <is>
          <t>Custo Variável</t>
        </is>
      </c>
      <c r="C4173" s="106" t="inlineStr">
        <is>
          <t>EPIs - Equipamento de Proteção Individual</t>
        </is>
      </c>
      <c r="D4173" s="107" t="n"/>
      <c r="E4173" s="108" t="n"/>
      <c r="F4173" s="109">
        <f>IFERROR(D4173*E4173,0)</f>
        <v/>
      </c>
      <c r="G4173" s="106">
        <f>INDEX(SETORES!$B:$B,MATCH(A4173,SETORES!$A:$A,0))</f>
        <v/>
      </c>
      <c r="H4173" s="106" t="inlineStr">
        <is>
          <t>Novembro/2026</t>
        </is>
      </c>
    </row>
    <row r="4174">
      <c r="A4174" s="106" t="inlineStr">
        <is>
          <t>Fusão</t>
        </is>
      </c>
      <c r="B4174" s="106" t="inlineStr">
        <is>
          <t>Custo Fixo</t>
        </is>
      </c>
      <c r="C4174" s="106" t="inlineStr">
        <is>
          <t>Folha de pagamento (salários)</t>
        </is>
      </c>
      <c r="D4174" s="107" t="n">
        <v>1</v>
      </c>
      <c r="E4174" s="108" t="n">
        <v>108616.1</v>
      </c>
      <c r="F4174" s="109">
        <f>IFERROR(D4174*E4174,0)</f>
        <v/>
      </c>
      <c r="G4174" s="106">
        <f>INDEX(SETORES!$B:$B,MATCH(A4174,SETORES!$A:$A,0))</f>
        <v/>
      </c>
      <c r="H4174" s="106" t="inlineStr">
        <is>
          <t>Novembro/2026</t>
        </is>
      </c>
    </row>
    <row r="4175">
      <c r="A4175" s="106" t="inlineStr">
        <is>
          <t>Fusão</t>
        </is>
      </c>
      <c r="B4175" s="106" t="inlineStr">
        <is>
          <t>Custo Variável</t>
        </is>
      </c>
      <c r="C4175" s="106" t="inlineStr">
        <is>
          <t>Combustível de frota</t>
        </is>
      </c>
      <c r="D4175" s="107" t="n">
        <v>1</v>
      </c>
      <c r="E4175" s="108" t="n">
        <v>19762.11</v>
      </c>
      <c r="F4175" s="109">
        <f>IFERROR(D4175*E4175,0)</f>
        <v/>
      </c>
      <c r="G4175" s="106">
        <f>INDEX(SETORES!$B:$B,MATCH(A4175,SETORES!$A:$A,0))</f>
        <v/>
      </c>
      <c r="H4175" s="106" t="inlineStr">
        <is>
          <t>Novembro/2026</t>
        </is>
      </c>
    </row>
    <row r="4176">
      <c r="A4176" s="106" t="inlineStr">
        <is>
          <t>Fusão</t>
        </is>
      </c>
      <c r="B4176" s="106" t="inlineStr">
        <is>
          <t>Custo Variável</t>
        </is>
      </c>
      <c r="C4176" s="106" t="inlineStr">
        <is>
          <t>EPIs - Equipamento de Proteção Individual</t>
        </is>
      </c>
      <c r="D4176" s="107" t="n"/>
      <c r="E4176" s="108" t="n"/>
      <c r="F4176" s="109">
        <f>IFERROR(D4176*E4176,0)</f>
        <v/>
      </c>
      <c r="G4176" s="106">
        <f>INDEX(SETORES!$B:$B,MATCH(A4176,SETORES!$A:$A,0))</f>
        <v/>
      </c>
      <c r="H4176" s="106" t="inlineStr">
        <is>
          <t>Novembro/2026</t>
        </is>
      </c>
    </row>
    <row r="4177">
      <c r="A4177" s="106" t="inlineStr">
        <is>
          <t>Diretoria Adm</t>
        </is>
      </c>
      <c r="B4177" s="106" t="inlineStr">
        <is>
          <t>Custo Fixo</t>
        </is>
      </c>
      <c r="C4177" s="106" t="inlineStr">
        <is>
          <t>Folha de pagamento (salários)</t>
        </is>
      </c>
      <c r="D4177" s="107" t="n">
        <v>1</v>
      </c>
      <c r="E4177" s="108" t="n">
        <v>11133.4</v>
      </c>
      <c r="F4177" s="109">
        <f>IFERROR(D4177*E4177,0)</f>
        <v/>
      </c>
      <c r="G4177" s="106">
        <f>INDEX(SETORES!$B:$B,MATCH(A4177,SETORES!$A:$A,0))</f>
        <v/>
      </c>
      <c r="H4177" s="106" t="inlineStr">
        <is>
          <t>Novembro/2026</t>
        </is>
      </c>
    </row>
    <row r="4178">
      <c r="A4178" s="106" t="inlineStr">
        <is>
          <t>Diretoria Adm</t>
        </is>
      </c>
      <c r="B4178" s="106" t="inlineStr">
        <is>
          <t>Custo Fixo</t>
        </is>
      </c>
      <c r="C4178" s="106" t="inlineStr">
        <is>
          <t>Material de escritório (suprimentos de informática)</t>
        </is>
      </c>
      <c r="D4178" s="107" t="n"/>
      <c r="E4178" s="108" t="n"/>
      <c r="F4178" s="109">
        <f>IFERROR(D4178*E4178,0)</f>
        <v/>
      </c>
      <c r="G4178" s="106">
        <f>INDEX(SETORES!$B:$B,MATCH(A4178,SETORES!$A:$A,0))</f>
        <v/>
      </c>
      <c r="H4178" s="106" t="inlineStr">
        <is>
          <t>Novembro/2026</t>
        </is>
      </c>
    </row>
    <row r="4179">
      <c r="A4179" s="106" t="inlineStr">
        <is>
          <t>Diretoria Adm</t>
        </is>
      </c>
      <c r="B4179" s="106" t="inlineStr">
        <is>
          <t>Custo Fixo</t>
        </is>
      </c>
      <c r="C4179" s="106" t="inlineStr">
        <is>
          <t>Material de uso coletivo (copa/limpeza)</t>
        </is>
      </c>
      <c r="D4179" s="107" t="n"/>
      <c r="E4179" s="108" t="n"/>
      <c r="F4179" s="109">
        <f>IFERROR(D4179*E4179,0)</f>
        <v/>
      </c>
      <c r="G4179" s="106">
        <f>INDEX(SETORES!$B:$B,MATCH(A4179,SETORES!$A:$A,0))</f>
        <v/>
      </c>
      <c r="H4179" s="106" t="inlineStr">
        <is>
          <t>Novembro/2026</t>
        </is>
      </c>
    </row>
    <row r="4180">
      <c r="A4180" s="106" t="inlineStr">
        <is>
          <t>Comercial Corporativo</t>
        </is>
      </c>
      <c r="B4180" s="106" t="inlineStr">
        <is>
          <t>Custo Fixo</t>
        </is>
      </c>
      <c r="C4180" s="106" t="inlineStr">
        <is>
          <t>Material de uso coletivo (copa/limpeza)</t>
        </is>
      </c>
      <c r="D4180" s="107" t="n"/>
      <c r="E4180" s="108" t="n"/>
      <c r="F4180" s="109">
        <f>IFERROR(D4180*E4180,0)</f>
        <v/>
      </c>
      <c r="G4180" s="106">
        <f>INDEX(SETORES!$B:$B,MATCH(A4180,SETORES!$A:$A,0))</f>
        <v/>
      </c>
      <c r="H4180" s="106" t="inlineStr">
        <is>
          <t>Novembro/2026</t>
        </is>
      </c>
    </row>
    <row r="4181">
      <c r="A4181" s="106" t="inlineStr">
        <is>
          <t>Fique Móvel</t>
        </is>
      </c>
      <c r="B4181" s="106" t="inlineStr">
        <is>
          <t>Custo Fixo</t>
        </is>
      </c>
      <c r="C4181" s="106" t="inlineStr">
        <is>
          <t>Material de uso coletivo (copa/limpeza)</t>
        </is>
      </c>
      <c r="D4181" s="107" t="n">
        <v>1</v>
      </c>
      <c r="E4181" s="108" t="n">
        <v>175.81</v>
      </c>
      <c r="F4181" s="109">
        <f>IFERROR(D4181*E4181,0)</f>
        <v/>
      </c>
      <c r="G4181" s="106">
        <f>INDEX(SETORES!$B:$B,MATCH(A4181,SETORES!$A:$A,0))</f>
        <v/>
      </c>
      <c r="H4181" s="106" t="inlineStr">
        <is>
          <t>Novembro/2026</t>
        </is>
      </c>
    </row>
    <row r="4182">
      <c r="A4182" s="106" t="inlineStr">
        <is>
          <t>Qualidade</t>
        </is>
      </c>
      <c r="B4182" s="106" t="inlineStr">
        <is>
          <t>Custo Fixo</t>
        </is>
      </c>
      <c r="C4182" s="106" t="inlineStr">
        <is>
          <t>Gympass</t>
        </is>
      </c>
      <c r="D4182" s="107" t="n"/>
      <c r="E4182" s="108" t="n"/>
      <c r="F4182" s="109">
        <f>IFERROR(D4182*E4182,0)</f>
        <v/>
      </c>
      <c r="G4182" s="106">
        <f>INDEX(SETORES!$B:$B,MATCH(A4182,SETORES!$A:$A,0))</f>
        <v/>
      </c>
      <c r="H4182" s="106" t="inlineStr">
        <is>
          <t>Novembro/2026</t>
        </is>
      </c>
    </row>
    <row r="4183">
      <c r="A4183" s="106" t="inlineStr">
        <is>
          <t>Qualidade</t>
        </is>
      </c>
      <c r="B4183" s="106" t="inlineStr">
        <is>
          <t>Custo Fixo</t>
        </is>
      </c>
      <c r="C4183" s="106" t="inlineStr">
        <is>
          <t>Stargrid</t>
        </is>
      </c>
      <c r="D4183" s="107" t="n">
        <v>11</v>
      </c>
      <c r="E4183" s="108" t="n">
        <v>1.87</v>
      </c>
      <c r="F4183" s="109">
        <f>IFERROR(D4183*E4183,0)</f>
        <v/>
      </c>
      <c r="G4183" s="106">
        <f>INDEX(SETORES!$B:$B,MATCH(A4183,SETORES!$A:$A,0))</f>
        <v/>
      </c>
      <c r="H4183" s="106" t="inlineStr">
        <is>
          <t>Novembro/2026</t>
        </is>
      </c>
    </row>
    <row r="4184">
      <c r="A4184" s="106" t="inlineStr">
        <is>
          <t>Qualidade</t>
        </is>
      </c>
      <c r="B4184" s="106" t="inlineStr">
        <is>
          <t>Custo Fixo</t>
        </is>
      </c>
      <c r="C4184" s="106" t="inlineStr">
        <is>
          <t>Licença de e-mail corporativo</t>
        </is>
      </c>
      <c r="D4184" s="107" t="n">
        <v>11</v>
      </c>
      <c r="E4184" s="108" t="n">
        <v>50</v>
      </c>
      <c r="F4184" s="109">
        <f>IFERROR(D4184*E4184,0)</f>
        <v/>
      </c>
      <c r="G4184" s="106">
        <f>INDEX(SETORES!$B:$B,MATCH(A4184,SETORES!$A:$A,0))</f>
        <v/>
      </c>
      <c r="H4184" s="106" t="inlineStr">
        <is>
          <t>Novembro/2026</t>
        </is>
      </c>
    </row>
    <row r="4185">
      <c r="A4185" s="106" t="inlineStr">
        <is>
          <t>Qualidade</t>
        </is>
      </c>
      <c r="B4185" s="106" t="inlineStr">
        <is>
          <t>Custo Fixo</t>
        </is>
      </c>
      <c r="C4185" s="106" t="inlineStr">
        <is>
          <t>Despesas com RH</t>
        </is>
      </c>
      <c r="D4185" s="107" t="n">
        <v>11</v>
      </c>
      <c r="E4185" s="108" t="n">
        <v>32.55</v>
      </c>
      <c r="F4185" s="109">
        <f>IFERROR(D4185*E4185,0)</f>
        <v/>
      </c>
      <c r="G4185" s="106">
        <f>INDEX(SETORES!$B:$B,MATCH(A4185,SETORES!$A:$A,0))</f>
        <v/>
      </c>
      <c r="H4185" s="106" t="inlineStr">
        <is>
          <t>Novembro/2026</t>
        </is>
      </c>
    </row>
    <row r="4186">
      <c r="A4186" s="106" t="inlineStr">
        <is>
          <t>Qualidade</t>
        </is>
      </c>
      <c r="B4186" s="106" t="inlineStr">
        <is>
          <t>Custo Fixo</t>
        </is>
      </c>
      <c r="C4186" s="106" t="inlineStr">
        <is>
          <t>Despesas com DP</t>
        </is>
      </c>
      <c r="D4186" s="107" t="n">
        <v>11</v>
      </c>
      <c r="E4186" s="108" t="n">
        <v>52.09</v>
      </c>
      <c r="F4186" s="109">
        <f>IFERROR(D4186*E4186,0)</f>
        <v/>
      </c>
      <c r="G4186" s="106">
        <f>INDEX(SETORES!$B:$B,MATCH(A4186,SETORES!$A:$A,0))</f>
        <v/>
      </c>
      <c r="H4186" s="106" t="inlineStr">
        <is>
          <t>Novembro/2026</t>
        </is>
      </c>
    </row>
    <row r="4187">
      <c r="A4187" s="106" t="inlineStr">
        <is>
          <t>Qualidade</t>
        </is>
      </c>
      <c r="B4187" s="106" t="inlineStr">
        <is>
          <t>Custo Fixo</t>
        </is>
      </c>
      <c r="C4187" s="106" t="inlineStr">
        <is>
          <t>Despesas com SST</t>
        </is>
      </c>
      <c r="D4187" s="107" t="n">
        <v>11</v>
      </c>
      <c r="E4187" s="108" t="n">
        <v>52.35</v>
      </c>
      <c r="F4187" s="109">
        <f>IFERROR(D4187*E4187,0)</f>
        <v/>
      </c>
      <c r="G4187" s="106">
        <f>INDEX(SETORES!$B:$B,MATCH(A4187,SETORES!$A:$A,0))</f>
        <v/>
      </c>
      <c r="H4187" s="106" t="inlineStr">
        <is>
          <t>Novembro/2026</t>
        </is>
      </c>
    </row>
    <row r="4188">
      <c r="A4188" s="106" t="inlineStr">
        <is>
          <t>Jurídico</t>
        </is>
      </c>
      <c r="B4188" s="106" t="inlineStr">
        <is>
          <t>Custo Fixo</t>
        </is>
      </c>
      <c r="C4188" s="106" t="inlineStr">
        <is>
          <t>Gympass</t>
        </is>
      </c>
      <c r="D4188" s="107" t="n"/>
      <c r="E4188" s="108" t="n"/>
      <c r="F4188" s="109">
        <f>IFERROR(D4188*E4188,0)</f>
        <v/>
      </c>
      <c r="G4188" s="106">
        <f>INDEX(SETORES!$B:$B,MATCH(A4188,SETORES!$A:$A,0))</f>
        <v/>
      </c>
      <c r="H4188" s="106" t="inlineStr">
        <is>
          <t>Novembro/2026</t>
        </is>
      </c>
    </row>
    <row r="4189">
      <c r="A4189" s="106" t="inlineStr">
        <is>
          <t>Jurídico</t>
        </is>
      </c>
      <c r="B4189" s="106" t="inlineStr">
        <is>
          <t>Custo Fixo</t>
        </is>
      </c>
      <c r="C4189" s="106" t="inlineStr">
        <is>
          <t>Stargrid</t>
        </is>
      </c>
      <c r="D4189" s="107" t="n">
        <v>2</v>
      </c>
      <c r="E4189" s="108" t="n">
        <v>1.87</v>
      </c>
      <c r="F4189" s="109">
        <f>IFERROR(D4189*E4189,0)</f>
        <v/>
      </c>
      <c r="G4189" s="106">
        <f>INDEX(SETORES!$B:$B,MATCH(A4189,SETORES!$A:$A,0))</f>
        <v/>
      </c>
      <c r="H4189" s="106" t="inlineStr">
        <is>
          <t>Novembro/2026</t>
        </is>
      </c>
    </row>
    <row r="4190">
      <c r="A4190" s="106" t="inlineStr">
        <is>
          <t>Jurídico</t>
        </is>
      </c>
      <c r="B4190" s="106" t="inlineStr">
        <is>
          <t>Custo Fixo</t>
        </is>
      </c>
      <c r="C4190" s="106" t="inlineStr">
        <is>
          <t>Licença de e-mail corporativo</t>
        </is>
      </c>
      <c r="D4190" s="107" t="n">
        <v>2</v>
      </c>
      <c r="E4190" s="108" t="n">
        <v>50</v>
      </c>
      <c r="F4190" s="109">
        <f>IFERROR(D4190*E4190,0)</f>
        <v/>
      </c>
      <c r="G4190" s="106">
        <f>INDEX(SETORES!$B:$B,MATCH(A4190,SETORES!$A:$A,0))</f>
        <v/>
      </c>
      <c r="H4190" s="106" t="inlineStr">
        <is>
          <t>Novembro/2026</t>
        </is>
      </c>
    </row>
    <row r="4191">
      <c r="A4191" s="106" t="inlineStr">
        <is>
          <t>Jurídico</t>
        </is>
      </c>
      <c r="B4191" s="106" t="inlineStr">
        <is>
          <t>Custo Fixo</t>
        </is>
      </c>
      <c r="C4191" s="106" t="inlineStr">
        <is>
          <t>Despesas com RH</t>
        </is>
      </c>
      <c r="D4191" s="107" t="n">
        <v>2</v>
      </c>
      <c r="E4191" s="108" t="n">
        <v>32.55</v>
      </c>
      <c r="F4191" s="109">
        <f>IFERROR(D4191*E4191,0)</f>
        <v/>
      </c>
      <c r="G4191" s="106">
        <f>INDEX(SETORES!$B:$B,MATCH(A4191,SETORES!$A:$A,0))</f>
        <v/>
      </c>
      <c r="H4191" s="106" t="inlineStr">
        <is>
          <t>Novembro/2026</t>
        </is>
      </c>
    </row>
    <row r="4192">
      <c r="A4192" s="106" t="inlineStr">
        <is>
          <t>Jurídico</t>
        </is>
      </c>
      <c r="B4192" s="106" t="inlineStr">
        <is>
          <t>Custo Fixo</t>
        </is>
      </c>
      <c r="C4192" s="106" t="inlineStr">
        <is>
          <t>Despesas com DP</t>
        </is>
      </c>
      <c r="D4192" s="107" t="n">
        <v>2</v>
      </c>
      <c r="E4192" s="108" t="n">
        <v>52.09</v>
      </c>
      <c r="F4192" s="109">
        <f>IFERROR(D4192*E4192,0)</f>
        <v/>
      </c>
      <c r="G4192" s="106">
        <f>INDEX(SETORES!$B:$B,MATCH(A4192,SETORES!$A:$A,0))</f>
        <v/>
      </c>
      <c r="H4192" s="106" t="inlineStr">
        <is>
          <t>Novembro/2026</t>
        </is>
      </c>
    </row>
    <row r="4193">
      <c r="A4193" s="106" t="inlineStr">
        <is>
          <t>Jurídico</t>
        </is>
      </c>
      <c r="B4193" s="106" t="inlineStr">
        <is>
          <t>Custo Fixo</t>
        </is>
      </c>
      <c r="C4193" s="106" t="inlineStr">
        <is>
          <t>Despesas com SST</t>
        </is>
      </c>
      <c r="D4193" s="107" t="n">
        <v>2</v>
      </c>
      <c r="E4193" s="108" t="n">
        <v>52.35</v>
      </c>
      <c r="F4193" s="109">
        <f>IFERROR(D4193*E4193,0)</f>
        <v/>
      </c>
      <c r="G4193" s="106">
        <f>INDEX(SETORES!$B:$B,MATCH(A4193,SETORES!$A:$A,0))</f>
        <v/>
      </c>
      <c r="H4193" s="106" t="inlineStr">
        <is>
          <t>Novembro/2026</t>
        </is>
      </c>
    </row>
    <row r="4194">
      <c r="A4194" s="106" t="inlineStr">
        <is>
          <t>Marketing</t>
        </is>
      </c>
      <c r="B4194" s="106" t="inlineStr">
        <is>
          <t>Custo Fixo</t>
        </is>
      </c>
      <c r="C4194" s="106" t="inlineStr">
        <is>
          <t>Gympass</t>
        </is>
      </c>
      <c r="D4194" s="107" t="n"/>
      <c r="E4194" s="108" t="n"/>
      <c r="F4194" s="109">
        <f>IFERROR(D4194*E4194,0)</f>
        <v/>
      </c>
      <c r="G4194" s="106">
        <f>INDEX(SETORES!$B:$B,MATCH(A4194,SETORES!$A:$A,0))</f>
        <v/>
      </c>
      <c r="H4194" s="106" t="inlineStr">
        <is>
          <t>Novembro/2026</t>
        </is>
      </c>
    </row>
    <row r="4195">
      <c r="A4195" s="106" t="inlineStr">
        <is>
          <t>Marketing</t>
        </is>
      </c>
      <c r="B4195" s="106" t="inlineStr">
        <is>
          <t>Custo Fixo</t>
        </is>
      </c>
      <c r="C4195" s="106" t="inlineStr">
        <is>
          <t>Stargrid</t>
        </is>
      </c>
      <c r="D4195" s="107" t="n">
        <v>17</v>
      </c>
      <c r="E4195" s="108" t="n">
        <v>1.87</v>
      </c>
      <c r="F4195" s="109">
        <f>IFERROR(D4195*E4195,0)</f>
        <v/>
      </c>
      <c r="G4195" s="106">
        <f>INDEX(SETORES!$B:$B,MATCH(A4195,SETORES!$A:$A,0))</f>
        <v/>
      </c>
      <c r="H4195" s="106" t="inlineStr">
        <is>
          <t>Novembro/2026</t>
        </is>
      </c>
    </row>
    <row r="4196">
      <c r="A4196" s="106" t="inlineStr">
        <is>
          <t>Marketing</t>
        </is>
      </c>
      <c r="B4196" s="106" t="inlineStr">
        <is>
          <t>Custo Fixo</t>
        </is>
      </c>
      <c r="C4196" s="106" t="inlineStr">
        <is>
          <t>Licença de e-mail corporativo</t>
        </is>
      </c>
      <c r="D4196" s="107" t="n">
        <v>17</v>
      </c>
      <c r="E4196" s="108" t="n">
        <v>50</v>
      </c>
      <c r="F4196" s="109">
        <f>IFERROR(D4196*E4196,0)</f>
        <v/>
      </c>
      <c r="G4196" s="106">
        <f>INDEX(SETORES!$B:$B,MATCH(A4196,SETORES!$A:$A,0))</f>
        <v/>
      </c>
      <c r="H4196" s="106" t="inlineStr">
        <is>
          <t>Novembro/2026</t>
        </is>
      </c>
    </row>
    <row r="4197">
      <c r="A4197" s="106" t="inlineStr">
        <is>
          <t>Marketing</t>
        </is>
      </c>
      <c r="B4197" s="106" t="inlineStr">
        <is>
          <t>Custo Fixo</t>
        </is>
      </c>
      <c r="C4197" s="106" t="inlineStr">
        <is>
          <t>Despesas com RH</t>
        </is>
      </c>
      <c r="D4197" s="107" t="n">
        <v>17</v>
      </c>
      <c r="E4197" s="108" t="n">
        <v>32.55</v>
      </c>
      <c r="F4197" s="109">
        <f>IFERROR(D4197*E4197,0)</f>
        <v/>
      </c>
      <c r="G4197" s="106">
        <f>INDEX(SETORES!$B:$B,MATCH(A4197,SETORES!$A:$A,0))</f>
        <v/>
      </c>
      <c r="H4197" s="106" t="inlineStr">
        <is>
          <t>Novembro/2026</t>
        </is>
      </c>
    </row>
    <row r="4198">
      <c r="A4198" s="106" t="inlineStr">
        <is>
          <t>Marketing</t>
        </is>
      </c>
      <c r="B4198" s="106" t="inlineStr">
        <is>
          <t>Custo Fixo</t>
        </is>
      </c>
      <c r="C4198" s="106" t="inlineStr">
        <is>
          <t>Despesas com DP</t>
        </is>
      </c>
      <c r="D4198" s="107" t="n">
        <v>17</v>
      </c>
      <c r="E4198" s="108" t="n">
        <v>52.09</v>
      </c>
      <c r="F4198" s="109">
        <f>IFERROR(D4198*E4198,0)</f>
        <v/>
      </c>
      <c r="G4198" s="106">
        <f>INDEX(SETORES!$B:$B,MATCH(A4198,SETORES!$A:$A,0))</f>
        <v/>
      </c>
      <c r="H4198" s="106" t="inlineStr">
        <is>
          <t>Novembro/2026</t>
        </is>
      </c>
    </row>
    <row r="4199">
      <c r="A4199" s="106" t="inlineStr">
        <is>
          <t>Marketing</t>
        </is>
      </c>
      <c r="B4199" s="106" t="inlineStr">
        <is>
          <t>Custo Fixo</t>
        </is>
      </c>
      <c r="C4199" s="106" t="inlineStr">
        <is>
          <t>Despesas com SST</t>
        </is>
      </c>
      <c r="D4199" s="107" t="n">
        <v>17</v>
      </c>
      <c r="E4199" s="108" t="n">
        <v>52.35</v>
      </c>
      <c r="F4199" s="109">
        <f>IFERROR(D4199*E4199,0)</f>
        <v/>
      </c>
      <c r="G4199" s="106">
        <f>INDEX(SETORES!$B:$B,MATCH(A4199,SETORES!$A:$A,0))</f>
        <v/>
      </c>
      <c r="H4199" s="106" t="inlineStr">
        <is>
          <t>Novembro/2026</t>
        </is>
      </c>
    </row>
    <row r="4200">
      <c r="A4200" s="106" t="inlineStr">
        <is>
          <t>TIC</t>
        </is>
      </c>
      <c r="B4200" s="106" t="inlineStr">
        <is>
          <t>Custo Fixo</t>
        </is>
      </c>
      <c r="C4200" s="106" t="inlineStr">
        <is>
          <t>Gympass</t>
        </is>
      </c>
      <c r="D4200" s="107" t="n"/>
      <c r="E4200" s="108" t="n"/>
      <c r="F4200" s="109">
        <f>IFERROR(D4200*E4200,0)</f>
        <v/>
      </c>
      <c r="G4200" s="106">
        <f>INDEX(SETORES!$B:$B,MATCH(A4200,SETORES!$A:$A,0))</f>
        <v/>
      </c>
      <c r="H4200" s="106" t="inlineStr">
        <is>
          <t>Novembro/2026</t>
        </is>
      </c>
    </row>
    <row r="4201">
      <c r="A4201" s="106" t="inlineStr">
        <is>
          <t>TIC</t>
        </is>
      </c>
      <c r="B4201" s="106" t="inlineStr">
        <is>
          <t>Custo Fixo</t>
        </is>
      </c>
      <c r="C4201" s="106" t="inlineStr">
        <is>
          <t>Stargrid</t>
        </is>
      </c>
      <c r="D4201" s="107" t="n">
        <v>7</v>
      </c>
      <c r="E4201" s="108" t="n">
        <v>1.87</v>
      </c>
      <c r="F4201" s="109">
        <f>IFERROR(D4201*E4201,0)</f>
        <v/>
      </c>
      <c r="G4201" s="106">
        <f>INDEX(SETORES!$B:$B,MATCH(A4201,SETORES!$A:$A,0))</f>
        <v/>
      </c>
      <c r="H4201" s="106" t="inlineStr">
        <is>
          <t>Novembro/2026</t>
        </is>
      </c>
    </row>
    <row r="4202">
      <c r="A4202" s="106" t="inlineStr">
        <is>
          <t>TIC</t>
        </is>
      </c>
      <c r="B4202" s="106" t="inlineStr">
        <is>
          <t>Custo Fixo</t>
        </is>
      </c>
      <c r="C4202" s="106" t="inlineStr">
        <is>
          <t>Licença de e-mail corporativo</t>
        </is>
      </c>
      <c r="D4202" s="107" t="n">
        <v>7</v>
      </c>
      <c r="E4202" s="108" t="n">
        <v>50</v>
      </c>
      <c r="F4202" s="109">
        <f>IFERROR(D4202*E4202,0)</f>
        <v/>
      </c>
      <c r="G4202" s="106">
        <f>INDEX(SETORES!$B:$B,MATCH(A4202,SETORES!$A:$A,0))</f>
        <v/>
      </c>
      <c r="H4202" s="106" t="inlineStr">
        <is>
          <t>Novembro/2026</t>
        </is>
      </c>
    </row>
    <row r="4203">
      <c r="A4203" s="106" t="inlineStr">
        <is>
          <t>TIC</t>
        </is>
      </c>
      <c r="B4203" s="106" t="inlineStr">
        <is>
          <t>Custo Fixo</t>
        </is>
      </c>
      <c r="C4203" s="106" t="inlineStr">
        <is>
          <t>Despesas com RH</t>
        </is>
      </c>
      <c r="D4203" s="107" t="n">
        <v>7</v>
      </c>
      <c r="E4203" s="108" t="n">
        <v>32.55</v>
      </c>
      <c r="F4203" s="109">
        <f>IFERROR(D4203*E4203,0)</f>
        <v/>
      </c>
      <c r="G4203" s="106">
        <f>INDEX(SETORES!$B:$B,MATCH(A4203,SETORES!$A:$A,0))</f>
        <v/>
      </c>
      <c r="H4203" s="106" t="inlineStr">
        <is>
          <t>Novembro/2026</t>
        </is>
      </c>
    </row>
    <row r="4204">
      <c r="A4204" s="106" t="inlineStr">
        <is>
          <t>TIC</t>
        </is>
      </c>
      <c r="B4204" s="106" t="inlineStr">
        <is>
          <t>Custo Fixo</t>
        </is>
      </c>
      <c r="C4204" s="106" t="inlineStr">
        <is>
          <t>Despesas com DP</t>
        </is>
      </c>
      <c r="D4204" s="107" t="n">
        <v>7</v>
      </c>
      <c r="E4204" s="108" t="n">
        <v>52.09</v>
      </c>
      <c r="F4204" s="109">
        <f>IFERROR(D4204*E4204,0)</f>
        <v/>
      </c>
      <c r="G4204" s="106">
        <f>INDEX(SETORES!$B:$B,MATCH(A4204,SETORES!$A:$A,0))</f>
        <v/>
      </c>
      <c r="H4204" s="106" t="inlineStr">
        <is>
          <t>Novembro/2026</t>
        </is>
      </c>
    </row>
    <row r="4205">
      <c r="A4205" s="106" t="inlineStr">
        <is>
          <t>TIC</t>
        </is>
      </c>
      <c r="B4205" s="106" t="inlineStr">
        <is>
          <t>Custo Fixo</t>
        </is>
      </c>
      <c r="C4205" s="106" t="inlineStr">
        <is>
          <t>Despesas com SST</t>
        </is>
      </c>
      <c r="D4205" s="107" t="n">
        <v>7</v>
      </c>
      <c r="E4205" s="108" t="n">
        <v>52.35</v>
      </c>
      <c r="F4205" s="109">
        <f>IFERROR(D4205*E4205,0)</f>
        <v/>
      </c>
      <c r="G4205" s="106">
        <f>INDEX(SETORES!$B:$B,MATCH(A4205,SETORES!$A:$A,0))</f>
        <v/>
      </c>
      <c r="H4205" s="106" t="inlineStr">
        <is>
          <t>Novembro/2026</t>
        </is>
      </c>
    </row>
    <row r="4206">
      <c r="A4206" s="106" t="inlineStr">
        <is>
          <t>COE</t>
        </is>
      </c>
      <c r="B4206" s="106" t="inlineStr">
        <is>
          <t>Custo Fixo</t>
        </is>
      </c>
      <c r="C4206" s="106" t="inlineStr">
        <is>
          <t>Gympass</t>
        </is>
      </c>
      <c r="D4206" s="107" t="n"/>
      <c r="E4206" s="108" t="n"/>
      <c r="F4206" s="109">
        <f>IFERROR(D4206*E4206,0)</f>
        <v/>
      </c>
      <c r="G4206" s="106">
        <f>INDEX(SETORES!$B:$B,MATCH(A4206,SETORES!$A:$A,0))</f>
        <v/>
      </c>
      <c r="H4206" s="106" t="inlineStr">
        <is>
          <t>Novembro/2026</t>
        </is>
      </c>
    </row>
    <row r="4207">
      <c r="A4207" s="106" t="inlineStr">
        <is>
          <t>COE</t>
        </is>
      </c>
      <c r="B4207" s="106" t="inlineStr">
        <is>
          <t>Custo Fixo</t>
        </is>
      </c>
      <c r="C4207" s="106" t="inlineStr">
        <is>
          <t>Stargrid</t>
        </is>
      </c>
      <c r="D4207" s="107" t="n">
        <v>11</v>
      </c>
      <c r="E4207" s="108" t="n">
        <v>1.87</v>
      </c>
      <c r="F4207" s="109">
        <f>IFERROR(D4207*E4207,0)</f>
        <v/>
      </c>
      <c r="G4207" s="106">
        <f>INDEX(SETORES!$B:$B,MATCH(A4207,SETORES!$A:$A,0))</f>
        <v/>
      </c>
      <c r="H4207" s="106" t="inlineStr">
        <is>
          <t>Novembro/2026</t>
        </is>
      </c>
    </row>
    <row r="4208">
      <c r="A4208" s="106" t="inlineStr">
        <is>
          <t>COE</t>
        </is>
      </c>
      <c r="B4208" s="106" t="inlineStr">
        <is>
          <t>Custo Fixo</t>
        </is>
      </c>
      <c r="C4208" s="106" t="inlineStr">
        <is>
          <t>Licença de e-mail corporativo</t>
        </is>
      </c>
      <c r="D4208" s="107" t="n">
        <v>11</v>
      </c>
      <c r="E4208" s="108" t="n">
        <v>50</v>
      </c>
      <c r="F4208" s="109">
        <f>IFERROR(D4208*E4208,0)</f>
        <v/>
      </c>
      <c r="G4208" s="106">
        <f>INDEX(SETORES!$B:$B,MATCH(A4208,SETORES!$A:$A,0))</f>
        <v/>
      </c>
      <c r="H4208" s="106" t="inlineStr">
        <is>
          <t>Novembro/2026</t>
        </is>
      </c>
    </row>
    <row r="4209">
      <c r="A4209" s="106" t="inlineStr">
        <is>
          <t>COE</t>
        </is>
      </c>
      <c r="B4209" s="106" t="inlineStr">
        <is>
          <t>Custo Fixo</t>
        </is>
      </c>
      <c r="C4209" s="106" t="inlineStr">
        <is>
          <t>Despesas com RH</t>
        </is>
      </c>
      <c r="D4209" s="107" t="n">
        <v>11</v>
      </c>
      <c r="E4209" s="108" t="n">
        <v>32.55</v>
      </c>
      <c r="F4209" s="109">
        <f>IFERROR(D4209*E4209,0)</f>
        <v/>
      </c>
      <c r="G4209" s="106">
        <f>INDEX(SETORES!$B:$B,MATCH(A4209,SETORES!$A:$A,0))</f>
        <v/>
      </c>
      <c r="H4209" s="106" t="inlineStr">
        <is>
          <t>Novembro/2026</t>
        </is>
      </c>
    </row>
    <row r="4210">
      <c r="A4210" s="106" t="inlineStr">
        <is>
          <t>COE</t>
        </is>
      </c>
      <c r="B4210" s="106" t="inlineStr">
        <is>
          <t>Custo Fixo</t>
        </is>
      </c>
      <c r="C4210" s="106" t="inlineStr">
        <is>
          <t>Despesas com DP</t>
        </is>
      </c>
      <c r="D4210" s="107" t="n">
        <v>11</v>
      </c>
      <c r="E4210" s="108" t="n">
        <v>52.09</v>
      </c>
      <c r="F4210" s="109">
        <f>IFERROR(D4210*E4210,0)</f>
        <v/>
      </c>
      <c r="G4210" s="106">
        <f>INDEX(SETORES!$B:$B,MATCH(A4210,SETORES!$A:$A,0))</f>
        <v/>
      </c>
      <c r="H4210" s="106" t="inlineStr">
        <is>
          <t>Novembro/2026</t>
        </is>
      </c>
    </row>
    <row r="4211">
      <c r="A4211" s="106" t="inlineStr">
        <is>
          <t>COE</t>
        </is>
      </c>
      <c r="B4211" s="106" t="inlineStr">
        <is>
          <t>Custo Fixo</t>
        </is>
      </c>
      <c r="C4211" s="106" t="inlineStr">
        <is>
          <t>Despesas com SST</t>
        </is>
      </c>
      <c r="D4211" s="107" t="n">
        <v>11</v>
      </c>
      <c r="E4211" s="108" t="n">
        <v>52.35</v>
      </c>
      <c r="F4211" s="109">
        <f>IFERROR(D4211*E4211,0)</f>
        <v/>
      </c>
      <c r="G4211" s="106">
        <f>INDEX(SETORES!$B:$B,MATCH(A4211,SETORES!$A:$A,0))</f>
        <v/>
      </c>
      <c r="H4211" s="106" t="inlineStr">
        <is>
          <t>Novembro/2026</t>
        </is>
      </c>
    </row>
    <row r="4212">
      <c r="A4212" s="106" t="inlineStr">
        <is>
          <t>Fique Móvel</t>
        </is>
      </c>
      <c r="B4212" s="106" t="inlineStr">
        <is>
          <t>Custo Fixo</t>
        </is>
      </c>
      <c r="C4212" s="106" t="inlineStr">
        <is>
          <t>Gympass</t>
        </is>
      </c>
      <c r="D4212" s="107" t="n"/>
      <c r="E4212" s="108" t="n"/>
      <c r="F4212" s="109">
        <f>IFERROR(D4212*E4212,0)</f>
        <v/>
      </c>
      <c r="G4212" s="106">
        <f>INDEX(SETORES!$B:$B,MATCH(A4212,SETORES!$A:$A,0))</f>
        <v/>
      </c>
      <c r="H4212" s="106" t="inlineStr">
        <is>
          <t>Novembro/2026</t>
        </is>
      </c>
    </row>
    <row r="4213">
      <c r="A4213" s="106" t="inlineStr">
        <is>
          <t>Fique Móvel</t>
        </is>
      </c>
      <c r="B4213" s="106" t="inlineStr">
        <is>
          <t>Custo Fixo</t>
        </is>
      </c>
      <c r="C4213" s="106" t="inlineStr">
        <is>
          <t>Stargrid</t>
        </is>
      </c>
      <c r="D4213" s="107" t="n">
        <v>3</v>
      </c>
      <c r="E4213" s="108" t="n">
        <v>1.87</v>
      </c>
      <c r="F4213" s="109">
        <f>IFERROR(D4213*E4213,0)</f>
        <v/>
      </c>
      <c r="G4213" s="106">
        <f>INDEX(SETORES!$B:$B,MATCH(A4213,SETORES!$A:$A,0))</f>
        <v/>
      </c>
      <c r="H4213" s="106" t="inlineStr">
        <is>
          <t>Novembro/2026</t>
        </is>
      </c>
    </row>
    <row r="4214">
      <c r="A4214" s="106" t="inlineStr">
        <is>
          <t>Fique Móvel</t>
        </is>
      </c>
      <c r="B4214" s="106" t="inlineStr">
        <is>
          <t>Custo Fixo</t>
        </is>
      </c>
      <c r="C4214" s="106" t="inlineStr">
        <is>
          <t>Licença de e-mail corporativo</t>
        </is>
      </c>
      <c r="D4214" s="107" t="n">
        <v>3</v>
      </c>
      <c r="E4214" s="108" t="n">
        <v>50</v>
      </c>
      <c r="F4214" s="109">
        <f>IFERROR(D4214*E4214,0)</f>
        <v/>
      </c>
      <c r="G4214" s="106">
        <f>INDEX(SETORES!$B:$B,MATCH(A4214,SETORES!$A:$A,0))</f>
        <v/>
      </c>
      <c r="H4214" s="106" t="inlineStr">
        <is>
          <t>Novembro/2026</t>
        </is>
      </c>
    </row>
    <row r="4215">
      <c r="A4215" s="106" t="inlineStr">
        <is>
          <t>Fique Móvel</t>
        </is>
      </c>
      <c r="B4215" s="106" t="inlineStr">
        <is>
          <t>Custo Fixo</t>
        </is>
      </c>
      <c r="C4215" s="106" t="inlineStr">
        <is>
          <t>Despesas com RH</t>
        </is>
      </c>
      <c r="D4215" s="107" t="n">
        <v>3</v>
      </c>
      <c r="E4215" s="108" t="n">
        <v>32.55</v>
      </c>
      <c r="F4215" s="109">
        <f>IFERROR(D4215*E4215,0)</f>
        <v/>
      </c>
      <c r="G4215" s="106">
        <f>INDEX(SETORES!$B:$B,MATCH(A4215,SETORES!$A:$A,0))</f>
        <v/>
      </c>
      <c r="H4215" s="106" t="inlineStr">
        <is>
          <t>Novembro/2026</t>
        </is>
      </c>
    </row>
    <row r="4216">
      <c r="A4216" s="106" t="inlineStr">
        <is>
          <t>Fique Móvel</t>
        </is>
      </c>
      <c r="B4216" s="106" t="inlineStr">
        <is>
          <t>Custo Fixo</t>
        </is>
      </c>
      <c r="C4216" s="106" t="inlineStr">
        <is>
          <t>Despesas com DP</t>
        </is>
      </c>
      <c r="D4216" s="107" t="n">
        <v>3</v>
      </c>
      <c r="E4216" s="108" t="n">
        <v>52.09</v>
      </c>
      <c r="F4216" s="109">
        <f>IFERROR(D4216*E4216,0)</f>
        <v/>
      </c>
      <c r="G4216" s="106">
        <f>INDEX(SETORES!$B:$B,MATCH(A4216,SETORES!$A:$A,0))</f>
        <v/>
      </c>
      <c r="H4216" s="106" t="inlineStr">
        <is>
          <t>Novembro/2026</t>
        </is>
      </c>
    </row>
    <row r="4217">
      <c r="A4217" s="106" t="inlineStr">
        <is>
          <t>Fique Móvel</t>
        </is>
      </c>
      <c r="B4217" s="106" t="inlineStr">
        <is>
          <t>Custo Fixo</t>
        </is>
      </c>
      <c r="C4217" s="106" t="inlineStr">
        <is>
          <t>Despesas com SST</t>
        </is>
      </c>
      <c r="D4217" s="107" t="n">
        <v>3</v>
      </c>
      <c r="E4217" s="108" t="n">
        <v>52.35</v>
      </c>
      <c r="F4217" s="109">
        <f>IFERROR(D4217*E4217,0)</f>
        <v/>
      </c>
      <c r="G4217" s="106">
        <f>INDEX(SETORES!$B:$B,MATCH(A4217,SETORES!$A:$A,0))</f>
        <v/>
      </c>
      <c r="H4217" s="106" t="inlineStr">
        <is>
          <t>Novembro/2026</t>
        </is>
      </c>
    </row>
    <row r="4218">
      <c r="A4218" s="106" t="inlineStr">
        <is>
          <t>Lançamento</t>
        </is>
      </c>
      <c r="B4218" s="106" t="inlineStr">
        <is>
          <t>Custo Fixo</t>
        </is>
      </c>
      <c r="C4218" s="106" t="inlineStr">
        <is>
          <t>Gympass</t>
        </is>
      </c>
      <c r="D4218" s="107" t="n"/>
      <c r="E4218" s="108" t="n"/>
      <c r="F4218" s="109">
        <f>IFERROR(D4218*E4218,0)</f>
        <v/>
      </c>
      <c r="G4218" s="106">
        <f>INDEX(SETORES!$B:$B,MATCH(A4218,SETORES!$A:$A,0))</f>
        <v/>
      </c>
      <c r="H4218" s="106" t="inlineStr">
        <is>
          <t>Novembro/2026</t>
        </is>
      </c>
    </row>
    <row r="4219">
      <c r="A4219" s="106" t="inlineStr">
        <is>
          <t>Lançamento</t>
        </is>
      </c>
      <c r="B4219" s="106" t="inlineStr">
        <is>
          <t>Custo Fixo</t>
        </is>
      </c>
      <c r="C4219" s="106" t="inlineStr">
        <is>
          <t>Stargrid</t>
        </is>
      </c>
      <c r="D4219" s="107" t="n">
        <v>24</v>
      </c>
      <c r="E4219" s="108" t="n">
        <v>1.87</v>
      </c>
      <c r="F4219" s="109">
        <f>IFERROR(D4219*E4219,0)</f>
        <v/>
      </c>
      <c r="G4219" s="106">
        <f>INDEX(SETORES!$B:$B,MATCH(A4219,SETORES!$A:$A,0))</f>
        <v/>
      </c>
      <c r="H4219" s="106" t="inlineStr">
        <is>
          <t>Novembro/2026</t>
        </is>
      </c>
    </row>
    <row r="4220">
      <c r="A4220" s="106" t="inlineStr">
        <is>
          <t>Lançamento</t>
        </is>
      </c>
      <c r="B4220" s="106" t="inlineStr">
        <is>
          <t>Custo Fixo</t>
        </is>
      </c>
      <c r="C4220" s="106" t="inlineStr">
        <is>
          <t>Licença de e-mail corporativo</t>
        </is>
      </c>
      <c r="D4220" s="107" t="n">
        <v>24</v>
      </c>
      <c r="E4220" s="108" t="n">
        <v>50</v>
      </c>
      <c r="F4220" s="109">
        <f>IFERROR(D4220*E4220,0)</f>
        <v/>
      </c>
      <c r="G4220" s="106">
        <f>INDEX(SETORES!$B:$B,MATCH(A4220,SETORES!$A:$A,0))</f>
        <v/>
      </c>
      <c r="H4220" s="106" t="inlineStr">
        <is>
          <t>Novembro/2026</t>
        </is>
      </c>
    </row>
    <row r="4221">
      <c r="A4221" s="106" t="inlineStr">
        <is>
          <t>Lançamento</t>
        </is>
      </c>
      <c r="B4221" s="106" t="inlineStr">
        <is>
          <t>Custo Fixo</t>
        </is>
      </c>
      <c r="C4221" s="106" t="inlineStr">
        <is>
          <t>Despesas com RH</t>
        </is>
      </c>
      <c r="D4221" s="107" t="n">
        <v>24</v>
      </c>
      <c r="E4221" s="108" t="n">
        <v>32.55</v>
      </c>
      <c r="F4221" s="109">
        <f>IFERROR(D4221*E4221,0)</f>
        <v/>
      </c>
      <c r="G4221" s="106">
        <f>INDEX(SETORES!$B:$B,MATCH(A4221,SETORES!$A:$A,0))</f>
        <v/>
      </c>
      <c r="H4221" s="106" t="inlineStr">
        <is>
          <t>Novembro/2026</t>
        </is>
      </c>
    </row>
    <row r="4222">
      <c r="A4222" s="106" t="inlineStr">
        <is>
          <t>Lançamento</t>
        </is>
      </c>
      <c r="B4222" s="106" t="inlineStr">
        <is>
          <t>Custo Fixo</t>
        </is>
      </c>
      <c r="C4222" s="106" t="inlineStr">
        <is>
          <t>Despesas com DP</t>
        </is>
      </c>
      <c r="D4222" s="107" t="n">
        <v>24</v>
      </c>
      <c r="E4222" s="108" t="n">
        <v>52.09</v>
      </c>
      <c r="F4222" s="109">
        <f>IFERROR(D4222*E4222,0)</f>
        <v/>
      </c>
      <c r="G4222" s="106">
        <f>INDEX(SETORES!$B:$B,MATCH(A4222,SETORES!$A:$A,0))</f>
        <v/>
      </c>
      <c r="H4222" s="106" t="inlineStr">
        <is>
          <t>Novembro/2026</t>
        </is>
      </c>
    </row>
    <row r="4223">
      <c r="A4223" s="106" t="inlineStr">
        <is>
          <t>Lançamento</t>
        </is>
      </c>
      <c r="B4223" s="106" t="inlineStr">
        <is>
          <t>Custo Fixo</t>
        </is>
      </c>
      <c r="C4223" s="106" t="inlineStr">
        <is>
          <t>Despesas com SST</t>
        </is>
      </c>
      <c r="D4223" s="107" t="n">
        <v>24</v>
      </c>
      <c r="E4223" s="108" t="n">
        <v>52.35</v>
      </c>
      <c r="F4223" s="109">
        <f>IFERROR(D4223*E4223,0)</f>
        <v/>
      </c>
      <c r="G4223" s="106">
        <f>INDEX(SETORES!$B:$B,MATCH(A4223,SETORES!$A:$A,0))</f>
        <v/>
      </c>
      <c r="H4223" s="106" t="inlineStr">
        <is>
          <t>Novembro/2026</t>
        </is>
      </c>
    </row>
    <row r="4224">
      <c r="A4224" s="106" t="inlineStr">
        <is>
          <t>Fusão</t>
        </is>
      </c>
      <c r="B4224" s="106" t="inlineStr">
        <is>
          <t>Custo Fixo</t>
        </is>
      </c>
      <c r="C4224" s="106" t="inlineStr">
        <is>
          <t>Gympass</t>
        </is>
      </c>
      <c r="D4224" s="107" t="n"/>
      <c r="E4224" s="108" t="n"/>
      <c r="F4224" s="109">
        <f>IFERROR(D4224*E4224,0)</f>
        <v/>
      </c>
      <c r="G4224" s="106">
        <f>INDEX(SETORES!$B:$B,MATCH(A4224,SETORES!$A:$A,0))</f>
        <v/>
      </c>
      <c r="H4224" s="106" t="inlineStr">
        <is>
          <t>Novembro/2026</t>
        </is>
      </c>
    </row>
    <row r="4225">
      <c r="A4225" s="106" t="inlineStr">
        <is>
          <t>Fusão</t>
        </is>
      </c>
      <c r="B4225" s="106" t="inlineStr">
        <is>
          <t>Custo Fixo</t>
        </is>
      </c>
      <c r="C4225" s="106" t="inlineStr">
        <is>
          <t>Stargrid</t>
        </is>
      </c>
      <c r="D4225" s="107" t="n">
        <v>10</v>
      </c>
      <c r="E4225" s="108" t="n">
        <v>1.87</v>
      </c>
      <c r="F4225" s="109">
        <f>IFERROR(D4225*E4225,0)</f>
        <v/>
      </c>
      <c r="G4225" s="106">
        <f>INDEX(SETORES!$B:$B,MATCH(A4225,SETORES!$A:$A,0))</f>
        <v/>
      </c>
      <c r="H4225" s="106" t="inlineStr">
        <is>
          <t>Novembro/2026</t>
        </is>
      </c>
    </row>
    <row r="4226">
      <c r="A4226" s="106" t="inlineStr">
        <is>
          <t>Fusão</t>
        </is>
      </c>
      <c r="B4226" s="106" t="inlineStr">
        <is>
          <t>Custo Fixo</t>
        </is>
      </c>
      <c r="C4226" s="106" t="inlineStr">
        <is>
          <t>Licença de e-mail corporativo</t>
        </is>
      </c>
      <c r="D4226" s="107" t="n">
        <v>10</v>
      </c>
      <c r="E4226" s="108" t="n">
        <v>50</v>
      </c>
      <c r="F4226" s="109">
        <f>IFERROR(D4226*E4226,0)</f>
        <v/>
      </c>
      <c r="G4226" s="106">
        <f>INDEX(SETORES!$B:$B,MATCH(A4226,SETORES!$A:$A,0))</f>
        <v/>
      </c>
      <c r="H4226" s="106" t="inlineStr">
        <is>
          <t>Novembro/2026</t>
        </is>
      </c>
    </row>
    <row r="4227">
      <c r="A4227" s="106" t="inlineStr">
        <is>
          <t>Fusão</t>
        </is>
      </c>
      <c r="B4227" s="106" t="inlineStr">
        <is>
          <t>Custo Fixo</t>
        </is>
      </c>
      <c r="C4227" s="106" t="inlineStr">
        <is>
          <t>Despesas com RH</t>
        </is>
      </c>
      <c r="D4227" s="107" t="n">
        <v>10</v>
      </c>
      <c r="E4227" s="108" t="n">
        <v>32.55</v>
      </c>
      <c r="F4227" s="109">
        <f>IFERROR(D4227*E4227,0)</f>
        <v/>
      </c>
      <c r="G4227" s="106">
        <f>INDEX(SETORES!$B:$B,MATCH(A4227,SETORES!$A:$A,0))</f>
        <v/>
      </c>
      <c r="H4227" s="106" t="inlineStr">
        <is>
          <t>Novembro/2026</t>
        </is>
      </c>
    </row>
    <row r="4228">
      <c r="A4228" s="106" t="inlineStr">
        <is>
          <t>Fusão</t>
        </is>
      </c>
      <c r="B4228" s="106" t="inlineStr">
        <is>
          <t>Custo Fixo</t>
        </is>
      </c>
      <c r="C4228" s="106" t="inlineStr">
        <is>
          <t>Despesas com DP</t>
        </is>
      </c>
      <c r="D4228" s="107" t="n">
        <v>10</v>
      </c>
      <c r="E4228" s="108" t="n">
        <v>52.09</v>
      </c>
      <c r="F4228" s="109">
        <f>IFERROR(D4228*E4228,0)</f>
        <v/>
      </c>
      <c r="G4228" s="106">
        <f>INDEX(SETORES!$B:$B,MATCH(A4228,SETORES!$A:$A,0))</f>
        <v/>
      </c>
      <c r="H4228" s="106" t="inlineStr">
        <is>
          <t>Novembro/2026</t>
        </is>
      </c>
    </row>
    <row r="4229">
      <c r="A4229" s="106" t="inlineStr">
        <is>
          <t>Fusão</t>
        </is>
      </c>
      <c r="B4229" s="106" t="inlineStr">
        <is>
          <t>Custo Fixo</t>
        </is>
      </c>
      <c r="C4229" s="106" t="inlineStr">
        <is>
          <t>Despesas com SST</t>
        </is>
      </c>
      <c r="D4229" s="107" t="n">
        <v>10</v>
      </c>
      <c r="E4229" s="108" t="n">
        <v>52.35</v>
      </c>
      <c r="F4229" s="109">
        <f>IFERROR(D4229*E4229,0)</f>
        <v/>
      </c>
      <c r="G4229" s="106">
        <f>INDEX(SETORES!$B:$B,MATCH(A4229,SETORES!$A:$A,0))</f>
        <v/>
      </c>
      <c r="H4229" s="106" t="inlineStr">
        <is>
          <t>Novembro/2026</t>
        </is>
      </c>
    </row>
    <row r="4230">
      <c r="A4230" s="106" t="inlineStr">
        <is>
          <t>Diretoria Adm</t>
        </is>
      </c>
      <c r="B4230" s="106" t="inlineStr">
        <is>
          <t>Custo Fixo</t>
        </is>
      </c>
      <c r="C4230" s="106" t="inlineStr">
        <is>
          <t>Gympass</t>
        </is>
      </c>
      <c r="D4230" s="107" t="n"/>
      <c r="E4230" s="108" t="n"/>
      <c r="F4230" s="109">
        <f>IFERROR(D4230*E4230,0)</f>
        <v/>
      </c>
      <c r="G4230" s="106">
        <f>INDEX(SETORES!$B:$B,MATCH(A4230,SETORES!$A:$A,0))</f>
        <v/>
      </c>
      <c r="H4230" s="106" t="inlineStr">
        <is>
          <t>Novembro/2026</t>
        </is>
      </c>
    </row>
    <row r="4231">
      <c r="A4231" s="106" t="inlineStr">
        <is>
          <t>Diretoria Adm</t>
        </is>
      </c>
      <c r="B4231" s="106" t="inlineStr">
        <is>
          <t>Custo Fixo</t>
        </is>
      </c>
      <c r="C4231" s="106" t="inlineStr">
        <is>
          <t>Stargrid</t>
        </is>
      </c>
      <c r="D4231" s="107" t="n">
        <v>2</v>
      </c>
      <c r="E4231" s="108" t="n">
        <v>1.87</v>
      </c>
      <c r="F4231" s="109">
        <f>IFERROR(D4231*E4231,0)</f>
        <v/>
      </c>
      <c r="G4231" s="106">
        <f>INDEX(SETORES!$B:$B,MATCH(A4231,SETORES!$A:$A,0))</f>
        <v/>
      </c>
      <c r="H4231" s="106" t="inlineStr">
        <is>
          <t>Novembro/2026</t>
        </is>
      </c>
    </row>
    <row r="4232">
      <c r="A4232" s="106" t="inlineStr">
        <is>
          <t>Diretoria Adm</t>
        </is>
      </c>
      <c r="B4232" s="106" t="inlineStr">
        <is>
          <t>Custo Fixo</t>
        </is>
      </c>
      <c r="C4232" s="106" t="inlineStr">
        <is>
          <t>Licença de e-mail corporativo</t>
        </is>
      </c>
      <c r="D4232" s="107" t="n">
        <v>2</v>
      </c>
      <c r="E4232" s="108" t="n">
        <v>50</v>
      </c>
      <c r="F4232" s="109">
        <f>IFERROR(D4232*E4232,0)</f>
        <v/>
      </c>
      <c r="G4232" s="106">
        <f>INDEX(SETORES!$B:$B,MATCH(A4232,SETORES!$A:$A,0))</f>
        <v/>
      </c>
      <c r="H4232" s="106" t="inlineStr">
        <is>
          <t>Novembro/2026</t>
        </is>
      </c>
    </row>
    <row r="4233">
      <c r="A4233" s="106" t="inlineStr">
        <is>
          <t>Diretoria Adm</t>
        </is>
      </c>
      <c r="B4233" s="106" t="inlineStr">
        <is>
          <t>Custo Fixo</t>
        </is>
      </c>
      <c r="C4233" s="106" t="inlineStr">
        <is>
          <t>Despesas com RH</t>
        </is>
      </c>
      <c r="D4233" s="107" t="n">
        <v>2</v>
      </c>
      <c r="E4233" s="108" t="n">
        <v>32.55</v>
      </c>
      <c r="F4233" s="109">
        <f>IFERROR(D4233*E4233,0)</f>
        <v/>
      </c>
      <c r="G4233" s="106">
        <f>INDEX(SETORES!$B:$B,MATCH(A4233,SETORES!$A:$A,0))</f>
        <v/>
      </c>
      <c r="H4233" s="106" t="inlineStr">
        <is>
          <t>Novembro/2026</t>
        </is>
      </c>
    </row>
    <row r="4234">
      <c r="A4234" s="106" t="inlineStr">
        <is>
          <t>Diretoria Adm</t>
        </is>
      </c>
      <c r="B4234" s="106" t="inlineStr">
        <is>
          <t>Custo Fixo</t>
        </is>
      </c>
      <c r="C4234" s="106" t="inlineStr">
        <is>
          <t>Despesas com DP</t>
        </is>
      </c>
      <c r="D4234" s="107" t="n">
        <v>2</v>
      </c>
      <c r="E4234" s="108" t="n">
        <v>52.09</v>
      </c>
      <c r="F4234" s="109">
        <f>IFERROR(D4234*E4234,0)</f>
        <v/>
      </c>
      <c r="G4234" s="106">
        <f>INDEX(SETORES!$B:$B,MATCH(A4234,SETORES!$A:$A,0))</f>
        <v/>
      </c>
      <c r="H4234" s="106" t="inlineStr">
        <is>
          <t>Novembro/2026</t>
        </is>
      </c>
    </row>
    <row r="4235">
      <c r="A4235" s="106" t="inlineStr">
        <is>
          <t>Diretoria Adm</t>
        </is>
      </c>
      <c r="B4235" s="106" t="inlineStr">
        <is>
          <t>Custo Fixo</t>
        </is>
      </c>
      <c r="C4235" s="106" t="inlineStr">
        <is>
          <t>Despesas com SST</t>
        </is>
      </c>
      <c r="D4235" s="107" t="n">
        <v>2</v>
      </c>
      <c r="E4235" s="108" t="n">
        <v>52.35</v>
      </c>
      <c r="F4235" s="109">
        <f>IFERROR(D4235*E4235,0)</f>
        <v/>
      </c>
      <c r="G4235" s="106">
        <f>INDEX(SETORES!$B:$B,MATCH(A4235,SETORES!$A:$A,0))</f>
        <v/>
      </c>
      <c r="H4235" s="106" t="inlineStr">
        <is>
          <t>Novembro/2026</t>
        </is>
      </c>
    </row>
    <row r="4236">
      <c r="A4236" s="106" t="inlineStr">
        <is>
          <t>TIC</t>
        </is>
      </c>
      <c r="B4236" s="106" t="inlineStr">
        <is>
          <t>Custo Fixo</t>
        </is>
      </c>
      <c r="C4236" s="106" t="inlineStr">
        <is>
          <t>Impressora</t>
        </is>
      </c>
      <c r="D4236" s="107" t="n"/>
      <c r="E4236" s="108" t="n"/>
      <c r="F4236" s="109">
        <f>IFERROR(D4236*E4236,0)</f>
        <v/>
      </c>
      <c r="G4236" s="106">
        <f>INDEX(SETORES!$B:$B,MATCH(A4236,SETORES!$A:$A,0))</f>
        <v/>
      </c>
      <c r="H4236" s="106" t="inlineStr">
        <is>
          <t>Novembro/2026</t>
        </is>
      </c>
    </row>
    <row r="4237">
      <c r="A4237" s="106" t="inlineStr">
        <is>
          <t>Marketing</t>
        </is>
      </c>
      <c r="B4237" s="106" t="inlineStr">
        <is>
          <t>Custo Fixo</t>
        </is>
      </c>
      <c r="C4237" s="106" t="inlineStr">
        <is>
          <t>Impressora</t>
        </is>
      </c>
      <c r="D4237" s="107" t="n"/>
      <c r="E4237" s="108" t="n"/>
      <c r="F4237" s="109">
        <f>IFERROR(D4237*E4237,0)</f>
        <v/>
      </c>
      <c r="G4237" s="106">
        <f>INDEX(SETORES!$B:$B,MATCH(A4237,SETORES!$A:$A,0))</f>
        <v/>
      </c>
      <c r="H4237" s="106" t="inlineStr">
        <is>
          <t>Novembro/2026</t>
        </is>
      </c>
    </row>
    <row r="4238">
      <c r="A4238" s="106" t="inlineStr">
        <is>
          <t>NOC</t>
        </is>
      </c>
      <c r="B4238" s="106" t="inlineStr">
        <is>
          <t>Custo Fixo</t>
        </is>
      </c>
      <c r="C4238" s="106" t="inlineStr">
        <is>
          <t>Impressora</t>
        </is>
      </c>
      <c r="D4238" s="107" t="n"/>
      <c r="E4238" s="108" t="n"/>
      <c r="F4238" s="109">
        <f>IFERROR(D4238*E4238,0)</f>
        <v/>
      </c>
      <c r="G4238" s="106">
        <f>INDEX(SETORES!$B:$B,MATCH(A4238,SETORES!$A:$A,0))</f>
        <v/>
      </c>
      <c r="H4238" s="106" t="inlineStr">
        <is>
          <t>Novembro/2026</t>
        </is>
      </c>
    </row>
    <row r="4239">
      <c r="A4239" s="106" t="inlineStr">
        <is>
          <t>COE</t>
        </is>
      </c>
      <c r="B4239" s="106" t="inlineStr">
        <is>
          <t>Custo Fixo</t>
        </is>
      </c>
      <c r="C4239" s="106" t="inlineStr">
        <is>
          <t>Impressora</t>
        </is>
      </c>
      <c r="D4239" s="107" t="n"/>
      <c r="E4239" s="108" t="n"/>
      <c r="F4239" s="109">
        <f>IFERROR(D4239*E4239,0)</f>
        <v/>
      </c>
      <c r="G4239" s="106">
        <f>INDEX(SETORES!$B:$B,MATCH(A4239,SETORES!$A:$A,0))</f>
        <v/>
      </c>
      <c r="H4239" s="106" t="inlineStr">
        <is>
          <t>Novembro/2026</t>
        </is>
      </c>
    </row>
    <row r="4240">
      <c r="A4240" s="106" t="inlineStr">
        <is>
          <t>Oficina</t>
        </is>
      </c>
      <c r="B4240" s="106" t="inlineStr">
        <is>
          <t>Custo Fixo</t>
        </is>
      </c>
      <c r="C4240" s="106" t="inlineStr">
        <is>
          <t>Impressora</t>
        </is>
      </c>
      <c r="D4240" s="107" t="n"/>
      <c r="E4240" s="108" t="n"/>
      <c r="F4240" s="109">
        <f>IFERROR(D4240*E4240,0)</f>
        <v/>
      </c>
      <c r="G4240" s="106">
        <f>INDEX(SETORES!$B:$B,MATCH(A4240,SETORES!$A:$A,0))</f>
        <v/>
      </c>
      <c r="H4240" s="106" t="inlineStr">
        <is>
          <t>Novembro/2026</t>
        </is>
      </c>
    </row>
    <row r="4241">
      <c r="A4241" s="106" t="inlineStr">
        <is>
          <t>Jurídico</t>
        </is>
      </c>
      <c r="B4241" s="106" t="inlineStr">
        <is>
          <t>Custo Fixo</t>
        </is>
      </c>
      <c r="C4241" s="106" t="inlineStr">
        <is>
          <t>Impressora</t>
        </is>
      </c>
      <c r="D4241" s="107" t="n"/>
      <c r="E4241" s="108" t="n"/>
      <c r="F4241" s="109">
        <f>IFERROR(D4241*E4241,0)</f>
        <v/>
      </c>
      <c r="G4241" s="106">
        <f>INDEX(SETORES!$B:$B,MATCH(A4241,SETORES!$A:$A,0))</f>
        <v/>
      </c>
      <c r="H4241" s="106" t="inlineStr">
        <is>
          <t>Novembro/2026</t>
        </is>
      </c>
    </row>
    <row r="4242">
      <c r="A4242" s="106" t="inlineStr">
        <is>
          <t>Controladoria</t>
        </is>
      </c>
      <c r="B4242" s="106" t="inlineStr">
        <is>
          <t>Custo Fixo</t>
        </is>
      </c>
      <c r="C4242" s="106" t="inlineStr">
        <is>
          <t>Licença de e-mail corporativo</t>
        </is>
      </c>
      <c r="D4242" s="107" t="n"/>
      <c r="E4242" s="108" t="n"/>
      <c r="F4242" s="109">
        <f>IFERROR(D4242*E4242,0)</f>
        <v/>
      </c>
      <c r="G4242" s="106">
        <f>INDEX(SETORES!$B:$B,MATCH(A4242,SETORES!$A:$A,0))</f>
        <v/>
      </c>
      <c r="H4242" s="106" t="inlineStr">
        <is>
          <t>Novembro/2026</t>
        </is>
      </c>
    </row>
    <row r="4243">
      <c r="A4243" s="106" t="inlineStr">
        <is>
          <t>Jurídico</t>
        </is>
      </c>
      <c r="B4243" s="106" t="inlineStr">
        <is>
          <t>Custo Fixo</t>
        </is>
      </c>
      <c r="C4243" s="106" t="inlineStr">
        <is>
          <t>Consultoria Jurídica</t>
        </is>
      </c>
      <c r="D4243" s="107" t="n">
        <v>1</v>
      </c>
      <c r="E4243" s="108" t="n">
        <v>7500</v>
      </c>
      <c r="F4243" s="109">
        <f>IFERROR(D4243*E4243,0)</f>
        <v/>
      </c>
      <c r="G4243" s="106">
        <f>INDEX(SETORES!$B:$B,MATCH(A4243,SETORES!$A:$A,0))</f>
        <v/>
      </c>
      <c r="H4243" s="106" t="inlineStr">
        <is>
          <t>Novembro/2026</t>
        </is>
      </c>
    </row>
    <row r="4244">
      <c r="A4244" s="106" t="inlineStr">
        <is>
          <t>Cozinha</t>
        </is>
      </c>
      <c r="B4244" s="106" t="inlineStr">
        <is>
          <t>Custo Fixo</t>
        </is>
      </c>
      <c r="C4244" s="106" t="inlineStr">
        <is>
          <t>Folha de pagamento (salários)</t>
        </is>
      </c>
      <c r="D4244" s="107" t="n">
        <v>1</v>
      </c>
      <c r="E4244" s="108" t="n">
        <v>23971.48</v>
      </c>
      <c r="F4244" s="109">
        <f>IFERROR(D4244*E4244,0)</f>
        <v/>
      </c>
      <c r="G4244" s="106">
        <f>INDEX(SETORES!$B:$B,MATCH(A4244,SETORES!$A:$A,0))</f>
        <v/>
      </c>
      <c r="H4244" s="106" t="inlineStr">
        <is>
          <t>Novembro/2026</t>
        </is>
      </c>
    </row>
    <row r="4245">
      <c r="A4245" s="106" t="inlineStr">
        <is>
          <t>Cozinha</t>
        </is>
      </c>
      <c r="B4245" s="106" t="inlineStr">
        <is>
          <t>Custo Fixo</t>
        </is>
      </c>
      <c r="C4245" s="106" t="inlineStr">
        <is>
          <t>Licença de e-mail corporativo</t>
        </is>
      </c>
      <c r="D4245" s="107" t="n">
        <v>4</v>
      </c>
      <c r="E4245" s="108" t="n">
        <v>50</v>
      </c>
      <c r="F4245" s="109">
        <f>IFERROR(D4245*E4245,0)</f>
        <v/>
      </c>
      <c r="G4245" s="106">
        <f>INDEX(SETORES!$B:$B,MATCH(A4245,SETORES!$A:$A,0))</f>
        <v/>
      </c>
      <c r="H4245" s="106" t="inlineStr">
        <is>
          <t>Novembro/2026</t>
        </is>
      </c>
    </row>
    <row r="4246">
      <c r="A4246" s="106" t="inlineStr">
        <is>
          <t>COE</t>
        </is>
      </c>
      <c r="B4246" s="106" t="inlineStr">
        <is>
          <t>Custo Variável</t>
        </is>
      </c>
      <c r="C4246" s="106" t="inlineStr">
        <is>
          <t>Rateio de transporte coletivo</t>
        </is>
      </c>
      <c r="D4246" s="107" t="n"/>
      <c r="E4246" s="108" t="n"/>
      <c r="F4246" s="109">
        <f>IFERROR(D4246*E4246,0)</f>
        <v/>
      </c>
      <c r="G4246" s="106">
        <f>INDEX(SETORES!$B:$B,MATCH(A4246,SETORES!$A:$A,0))</f>
        <v/>
      </c>
      <c r="H4246" s="106" t="inlineStr">
        <is>
          <t>Novembro/2026</t>
        </is>
      </c>
    </row>
    <row r="4247">
      <c r="A4247" s="106" t="inlineStr">
        <is>
          <t>Cozinha</t>
        </is>
      </c>
      <c r="B4247" s="106" t="inlineStr">
        <is>
          <t>Custo Variável</t>
        </is>
      </c>
      <c r="C4247" s="106" t="inlineStr">
        <is>
          <t>Rateio de transporte coletivo</t>
        </is>
      </c>
      <c r="D4247" s="107" t="n"/>
      <c r="E4247" s="108" t="n"/>
      <c r="F4247" s="109">
        <f>IFERROR(D4247*E4247,0)</f>
        <v/>
      </c>
      <c r="G4247" s="106">
        <f>INDEX(SETORES!$B:$B,MATCH(A4247,SETORES!$A:$A,0))</f>
        <v/>
      </c>
      <c r="H4247" s="106" t="inlineStr">
        <is>
          <t>Novembro/2026</t>
        </is>
      </c>
    </row>
    <row r="4248">
      <c r="A4248" s="106" t="inlineStr">
        <is>
          <t>COE</t>
        </is>
      </c>
      <c r="B4248" s="106" t="inlineStr">
        <is>
          <t>Custo Fixo</t>
        </is>
      </c>
      <c r="C4248" s="106" t="inlineStr">
        <is>
          <t>Energia elétrica (rateio)</t>
        </is>
      </c>
      <c r="D4248" s="107" t="n"/>
      <c r="E4248" s="108" t="n"/>
      <c r="F4248" s="109">
        <f>IFERROR(D4248*E4248,0)</f>
        <v/>
      </c>
      <c r="G4248" s="106">
        <f>INDEX(SETORES!$B:$B,MATCH(A4248,SETORES!$A:$A,0))</f>
        <v/>
      </c>
      <c r="H4248" s="106" t="inlineStr">
        <is>
          <t>Novembro/2026</t>
        </is>
      </c>
    </row>
    <row r="4249">
      <c r="A4249" s="106" t="inlineStr">
        <is>
          <t>COE</t>
        </is>
      </c>
      <c r="B4249" s="106" t="inlineStr">
        <is>
          <t>Custo Fixo</t>
        </is>
      </c>
      <c r="C4249" s="106" t="inlineStr">
        <is>
          <t>Água e esgoto (rateio)</t>
        </is>
      </c>
      <c r="D4249" s="107" t="n"/>
      <c r="E4249" s="108" t="n"/>
      <c r="F4249" s="109">
        <f>IFERROR(D4249*E4249,0)</f>
        <v/>
      </c>
      <c r="G4249" s="106">
        <f>INDEX(SETORES!$B:$B,MATCH(A4249,SETORES!$A:$A,0))</f>
        <v/>
      </c>
      <c r="H4249" s="106" t="inlineStr">
        <is>
          <t>Novembro/2026</t>
        </is>
      </c>
    </row>
    <row r="4250">
      <c r="A4250" s="106" t="inlineStr">
        <is>
          <t>Cozinha</t>
        </is>
      </c>
      <c r="B4250" s="106" t="inlineStr">
        <is>
          <t>Custo Fixo</t>
        </is>
      </c>
      <c r="C4250" s="106" t="inlineStr">
        <is>
          <t>Energia elétrica (rateio)</t>
        </is>
      </c>
      <c r="D4250" s="107" t="n"/>
      <c r="E4250" s="108" t="n"/>
      <c r="F4250" s="109">
        <f>IFERROR(D4250*E4250,0)</f>
        <v/>
      </c>
      <c r="G4250" s="106">
        <f>INDEX(SETORES!$B:$B,MATCH(A4250,SETORES!$A:$A,0))</f>
        <v/>
      </c>
      <c r="H4250" s="106" t="inlineStr">
        <is>
          <t>Novembro/2026</t>
        </is>
      </c>
    </row>
    <row r="4251">
      <c r="A4251" s="106" t="inlineStr">
        <is>
          <t>Cozinha</t>
        </is>
      </c>
      <c r="B4251" s="106" t="inlineStr">
        <is>
          <t>Custo Fixo</t>
        </is>
      </c>
      <c r="C4251" s="106" t="inlineStr">
        <is>
          <t>Água e esgoto (rateio)</t>
        </is>
      </c>
      <c r="D4251" s="107" t="n"/>
      <c r="E4251" s="108" t="n"/>
      <c r="F4251" s="109">
        <f>IFERROR(D4251*E4251,0)</f>
        <v/>
      </c>
      <c r="G4251" s="106">
        <f>INDEX(SETORES!$B:$B,MATCH(A4251,SETORES!$A:$A,0))</f>
        <v/>
      </c>
      <c r="H4251" s="106" t="inlineStr">
        <is>
          <t>Novembro/2026</t>
        </is>
      </c>
    </row>
    <row r="4252">
      <c r="A4252" s="106" t="inlineStr">
        <is>
          <t>COE</t>
        </is>
      </c>
      <c r="B4252" s="106" t="inlineStr">
        <is>
          <t>Custo Variável</t>
        </is>
      </c>
      <c r="C4252" s="106" t="inlineStr">
        <is>
          <t>Rescisões trabalhistas</t>
        </is>
      </c>
      <c r="D4252" s="107" t="n"/>
      <c r="E4252" s="108" t="n"/>
      <c r="F4252" s="109">
        <f>IFERROR(D4252*E4252,0)</f>
        <v/>
      </c>
      <c r="G4252" s="106">
        <f>INDEX(SETORES!$B:$B,MATCH(A4252,SETORES!$A:$A,0))</f>
        <v/>
      </c>
      <c r="H4252" s="106" t="inlineStr">
        <is>
          <t>Novembro/2026</t>
        </is>
      </c>
    </row>
    <row r="4253">
      <c r="A4253" s="106" t="inlineStr">
        <is>
          <t>Compras</t>
        </is>
      </c>
      <c r="B4253" s="106" t="inlineStr">
        <is>
          <t>Custo Variável</t>
        </is>
      </c>
      <c r="C4253" s="106" t="inlineStr">
        <is>
          <t>Rescisões trabalhistas</t>
        </is>
      </c>
      <c r="D4253" s="107" t="n"/>
      <c r="E4253" s="108" t="n"/>
      <c r="F4253" s="109">
        <f>IFERROR(D4253*E4253,0)</f>
        <v/>
      </c>
      <c r="G4253" s="106">
        <f>INDEX(SETORES!$B:$B,MATCH(A4253,SETORES!$A:$A,0))</f>
        <v/>
      </c>
      <c r="H4253" s="106" t="inlineStr">
        <is>
          <t>Novembro/2026</t>
        </is>
      </c>
    </row>
    <row r="4254">
      <c r="A4254" s="106" t="inlineStr">
        <is>
          <t>Controladoria</t>
        </is>
      </c>
      <c r="B4254" s="106" t="inlineStr">
        <is>
          <t>Custo Variável</t>
        </is>
      </c>
      <c r="C4254" s="106" t="inlineStr">
        <is>
          <t>Rescisões trabalhistas</t>
        </is>
      </c>
      <c r="D4254" s="107" t="n"/>
      <c r="E4254" s="108" t="n"/>
      <c r="F4254" s="109">
        <f>IFERROR(D4254*E4254,0)</f>
        <v/>
      </c>
      <c r="G4254" s="106">
        <f>INDEX(SETORES!$B:$B,MATCH(A4254,SETORES!$A:$A,0))</f>
        <v/>
      </c>
      <c r="H4254" s="106" t="inlineStr">
        <is>
          <t>Novembro/2026</t>
        </is>
      </c>
    </row>
    <row r="4255">
      <c r="A4255" s="106" t="inlineStr">
        <is>
          <t>Cozinha</t>
        </is>
      </c>
      <c r="B4255" s="106" t="inlineStr">
        <is>
          <t>Custo Variável</t>
        </is>
      </c>
      <c r="C4255" s="106" t="inlineStr">
        <is>
          <t>Rescisões trabalhistas</t>
        </is>
      </c>
      <c r="D4255" s="107" t="n"/>
      <c r="E4255" s="108" t="n"/>
      <c r="F4255" s="109">
        <f>IFERROR(D4255*E4255,0)</f>
        <v/>
      </c>
      <c r="G4255" s="106">
        <f>INDEX(SETORES!$B:$B,MATCH(A4255,SETORES!$A:$A,0))</f>
        <v/>
      </c>
      <c r="H4255" s="106" t="inlineStr">
        <is>
          <t>Novembro/2026</t>
        </is>
      </c>
    </row>
    <row r="4256">
      <c r="A4256" s="106" t="inlineStr">
        <is>
          <t>Diretoria Adm</t>
        </is>
      </c>
      <c r="B4256" s="106" t="inlineStr">
        <is>
          <t>Custo Variável</t>
        </is>
      </c>
      <c r="C4256" s="106" t="inlineStr">
        <is>
          <t>Rescisões trabalhistas</t>
        </is>
      </c>
      <c r="D4256" s="107" t="n"/>
      <c r="E4256" s="108" t="n"/>
      <c r="F4256" s="109">
        <f>IFERROR(D4256*E4256,0)</f>
        <v/>
      </c>
      <c r="G4256" s="106">
        <f>INDEX(SETORES!$B:$B,MATCH(A4256,SETORES!$A:$A,0))</f>
        <v/>
      </c>
      <c r="H4256" s="106" t="inlineStr">
        <is>
          <t>Novembro/2026</t>
        </is>
      </c>
    </row>
    <row r="4257">
      <c r="A4257" s="106" t="inlineStr">
        <is>
          <t>Diretoria Operacional</t>
        </is>
      </c>
      <c r="B4257" s="106" t="inlineStr">
        <is>
          <t>Custo Variável</t>
        </is>
      </c>
      <c r="C4257" s="106" t="inlineStr">
        <is>
          <t>Rescisões trabalhistas</t>
        </is>
      </c>
      <c r="D4257" s="107" t="n"/>
      <c r="E4257" s="108" t="n"/>
      <c r="F4257" s="109">
        <f>IFERROR(D4257*E4257,0)</f>
        <v/>
      </c>
      <c r="G4257" s="106">
        <f>INDEX(SETORES!$B:$B,MATCH(A4257,SETORES!$A:$A,0))</f>
        <v/>
      </c>
      <c r="H4257" s="106" t="inlineStr">
        <is>
          <t>Novembro/2026</t>
        </is>
      </c>
    </row>
    <row r="4258">
      <c r="A4258" s="106" t="inlineStr">
        <is>
          <t>Financeiro</t>
        </is>
      </c>
      <c r="B4258" s="106" t="inlineStr">
        <is>
          <t>Custo Variável</t>
        </is>
      </c>
      <c r="C4258" s="106" t="inlineStr">
        <is>
          <t>Rescisões trabalhistas</t>
        </is>
      </c>
      <c r="D4258" s="107" t="n"/>
      <c r="E4258" s="108" t="n"/>
      <c r="F4258" s="109">
        <f>IFERROR(D4258*E4258,0)</f>
        <v/>
      </c>
      <c r="G4258" s="106">
        <f>INDEX(SETORES!$B:$B,MATCH(A4258,SETORES!$A:$A,0))</f>
        <v/>
      </c>
      <c r="H4258" s="106" t="inlineStr">
        <is>
          <t>Novembro/2026</t>
        </is>
      </c>
    </row>
    <row r="4259">
      <c r="A4259" s="106" t="inlineStr">
        <is>
          <t>Fique Móvel</t>
        </is>
      </c>
      <c r="B4259" s="106" t="inlineStr">
        <is>
          <t>Custo Variável</t>
        </is>
      </c>
      <c r="C4259" s="106" t="inlineStr">
        <is>
          <t>Rescisões trabalhistas</t>
        </is>
      </c>
      <c r="D4259" s="107" t="n"/>
      <c r="E4259" s="108" t="n"/>
      <c r="F4259" s="109">
        <f>IFERROR(D4259*E4259,0)</f>
        <v/>
      </c>
      <c r="G4259" s="106">
        <f>INDEX(SETORES!$B:$B,MATCH(A4259,SETORES!$A:$A,0))</f>
        <v/>
      </c>
      <c r="H4259" s="106" t="inlineStr">
        <is>
          <t>Novembro/2026</t>
        </is>
      </c>
    </row>
    <row r="4260">
      <c r="A4260" s="106" t="inlineStr">
        <is>
          <t>Fusão</t>
        </is>
      </c>
      <c r="B4260" s="106" t="inlineStr">
        <is>
          <t>Custo Variável</t>
        </is>
      </c>
      <c r="C4260" s="106" t="inlineStr">
        <is>
          <t>Rescisões trabalhistas</t>
        </is>
      </c>
      <c r="D4260" s="107" t="n"/>
      <c r="E4260" s="108" t="n"/>
      <c r="F4260" s="109">
        <f>IFERROR(D4260*E4260,0)</f>
        <v/>
      </c>
      <c r="G4260" s="106">
        <f>INDEX(SETORES!$B:$B,MATCH(A4260,SETORES!$A:$A,0))</f>
        <v/>
      </c>
      <c r="H4260" s="106" t="inlineStr">
        <is>
          <t>Novembro/2026</t>
        </is>
      </c>
    </row>
    <row r="4261">
      <c r="A4261" s="106" t="inlineStr">
        <is>
          <t>Gestão de Atendimento</t>
        </is>
      </c>
      <c r="B4261" s="106" t="inlineStr">
        <is>
          <t>Custo Variável</t>
        </is>
      </c>
      <c r="C4261" s="106" t="inlineStr">
        <is>
          <t>Rescisões trabalhistas</t>
        </is>
      </c>
      <c r="D4261" s="107" t="n"/>
      <c r="E4261" s="108" t="n"/>
      <c r="F4261" s="109">
        <f>IFERROR(D4261*E4261,0)</f>
        <v/>
      </c>
      <c r="G4261" s="106">
        <f>INDEX(SETORES!$B:$B,MATCH(A4261,SETORES!$A:$A,0))</f>
        <v/>
      </c>
      <c r="H4261" s="106" t="inlineStr">
        <is>
          <t>Novembro/2026</t>
        </is>
      </c>
    </row>
    <row r="4262">
      <c r="A4262" s="106" t="inlineStr">
        <is>
          <t>Jurídico</t>
        </is>
      </c>
      <c r="B4262" s="106" t="inlineStr">
        <is>
          <t>Custo Variável</t>
        </is>
      </c>
      <c r="C4262" s="106" t="inlineStr">
        <is>
          <t>Rescisões trabalhistas</t>
        </is>
      </c>
      <c r="D4262" s="107" t="n"/>
      <c r="E4262" s="108" t="n"/>
      <c r="F4262" s="109">
        <f>IFERROR(D4262*E4262,0)</f>
        <v/>
      </c>
      <c r="G4262" s="106">
        <f>INDEX(SETORES!$B:$B,MATCH(A4262,SETORES!$A:$A,0))</f>
        <v/>
      </c>
      <c r="H4262" s="106" t="inlineStr">
        <is>
          <t>Novembro/2026</t>
        </is>
      </c>
    </row>
    <row r="4263">
      <c r="A4263" s="106" t="inlineStr">
        <is>
          <t>Logística</t>
        </is>
      </c>
      <c r="B4263" s="106" t="inlineStr">
        <is>
          <t>Custo Variável</t>
        </is>
      </c>
      <c r="C4263" s="106" t="inlineStr">
        <is>
          <t>Rescisões trabalhistas</t>
        </is>
      </c>
      <c r="D4263" s="107" t="n"/>
      <c r="E4263" s="108" t="n"/>
      <c r="F4263" s="109">
        <f>IFERROR(D4263*E4263,0)</f>
        <v/>
      </c>
      <c r="G4263" s="106">
        <f>INDEX(SETORES!$B:$B,MATCH(A4263,SETORES!$A:$A,0))</f>
        <v/>
      </c>
      <c r="H4263" s="106" t="inlineStr">
        <is>
          <t>Novembro/2026</t>
        </is>
      </c>
    </row>
    <row r="4264">
      <c r="A4264" s="106" t="inlineStr">
        <is>
          <t>Marketing</t>
        </is>
      </c>
      <c r="B4264" s="106" t="inlineStr">
        <is>
          <t>Custo Variável</t>
        </is>
      </c>
      <c r="C4264" s="106" t="inlineStr">
        <is>
          <t>Rescisões trabalhistas</t>
        </is>
      </c>
      <c r="D4264" s="107" t="n"/>
      <c r="E4264" s="108" t="n"/>
      <c r="F4264" s="109">
        <f>IFERROR(D4264*E4264,0)</f>
        <v/>
      </c>
      <c r="G4264" s="106">
        <f>INDEX(SETORES!$B:$B,MATCH(A4264,SETORES!$A:$A,0))</f>
        <v/>
      </c>
      <c r="H4264" s="106" t="inlineStr">
        <is>
          <t>Novembro/2026</t>
        </is>
      </c>
    </row>
    <row r="4265">
      <c r="A4265" s="106" t="inlineStr">
        <is>
          <t>Oficina</t>
        </is>
      </c>
      <c r="B4265" s="106" t="inlineStr">
        <is>
          <t>Custo Variável</t>
        </is>
      </c>
      <c r="C4265" s="106" t="inlineStr">
        <is>
          <t>Rescisões trabalhistas</t>
        </is>
      </c>
      <c r="D4265" s="107" t="n"/>
      <c r="E4265" s="108" t="n"/>
      <c r="F4265" s="109">
        <f>IFERROR(D4265*E4265,0)</f>
        <v/>
      </c>
      <c r="G4265" s="106">
        <f>INDEX(SETORES!$B:$B,MATCH(A4265,SETORES!$A:$A,0))</f>
        <v/>
      </c>
      <c r="H4265" s="106" t="inlineStr">
        <is>
          <t>Novembro/2026</t>
        </is>
      </c>
    </row>
    <row r="4266">
      <c r="A4266" s="106" t="inlineStr">
        <is>
          <t>Qualidade</t>
        </is>
      </c>
      <c r="B4266" s="106" t="inlineStr">
        <is>
          <t>Custo Variável</t>
        </is>
      </c>
      <c r="C4266" s="106" t="inlineStr">
        <is>
          <t>Rescisões trabalhistas</t>
        </is>
      </c>
      <c r="D4266" s="107" t="n"/>
      <c r="E4266" s="108" t="n"/>
      <c r="F4266" s="109">
        <f>IFERROR(D4266*E4266,0)</f>
        <v/>
      </c>
      <c r="G4266" s="106">
        <f>INDEX(SETORES!$B:$B,MATCH(A4266,SETORES!$A:$A,0))</f>
        <v/>
      </c>
      <c r="H4266" s="106" t="inlineStr">
        <is>
          <t>Novembro/2026</t>
        </is>
      </c>
    </row>
    <row r="4267">
      <c r="A4267" s="106" t="inlineStr">
        <is>
          <t>RH</t>
        </is>
      </c>
      <c r="B4267" s="106" t="inlineStr">
        <is>
          <t>Custo Variável</t>
        </is>
      </c>
      <c r="C4267" s="106" t="inlineStr">
        <is>
          <t>Rescisões trabalhistas</t>
        </is>
      </c>
      <c r="D4267" s="107" t="n"/>
      <c r="E4267" s="108" t="n"/>
      <c r="F4267" s="109">
        <f>IFERROR(D4267*E4267,0)</f>
        <v/>
      </c>
      <c r="G4267" s="106">
        <f>INDEX(SETORES!$B:$B,MATCH(A4267,SETORES!$A:$A,0))</f>
        <v/>
      </c>
      <c r="H4267" s="106" t="inlineStr">
        <is>
          <t>Novembro/2026</t>
        </is>
      </c>
    </row>
    <row r="4268">
      <c r="A4268" s="106" t="inlineStr">
        <is>
          <t>Fique Móvel</t>
        </is>
      </c>
      <c r="B4268" s="106" t="inlineStr">
        <is>
          <t>Custo Fixo</t>
        </is>
      </c>
      <c r="C4268" s="106" t="inlineStr">
        <is>
          <t>Impressora</t>
        </is>
      </c>
      <c r="D4268" s="107" t="n"/>
      <c r="E4268" s="108" t="n"/>
      <c r="F4268" s="109">
        <f>IFERROR(D4268*E4268,0)</f>
        <v/>
      </c>
      <c r="G4268" s="106">
        <f>INDEX(SETORES!$B:$B,MATCH(A4268,SETORES!$A:$A,0))</f>
        <v/>
      </c>
      <c r="H4268" s="106" t="inlineStr">
        <is>
          <t>Novembro/2026</t>
        </is>
      </c>
    </row>
    <row r="4269">
      <c r="A4269" s="106" t="inlineStr">
        <is>
          <t>Comercial Corporativo</t>
        </is>
      </c>
      <c r="B4269" s="106" t="inlineStr">
        <is>
          <t>Custo Fixo</t>
        </is>
      </c>
      <c r="C4269" s="106" t="inlineStr">
        <is>
          <t>Impressora</t>
        </is>
      </c>
      <c r="D4269" s="107" t="n"/>
      <c r="E4269" s="108" t="n"/>
      <c r="F4269" s="109">
        <f>IFERROR(D4269*E4269,0)</f>
        <v/>
      </c>
      <c r="G4269" s="106">
        <f>INDEX(SETORES!$B:$B,MATCH(A4269,SETORES!$A:$A,0))</f>
        <v/>
      </c>
      <c r="H4269" s="106" t="inlineStr">
        <is>
          <t>Novembro/2026</t>
        </is>
      </c>
    </row>
    <row r="4270">
      <c r="A4270" s="106" t="inlineStr">
        <is>
          <t>Contabilidade</t>
        </is>
      </c>
      <c r="B4270" s="106" t="inlineStr">
        <is>
          <t>Custo Fixo</t>
        </is>
      </c>
      <c r="C4270" s="106" t="inlineStr">
        <is>
          <t>Impressora</t>
        </is>
      </c>
      <c r="D4270" s="107" t="n"/>
      <c r="E4270" s="108" t="n"/>
      <c r="F4270" s="109">
        <f>IFERROR(D4270*E4270,0)</f>
        <v/>
      </c>
      <c r="G4270" s="106">
        <f>INDEX(SETORES!$B:$B,MATCH(A4270,SETORES!$A:$A,0))</f>
        <v/>
      </c>
      <c r="H4270" s="106" t="inlineStr">
        <is>
          <t>Novembro/2026</t>
        </is>
      </c>
    </row>
    <row r="4271">
      <c r="A4271" s="106" t="inlineStr">
        <is>
          <t>Qualidade</t>
        </is>
      </c>
      <c r="B4271" s="106" t="inlineStr">
        <is>
          <t>Custo Fixo</t>
        </is>
      </c>
      <c r="C4271" s="106" t="inlineStr">
        <is>
          <t>Impressora</t>
        </is>
      </c>
      <c r="D4271" s="107" t="n"/>
      <c r="E4271" s="108" t="n"/>
      <c r="F4271" s="109">
        <f>IFERROR(D4271*E4271,0)</f>
        <v/>
      </c>
      <c r="G4271" s="106">
        <f>INDEX(SETORES!$B:$B,MATCH(A4271,SETORES!$A:$A,0))</f>
        <v/>
      </c>
      <c r="H4271" s="106" t="inlineStr">
        <is>
          <t>Novembro/2026</t>
        </is>
      </c>
    </row>
    <row r="4272">
      <c r="A4272" s="106" t="inlineStr">
        <is>
          <t>Diretoria Adm</t>
        </is>
      </c>
      <c r="B4272" s="106" t="inlineStr">
        <is>
          <t>Custo Fixo</t>
        </is>
      </c>
      <c r="C4272" s="106" t="inlineStr">
        <is>
          <t>Impressora</t>
        </is>
      </c>
      <c r="D4272" s="107" t="n"/>
      <c r="E4272" s="108" t="n"/>
      <c r="F4272" s="109">
        <f>IFERROR(D4272*E4272,0)</f>
        <v/>
      </c>
      <c r="G4272" s="106">
        <f>INDEX(SETORES!$B:$B,MATCH(A4272,SETORES!$A:$A,0))</f>
        <v/>
      </c>
      <c r="H4272" s="106" t="inlineStr">
        <is>
          <t>Novembro/2026</t>
        </is>
      </c>
    </row>
    <row r="4273">
      <c r="A4273" s="106" t="inlineStr">
        <is>
          <t>Diretoria Operacional</t>
        </is>
      </c>
      <c r="B4273" s="106" t="inlineStr">
        <is>
          <t>Custo Fixo</t>
        </is>
      </c>
      <c r="C4273" s="106" t="inlineStr">
        <is>
          <t>Impressora</t>
        </is>
      </c>
      <c r="D4273" s="107" t="n"/>
      <c r="E4273" s="108" t="n"/>
      <c r="F4273" s="109">
        <f>IFERROR(D4273*E4273,0)</f>
        <v/>
      </c>
      <c r="G4273" s="106">
        <f>INDEX(SETORES!$B:$B,MATCH(A4273,SETORES!$A:$A,0))</f>
        <v/>
      </c>
      <c r="H4273" s="106" t="inlineStr">
        <is>
          <t>Novembro/2026</t>
        </is>
      </c>
    </row>
    <row r="4274">
      <c r="A4274" s="106" t="inlineStr">
        <is>
          <t>Gestão de Atendimento</t>
        </is>
      </c>
      <c r="B4274" s="106" t="inlineStr">
        <is>
          <t>Custo Fixo</t>
        </is>
      </c>
      <c r="C4274" s="106" t="inlineStr">
        <is>
          <t>Impressora</t>
        </is>
      </c>
      <c r="D4274" s="107" t="n"/>
      <c r="E4274" s="108" t="n"/>
      <c r="F4274" s="109">
        <f>IFERROR(D4274*E4274,0)</f>
        <v/>
      </c>
      <c r="G4274" s="106">
        <f>INDEX(SETORES!$B:$B,MATCH(A4274,SETORES!$A:$A,0))</f>
        <v/>
      </c>
      <c r="H4274" s="106" t="inlineStr">
        <is>
          <t>Novembro/2026</t>
        </is>
      </c>
    </row>
    <row r="4275">
      <c r="A4275" s="106" t="inlineStr">
        <is>
          <t>Controladoria</t>
        </is>
      </c>
      <c r="B4275" s="106" t="inlineStr">
        <is>
          <t>Custo Fixo</t>
        </is>
      </c>
      <c r="C4275" s="106" t="inlineStr">
        <is>
          <t>Impressora</t>
        </is>
      </c>
      <c r="D4275" s="107" t="n"/>
      <c r="E4275" s="108" t="n"/>
      <c r="F4275" s="109">
        <f>IFERROR(D4275*E4275,0)</f>
        <v/>
      </c>
      <c r="G4275" s="106">
        <f>INDEX(SETORES!$B:$B,MATCH(A4275,SETORES!$A:$A,0))</f>
        <v/>
      </c>
      <c r="H4275" s="106" t="inlineStr">
        <is>
          <t>Novembro/2026</t>
        </is>
      </c>
    </row>
    <row r="4276">
      <c r="A4276" s="106" t="inlineStr">
        <is>
          <t>CAC</t>
        </is>
      </c>
      <c r="B4276" s="106" t="inlineStr">
        <is>
          <t>Custo Fixo</t>
        </is>
      </c>
      <c r="C4276" s="106" t="inlineStr">
        <is>
          <t>Chip móvel corporativo</t>
        </is>
      </c>
      <c r="D4276" s="107" t="n">
        <v>1</v>
      </c>
      <c r="E4276" s="108" t="n">
        <v>30</v>
      </c>
      <c r="F4276" s="109">
        <f>IFERROR(D4276*E4276,0)</f>
        <v/>
      </c>
      <c r="G4276" s="106">
        <f>INDEX(SETORES!$B:$B,MATCH(A4276,SETORES!$A:$A,0))</f>
        <v/>
      </c>
      <c r="H4276" s="106" t="inlineStr">
        <is>
          <t>Novembro/2026</t>
        </is>
      </c>
    </row>
    <row r="4277">
      <c r="A4277" s="106" t="inlineStr">
        <is>
          <t>COE</t>
        </is>
      </c>
      <c r="B4277" s="106" t="inlineStr">
        <is>
          <t>Custo Fixo</t>
        </is>
      </c>
      <c r="C4277" s="106" t="inlineStr">
        <is>
          <t>Chip móvel corporativo</t>
        </is>
      </c>
      <c r="D4277" s="107" t="n">
        <v>12</v>
      </c>
      <c r="E4277" s="108" t="n">
        <v>30</v>
      </c>
      <c r="F4277" s="109">
        <f>IFERROR(D4277*E4277,0)</f>
        <v/>
      </c>
      <c r="G4277" s="106">
        <f>INDEX(SETORES!$B:$B,MATCH(A4277,SETORES!$A:$A,0))</f>
        <v/>
      </c>
      <c r="H4277" s="106" t="inlineStr">
        <is>
          <t>Novembro/2026</t>
        </is>
      </c>
    </row>
    <row r="4278">
      <c r="A4278" s="106" t="inlineStr">
        <is>
          <t>Compras</t>
        </is>
      </c>
      <c r="B4278" s="106" t="inlineStr">
        <is>
          <t>Custo Fixo</t>
        </is>
      </c>
      <c r="C4278" s="106" t="inlineStr">
        <is>
          <t>Chip móvel corporativo</t>
        </is>
      </c>
      <c r="D4278" s="107" t="n">
        <v>2</v>
      </c>
      <c r="E4278" s="108" t="n">
        <v>30</v>
      </c>
      <c r="F4278" s="109">
        <f>IFERROR(D4278*E4278,0)</f>
        <v/>
      </c>
      <c r="G4278" s="106">
        <f>INDEX(SETORES!$B:$B,MATCH(A4278,SETORES!$A:$A,0))</f>
        <v/>
      </c>
      <c r="H4278" s="106" t="inlineStr">
        <is>
          <t>Novembro/2026</t>
        </is>
      </c>
    </row>
    <row r="4279">
      <c r="A4279" s="106" t="inlineStr">
        <is>
          <t>Contabilidade</t>
        </is>
      </c>
      <c r="B4279" s="106" t="inlineStr">
        <is>
          <t>Custo Fixo</t>
        </is>
      </c>
      <c r="C4279" s="106" t="inlineStr">
        <is>
          <t>Chip móvel corporativo</t>
        </is>
      </c>
      <c r="D4279" s="107" t="n">
        <v>2</v>
      </c>
      <c r="E4279" s="108" t="n">
        <v>30</v>
      </c>
      <c r="F4279" s="109">
        <f>IFERROR(D4279*E4279,0)</f>
        <v/>
      </c>
      <c r="G4279" s="106">
        <f>INDEX(SETORES!$B:$B,MATCH(A4279,SETORES!$A:$A,0))</f>
        <v/>
      </c>
      <c r="H4279" s="106" t="inlineStr">
        <is>
          <t>Novembro/2026</t>
        </is>
      </c>
    </row>
    <row r="4280">
      <c r="A4280" s="106" t="inlineStr">
        <is>
          <t>DP</t>
        </is>
      </c>
      <c r="B4280" s="106" t="inlineStr">
        <is>
          <t>Custo Fixo</t>
        </is>
      </c>
      <c r="C4280" s="106" t="inlineStr">
        <is>
          <t>Chip móvel corporativo</t>
        </is>
      </c>
      <c r="D4280" s="107" t="n">
        <v>2</v>
      </c>
      <c r="E4280" s="108" t="n">
        <v>30</v>
      </c>
      <c r="F4280" s="109">
        <f>IFERROR(D4280*E4280,0)</f>
        <v/>
      </c>
      <c r="G4280" s="106">
        <f>INDEX(SETORES!$B:$B,MATCH(A4280,SETORES!$A:$A,0))</f>
        <v/>
      </c>
      <c r="H4280" s="106" t="inlineStr">
        <is>
          <t>Novembro/2026</t>
        </is>
      </c>
    </row>
    <row r="4281">
      <c r="A4281" s="106" t="inlineStr">
        <is>
          <t>Engenharia</t>
        </is>
      </c>
      <c r="B4281" s="106" t="inlineStr">
        <is>
          <t>Custo Fixo</t>
        </is>
      </c>
      <c r="C4281" s="106" t="inlineStr">
        <is>
          <t>Chip móvel corporativo</t>
        </is>
      </c>
      <c r="D4281" s="107" t="n">
        <v>8</v>
      </c>
      <c r="E4281" s="108" t="n">
        <v>30</v>
      </c>
      <c r="F4281" s="109">
        <f>IFERROR(D4281*E4281,0)</f>
        <v/>
      </c>
      <c r="G4281" s="106">
        <f>INDEX(SETORES!$B:$B,MATCH(A4281,SETORES!$A:$A,0))</f>
        <v/>
      </c>
      <c r="H4281" s="106" t="inlineStr">
        <is>
          <t>Novembro/2026</t>
        </is>
      </c>
    </row>
    <row r="4282">
      <c r="A4282" s="106" t="inlineStr">
        <is>
          <t>Financeiro</t>
        </is>
      </c>
      <c r="B4282" s="106" t="inlineStr">
        <is>
          <t>Custo Fixo</t>
        </is>
      </c>
      <c r="C4282" s="106" t="inlineStr">
        <is>
          <t>Chip móvel corporativo</t>
        </is>
      </c>
      <c r="D4282" s="107" t="n">
        <v>2</v>
      </c>
      <c r="E4282" s="108" t="n">
        <v>30</v>
      </c>
      <c r="F4282" s="109">
        <f>IFERROR(D4282*E4282,0)</f>
        <v/>
      </c>
      <c r="G4282" s="106">
        <f>INDEX(SETORES!$B:$B,MATCH(A4282,SETORES!$A:$A,0))</f>
        <v/>
      </c>
      <c r="H4282" s="106" t="inlineStr">
        <is>
          <t>Novembro/2026</t>
        </is>
      </c>
    </row>
    <row r="4283">
      <c r="A4283" s="106" t="inlineStr">
        <is>
          <t>Fique Móvel</t>
        </is>
      </c>
      <c r="B4283" s="106" t="inlineStr">
        <is>
          <t>Custo Fixo</t>
        </is>
      </c>
      <c r="C4283" s="106" t="inlineStr">
        <is>
          <t>Chip móvel corporativo</t>
        </is>
      </c>
      <c r="D4283" s="107" t="n">
        <v>2</v>
      </c>
      <c r="E4283" s="108" t="n">
        <v>30</v>
      </c>
      <c r="F4283" s="109">
        <f>IFERROR(D4283*E4283,0)</f>
        <v/>
      </c>
      <c r="G4283" s="106">
        <f>INDEX(SETORES!$B:$B,MATCH(A4283,SETORES!$A:$A,0))</f>
        <v/>
      </c>
      <c r="H4283" s="106" t="inlineStr">
        <is>
          <t>Novembro/2026</t>
        </is>
      </c>
    </row>
    <row r="4284">
      <c r="A4284" s="106" t="inlineStr">
        <is>
          <t>Gestão de Atendimento</t>
        </is>
      </c>
      <c r="B4284" s="106" t="inlineStr">
        <is>
          <t>Custo Fixo</t>
        </is>
      </c>
      <c r="C4284" s="106" t="inlineStr">
        <is>
          <t>Chip móvel corporativo</t>
        </is>
      </c>
      <c r="D4284" s="107" t="n">
        <v>2</v>
      </c>
      <c r="E4284" s="108" t="n">
        <v>30</v>
      </c>
      <c r="F4284" s="109">
        <f>IFERROR(D4284*E4284,0)</f>
        <v/>
      </c>
      <c r="G4284" s="106">
        <f>INDEX(SETORES!$B:$B,MATCH(A4284,SETORES!$A:$A,0))</f>
        <v/>
      </c>
      <c r="H4284" s="106" t="inlineStr">
        <is>
          <t>Novembro/2026</t>
        </is>
      </c>
    </row>
    <row r="4285">
      <c r="A4285" s="106" t="inlineStr">
        <is>
          <t>Jurídico</t>
        </is>
      </c>
      <c r="B4285" s="106" t="inlineStr">
        <is>
          <t>Custo Fixo</t>
        </is>
      </c>
      <c r="C4285" s="106" t="inlineStr">
        <is>
          <t>Chip móvel corporativo</t>
        </is>
      </c>
      <c r="D4285" s="107" t="n">
        <v>2</v>
      </c>
      <c r="E4285" s="108" t="n">
        <v>30</v>
      </c>
      <c r="F4285" s="109">
        <f>IFERROR(D4285*E4285,0)</f>
        <v/>
      </c>
      <c r="G4285" s="106">
        <f>INDEX(SETORES!$B:$B,MATCH(A4285,SETORES!$A:$A,0))</f>
        <v/>
      </c>
      <c r="H4285" s="106" t="inlineStr">
        <is>
          <t>Novembro/2026</t>
        </is>
      </c>
    </row>
    <row r="4286">
      <c r="A4286" s="106" t="inlineStr">
        <is>
          <t>Logística</t>
        </is>
      </c>
      <c r="B4286" s="106" t="inlineStr">
        <is>
          <t>Custo Fixo</t>
        </is>
      </c>
      <c r="C4286" s="106" t="inlineStr">
        <is>
          <t>Chip móvel corporativo</t>
        </is>
      </c>
      <c r="D4286" s="107" t="n">
        <v>7</v>
      </c>
      <c r="E4286" s="108" t="n">
        <v>30</v>
      </c>
      <c r="F4286" s="109">
        <f>IFERROR(D4286*E4286,0)</f>
        <v/>
      </c>
      <c r="G4286" s="106">
        <f>INDEX(SETORES!$B:$B,MATCH(A4286,SETORES!$A:$A,0))</f>
        <v/>
      </c>
      <c r="H4286" s="106" t="inlineStr">
        <is>
          <t>Novembro/2026</t>
        </is>
      </c>
    </row>
    <row r="4287">
      <c r="A4287" s="106" t="inlineStr">
        <is>
          <t>Manutenção Predial</t>
        </is>
      </c>
      <c r="B4287" s="106" t="inlineStr">
        <is>
          <t>Custo Fixo</t>
        </is>
      </c>
      <c r="C4287" s="106" t="inlineStr">
        <is>
          <t>Chip móvel corporativo</t>
        </is>
      </c>
      <c r="D4287" s="107" t="n">
        <v>7</v>
      </c>
      <c r="E4287" s="108" t="n">
        <v>30</v>
      </c>
      <c r="F4287" s="109">
        <f>IFERROR(D4287*E4287,0)</f>
        <v/>
      </c>
      <c r="G4287" s="106">
        <f>INDEX(SETORES!$B:$B,MATCH(A4287,SETORES!$A:$A,0))</f>
        <v/>
      </c>
      <c r="H4287" s="106" t="inlineStr">
        <is>
          <t>Novembro/2026</t>
        </is>
      </c>
    </row>
    <row r="4288">
      <c r="A4288" s="106" t="inlineStr">
        <is>
          <t>Marketing</t>
        </is>
      </c>
      <c r="B4288" s="106" t="inlineStr">
        <is>
          <t>Custo Fixo</t>
        </is>
      </c>
      <c r="C4288" s="106" t="inlineStr">
        <is>
          <t>Chip móvel corporativo</t>
        </is>
      </c>
      <c r="D4288" s="107" t="n">
        <v>10</v>
      </c>
      <c r="E4288" s="108" t="n">
        <v>30</v>
      </c>
      <c r="F4288" s="109">
        <f>IFERROR(D4288*E4288,0)</f>
        <v/>
      </c>
      <c r="G4288" s="106">
        <f>INDEX(SETORES!$B:$B,MATCH(A4288,SETORES!$A:$A,0))</f>
        <v/>
      </c>
      <c r="H4288" s="106" t="inlineStr">
        <is>
          <t>Novembro/2026</t>
        </is>
      </c>
    </row>
    <row r="4289">
      <c r="A4289" s="106" t="inlineStr">
        <is>
          <t>NOC</t>
        </is>
      </c>
      <c r="B4289" s="106" t="inlineStr">
        <is>
          <t>Custo Fixo</t>
        </is>
      </c>
      <c r="C4289" s="106" t="inlineStr">
        <is>
          <t>Chip móvel corporativo</t>
        </is>
      </c>
      <c r="D4289" s="107" t="n">
        <v>3</v>
      </c>
      <c r="E4289" s="108" t="n">
        <v>30</v>
      </c>
      <c r="F4289" s="109">
        <f>IFERROR(D4289*E4289,0)</f>
        <v/>
      </c>
      <c r="G4289" s="106">
        <f>INDEX(SETORES!$B:$B,MATCH(A4289,SETORES!$A:$A,0))</f>
        <v/>
      </c>
      <c r="H4289" s="106" t="inlineStr">
        <is>
          <t>Novembro/2026</t>
        </is>
      </c>
    </row>
    <row r="4290">
      <c r="A4290" s="106" t="inlineStr">
        <is>
          <t>Obras</t>
        </is>
      </c>
      <c r="B4290" s="106" t="inlineStr">
        <is>
          <t>Custo Fixo</t>
        </is>
      </c>
      <c r="C4290" s="106" t="inlineStr">
        <is>
          <t>Chip móvel corporativo</t>
        </is>
      </c>
      <c r="D4290" s="107" t="n">
        <v>5</v>
      </c>
      <c r="E4290" s="108" t="n">
        <v>30</v>
      </c>
      <c r="F4290" s="109">
        <f>IFERROR(D4290*E4290,0)</f>
        <v/>
      </c>
      <c r="G4290" s="106">
        <f>INDEX(SETORES!$B:$B,MATCH(A4290,SETORES!$A:$A,0))</f>
        <v/>
      </c>
      <c r="H4290" s="106" t="inlineStr">
        <is>
          <t>Novembro/2026</t>
        </is>
      </c>
    </row>
    <row r="4291">
      <c r="A4291" s="106" t="inlineStr">
        <is>
          <t>Qualidade</t>
        </is>
      </c>
      <c r="B4291" s="106" t="inlineStr">
        <is>
          <t>Custo Fixo</t>
        </is>
      </c>
      <c r="C4291" s="106" t="inlineStr">
        <is>
          <t>Chip móvel corporativo</t>
        </is>
      </c>
      <c r="D4291" s="107" t="n">
        <v>4</v>
      </c>
      <c r="E4291" s="108" t="n">
        <v>30</v>
      </c>
      <c r="F4291" s="109">
        <f>IFERROR(D4291*E4291,0)</f>
        <v/>
      </c>
      <c r="G4291" s="106">
        <f>INDEX(SETORES!$B:$B,MATCH(A4291,SETORES!$A:$A,0))</f>
        <v/>
      </c>
      <c r="H4291" s="106" t="inlineStr">
        <is>
          <t>Novembro/2026</t>
        </is>
      </c>
    </row>
    <row r="4292">
      <c r="A4292" s="106" t="inlineStr">
        <is>
          <t>RH</t>
        </is>
      </c>
      <c r="B4292" s="106" t="inlineStr">
        <is>
          <t>Custo Fixo</t>
        </is>
      </c>
      <c r="C4292" s="106" t="inlineStr">
        <is>
          <t>Chip móvel corporativo</t>
        </is>
      </c>
      <c r="D4292" s="107" t="n">
        <v>3</v>
      </c>
      <c r="E4292" s="108" t="n">
        <v>30</v>
      </c>
      <c r="F4292" s="109">
        <f>IFERROR(D4292*E4292,0)</f>
        <v/>
      </c>
      <c r="G4292" s="106">
        <f>INDEX(SETORES!$B:$B,MATCH(A4292,SETORES!$A:$A,0))</f>
        <v/>
      </c>
      <c r="H4292" s="106" t="inlineStr">
        <is>
          <t>Novembro/2026</t>
        </is>
      </c>
    </row>
    <row r="4293">
      <c r="A4293" s="106" t="inlineStr">
        <is>
          <t>Segurança do Trabalho</t>
        </is>
      </c>
      <c r="B4293" s="106" t="inlineStr">
        <is>
          <t>Custo Fixo</t>
        </is>
      </c>
      <c r="C4293" s="106" t="inlineStr">
        <is>
          <t>Chip móvel corporativo</t>
        </is>
      </c>
      <c r="D4293" s="107" t="n">
        <v>3</v>
      </c>
      <c r="E4293" s="108" t="n">
        <v>30</v>
      </c>
      <c r="F4293" s="109">
        <f>IFERROR(D4293*E4293,0)</f>
        <v/>
      </c>
      <c r="G4293" s="106">
        <f>INDEX(SETORES!$B:$B,MATCH(A4293,SETORES!$A:$A,0))</f>
        <v/>
      </c>
      <c r="H4293" s="106" t="inlineStr">
        <is>
          <t>Novembro/2026</t>
        </is>
      </c>
    </row>
    <row r="4294">
      <c r="A4294" s="106" t="inlineStr">
        <is>
          <t>TIC</t>
        </is>
      </c>
      <c r="B4294" s="106" t="inlineStr">
        <is>
          <t>Custo Fixo</t>
        </is>
      </c>
      <c r="C4294" s="106" t="inlineStr">
        <is>
          <t>Chip móvel corporativo</t>
        </is>
      </c>
      <c r="D4294" s="107" t="n">
        <v>5</v>
      </c>
      <c r="E4294" s="108" t="n">
        <v>30</v>
      </c>
      <c r="F4294" s="109">
        <f>IFERROR(D4294*E4294,0)</f>
        <v/>
      </c>
      <c r="G4294" s="106">
        <f>INDEX(SETORES!$B:$B,MATCH(A4294,SETORES!$A:$A,0))</f>
        <v/>
      </c>
      <c r="H4294" s="106" t="inlineStr">
        <is>
          <t>Novembro/2026</t>
        </is>
      </c>
    </row>
    <row r="4295">
      <c r="A4295" s="106" t="inlineStr">
        <is>
          <t>Backoffice Comercial Varejo</t>
        </is>
      </c>
      <c r="B4295" s="106" t="inlineStr">
        <is>
          <t>Custo Fixo</t>
        </is>
      </c>
      <c r="C4295" s="106" t="inlineStr">
        <is>
          <t>Folha de pagamento (salários)</t>
        </is>
      </c>
      <c r="D4295" s="107" t="n">
        <v>1</v>
      </c>
      <c r="E4295" s="108" t="n">
        <v>7220.72</v>
      </c>
      <c r="F4295" s="109">
        <f>IFERROR(D4295*E4295,0)</f>
        <v/>
      </c>
      <c r="G4295" s="106">
        <f>INDEX(SETORES!$B:$B,MATCH(A4295,SETORES!$A:$A,0))</f>
        <v/>
      </c>
      <c r="H4295" s="106" t="inlineStr">
        <is>
          <t>Novembro/2026</t>
        </is>
      </c>
    </row>
    <row r="4296">
      <c r="A4296" s="106" t="inlineStr">
        <is>
          <t>Serviços Gerais</t>
        </is>
      </c>
      <c r="B4296" s="106" t="inlineStr">
        <is>
          <t>Custo Fixo</t>
        </is>
      </c>
      <c r="C4296" s="106" t="inlineStr">
        <is>
          <t>Folha de pagamento (salários)</t>
        </is>
      </c>
      <c r="D4296" s="107" t="n">
        <v>1</v>
      </c>
      <c r="E4296" s="108" t="n">
        <v>27256.45</v>
      </c>
      <c r="F4296" s="109">
        <f>IFERROR(D4296*E4296,0)</f>
        <v/>
      </c>
      <c r="G4296" s="106">
        <f>INDEX(SETORES!$B:$B,MATCH(A4296,SETORES!$A:$A,0))</f>
        <v/>
      </c>
      <c r="H4296" s="106" t="inlineStr">
        <is>
          <t>Novembro/2026</t>
        </is>
      </c>
    </row>
    <row r="4297">
      <c r="A4297" s="106" t="inlineStr">
        <is>
          <t>Gestão de Atendimento</t>
        </is>
      </c>
      <c r="B4297" s="106" t="inlineStr">
        <is>
          <t>Custo Fixo</t>
        </is>
      </c>
      <c r="C4297" s="106" t="inlineStr">
        <is>
          <t>Custo de gestão administrativa (rateado — Renata Thaysa dos Santos Cunha)</t>
        </is>
      </c>
      <c r="D4297" s="107" t="n">
        <v>1</v>
      </c>
      <c r="E4297" s="108" t="n">
        <v>4947.47</v>
      </c>
      <c r="F4297" s="109">
        <f>IFERROR(D4297*E4297,0)</f>
        <v/>
      </c>
      <c r="G4297" s="106">
        <f>INDEX(SETORES!$B:$B,MATCH(A4297,SETORES!$A:$A,0))</f>
        <v/>
      </c>
      <c r="H4297" s="106" t="inlineStr">
        <is>
          <t>Novembro/2026</t>
        </is>
      </c>
    </row>
    <row r="4298">
      <c r="A4298" s="106" t="inlineStr">
        <is>
          <t>CAC</t>
        </is>
      </c>
      <c r="B4298" s="106" t="inlineStr">
        <is>
          <t>Custo Fixo</t>
        </is>
      </c>
      <c r="C4298" s="106" t="inlineStr">
        <is>
          <t>Custo de gestão administrativa (rateado — Renata Thaysa dos Santos Cunha)</t>
        </is>
      </c>
      <c r="D4298" s="107" t="n">
        <v>1</v>
      </c>
      <c r="E4298" s="108" t="n">
        <v>1455.14</v>
      </c>
      <c r="F4298" s="109">
        <f>IFERROR(D4298*E4298,0)</f>
        <v/>
      </c>
      <c r="G4298" s="106">
        <f>INDEX(SETORES!$B:$B,MATCH(A4298,SETORES!$A:$A,0))</f>
        <v/>
      </c>
      <c r="H4298" s="106" t="inlineStr">
        <is>
          <t>Novembro/2026</t>
        </is>
      </c>
    </row>
    <row r="4299">
      <c r="A4299" s="106" t="inlineStr">
        <is>
          <t>Backoffice Comercial Varejo</t>
        </is>
      </c>
      <c r="B4299" s="106" t="inlineStr">
        <is>
          <t>Custo Fixo</t>
        </is>
      </c>
      <c r="C4299" s="106" t="inlineStr">
        <is>
          <t>Custo de gestão administrativa (rateado — Renata Thaysa dos Santos Cunha)</t>
        </is>
      </c>
      <c r="D4299" s="107" t="n">
        <v>1</v>
      </c>
      <c r="E4299" s="108" t="n">
        <v>582.0599999999999</v>
      </c>
      <c r="F4299" s="109">
        <f>IFERROR(D4299*E4299,0)</f>
        <v/>
      </c>
      <c r="G4299" s="106">
        <f>INDEX(SETORES!$B:$B,MATCH(A4299,SETORES!$A:$A,0))</f>
        <v/>
      </c>
      <c r="H4299" s="106" t="inlineStr">
        <is>
          <t>Novembro/2026</t>
        </is>
      </c>
    </row>
    <row r="4300">
      <c r="A4300" s="106" t="inlineStr">
        <is>
          <t>NRC</t>
        </is>
      </c>
      <c r="B4300" s="106" t="inlineStr">
        <is>
          <t>Custo Fixo</t>
        </is>
      </c>
      <c r="C4300" s="106" t="inlineStr">
        <is>
          <t>Custo de gestão administrativa (rateado — Ayrton da Silva Lima)</t>
        </is>
      </c>
      <c r="D4300" s="107" t="n">
        <v>1</v>
      </c>
      <c r="E4300" s="108" t="n">
        <v>3272.78</v>
      </c>
      <c r="F4300" s="109">
        <f>IFERROR(D4300*E4300,0)</f>
        <v/>
      </c>
      <c r="G4300" s="106">
        <f>INDEX(SETORES!$B:$B,MATCH(A4300,SETORES!$A:$A,0))</f>
        <v/>
      </c>
      <c r="H4300" s="106" t="inlineStr">
        <is>
          <t>Novembro/2026</t>
        </is>
      </c>
    </row>
    <row r="4301">
      <c r="A4301" s="106" t="inlineStr">
        <is>
          <t>Cobrança</t>
        </is>
      </c>
      <c r="B4301" s="106" t="inlineStr">
        <is>
          <t>Custo Fixo</t>
        </is>
      </c>
      <c r="C4301" s="106" t="inlineStr">
        <is>
          <t>Custo de gestão administrativa (rateado — Ayrton da Silva Lima)</t>
        </is>
      </c>
      <c r="D4301" s="107" t="n">
        <v>1</v>
      </c>
      <c r="E4301" s="108" t="n">
        <v>1013</v>
      </c>
      <c r="F4301" s="109">
        <f>IFERROR(D4301*E4301,0)</f>
        <v/>
      </c>
      <c r="G4301" s="106">
        <f>INDEX(SETORES!$B:$B,MATCH(A4301,SETORES!$A:$A,0))</f>
        <v/>
      </c>
      <c r="H4301" s="106" t="inlineStr">
        <is>
          <t>Novembro/2026</t>
        </is>
      </c>
    </row>
    <row r="4302">
      <c r="A4302" s="106" t="inlineStr">
        <is>
          <t>Retenção</t>
        </is>
      </c>
      <c r="B4302" s="106" t="inlineStr">
        <is>
          <t>Custo Fixo</t>
        </is>
      </c>
      <c r="C4302" s="106" t="inlineStr">
        <is>
          <t>Custo de gestão administrativa (rateado — Ayrton da Silva Lima)</t>
        </is>
      </c>
      <c r="D4302" s="107" t="n">
        <v>1</v>
      </c>
      <c r="E4302" s="108" t="n">
        <v>935.08</v>
      </c>
      <c r="F4302" s="109">
        <f>IFERROR(D4302*E4302,0)</f>
        <v/>
      </c>
      <c r="G4302" s="106">
        <f>INDEX(SETORES!$B:$B,MATCH(A4302,SETORES!$A:$A,0))</f>
        <v/>
      </c>
      <c r="H4302" s="106" t="inlineStr">
        <is>
          <t>Novembro/2026</t>
        </is>
      </c>
    </row>
    <row r="4303">
      <c r="A4303" s="106" t="inlineStr">
        <is>
          <t>Televendas</t>
        </is>
      </c>
      <c r="B4303" s="106" t="inlineStr">
        <is>
          <t>Custo Fixo</t>
        </is>
      </c>
      <c r="C4303" s="106" t="inlineStr">
        <is>
          <t>Custo de gestão administrativa (rateado — Ayrton da Silva Lima)</t>
        </is>
      </c>
      <c r="D4303" s="107" t="n">
        <v>1</v>
      </c>
      <c r="E4303" s="108" t="n">
        <v>857.16</v>
      </c>
      <c r="F4303" s="109">
        <f>IFERROR(D4303*E4303,0)</f>
        <v/>
      </c>
      <c r="G4303" s="106">
        <f>INDEX(SETORES!$B:$B,MATCH(A4303,SETORES!$A:$A,0))</f>
        <v/>
      </c>
      <c r="H4303" s="106" t="inlineStr">
        <is>
          <t>Novembro/2026</t>
        </is>
      </c>
    </row>
    <row r="4304">
      <c r="A4304" s="106" t="inlineStr">
        <is>
          <t>Suporte da Central</t>
        </is>
      </c>
      <c r="B4304" s="106" t="inlineStr">
        <is>
          <t>Custo Fixo</t>
        </is>
      </c>
      <c r="C4304" s="106" t="inlineStr">
        <is>
          <t>Custo de gestão administrativa (rateado — Ayrton da Silva Lima)</t>
        </is>
      </c>
      <c r="D4304" s="107" t="n">
        <v>1</v>
      </c>
      <c r="E4304" s="108" t="n">
        <v>2571.47</v>
      </c>
      <c r="F4304" s="109">
        <f>IFERROR(D4304*E4304,0)</f>
        <v/>
      </c>
      <c r="G4304" s="106">
        <f>INDEX(SETORES!$B:$B,MATCH(A4304,SETORES!$A:$A,0))</f>
        <v/>
      </c>
      <c r="H4304" s="106" t="inlineStr">
        <is>
          <t>Novembro/2026</t>
        </is>
      </c>
    </row>
    <row r="4305">
      <c r="A4305" s="106" t="inlineStr">
        <is>
          <t>Suporte Orbix</t>
        </is>
      </c>
      <c r="B4305" s="106" t="inlineStr">
        <is>
          <t>Custo Fixo</t>
        </is>
      </c>
      <c r="C4305" s="106" t="inlineStr">
        <is>
          <t>Custo de gestão administrativa (rateado — Ayrton da Silva Lima)</t>
        </is>
      </c>
      <c r="D4305" s="107" t="n">
        <v>1</v>
      </c>
      <c r="E4305" s="108" t="n">
        <v>623.39</v>
      </c>
      <c r="F4305" s="109">
        <f>IFERROR(D4305*E4305,0)</f>
        <v/>
      </c>
      <c r="G4305" s="106">
        <f>INDEX(SETORES!$B:$B,MATCH(A4305,SETORES!$A:$A,0))</f>
        <v/>
      </c>
      <c r="H4305" s="106" t="inlineStr">
        <is>
          <t>Novembro/2026</t>
        </is>
      </c>
    </row>
    <row r="4306">
      <c r="A4306" s="106" t="inlineStr">
        <is>
          <t>Engenharia</t>
        </is>
      </c>
      <c r="B4306" s="106" t="inlineStr">
        <is>
          <t>Custo Fixo</t>
        </is>
      </c>
      <c r="C4306" s="106" t="inlineStr">
        <is>
          <t>Custo de gestão administrativa (rateado — Cryslaine Fonseca Rosal)</t>
        </is>
      </c>
      <c r="D4306" s="107" t="n">
        <v>1</v>
      </c>
      <c r="E4306" s="108" t="n">
        <v>1574.51</v>
      </c>
      <c r="F4306" s="109">
        <f>IFERROR(D4306*E4306,0)</f>
        <v/>
      </c>
      <c r="G4306" s="106">
        <f>INDEX(SETORES!$B:$B,MATCH(A4306,SETORES!$A:$A,0))</f>
        <v/>
      </c>
      <c r="H4306" s="106" t="inlineStr">
        <is>
          <t>Novembro/2026</t>
        </is>
      </c>
    </row>
    <row r="4307">
      <c r="A4307" s="106" t="inlineStr">
        <is>
          <t>Obras</t>
        </is>
      </c>
      <c r="B4307" s="106" t="inlineStr">
        <is>
          <t>Custo Fixo</t>
        </is>
      </c>
      <c r="C4307" s="106" t="inlineStr">
        <is>
          <t>Custo de gestão administrativa (rateado — Cryslaine Fonseca Rosal)</t>
        </is>
      </c>
      <c r="D4307" s="107" t="n">
        <v>1</v>
      </c>
      <c r="E4307" s="108" t="n">
        <v>4198.71</v>
      </c>
      <c r="F4307" s="109">
        <f>IFERROR(D4307*E4307,0)</f>
        <v/>
      </c>
      <c r="G4307" s="106">
        <f>INDEX(SETORES!$B:$B,MATCH(A4307,SETORES!$A:$A,0))</f>
        <v/>
      </c>
      <c r="H4307" s="106" t="inlineStr">
        <is>
          <t>Novembro/2026</t>
        </is>
      </c>
    </row>
    <row r="4308">
      <c r="A4308" s="106" t="inlineStr">
        <is>
          <t>Manutenção Predial</t>
        </is>
      </c>
      <c r="B4308" s="106" t="inlineStr">
        <is>
          <t>Custo Fixo</t>
        </is>
      </c>
      <c r="C4308" s="106" t="inlineStr">
        <is>
          <t>Custo de gestão administrativa (rateado — Cryslaine Fonseca Rosal)</t>
        </is>
      </c>
      <c r="D4308" s="107" t="n">
        <v>1</v>
      </c>
      <c r="E4308" s="108" t="n">
        <v>2624.19</v>
      </c>
      <c r="F4308" s="109">
        <f>IFERROR(D4308*E4308,0)</f>
        <v/>
      </c>
      <c r="G4308" s="106">
        <f>INDEX(SETORES!$B:$B,MATCH(A4308,SETORES!$A:$A,0))</f>
        <v/>
      </c>
      <c r="H4308" s="106" t="inlineStr">
        <is>
          <t>Novembro/2026</t>
        </is>
      </c>
    </row>
    <row r="4309">
      <c r="A4309" s="106" t="inlineStr">
        <is>
          <t>Lançamento</t>
        </is>
      </c>
      <c r="B4309" s="106" t="inlineStr">
        <is>
          <t>Custo Fixo</t>
        </is>
      </c>
      <c r="C4309" s="106" t="inlineStr">
        <is>
          <t>Custo de gestão administrativa (rateado — Cryslaine Fonseca Rosal)</t>
        </is>
      </c>
      <c r="D4309" s="107" t="n">
        <v>1</v>
      </c>
      <c r="E4309" s="108" t="n">
        <v>4198.71</v>
      </c>
      <c r="F4309" s="109">
        <f>IFERROR(D4309*E4309,0)</f>
        <v/>
      </c>
      <c r="G4309" s="106">
        <f>INDEX(SETORES!$B:$B,MATCH(A4309,SETORES!$A:$A,0))</f>
        <v/>
      </c>
      <c r="H4309" s="106" t="inlineStr">
        <is>
          <t>Novembro/2026</t>
        </is>
      </c>
    </row>
    <row r="4310">
      <c r="A4310" s="106" t="inlineStr">
        <is>
          <t>Fusão</t>
        </is>
      </c>
      <c r="B4310" s="106" t="inlineStr">
        <is>
          <t>Custo Fixo</t>
        </is>
      </c>
      <c r="C4310" s="106" t="inlineStr">
        <is>
          <t>Custo de gestão administrativa (rateado — Cryslaine Fonseca Rosal)</t>
        </is>
      </c>
      <c r="D4310" s="107" t="n">
        <v>1</v>
      </c>
      <c r="E4310" s="108" t="n">
        <v>1749.46</v>
      </c>
      <c r="F4310" s="109">
        <f>IFERROR(D4310*E4310,0)</f>
        <v/>
      </c>
      <c r="G4310" s="106">
        <f>INDEX(SETORES!$B:$B,MATCH(A4310,SETORES!$A:$A,0))</f>
        <v/>
      </c>
      <c r="H4310" s="106" t="inlineStr">
        <is>
          <t>Novembro/2026</t>
        </is>
      </c>
    </row>
    <row r="4311">
      <c r="A4311" s="106" t="inlineStr">
        <is>
          <t>Serviços Gerais</t>
        </is>
      </c>
      <c r="B4311" s="106" t="inlineStr">
        <is>
          <t>Custo Fixo</t>
        </is>
      </c>
      <c r="C4311" s="106" t="inlineStr">
        <is>
          <t>Custo de gestão administrativa (rateado — Cryslaine Fonseca Rosal)</t>
        </is>
      </c>
      <c r="D4311" s="107" t="n">
        <v>1</v>
      </c>
      <c r="E4311" s="108" t="n">
        <v>1049.68</v>
      </c>
      <c r="F4311" s="109">
        <f>IFERROR(D4311*E4311,0)</f>
        <v/>
      </c>
      <c r="G4311" s="106">
        <f>INDEX(SETORES!$B:$B,MATCH(A4311,SETORES!$A:$A,0))</f>
        <v/>
      </c>
      <c r="H4311" s="106" t="inlineStr">
        <is>
          <t>Novembro/2026</t>
        </is>
      </c>
    </row>
    <row r="4312">
      <c r="A4312" s="106" t="inlineStr">
        <is>
          <t>Backoffice Comercial Varejo</t>
        </is>
      </c>
      <c r="B4312" s="106" t="inlineStr">
        <is>
          <t>Custo Fixo</t>
        </is>
      </c>
      <c r="C4312" s="106" t="inlineStr">
        <is>
          <t>Energia elétrica (rateio)</t>
        </is>
      </c>
      <c r="D4312" s="107" t="n"/>
      <c r="E4312" s="108" t="n"/>
      <c r="F4312" s="109">
        <f>IFERROR(D4312*E4312,0)</f>
        <v/>
      </c>
      <c r="G4312" s="106">
        <f>INDEX(SETORES!$B:$B,MATCH(A4312,SETORES!$A:$A,0))</f>
        <v/>
      </c>
      <c r="H4312" s="106" t="inlineStr">
        <is>
          <t>Novembro/2026</t>
        </is>
      </c>
    </row>
    <row r="4313">
      <c r="A4313" s="106" t="inlineStr">
        <is>
          <t>Backoffice Comercial Varejo</t>
        </is>
      </c>
      <c r="B4313" s="106" t="inlineStr">
        <is>
          <t>Custo Fixo</t>
        </is>
      </c>
      <c r="C4313" s="106" t="inlineStr">
        <is>
          <t>Água e esgoto (rateio)</t>
        </is>
      </c>
      <c r="D4313" s="107" t="n"/>
      <c r="E4313" s="108" t="n"/>
      <c r="F4313" s="109">
        <f>IFERROR(D4313*E4313,0)</f>
        <v/>
      </c>
      <c r="G4313" s="106">
        <f>INDEX(SETORES!$B:$B,MATCH(A4313,SETORES!$A:$A,0))</f>
        <v/>
      </c>
      <c r="H4313" s="106" t="inlineStr">
        <is>
          <t>Novembro/2026</t>
        </is>
      </c>
    </row>
    <row r="4314">
      <c r="A4314" s="106" t="inlineStr">
        <is>
          <t>Marketing</t>
        </is>
      </c>
      <c r="B4314" s="106" t="inlineStr">
        <is>
          <t>Custo Fixo</t>
        </is>
      </c>
      <c r="C4314" s="106" t="inlineStr">
        <is>
          <t>Energia elétrica (rateio)</t>
        </is>
      </c>
      <c r="D4314" s="107" t="n"/>
      <c r="E4314" s="108" t="n"/>
      <c r="F4314" s="109">
        <f>IFERROR(D4314*E4314,0)</f>
        <v/>
      </c>
      <c r="G4314" s="106">
        <f>INDEX(SETORES!$B:$B,MATCH(A4314,SETORES!$A:$A,0))</f>
        <v/>
      </c>
      <c r="H4314" s="106" t="inlineStr">
        <is>
          <t>Novembro/2026</t>
        </is>
      </c>
    </row>
    <row r="4315">
      <c r="A4315" s="106" t="inlineStr">
        <is>
          <t>Marketing</t>
        </is>
      </c>
      <c r="B4315" s="106" t="inlineStr">
        <is>
          <t>Custo Fixo</t>
        </is>
      </c>
      <c r="C4315" s="106" t="inlineStr">
        <is>
          <t>Água e esgoto (rateio)</t>
        </is>
      </c>
      <c r="D4315" s="107" t="n"/>
      <c r="E4315" s="108" t="n"/>
      <c r="F4315" s="109">
        <f>IFERROR(D4315*E4315,0)</f>
        <v/>
      </c>
      <c r="G4315" s="106">
        <f>INDEX(SETORES!$B:$B,MATCH(A4315,SETORES!$A:$A,0))</f>
        <v/>
      </c>
      <c r="H4315" s="106" t="inlineStr">
        <is>
          <t>Novembro/2026</t>
        </is>
      </c>
    </row>
    <row r="4316">
      <c r="A4316" s="106" t="inlineStr">
        <is>
          <t>Comercial Corporativo</t>
        </is>
      </c>
      <c r="B4316" s="106" t="inlineStr">
        <is>
          <t>Custo Fixo</t>
        </is>
      </c>
      <c r="C4316" s="106" t="inlineStr">
        <is>
          <t>Energia elétrica (rateio)</t>
        </is>
      </c>
      <c r="D4316" s="107" t="n"/>
      <c r="E4316" s="108" t="n"/>
      <c r="F4316" s="109">
        <f>IFERROR(D4316*E4316,0)</f>
        <v/>
      </c>
      <c r="G4316" s="106">
        <f>INDEX(SETORES!$B:$B,MATCH(A4316,SETORES!$A:$A,0))</f>
        <v/>
      </c>
      <c r="H4316" s="106" t="inlineStr">
        <is>
          <t>Novembro/2026</t>
        </is>
      </c>
    </row>
    <row r="4317">
      <c r="A4317" s="106" t="inlineStr">
        <is>
          <t>Comercial Corporativo</t>
        </is>
      </c>
      <c r="B4317" s="106" t="inlineStr">
        <is>
          <t>Custo Fixo</t>
        </is>
      </c>
      <c r="C4317" s="106" t="inlineStr">
        <is>
          <t>Água e esgoto (rateio)</t>
        </is>
      </c>
      <c r="D4317" s="107" t="n"/>
      <c r="E4317" s="108" t="n"/>
      <c r="F4317" s="109">
        <f>IFERROR(D4317*E4317,0)</f>
        <v/>
      </c>
      <c r="G4317" s="106">
        <f>INDEX(SETORES!$B:$B,MATCH(A4317,SETORES!$A:$A,0))</f>
        <v/>
      </c>
      <c r="H4317" s="106" t="inlineStr">
        <is>
          <t>Novembro/2026</t>
        </is>
      </c>
    </row>
    <row r="4318">
      <c r="A4318" s="106" t="inlineStr">
        <is>
          <t>TIC</t>
        </is>
      </c>
      <c r="B4318" s="106" t="inlineStr">
        <is>
          <t>Custo Fixo</t>
        </is>
      </c>
      <c r="C4318" s="106" t="inlineStr">
        <is>
          <t>Energia elétrica (rateio)</t>
        </is>
      </c>
      <c r="D4318" s="107" t="n"/>
      <c r="E4318" s="108" t="n"/>
      <c r="F4318" s="109">
        <f>IFERROR(D4318*E4318,0)</f>
        <v/>
      </c>
      <c r="G4318" s="106">
        <f>INDEX(SETORES!$B:$B,MATCH(A4318,SETORES!$A:$A,0))</f>
        <v/>
      </c>
      <c r="H4318" s="106" t="inlineStr">
        <is>
          <t>Novembro/2026</t>
        </is>
      </c>
    </row>
    <row r="4319">
      <c r="A4319" s="106" t="inlineStr">
        <is>
          <t>TIC</t>
        </is>
      </c>
      <c r="B4319" s="106" t="inlineStr">
        <is>
          <t>Custo Fixo</t>
        </is>
      </c>
      <c r="C4319" s="106" t="inlineStr">
        <is>
          <t>Água e esgoto (rateio)</t>
        </is>
      </c>
      <c r="D4319" s="107" t="n"/>
      <c r="E4319" s="108" t="n"/>
      <c r="F4319" s="109">
        <f>IFERROR(D4319*E4319,0)</f>
        <v/>
      </c>
      <c r="G4319" s="106">
        <f>INDEX(SETORES!$B:$B,MATCH(A4319,SETORES!$A:$A,0))</f>
        <v/>
      </c>
      <c r="H4319" s="106" t="inlineStr">
        <is>
          <t>Novembro/2026</t>
        </is>
      </c>
    </row>
    <row r="4320">
      <c r="A4320" s="106" t="inlineStr">
        <is>
          <t>Diretoria Adm</t>
        </is>
      </c>
      <c r="B4320" s="106" t="inlineStr">
        <is>
          <t>Custo Fixo</t>
        </is>
      </c>
      <c r="C4320" s="106" t="inlineStr">
        <is>
          <t>Energia elétrica (rateio)</t>
        </is>
      </c>
      <c r="D4320" s="107" t="n"/>
      <c r="E4320" s="108" t="n"/>
      <c r="F4320" s="109">
        <f>IFERROR(D4320*E4320,0)</f>
        <v/>
      </c>
      <c r="G4320" s="106">
        <f>INDEX(SETORES!$B:$B,MATCH(A4320,SETORES!$A:$A,0))</f>
        <v/>
      </c>
      <c r="H4320" s="106" t="inlineStr">
        <is>
          <t>Novembro/2026</t>
        </is>
      </c>
    </row>
    <row r="4321">
      <c r="A4321" s="106" t="inlineStr">
        <is>
          <t>Diretoria Adm</t>
        </is>
      </c>
      <c r="B4321" s="106" t="inlineStr">
        <is>
          <t>Custo Fixo</t>
        </is>
      </c>
      <c r="C4321" s="106" t="inlineStr">
        <is>
          <t>Água e esgoto (rateio)</t>
        </is>
      </c>
      <c r="D4321" s="107" t="n"/>
      <c r="E4321" s="108" t="n"/>
      <c r="F4321" s="109">
        <f>IFERROR(D4321*E4321,0)</f>
        <v/>
      </c>
      <c r="G4321" s="106">
        <f>INDEX(SETORES!$B:$B,MATCH(A4321,SETORES!$A:$A,0))</f>
        <v/>
      </c>
      <c r="H4321" s="106" t="inlineStr">
        <is>
          <t>Novembro/2026</t>
        </is>
      </c>
    </row>
    <row r="4322">
      <c r="A4322" s="106" t="inlineStr">
        <is>
          <t>Backoffice Comercial Varejo</t>
        </is>
      </c>
      <c r="B4322" s="106" t="inlineStr">
        <is>
          <t>Custo Fixo</t>
        </is>
      </c>
      <c r="C4322" s="106" t="inlineStr">
        <is>
          <t>Gympass</t>
        </is>
      </c>
      <c r="D4322" s="107" t="n"/>
      <c r="E4322" s="108" t="n"/>
      <c r="F4322" s="109">
        <f>IFERROR(D4322*E4322,0)</f>
        <v/>
      </c>
      <c r="G4322" s="106">
        <f>INDEX(SETORES!$B:$B,MATCH(A4322,SETORES!$A:$A,0))</f>
        <v/>
      </c>
      <c r="H4322" s="106" t="inlineStr">
        <is>
          <t>Novembro/2026</t>
        </is>
      </c>
    </row>
    <row r="4323">
      <c r="A4323" s="106" t="inlineStr">
        <is>
          <t>Backoffice Comercial Varejo</t>
        </is>
      </c>
      <c r="B4323" s="106" t="inlineStr">
        <is>
          <t>Custo Fixo</t>
        </is>
      </c>
      <c r="C4323" s="106" t="inlineStr">
        <is>
          <t>Stargrid</t>
        </is>
      </c>
      <c r="D4323" s="107" t="n">
        <v>2</v>
      </c>
      <c r="E4323" s="108" t="n">
        <v>1.87</v>
      </c>
      <c r="F4323" s="109">
        <f>IFERROR(D4323*E4323,0)</f>
        <v/>
      </c>
      <c r="G4323" s="106">
        <f>INDEX(SETORES!$B:$B,MATCH(A4323,SETORES!$A:$A,0))</f>
        <v/>
      </c>
      <c r="H4323" s="106" t="inlineStr">
        <is>
          <t>Novembro/2026</t>
        </is>
      </c>
    </row>
    <row r="4324">
      <c r="A4324" s="106" t="inlineStr">
        <is>
          <t>Backoffice Comercial Varejo</t>
        </is>
      </c>
      <c r="B4324" s="106" t="inlineStr">
        <is>
          <t>Custo Fixo</t>
        </is>
      </c>
      <c r="C4324" s="106" t="inlineStr">
        <is>
          <t>Despesas com RH</t>
        </is>
      </c>
      <c r="D4324" s="107" t="n">
        <v>2</v>
      </c>
      <c r="E4324" s="108" t="n">
        <v>32.55</v>
      </c>
      <c r="F4324" s="109">
        <f>IFERROR(D4324*E4324,0)</f>
        <v/>
      </c>
      <c r="G4324" s="106">
        <f>INDEX(SETORES!$B:$B,MATCH(A4324,SETORES!$A:$A,0))</f>
        <v/>
      </c>
      <c r="H4324" s="106" t="inlineStr">
        <is>
          <t>Novembro/2026</t>
        </is>
      </c>
    </row>
    <row r="4325">
      <c r="A4325" s="106" t="inlineStr">
        <is>
          <t>Backoffice Comercial Varejo</t>
        </is>
      </c>
      <c r="B4325" s="106" t="inlineStr">
        <is>
          <t>Custo Fixo</t>
        </is>
      </c>
      <c r="C4325" s="106" t="inlineStr">
        <is>
          <t>Despesas com DP</t>
        </is>
      </c>
      <c r="D4325" s="107" t="n">
        <v>2</v>
      </c>
      <c r="E4325" s="108" t="n">
        <v>52.09</v>
      </c>
      <c r="F4325" s="109">
        <f>IFERROR(D4325*E4325,0)</f>
        <v/>
      </c>
      <c r="G4325" s="106">
        <f>INDEX(SETORES!$B:$B,MATCH(A4325,SETORES!$A:$A,0))</f>
        <v/>
      </c>
      <c r="H4325" s="106" t="inlineStr">
        <is>
          <t>Novembro/2026</t>
        </is>
      </c>
    </row>
    <row r="4326">
      <c r="A4326" s="106" t="inlineStr">
        <is>
          <t>Backoffice Comercial Varejo</t>
        </is>
      </c>
      <c r="B4326" s="106" t="inlineStr">
        <is>
          <t>Custo Fixo</t>
        </is>
      </c>
      <c r="C4326" s="106" t="inlineStr">
        <is>
          <t>Despesas com SST</t>
        </is>
      </c>
      <c r="D4326" s="107" t="n">
        <v>2</v>
      </c>
      <c r="E4326" s="108" t="n">
        <v>52.35</v>
      </c>
      <c r="F4326" s="109">
        <f>IFERROR(D4326*E4326,0)</f>
        <v/>
      </c>
      <c r="G4326" s="106">
        <f>INDEX(SETORES!$B:$B,MATCH(A4326,SETORES!$A:$A,0))</f>
        <v/>
      </c>
      <c r="H4326" s="106" t="inlineStr">
        <is>
          <t>Novembro/2026</t>
        </is>
      </c>
    </row>
    <row r="4327">
      <c r="A4327" s="106" t="inlineStr">
        <is>
          <t>Backoffice Comercial Varejo</t>
        </is>
      </c>
      <c r="B4327" s="106" t="inlineStr">
        <is>
          <t>Custo Fixo</t>
        </is>
      </c>
      <c r="C4327" s="106" t="inlineStr">
        <is>
          <t>Licença de e-mail corporativo</t>
        </is>
      </c>
      <c r="D4327" s="107" t="n">
        <v>2</v>
      </c>
      <c r="E4327" s="108" t="n">
        <v>50</v>
      </c>
      <c r="F4327" s="109">
        <f>IFERROR(D4327*E4327,0)</f>
        <v/>
      </c>
      <c r="G4327" s="106">
        <f>INDEX(SETORES!$B:$B,MATCH(A4327,SETORES!$A:$A,0))</f>
        <v/>
      </c>
      <c r="H4327" s="106" t="inlineStr">
        <is>
          <t>Novembro/2026</t>
        </is>
      </c>
    </row>
    <row r="4328">
      <c r="A4328" s="106" t="inlineStr">
        <is>
          <t>Backoffice Comercial Varejo</t>
        </is>
      </c>
      <c r="B4328" s="106" t="inlineStr">
        <is>
          <t>Custo Fixo</t>
        </is>
      </c>
      <c r="C4328" s="106" t="inlineStr">
        <is>
          <t>Chip móvel corporativo</t>
        </is>
      </c>
      <c r="D4328" s="107" t="n">
        <v>1</v>
      </c>
      <c r="E4328" s="108" t="n">
        <v>30</v>
      </c>
      <c r="F4328" s="109">
        <f>IFERROR(D4328*E4328,0)</f>
        <v/>
      </c>
      <c r="G4328" s="106">
        <f>INDEX(SETORES!$B:$B,MATCH(A4328,SETORES!$A:$A,0))</f>
        <v/>
      </c>
      <c r="H4328" s="106" t="inlineStr">
        <is>
          <t>Novembro/2026</t>
        </is>
      </c>
    </row>
    <row r="4329">
      <c r="A4329" s="106" t="inlineStr">
        <is>
          <t>Serviços Gerais</t>
        </is>
      </c>
      <c r="B4329" s="106" t="inlineStr">
        <is>
          <t>Custo Fixo</t>
        </is>
      </c>
      <c r="C4329" s="106" t="inlineStr">
        <is>
          <t>Gympass</t>
        </is>
      </c>
      <c r="D4329" s="107" t="n"/>
      <c r="E4329" s="108" t="n"/>
      <c r="F4329" s="109">
        <f>IFERROR(D4329*E4329,0)</f>
        <v/>
      </c>
      <c r="G4329" s="106">
        <f>INDEX(SETORES!$B:$B,MATCH(A4329,SETORES!$A:$A,0))</f>
        <v/>
      </c>
      <c r="H4329" s="106" t="inlineStr">
        <is>
          <t>Novembro/2026</t>
        </is>
      </c>
    </row>
    <row r="4330">
      <c r="A4330" s="106" t="inlineStr">
        <is>
          <t>Serviços Gerais</t>
        </is>
      </c>
      <c r="B4330" s="106" t="inlineStr">
        <is>
          <t>Custo Fixo</t>
        </is>
      </c>
      <c r="C4330" s="106" t="inlineStr">
        <is>
          <t>Stargrid</t>
        </is>
      </c>
      <c r="D4330" s="107" t="n">
        <v>6</v>
      </c>
      <c r="E4330" s="108" t="n">
        <v>1.87</v>
      </c>
      <c r="F4330" s="109">
        <f>IFERROR(D4330*E4330,0)</f>
        <v/>
      </c>
      <c r="G4330" s="106">
        <f>INDEX(SETORES!$B:$B,MATCH(A4330,SETORES!$A:$A,0))</f>
        <v/>
      </c>
      <c r="H4330" s="106" t="inlineStr">
        <is>
          <t>Novembro/2026</t>
        </is>
      </c>
    </row>
    <row r="4331">
      <c r="A4331" s="106" t="inlineStr">
        <is>
          <t>Serviços Gerais</t>
        </is>
      </c>
      <c r="B4331" s="106" t="inlineStr">
        <is>
          <t>Custo Fixo</t>
        </is>
      </c>
      <c r="C4331" s="106" t="inlineStr">
        <is>
          <t>Despesas com RH</t>
        </is>
      </c>
      <c r="D4331" s="107" t="n">
        <v>6</v>
      </c>
      <c r="E4331" s="108" t="n">
        <v>32.55</v>
      </c>
      <c r="F4331" s="109">
        <f>IFERROR(D4331*E4331,0)</f>
        <v/>
      </c>
      <c r="G4331" s="106">
        <f>INDEX(SETORES!$B:$B,MATCH(A4331,SETORES!$A:$A,0))</f>
        <v/>
      </c>
      <c r="H4331" s="106" t="inlineStr">
        <is>
          <t>Novembro/2026</t>
        </is>
      </c>
    </row>
    <row r="4332">
      <c r="A4332" s="106" t="inlineStr">
        <is>
          <t>Serviços Gerais</t>
        </is>
      </c>
      <c r="B4332" s="106" t="inlineStr">
        <is>
          <t>Custo Fixo</t>
        </is>
      </c>
      <c r="C4332" s="106" t="inlineStr">
        <is>
          <t>Despesas com DP</t>
        </is>
      </c>
      <c r="D4332" s="107" t="n">
        <v>6</v>
      </c>
      <c r="E4332" s="108" t="n">
        <v>52.09</v>
      </c>
      <c r="F4332" s="109">
        <f>IFERROR(D4332*E4332,0)</f>
        <v/>
      </c>
      <c r="G4332" s="106">
        <f>INDEX(SETORES!$B:$B,MATCH(A4332,SETORES!$A:$A,0))</f>
        <v/>
      </c>
      <c r="H4332" s="106" t="inlineStr">
        <is>
          <t>Novembro/2026</t>
        </is>
      </c>
    </row>
    <row r="4333">
      <c r="A4333" s="106" t="inlineStr">
        <is>
          <t>Serviços Gerais</t>
        </is>
      </c>
      <c r="B4333" s="106" t="inlineStr">
        <is>
          <t>Custo Fixo</t>
        </is>
      </c>
      <c r="C4333" s="106" t="inlineStr">
        <is>
          <t>Despesas com SST</t>
        </is>
      </c>
      <c r="D4333" s="107" t="n">
        <v>6</v>
      </c>
      <c r="E4333" s="108" t="n">
        <v>52.35</v>
      </c>
      <c r="F4333" s="109">
        <f>IFERROR(D4333*E4333,0)</f>
        <v/>
      </c>
      <c r="G4333" s="106">
        <f>INDEX(SETORES!$B:$B,MATCH(A4333,SETORES!$A:$A,0))</f>
        <v/>
      </c>
      <c r="H4333" s="106" t="inlineStr">
        <is>
          <t>Novembro/2026</t>
        </is>
      </c>
    </row>
    <row r="4334">
      <c r="A4334" s="106" t="inlineStr">
        <is>
          <t>Compras</t>
        </is>
      </c>
      <c r="B4334" s="106" t="inlineStr">
        <is>
          <t>Custo Variável</t>
        </is>
      </c>
      <c r="C4334" s="106" t="inlineStr">
        <is>
          <t>Fardamento novo</t>
        </is>
      </c>
      <c r="D4334" s="107" t="n"/>
      <c r="E4334" s="108" t="n"/>
      <c r="F4334" s="109">
        <f>IFERROR(D4334*E4334,0)</f>
        <v/>
      </c>
      <c r="G4334" s="106">
        <f>INDEX(SETORES!$B:$B,MATCH(A4334,SETORES!$A:$A,0))</f>
        <v/>
      </c>
      <c r="H4334" s="106" t="inlineStr">
        <is>
          <t>Novembro/2026</t>
        </is>
      </c>
    </row>
    <row r="4335">
      <c r="A4335" s="106" t="inlineStr">
        <is>
          <t>Fique Móvel</t>
        </is>
      </c>
      <c r="B4335" s="106" t="inlineStr">
        <is>
          <t>Custo Variável</t>
        </is>
      </c>
      <c r="C4335" s="106" t="inlineStr">
        <is>
          <t>Fardamento novo</t>
        </is>
      </c>
      <c r="D4335" s="107" t="n"/>
      <c r="E4335" s="108" t="n"/>
      <c r="F4335" s="109">
        <f>IFERROR(D4335*E4335,0)</f>
        <v/>
      </c>
      <c r="G4335" s="106">
        <f>INDEX(SETORES!$B:$B,MATCH(A4335,SETORES!$A:$A,0))</f>
        <v/>
      </c>
      <c r="H4335" s="106" t="inlineStr">
        <is>
          <t>Novembro/2026</t>
        </is>
      </c>
    </row>
    <row r="4336">
      <c r="A4336" s="106" t="inlineStr">
        <is>
          <t>Manutenção Predial</t>
        </is>
      </c>
      <c r="B4336" s="106" t="inlineStr">
        <is>
          <t>Custo Variável</t>
        </is>
      </c>
      <c r="C4336" s="106" t="inlineStr">
        <is>
          <t>Fardamento novo</t>
        </is>
      </c>
      <c r="D4336" s="107" t="n"/>
      <c r="E4336" s="108" t="n"/>
      <c r="F4336" s="109">
        <f>IFERROR(D4336*E4336,0)</f>
        <v/>
      </c>
      <c r="G4336" s="106">
        <f>INDEX(SETORES!$B:$B,MATCH(A4336,SETORES!$A:$A,0))</f>
        <v/>
      </c>
      <c r="H4336" s="106" t="inlineStr">
        <is>
          <t>Novembro/2026</t>
        </is>
      </c>
    </row>
    <row r="4337">
      <c r="A4337" s="106" t="inlineStr">
        <is>
          <t>Manutenção Predial</t>
        </is>
      </c>
      <c r="B4337" s="106" t="inlineStr">
        <is>
          <t>Custo Variável</t>
        </is>
      </c>
      <c r="C4337" s="106" t="inlineStr">
        <is>
          <t>Fardamento substituição</t>
        </is>
      </c>
      <c r="D4337" s="107" t="n"/>
      <c r="E4337" s="108" t="n"/>
      <c r="F4337" s="109">
        <f>IFERROR(D4337*E4337,0)</f>
        <v/>
      </c>
      <c r="G4337" s="106">
        <f>INDEX(SETORES!$B:$B,MATCH(A4337,SETORES!$A:$A,0))</f>
        <v/>
      </c>
      <c r="H4337" s="106" t="inlineStr">
        <is>
          <t>Novembro/2026</t>
        </is>
      </c>
    </row>
    <row r="4338">
      <c r="A4338" s="106" t="inlineStr">
        <is>
          <t>Marketing</t>
        </is>
      </c>
      <c r="B4338" s="106" t="inlineStr">
        <is>
          <t>Custo Variável</t>
        </is>
      </c>
      <c r="C4338" s="106" t="inlineStr">
        <is>
          <t>Fardamento novo</t>
        </is>
      </c>
      <c r="D4338" s="107" t="n">
        <v>1</v>
      </c>
      <c r="E4338" s="108" t="n">
        <v>360</v>
      </c>
      <c r="F4338" s="109">
        <f>IFERROR(D4338*E4338,0)</f>
        <v/>
      </c>
      <c r="G4338" s="106">
        <f>INDEX(SETORES!$B:$B,MATCH(A4338,SETORES!$A:$A,0))</f>
        <v/>
      </c>
      <c r="H4338" s="106" t="inlineStr">
        <is>
          <t>Novembro/2026</t>
        </is>
      </c>
    </row>
    <row r="4339">
      <c r="A4339" s="106" t="inlineStr">
        <is>
          <t>Serviços Gerais</t>
        </is>
      </c>
      <c r="B4339" s="106" t="inlineStr">
        <is>
          <t>Custo Variável</t>
        </is>
      </c>
      <c r="C4339" s="106" t="inlineStr">
        <is>
          <t>Fardamento substituição</t>
        </is>
      </c>
      <c r="D4339" s="107" t="n"/>
      <c r="E4339" s="108" t="n"/>
      <c r="F4339" s="109">
        <f>IFERROR(D4339*E4339,0)</f>
        <v/>
      </c>
      <c r="G4339" s="106">
        <f>INDEX(SETORES!$B:$B,MATCH(A4339,SETORES!$A:$A,0))</f>
        <v/>
      </c>
      <c r="H4339" s="106" t="inlineStr">
        <is>
          <t>Novembro/2026</t>
        </is>
      </c>
    </row>
    <row r="4340">
      <c r="A4340" s="106" t="inlineStr">
        <is>
          <t>Suporte da Central</t>
        </is>
      </c>
      <c r="B4340" s="106" t="inlineStr">
        <is>
          <t>Custo Variável</t>
        </is>
      </c>
      <c r="C4340" s="106" t="inlineStr">
        <is>
          <t>Fardamento novo</t>
        </is>
      </c>
      <c r="D4340" s="107" t="n"/>
      <c r="E4340" s="108" t="n"/>
      <c r="F4340" s="109">
        <f>IFERROR(D4340*E4340,0)</f>
        <v/>
      </c>
      <c r="G4340" s="106">
        <f>INDEX(SETORES!$B:$B,MATCH(A4340,SETORES!$A:$A,0))</f>
        <v/>
      </c>
      <c r="H4340" s="106" t="inlineStr">
        <is>
          <t>Novembro/2026</t>
        </is>
      </c>
    </row>
    <row r="4341">
      <c r="A4341" s="106" t="inlineStr">
        <is>
          <t>Suporte Orbix</t>
        </is>
      </c>
      <c r="B4341" s="106" t="inlineStr">
        <is>
          <t>Custo Variável</t>
        </is>
      </c>
      <c r="C4341" s="106" t="inlineStr">
        <is>
          <t>Fardamento substituição</t>
        </is>
      </c>
      <c r="D4341" s="107" t="n"/>
      <c r="E4341" s="108" t="n"/>
      <c r="F4341" s="109">
        <f>IFERROR(D4341*E4341,0)</f>
        <v/>
      </c>
      <c r="G4341" s="106">
        <f>INDEX(SETORES!$B:$B,MATCH(A4341,SETORES!$A:$A,0))</f>
        <v/>
      </c>
      <c r="H4341" s="106" t="inlineStr">
        <is>
          <t>Novembro/2026</t>
        </is>
      </c>
    </row>
    <row r="4342">
      <c r="A4342" s="106" t="inlineStr">
        <is>
          <t>Televendas</t>
        </is>
      </c>
      <c r="B4342" s="106" t="inlineStr">
        <is>
          <t>Custo Variável</t>
        </is>
      </c>
      <c r="C4342" s="106" t="inlineStr">
        <is>
          <t>Fardamento novo</t>
        </is>
      </c>
      <c r="D4342" s="107" t="n"/>
      <c r="E4342" s="108" t="n"/>
      <c r="F4342" s="109">
        <f>IFERROR(D4342*E4342,0)</f>
        <v/>
      </c>
      <c r="G4342" s="106">
        <f>INDEX(SETORES!$B:$B,MATCH(A4342,SETORES!$A:$A,0))</f>
        <v/>
      </c>
      <c r="H4342" s="106" t="inlineStr">
        <is>
          <t>Novembro/2026</t>
        </is>
      </c>
    </row>
    <row r="4343">
      <c r="A4343" s="106" t="inlineStr">
        <is>
          <t>TIC</t>
        </is>
      </c>
      <c r="B4343" s="106" t="inlineStr">
        <is>
          <t>Custo Variável</t>
        </is>
      </c>
      <c r="C4343" s="106" t="inlineStr">
        <is>
          <t>Fardamento novo</t>
        </is>
      </c>
      <c r="D4343" s="107" t="n"/>
      <c r="E4343" s="108" t="n"/>
      <c r="F4343" s="109">
        <f>IFERROR(D4343*E4343,0)</f>
        <v/>
      </c>
      <c r="G4343" s="106">
        <f>INDEX(SETORES!$B:$B,MATCH(A4343,SETORES!$A:$A,0))</f>
        <v/>
      </c>
      <c r="H4343" s="106" t="inlineStr">
        <is>
          <t>Novembro/2026</t>
        </is>
      </c>
    </row>
    <row r="4344">
      <c r="A4344" s="106" t="inlineStr">
        <is>
          <t>Televendas</t>
        </is>
      </c>
      <c r="B4344" s="106" t="inlineStr">
        <is>
          <t>Custo Fixo</t>
        </is>
      </c>
      <c r="C4344" s="106" t="inlineStr">
        <is>
          <t>Software MATRIX (rateio equipe Relacionamento)</t>
        </is>
      </c>
      <c r="D4344" s="107" t="n"/>
      <c r="E4344" s="108" t="n"/>
      <c r="F4344" s="109">
        <f>IFERROR(D4344*E4344,0)</f>
        <v/>
      </c>
      <c r="G4344" s="106">
        <f>INDEX(SETORES!$B:$B,MATCH(A4344,SETORES!$A:$A,0))</f>
        <v/>
      </c>
      <c r="H4344" s="106" t="inlineStr">
        <is>
          <t>Novembro/2026</t>
        </is>
      </c>
    </row>
    <row r="4345">
      <c r="A4345" s="106" t="inlineStr">
        <is>
          <t>Cozinha</t>
        </is>
      </c>
      <c r="B4345" s="106" t="inlineStr">
        <is>
          <t>Custo Fixo</t>
        </is>
      </c>
      <c r="C4345" s="106" t="inlineStr">
        <is>
          <t>Custo de gestão administrativa (rateado — Cryslaine Fonseca Rosal)</t>
        </is>
      </c>
      <c r="D4345" s="107" t="n">
        <v>1</v>
      </c>
      <c r="E4345" s="108" t="n">
        <v>699.78</v>
      </c>
      <c r="F4345" s="109">
        <f>IFERROR(D4345*E4345,0)</f>
        <v/>
      </c>
      <c r="G4345" s="106">
        <f>INDEX(SETORES!$B:$B,MATCH(A4345,SETORES!$A:$A,0))</f>
        <v/>
      </c>
      <c r="H4345" s="106" t="inlineStr">
        <is>
          <t>Novembro/2026</t>
        </is>
      </c>
    </row>
    <row r="4346">
      <c r="A4346" s="106" t="inlineStr">
        <is>
          <t>Cozinha</t>
        </is>
      </c>
      <c r="B4346" s="106" t="inlineStr">
        <is>
          <t>Custo Fixo</t>
        </is>
      </c>
      <c r="C4346" s="106" t="inlineStr">
        <is>
          <t>Gympass</t>
        </is>
      </c>
      <c r="D4346" s="107" t="n"/>
      <c r="E4346" s="108" t="n"/>
      <c r="F4346" s="109">
        <f>IFERROR(D4346*E4346,0)</f>
        <v/>
      </c>
      <c r="G4346" s="106">
        <f>INDEX(SETORES!$B:$B,MATCH(A4346,SETORES!$A:$A,0))</f>
        <v/>
      </c>
      <c r="H4346" s="106" t="inlineStr">
        <is>
          <t>Novembro/2026</t>
        </is>
      </c>
    </row>
    <row r="4347">
      <c r="A4347" s="106" t="inlineStr">
        <is>
          <t>Cozinha</t>
        </is>
      </c>
      <c r="B4347" s="106" t="inlineStr">
        <is>
          <t>Custo Fixo</t>
        </is>
      </c>
      <c r="C4347" s="106" t="inlineStr">
        <is>
          <t>Stargrid</t>
        </is>
      </c>
      <c r="D4347" s="107" t="n">
        <v>4</v>
      </c>
      <c r="E4347" s="108" t="n">
        <v>1.87</v>
      </c>
      <c r="F4347" s="109">
        <f>IFERROR(D4347*E4347,0)</f>
        <v/>
      </c>
      <c r="G4347" s="106">
        <f>INDEX(SETORES!$B:$B,MATCH(A4347,SETORES!$A:$A,0))</f>
        <v/>
      </c>
      <c r="H4347" s="106" t="inlineStr">
        <is>
          <t>Novembro/2026</t>
        </is>
      </c>
    </row>
    <row r="4348">
      <c r="A4348" s="106" t="inlineStr">
        <is>
          <t>Cozinha</t>
        </is>
      </c>
      <c r="B4348" s="106" t="inlineStr">
        <is>
          <t>Custo Fixo</t>
        </is>
      </c>
      <c r="C4348" s="106" t="inlineStr">
        <is>
          <t>Despesas com RH</t>
        </is>
      </c>
      <c r="D4348" s="107" t="n">
        <v>4</v>
      </c>
      <c r="E4348" s="108" t="n">
        <v>32.55</v>
      </c>
      <c r="F4348" s="109">
        <f>IFERROR(D4348*E4348,0)</f>
        <v/>
      </c>
      <c r="G4348" s="106">
        <f>INDEX(SETORES!$B:$B,MATCH(A4348,SETORES!$A:$A,0))</f>
        <v/>
      </c>
      <c r="H4348" s="106" t="inlineStr">
        <is>
          <t>Novembro/2026</t>
        </is>
      </c>
    </row>
    <row r="4349">
      <c r="A4349" s="106" t="inlineStr">
        <is>
          <t>Cozinha</t>
        </is>
      </c>
      <c r="B4349" s="106" t="inlineStr">
        <is>
          <t>Custo Fixo</t>
        </is>
      </c>
      <c r="C4349" s="106" t="inlineStr">
        <is>
          <t>Despesas com DP</t>
        </is>
      </c>
      <c r="D4349" s="107" t="n">
        <v>4</v>
      </c>
      <c r="E4349" s="108" t="n">
        <v>52.09</v>
      </c>
      <c r="F4349" s="109">
        <f>IFERROR(D4349*E4349,0)</f>
        <v/>
      </c>
      <c r="G4349" s="106">
        <f>INDEX(SETORES!$B:$B,MATCH(A4349,SETORES!$A:$A,0))</f>
        <v/>
      </c>
      <c r="H4349" s="106" t="inlineStr">
        <is>
          <t>Novembro/2026</t>
        </is>
      </c>
    </row>
    <row r="4350">
      <c r="A4350" s="106" t="inlineStr">
        <is>
          <t>Cozinha</t>
        </is>
      </c>
      <c r="B4350" s="106" t="inlineStr">
        <is>
          <t>Custo Fixo</t>
        </is>
      </c>
      <c r="C4350" s="106" t="inlineStr">
        <is>
          <t>Despesas com SST</t>
        </is>
      </c>
      <c r="D4350" s="107" t="n">
        <v>4</v>
      </c>
      <c r="E4350" s="108" t="n">
        <v>52.35</v>
      </c>
      <c r="F4350" s="109">
        <f>IFERROR(D4350*E4350,0)</f>
        <v/>
      </c>
      <c r="G4350" s="106">
        <f>INDEX(SETORES!$B:$B,MATCH(A4350,SETORES!$A:$A,0))</f>
        <v/>
      </c>
      <c r="H4350" s="106" t="inlineStr">
        <is>
          <t>Novembro/2026</t>
        </is>
      </c>
    </row>
    <row r="4351">
      <c r="A4351" s="106" t="inlineStr">
        <is>
          <t>Cozinha</t>
        </is>
      </c>
      <c r="B4351" s="106" t="inlineStr">
        <is>
          <t>Custo Variável</t>
        </is>
      </c>
      <c r="C4351" s="106" t="inlineStr">
        <is>
          <t>Alimentação (compras semanais para a cozinha)</t>
        </is>
      </c>
      <c r="D4351" s="107" t="n"/>
      <c r="E4351" s="108" t="n"/>
      <c r="F4351" s="109">
        <f>IFERROR(D4351*E4351,0)</f>
        <v/>
      </c>
      <c r="G4351" s="106">
        <f>INDEX(SETORES!$B:$B,MATCH(A4351,SETORES!$A:$A,0))</f>
        <v/>
      </c>
      <c r="H4351" s="106" t="inlineStr">
        <is>
          <t>Novembro/2026</t>
        </is>
      </c>
    </row>
    <row r="4352">
      <c r="A4352" s="106" t="inlineStr">
        <is>
          <t>Cozinha</t>
        </is>
      </c>
      <c r="B4352" s="106" t="inlineStr">
        <is>
          <t>Custo Variável</t>
        </is>
      </c>
      <c r="C4352" s="106" t="inlineStr">
        <is>
          <t>Material de limpeza (compras mensais para distribuição — Cozinha)</t>
        </is>
      </c>
      <c r="D4352" s="107" t="n"/>
      <c r="E4352" s="108" t="n"/>
      <c r="F4352" s="109">
        <f>IFERROR(D4352*E4352,0)</f>
        <v/>
      </c>
      <c r="G4352" s="106">
        <f>INDEX(SETORES!$B:$B,MATCH(A4352,SETORES!$A:$A,0))</f>
        <v/>
      </c>
      <c r="H4352" s="106" t="inlineStr">
        <is>
          <t>Novembro/2026</t>
        </is>
      </c>
    </row>
    <row r="4353">
      <c r="A4353" s="106" t="inlineStr">
        <is>
          <t>Cozinha</t>
        </is>
      </c>
      <c r="B4353" s="106" t="inlineStr">
        <is>
          <t>Custo Variável</t>
        </is>
      </c>
      <c r="C4353" s="106" t="inlineStr">
        <is>
          <t>Gás de cozinha (compras mensais para a cozinha)</t>
        </is>
      </c>
      <c r="D4353" s="107" t="n"/>
      <c r="E4353" s="108" t="n"/>
      <c r="F4353" s="109">
        <f>IFERROR(D4353*E4353,0)</f>
        <v/>
      </c>
      <c r="G4353" s="106">
        <f>INDEX(SETORES!$B:$B,MATCH(A4353,SETORES!$A:$A,0))</f>
        <v/>
      </c>
      <c r="H4353" s="106" t="inlineStr">
        <is>
          <t>Novembro/2026</t>
        </is>
      </c>
    </row>
    <row r="4354">
      <c r="A4354" s="106" t="inlineStr">
        <is>
          <t>Cozinha</t>
        </is>
      </c>
      <c r="B4354" s="106" t="inlineStr">
        <is>
          <t>Custo Variável</t>
        </is>
      </c>
      <c r="C4354" s="106" t="inlineStr">
        <is>
          <t>Crédito — Refeições pagas pelos colaboradores (valor simbólico, Refeitório)</t>
        </is>
      </c>
      <c r="D4354" s="107" t="n"/>
      <c r="E4354" s="108" t="n"/>
      <c r="F4354" s="109">
        <f>IFERROR(D4354*E4354,0)</f>
        <v/>
      </c>
      <c r="G4354" s="106">
        <f>INDEX(SETORES!$B:$B,MATCH(A4354,SETORES!$A:$A,0))</f>
        <v/>
      </c>
      <c r="H4354" s="106" t="inlineStr">
        <is>
          <t>Novembro/2026</t>
        </is>
      </c>
    </row>
    <row r="4355">
      <c r="A4355" s="106" t="inlineStr">
        <is>
          <t>Desenvolvimento</t>
        </is>
      </c>
      <c r="B4355" s="106" t="inlineStr">
        <is>
          <t>Custo Fixo</t>
        </is>
      </c>
      <c r="C4355" s="106" t="inlineStr">
        <is>
          <t>Folha de pagamento (salários)</t>
        </is>
      </c>
      <c r="D4355" s="107" t="n">
        <v>1</v>
      </c>
      <c r="E4355" s="108" t="n">
        <v>24325.69</v>
      </c>
      <c r="F4355" s="109">
        <f>IFERROR(D4355*E4355,0)</f>
        <v/>
      </c>
      <c r="G4355" s="106">
        <f>INDEX(SETORES!$B:$B,MATCH(A4355,SETORES!$A:$A,0))</f>
        <v/>
      </c>
      <c r="H4355" s="106" t="inlineStr">
        <is>
          <t>Novembro/2026</t>
        </is>
      </c>
    </row>
    <row r="4356">
      <c r="A4356" s="106" t="inlineStr">
        <is>
          <t>Logística</t>
        </is>
      </c>
      <c r="B4356" s="106" t="inlineStr">
        <is>
          <t>Custo Fixo</t>
        </is>
      </c>
      <c r="C4356" s="106" t="inlineStr">
        <is>
          <t>Custo de gestão administrativa (rateado — Demetrius Ribeiro de Aquino)</t>
        </is>
      </c>
      <c r="D4356" s="107" t="n">
        <v>1</v>
      </c>
      <c r="E4356" s="108" t="n">
        <v>11599.66</v>
      </c>
      <c r="F4356" s="109">
        <f>IFERROR(D4356*E4356,0)</f>
        <v/>
      </c>
      <c r="G4356" s="106">
        <f>INDEX(SETORES!$B:$B,MATCH(A4356,SETORES!$A:$A,0))</f>
        <v/>
      </c>
      <c r="H4356" s="106" t="inlineStr">
        <is>
          <t>Novembro/2026</t>
        </is>
      </c>
    </row>
    <row r="4357">
      <c r="A4357" s="106" t="inlineStr">
        <is>
          <t>Oficina</t>
        </is>
      </c>
      <c r="B4357" s="106" t="inlineStr">
        <is>
          <t>Custo Fixo</t>
        </is>
      </c>
      <c r="C4357" s="106" t="inlineStr">
        <is>
          <t>Custo de gestão administrativa (rateado — Demetrius Ribeiro de Aquino)</t>
        </is>
      </c>
      <c r="D4357" s="107" t="n">
        <v>1</v>
      </c>
      <c r="E4357" s="108" t="n">
        <v>2899.91</v>
      </c>
      <c r="F4357" s="109">
        <f>IFERROR(D4357*E4357,0)</f>
        <v/>
      </c>
      <c r="G4357" s="106">
        <f>INDEX(SETORES!$B:$B,MATCH(A4357,SETORES!$A:$A,0))</f>
        <v/>
      </c>
      <c r="H4357" s="106" t="inlineStr">
        <is>
          <t>Novembro/2026</t>
        </is>
      </c>
    </row>
    <row r="4358">
      <c r="A4358" s="106" t="inlineStr">
        <is>
          <t>Configuração</t>
        </is>
      </c>
      <c r="B4358" s="106" t="inlineStr">
        <is>
          <t>Custo Fixo</t>
        </is>
      </c>
      <c r="C4358" s="106" t="inlineStr">
        <is>
          <t>Folha de pagamento (salários)</t>
        </is>
      </c>
      <c r="D4358" s="107" t="n">
        <v>1</v>
      </c>
      <c r="E4358" s="108" t="n">
        <v>46351.21</v>
      </c>
      <c r="F4358" s="109">
        <f>IFERROR(D4358*E4358,0)</f>
        <v/>
      </c>
      <c r="G4358" s="106">
        <f>INDEX(SETORES!$B:$B,MATCH(A4358,SETORES!$A:$A,0))</f>
        <v/>
      </c>
      <c r="H4358" s="106" t="inlineStr">
        <is>
          <t>Novembro/2026</t>
        </is>
      </c>
    </row>
    <row r="4359">
      <c r="A4359" s="106" t="inlineStr">
        <is>
          <t>Cozinha</t>
        </is>
      </c>
      <c r="B4359" s="106" t="inlineStr">
        <is>
          <t>Custo Variável</t>
        </is>
      </c>
      <c r="C4359" s="106" t="inlineStr">
        <is>
          <t>Rescisões trabalhistas</t>
        </is>
      </c>
      <c r="D4359" s="107" t="n"/>
      <c r="E4359" s="108" t="n"/>
      <c r="F4359" s="109">
        <f>IFERROR(D4359*E4359,0)</f>
        <v/>
      </c>
      <c r="G4359" s="106">
        <f>INDEX(SETORES!$B:$B,MATCH(A4359,SETORES!$A:$A,0))</f>
        <v/>
      </c>
      <c r="H4359" s="106" t="inlineStr">
        <is>
          <t>Novembro/2026</t>
        </is>
      </c>
    </row>
    <row r="4360">
      <c r="A4360" s="106" t="inlineStr">
        <is>
          <t>Marketing</t>
        </is>
      </c>
      <c r="B4360" s="106" t="inlineStr">
        <is>
          <t>Custo Variável</t>
        </is>
      </c>
      <c r="C4360" s="106" t="inlineStr">
        <is>
          <t>Rescisões trabalhistas</t>
        </is>
      </c>
      <c r="D4360" s="107" t="n"/>
      <c r="E4360" s="108" t="n"/>
      <c r="F4360" s="109">
        <f>IFERROR(D4360*E4360,0)</f>
        <v/>
      </c>
      <c r="G4360" s="106">
        <f>INDEX(SETORES!$B:$B,MATCH(A4360,SETORES!$A:$A,0))</f>
        <v/>
      </c>
      <c r="H4360" s="106" t="inlineStr">
        <is>
          <t>Novembro/2026</t>
        </is>
      </c>
    </row>
    <row r="4361">
      <c r="A4361" s="106" t="inlineStr">
        <is>
          <t>Configuração</t>
        </is>
      </c>
      <c r="B4361" s="106" t="inlineStr">
        <is>
          <t>Custo Variável</t>
        </is>
      </c>
      <c r="C4361" s="106" t="inlineStr">
        <is>
          <t>Rescisões trabalhistas</t>
        </is>
      </c>
      <c r="D4361" s="107" t="n"/>
      <c r="E4361" s="108" t="n"/>
      <c r="F4361" s="109">
        <f>IFERROR(D4361*E4361,0)</f>
        <v/>
      </c>
      <c r="G4361" s="106">
        <f>INDEX(SETORES!$B:$B,MATCH(A4361,SETORES!$A:$A,0))</f>
        <v/>
      </c>
      <c r="H4361" s="106" t="inlineStr">
        <is>
          <t>Novembro/2026</t>
        </is>
      </c>
    </row>
    <row r="4362">
      <c r="A4362" s="106" t="inlineStr">
        <is>
          <t>Qualidade</t>
        </is>
      </c>
      <c r="B4362" s="106" t="inlineStr">
        <is>
          <t>Custo Variável</t>
        </is>
      </c>
      <c r="C4362" s="106" t="inlineStr">
        <is>
          <t>Fardamento novo</t>
        </is>
      </c>
      <c r="D4362" s="107" t="n">
        <v>1</v>
      </c>
      <c r="E4362" s="108" t="n">
        <v>270</v>
      </c>
      <c r="F4362" s="109">
        <f>IFERROR(D4362*E4362,0)</f>
        <v/>
      </c>
      <c r="G4362" s="106">
        <f>INDEX(SETORES!$B:$B,MATCH(A4362,SETORES!$A:$A,0))</f>
        <v/>
      </c>
      <c r="H4362" s="106" t="inlineStr">
        <is>
          <t>Novembro/2026</t>
        </is>
      </c>
    </row>
    <row r="4363">
      <c r="A4363" s="106" t="inlineStr">
        <is>
          <t>Qualidade</t>
        </is>
      </c>
      <c r="B4363" s="106" t="inlineStr">
        <is>
          <t>Custo Variável</t>
        </is>
      </c>
      <c r="C4363" s="106" t="inlineStr">
        <is>
          <t>Material de escritório (suprimentos de informática)</t>
        </is>
      </c>
      <c r="D4363" s="107" t="n">
        <v>1</v>
      </c>
      <c r="E4363" s="108" t="n">
        <v>69.45</v>
      </c>
      <c r="F4363" s="109">
        <f>IFERROR(D4363*E4363,0)</f>
        <v/>
      </c>
      <c r="G4363" s="106">
        <f>INDEX(SETORES!$B:$B,MATCH(A4363,SETORES!$A:$A,0))</f>
        <v/>
      </c>
      <c r="H4363" s="106" t="inlineStr">
        <is>
          <t>Novembro/2026</t>
        </is>
      </c>
    </row>
    <row r="4364">
      <c r="A4364" s="106" t="inlineStr">
        <is>
          <t>TIC</t>
        </is>
      </c>
      <c r="B4364" s="106" t="inlineStr">
        <is>
          <t>Custo Variável</t>
        </is>
      </c>
      <c r="C4364" s="106" t="inlineStr">
        <is>
          <t>Material de escritório (suprimentos de informática)</t>
        </is>
      </c>
      <c r="D4364" s="107" t="n">
        <v>1</v>
      </c>
      <c r="E4364" s="108" t="n">
        <v>52.84</v>
      </c>
      <c r="F4364" s="109">
        <f>IFERROR(D4364*E4364,0)</f>
        <v/>
      </c>
      <c r="G4364" s="106">
        <f>INDEX(SETORES!$B:$B,MATCH(A4364,SETORES!$A:$A,0))</f>
        <v/>
      </c>
      <c r="H4364" s="106" t="inlineStr">
        <is>
          <t>Novembro/2026</t>
        </is>
      </c>
    </row>
    <row r="4365">
      <c r="A4365" s="106" t="inlineStr">
        <is>
          <t>Comercial Corporativo</t>
        </is>
      </c>
      <c r="B4365" s="106" t="inlineStr">
        <is>
          <t>Custo Variável</t>
        </is>
      </c>
      <c r="C4365" s="106" t="inlineStr">
        <is>
          <t>Material de escritório (suprimentos de informática)</t>
        </is>
      </c>
      <c r="D4365" s="107" t="n">
        <v>1</v>
      </c>
      <c r="E4365" s="108" t="n">
        <v>9.640000000000001</v>
      </c>
      <c r="F4365" s="109">
        <f>IFERROR(D4365*E4365,0)</f>
        <v/>
      </c>
      <c r="G4365" s="106">
        <f>INDEX(SETORES!$B:$B,MATCH(A4365,SETORES!$A:$A,0))</f>
        <v/>
      </c>
      <c r="H4365" s="106" t="inlineStr">
        <is>
          <t>Novembro/2026</t>
        </is>
      </c>
    </row>
    <row r="4366">
      <c r="A4366" s="106" t="inlineStr">
        <is>
          <t>Cozinha</t>
        </is>
      </c>
      <c r="B4366" s="106" t="inlineStr">
        <is>
          <t>Custo Variável</t>
        </is>
      </c>
      <c r="C4366" s="106" t="inlineStr">
        <is>
          <t>Material de uso coletivo (copa/limpeza)</t>
        </is>
      </c>
      <c r="D4366" s="107" t="n">
        <v>1</v>
      </c>
      <c r="E4366" s="108" t="n">
        <v>124.05</v>
      </c>
      <c r="F4366" s="109">
        <f>IFERROR(D4366*E4366,0)</f>
        <v/>
      </c>
      <c r="G4366" s="106">
        <f>INDEX(SETORES!$B:$B,MATCH(A4366,SETORES!$A:$A,0))</f>
        <v/>
      </c>
      <c r="H4366" s="106" t="inlineStr">
        <is>
          <t>Novembro/2026</t>
        </is>
      </c>
    </row>
    <row r="4367">
      <c r="A4367" s="106" t="inlineStr">
        <is>
          <t>Fique Móvel</t>
        </is>
      </c>
      <c r="B4367" s="106" t="inlineStr">
        <is>
          <t>Custo Variável</t>
        </is>
      </c>
      <c r="C4367" s="106" t="inlineStr">
        <is>
          <t>Material de escritório (suprimentos de informática)</t>
        </is>
      </c>
      <c r="D4367" s="107" t="n">
        <v>1</v>
      </c>
      <c r="E4367" s="108" t="n">
        <v>528.1</v>
      </c>
      <c r="F4367" s="109">
        <f>IFERROR(D4367*E4367,0)</f>
        <v/>
      </c>
      <c r="G4367" s="106">
        <f>INDEX(SETORES!$B:$B,MATCH(A4367,SETORES!$A:$A,0))</f>
        <v/>
      </c>
      <c r="H4367" s="106" t="inlineStr">
        <is>
          <t>Novembro/2026</t>
        </is>
      </c>
    </row>
    <row r="4368">
      <c r="A4368" s="106" t="inlineStr">
        <is>
          <t>Gestão de Atendimento</t>
        </is>
      </c>
      <c r="B4368" s="106" t="inlineStr">
        <is>
          <t>Custo Fixo</t>
        </is>
      </c>
      <c r="C4368" s="106" t="inlineStr">
        <is>
          <t>Instalações - corredores e alojamentos (rateio)</t>
        </is>
      </c>
      <c r="D4368" s="107" t="n">
        <v>1</v>
      </c>
      <c r="E4368" s="108" t="n">
        <v>329.56</v>
      </c>
      <c r="F4368" s="109">
        <f>IFERROR(D4368*E4368,0)</f>
        <v/>
      </c>
      <c r="G4368" s="106">
        <f>INDEX(SETORES!$B:$B,MATCH(A4368,SETORES!$A:$A,0))</f>
        <v/>
      </c>
      <c r="H4368" s="106" t="inlineStr">
        <is>
          <t>Novembro/2026</t>
        </is>
      </c>
    </row>
    <row r="4369">
      <c r="A4369" s="106" t="inlineStr">
        <is>
          <t>CAC</t>
        </is>
      </c>
      <c r="B4369" s="106" t="inlineStr">
        <is>
          <t>Custo Fixo</t>
        </is>
      </c>
      <c r="C4369" s="106" t="inlineStr">
        <is>
          <t>Instalações - corredores e alojamentos (rateio)</t>
        </is>
      </c>
      <c r="D4369" s="107" t="n">
        <v>1</v>
      </c>
      <c r="E4369" s="108" t="n">
        <v>96.93000000000001</v>
      </c>
      <c r="F4369" s="109">
        <f>IFERROR(D4369*E4369,0)</f>
        <v/>
      </c>
      <c r="G4369" s="106">
        <f>INDEX(SETORES!$B:$B,MATCH(A4369,SETORES!$A:$A,0))</f>
        <v/>
      </c>
      <c r="H4369" s="106" t="inlineStr">
        <is>
          <t>Novembro/2026</t>
        </is>
      </c>
    </row>
    <row r="4370">
      <c r="A4370" s="106" t="inlineStr">
        <is>
          <t>Cobrança</t>
        </is>
      </c>
      <c r="B4370" s="106" t="inlineStr">
        <is>
          <t>Custo Fixo</t>
        </is>
      </c>
      <c r="C4370" s="106" t="inlineStr">
        <is>
          <t>Instalações - corredores e alojamentos (rateio)</t>
        </is>
      </c>
      <c r="D4370" s="107" t="n">
        <v>1</v>
      </c>
      <c r="E4370" s="108" t="n">
        <v>252.02</v>
      </c>
      <c r="F4370" s="109">
        <f>IFERROR(D4370*E4370,0)</f>
        <v/>
      </c>
      <c r="G4370" s="106">
        <f>INDEX(SETORES!$B:$B,MATCH(A4370,SETORES!$A:$A,0))</f>
        <v/>
      </c>
      <c r="H4370" s="106" t="inlineStr">
        <is>
          <t>Novembro/2026</t>
        </is>
      </c>
    </row>
    <row r="4371">
      <c r="A4371" s="106" t="inlineStr">
        <is>
          <t>Compras</t>
        </is>
      </c>
      <c r="B4371" s="106" t="inlineStr">
        <is>
          <t>Custo Fixo</t>
        </is>
      </c>
      <c r="C4371" s="106" t="inlineStr">
        <is>
          <t>Instalações - corredores e alojamentos (rateio)</t>
        </is>
      </c>
      <c r="D4371" s="107" t="n">
        <v>1</v>
      </c>
      <c r="E4371" s="108" t="n">
        <v>96.93000000000001</v>
      </c>
      <c r="F4371" s="109">
        <f>IFERROR(D4371*E4371,0)</f>
        <v/>
      </c>
      <c r="G4371" s="106">
        <f>INDEX(SETORES!$B:$B,MATCH(A4371,SETORES!$A:$A,0))</f>
        <v/>
      </c>
      <c r="H4371" s="106" t="inlineStr">
        <is>
          <t>Novembro/2026</t>
        </is>
      </c>
    </row>
    <row r="4372">
      <c r="A4372" s="106" t="inlineStr">
        <is>
          <t>Contabilidade</t>
        </is>
      </c>
      <c r="B4372" s="106" t="inlineStr">
        <is>
          <t>Custo Fixo</t>
        </is>
      </c>
      <c r="C4372" s="106" t="inlineStr">
        <is>
          <t>Instalações - corredores e alojamentos (rateio)</t>
        </is>
      </c>
      <c r="D4372" s="107" t="n">
        <v>1</v>
      </c>
      <c r="E4372" s="108" t="n">
        <v>116.32</v>
      </c>
      <c r="F4372" s="109">
        <f>IFERROR(D4372*E4372,0)</f>
        <v/>
      </c>
      <c r="G4372" s="106">
        <f>INDEX(SETORES!$B:$B,MATCH(A4372,SETORES!$A:$A,0))</f>
        <v/>
      </c>
      <c r="H4372" s="106" t="inlineStr">
        <is>
          <t>Novembro/2026</t>
        </is>
      </c>
    </row>
    <row r="4373">
      <c r="A4373" s="106" t="inlineStr">
        <is>
          <t>DP</t>
        </is>
      </c>
      <c r="B4373" s="106" t="inlineStr">
        <is>
          <t>Custo Fixo</t>
        </is>
      </c>
      <c r="C4373" s="106" t="inlineStr">
        <is>
          <t>Instalações - corredores e alojamentos (rateio)</t>
        </is>
      </c>
      <c r="D4373" s="107" t="n">
        <v>1</v>
      </c>
      <c r="E4373" s="108" t="n">
        <v>174.47</v>
      </c>
      <c r="F4373" s="109">
        <f>IFERROR(D4373*E4373,0)</f>
        <v/>
      </c>
      <c r="G4373" s="106">
        <f>INDEX(SETORES!$B:$B,MATCH(A4373,SETORES!$A:$A,0))</f>
        <v/>
      </c>
      <c r="H4373" s="106" t="inlineStr">
        <is>
          <t>Novembro/2026</t>
        </is>
      </c>
    </row>
    <row r="4374">
      <c r="A4374" s="106" t="inlineStr">
        <is>
          <t>Diretoria Operacional</t>
        </is>
      </c>
      <c r="B4374" s="106" t="inlineStr">
        <is>
          <t>Custo Fixo</t>
        </is>
      </c>
      <c r="C4374" s="106" t="inlineStr">
        <is>
          <t>Instalações - corredores e alojamentos (rateio)</t>
        </is>
      </c>
      <c r="D4374" s="107" t="n">
        <v>1</v>
      </c>
      <c r="E4374" s="108" t="n">
        <v>38.77</v>
      </c>
      <c r="F4374" s="109">
        <f>IFERROR(D4374*E4374,0)</f>
        <v/>
      </c>
      <c r="G4374" s="106">
        <f>INDEX(SETORES!$B:$B,MATCH(A4374,SETORES!$A:$A,0))</f>
        <v/>
      </c>
      <c r="H4374" s="106" t="inlineStr">
        <is>
          <t>Novembro/2026</t>
        </is>
      </c>
    </row>
    <row r="4375">
      <c r="A4375" s="106" t="inlineStr">
        <is>
          <t>Engenharia</t>
        </is>
      </c>
      <c r="B4375" s="106" t="inlineStr">
        <is>
          <t>Custo Fixo</t>
        </is>
      </c>
      <c r="C4375" s="106" t="inlineStr">
        <is>
          <t>Instalações - corredores e alojamentos (rateio)</t>
        </is>
      </c>
      <c r="D4375" s="107" t="n">
        <v>1</v>
      </c>
      <c r="E4375" s="108" t="n">
        <v>174.47</v>
      </c>
      <c r="F4375" s="109">
        <f>IFERROR(D4375*E4375,0)</f>
        <v/>
      </c>
      <c r="G4375" s="106">
        <f>INDEX(SETORES!$B:$B,MATCH(A4375,SETORES!$A:$A,0))</f>
        <v/>
      </c>
      <c r="H4375" s="106" t="inlineStr">
        <is>
          <t>Novembro/2026</t>
        </is>
      </c>
    </row>
    <row r="4376">
      <c r="A4376" s="106" t="inlineStr">
        <is>
          <t>Estoque</t>
        </is>
      </c>
      <c r="B4376" s="106" t="inlineStr">
        <is>
          <t>Custo Fixo</t>
        </is>
      </c>
      <c r="C4376" s="106" t="inlineStr">
        <is>
          <t>Instalações - corredores e alojamentos (rateio)</t>
        </is>
      </c>
      <c r="D4376" s="107" t="n">
        <v>1</v>
      </c>
      <c r="E4376" s="108" t="n">
        <v>310.17</v>
      </c>
      <c r="F4376" s="109">
        <f>IFERROR(D4376*E4376,0)</f>
        <v/>
      </c>
      <c r="G4376" s="106">
        <f>INDEX(SETORES!$B:$B,MATCH(A4376,SETORES!$A:$A,0))</f>
        <v/>
      </c>
      <c r="H4376" s="106" t="inlineStr">
        <is>
          <t>Novembro/2026</t>
        </is>
      </c>
    </row>
    <row r="4377">
      <c r="A4377" s="106" t="inlineStr">
        <is>
          <t>Financeiro</t>
        </is>
      </c>
      <c r="B4377" s="106" t="inlineStr">
        <is>
          <t>Custo Fixo</t>
        </is>
      </c>
      <c r="C4377" s="106" t="inlineStr">
        <is>
          <t>Instalações - corredores e alojamentos (rateio)</t>
        </is>
      </c>
      <c r="D4377" s="107" t="n">
        <v>1</v>
      </c>
      <c r="E4377" s="108" t="n">
        <v>155.09</v>
      </c>
      <c r="F4377" s="109">
        <f>IFERROR(D4377*E4377,0)</f>
        <v/>
      </c>
      <c r="G4377" s="106">
        <f>INDEX(SETORES!$B:$B,MATCH(A4377,SETORES!$A:$A,0))</f>
        <v/>
      </c>
      <c r="H4377" s="106" t="inlineStr">
        <is>
          <t>Novembro/2026</t>
        </is>
      </c>
    </row>
    <row r="4378">
      <c r="A4378" s="106" t="inlineStr">
        <is>
          <t>Logística</t>
        </is>
      </c>
      <c r="B4378" s="106" t="inlineStr">
        <is>
          <t>Custo Fixo</t>
        </is>
      </c>
      <c r="C4378" s="106" t="inlineStr">
        <is>
          <t>Instalações - corredores e alojamentos (rateio)</t>
        </is>
      </c>
      <c r="D4378" s="107" t="n">
        <v>1</v>
      </c>
      <c r="E4378" s="108" t="n">
        <v>310.17</v>
      </c>
      <c r="F4378" s="109">
        <f>IFERROR(D4378*E4378,0)</f>
        <v/>
      </c>
      <c r="G4378" s="106">
        <f>INDEX(SETORES!$B:$B,MATCH(A4378,SETORES!$A:$A,0))</f>
        <v/>
      </c>
      <c r="H4378" s="106" t="inlineStr">
        <is>
          <t>Novembro/2026</t>
        </is>
      </c>
    </row>
    <row r="4379">
      <c r="A4379" s="106" t="inlineStr">
        <is>
          <t>NOC</t>
        </is>
      </c>
      <c r="B4379" s="106" t="inlineStr">
        <is>
          <t>Custo Fixo</t>
        </is>
      </c>
      <c r="C4379" s="106" t="inlineStr">
        <is>
          <t>Instalações - corredores e alojamentos (rateio)</t>
        </is>
      </c>
      <c r="D4379" s="107" t="n">
        <v>1</v>
      </c>
      <c r="E4379" s="108" t="n">
        <v>58.16</v>
      </c>
      <c r="F4379" s="109">
        <f>IFERROR(D4379*E4379,0)</f>
        <v/>
      </c>
      <c r="G4379" s="106">
        <f>INDEX(SETORES!$B:$B,MATCH(A4379,SETORES!$A:$A,0))</f>
        <v/>
      </c>
      <c r="H4379" s="106" t="inlineStr">
        <is>
          <t>Novembro/2026</t>
        </is>
      </c>
    </row>
    <row r="4380">
      <c r="A4380" s="106" t="inlineStr">
        <is>
          <t>NRC</t>
        </is>
      </c>
      <c r="B4380" s="106" t="inlineStr">
        <is>
          <t>Custo Fixo</t>
        </is>
      </c>
      <c r="C4380" s="106" t="inlineStr">
        <is>
          <t>Instalações - corredores e alojamentos (rateio)</t>
        </is>
      </c>
      <c r="D4380" s="107" t="n">
        <v>1</v>
      </c>
      <c r="E4380" s="108" t="n">
        <v>814.21</v>
      </c>
      <c r="F4380" s="109">
        <f>IFERROR(D4380*E4380,0)</f>
        <v/>
      </c>
      <c r="G4380" s="106">
        <f>INDEX(SETORES!$B:$B,MATCH(A4380,SETORES!$A:$A,0))</f>
        <v/>
      </c>
      <c r="H4380" s="106" t="inlineStr">
        <is>
          <t>Novembro/2026</t>
        </is>
      </c>
    </row>
    <row r="4381">
      <c r="A4381" s="106" t="inlineStr">
        <is>
          <t>Oficina</t>
        </is>
      </c>
      <c r="B4381" s="106" t="inlineStr">
        <is>
          <t>Custo Fixo</t>
        </is>
      </c>
      <c r="C4381" s="106" t="inlineStr">
        <is>
          <t>Instalações - corredores e alojamentos (rateio)</t>
        </is>
      </c>
      <c r="D4381" s="107" t="n">
        <v>1</v>
      </c>
      <c r="E4381" s="108" t="n">
        <v>77.54000000000001</v>
      </c>
      <c r="F4381" s="109">
        <f>IFERROR(D4381*E4381,0)</f>
        <v/>
      </c>
      <c r="G4381" s="106">
        <f>INDEX(SETORES!$B:$B,MATCH(A4381,SETORES!$A:$A,0))</f>
        <v/>
      </c>
      <c r="H4381" s="106" t="inlineStr">
        <is>
          <t>Novembro/2026</t>
        </is>
      </c>
    </row>
    <row r="4382">
      <c r="A4382" s="106" t="inlineStr">
        <is>
          <t>RH</t>
        </is>
      </c>
      <c r="B4382" s="106" t="inlineStr">
        <is>
          <t>Custo Fixo</t>
        </is>
      </c>
      <c r="C4382" s="106" t="inlineStr">
        <is>
          <t>Instalações - corredores e alojamentos (rateio)</t>
        </is>
      </c>
      <c r="D4382" s="107" t="n">
        <v>1</v>
      </c>
      <c r="E4382" s="108" t="n">
        <v>116.32</v>
      </c>
      <c r="F4382" s="109">
        <f>IFERROR(D4382*E4382,0)</f>
        <v/>
      </c>
      <c r="G4382" s="106">
        <f>INDEX(SETORES!$B:$B,MATCH(A4382,SETORES!$A:$A,0))</f>
        <v/>
      </c>
      <c r="H4382" s="106" t="inlineStr">
        <is>
          <t>Novembro/2026</t>
        </is>
      </c>
    </row>
    <row r="4383">
      <c r="A4383" s="106" t="inlineStr">
        <is>
          <t>Retenção</t>
        </is>
      </c>
      <c r="B4383" s="106" t="inlineStr">
        <is>
          <t>Custo Fixo</t>
        </is>
      </c>
      <c r="C4383" s="106" t="inlineStr">
        <is>
          <t>Instalações - corredores e alojamentos (rateio)</t>
        </is>
      </c>
      <c r="D4383" s="107" t="n">
        <v>1</v>
      </c>
      <c r="E4383" s="108" t="n">
        <v>232.63</v>
      </c>
      <c r="F4383" s="109">
        <f>IFERROR(D4383*E4383,0)</f>
        <v/>
      </c>
      <c r="G4383" s="106">
        <f>INDEX(SETORES!$B:$B,MATCH(A4383,SETORES!$A:$A,0))</f>
        <v/>
      </c>
      <c r="H4383" s="106" t="inlineStr">
        <is>
          <t>Novembro/2026</t>
        </is>
      </c>
    </row>
    <row r="4384">
      <c r="A4384" s="106" t="inlineStr">
        <is>
          <t>Segurança do Trabalho</t>
        </is>
      </c>
      <c r="B4384" s="106" t="inlineStr">
        <is>
          <t>Custo Fixo</t>
        </is>
      </c>
      <c r="C4384" s="106" t="inlineStr">
        <is>
          <t>Instalações - corredores e alojamentos (rateio)</t>
        </is>
      </c>
      <c r="D4384" s="107" t="n">
        <v>1</v>
      </c>
      <c r="E4384" s="108" t="n">
        <v>155.09</v>
      </c>
      <c r="F4384" s="109">
        <f>IFERROR(D4384*E4384,0)</f>
        <v/>
      </c>
      <c r="G4384" s="106">
        <f>INDEX(SETORES!$B:$B,MATCH(A4384,SETORES!$A:$A,0))</f>
        <v/>
      </c>
      <c r="H4384" s="106" t="inlineStr">
        <is>
          <t>Novembro/2026</t>
        </is>
      </c>
    </row>
    <row r="4385">
      <c r="A4385" s="106" t="inlineStr">
        <is>
          <t>Suporte Orbix</t>
        </is>
      </c>
      <c r="B4385" s="106" t="inlineStr">
        <is>
          <t>Custo Fixo</t>
        </is>
      </c>
      <c r="C4385" s="106" t="inlineStr">
        <is>
          <t>Instalações - corredores e alojamentos (rateio)</t>
        </is>
      </c>
      <c r="D4385" s="107" t="n">
        <v>1</v>
      </c>
      <c r="E4385" s="108" t="n">
        <v>155.09</v>
      </c>
      <c r="F4385" s="109">
        <f>IFERROR(D4385*E4385,0)</f>
        <v/>
      </c>
      <c r="G4385" s="106">
        <f>INDEX(SETORES!$B:$B,MATCH(A4385,SETORES!$A:$A,0))</f>
        <v/>
      </c>
      <c r="H4385" s="106" t="inlineStr">
        <is>
          <t>Novembro/2026</t>
        </is>
      </c>
    </row>
    <row r="4386">
      <c r="A4386" s="106" t="inlineStr">
        <is>
          <t>Suporte da Central</t>
        </is>
      </c>
      <c r="B4386" s="106" t="inlineStr">
        <is>
          <t>Custo Fixo</t>
        </is>
      </c>
      <c r="C4386" s="106" t="inlineStr">
        <is>
          <t>Instalações - corredores e alojamentos (rateio)</t>
        </is>
      </c>
      <c r="D4386" s="107" t="n">
        <v>1</v>
      </c>
      <c r="E4386" s="108" t="n">
        <v>639.74</v>
      </c>
      <c r="F4386" s="109">
        <f>IFERROR(D4386*E4386,0)</f>
        <v/>
      </c>
      <c r="G4386" s="106">
        <f>INDEX(SETORES!$B:$B,MATCH(A4386,SETORES!$A:$A,0))</f>
        <v/>
      </c>
      <c r="H4386" s="106" t="inlineStr">
        <is>
          <t>Novembro/2026</t>
        </is>
      </c>
    </row>
    <row r="4387">
      <c r="A4387" s="106" t="inlineStr">
        <is>
          <t>Televendas</t>
        </is>
      </c>
      <c r="B4387" s="106" t="inlineStr">
        <is>
          <t>Custo Fixo</t>
        </is>
      </c>
      <c r="C4387" s="106" t="inlineStr">
        <is>
          <t>Instalações - corredores e alojamentos (rateio)</t>
        </is>
      </c>
      <c r="D4387" s="107" t="n">
        <v>1</v>
      </c>
      <c r="E4387" s="108" t="n">
        <v>213.25</v>
      </c>
      <c r="F4387" s="109">
        <f>IFERROR(D4387*E4387,0)</f>
        <v/>
      </c>
      <c r="G4387" s="106">
        <f>INDEX(SETORES!$B:$B,MATCH(A4387,SETORES!$A:$A,0))</f>
        <v/>
      </c>
      <c r="H4387" s="106" t="inlineStr">
        <is>
          <t>Novembro/2026</t>
        </is>
      </c>
    </row>
    <row r="4388">
      <c r="A4388" s="106" t="inlineStr">
        <is>
          <t>COE</t>
        </is>
      </c>
      <c r="B4388" s="106" t="inlineStr">
        <is>
          <t>Custo Fixo</t>
        </is>
      </c>
      <c r="C4388" s="106" t="inlineStr">
        <is>
          <t>Instalações - corredores e alojamentos (rateio)</t>
        </is>
      </c>
      <c r="D4388" s="107" t="n">
        <v>1</v>
      </c>
      <c r="E4388" s="108" t="n">
        <v>213.25</v>
      </c>
      <c r="F4388" s="109">
        <f>IFERROR(D4388*E4388,0)</f>
        <v/>
      </c>
      <c r="G4388" s="106">
        <f>INDEX(SETORES!$B:$B,MATCH(A4388,SETORES!$A:$A,0))</f>
        <v/>
      </c>
      <c r="H4388" s="106" t="inlineStr">
        <is>
          <t>Novembro/2026</t>
        </is>
      </c>
    </row>
    <row r="4389">
      <c r="A4389" s="106" t="inlineStr">
        <is>
          <t>Cozinha</t>
        </is>
      </c>
      <c r="B4389" s="106" t="inlineStr">
        <is>
          <t>Custo Fixo</t>
        </is>
      </c>
      <c r="C4389" s="106" t="inlineStr">
        <is>
          <t>Instalações - corredores e alojamentos (rateio)</t>
        </is>
      </c>
      <c r="D4389" s="107" t="n">
        <v>1</v>
      </c>
      <c r="E4389" s="108" t="n">
        <v>77.54000000000001</v>
      </c>
      <c r="F4389" s="109">
        <f>IFERROR(D4389*E4389,0)</f>
        <v/>
      </c>
      <c r="G4389" s="106">
        <f>INDEX(SETORES!$B:$B,MATCH(A4389,SETORES!$A:$A,0))</f>
        <v/>
      </c>
      <c r="H4389" s="106" t="inlineStr">
        <is>
          <t>Novembro/2026</t>
        </is>
      </c>
    </row>
    <row r="4390">
      <c r="A4390" s="106" t="inlineStr">
        <is>
          <t>Backoffice Comercial Varejo</t>
        </is>
      </c>
      <c r="B4390" s="106" t="inlineStr">
        <is>
          <t>Custo Fixo</t>
        </is>
      </c>
      <c r="C4390" s="106" t="inlineStr">
        <is>
          <t>Instalações - corredores e alojamentos (rateio)</t>
        </is>
      </c>
      <c r="D4390" s="107" t="n">
        <v>1</v>
      </c>
      <c r="E4390" s="108" t="n">
        <v>38.77</v>
      </c>
      <c r="F4390" s="109">
        <f>IFERROR(D4390*E4390,0)</f>
        <v/>
      </c>
      <c r="G4390" s="106">
        <f>INDEX(SETORES!$B:$B,MATCH(A4390,SETORES!$A:$A,0))</f>
        <v/>
      </c>
      <c r="H4390" s="106" t="inlineStr">
        <is>
          <t>Novembro/2026</t>
        </is>
      </c>
    </row>
    <row r="4391">
      <c r="A4391" s="106" t="inlineStr">
        <is>
          <t>Marketing</t>
        </is>
      </c>
      <c r="B4391" s="106" t="inlineStr">
        <is>
          <t>Custo Fixo</t>
        </is>
      </c>
      <c r="C4391" s="106" t="inlineStr">
        <is>
          <t>Instalações - corredores e alojamentos (rateio)</t>
        </is>
      </c>
      <c r="D4391" s="107" t="n">
        <v>1</v>
      </c>
      <c r="E4391" s="108" t="n">
        <v>329.56</v>
      </c>
      <c r="F4391" s="109">
        <f>IFERROR(D4391*E4391,0)</f>
        <v/>
      </c>
      <c r="G4391" s="106">
        <f>INDEX(SETORES!$B:$B,MATCH(A4391,SETORES!$A:$A,0))</f>
        <v/>
      </c>
      <c r="H4391" s="106" t="inlineStr">
        <is>
          <t>Novembro/2026</t>
        </is>
      </c>
    </row>
    <row r="4392">
      <c r="A4392" s="106" t="inlineStr">
        <is>
          <t>Comercial Corporativo</t>
        </is>
      </c>
      <c r="B4392" s="106" t="inlineStr">
        <is>
          <t>Custo Fixo</t>
        </is>
      </c>
      <c r="C4392" s="106" t="inlineStr">
        <is>
          <t>Instalações - corredores e alojamentos (rateio)</t>
        </is>
      </c>
      <c r="D4392" s="107" t="n">
        <v>1</v>
      </c>
      <c r="E4392" s="108" t="n">
        <v>232.63</v>
      </c>
      <c r="F4392" s="109">
        <f>IFERROR(D4392*E4392,0)</f>
        <v/>
      </c>
      <c r="G4392" s="106">
        <f>INDEX(SETORES!$B:$B,MATCH(A4392,SETORES!$A:$A,0))</f>
        <v/>
      </c>
      <c r="H4392" s="106" t="inlineStr">
        <is>
          <t>Novembro/2026</t>
        </is>
      </c>
    </row>
    <row r="4393">
      <c r="A4393" s="106" t="inlineStr">
        <is>
          <t>TIC</t>
        </is>
      </c>
      <c r="B4393" s="106" t="inlineStr">
        <is>
          <t>Custo Fixo</t>
        </is>
      </c>
      <c r="C4393" s="106" t="inlineStr">
        <is>
          <t>Instalações - corredores e alojamentos (rateio)</t>
        </is>
      </c>
      <c r="D4393" s="107" t="n">
        <v>1</v>
      </c>
      <c r="E4393" s="108" t="n">
        <v>135.7</v>
      </c>
      <c r="F4393" s="109">
        <f>IFERROR(D4393*E4393,0)</f>
        <v/>
      </c>
      <c r="G4393" s="106">
        <f>INDEX(SETORES!$B:$B,MATCH(A4393,SETORES!$A:$A,0))</f>
        <v/>
      </c>
      <c r="H4393" s="106" t="inlineStr">
        <is>
          <t>Novembro/2026</t>
        </is>
      </c>
    </row>
    <row r="4394">
      <c r="A4394" s="106" t="inlineStr">
        <is>
          <t>Diretoria Adm</t>
        </is>
      </c>
      <c r="B4394" s="106" t="inlineStr">
        <is>
          <t>Custo Fixo</t>
        </is>
      </c>
      <c r="C4394" s="106" t="inlineStr">
        <is>
          <t>Instalações - corredores e alojamentos (rateio)</t>
        </is>
      </c>
      <c r="D4394" s="107" t="n">
        <v>1</v>
      </c>
      <c r="E4394" s="108" t="n">
        <v>38.77</v>
      </c>
      <c r="F4394" s="109">
        <f>IFERROR(D4394*E4394,0)</f>
        <v/>
      </c>
      <c r="G4394" s="106">
        <f>INDEX(SETORES!$B:$B,MATCH(A4394,SETORES!$A:$A,0))</f>
        <v/>
      </c>
      <c r="H4394" s="106" t="inlineStr">
        <is>
          <t>Novembro/2026</t>
        </is>
      </c>
    </row>
    <row r="4395">
      <c r="A4395" s="106" t="inlineStr">
        <is>
          <t>Controladoria</t>
        </is>
      </c>
      <c r="B4395" s="106" t="inlineStr">
        <is>
          <t>Custo Fixo</t>
        </is>
      </c>
      <c r="C4395" s="106" t="inlineStr">
        <is>
          <t>Instalações - corredores e alojamentos (rateio)</t>
        </is>
      </c>
      <c r="D4395" s="107" t="n">
        <v>1</v>
      </c>
      <c r="E4395" s="108" t="n">
        <v>19.39</v>
      </c>
      <c r="F4395" s="109">
        <f>IFERROR(D4395*E4395,0)</f>
        <v/>
      </c>
      <c r="G4395" s="106">
        <f>INDEX(SETORES!$B:$B,MATCH(A4395,SETORES!$A:$A,0))</f>
        <v/>
      </c>
      <c r="H4395" s="106" t="inlineStr">
        <is>
          <t>Novembro/2026</t>
        </is>
      </c>
    </row>
    <row r="4396">
      <c r="A4396" s="106" t="inlineStr">
        <is>
          <t>Configuração</t>
        </is>
      </c>
      <c r="B4396" s="106" t="inlineStr">
        <is>
          <t>Custo Fixo</t>
        </is>
      </c>
      <c r="C4396" s="106" t="inlineStr">
        <is>
          <t>Stargrid</t>
        </is>
      </c>
      <c r="D4396" s="107" t="n">
        <v>10</v>
      </c>
      <c r="E4396" s="108" t="n">
        <v>1.87</v>
      </c>
      <c r="F4396" s="109">
        <f>IFERROR(D4396*E4396,0)</f>
        <v/>
      </c>
      <c r="G4396" s="106">
        <f>INDEX(SETORES!$B:$B,MATCH(A4396,SETORES!$A:$A,0))</f>
        <v/>
      </c>
      <c r="H4396" s="106" t="inlineStr">
        <is>
          <t>Novembro/2026</t>
        </is>
      </c>
    </row>
    <row r="4397">
      <c r="A4397" s="106" t="inlineStr">
        <is>
          <t>Configuração</t>
        </is>
      </c>
      <c r="B4397" s="106" t="inlineStr">
        <is>
          <t>Custo Fixo</t>
        </is>
      </c>
      <c r="C4397" s="106" t="inlineStr">
        <is>
          <t>Licença de e-mail corporativo</t>
        </is>
      </c>
      <c r="D4397" s="107" t="n">
        <v>10</v>
      </c>
      <c r="E4397" s="108" t="n">
        <v>50</v>
      </c>
      <c r="F4397" s="109">
        <f>IFERROR(D4397*E4397,0)</f>
        <v/>
      </c>
      <c r="G4397" s="106">
        <f>INDEX(SETORES!$B:$B,MATCH(A4397,SETORES!$A:$A,0))</f>
        <v/>
      </c>
      <c r="H4397" s="106" t="inlineStr">
        <is>
          <t>Novembro/2026</t>
        </is>
      </c>
    </row>
    <row r="4398">
      <c r="A4398" s="106" t="inlineStr">
        <is>
          <t>Desenvolvimento</t>
        </is>
      </c>
      <c r="B4398" s="106" t="inlineStr">
        <is>
          <t>Custo Fixo</t>
        </is>
      </c>
      <c r="C4398" s="106" t="inlineStr">
        <is>
          <t>Stargrid</t>
        </is>
      </c>
      <c r="D4398" s="107" t="n">
        <v>6</v>
      </c>
      <c r="E4398" s="108" t="n">
        <v>1.87</v>
      </c>
      <c r="F4398" s="109">
        <f>IFERROR(D4398*E4398,0)</f>
        <v/>
      </c>
      <c r="G4398" s="106">
        <f>INDEX(SETORES!$B:$B,MATCH(A4398,SETORES!$A:$A,0))</f>
        <v/>
      </c>
      <c r="H4398" s="106" t="inlineStr">
        <is>
          <t>Novembro/2026</t>
        </is>
      </c>
    </row>
    <row r="4399">
      <c r="A4399" s="106" t="inlineStr">
        <is>
          <t>Desenvolvimento</t>
        </is>
      </c>
      <c r="B4399" s="106" t="inlineStr">
        <is>
          <t>Custo Fixo</t>
        </is>
      </c>
      <c r="C4399" s="106" t="inlineStr">
        <is>
          <t>Licença de e-mail corporativo</t>
        </is>
      </c>
      <c r="D4399" s="107" t="n">
        <v>6</v>
      </c>
      <c r="E4399" s="108" t="n">
        <v>50</v>
      </c>
      <c r="F4399" s="109">
        <f>IFERROR(D4399*E4399,0)</f>
        <v/>
      </c>
      <c r="G4399" s="106">
        <f>INDEX(SETORES!$B:$B,MATCH(A4399,SETORES!$A:$A,0))</f>
        <v/>
      </c>
      <c r="H4399" s="106" t="inlineStr">
        <is>
          <t>Novembro/2026</t>
        </is>
      </c>
    </row>
    <row r="4400">
      <c r="A4400" s="110" t="inlineStr">
        <is>
          <t>Projetista</t>
        </is>
      </c>
      <c r="B4400" s="110" t="inlineStr">
        <is>
          <t>Custo Fixo</t>
        </is>
      </c>
      <c r="C4400" s="110" t="inlineStr">
        <is>
          <t>Folha de pagamento (salários)</t>
        </is>
      </c>
      <c r="D4400" s="110" t="n">
        <v>1</v>
      </c>
      <c r="E4400" s="110" t="n">
        <v>25653.46</v>
      </c>
      <c r="F4400" s="110">
        <f>IFERROR(D4400*E4400,0)</f>
        <v/>
      </c>
      <c r="G4400" s="110">
        <f>INDEX(SETORES!$B:$B,MATCH(A4400,SETORES!$A:$A,0))</f>
        <v/>
      </c>
      <c r="H4400" s="110" t="inlineStr">
        <is>
          <t>Novembro/2026</t>
        </is>
      </c>
    </row>
    <row r="4401">
      <c r="A4401" s="110" t="inlineStr">
        <is>
          <t>Suporte da Central</t>
        </is>
      </c>
      <c r="B4401" s="110" t="inlineStr">
        <is>
          <t>Custo Variável</t>
        </is>
      </c>
      <c r="C4401" s="110" t="inlineStr">
        <is>
          <t>Fardamento substituição</t>
        </is>
      </c>
      <c r="D4401" s="110" t="n">
        <v>1</v>
      </c>
      <c r="E4401" s="110" t="n">
        <v>272</v>
      </c>
      <c r="F4401" s="110">
        <f>IFERROR(D4401*E4401,0)</f>
        <v/>
      </c>
      <c r="G4401" s="110">
        <f>INDEX(SETORES!$B:$B,MATCH(A4401,SETORES!$A:$A,0))</f>
        <v/>
      </c>
      <c r="H4401" s="110" t="inlineStr">
        <is>
          <t>Novembro/2026</t>
        </is>
      </c>
    </row>
    <row r="4402">
      <c r="A4402" s="110" t="inlineStr">
        <is>
          <t>Configuração</t>
        </is>
      </c>
      <c r="B4402" s="110" t="inlineStr">
        <is>
          <t>Custo Variável</t>
        </is>
      </c>
      <c r="C4402" s="110" t="inlineStr">
        <is>
          <t>Fardamento novo</t>
        </is>
      </c>
      <c r="D4402" s="110" t="n">
        <v>1</v>
      </c>
      <c r="E4402" s="110" t="n">
        <v>90</v>
      </c>
      <c r="F4402" s="110">
        <f>IFERROR(D4402*E4402,0)</f>
        <v/>
      </c>
      <c r="G4402" s="110">
        <f>INDEX(SETORES!$B:$B,MATCH(A4402,SETORES!$A:$A,0))</f>
        <v/>
      </c>
      <c r="H4402" s="110" t="inlineStr">
        <is>
          <t>Novembro/2026</t>
        </is>
      </c>
    </row>
    <row r="4403">
      <c r="A4403" s="106" t="inlineStr">
        <is>
          <t>Gestão de Atendimento</t>
        </is>
      </c>
      <c r="B4403" s="106" t="inlineStr">
        <is>
          <t>Custo Fixo</t>
        </is>
      </c>
      <c r="C4403" s="106" t="inlineStr">
        <is>
          <t>Material de escritório (suprimentos de informática)</t>
        </is>
      </c>
      <c r="D4403" s="107" t="n">
        <v>1</v>
      </c>
      <c r="E4403" s="108" t="n">
        <v>840.67</v>
      </c>
      <c r="F4403" s="109">
        <f>IFERROR(D4403*E4403,0)</f>
        <v/>
      </c>
      <c r="G4403" s="106">
        <f>INDEX(SETORES!$B:$B,MATCH(A4403,SETORES!$A:$A,0))</f>
        <v/>
      </c>
      <c r="H4403" s="106" t="inlineStr">
        <is>
          <t>Dezembro/2026</t>
        </is>
      </c>
    </row>
    <row r="4404">
      <c r="A4404" s="106" t="inlineStr">
        <is>
          <t>Gestão de Atendimento</t>
        </is>
      </c>
      <c r="B4404" s="106" t="inlineStr">
        <is>
          <t>Custo Fixo</t>
        </is>
      </c>
      <c r="C4404" s="106" t="inlineStr">
        <is>
          <t>Material de uso coletivo (copa/limpeza)</t>
        </is>
      </c>
      <c r="D4404" s="107" t="n">
        <v>1</v>
      </c>
      <c r="E4404" s="108" t="n">
        <v>882.22</v>
      </c>
      <c r="F4404" s="109">
        <f>IFERROR(D4404*E4404,0)</f>
        <v/>
      </c>
      <c r="G4404" s="106">
        <f>INDEX(SETORES!$B:$B,MATCH(A4404,SETORES!$A:$A,0))</f>
        <v/>
      </c>
      <c r="H4404" s="106" t="inlineStr">
        <is>
          <t>Dezembro/2026</t>
        </is>
      </c>
    </row>
    <row r="4405">
      <c r="A4405" s="106" t="inlineStr">
        <is>
          <t>Gestão de Atendimento</t>
        </is>
      </c>
      <c r="B4405" s="106" t="inlineStr">
        <is>
          <t>Custo Fixo</t>
        </is>
      </c>
      <c r="C4405" s="106" t="inlineStr">
        <is>
          <t>Energia elétrica (rateio)</t>
        </is>
      </c>
      <c r="D4405" s="107" t="n"/>
      <c r="E4405" s="108" t="n"/>
      <c r="F4405" s="109">
        <f>IFERROR(D4405*E4405,0)</f>
        <v/>
      </c>
      <c r="G4405" s="106">
        <f>INDEX(SETORES!$B:$B,MATCH(A4405,SETORES!$A:$A,0))</f>
        <v/>
      </c>
      <c r="H4405" s="106" t="inlineStr">
        <is>
          <t>Dezembro/2026</t>
        </is>
      </c>
    </row>
    <row r="4406">
      <c r="A4406" s="106" t="inlineStr">
        <is>
          <t>Gestão de Atendimento</t>
        </is>
      </c>
      <c r="B4406" s="106" t="inlineStr">
        <is>
          <t>Custo Fixo</t>
        </is>
      </c>
      <c r="C4406" s="106" t="inlineStr">
        <is>
          <t>Água e esgoto (rateio)</t>
        </is>
      </c>
      <c r="D4406" s="107" t="n"/>
      <c r="E4406" s="108" t="n"/>
      <c r="F4406" s="109">
        <f>IFERROR(D4406*E4406,0)</f>
        <v/>
      </c>
      <c r="G4406" s="106">
        <f>INDEX(SETORES!$B:$B,MATCH(A4406,SETORES!$A:$A,0))</f>
        <v/>
      </c>
      <c r="H4406" s="106" t="inlineStr">
        <is>
          <t>Dezembro/2026</t>
        </is>
      </c>
    </row>
    <row r="4407">
      <c r="A4407" s="106" t="inlineStr">
        <is>
          <t>Gestão de Atendimento</t>
        </is>
      </c>
      <c r="B4407" s="106" t="inlineStr">
        <is>
          <t>Custo Fixo</t>
        </is>
      </c>
      <c r="C4407" s="106" t="inlineStr">
        <is>
          <t>Telefonia móvel corporativa</t>
        </is>
      </c>
      <c r="D4407" s="107" t="n"/>
      <c r="E4407" s="108" t="n"/>
      <c r="F4407" s="109">
        <f>IFERROR(D4407*E4407,0)</f>
        <v/>
      </c>
      <c r="G4407" s="106">
        <f>INDEX(SETORES!$B:$B,MATCH(A4407,SETORES!$A:$A,0))</f>
        <v/>
      </c>
      <c r="H4407" s="106" t="inlineStr">
        <is>
          <t>Dezembro/2026</t>
        </is>
      </c>
    </row>
    <row r="4408">
      <c r="A4408" s="106" t="inlineStr">
        <is>
          <t>Gestão de Atendimento</t>
        </is>
      </c>
      <c r="B4408" s="106" t="inlineStr">
        <is>
          <t>Custo Fixo</t>
        </is>
      </c>
      <c r="C4408" s="106" t="inlineStr">
        <is>
          <t>Folha de pagamento (salários)</t>
        </is>
      </c>
      <c r="D4408" s="107" t="n">
        <v>1</v>
      </c>
      <c r="E4408" s="108" t="n">
        <v>55556.32</v>
      </c>
      <c r="F4408" s="109">
        <f>IFERROR(D4408*E4408,0)</f>
        <v/>
      </c>
      <c r="G4408" s="106">
        <f>INDEX(SETORES!$B:$B,MATCH(A4408,SETORES!$A:$A,0))</f>
        <v/>
      </c>
      <c r="H4408" s="106" t="inlineStr">
        <is>
          <t>Dezembro/2026</t>
        </is>
      </c>
    </row>
    <row r="4409">
      <c r="A4409" s="106" t="inlineStr">
        <is>
          <t>Gestão de Atendimento</t>
        </is>
      </c>
      <c r="B4409" s="106" t="inlineStr">
        <is>
          <t>Custo Variável</t>
        </is>
      </c>
      <c r="C4409" s="106" t="inlineStr">
        <is>
          <t>Fardamento novo</t>
        </is>
      </c>
      <c r="D4409" s="107" t="n">
        <v>1</v>
      </c>
      <c r="E4409" s="108" t="n">
        <v>180</v>
      </c>
      <c r="F4409" s="109">
        <f>IFERROR(D4409*E4409,0)</f>
        <v/>
      </c>
      <c r="G4409" s="106">
        <f>INDEX(SETORES!$B:$B,MATCH(A4409,SETORES!$A:$A,0))</f>
        <v/>
      </c>
      <c r="H4409" s="106" t="inlineStr">
        <is>
          <t>Dezembro/2026</t>
        </is>
      </c>
    </row>
    <row r="4410">
      <c r="A4410" s="106" t="inlineStr">
        <is>
          <t>Gestão de Atendimento</t>
        </is>
      </c>
      <c r="B4410" s="106" t="inlineStr">
        <is>
          <t>Custo Variável</t>
        </is>
      </c>
      <c r="C4410" s="106" t="inlineStr">
        <is>
          <t>Fardamento substituição</t>
        </is>
      </c>
      <c r="D4410" s="107" t="n"/>
      <c r="E4410" s="108" t="n"/>
      <c r="F4410" s="109">
        <f>IFERROR(D4410*E4410,0)</f>
        <v/>
      </c>
      <c r="G4410" s="106">
        <f>INDEX(SETORES!$B:$B,MATCH(A4410,SETORES!$A:$A,0))</f>
        <v/>
      </c>
      <c r="H4410" s="106" t="inlineStr">
        <is>
          <t>Dezembro/2026</t>
        </is>
      </c>
    </row>
    <row r="4411">
      <c r="A4411" s="106" t="inlineStr">
        <is>
          <t>Gestão de Atendimento</t>
        </is>
      </c>
      <c r="B4411" s="106" t="inlineStr">
        <is>
          <t>Custo Variável</t>
        </is>
      </c>
      <c r="C4411" s="106" t="inlineStr">
        <is>
          <t>Exames médicos</t>
        </is>
      </c>
      <c r="D4411" s="107" t="n"/>
      <c r="E4411" s="108" t="n"/>
      <c r="F4411" s="109">
        <f>IFERROR(D4411*E4411,0)</f>
        <v/>
      </c>
      <c r="G4411" s="106">
        <f>INDEX(SETORES!$B:$B,MATCH(A4411,SETORES!$A:$A,0))</f>
        <v/>
      </c>
      <c r="H4411" s="106" t="inlineStr">
        <is>
          <t>Dezembro/2026</t>
        </is>
      </c>
    </row>
    <row r="4412">
      <c r="A4412" s="106" t="inlineStr">
        <is>
          <t>Gestão de Atendimento</t>
        </is>
      </c>
      <c r="B4412" s="106" t="inlineStr">
        <is>
          <t>Custo Fixo</t>
        </is>
      </c>
      <c r="C4412" s="106" t="inlineStr">
        <is>
          <t>Licença de e-mail corporativo</t>
        </is>
      </c>
      <c r="D4412" s="107" t="n">
        <v>17</v>
      </c>
      <c r="E4412" s="108" t="n">
        <v>50</v>
      </c>
      <c r="F4412" s="109">
        <f>IFERROR(D4412*E4412,0)</f>
        <v/>
      </c>
      <c r="G4412" s="106">
        <f>INDEX(SETORES!$B:$B,MATCH(A4412,SETORES!$A:$A,0))</f>
        <v/>
      </c>
      <c r="H4412" s="106" t="inlineStr">
        <is>
          <t>Dezembro/2026</t>
        </is>
      </c>
    </row>
    <row r="4413">
      <c r="A4413" s="106" t="inlineStr">
        <is>
          <t>Gestão de Atendimento</t>
        </is>
      </c>
      <c r="B4413" s="106" t="inlineStr">
        <is>
          <t>Custo Fixo</t>
        </is>
      </c>
      <c r="C4413" s="106" t="inlineStr">
        <is>
          <t>Gympass</t>
        </is>
      </c>
      <c r="D4413" s="107" t="n"/>
      <c r="E4413" s="108" t="n"/>
      <c r="F4413" s="109">
        <f>IFERROR(D4413*E4413,0)</f>
        <v/>
      </c>
      <c r="G4413" s="106">
        <f>INDEX(SETORES!$B:$B,MATCH(A4413,SETORES!$A:$A,0))</f>
        <v/>
      </c>
      <c r="H4413" s="106" t="inlineStr">
        <is>
          <t>Dezembro/2026</t>
        </is>
      </c>
    </row>
    <row r="4414">
      <c r="A4414" s="106" t="inlineStr">
        <is>
          <t>Gestão de Atendimento</t>
        </is>
      </c>
      <c r="B4414" s="106" t="inlineStr">
        <is>
          <t>Custo Fixo</t>
        </is>
      </c>
      <c r="C4414" s="106" t="inlineStr">
        <is>
          <t>Stargrid</t>
        </is>
      </c>
      <c r="D4414" s="107" t="n">
        <v>17</v>
      </c>
      <c r="E4414" s="108" t="n">
        <v>1.87</v>
      </c>
      <c r="F4414" s="109">
        <f>IFERROR(D4414*E4414,0)</f>
        <v/>
      </c>
      <c r="G4414" s="106">
        <f>INDEX(SETORES!$B:$B,MATCH(A4414,SETORES!$A:$A,0))</f>
        <v/>
      </c>
      <c r="H4414" s="106" t="inlineStr">
        <is>
          <t>Dezembro/2026</t>
        </is>
      </c>
    </row>
    <row r="4415">
      <c r="A4415" s="106" t="inlineStr">
        <is>
          <t>RH</t>
        </is>
      </c>
      <c r="B4415" s="106" t="inlineStr">
        <is>
          <t>Custo Fixo</t>
        </is>
      </c>
      <c r="C4415" s="106" t="inlineStr">
        <is>
          <t>Software exclusivo fiberschool (RH)</t>
        </is>
      </c>
      <c r="D4415" s="107" t="n">
        <v>1</v>
      </c>
      <c r="E4415" s="108" t="n">
        <v>2500</v>
      </c>
      <c r="F4415" s="109">
        <f>IFERROR(D4415*E4415,0)</f>
        <v/>
      </c>
      <c r="G4415" s="106">
        <f>INDEX(SETORES!$B:$B,MATCH(A4415,SETORES!$A:$A,0))</f>
        <v/>
      </c>
      <c r="H4415" s="106" t="inlineStr">
        <is>
          <t>Dezembro/2026</t>
        </is>
      </c>
    </row>
    <row r="4416">
      <c r="A4416" s="106" t="inlineStr">
        <is>
          <t>RH</t>
        </is>
      </c>
      <c r="B4416" s="106" t="inlineStr">
        <is>
          <t>Custo Fixo</t>
        </is>
      </c>
      <c r="C4416" s="106" t="inlineStr">
        <is>
          <t>Software RH1000 (RH)</t>
        </is>
      </c>
      <c r="D4416" s="107" t="n">
        <v>1</v>
      </c>
      <c r="E4416" s="108" t="n">
        <v>2612.9</v>
      </c>
      <c r="F4416" s="109">
        <f>IFERROR(D4416*E4416,0)</f>
        <v/>
      </c>
      <c r="G4416" s="106">
        <f>INDEX(SETORES!$B:$B,MATCH(A4416,SETORES!$A:$A,0))</f>
        <v/>
      </c>
      <c r="H4416" s="106" t="inlineStr">
        <is>
          <t>Dezembro/2026</t>
        </is>
      </c>
    </row>
    <row r="4417">
      <c r="A4417" s="106" t="inlineStr">
        <is>
          <t>Administrativo</t>
        </is>
      </c>
      <c r="B4417" s="106" t="inlineStr">
        <is>
          <t>Custo Fixo</t>
        </is>
      </c>
      <c r="C4417" s="106" t="inlineStr">
        <is>
          <t>Sistema de assinatura eletronica (autentique) (TIC)</t>
        </is>
      </c>
      <c r="D4417" s="107" t="n">
        <v>1</v>
      </c>
      <c r="E4417" s="108" t="n">
        <v>99</v>
      </c>
      <c r="F4417" s="109">
        <f>IFERROR(D4417*E4417,0)</f>
        <v/>
      </c>
      <c r="G4417" s="106">
        <f>INDEX(SETORES!$B:$B,MATCH(A4417,SETORES!$A:$A,0))</f>
        <v/>
      </c>
      <c r="H4417" s="106" t="inlineStr">
        <is>
          <t>Dezembro/2026</t>
        </is>
      </c>
    </row>
    <row r="4418">
      <c r="A4418" s="106" t="inlineStr">
        <is>
          <t>Financeiro</t>
        </is>
      </c>
      <c r="B4418" s="106" t="inlineStr">
        <is>
          <t>Custo Fixo</t>
        </is>
      </c>
      <c r="C4418" s="106" t="inlineStr">
        <is>
          <t>Plataforma do aplicativo Vexpenses (financeiro)</t>
        </is>
      </c>
      <c r="D4418" s="107" t="n"/>
      <c r="E4418" s="108" t="n"/>
      <c r="F4418" s="109">
        <f>IFERROR(D4418*E4418,0)</f>
        <v/>
      </c>
      <c r="G4418" s="106">
        <f>INDEX(SETORES!$B:$B,MATCH(A4418,SETORES!$A:$A,0))</f>
        <v/>
      </c>
      <c r="H4418" s="106" t="inlineStr">
        <is>
          <t>Dezembro/2026</t>
        </is>
      </c>
    </row>
    <row r="4419">
      <c r="A4419" s="106" t="inlineStr">
        <is>
          <t>DP</t>
        </is>
      </c>
      <c r="B4419" s="106" t="inlineStr">
        <is>
          <t>Custo Fixo</t>
        </is>
      </c>
      <c r="C4419" s="106" t="inlineStr">
        <is>
          <t>Licenças de software/sistemas corporativos (DP)</t>
        </is>
      </c>
      <c r="D4419" s="107" t="n">
        <v>1</v>
      </c>
      <c r="E4419" s="108" t="n">
        <v>2559.44</v>
      </c>
      <c r="F4419" s="109">
        <f>IFERROR(D4419*E4419,0)</f>
        <v/>
      </c>
      <c r="G4419" s="106">
        <f>INDEX(SETORES!$B:$B,MATCH(A4419,SETORES!$A:$A,0))</f>
        <v/>
      </c>
      <c r="H4419" s="106" t="inlineStr">
        <is>
          <t>Dezembro/2026</t>
        </is>
      </c>
    </row>
    <row r="4420">
      <c r="A4420" s="106" t="inlineStr">
        <is>
          <t>DP</t>
        </is>
      </c>
      <c r="B4420" s="106" t="inlineStr">
        <is>
          <t>Custo Fixo</t>
        </is>
      </c>
      <c r="C4420" s="106" t="inlineStr">
        <is>
          <t>Sistema de ponto eletrônico (KAIROS) (DP)</t>
        </is>
      </c>
      <c r="D4420" s="107" t="n"/>
      <c r="E4420" s="108" t="n"/>
      <c r="F4420" s="109">
        <f>IFERROR(D4420*E4420,0)</f>
        <v/>
      </c>
      <c r="G4420" s="106">
        <f>INDEX(SETORES!$B:$B,MATCH(A4420,SETORES!$A:$A,0))</f>
        <v/>
      </c>
      <c r="H4420" s="106" t="inlineStr">
        <is>
          <t>Dezembro/2026</t>
        </is>
      </c>
    </row>
    <row r="4421">
      <c r="A4421" s="106" t="inlineStr">
        <is>
          <t>RH</t>
        </is>
      </c>
      <c r="B4421" s="106" t="inlineStr">
        <is>
          <t>Custo Fixo</t>
        </is>
      </c>
      <c r="C4421" s="106" t="inlineStr">
        <is>
          <t>Plataforma de comunicação interna (Useflow) (RH)</t>
        </is>
      </c>
      <c r="D4421" s="107" t="n">
        <v>1</v>
      </c>
      <c r="E4421" s="108" t="n">
        <v>2000</v>
      </c>
      <c r="F4421" s="109">
        <f>IFERROR(D4421*E4421,0)</f>
        <v/>
      </c>
      <c r="G4421" s="106">
        <f>INDEX(SETORES!$B:$B,MATCH(A4421,SETORES!$A:$A,0))</f>
        <v/>
      </c>
      <c r="H4421" s="106" t="inlineStr">
        <is>
          <t>Dezembro/2026</t>
        </is>
      </c>
    </row>
    <row r="4422">
      <c r="A4422" s="106" t="inlineStr">
        <is>
          <t>DP</t>
        </is>
      </c>
      <c r="B4422" s="106" t="inlineStr">
        <is>
          <t>Custo Fixo</t>
        </is>
      </c>
      <c r="C4422" s="106" t="inlineStr">
        <is>
          <t>Software exclusivo B2D (Arquivar) (DP)</t>
        </is>
      </c>
      <c r="D4422" s="107" t="n"/>
      <c r="E4422" s="108" t="n"/>
      <c r="F4422" s="109">
        <f>IFERROR(D4422*E4422,0)</f>
        <v/>
      </c>
      <c r="G4422" s="106">
        <f>INDEX(SETORES!$B:$B,MATCH(A4422,SETORES!$A:$A,0))</f>
        <v/>
      </c>
      <c r="H4422" s="106" t="inlineStr">
        <is>
          <t>Dezembro/2026</t>
        </is>
      </c>
    </row>
    <row r="4423">
      <c r="A4423" s="106" t="inlineStr">
        <is>
          <t>DP</t>
        </is>
      </c>
      <c r="B4423" s="106" t="inlineStr">
        <is>
          <t>Custo Fixo</t>
        </is>
      </c>
      <c r="C4423" s="106" t="inlineStr">
        <is>
          <t>Software Dominio portal do empregado (DP)</t>
        </is>
      </c>
      <c r="D4423" s="107" t="n"/>
      <c r="E4423" s="108" t="n"/>
      <c r="F4423" s="109">
        <f>IFERROR(D4423*E4423,0)</f>
        <v/>
      </c>
      <c r="G4423" s="106">
        <f>INDEX(SETORES!$B:$B,MATCH(A4423,SETORES!$A:$A,0))</f>
        <v/>
      </c>
      <c r="H4423" s="106" t="inlineStr">
        <is>
          <t>Dezembro/2026</t>
        </is>
      </c>
    </row>
    <row r="4424">
      <c r="A4424" s="106" t="inlineStr">
        <is>
          <t>Contabilidade</t>
        </is>
      </c>
      <c r="B4424" s="106" t="inlineStr">
        <is>
          <t>Custo Fixo</t>
        </is>
      </c>
      <c r="C4424" s="106" t="inlineStr">
        <is>
          <t>Licenças de software/sistemas corporativos (Contabilidade)</t>
        </is>
      </c>
      <c r="D4424" s="107" t="n">
        <v>1</v>
      </c>
      <c r="E4424" s="108" t="n">
        <v>2559.45</v>
      </c>
      <c r="F4424" s="109">
        <f>IFERROR(D4424*E4424,0)</f>
        <v/>
      </c>
      <c r="G4424" s="106">
        <f>INDEX(SETORES!$B:$B,MATCH(A4424,SETORES!$A:$A,0))</f>
        <v/>
      </c>
      <c r="H4424" s="106" t="inlineStr">
        <is>
          <t>Dezembro/2026</t>
        </is>
      </c>
    </row>
    <row r="4425">
      <c r="A4425" s="106" t="inlineStr">
        <is>
          <t>Administrativo</t>
        </is>
      </c>
      <c r="B4425" s="106" t="inlineStr">
        <is>
          <t>Custo Fixo</t>
        </is>
      </c>
      <c r="C4425" s="106" t="inlineStr">
        <is>
          <t>Software Power BI Dynamics (f001796)</t>
        </is>
      </c>
      <c r="D4425" s="107" t="n">
        <v>1</v>
      </c>
      <c r="E4425" s="108" t="n">
        <v>1787.09</v>
      </c>
      <c r="F4425" s="109">
        <f>IFERROR(D4425*E4425,0)</f>
        <v/>
      </c>
      <c r="G4425" s="106">
        <f>INDEX(SETORES!$B:$B,MATCH(A4425,SETORES!$A:$A,0))</f>
        <v/>
      </c>
      <c r="H4425" s="106" t="inlineStr">
        <is>
          <t>Dezembro/2026</t>
        </is>
      </c>
    </row>
    <row r="4426">
      <c r="A4426" s="106" t="inlineStr">
        <is>
          <t>Engenharia</t>
        </is>
      </c>
      <c r="B4426" s="106" t="inlineStr">
        <is>
          <t>Custo Fixo</t>
        </is>
      </c>
      <c r="C4426" s="106" t="inlineStr">
        <is>
          <t>Software de geolocalização (Engenharia)</t>
        </is>
      </c>
      <c r="D4426" s="107" t="n"/>
      <c r="E4426" s="108" t="n"/>
      <c r="F4426" s="109">
        <f>IFERROR(D4426*E4426,0)</f>
        <v/>
      </c>
      <c r="G4426" s="106">
        <f>INDEX(SETORES!$B:$B,MATCH(A4426,SETORES!$A:$A,0))</f>
        <v/>
      </c>
      <c r="H4426" s="106" t="inlineStr">
        <is>
          <t>Dezembro/2026</t>
        </is>
      </c>
    </row>
    <row r="4427">
      <c r="A4427" s="106" t="inlineStr">
        <is>
          <t>Logística</t>
        </is>
      </c>
      <c r="B4427" s="106" t="inlineStr">
        <is>
          <t>Custo Fixo</t>
        </is>
      </c>
      <c r="C4427" s="106" t="inlineStr">
        <is>
          <t>Software Full time (Logística)</t>
        </is>
      </c>
      <c r="D4427" s="107" t="n"/>
      <c r="E4427" s="108" t="n"/>
      <c r="F4427" s="109">
        <f>IFERROR(D4427*E4427,0)</f>
        <v/>
      </c>
      <c r="G4427" s="106">
        <f>INDEX(SETORES!$B:$B,MATCH(A4427,SETORES!$A:$A,0))</f>
        <v/>
      </c>
      <c r="H4427" s="106" t="inlineStr">
        <is>
          <t>Dezembro/2026</t>
        </is>
      </c>
    </row>
    <row r="4428">
      <c r="A4428" s="106" t="inlineStr">
        <is>
          <t>Administrativo</t>
        </is>
      </c>
      <c r="B4428" s="106" t="inlineStr">
        <is>
          <t>Custo Fixo</t>
        </is>
      </c>
      <c r="C4428" s="106" t="inlineStr">
        <is>
          <t>Software de sistema eletronico de alarme (administrativo)</t>
        </is>
      </c>
      <c r="D4428" s="107" t="n"/>
      <c r="E4428" s="108" t="n"/>
      <c r="F4428" s="109">
        <f>IFERROR(D4428*E4428,0)</f>
        <v/>
      </c>
      <c r="G4428" s="106">
        <f>INDEX(SETORES!$B:$B,MATCH(A4428,SETORES!$A:$A,0))</f>
        <v/>
      </c>
      <c r="H4428" s="106" t="inlineStr">
        <is>
          <t>Dezembro/2026</t>
        </is>
      </c>
    </row>
    <row r="4429">
      <c r="A4429" s="106" t="inlineStr">
        <is>
          <t>CAC</t>
        </is>
      </c>
      <c r="B4429" s="106" t="inlineStr">
        <is>
          <t>Custo Fixo</t>
        </is>
      </c>
      <c r="C4429" s="106" t="inlineStr">
        <is>
          <t>Material de escritório (suprimentos de informática)</t>
        </is>
      </c>
      <c r="D4429" s="107" t="n"/>
      <c r="E4429" s="108" t="n"/>
      <c r="F4429" s="109">
        <f>IFERROR(D4429*E4429,0)</f>
        <v/>
      </c>
      <c r="G4429" s="106">
        <f>INDEX(SETORES!$B:$B,MATCH(A4429,SETORES!$A:$A,0))</f>
        <v/>
      </c>
      <c r="H4429" s="106" t="inlineStr">
        <is>
          <t>Dezembro/2026</t>
        </is>
      </c>
    </row>
    <row r="4430">
      <c r="A4430" s="106" t="inlineStr">
        <is>
          <t>CAC</t>
        </is>
      </c>
      <c r="B4430" s="106" t="inlineStr">
        <is>
          <t>Custo Fixo</t>
        </is>
      </c>
      <c r="C4430" s="106" t="inlineStr">
        <is>
          <t>Material de uso coletivo (copa/limpeza)</t>
        </is>
      </c>
      <c r="D4430" s="107" t="n"/>
      <c r="E4430" s="108" t="n"/>
      <c r="F4430" s="109">
        <f>IFERROR(D4430*E4430,0)</f>
        <v/>
      </c>
      <c r="G4430" s="106">
        <f>INDEX(SETORES!$B:$B,MATCH(A4430,SETORES!$A:$A,0))</f>
        <v/>
      </c>
      <c r="H4430" s="106" t="inlineStr">
        <is>
          <t>Dezembro/2026</t>
        </is>
      </c>
    </row>
    <row r="4431">
      <c r="A4431" s="106" t="inlineStr">
        <is>
          <t>CAC</t>
        </is>
      </c>
      <c r="B4431" s="106" t="inlineStr">
        <is>
          <t>Custo Fixo</t>
        </is>
      </c>
      <c r="C4431" s="106" t="inlineStr">
        <is>
          <t>Energia elétrica (rateio)</t>
        </is>
      </c>
      <c r="D4431" s="107" t="n"/>
      <c r="E4431" s="108" t="n"/>
      <c r="F4431" s="109">
        <f>IFERROR(D4431*E4431,0)</f>
        <v/>
      </c>
      <c r="G4431" s="106">
        <f>INDEX(SETORES!$B:$B,MATCH(A4431,SETORES!$A:$A,0))</f>
        <v/>
      </c>
      <c r="H4431" s="106" t="inlineStr">
        <is>
          <t>Dezembro/2026</t>
        </is>
      </c>
    </row>
    <row r="4432">
      <c r="A4432" s="106" t="inlineStr">
        <is>
          <t>CAC</t>
        </is>
      </c>
      <c r="B4432" s="106" t="inlineStr">
        <is>
          <t>Custo Fixo</t>
        </is>
      </c>
      <c r="C4432" s="106" t="inlineStr">
        <is>
          <t>Água e esgoto (rateio)</t>
        </is>
      </c>
      <c r="D4432" s="107" t="n"/>
      <c r="E4432" s="108" t="n"/>
      <c r="F4432" s="109">
        <f>IFERROR(D4432*E4432,0)</f>
        <v/>
      </c>
      <c r="G4432" s="106">
        <f>INDEX(SETORES!$B:$B,MATCH(A4432,SETORES!$A:$A,0))</f>
        <v/>
      </c>
      <c r="H4432" s="106" t="inlineStr">
        <is>
          <t>Dezembro/2026</t>
        </is>
      </c>
    </row>
    <row r="4433">
      <c r="A4433" s="106" t="inlineStr">
        <is>
          <t>CAC</t>
        </is>
      </c>
      <c r="B4433" s="106" t="inlineStr">
        <is>
          <t>Custo Fixo</t>
        </is>
      </c>
      <c r="C4433" s="106" t="inlineStr">
        <is>
          <t>Telefonia móvel corporativa</t>
        </is>
      </c>
      <c r="D4433" s="107" t="n"/>
      <c r="E4433" s="108" t="n"/>
      <c r="F4433" s="109">
        <f>IFERROR(D4433*E4433,0)</f>
        <v/>
      </c>
      <c r="G4433" s="106">
        <f>INDEX(SETORES!$B:$B,MATCH(A4433,SETORES!$A:$A,0))</f>
        <v/>
      </c>
      <c r="H4433" s="106" t="inlineStr">
        <is>
          <t>Dezembro/2026</t>
        </is>
      </c>
    </row>
    <row r="4434">
      <c r="A4434" s="106" t="inlineStr">
        <is>
          <t>CAC</t>
        </is>
      </c>
      <c r="B4434" s="106" t="inlineStr">
        <is>
          <t>Custo Fixo</t>
        </is>
      </c>
      <c r="C4434" s="106" t="inlineStr">
        <is>
          <t>Folha de pagamento (salários)</t>
        </is>
      </c>
      <c r="D4434" s="107" t="n">
        <v>1</v>
      </c>
      <c r="E4434" s="108" t="n">
        <v>21051.01</v>
      </c>
      <c r="F4434" s="109">
        <f>IFERROR(D4434*E4434,0)</f>
        <v/>
      </c>
      <c r="G4434" s="106">
        <f>INDEX(SETORES!$B:$B,MATCH(A4434,SETORES!$A:$A,0))</f>
        <v/>
      </c>
      <c r="H4434" s="106" t="inlineStr">
        <is>
          <t>Dezembro/2026</t>
        </is>
      </c>
    </row>
    <row r="4435">
      <c r="A4435" s="106" t="inlineStr">
        <is>
          <t>CAC</t>
        </is>
      </c>
      <c r="B4435" s="106" t="inlineStr">
        <is>
          <t>Custo Variável</t>
        </is>
      </c>
      <c r="C4435" s="106" t="inlineStr">
        <is>
          <t>Fardamento novo</t>
        </is>
      </c>
      <c r="D4435" s="107" t="n"/>
      <c r="E4435" s="108" t="n"/>
      <c r="F4435" s="109">
        <f>IFERROR(D4435*E4435,0)</f>
        <v/>
      </c>
      <c r="G4435" s="106">
        <f>INDEX(SETORES!$B:$B,MATCH(A4435,SETORES!$A:$A,0))</f>
        <v/>
      </c>
      <c r="H4435" s="106" t="inlineStr">
        <is>
          <t>Dezembro/2026</t>
        </is>
      </c>
    </row>
    <row r="4436">
      <c r="A4436" s="106" t="inlineStr">
        <is>
          <t>CAC</t>
        </is>
      </c>
      <c r="B4436" s="106" t="inlineStr">
        <is>
          <t>Custo Variável</t>
        </is>
      </c>
      <c r="C4436" s="106" t="inlineStr">
        <is>
          <t>Fardamento substituição</t>
        </is>
      </c>
      <c r="D4436" s="107" t="n"/>
      <c r="E4436" s="108" t="n"/>
      <c r="F4436" s="109">
        <f>IFERROR(D4436*E4436,0)</f>
        <v/>
      </c>
      <c r="G4436" s="106">
        <f>INDEX(SETORES!$B:$B,MATCH(A4436,SETORES!$A:$A,0))</f>
        <v/>
      </c>
      <c r="H4436" s="106" t="inlineStr">
        <is>
          <t>Dezembro/2026</t>
        </is>
      </c>
    </row>
    <row r="4437">
      <c r="A4437" s="106" t="inlineStr">
        <is>
          <t>CAC</t>
        </is>
      </c>
      <c r="B4437" s="106" t="inlineStr">
        <is>
          <t>Custo Variável</t>
        </is>
      </c>
      <c r="C4437" s="106" t="inlineStr">
        <is>
          <t>Exames médicos</t>
        </is>
      </c>
      <c r="D4437" s="107" t="n"/>
      <c r="E4437" s="108" t="n"/>
      <c r="F4437" s="109">
        <f>IFERROR(D4437*E4437,0)</f>
        <v/>
      </c>
      <c r="G4437" s="106">
        <f>INDEX(SETORES!$B:$B,MATCH(A4437,SETORES!$A:$A,0))</f>
        <v/>
      </c>
      <c r="H4437" s="106" t="inlineStr">
        <is>
          <t>Dezembro/2026</t>
        </is>
      </c>
    </row>
    <row r="4438">
      <c r="A4438" s="106" t="inlineStr">
        <is>
          <t>CAC</t>
        </is>
      </c>
      <c r="B4438" s="106" t="inlineStr">
        <is>
          <t>Custo Fixo</t>
        </is>
      </c>
      <c r="C4438" s="106" t="inlineStr">
        <is>
          <t>Licença de e-mail corporativo</t>
        </is>
      </c>
      <c r="D4438" s="107" t="n">
        <v>5</v>
      </c>
      <c r="E4438" s="108" t="n">
        <v>50</v>
      </c>
      <c r="F4438" s="109">
        <f>IFERROR(D4438*E4438,0)</f>
        <v/>
      </c>
      <c r="G4438" s="106">
        <f>INDEX(SETORES!$B:$B,MATCH(A4438,SETORES!$A:$A,0))</f>
        <v/>
      </c>
      <c r="H4438" s="106" t="inlineStr">
        <is>
          <t>Dezembro/2026</t>
        </is>
      </c>
    </row>
    <row r="4439">
      <c r="A4439" s="106" t="inlineStr">
        <is>
          <t>CAC</t>
        </is>
      </c>
      <c r="B4439" s="106" t="inlineStr">
        <is>
          <t>Custo Fixo</t>
        </is>
      </c>
      <c r="C4439" s="106" t="inlineStr">
        <is>
          <t>Gympass</t>
        </is>
      </c>
      <c r="D4439" s="107" t="n"/>
      <c r="E4439" s="108" t="n"/>
      <c r="F4439" s="109">
        <f>IFERROR(D4439*E4439,0)</f>
        <v/>
      </c>
      <c r="G4439" s="106">
        <f>INDEX(SETORES!$B:$B,MATCH(A4439,SETORES!$A:$A,0))</f>
        <v/>
      </c>
      <c r="H4439" s="106" t="inlineStr">
        <is>
          <t>Dezembro/2026</t>
        </is>
      </c>
    </row>
    <row r="4440">
      <c r="A4440" s="106" t="inlineStr">
        <is>
          <t>CAC</t>
        </is>
      </c>
      <c r="B4440" s="106" t="inlineStr">
        <is>
          <t>Custo Fixo</t>
        </is>
      </c>
      <c r="C4440" s="106" t="inlineStr">
        <is>
          <t>Stargrid</t>
        </is>
      </c>
      <c r="D4440" s="107" t="n">
        <v>5</v>
      </c>
      <c r="E4440" s="108" t="n">
        <v>1.87</v>
      </c>
      <c r="F4440" s="109">
        <f>IFERROR(D4440*E4440,0)</f>
        <v/>
      </c>
      <c r="G4440" s="106">
        <f>INDEX(SETORES!$B:$B,MATCH(A4440,SETORES!$A:$A,0))</f>
        <v/>
      </c>
      <c r="H4440" s="106" t="inlineStr">
        <is>
          <t>Dezembro/2026</t>
        </is>
      </c>
    </row>
    <row r="4441">
      <c r="A4441" s="106" t="inlineStr">
        <is>
          <t>Cobrança</t>
        </is>
      </c>
      <c r="B4441" s="106" t="inlineStr">
        <is>
          <t>Custo Fixo</t>
        </is>
      </c>
      <c r="C4441" s="106" t="inlineStr">
        <is>
          <t>Material de escritório (suprimentos de informática)</t>
        </is>
      </c>
      <c r="D4441" s="107" t="n">
        <v>1</v>
      </c>
      <c r="E4441" s="108" t="n">
        <v>3.74</v>
      </c>
      <c r="F4441" s="109">
        <f>IFERROR(D4441*E4441,0)</f>
        <v/>
      </c>
      <c r="G4441" s="106">
        <f>INDEX(SETORES!$B:$B,MATCH(A4441,SETORES!$A:$A,0))</f>
        <v/>
      </c>
      <c r="H4441" s="106" t="inlineStr">
        <is>
          <t>Dezembro/2026</t>
        </is>
      </c>
    </row>
    <row r="4442">
      <c r="A4442" s="106" t="inlineStr">
        <is>
          <t>Cobrança</t>
        </is>
      </c>
      <c r="B4442" s="106" t="inlineStr">
        <is>
          <t>Custo Fixo</t>
        </is>
      </c>
      <c r="C4442" s="106" t="inlineStr">
        <is>
          <t>Material de uso coletivo (copa/limpeza)</t>
        </is>
      </c>
      <c r="D4442" s="107" t="n">
        <v>1</v>
      </c>
      <c r="E4442" s="108" t="n">
        <v>657.21</v>
      </c>
      <c r="F4442" s="109">
        <f>IFERROR(D4442*E4442,0)</f>
        <v/>
      </c>
      <c r="G4442" s="106">
        <f>INDEX(SETORES!$B:$B,MATCH(A4442,SETORES!$A:$A,0))</f>
        <v/>
      </c>
      <c r="H4442" s="106" t="inlineStr">
        <is>
          <t>Dezembro/2026</t>
        </is>
      </c>
    </row>
    <row r="4443">
      <c r="A4443" s="106" t="inlineStr">
        <is>
          <t>Cobrança</t>
        </is>
      </c>
      <c r="B4443" s="106" t="inlineStr">
        <is>
          <t>Custo Fixo</t>
        </is>
      </c>
      <c r="C4443" s="106" t="inlineStr">
        <is>
          <t>Energia elétrica (rateio)</t>
        </is>
      </c>
      <c r="D4443" s="107" t="n"/>
      <c r="E4443" s="108" t="n"/>
      <c r="F4443" s="109">
        <f>IFERROR(D4443*E4443,0)</f>
        <v/>
      </c>
      <c r="G4443" s="106">
        <f>INDEX(SETORES!$B:$B,MATCH(A4443,SETORES!$A:$A,0))</f>
        <v/>
      </c>
      <c r="H4443" s="106" t="inlineStr">
        <is>
          <t>Dezembro/2026</t>
        </is>
      </c>
    </row>
    <row r="4444">
      <c r="A4444" s="106" t="inlineStr">
        <is>
          <t>Cobrança</t>
        </is>
      </c>
      <c r="B4444" s="106" t="inlineStr">
        <is>
          <t>Custo Fixo</t>
        </is>
      </c>
      <c r="C4444" s="106" t="inlineStr">
        <is>
          <t>Água e esgoto (rateio)</t>
        </is>
      </c>
      <c r="D4444" s="107" t="n"/>
      <c r="E4444" s="108" t="n"/>
      <c r="F4444" s="109">
        <f>IFERROR(D4444*E4444,0)</f>
        <v/>
      </c>
      <c r="G4444" s="106">
        <f>INDEX(SETORES!$B:$B,MATCH(A4444,SETORES!$A:$A,0))</f>
        <v/>
      </c>
      <c r="H4444" s="106" t="inlineStr">
        <is>
          <t>Dezembro/2026</t>
        </is>
      </c>
    </row>
    <row r="4445">
      <c r="A4445" s="106" t="inlineStr">
        <is>
          <t>Cobrança</t>
        </is>
      </c>
      <c r="B4445" s="106" t="inlineStr">
        <is>
          <t>Custo Fixo</t>
        </is>
      </c>
      <c r="C4445" s="106" t="inlineStr">
        <is>
          <t>Telefonia móvel corporativa</t>
        </is>
      </c>
      <c r="D4445" s="107" t="n"/>
      <c r="E4445" s="108" t="n"/>
      <c r="F4445" s="109">
        <f>IFERROR(D4445*E4445,0)</f>
        <v/>
      </c>
      <c r="G4445" s="106">
        <f>INDEX(SETORES!$B:$B,MATCH(A4445,SETORES!$A:$A,0))</f>
        <v/>
      </c>
      <c r="H4445" s="106" t="inlineStr">
        <is>
          <t>Dezembro/2026</t>
        </is>
      </c>
    </row>
    <row r="4446">
      <c r="A4446" s="106" t="inlineStr">
        <is>
          <t>Cobrança</t>
        </is>
      </c>
      <c r="B4446" s="106" t="inlineStr">
        <is>
          <t>Custo Fixo</t>
        </is>
      </c>
      <c r="C4446" s="106" t="inlineStr">
        <is>
          <t>Folha de pagamento (salários)</t>
        </is>
      </c>
      <c r="D4446" s="107" t="n">
        <v>1</v>
      </c>
      <c r="E4446" s="108" t="n">
        <v>42492.05</v>
      </c>
      <c r="F4446" s="109">
        <f>IFERROR(D4446*E4446,0)</f>
        <v/>
      </c>
      <c r="G4446" s="106">
        <f>INDEX(SETORES!$B:$B,MATCH(A4446,SETORES!$A:$A,0))</f>
        <v/>
      </c>
      <c r="H4446" s="106" t="inlineStr">
        <is>
          <t>Dezembro/2026</t>
        </is>
      </c>
    </row>
    <row r="4447">
      <c r="A4447" s="106" t="inlineStr">
        <is>
          <t>Cobrança</t>
        </is>
      </c>
      <c r="B4447" s="106" t="inlineStr">
        <is>
          <t>Custo Variável</t>
        </is>
      </c>
      <c r="C4447" s="106" t="inlineStr">
        <is>
          <t>Fardamento novo</t>
        </is>
      </c>
      <c r="D4447" s="107" t="n"/>
      <c r="E4447" s="108" t="n"/>
      <c r="F4447" s="109">
        <f>IFERROR(D4447*E4447,0)</f>
        <v/>
      </c>
      <c r="G4447" s="106">
        <f>INDEX(SETORES!$B:$B,MATCH(A4447,SETORES!$A:$A,0))</f>
        <v/>
      </c>
      <c r="H4447" s="106" t="inlineStr">
        <is>
          <t>Dezembro/2026</t>
        </is>
      </c>
    </row>
    <row r="4448">
      <c r="A4448" s="106" t="inlineStr">
        <is>
          <t>Cobrança</t>
        </is>
      </c>
      <c r="B4448" s="106" t="inlineStr">
        <is>
          <t>Custo Variável</t>
        </is>
      </c>
      <c r="C4448" s="106" t="inlineStr">
        <is>
          <t>Fardamento substituição</t>
        </is>
      </c>
      <c r="D4448" s="107" t="n"/>
      <c r="E4448" s="108" t="n"/>
      <c r="F4448" s="109">
        <f>IFERROR(D4448*E4448,0)</f>
        <v/>
      </c>
      <c r="G4448" s="106">
        <f>INDEX(SETORES!$B:$B,MATCH(A4448,SETORES!$A:$A,0))</f>
        <v/>
      </c>
      <c r="H4448" s="106" t="inlineStr">
        <is>
          <t>Dezembro/2026</t>
        </is>
      </c>
    </row>
    <row r="4449">
      <c r="A4449" s="106" t="inlineStr">
        <is>
          <t>Cobrança</t>
        </is>
      </c>
      <c r="B4449" s="106" t="inlineStr">
        <is>
          <t>Custo Variável</t>
        </is>
      </c>
      <c r="C4449" s="106" t="inlineStr">
        <is>
          <t>Rescisões trabalhistas</t>
        </is>
      </c>
      <c r="D4449" s="107" t="n"/>
      <c r="E4449" s="108" t="n"/>
      <c r="F4449" s="109">
        <f>IFERROR(D4449*E4449,0)</f>
        <v/>
      </c>
      <c r="G4449" s="106">
        <f>INDEX(SETORES!$B:$B,MATCH(A4449,SETORES!$A:$A,0))</f>
        <v/>
      </c>
      <c r="H4449" s="106" t="inlineStr">
        <is>
          <t>Dezembro/2026</t>
        </is>
      </c>
    </row>
    <row r="4450">
      <c r="A4450" s="106" t="inlineStr">
        <is>
          <t>Cobrança</t>
        </is>
      </c>
      <c r="B4450" s="106" t="inlineStr">
        <is>
          <t>Custo Fixo</t>
        </is>
      </c>
      <c r="C4450" s="106" t="inlineStr">
        <is>
          <t>Licença de e-mail corporativo</t>
        </is>
      </c>
      <c r="D4450" s="107" t="n">
        <v>13</v>
      </c>
      <c r="E4450" s="108" t="n">
        <v>50</v>
      </c>
      <c r="F4450" s="109">
        <f>IFERROR(D4450*E4450,0)</f>
        <v/>
      </c>
      <c r="G4450" s="106">
        <f>INDEX(SETORES!$B:$B,MATCH(A4450,SETORES!$A:$A,0))</f>
        <v/>
      </c>
      <c r="H4450" s="106" t="inlineStr">
        <is>
          <t>Dezembro/2026</t>
        </is>
      </c>
    </row>
    <row r="4451">
      <c r="A4451" s="106" t="inlineStr">
        <is>
          <t>Cobrança</t>
        </is>
      </c>
      <c r="B4451" s="106" t="inlineStr">
        <is>
          <t>Custo Fixo</t>
        </is>
      </c>
      <c r="C4451" s="106" t="inlineStr">
        <is>
          <t>Software MATRIX (rateio equipe Relacionamento)</t>
        </is>
      </c>
      <c r="D4451" s="107" t="n"/>
      <c r="E4451" s="108" t="n"/>
      <c r="F4451" s="109">
        <f>IFERROR(D4451*E4451,0)</f>
        <v/>
      </c>
      <c r="G4451" s="106">
        <f>INDEX(SETORES!$B:$B,MATCH(A4451,SETORES!$A:$A,0))</f>
        <v/>
      </c>
      <c r="H4451" s="106" t="inlineStr">
        <is>
          <t>Dezembro/2026</t>
        </is>
      </c>
    </row>
    <row r="4452">
      <c r="A4452" s="106" t="inlineStr">
        <is>
          <t>Cobrança</t>
        </is>
      </c>
      <c r="B4452" s="106" t="inlineStr">
        <is>
          <t>Custo Fixo</t>
        </is>
      </c>
      <c r="C4452" s="106" t="inlineStr">
        <is>
          <t>Impressora (rateio equipe Relacionamento)</t>
        </is>
      </c>
      <c r="D4452" s="107" t="n"/>
      <c r="E4452" s="108" t="n"/>
      <c r="F4452" s="109">
        <f>IFERROR(D4452*E4452,0)</f>
        <v/>
      </c>
      <c r="G4452" s="106">
        <f>INDEX(SETORES!$B:$B,MATCH(A4452,SETORES!$A:$A,0))</f>
        <v/>
      </c>
      <c r="H4452" s="106" t="inlineStr">
        <is>
          <t>Dezembro/2026</t>
        </is>
      </c>
    </row>
    <row r="4453">
      <c r="A4453" s="106" t="inlineStr">
        <is>
          <t>Cobrança</t>
        </is>
      </c>
      <c r="B4453" s="106" t="inlineStr">
        <is>
          <t>Custo Fixo</t>
        </is>
      </c>
      <c r="C4453" s="106" t="inlineStr">
        <is>
          <t>Gympass</t>
        </is>
      </c>
      <c r="D4453" s="107" t="n"/>
      <c r="E4453" s="108" t="n"/>
      <c r="F4453" s="109">
        <f>IFERROR(D4453*E4453,0)</f>
        <v/>
      </c>
      <c r="G4453" s="106">
        <f>INDEX(SETORES!$B:$B,MATCH(A4453,SETORES!$A:$A,0))</f>
        <v/>
      </c>
      <c r="H4453" s="106" t="inlineStr">
        <is>
          <t>Dezembro/2026</t>
        </is>
      </c>
    </row>
    <row r="4454">
      <c r="A4454" s="106" t="inlineStr">
        <is>
          <t>Cobrança</t>
        </is>
      </c>
      <c r="B4454" s="106" t="inlineStr">
        <is>
          <t>Custo Fixo</t>
        </is>
      </c>
      <c r="C4454" s="106" t="inlineStr">
        <is>
          <t>Stargrid</t>
        </is>
      </c>
      <c r="D4454" s="107" t="n">
        <v>13</v>
      </c>
      <c r="E4454" s="108" t="n">
        <v>1.87</v>
      </c>
      <c r="F4454" s="109">
        <f>IFERROR(D4454*E4454,0)</f>
        <v/>
      </c>
      <c r="G4454" s="106">
        <f>INDEX(SETORES!$B:$B,MATCH(A4454,SETORES!$A:$A,0))</f>
        <v/>
      </c>
      <c r="H4454" s="106" t="inlineStr">
        <is>
          <t>Dezembro/2026</t>
        </is>
      </c>
    </row>
    <row r="4455">
      <c r="A4455" s="106" t="inlineStr">
        <is>
          <t>Comercial Corporativo</t>
        </is>
      </c>
      <c r="B4455" s="106" t="inlineStr">
        <is>
          <t>Custo Variável</t>
        </is>
      </c>
      <c r="C4455" s="106" t="inlineStr">
        <is>
          <t>Endomarketing</t>
        </is>
      </c>
      <c r="D4455" s="107" t="n"/>
      <c r="E4455" s="108" t="n"/>
      <c r="F4455" s="109">
        <f>IFERROR(D4455*E4455,0)</f>
        <v/>
      </c>
      <c r="G4455" s="106">
        <f>INDEX(SETORES!$B:$B,MATCH(A4455,SETORES!$A:$A,0))</f>
        <v/>
      </c>
      <c r="H4455" s="106" t="inlineStr">
        <is>
          <t>Dezembro/2026</t>
        </is>
      </c>
    </row>
    <row r="4456">
      <c r="A4456" s="106" t="inlineStr">
        <is>
          <t>Comercial Corporativo</t>
        </is>
      </c>
      <c r="B4456" s="106" t="inlineStr">
        <is>
          <t>Custo Variável</t>
        </is>
      </c>
      <c r="C4456" s="106" t="inlineStr">
        <is>
          <t>Marketing direto</t>
        </is>
      </c>
      <c r="D4456" s="107" t="n"/>
      <c r="E4456" s="108" t="n"/>
      <c r="F4456" s="109">
        <f>IFERROR(D4456*E4456,0)</f>
        <v/>
      </c>
      <c r="G4456" s="106">
        <f>INDEX(SETORES!$B:$B,MATCH(A4456,SETORES!$A:$A,0))</f>
        <v/>
      </c>
      <c r="H4456" s="106" t="inlineStr">
        <is>
          <t>Dezembro/2026</t>
        </is>
      </c>
    </row>
    <row r="4457">
      <c r="A4457" s="106" t="inlineStr">
        <is>
          <t>Comercial Corporativo</t>
        </is>
      </c>
      <c r="B4457" s="106" t="inlineStr">
        <is>
          <t>Custo Fixo</t>
        </is>
      </c>
      <c r="C4457" s="106" t="inlineStr">
        <is>
          <t>E-mail do departamento</t>
        </is>
      </c>
      <c r="D4457" s="107" t="n">
        <v>12</v>
      </c>
      <c r="E4457" s="108" t="n">
        <v>50</v>
      </c>
      <c r="F4457" s="109">
        <f>IFERROR(D4457*E4457,0)</f>
        <v/>
      </c>
      <c r="G4457" s="106">
        <f>INDEX(SETORES!$B:$B,MATCH(A4457,SETORES!$A:$A,0))</f>
        <v/>
      </c>
      <c r="H4457" s="106" t="inlineStr">
        <is>
          <t>Dezembro/2026</t>
        </is>
      </c>
    </row>
    <row r="4458">
      <c r="A4458" s="106" t="inlineStr">
        <is>
          <t>Comercial Corporativo</t>
        </is>
      </c>
      <c r="B4458" s="106" t="inlineStr">
        <is>
          <t>Custo Fixo</t>
        </is>
      </c>
      <c r="C4458" s="106" t="inlineStr">
        <is>
          <t>Folha de pagamento (salários)</t>
        </is>
      </c>
      <c r="D4458" s="107" t="n">
        <v>1</v>
      </c>
      <c r="E4458" s="108" t="n">
        <v>189839.41</v>
      </c>
      <c r="F4458" s="109">
        <f>IFERROR(D4458*E4458,0)</f>
        <v/>
      </c>
      <c r="G4458" s="106">
        <f>INDEX(SETORES!$B:$B,MATCH(A4458,SETORES!$A:$A,0))</f>
        <v/>
      </c>
      <c r="H4458" s="106" t="inlineStr">
        <is>
          <t>Dezembro/2026</t>
        </is>
      </c>
    </row>
    <row r="4459">
      <c r="A4459" s="106" t="inlineStr">
        <is>
          <t>Comercial Corporativo</t>
        </is>
      </c>
      <c r="B4459" s="106" t="inlineStr">
        <is>
          <t>Custo Fixo</t>
        </is>
      </c>
      <c r="C4459" s="106" t="inlineStr">
        <is>
          <t>Linhas moveis (FIQUE MÓVEL)</t>
        </is>
      </c>
      <c r="D4459" s="107" t="n"/>
      <c r="E4459" s="108" t="n"/>
      <c r="F4459" s="109">
        <f>IFERROR(D4459*E4459,0)</f>
        <v/>
      </c>
      <c r="G4459" s="106">
        <f>INDEX(SETORES!$B:$B,MATCH(A4459,SETORES!$A:$A,0))</f>
        <v/>
      </c>
      <c r="H4459" s="106" t="inlineStr">
        <is>
          <t>Dezembro/2026</t>
        </is>
      </c>
    </row>
    <row r="4460">
      <c r="A4460" s="106" t="inlineStr">
        <is>
          <t>Comercial Corporativo</t>
        </is>
      </c>
      <c r="B4460" s="106" t="inlineStr">
        <is>
          <t>Custo Fixo</t>
        </is>
      </c>
      <c r="C4460" s="106" t="inlineStr">
        <is>
          <t>Despesas com RH</t>
        </is>
      </c>
      <c r="D4460" s="107" t="n">
        <v>12</v>
      </c>
      <c r="E4460" s="108" t="n">
        <v>32.55</v>
      </c>
      <c r="F4460" s="109">
        <f>IFERROR(D4460*E4460,0)</f>
        <v/>
      </c>
      <c r="G4460" s="106">
        <f>INDEX(SETORES!$B:$B,MATCH(A4460,SETORES!$A:$A,0))</f>
        <v/>
      </c>
      <c r="H4460" s="106" t="inlineStr">
        <is>
          <t>Dezembro/2026</t>
        </is>
      </c>
    </row>
    <row r="4461">
      <c r="A4461" s="106" t="inlineStr">
        <is>
          <t>Comercial Corporativo</t>
        </is>
      </c>
      <c r="B4461" s="106" t="inlineStr">
        <is>
          <t>Custo Fixo</t>
        </is>
      </c>
      <c r="C4461" s="106" t="inlineStr">
        <is>
          <t>Despesas com DP</t>
        </is>
      </c>
      <c r="D4461" s="107" t="n">
        <v>12</v>
      </c>
      <c r="E4461" s="108" t="n">
        <v>52.09</v>
      </c>
      <c r="F4461" s="109">
        <f>IFERROR(D4461*E4461,0)</f>
        <v/>
      </c>
      <c r="G4461" s="106">
        <f>INDEX(SETORES!$B:$B,MATCH(A4461,SETORES!$A:$A,0))</f>
        <v/>
      </c>
      <c r="H4461" s="106" t="inlineStr">
        <is>
          <t>Dezembro/2026</t>
        </is>
      </c>
    </row>
    <row r="4462">
      <c r="A4462" s="106" t="inlineStr">
        <is>
          <t>Comercial Corporativo</t>
        </is>
      </c>
      <c r="B4462" s="106" t="inlineStr">
        <is>
          <t>Custo Fixo</t>
        </is>
      </c>
      <c r="C4462" s="106" t="inlineStr">
        <is>
          <t>Despesas com SST</t>
        </is>
      </c>
      <c r="D4462" s="107" t="n">
        <v>12</v>
      </c>
      <c r="E4462" s="108" t="n">
        <v>52.35</v>
      </c>
      <c r="F4462" s="109">
        <f>IFERROR(D4462*E4462,0)</f>
        <v/>
      </c>
      <c r="G4462" s="106">
        <f>INDEX(SETORES!$B:$B,MATCH(A4462,SETORES!$A:$A,0))</f>
        <v/>
      </c>
      <c r="H4462" s="106" t="inlineStr">
        <is>
          <t>Dezembro/2026</t>
        </is>
      </c>
    </row>
    <row r="4463">
      <c r="A4463" s="106" t="inlineStr">
        <is>
          <t>Comercial Corporativo</t>
        </is>
      </c>
      <c r="B4463" s="106" t="inlineStr">
        <is>
          <t>Custo Variável</t>
        </is>
      </c>
      <c r="C4463" s="106" t="inlineStr">
        <is>
          <t>Exames médicos</t>
        </is>
      </c>
      <c r="D4463" s="107" t="n"/>
      <c r="E4463" s="108" t="n"/>
      <c r="F4463" s="109">
        <f>IFERROR(D4463*E4463,0)</f>
        <v/>
      </c>
      <c r="G4463" s="106">
        <f>INDEX(SETORES!$B:$B,MATCH(A4463,SETORES!$A:$A,0))</f>
        <v/>
      </c>
      <c r="H4463" s="106" t="inlineStr">
        <is>
          <t>Dezembro/2026</t>
        </is>
      </c>
    </row>
    <row r="4464">
      <c r="A4464" s="106" t="inlineStr">
        <is>
          <t>Comercial Corporativo</t>
        </is>
      </c>
      <c r="B4464" s="106" t="inlineStr">
        <is>
          <t>Custo Variável</t>
        </is>
      </c>
      <c r="C4464" s="106" t="inlineStr">
        <is>
          <t>Novo Fardamento</t>
        </is>
      </c>
      <c r="D4464" s="107" t="n">
        <v>1</v>
      </c>
      <c r="E4464" s="108" t="n">
        <v>90</v>
      </c>
      <c r="F4464" s="109">
        <f>IFERROR(D4464*E4464,0)</f>
        <v/>
      </c>
      <c r="G4464" s="106">
        <f>INDEX(SETORES!$B:$B,MATCH(A4464,SETORES!$A:$A,0))</f>
        <v/>
      </c>
      <c r="H4464" s="106" t="inlineStr">
        <is>
          <t>Dezembro/2026</t>
        </is>
      </c>
    </row>
    <row r="4465">
      <c r="A4465" s="106" t="inlineStr">
        <is>
          <t>Comercial Corporativo</t>
        </is>
      </c>
      <c r="B4465" s="106" t="inlineStr">
        <is>
          <t>Custo Variável</t>
        </is>
      </c>
      <c r="C4465" s="106" t="inlineStr">
        <is>
          <t>Devolução de fardamento</t>
        </is>
      </c>
      <c r="D4465" s="107" t="n"/>
      <c r="E4465" s="108" t="n"/>
      <c r="F4465" s="109">
        <f>IFERROR(D4465*E4465,0)</f>
        <v/>
      </c>
      <c r="G4465" s="106">
        <f>INDEX(SETORES!$B:$B,MATCH(A4465,SETORES!$A:$A,0))</f>
        <v/>
      </c>
      <c r="H4465" s="106" t="inlineStr">
        <is>
          <t>Dezembro/2026</t>
        </is>
      </c>
    </row>
    <row r="4466">
      <c r="A4466" s="106" t="inlineStr">
        <is>
          <t>Comercial Corporativo</t>
        </is>
      </c>
      <c r="B4466" s="106" t="inlineStr">
        <is>
          <t>Custo Variável</t>
        </is>
      </c>
      <c r="C4466" s="106" t="inlineStr">
        <is>
          <t>Substituição extra de Fardamento</t>
        </is>
      </c>
      <c r="D4466" s="107" t="n"/>
      <c r="E4466" s="108" t="n"/>
      <c r="F4466" s="109">
        <f>IFERROR(D4466*E4466,0)</f>
        <v/>
      </c>
      <c r="G4466" s="106">
        <f>INDEX(SETORES!$B:$B,MATCH(A4466,SETORES!$A:$A,0))</f>
        <v/>
      </c>
      <c r="H4466" s="106" t="inlineStr">
        <is>
          <t>Dezembro/2026</t>
        </is>
      </c>
    </row>
    <row r="4467">
      <c r="A4467" s="106" t="inlineStr">
        <is>
          <t>Comercial Corporativo</t>
        </is>
      </c>
      <c r="B4467" s="106" t="inlineStr">
        <is>
          <t>Custo Variável</t>
        </is>
      </c>
      <c r="C4467" s="106" t="inlineStr">
        <is>
          <t>Consumo de combustível</t>
        </is>
      </c>
      <c r="D4467" s="107" t="n">
        <v>1</v>
      </c>
      <c r="E4467" s="108" t="n">
        <v>3995.53</v>
      </c>
      <c r="F4467" s="109">
        <f>IFERROR(D4467*E4467,0)</f>
        <v/>
      </c>
      <c r="G4467" s="106">
        <f>INDEX(SETORES!$B:$B,MATCH(A4467,SETORES!$A:$A,0))</f>
        <v/>
      </c>
      <c r="H4467" s="106" t="inlineStr">
        <is>
          <t>Dezembro/2026</t>
        </is>
      </c>
    </row>
    <row r="4468">
      <c r="A4468" s="106" t="inlineStr">
        <is>
          <t>Comercial Corporativo</t>
        </is>
      </c>
      <c r="B4468" s="106" t="inlineStr">
        <is>
          <t>Custo Fixo</t>
        </is>
      </c>
      <c r="C4468" s="106" t="inlineStr">
        <is>
          <t>Gympass</t>
        </is>
      </c>
      <c r="D4468" s="107" t="n"/>
      <c r="E4468" s="108" t="n"/>
      <c r="F4468" s="109">
        <f>IFERROR(D4468*E4468,0)</f>
        <v/>
      </c>
      <c r="G4468" s="106">
        <f>INDEX(SETORES!$B:$B,MATCH(A4468,SETORES!$A:$A,0))</f>
        <v/>
      </c>
      <c r="H4468" s="106" t="inlineStr">
        <is>
          <t>Dezembro/2026</t>
        </is>
      </c>
    </row>
    <row r="4469">
      <c r="A4469" s="106" t="inlineStr">
        <is>
          <t>Comercial Corporativo</t>
        </is>
      </c>
      <c r="B4469" s="106" t="inlineStr">
        <is>
          <t>Custo Fixo</t>
        </is>
      </c>
      <c r="C4469" s="106" t="inlineStr">
        <is>
          <t>Stargrid</t>
        </is>
      </c>
      <c r="D4469" s="107" t="n">
        <v>12</v>
      </c>
      <c r="E4469" s="108" t="n">
        <v>1.87</v>
      </c>
      <c r="F4469" s="109">
        <f>IFERROR(D4469*E4469,0)</f>
        <v/>
      </c>
      <c r="G4469" s="106">
        <f>INDEX(SETORES!$B:$B,MATCH(A4469,SETORES!$A:$A,0))</f>
        <v/>
      </c>
      <c r="H4469" s="106" t="inlineStr">
        <is>
          <t>Dezembro/2026</t>
        </is>
      </c>
    </row>
    <row r="4470">
      <c r="A4470" s="106" t="inlineStr">
        <is>
          <t>Comercial Corporativo</t>
        </is>
      </c>
      <c r="B4470" s="106" t="inlineStr">
        <is>
          <t>Custo Variável</t>
        </is>
      </c>
      <c r="C4470" s="106" t="inlineStr">
        <is>
          <t>Rescisões/Despesas Trabalhistas extra folha</t>
        </is>
      </c>
      <c r="D4470" s="107" t="n"/>
      <c r="E4470" s="108" t="n"/>
      <c r="F4470" s="109">
        <f>IFERROR(D4470*E4470,0)</f>
        <v/>
      </c>
      <c r="G4470" s="106">
        <f>INDEX(SETORES!$B:$B,MATCH(A4470,SETORES!$A:$A,0))</f>
        <v/>
      </c>
      <c r="H4470" s="106" t="inlineStr">
        <is>
          <t>Dezembro/2026</t>
        </is>
      </c>
    </row>
    <row r="4471">
      <c r="A4471" s="106" t="inlineStr">
        <is>
          <t>Comercial Corporativo</t>
        </is>
      </c>
      <c r="B4471" s="106" t="inlineStr">
        <is>
          <t>Custo Fixo</t>
        </is>
      </c>
      <c r="C4471" s="106" t="inlineStr">
        <is>
          <t>Datlo</t>
        </is>
      </c>
      <c r="D4471" s="107" t="n">
        <v>1</v>
      </c>
      <c r="E4471" s="108" t="n">
        <v>2997</v>
      </c>
      <c r="F4471" s="109">
        <f>IFERROR(D4471*E4471,0)</f>
        <v/>
      </c>
      <c r="G4471" s="106">
        <f>INDEX(SETORES!$B:$B,MATCH(A4471,SETORES!$A:$A,0))</f>
        <v/>
      </c>
      <c r="H4471" s="106" t="inlineStr">
        <is>
          <t>Dezembro/2026</t>
        </is>
      </c>
    </row>
    <row r="4472">
      <c r="A4472" s="106" t="inlineStr">
        <is>
          <t>Comercial Corporativo</t>
        </is>
      </c>
      <c r="B4472" s="106" t="inlineStr">
        <is>
          <t>Custo Fixo</t>
        </is>
      </c>
      <c r="C4472" s="106" t="inlineStr">
        <is>
          <t>Agendor (válido por 3 meses)</t>
        </is>
      </c>
      <c r="D4472" s="107" t="n">
        <v>1</v>
      </c>
      <c r="E4472" s="108" t="n">
        <v>545.99</v>
      </c>
      <c r="F4472" s="109">
        <f>IFERROR(D4472*E4472,0)</f>
        <v/>
      </c>
      <c r="G4472" s="106">
        <f>INDEX(SETORES!$B:$B,MATCH(A4472,SETORES!$A:$A,0))</f>
        <v/>
      </c>
      <c r="H4472" s="106" t="inlineStr">
        <is>
          <t>Dezembro/2026</t>
        </is>
      </c>
    </row>
    <row r="4473">
      <c r="A4473" s="106" t="inlineStr">
        <is>
          <t>Comercial Corporativo</t>
        </is>
      </c>
      <c r="B4473" s="106" t="inlineStr">
        <is>
          <t>Custo Fixo</t>
        </is>
      </c>
      <c r="C4473" s="106" t="inlineStr">
        <is>
          <t>Dynamics (f001796)</t>
        </is>
      </c>
      <c r="D4473" s="107" t="n"/>
      <c r="E4473" s="108" t="n"/>
      <c r="F4473" s="109">
        <f>IFERROR(D4473*E4473,0)</f>
        <v/>
      </c>
      <c r="G4473" s="106">
        <f>INDEX(SETORES!$B:$B,MATCH(A4473,SETORES!$A:$A,0))</f>
        <v/>
      </c>
      <c r="H4473" s="106" t="inlineStr">
        <is>
          <t>Dezembro/2026</t>
        </is>
      </c>
    </row>
    <row r="4474">
      <c r="A4474" s="106" t="inlineStr">
        <is>
          <t>Comercial Corporativo</t>
        </is>
      </c>
      <c r="B4474" s="106" t="inlineStr">
        <is>
          <t>Custo Fixo</t>
        </is>
      </c>
      <c r="C4474" s="106" t="inlineStr">
        <is>
          <t>Salesforce</t>
        </is>
      </c>
      <c r="D4474" s="107" t="n">
        <v>1</v>
      </c>
      <c r="E4474" s="108" t="n">
        <v>3042.34</v>
      </c>
      <c r="F4474" s="109">
        <f>IFERROR(D4474*E4474,0)</f>
        <v/>
      </c>
      <c r="G4474" s="106">
        <f>INDEX(SETORES!$B:$B,MATCH(A4474,SETORES!$A:$A,0))</f>
        <v/>
      </c>
      <c r="H4474" s="106" t="inlineStr">
        <is>
          <t>Dezembro/2026</t>
        </is>
      </c>
    </row>
    <row r="4475">
      <c r="A4475" s="106" t="inlineStr">
        <is>
          <t>Compras</t>
        </is>
      </c>
      <c r="B4475" s="106" t="inlineStr">
        <is>
          <t>Custo Fixo</t>
        </is>
      </c>
      <c r="C4475" s="106" t="inlineStr">
        <is>
          <t>Material de escritório (suprimentos de informática)</t>
        </is>
      </c>
      <c r="D4475" s="107" t="n"/>
      <c r="E4475" s="108" t="n"/>
      <c r="F4475" s="109">
        <f>IFERROR(D4475*E4475,0)</f>
        <v/>
      </c>
      <c r="G4475" s="106">
        <f>INDEX(SETORES!$B:$B,MATCH(A4475,SETORES!$A:$A,0))</f>
        <v/>
      </c>
      <c r="H4475" s="106" t="inlineStr">
        <is>
          <t>Dezembro/2026</t>
        </is>
      </c>
    </row>
    <row r="4476">
      <c r="A4476" s="106" t="inlineStr">
        <is>
          <t>Compras</t>
        </is>
      </c>
      <c r="B4476" s="106" t="inlineStr">
        <is>
          <t>Custo Fixo</t>
        </is>
      </c>
      <c r="C4476" s="106" t="inlineStr">
        <is>
          <t>Material de uso coletivo (copa/limpeza)</t>
        </is>
      </c>
      <c r="D4476" s="107" t="n"/>
      <c r="E4476" s="108" t="n"/>
      <c r="F4476" s="109">
        <f>IFERROR(D4476*E4476,0)</f>
        <v/>
      </c>
      <c r="G4476" s="106">
        <f>INDEX(SETORES!$B:$B,MATCH(A4476,SETORES!$A:$A,0))</f>
        <v/>
      </c>
      <c r="H4476" s="106" t="inlineStr">
        <is>
          <t>Dezembro/2026</t>
        </is>
      </c>
    </row>
    <row r="4477">
      <c r="A4477" s="106" t="inlineStr">
        <is>
          <t>Compras</t>
        </is>
      </c>
      <c r="B4477" s="106" t="inlineStr">
        <is>
          <t>Custo Fixo</t>
        </is>
      </c>
      <c r="C4477" s="106" t="inlineStr">
        <is>
          <t>Energia elétrica (rateio)</t>
        </is>
      </c>
      <c r="D4477" s="107" t="n"/>
      <c r="E4477" s="108" t="n"/>
      <c r="F4477" s="109">
        <f>IFERROR(D4477*E4477,0)</f>
        <v/>
      </c>
      <c r="G4477" s="106">
        <f>INDEX(SETORES!$B:$B,MATCH(A4477,SETORES!$A:$A,0))</f>
        <v/>
      </c>
      <c r="H4477" s="106" t="inlineStr">
        <is>
          <t>Dezembro/2026</t>
        </is>
      </c>
    </row>
    <row r="4478">
      <c r="A4478" s="106" t="inlineStr">
        <is>
          <t>Compras</t>
        </is>
      </c>
      <c r="B4478" s="106" t="inlineStr">
        <is>
          <t>Custo Fixo</t>
        </is>
      </c>
      <c r="C4478" s="106" t="inlineStr">
        <is>
          <t>Água e esgoto (rateio)</t>
        </is>
      </c>
      <c r="D4478" s="107" t="n"/>
      <c r="E4478" s="108" t="n"/>
      <c r="F4478" s="109">
        <f>IFERROR(D4478*E4478,0)</f>
        <v/>
      </c>
      <c r="G4478" s="106">
        <f>INDEX(SETORES!$B:$B,MATCH(A4478,SETORES!$A:$A,0))</f>
        <v/>
      </c>
      <c r="H4478" s="106" t="inlineStr">
        <is>
          <t>Dezembro/2026</t>
        </is>
      </c>
    </row>
    <row r="4479">
      <c r="A4479" s="106" t="inlineStr">
        <is>
          <t>Compras</t>
        </is>
      </c>
      <c r="B4479" s="106" t="inlineStr">
        <is>
          <t>Custo Fixo</t>
        </is>
      </c>
      <c r="C4479" s="106" t="inlineStr">
        <is>
          <t>Telefonia móvel corporativa</t>
        </is>
      </c>
      <c r="D4479" s="107" t="n"/>
      <c r="E4479" s="108" t="n"/>
      <c r="F4479" s="109">
        <f>IFERROR(D4479*E4479,0)</f>
        <v/>
      </c>
      <c r="G4479" s="106">
        <f>INDEX(SETORES!$B:$B,MATCH(A4479,SETORES!$A:$A,0))</f>
        <v/>
      </c>
      <c r="H4479" s="106" t="inlineStr">
        <is>
          <t>Dezembro/2026</t>
        </is>
      </c>
    </row>
    <row r="4480">
      <c r="A4480" s="106" t="inlineStr">
        <is>
          <t>Compras</t>
        </is>
      </c>
      <c r="B4480" s="106" t="inlineStr">
        <is>
          <t>Custo Fixo</t>
        </is>
      </c>
      <c r="C4480" s="106" t="inlineStr">
        <is>
          <t>Folha de pagamento (salários)</t>
        </is>
      </c>
      <c r="D4480" s="107" t="n">
        <v>1</v>
      </c>
      <c r="E4480" s="108" t="n">
        <v>24935.86</v>
      </c>
      <c r="F4480" s="109">
        <f>IFERROR(D4480*E4480,0)</f>
        <v/>
      </c>
      <c r="G4480" s="106">
        <f>INDEX(SETORES!$B:$B,MATCH(A4480,SETORES!$A:$A,0))</f>
        <v/>
      </c>
      <c r="H4480" s="106" t="inlineStr">
        <is>
          <t>Dezembro/2026</t>
        </is>
      </c>
    </row>
    <row r="4481">
      <c r="A4481" s="106" t="inlineStr">
        <is>
          <t>Compras</t>
        </is>
      </c>
      <c r="B4481" s="106" t="inlineStr">
        <is>
          <t>Custo Variável</t>
        </is>
      </c>
      <c r="C4481" s="106" t="inlineStr">
        <is>
          <t>Rateio de transporte coletivo</t>
        </is>
      </c>
      <c r="D4481" s="107" t="n"/>
      <c r="E4481" s="108" t="n"/>
      <c r="F4481" s="109">
        <f>IFERROR(D4481*E4481,0)</f>
        <v/>
      </c>
      <c r="G4481" s="106">
        <f>INDEX(SETORES!$B:$B,MATCH(A4481,SETORES!$A:$A,0))</f>
        <v/>
      </c>
      <c r="H4481" s="106" t="inlineStr">
        <is>
          <t>Dezembro/2026</t>
        </is>
      </c>
    </row>
    <row r="4482">
      <c r="A4482" s="106" t="inlineStr">
        <is>
          <t>Compras</t>
        </is>
      </c>
      <c r="B4482" s="106" t="inlineStr">
        <is>
          <t>Custo Fixo</t>
        </is>
      </c>
      <c r="C4482" s="106" t="inlineStr">
        <is>
          <t>Licença de e-mail corporativo</t>
        </is>
      </c>
      <c r="D4482" s="107" t="n">
        <v>5</v>
      </c>
      <c r="E4482" s="108" t="n">
        <v>50</v>
      </c>
      <c r="F4482" s="109">
        <f>IFERROR(D4482*E4482,0)</f>
        <v/>
      </c>
      <c r="G4482" s="106">
        <f>INDEX(SETORES!$B:$B,MATCH(A4482,SETORES!$A:$A,0))</f>
        <v/>
      </c>
      <c r="H4482" s="106" t="inlineStr">
        <is>
          <t>Dezembro/2026</t>
        </is>
      </c>
    </row>
    <row r="4483">
      <c r="A4483" s="106" t="inlineStr">
        <is>
          <t>Compras</t>
        </is>
      </c>
      <c r="B4483" s="106" t="inlineStr">
        <is>
          <t>Custo Fixo</t>
        </is>
      </c>
      <c r="C4483" s="106" t="inlineStr">
        <is>
          <t>Impressora</t>
        </is>
      </c>
      <c r="D4483" s="107" t="n"/>
      <c r="E4483" s="108" t="n"/>
      <c r="F4483" s="109">
        <f>IFERROR(D4483*E4483,0)</f>
        <v/>
      </c>
      <c r="G4483" s="106">
        <f>INDEX(SETORES!$B:$B,MATCH(A4483,SETORES!$A:$A,0))</f>
        <v/>
      </c>
      <c r="H4483" s="106" t="inlineStr">
        <is>
          <t>Dezembro/2026</t>
        </is>
      </c>
    </row>
    <row r="4484">
      <c r="A4484" s="106" t="inlineStr">
        <is>
          <t>Compras</t>
        </is>
      </c>
      <c r="B4484" s="106" t="inlineStr">
        <is>
          <t>Custo Fixo</t>
        </is>
      </c>
      <c r="C4484" s="106" t="inlineStr">
        <is>
          <t>Gympass</t>
        </is>
      </c>
      <c r="D4484" s="107" t="n"/>
      <c r="E4484" s="108" t="n"/>
      <c r="F4484" s="109">
        <f>IFERROR(D4484*E4484,0)</f>
        <v/>
      </c>
      <c r="G4484" s="106">
        <f>INDEX(SETORES!$B:$B,MATCH(A4484,SETORES!$A:$A,0))</f>
        <v/>
      </c>
      <c r="H4484" s="106" t="inlineStr">
        <is>
          <t>Dezembro/2026</t>
        </is>
      </c>
    </row>
    <row r="4485">
      <c r="A4485" s="106" t="inlineStr">
        <is>
          <t>Compras</t>
        </is>
      </c>
      <c r="B4485" s="106" t="inlineStr">
        <is>
          <t>Custo Fixo</t>
        </is>
      </c>
      <c r="C4485" s="106" t="inlineStr">
        <is>
          <t>Stargrid</t>
        </is>
      </c>
      <c r="D4485" s="107" t="n">
        <v>5</v>
      </c>
      <c r="E4485" s="108" t="n">
        <v>1.87</v>
      </c>
      <c r="F4485" s="109">
        <f>IFERROR(D4485*E4485,0)</f>
        <v/>
      </c>
      <c r="G4485" s="106">
        <f>INDEX(SETORES!$B:$B,MATCH(A4485,SETORES!$A:$A,0))</f>
        <v/>
      </c>
      <c r="H4485" s="106" t="inlineStr">
        <is>
          <t>Dezembro/2026</t>
        </is>
      </c>
    </row>
    <row r="4486">
      <c r="A4486" s="106" t="inlineStr">
        <is>
          <t>Contabilidade</t>
        </is>
      </c>
      <c r="B4486" s="106" t="inlineStr">
        <is>
          <t>Custo Fixo</t>
        </is>
      </c>
      <c r="C4486" s="106" t="inlineStr">
        <is>
          <t>Material de escritório (suprimentos de informática)</t>
        </is>
      </c>
      <c r="D4486" s="107" t="n"/>
      <c r="E4486" s="108" t="n"/>
      <c r="F4486" s="109">
        <f>IFERROR(D4486*E4486,0)</f>
        <v/>
      </c>
      <c r="G4486" s="106">
        <f>INDEX(SETORES!$B:$B,MATCH(A4486,SETORES!$A:$A,0))</f>
        <v/>
      </c>
      <c r="H4486" s="106" t="inlineStr">
        <is>
          <t>Dezembro/2026</t>
        </is>
      </c>
    </row>
    <row r="4487">
      <c r="A4487" s="106" t="inlineStr">
        <is>
          <t>Contabilidade</t>
        </is>
      </c>
      <c r="B4487" s="106" t="inlineStr">
        <is>
          <t>Custo Fixo</t>
        </is>
      </c>
      <c r="C4487" s="106" t="inlineStr">
        <is>
          <t>Material de uso coletivo (copa/limpeza)</t>
        </is>
      </c>
      <c r="D4487" s="107" t="n">
        <v>1</v>
      </c>
      <c r="E4487" s="108" t="n">
        <v>241.44</v>
      </c>
      <c r="F4487" s="109">
        <f>IFERROR(D4487*E4487,0)</f>
        <v/>
      </c>
      <c r="G4487" s="106">
        <f>INDEX(SETORES!$B:$B,MATCH(A4487,SETORES!$A:$A,0))</f>
        <v/>
      </c>
      <c r="H4487" s="106" t="inlineStr">
        <is>
          <t>Dezembro/2026</t>
        </is>
      </c>
    </row>
    <row r="4488">
      <c r="A4488" s="106" t="inlineStr">
        <is>
          <t>Contabilidade</t>
        </is>
      </c>
      <c r="B4488" s="106" t="inlineStr">
        <is>
          <t>Custo Fixo</t>
        </is>
      </c>
      <c r="C4488" s="106" t="inlineStr">
        <is>
          <t>Energia elétrica (rateio)</t>
        </is>
      </c>
      <c r="D4488" s="107" t="n"/>
      <c r="E4488" s="108" t="n"/>
      <c r="F4488" s="109">
        <f>IFERROR(D4488*E4488,0)</f>
        <v/>
      </c>
      <c r="G4488" s="106">
        <f>INDEX(SETORES!$B:$B,MATCH(A4488,SETORES!$A:$A,0))</f>
        <v/>
      </c>
      <c r="H4488" s="106" t="inlineStr">
        <is>
          <t>Dezembro/2026</t>
        </is>
      </c>
    </row>
    <row r="4489">
      <c r="A4489" s="106" t="inlineStr">
        <is>
          <t>Contabilidade</t>
        </is>
      </c>
      <c r="B4489" s="106" t="inlineStr">
        <is>
          <t>Custo Fixo</t>
        </is>
      </c>
      <c r="C4489" s="106" t="inlineStr">
        <is>
          <t>Água e esgoto (rateio)</t>
        </is>
      </c>
      <c r="D4489" s="107" t="n"/>
      <c r="E4489" s="108" t="n"/>
      <c r="F4489" s="109">
        <f>IFERROR(D4489*E4489,0)</f>
        <v/>
      </c>
      <c r="G4489" s="106">
        <f>INDEX(SETORES!$B:$B,MATCH(A4489,SETORES!$A:$A,0))</f>
        <v/>
      </c>
      <c r="H4489" s="106" t="inlineStr">
        <is>
          <t>Dezembro/2026</t>
        </is>
      </c>
    </row>
    <row r="4490">
      <c r="A4490" s="106" t="inlineStr">
        <is>
          <t>Contabilidade</t>
        </is>
      </c>
      <c r="B4490" s="106" t="inlineStr">
        <is>
          <t>Custo Fixo</t>
        </is>
      </c>
      <c r="C4490" s="106" t="inlineStr">
        <is>
          <t>Telefonia móvel corporativa</t>
        </is>
      </c>
      <c r="D4490" s="107" t="n"/>
      <c r="E4490" s="108" t="n"/>
      <c r="F4490" s="109">
        <f>IFERROR(D4490*E4490,0)</f>
        <v/>
      </c>
      <c r="G4490" s="106">
        <f>INDEX(SETORES!$B:$B,MATCH(A4490,SETORES!$A:$A,0))</f>
        <v/>
      </c>
      <c r="H4490" s="106" t="inlineStr">
        <is>
          <t>Dezembro/2026</t>
        </is>
      </c>
    </row>
    <row r="4491">
      <c r="A4491" s="106" t="inlineStr">
        <is>
          <t>Contabilidade</t>
        </is>
      </c>
      <c r="B4491" s="106" t="inlineStr">
        <is>
          <t>Custo Fixo</t>
        </is>
      </c>
      <c r="C4491" s="106" t="inlineStr">
        <is>
          <t>Folha de pagamento (salários)</t>
        </is>
      </c>
      <c r="D4491" s="107" t="n">
        <v>1</v>
      </c>
      <c r="E4491" s="108" t="n">
        <v>36209.58</v>
      </c>
      <c r="F4491" s="109">
        <f>IFERROR(D4491*E4491,0)</f>
        <v/>
      </c>
      <c r="G4491" s="106">
        <f>INDEX(SETORES!$B:$B,MATCH(A4491,SETORES!$A:$A,0))</f>
        <v/>
      </c>
      <c r="H4491" s="106" t="inlineStr">
        <is>
          <t>Dezembro/2026</t>
        </is>
      </c>
    </row>
    <row r="4492">
      <c r="A4492" s="106" t="inlineStr">
        <is>
          <t>Contabilidade</t>
        </is>
      </c>
      <c r="B4492" s="106" t="inlineStr">
        <is>
          <t>Custo Variável</t>
        </is>
      </c>
      <c r="C4492" s="106" t="inlineStr">
        <is>
          <t>Auditoria contábil externa (fiber finance)</t>
        </is>
      </c>
      <c r="D4492" s="107" t="n"/>
      <c r="E4492" s="108" t="n"/>
      <c r="F4492" s="109">
        <f>IFERROR(D4492*E4492,0)</f>
        <v/>
      </c>
      <c r="G4492" s="106">
        <f>INDEX(SETORES!$B:$B,MATCH(A4492,SETORES!$A:$A,0))</f>
        <v/>
      </c>
      <c r="H4492" s="106" t="inlineStr">
        <is>
          <t>Dezembro/2026</t>
        </is>
      </c>
    </row>
    <row r="4493">
      <c r="A4493" s="106" t="inlineStr">
        <is>
          <t>Contabilidade</t>
        </is>
      </c>
      <c r="B4493" s="106" t="inlineStr">
        <is>
          <t>Custo Variável</t>
        </is>
      </c>
      <c r="C4493" s="106" t="inlineStr">
        <is>
          <t>Fardamento novo</t>
        </is>
      </c>
      <c r="D4493" s="107" t="n">
        <v>1</v>
      </c>
      <c r="E4493" s="108" t="n">
        <v>90</v>
      </c>
      <c r="F4493" s="109">
        <f>IFERROR(D4493*E4493,0)</f>
        <v/>
      </c>
      <c r="G4493" s="106">
        <f>INDEX(SETORES!$B:$B,MATCH(A4493,SETORES!$A:$A,0))</f>
        <v/>
      </c>
      <c r="H4493" s="106" t="inlineStr">
        <is>
          <t>Dezembro/2026</t>
        </is>
      </c>
    </row>
    <row r="4494">
      <c r="A4494" s="106" t="inlineStr">
        <is>
          <t>Contabilidade</t>
        </is>
      </c>
      <c r="B4494" s="106" t="inlineStr">
        <is>
          <t>Custo Variável</t>
        </is>
      </c>
      <c r="C4494" s="106" t="inlineStr">
        <is>
          <t>Fardamento substituição</t>
        </is>
      </c>
      <c r="D4494" s="107" t="n"/>
      <c r="E4494" s="108" t="n"/>
      <c r="F4494" s="109">
        <f>IFERROR(D4494*E4494,0)</f>
        <v/>
      </c>
      <c r="G4494" s="106">
        <f>INDEX(SETORES!$B:$B,MATCH(A4494,SETORES!$A:$A,0))</f>
        <v/>
      </c>
      <c r="H4494" s="106" t="inlineStr">
        <is>
          <t>Dezembro/2026</t>
        </is>
      </c>
    </row>
    <row r="4495">
      <c r="A4495" s="106" t="inlineStr">
        <is>
          <t>Contabilidade</t>
        </is>
      </c>
      <c r="B4495" s="106" t="inlineStr">
        <is>
          <t>Custo Variável</t>
        </is>
      </c>
      <c r="C4495" s="106" t="inlineStr">
        <is>
          <t>Rescisões trabalhistas</t>
        </is>
      </c>
      <c r="D4495" s="107" t="n"/>
      <c r="E4495" s="108" t="n"/>
      <c r="F4495" s="109">
        <f>IFERROR(D4495*E4495,0)</f>
        <v/>
      </c>
      <c r="G4495" s="106">
        <f>INDEX(SETORES!$B:$B,MATCH(A4495,SETORES!$A:$A,0))</f>
        <v/>
      </c>
      <c r="H4495" s="106" t="inlineStr">
        <is>
          <t>Dezembro/2026</t>
        </is>
      </c>
    </row>
    <row r="4496">
      <c r="A4496" s="106" t="inlineStr">
        <is>
          <t>Contabilidade</t>
        </is>
      </c>
      <c r="B4496" s="106" t="inlineStr">
        <is>
          <t>Custo Fixo</t>
        </is>
      </c>
      <c r="C4496" s="106" t="inlineStr">
        <is>
          <t>Licença de e-mail corporativo</t>
        </is>
      </c>
      <c r="D4496" s="107" t="n">
        <v>6</v>
      </c>
      <c r="E4496" s="108" t="n">
        <v>50</v>
      </c>
      <c r="F4496" s="109">
        <f>IFERROR(D4496*E4496,0)</f>
        <v/>
      </c>
      <c r="G4496" s="106">
        <f>INDEX(SETORES!$B:$B,MATCH(A4496,SETORES!$A:$A,0))</f>
        <v/>
      </c>
      <c r="H4496" s="106" t="inlineStr">
        <is>
          <t>Dezembro/2026</t>
        </is>
      </c>
    </row>
    <row r="4497">
      <c r="A4497" s="106" t="inlineStr">
        <is>
          <t>Contabilidade</t>
        </is>
      </c>
      <c r="B4497" s="106" t="inlineStr">
        <is>
          <t>Custo Fixo</t>
        </is>
      </c>
      <c r="C4497" s="106" t="inlineStr">
        <is>
          <t>Gympass</t>
        </is>
      </c>
      <c r="D4497" s="107" t="n"/>
      <c r="E4497" s="108" t="n"/>
      <c r="F4497" s="109">
        <f>IFERROR(D4497*E4497,0)</f>
        <v/>
      </c>
      <c r="G4497" s="106">
        <f>INDEX(SETORES!$B:$B,MATCH(A4497,SETORES!$A:$A,0))</f>
        <v/>
      </c>
      <c r="H4497" s="106" t="inlineStr">
        <is>
          <t>Dezembro/2026</t>
        </is>
      </c>
    </row>
    <row r="4498">
      <c r="A4498" s="106" t="inlineStr">
        <is>
          <t>Contabilidade</t>
        </is>
      </c>
      <c r="B4498" s="106" t="inlineStr">
        <is>
          <t>Custo Fixo</t>
        </is>
      </c>
      <c r="C4498" s="106" t="inlineStr">
        <is>
          <t>Stargrid</t>
        </is>
      </c>
      <c r="D4498" s="107" t="n">
        <v>6</v>
      </c>
      <c r="E4498" s="108" t="n">
        <v>1.87</v>
      </c>
      <c r="F4498" s="109">
        <f>IFERROR(D4498*E4498,0)</f>
        <v/>
      </c>
      <c r="G4498" s="106">
        <f>INDEX(SETORES!$B:$B,MATCH(A4498,SETORES!$A:$A,0))</f>
        <v/>
      </c>
      <c r="H4498" s="106" t="inlineStr">
        <is>
          <t>Dezembro/2026</t>
        </is>
      </c>
    </row>
    <row r="4499">
      <c r="A4499" s="106" t="inlineStr">
        <is>
          <t>Contabilidade</t>
        </is>
      </c>
      <c r="B4499" s="106" t="inlineStr">
        <is>
          <t>Custo Variável</t>
        </is>
      </c>
      <c r="C4499" s="106" t="inlineStr">
        <is>
          <t>Consultoria contábil PJ (Wadson Genuíno)</t>
        </is>
      </c>
      <c r="D4499" s="107" t="n"/>
      <c r="E4499" s="108" t="n"/>
      <c r="F4499" s="109">
        <f>IFERROR(D4499*E4499,0)</f>
        <v/>
      </c>
      <c r="G4499" s="106">
        <f>INDEX(SETORES!$B:$B,MATCH(A4499,SETORES!$A:$A,0))</f>
        <v/>
      </c>
      <c r="H4499" s="106" t="inlineStr">
        <is>
          <t>Dezembro/2026</t>
        </is>
      </c>
    </row>
    <row r="4500">
      <c r="A4500" s="106" t="inlineStr">
        <is>
          <t>Controladoria</t>
        </is>
      </c>
      <c r="B4500" s="106" t="inlineStr">
        <is>
          <t>Custo Fixo</t>
        </is>
      </c>
      <c r="C4500" s="106" t="inlineStr">
        <is>
          <t>Material de escritório (suprimentos de informática)</t>
        </is>
      </c>
      <c r="D4500" s="107" t="n"/>
      <c r="E4500" s="108" t="n"/>
      <c r="F4500" s="109">
        <f>IFERROR(D4500*E4500,0)</f>
        <v/>
      </c>
      <c r="G4500" s="106">
        <f>INDEX(SETORES!$B:$B,MATCH(A4500,SETORES!$A:$A,0))</f>
        <v/>
      </c>
      <c r="H4500" s="106" t="inlineStr">
        <is>
          <t>Dezembro/2026</t>
        </is>
      </c>
    </row>
    <row r="4501">
      <c r="A4501" s="106" t="inlineStr">
        <is>
          <t>Controladoria</t>
        </is>
      </c>
      <c r="B4501" s="106" t="inlineStr">
        <is>
          <t>Custo Fixo</t>
        </is>
      </c>
      <c r="C4501" s="106" t="inlineStr">
        <is>
          <t>Material de uso coletivo (copa/limpeza)</t>
        </is>
      </c>
      <c r="D4501" s="107" t="n">
        <v>1</v>
      </c>
      <c r="E4501" s="108" t="n">
        <v>36.22</v>
      </c>
      <c r="F4501" s="109">
        <f>IFERROR(D4501*E4501,0)</f>
        <v/>
      </c>
      <c r="G4501" s="106">
        <f>INDEX(SETORES!$B:$B,MATCH(A4501,SETORES!$A:$A,0))</f>
        <v/>
      </c>
      <c r="H4501" s="106" t="inlineStr">
        <is>
          <t>Dezembro/2026</t>
        </is>
      </c>
    </row>
    <row r="4502">
      <c r="A4502" s="106" t="inlineStr">
        <is>
          <t>Controladoria</t>
        </is>
      </c>
      <c r="B4502" s="106" t="inlineStr">
        <is>
          <t>Custo Fixo</t>
        </is>
      </c>
      <c r="C4502" s="106" t="inlineStr">
        <is>
          <t>Energia elétrica (rateio)</t>
        </is>
      </c>
      <c r="D4502" s="107" t="n"/>
      <c r="E4502" s="108" t="n"/>
      <c r="F4502" s="109">
        <f>IFERROR(D4502*E4502,0)</f>
        <v/>
      </c>
      <c r="G4502" s="106">
        <f>INDEX(SETORES!$B:$B,MATCH(A4502,SETORES!$A:$A,0))</f>
        <v/>
      </c>
      <c r="H4502" s="106" t="inlineStr">
        <is>
          <t>Dezembro/2026</t>
        </is>
      </c>
    </row>
    <row r="4503">
      <c r="A4503" s="106" t="inlineStr">
        <is>
          <t>Controladoria</t>
        </is>
      </c>
      <c r="B4503" s="106" t="inlineStr">
        <is>
          <t>Custo Fixo</t>
        </is>
      </c>
      <c r="C4503" s="106" t="inlineStr">
        <is>
          <t>Água e esgoto (rateio)</t>
        </is>
      </c>
      <c r="D4503" s="107" t="n"/>
      <c r="E4503" s="108" t="n"/>
      <c r="F4503" s="109">
        <f>IFERROR(D4503*E4503,0)</f>
        <v/>
      </c>
      <c r="G4503" s="106">
        <f>INDEX(SETORES!$B:$B,MATCH(A4503,SETORES!$A:$A,0))</f>
        <v/>
      </c>
      <c r="H4503" s="106" t="inlineStr">
        <is>
          <t>Dezembro/2026</t>
        </is>
      </c>
    </row>
    <row r="4504">
      <c r="A4504" s="106" t="inlineStr">
        <is>
          <t>Controladoria</t>
        </is>
      </c>
      <c r="B4504" s="106" t="inlineStr">
        <is>
          <t>Custo Fixo</t>
        </is>
      </c>
      <c r="C4504" s="106" t="inlineStr">
        <is>
          <t>Chip móvel corporativo</t>
        </is>
      </c>
      <c r="D4504" s="107" t="n"/>
      <c r="E4504" s="108" t="n"/>
      <c r="F4504" s="109">
        <f>IFERROR(D4504*E4504,0)</f>
        <v/>
      </c>
      <c r="G4504" s="106">
        <f>INDEX(SETORES!$B:$B,MATCH(A4504,SETORES!$A:$A,0))</f>
        <v/>
      </c>
      <c r="H4504" s="106" t="inlineStr">
        <is>
          <t>Dezembro/2026</t>
        </is>
      </c>
    </row>
    <row r="4505">
      <c r="A4505" s="106" t="inlineStr">
        <is>
          <t>Controladoria</t>
        </is>
      </c>
      <c r="B4505" s="106" t="inlineStr">
        <is>
          <t>Custo Fixo</t>
        </is>
      </c>
      <c r="C4505" s="106" t="inlineStr">
        <is>
          <t>Folha de pagamento (salários)</t>
        </is>
      </c>
      <c r="D4505" s="107" t="n">
        <v>1</v>
      </c>
      <c r="E4505" s="108" t="n">
        <v>18000</v>
      </c>
      <c r="F4505" s="109">
        <f>IFERROR(D4505*E4505,0)</f>
        <v/>
      </c>
      <c r="G4505" s="106">
        <f>INDEX(SETORES!$B:$B,MATCH(A4505,SETORES!$A:$A,0))</f>
        <v/>
      </c>
      <c r="H4505" s="106" t="inlineStr">
        <is>
          <t>Dezembro/2026</t>
        </is>
      </c>
    </row>
    <row r="4506">
      <c r="A4506" s="106" t="inlineStr">
        <is>
          <t>Controladoria</t>
        </is>
      </c>
      <c r="B4506" s="106" t="inlineStr">
        <is>
          <t>Custo Fixo</t>
        </is>
      </c>
      <c r="C4506" s="106" t="inlineStr">
        <is>
          <t>Gympass</t>
        </is>
      </c>
      <c r="D4506" s="107" t="n"/>
      <c r="E4506" s="108" t="n"/>
      <c r="F4506" s="109">
        <f>IFERROR(D4506*E4506,0)</f>
        <v/>
      </c>
      <c r="G4506" s="106">
        <f>INDEX(SETORES!$B:$B,MATCH(A4506,SETORES!$A:$A,0))</f>
        <v/>
      </c>
      <c r="H4506" s="106" t="inlineStr">
        <is>
          <t>Dezembro/2026</t>
        </is>
      </c>
    </row>
    <row r="4507">
      <c r="A4507" s="106" t="inlineStr">
        <is>
          <t>Controladoria</t>
        </is>
      </c>
      <c r="B4507" s="106" t="inlineStr">
        <is>
          <t>Custo Fixo</t>
        </is>
      </c>
      <c r="C4507" s="106" t="inlineStr">
        <is>
          <t>Stargrid</t>
        </is>
      </c>
      <c r="D4507" s="107" t="n">
        <v>1</v>
      </c>
      <c r="E4507" s="108" t="n">
        <v>1.87</v>
      </c>
      <c r="F4507" s="109">
        <f>IFERROR(D4507*E4507,0)</f>
        <v/>
      </c>
      <c r="G4507" s="106">
        <f>INDEX(SETORES!$B:$B,MATCH(A4507,SETORES!$A:$A,0))</f>
        <v/>
      </c>
      <c r="H4507" s="106" t="inlineStr">
        <is>
          <t>Dezembro/2026</t>
        </is>
      </c>
    </row>
    <row r="4508">
      <c r="A4508" s="106" t="inlineStr">
        <is>
          <t>DP</t>
        </is>
      </c>
      <c r="B4508" s="106" t="inlineStr">
        <is>
          <t>Custo Fixo</t>
        </is>
      </c>
      <c r="C4508" s="106" t="inlineStr">
        <is>
          <t>Material de escritório (suprimentos de informática)</t>
        </is>
      </c>
      <c r="D4508" s="107" t="n">
        <v>1</v>
      </c>
      <c r="E4508" s="108" t="n">
        <v>9.24</v>
      </c>
      <c r="F4508" s="109">
        <f>IFERROR(D4508*E4508,0)</f>
        <v/>
      </c>
      <c r="G4508" s="106">
        <f>INDEX(SETORES!$B:$B,MATCH(A4508,SETORES!$A:$A,0))</f>
        <v/>
      </c>
      <c r="H4508" s="106" t="inlineStr">
        <is>
          <t>Dezembro/2026</t>
        </is>
      </c>
    </row>
    <row r="4509">
      <c r="A4509" s="106" t="inlineStr">
        <is>
          <t>DP</t>
        </is>
      </c>
      <c r="B4509" s="106" t="inlineStr">
        <is>
          <t>Custo Fixo</t>
        </is>
      </c>
      <c r="C4509" s="106" t="inlineStr">
        <is>
          <t>Material de uso coletivo (copa/limpeza)</t>
        </is>
      </c>
      <c r="D4509" s="107" t="n">
        <v>1</v>
      </c>
      <c r="E4509" s="108" t="n">
        <v>204.89</v>
      </c>
      <c r="F4509" s="109">
        <f>IFERROR(D4509*E4509,0)</f>
        <v/>
      </c>
      <c r="G4509" s="106">
        <f>INDEX(SETORES!$B:$B,MATCH(A4509,SETORES!$A:$A,0))</f>
        <v/>
      </c>
      <c r="H4509" s="106" t="inlineStr">
        <is>
          <t>Dezembro/2026</t>
        </is>
      </c>
    </row>
    <row r="4510">
      <c r="A4510" s="106" t="inlineStr">
        <is>
          <t>DP</t>
        </is>
      </c>
      <c r="B4510" s="106" t="inlineStr">
        <is>
          <t>Custo Fixo</t>
        </is>
      </c>
      <c r="C4510" s="106" t="inlineStr">
        <is>
          <t>Energia elétrica (rateio)</t>
        </is>
      </c>
      <c r="D4510" s="107" t="n"/>
      <c r="E4510" s="108" t="n"/>
      <c r="F4510" s="109">
        <f>IFERROR(D4510*E4510,0)</f>
        <v/>
      </c>
      <c r="G4510" s="106">
        <f>INDEX(SETORES!$B:$B,MATCH(A4510,SETORES!$A:$A,0))</f>
        <v/>
      </c>
      <c r="H4510" s="106" t="inlineStr">
        <is>
          <t>Dezembro/2026</t>
        </is>
      </c>
    </row>
    <row r="4511">
      <c r="A4511" s="106" t="inlineStr">
        <is>
          <t>DP</t>
        </is>
      </c>
      <c r="B4511" s="106" t="inlineStr">
        <is>
          <t>Custo Fixo</t>
        </is>
      </c>
      <c r="C4511" s="106" t="inlineStr">
        <is>
          <t>Água e esgoto (rateio)</t>
        </is>
      </c>
      <c r="D4511" s="107" t="n"/>
      <c r="E4511" s="108" t="n"/>
      <c r="F4511" s="109">
        <f>IFERROR(D4511*E4511,0)</f>
        <v/>
      </c>
      <c r="G4511" s="106">
        <f>INDEX(SETORES!$B:$B,MATCH(A4511,SETORES!$A:$A,0))</f>
        <v/>
      </c>
      <c r="H4511" s="106" t="inlineStr">
        <is>
          <t>Dezembro/2026</t>
        </is>
      </c>
    </row>
    <row r="4512">
      <c r="A4512" s="106" t="inlineStr">
        <is>
          <t>DP</t>
        </is>
      </c>
      <c r="B4512" s="106" t="inlineStr">
        <is>
          <t>Custo Fixo</t>
        </is>
      </c>
      <c r="C4512" s="106" t="inlineStr">
        <is>
          <t>Telefonia móvel corporativa</t>
        </is>
      </c>
      <c r="D4512" s="107" t="n"/>
      <c r="E4512" s="108" t="n"/>
      <c r="F4512" s="109">
        <f>IFERROR(D4512*E4512,0)</f>
        <v/>
      </c>
      <c r="G4512" s="106">
        <f>INDEX(SETORES!$B:$B,MATCH(A4512,SETORES!$A:$A,0))</f>
        <v/>
      </c>
      <c r="H4512" s="106" t="inlineStr">
        <is>
          <t>Dezembro/2026</t>
        </is>
      </c>
    </row>
    <row r="4513">
      <c r="A4513" s="106" t="inlineStr">
        <is>
          <t>DP</t>
        </is>
      </c>
      <c r="B4513" s="106" t="inlineStr">
        <is>
          <t>Custo Fixo</t>
        </is>
      </c>
      <c r="C4513" s="106" t="inlineStr">
        <is>
          <t>Folha de pagamento (salários)</t>
        </is>
      </c>
      <c r="D4513" s="107" t="n">
        <v>1</v>
      </c>
      <c r="E4513" s="108" t="n">
        <v>48158.28</v>
      </c>
      <c r="F4513" s="109">
        <f>IFERROR(D4513*E4513,0)</f>
        <v/>
      </c>
      <c r="G4513" s="106">
        <f>INDEX(SETORES!$B:$B,MATCH(A4513,SETORES!$A:$A,0))</f>
        <v/>
      </c>
      <c r="H4513" s="106" t="inlineStr">
        <is>
          <t>Dezembro/2026</t>
        </is>
      </c>
    </row>
    <row r="4514">
      <c r="A4514" s="106" t="inlineStr">
        <is>
          <t>Logística</t>
        </is>
      </c>
      <c r="B4514" s="106" t="inlineStr">
        <is>
          <t>Custo Variável</t>
        </is>
      </c>
      <c r="C4514" s="106" t="inlineStr">
        <is>
          <t>Exames médicos</t>
        </is>
      </c>
      <c r="D4514" s="107" t="n"/>
      <c r="E4514" s="108" t="n"/>
      <c r="F4514" s="109">
        <f>IFERROR(D4514*E4514,0)</f>
        <v/>
      </c>
      <c r="G4514" s="106">
        <f>INDEX(SETORES!$B:$B,MATCH(A4514,SETORES!$A:$A,0))</f>
        <v/>
      </c>
      <c r="H4514" s="106" t="inlineStr">
        <is>
          <t>Dezembro/2026</t>
        </is>
      </c>
    </row>
    <row r="4515">
      <c r="A4515" s="106" t="inlineStr">
        <is>
          <t>Oficina</t>
        </is>
      </c>
      <c r="B4515" s="106" t="inlineStr">
        <is>
          <t>Custo Variável</t>
        </is>
      </c>
      <c r="C4515" s="106" t="inlineStr">
        <is>
          <t>Exames médicos</t>
        </is>
      </c>
      <c r="D4515" s="107" t="n"/>
      <c r="E4515" s="108" t="n"/>
      <c r="F4515" s="109">
        <f>IFERROR(D4515*E4515,0)</f>
        <v/>
      </c>
      <c r="G4515" s="106">
        <f>INDEX(SETORES!$B:$B,MATCH(A4515,SETORES!$A:$A,0))</f>
        <v/>
      </c>
      <c r="H4515" s="106" t="inlineStr">
        <is>
          <t>Dezembro/2026</t>
        </is>
      </c>
    </row>
    <row r="4516">
      <c r="A4516" s="106" t="inlineStr">
        <is>
          <t>DP</t>
        </is>
      </c>
      <c r="B4516" s="106" t="inlineStr">
        <is>
          <t>Custo Variável</t>
        </is>
      </c>
      <c r="C4516" s="106" t="inlineStr">
        <is>
          <t>Exames médicos</t>
        </is>
      </c>
      <c r="D4516" s="107" t="n"/>
      <c r="E4516" s="108" t="n"/>
      <c r="F4516" s="109">
        <f>IFERROR(D4516*E4516,0)</f>
        <v/>
      </c>
      <c r="G4516" s="106">
        <f>INDEX(SETORES!$B:$B,MATCH(A4516,SETORES!$A:$A,0))</f>
        <v/>
      </c>
      <c r="H4516" s="106" t="inlineStr">
        <is>
          <t>Dezembro/2026</t>
        </is>
      </c>
    </row>
    <row r="4517">
      <c r="A4517" s="106" t="inlineStr">
        <is>
          <t>DP</t>
        </is>
      </c>
      <c r="B4517" s="106" t="inlineStr">
        <is>
          <t>Custo Variável</t>
        </is>
      </c>
      <c r="C4517" s="106" t="inlineStr">
        <is>
          <t>Homologações e rescisões</t>
        </is>
      </c>
      <c r="D4517" s="107" t="n"/>
      <c r="E4517" s="108" t="n"/>
      <c r="F4517" s="109">
        <f>IFERROR(D4517*E4517,0)</f>
        <v/>
      </c>
      <c r="G4517" s="106">
        <f>INDEX(SETORES!$B:$B,MATCH(A4517,SETORES!$A:$A,0))</f>
        <v/>
      </c>
      <c r="H4517" s="106" t="inlineStr">
        <is>
          <t>Dezembro/2026</t>
        </is>
      </c>
    </row>
    <row r="4518">
      <c r="A4518" s="106" t="inlineStr">
        <is>
          <t>DP</t>
        </is>
      </c>
      <c r="B4518" s="106" t="inlineStr">
        <is>
          <t>Custo Variável</t>
        </is>
      </c>
      <c r="C4518" s="106" t="inlineStr">
        <is>
          <t>Fardamento novo</t>
        </is>
      </c>
      <c r="D4518" s="107" t="n">
        <v>1</v>
      </c>
      <c r="E4518" s="108" t="n">
        <v>180</v>
      </c>
      <c r="F4518" s="109">
        <f>IFERROR(D4518*E4518,0)</f>
        <v/>
      </c>
      <c r="G4518" s="106">
        <f>INDEX(SETORES!$B:$B,MATCH(A4518,SETORES!$A:$A,0))</f>
        <v/>
      </c>
      <c r="H4518" s="106" t="inlineStr">
        <is>
          <t>Dezembro/2026</t>
        </is>
      </c>
    </row>
    <row r="4519">
      <c r="A4519" s="106" t="inlineStr">
        <is>
          <t>DP</t>
        </is>
      </c>
      <c r="B4519" s="106" t="inlineStr">
        <is>
          <t>Custo Variável</t>
        </is>
      </c>
      <c r="C4519" s="106" t="inlineStr">
        <is>
          <t>Fardamento substituição</t>
        </is>
      </c>
      <c r="D4519" s="107" t="n">
        <v>1</v>
      </c>
      <c r="E4519" s="108" t="n">
        <v>272</v>
      </c>
      <c r="F4519" s="109">
        <f>IFERROR(D4519*E4519,0)</f>
        <v/>
      </c>
      <c r="G4519" s="106">
        <f>INDEX(SETORES!$B:$B,MATCH(A4519,SETORES!$A:$A,0))</f>
        <v/>
      </c>
      <c r="H4519" s="106" t="inlineStr">
        <is>
          <t>Dezembro/2026</t>
        </is>
      </c>
    </row>
    <row r="4520">
      <c r="A4520" s="106" t="inlineStr">
        <is>
          <t>DP</t>
        </is>
      </c>
      <c r="B4520" s="106" t="inlineStr">
        <is>
          <t>Custo Fixo</t>
        </is>
      </c>
      <c r="C4520" s="106" t="inlineStr">
        <is>
          <t>Licença de e-mail corporativo</t>
        </is>
      </c>
      <c r="D4520" s="107" t="n">
        <v>9</v>
      </c>
      <c r="E4520" s="108" t="n">
        <v>50</v>
      </c>
      <c r="F4520" s="109">
        <f>IFERROR(D4520*E4520,0)</f>
        <v/>
      </c>
      <c r="G4520" s="106">
        <f>INDEX(SETORES!$B:$B,MATCH(A4520,SETORES!$A:$A,0))</f>
        <v/>
      </c>
      <c r="H4520" s="106" t="inlineStr">
        <is>
          <t>Dezembro/2026</t>
        </is>
      </c>
    </row>
    <row r="4521">
      <c r="A4521" s="106" t="inlineStr">
        <is>
          <t>DP</t>
        </is>
      </c>
      <c r="B4521" s="106" t="inlineStr">
        <is>
          <t>Custo Fixo</t>
        </is>
      </c>
      <c r="C4521" s="106" t="inlineStr">
        <is>
          <t>Impressora</t>
        </is>
      </c>
      <c r="D4521" s="107" t="n"/>
      <c r="E4521" s="108" t="n"/>
      <c r="F4521" s="109">
        <f>IFERROR(D4521*E4521,0)</f>
        <v/>
      </c>
      <c r="G4521" s="106">
        <f>INDEX(SETORES!$B:$B,MATCH(A4521,SETORES!$A:$A,0))</f>
        <v/>
      </c>
      <c r="H4521" s="106" t="inlineStr">
        <is>
          <t>Dezembro/2026</t>
        </is>
      </c>
    </row>
    <row r="4522">
      <c r="A4522" s="106" t="inlineStr">
        <is>
          <t>DP</t>
        </is>
      </c>
      <c r="B4522" s="106" t="inlineStr">
        <is>
          <t>Custo Fixo</t>
        </is>
      </c>
      <c r="C4522" s="106" t="inlineStr">
        <is>
          <t>Gympass</t>
        </is>
      </c>
      <c r="D4522" s="107" t="n"/>
      <c r="E4522" s="108" t="n"/>
      <c r="F4522" s="109">
        <f>IFERROR(D4522*E4522,0)</f>
        <v/>
      </c>
      <c r="G4522" s="106">
        <f>INDEX(SETORES!$B:$B,MATCH(A4522,SETORES!$A:$A,0))</f>
        <v/>
      </c>
      <c r="H4522" s="106" t="inlineStr">
        <is>
          <t>Dezembro/2026</t>
        </is>
      </c>
    </row>
    <row r="4523">
      <c r="A4523" s="106" t="inlineStr">
        <is>
          <t>DP</t>
        </is>
      </c>
      <c r="B4523" s="106" t="inlineStr">
        <is>
          <t>Custo Fixo</t>
        </is>
      </c>
      <c r="C4523" s="106" t="inlineStr">
        <is>
          <t>Stargrid</t>
        </is>
      </c>
      <c r="D4523" s="107" t="n">
        <v>9</v>
      </c>
      <c r="E4523" s="108" t="n">
        <v>1.87</v>
      </c>
      <c r="F4523" s="109">
        <f>IFERROR(D4523*E4523,0)</f>
        <v/>
      </c>
      <c r="G4523" s="106">
        <f>INDEX(SETORES!$B:$B,MATCH(A4523,SETORES!$A:$A,0))</f>
        <v/>
      </c>
      <c r="H4523" s="106" t="inlineStr">
        <is>
          <t>Dezembro/2026</t>
        </is>
      </c>
    </row>
    <row r="4524">
      <c r="A4524" s="106" t="inlineStr">
        <is>
          <t>Diretoria Operacional</t>
        </is>
      </c>
      <c r="B4524" s="106" t="inlineStr">
        <is>
          <t>Custo Fixo</t>
        </is>
      </c>
      <c r="C4524" s="106" t="inlineStr">
        <is>
          <t>Material de escritório (suprimentos de informática)</t>
        </is>
      </c>
      <c r="D4524" s="107" t="n">
        <v>1</v>
      </c>
      <c r="E4524" s="108" t="n">
        <v>9.31</v>
      </c>
      <c r="F4524" s="109">
        <f>IFERROR(D4524*E4524,0)</f>
        <v/>
      </c>
      <c r="G4524" s="106">
        <f>INDEX(SETORES!$B:$B,MATCH(A4524,SETORES!$A:$A,0))</f>
        <v/>
      </c>
      <c r="H4524" s="106" t="inlineStr">
        <is>
          <t>Dezembro/2026</t>
        </is>
      </c>
    </row>
    <row r="4525">
      <c r="A4525" s="106" t="inlineStr">
        <is>
          <t>Diretoria Operacional</t>
        </is>
      </c>
      <c r="B4525" s="106" t="inlineStr">
        <is>
          <t>Custo Fixo</t>
        </is>
      </c>
      <c r="C4525" s="106" t="inlineStr">
        <is>
          <t>Material de uso coletivo (copa/limpeza)</t>
        </is>
      </c>
      <c r="D4525" s="107" t="n">
        <v>1</v>
      </c>
      <c r="E4525" s="108" t="n">
        <v>70.76000000000001</v>
      </c>
      <c r="F4525" s="109">
        <f>IFERROR(D4525*E4525,0)</f>
        <v/>
      </c>
      <c r="G4525" s="106">
        <f>INDEX(SETORES!$B:$B,MATCH(A4525,SETORES!$A:$A,0))</f>
        <v/>
      </c>
      <c r="H4525" s="106" t="inlineStr">
        <is>
          <t>Dezembro/2026</t>
        </is>
      </c>
    </row>
    <row r="4526">
      <c r="A4526" s="106" t="inlineStr">
        <is>
          <t>Diretoria Operacional</t>
        </is>
      </c>
      <c r="B4526" s="106" t="inlineStr">
        <is>
          <t>Custo Fixo</t>
        </is>
      </c>
      <c r="C4526" s="106" t="inlineStr">
        <is>
          <t>Energia elétrica (rateio)</t>
        </is>
      </c>
      <c r="D4526" s="107" t="n"/>
      <c r="E4526" s="108" t="n"/>
      <c r="F4526" s="109">
        <f>IFERROR(D4526*E4526,0)</f>
        <v/>
      </c>
      <c r="G4526" s="106">
        <f>INDEX(SETORES!$B:$B,MATCH(A4526,SETORES!$A:$A,0))</f>
        <v/>
      </c>
      <c r="H4526" s="106" t="inlineStr">
        <is>
          <t>Dezembro/2026</t>
        </is>
      </c>
    </row>
    <row r="4527">
      <c r="A4527" s="106" t="inlineStr">
        <is>
          <t>Diretoria Operacional</t>
        </is>
      </c>
      <c r="B4527" s="106" t="inlineStr">
        <is>
          <t>Custo Fixo</t>
        </is>
      </c>
      <c r="C4527" s="106" t="inlineStr">
        <is>
          <t>Água e esgoto (rateio)</t>
        </is>
      </c>
      <c r="D4527" s="107" t="n"/>
      <c r="E4527" s="108" t="n"/>
      <c r="F4527" s="109">
        <f>IFERROR(D4527*E4527,0)</f>
        <v/>
      </c>
      <c r="G4527" s="106">
        <f>INDEX(SETORES!$B:$B,MATCH(A4527,SETORES!$A:$A,0))</f>
        <v/>
      </c>
      <c r="H4527" s="106" t="inlineStr">
        <is>
          <t>Dezembro/2026</t>
        </is>
      </c>
    </row>
    <row r="4528">
      <c r="A4528" s="106" t="inlineStr">
        <is>
          <t>Diretoria Operacional</t>
        </is>
      </c>
      <c r="B4528" s="106" t="inlineStr">
        <is>
          <t>Custo Fixo</t>
        </is>
      </c>
      <c r="C4528" s="106" t="inlineStr">
        <is>
          <t>Telefonia móvel corporativa</t>
        </is>
      </c>
      <c r="D4528" s="107" t="n"/>
      <c r="E4528" s="108" t="n"/>
      <c r="F4528" s="109">
        <f>IFERROR(D4528*E4528,0)</f>
        <v/>
      </c>
      <c r="G4528" s="106">
        <f>INDEX(SETORES!$B:$B,MATCH(A4528,SETORES!$A:$A,0))</f>
        <v/>
      </c>
      <c r="H4528" s="106" t="inlineStr">
        <is>
          <t>Dezembro/2026</t>
        </is>
      </c>
    </row>
    <row r="4529">
      <c r="A4529" s="106" t="inlineStr">
        <is>
          <t>Diretoria Operacional</t>
        </is>
      </c>
      <c r="B4529" s="106" t="inlineStr">
        <is>
          <t>Custo Fixo</t>
        </is>
      </c>
      <c r="C4529" s="106" t="inlineStr">
        <is>
          <t>Folha de pagamento (salários)</t>
        </is>
      </c>
      <c r="D4529" s="107" t="n">
        <v>1</v>
      </c>
      <c r="E4529" s="108" t="n">
        <v>28328.94</v>
      </c>
      <c r="F4529" s="109">
        <f>IFERROR(D4529*E4529,0)</f>
        <v/>
      </c>
      <c r="G4529" s="106">
        <f>INDEX(SETORES!$B:$B,MATCH(A4529,SETORES!$A:$A,0))</f>
        <v/>
      </c>
      <c r="H4529" s="106" t="inlineStr">
        <is>
          <t>Dezembro/2026</t>
        </is>
      </c>
    </row>
    <row r="4530">
      <c r="A4530" s="106" t="inlineStr">
        <is>
          <t>Diretoria Operacional</t>
        </is>
      </c>
      <c r="B4530" s="106" t="inlineStr">
        <is>
          <t>Custo Variável</t>
        </is>
      </c>
      <c r="C4530" s="106" t="inlineStr">
        <is>
          <t>Viagens e hospedagem corporativas</t>
        </is>
      </c>
      <c r="D4530" s="107" t="n"/>
      <c r="E4530" s="108" t="n"/>
      <c r="F4530" s="109">
        <f>IFERROR(D4530*E4530,0)</f>
        <v/>
      </c>
      <c r="G4530" s="106">
        <f>INDEX(SETORES!$B:$B,MATCH(A4530,SETORES!$A:$A,0))</f>
        <v/>
      </c>
      <c r="H4530" s="106" t="inlineStr">
        <is>
          <t>Dezembro/2026</t>
        </is>
      </c>
    </row>
    <row r="4531">
      <c r="A4531" s="106" t="inlineStr">
        <is>
          <t>Diretoria Operacional</t>
        </is>
      </c>
      <c r="B4531" s="106" t="inlineStr">
        <is>
          <t>Custo Variável</t>
        </is>
      </c>
      <c r="C4531" s="106" t="inlineStr">
        <is>
          <t>Fardamento novo</t>
        </is>
      </c>
      <c r="D4531" s="107" t="n"/>
      <c r="E4531" s="108" t="n"/>
      <c r="F4531" s="109">
        <f>IFERROR(D4531*E4531,0)</f>
        <v/>
      </c>
      <c r="G4531" s="106">
        <f>INDEX(SETORES!$B:$B,MATCH(A4531,SETORES!$A:$A,0))</f>
        <v/>
      </c>
      <c r="H4531" s="106" t="inlineStr">
        <is>
          <t>Dezembro/2026</t>
        </is>
      </c>
    </row>
    <row r="4532">
      <c r="A4532" s="106" t="inlineStr">
        <is>
          <t>Diretoria Operacional</t>
        </is>
      </c>
      <c r="B4532" s="106" t="inlineStr">
        <is>
          <t>Custo Variável</t>
        </is>
      </c>
      <c r="C4532" s="106" t="inlineStr">
        <is>
          <t>Fardamento substituição</t>
        </is>
      </c>
      <c r="D4532" s="107" t="n"/>
      <c r="E4532" s="108" t="n"/>
      <c r="F4532" s="109">
        <f>IFERROR(D4532*E4532,0)</f>
        <v/>
      </c>
      <c r="G4532" s="106">
        <f>INDEX(SETORES!$B:$B,MATCH(A4532,SETORES!$A:$A,0))</f>
        <v/>
      </c>
      <c r="H4532" s="106" t="inlineStr">
        <is>
          <t>Dezembro/2026</t>
        </is>
      </c>
    </row>
    <row r="4533">
      <c r="A4533" s="106" t="inlineStr">
        <is>
          <t>Diretoria Operacional</t>
        </is>
      </c>
      <c r="B4533" s="106" t="inlineStr">
        <is>
          <t>Custo Fixo</t>
        </is>
      </c>
      <c r="C4533" s="106" t="inlineStr">
        <is>
          <t>Licença de e-mail corporativo</t>
        </is>
      </c>
      <c r="D4533" s="107" t="n">
        <v>2</v>
      </c>
      <c r="E4533" s="108" t="n">
        <v>50</v>
      </c>
      <c r="F4533" s="109">
        <f>IFERROR(D4533*E4533,0)</f>
        <v/>
      </c>
      <c r="G4533" s="106">
        <f>INDEX(SETORES!$B:$B,MATCH(A4533,SETORES!$A:$A,0))</f>
        <v/>
      </c>
      <c r="H4533" s="106" t="inlineStr">
        <is>
          <t>Dezembro/2026</t>
        </is>
      </c>
    </row>
    <row r="4534">
      <c r="A4534" s="106" t="inlineStr">
        <is>
          <t>Diretoria Operacional</t>
        </is>
      </c>
      <c r="B4534" s="106" t="inlineStr">
        <is>
          <t>Custo Fixo</t>
        </is>
      </c>
      <c r="C4534" s="106" t="inlineStr">
        <is>
          <t>Gympass</t>
        </is>
      </c>
      <c r="D4534" s="107" t="n"/>
      <c r="E4534" s="108" t="n"/>
      <c r="F4534" s="109">
        <f>IFERROR(D4534*E4534,0)</f>
        <v/>
      </c>
      <c r="G4534" s="106">
        <f>INDEX(SETORES!$B:$B,MATCH(A4534,SETORES!$A:$A,0))</f>
        <v/>
      </c>
      <c r="H4534" s="106" t="inlineStr">
        <is>
          <t>Dezembro/2026</t>
        </is>
      </c>
    </row>
    <row r="4535">
      <c r="A4535" s="106" t="inlineStr">
        <is>
          <t>Diretoria Operacional</t>
        </is>
      </c>
      <c r="B4535" s="106" t="inlineStr">
        <is>
          <t>Custo Fixo</t>
        </is>
      </c>
      <c r="C4535" s="106" t="inlineStr">
        <is>
          <t>Stargrid</t>
        </is>
      </c>
      <c r="D4535" s="107" t="n">
        <v>2</v>
      </c>
      <c r="E4535" s="108" t="n">
        <v>1.87</v>
      </c>
      <c r="F4535" s="109">
        <f>IFERROR(D4535*E4535,0)</f>
        <v/>
      </c>
      <c r="G4535" s="106">
        <f>INDEX(SETORES!$B:$B,MATCH(A4535,SETORES!$A:$A,0))</f>
        <v/>
      </c>
      <c r="H4535" s="106" t="inlineStr">
        <is>
          <t>Dezembro/2026</t>
        </is>
      </c>
    </row>
    <row r="4536">
      <c r="A4536" s="106" t="inlineStr">
        <is>
          <t>Engenharia</t>
        </is>
      </c>
      <c r="B4536" s="106" t="inlineStr">
        <is>
          <t>Custo Fixo</t>
        </is>
      </c>
      <c r="C4536" s="106" t="inlineStr">
        <is>
          <t>Material de escritório (suprimentos de informática)</t>
        </is>
      </c>
      <c r="D4536" s="107" t="n"/>
      <c r="E4536" s="108" t="n"/>
      <c r="F4536" s="109">
        <f>IFERROR(D4536*E4536,0)</f>
        <v/>
      </c>
      <c r="G4536" s="106">
        <f>INDEX(SETORES!$B:$B,MATCH(A4536,SETORES!$A:$A,0))</f>
        <v/>
      </c>
      <c r="H4536" s="106" t="inlineStr">
        <is>
          <t>Dezembro/2026</t>
        </is>
      </c>
    </row>
    <row r="4537">
      <c r="A4537" s="106" t="inlineStr">
        <is>
          <t>Engenharia</t>
        </is>
      </c>
      <c r="B4537" s="106" t="inlineStr">
        <is>
          <t>Custo Fixo</t>
        </is>
      </c>
      <c r="C4537" s="106" t="inlineStr">
        <is>
          <t>Material de uso coletivo (copa/limpeza)</t>
        </is>
      </c>
      <c r="D4537" s="107" t="n"/>
      <c r="E4537" s="108" t="n"/>
      <c r="F4537" s="109">
        <f>IFERROR(D4537*E4537,0)</f>
        <v/>
      </c>
      <c r="G4537" s="106">
        <f>INDEX(SETORES!$B:$B,MATCH(A4537,SETORES!$A:$A,0))</f>
        <v/>
      </c>
      <c r="H4537" s="106" t="inlineStr">
        <is>
          <t>Dezembro/2026</t>
        </is>
      </c>
    </row>
    <row r="4538">
      <c r="A4538" s="106" t="inlineStr">
        <is>
          <t>Engenharia</t>
        </is>
      </c>
      <c r="B4538" s="106" t="inlineStr">
        <is>
          <t>Custo Variável</t>
        </is>
      </c>
      <c r="C4538" s="106" t="inlineStr">
        <is>
          <t>Endomarketing</t>
        </is>
      </c>
      <c r="D4538" s="107" t="n"/>
      <c r="E4538" s="108" t="n"/>
      <c r="F4538" s="109">
        <f>IFERROR(D4538*E4538,0)</f>
        <v/>
      </c>
      <c r="G4538" s="106">
        <f>INDEX(SETORES!$B:$B,MATCH(A4538,SETORES!$A:$A,0))</f>
        <v/>
      </c>
      <c r="H4538" s="106" t="inlineStr">
        <is>
          <t>Dezembro/2026</t>
        </is>
      </c>
    </row>
    <row r="4539">
      <c r="A4539" s="106" t="inlineStr">
        <is>
          <t>Engenharia</t>
        </is>
      </c>
      <c r="B4539" s="106" t="inlineStr">
        <is>
          <t>Custo Fixo</t>
        </is>
      </c>
      <c r="C4539" s="106" t="inlineStr">
        <is>
          <t>Energia elétrica (rateio)</t>
        </is>
      </c>
      <c r="D4539" s="107" t="n"/>
      <c r="E4539" s="108" t="n"/>
      <c r="F4539" s="109">
        <f>IFERROR(D4539*E4539,0)</f>
        <v/>
      </c>
      <c r="G4539" s="106">
        <f>INDEX(SETORES!$B:$B,MATCH(A4539,SETORES!$A:$A,0))</f>
        <v/>
      </c>
      <c r="H4539" s="106" t="inlineStr">
        <is>
          <t>Dezembro/2026</t>
        </is>
      </c>
    </row>
    <row r="4540">
      <c r="A4540" s="106" t="inlineStr">
        <is>
          <t>Engenharia</t>
        </is>
      </c>
      <c r="B4540" s="106" t="inlineStr">
        <is>
          <t>Custo Fixo</t>
        </is>
      </c>
      <c r="C4540" s="106" t="inlineStr">
        <is>
          <t>Água e esgoto (rateio)</t>
        </is>
      </c>
      <c r="D4540" s="107" t="n"/>
      <c r="E4540" s="108" t="n"/>
      <c r="F4540" s="109">
        <f>IFERROR(D4540*E4540,0)</f>
        <v/>
      </c>
      <c r="G4540" s="106">
        <f>INDEX(SETORES!$B:$B,MATCH(A4540,SETORES!$A:$A,0))</f>
        <v/>
      </c>
      <c r="H4540" s="106" t="inlineStr">
        <is>
          <t>Dezembro/2026</t>
        </is>
      </c>
    </row>
    <row r="4541">
      <c r="A4541" s="106" t="inlineStr">
        <is>
          <t>Engenharia</t>
        </is>
      </c>
      <c r="B4541" s="106" t="inlineStr">
        <is>
          <t>Custo Fixo</t>
        </is>
      </c>
      <c r="C4541" s="106" t="inlineStr">
        <is>
          <t>Telefonia móvel corporativa</t>
        </is>
      </c>
      <c r="D4541" s="107" t="n"/>
      <c r="E4541" s="108" t="n"/>
      <c r="F4541" s="109">
        <f>IFERROR(D4541*E4541,0)</f>
        <v/>
      </c>
      <c r="G4541" s="106">
        <f>INDEX(SETORES!$B:$B,MATCH(A4541,SETORES!$A:$A,0))</f>
        <v/>
      </c>
      <c r="H4541" s="106" t="inlineStr">
        <is>
          <t>Dezembro/2026</t>
        </is>
      </c>
    </row>
    <row r="4542">
      <c r="A4542" s="106" t="inlineStr">
        <is>
          <t>Engenharia</t>
        </is>
      </c>
      <c r="B4542" s="106" t="inlineStr">
        <is>
          <t>Custo Fixo</t>
        </is>
      </c>
      <c r="C4542" s="106" t="inlineStr">
        <is>
          <t>Folha de pagamento (salários)</t>
        </is>
      </c>
      <c r="D4542" s="107" t="n">
        <v>1</v>
      </c>
      <c r="E4542" s="108" t="n">
        <v>64244.34</v>
      </c>
      <c r="F4542" s="109">
        <f>IFERROR(D4542*E4542,0)</f>
        <v/>
      </c>
      <c r="G4542" s="106">
        <f>INDEX(SETORES!$B:$B,MATCH(A4542,SETORES!$A:$A,0))</f>
        <v/>
      </c>
      <c r="H4542" s="106" t="inlineStr">
        <is>
          <t>Dezembro/2026</t>
        </is>
      </c>
    </row>
    <row r="4543">
      <c r="A4543" s="106" t="inlineStr">
        <is>
          <t>Engenharia</t>
        </is>
      </c>
      <c r="B4543" s="106" t="inlineStr">
        <is>
          <t>Custo Variável</t>
        </is>
      </c>
      <c r="C4543" s="106" t="inlineStr">
        <is>
          <t>Fardamento novo</t>
        </is>
      </c>
      <c r="D4543" s="107" t="n">
        <v>1</v>
      </c>
      <c r="E4543" s="108" t="n">
        <v>90</v>
      </c>
      <c r="F4543" s="109">
        <f>IFERROR(D4543*E4543,0)</f>
        <v/>
      </c>
      <c r="G4543" s="106">
        <f>INDEX(SETORES!$B:$B,MATCH(A4543,SETORES!$A:$A,0))</f>
        <v/>
      </c>
      <c r="H4543" s="106" t="inlineStr">
        <is>
          <t>Dezembro/2026</t>
        </is>
      </c>
    </row>
    <row r="4544">
      <c r="A4544" s="106" t="inlineStr">
        <is>
          <t>Engenharia</t>
        </is>
      </c>
      <c r="B4544" s="106" t="inlineStr">
        <is>
          <t>Custo Variável</t>
        </is>
      </c>
      <c r="C4544" s="106" t="inlineStr">
        <is>
          <t>Fardamento substituição</t>
        </is>
      </c>
      <c r="D4544" s="107" t="n"/>
      <c r="E4544" s="108" t="n"/>
      <c r="F4544" s="109">
        <f>IFERROR(D4544*E4544,0)</f>
        <v/>
      </c>
      <c r="G4544" s="106">
        <f>INDEX(SETORES!$B:$B,MATCH(A4544,SETORES!$A:$A,0))</f>
        <v/>
      </c>
      <c r="H4544" s="106" t="inlineStr">
        <is>
          <t>Dezembro/2026</t>
        </is>
      </c>
    </row>
    <row r="4545">
      <c r="A4545" s="106" t="inlineStr">
        <is>
          <t>Engenharia</t>
        </is>
      </c>
      <c r="B4545" s="106" t="inlineStr">
        <is>
          <t>Custo Variável</t>
        </is>
      </c>
      <c r="C4545" s="106" t="inlineStr">
        <is>
          <t>Rateio de transporte coletivo</t>
        </is>
      </c>
      <c r="D4545" s="107" t="n"/>
      <c r="E4545" s="108" t="n"/>
      <c r="F4545" s="109">
        <f>IFERROR(D4545*E4545,0)</f>
        <v/>
      </c>
      <c r="G4545" s="106">
        <f>INDEX(SETORES!$B:$B,MATCH(A4545,SETORES!$A:$A,0))</f>
        <v/>
      </c>
      <c r="H4545" s="106" t="inlineStr">
        <is>
          <t>Dezembro/2026</t>
        </is>
      </c>
    </row>
    <row r="4546">
      <c r="A4546" s="106" t="inlineStr">
        <is>
          <t>Engenharia</t>
        </is>
      </c>
      <c r="B4546" s="106" t="inlineStr">
        <is>
          <t>Custo Variável</t>
        </is>
      </c>
      <c r="C4546" s="106" t="inlineStr">
        <is>
          <t>Rescisões trabalhistas</t>
        </is>
      </c>
      <c r="D4546" s="107" t="n"/>
      <c r="E4546" s="108" t="n"/>
      <c r="F4546" s="109">
        <f>IFERROR(D4546*E4546,0)</f>
        <v/>
      </c>
      <c r="G4546" s="106">
        <f>INDEX(SETORES!$B:$B,MATCH(A4546,SETORES!$A:$A,0))</f>
        <v/>
      </c>
      <c r="H4546" s="106" t="inlineStr">
        <is>
          <t>Dezembro/2026</t>
        </is>
      </c>
    </row>
    <row r="4547">
      <c r="A4547" s="106" t="inlineStr">
        <is>
          <t>Engenharia</t>
        </is>
      </c>
      <c r="B4547" s="106" t="inlineStr">
        <is>
          <t>Custo Fixo</t>
        </is>
      </c>
      <c r="C4547" s="106" t="inlineStr">
        <is>
          <t>Licença de e-mail corporativo</t>
        </is>
      </c>
      <c r="D4547" s="107" t="n">
        <v>9</v>
      </c>
      <c r="E4547" s="108" t="n">
        <v>50</v>
      </c>
      <c r="F4547" s="109">
        <f>IFERROR(D4547*E4547,0)</f>
        <v/>
      </c>
      <c r="G4547" s="106">
        <f>INDEX(SETORES!$B:$B,MATCH(A4547,SETORES!$A:$A,0))</f>
        <v/>
      </c>
      <c r="H4547" s="106" t="inlineStr">
        <is>
          <t>Dezembro/2026</t>
        </is>
      </c>
    </row>
    <row r="4548">
      <c r="A4548" s="106" t="inlineStr">
        <is>
          <t>Engenharia</t>
        </is>
      </c>
      <c r="B4548" s="106" t="inlineStr">
        <is>
          <t>Custo Variável</t>
        </is>
      </c>
      <c r="C4548" s="106" t="inlineStr">
        <is>
          <t>Combustível de frota</t>
        </is>
      </c>
      <c r="D4548" s="107" t="n">
        <v>1</v>
      </c>
      <c r="E4548" s="108" t="n">
        <v>4864.24</v>
      </c>
      <c r="F4548" s="109">
        <f>IFERROR(D4548*E4548,0)</f>
        <v/>
      </c>
      <c r="G4548" s="106">
        <f>INDEX(SETORES!$B:$B,MATCH(A4548,SETORES!$A:$A,0))</f>
        <v/>
      </c>
      <c r="H4548" s="106" t="inlineStr">
        <is>
          <t>Dezembro/2026</t>
        </is>
      </c>
    </row>
    <row r="4549">
      <c r="A4549" s="106" t="inlineStr">
        <is>
          <t>Engenharia</t>
        </is>
      </c>
      <c r="B4549" s="106" t="inlineStr">
        <is>
          <t>Custo Fixo</t>
        </is>
      </c>
      <c r="C4549" s="106" t="inlineStr">
        <is>
          <t>Impressora</t>
        </is>
      </c>
      <c r="D4549" s="107" t="n"/>
      <c r="E4549" s="108" t="n"/>
      <c r="F4549" s="109">
        <f>IFERROR(D4549*E4549,0)</f>
        <v/>
      </c>
      <c r="G4549" s="106">
        <f>INDEX(SETORES!$B:$B,MATCH(A4549,SETORES!$A:$A,0))</f>
        <v/>
      </c>
      <c r="H4549" s="106" t="inlineStr">
        <is>
          <t>Dezembro/2026</t>
        </is>
      </c>
    </row>
    <row r="4550">
      <c r="A4550" s="106" t="inlineStr">
        <is>
          <t>Engenharia</t>
        </is>
      </c>
      <c r="B4550" s="106" t="inlineStr">
        <is>
          <t>Custo Fixo</t>
        </is>
      </c>
      <c r="C4550" s="106" t="inlineStr">
        <is>
          <t>Gympass</t>
        </is>
      </c>
      <c r="D4550" s="107" t="n"/>
      <c r="E4550" s="108" t="n"/>
      <c r="F4550" s="109">
        <f>IFERROR(D4550*E4550,0)</f>
        <v/>
      </c>
      <c r="G4550" s="106">
        <f>INDEX(SETORES!$B:$B,MATCH(A4550,SETORES!$A:$A,0))</f>
        <v/>
      </c>
      <c r="H4550" s="106" t="inlineStr">
        <is>
          <t>Dezembro/2026</t>
        </is>
      </c>
    </row>
    <row r="4551">
      <c r="A4551" s="106" t="inlineStr">
        <is>
          <t>Engenharia</t>
        </is>
      </c>
      <c r="B4551" s="106" t="inlineStr">
        <is>
          <t>Custo Fixo</t>
        </is>
      </c>
      <c r="C4551" s="106" t="inlineStr">
        <is>
          <t>Stargrid</t>
        </is>
      </c>
      <c r="D4551" s="107" t="n">
        <v>9</v>
      </c>
      <c r="E4551" s="108" t="n">
        <v>1.87</v>
      </c>
      <c r="F4551" s="109">
        <f>IFERROR(D4551*E4551,0)</f>
        <v/>
      </c>
      <c r="G4551" s="106">
        <f>INDEX(SETORES!$B:$B,MATCH(A4551,SETORES!$A:$A,0))</f>
        <v/>
      </c>
      <c r="H4551" s="106" t="inlineStr">
        <is>
          <t>Dezembro/2026</t>
        </is>
      </c>
    </row>
    <row r="4552">
      <c r="A4552" s="106" t="inlineStr">
        <is>
          <t>Estoque</t>
        </is>
      </c>
      <c r="B4552" s="106" t="inlineStr">
        <is>
          <t>Custo Fixo</t>
        </is>
      </c>
      <c r="C4552" s="106" t="inlineStr">
        <is>
          <t>Material de escritório (suprimentos de informática)</t>
        </is>
      </c>
      <c r="D4552" s="107" t="n"/>
      <c r="E4552" s="108" t="n"/>
      <c r="F4552" s="109">
        <f>IFERROR(D4552*E4552,0)</f>
        <v/>
      </c>
      <c r="G4552" s="106">
        <f>INDEX(SETORES!$B:$B,MATCH(A4552,SETORES!$A:$A,0))</f>
        <v/>
      </c>
      <c r="H4552" s="106" t="inlineStr">
        <is>
          <t>Dezembro/2026</t>
        </is>
      </c>
    </row>
    <row r="4553">
      <c r="A4553" s="106" t="inlineStr">
        <is>
          <t>Estoque</t>
        </is>
      </c>
      <c r="B4553" s="106" t="inlineStr">
        <is>
          <t>Custo Fixo</t>
        </is>
      </c>
      <c r="C4553" s="106" t="inlineStr">
        <is>
          <t>Material de uso coletivo (copa/limpeza)</t>
        </is>
      </c>
      <c r="D4553" s="107" t="n">
        <v>1</v>
      </c>
      <c r="E4553" s="108" t="n">
        <v>828.61</v>
      </c>
      <c r="F4553" s="109">
        <f>IFERROR(D4553*E4553,0)</f>
        <v/>
      </c>
      <c r="G4553" s="106">
        <f>INDEX(SETORES!$B:$B,MATCH(A4553,SETORES!$A:$A,0))</f>
        <v/>
      </c>
      <c r="H4553" s="106" t="inlineStr">
        <is>
          <t>Dezembro/2026</t>
        </is>
      </c>
    </row>
    <row r="4554">
      <c r="A4554" s="106" t="inlineStr">
        <is>
          <t>Estoque</t>
        </is>
      </c>
      <c r="B4554" s="106" t="inlineStr">
        <is>
          <t>Custo Fixo</t>
        </is>
      </c>
      <c r="C4554" s="106" t="inlineStr">
        <is>
          <t>Energia elétrica (rateio)</t>
        </is>
      </c>
      <c r="D4554" s="107" t="n"/>
      <c r="E4554" s="108" t="n"/>
      <c r="F4554" s="109">
        <f>IFERROR(D4554*E4554,0)</f>
        <v/>
      </c>
      <c r="G4554" s="106">
        <f>INDEX(SETORES!$B:$B,MATCH(A4554,SETORES!$A:$A,0))</f>
        <v/>
      </c>
      <c r="H4554" s="106" t="inlineStr">
        <is>
          <t>Dezembro/2026</t>
        </is>
      </c>
    </row>
    <row r="4555">
      <c r="A4555" s="106" t="inlineStr">
        <is>
          <t>Estoque</t>
        </is>
      </c>
      <c r="B4555" s="106" t="inlineStr">
        <is>
          <t>Custo Fixo</t>
        </is>
      </c>
      <c r="C4555" s="106" t="inlineStr">
        <is>
          <t>Água e esgoto (rateio)</t>
        </is>
      </c>
      <c r="D4555" s="107" t="n"/>
      <c r="E4555" s="108" t="n"/>
      <c r="F4555" s="109">
        <f>IFERROR(D4555*E4555,0)</f>
        <v/>
      </c>
      <c r="G4555" s="106">
        <f>INDEX(SETORES!$B:$B,MATCH(A4555,SETORES!$A:$A,0))</f>
        <v/>
      </c>
      <c r="H4555" s="106" t="inlineStr">
        <is>
          <t>Dezembro/2026</t>
        </is>
      </c>
    </row>
    <row r="4556">
      <c r="A4556" s="106" t="inlineStr">
        <is>
          <t>Estoque</t>
        </is>
      </c>
      <c r="B4556" s="106" t="inlineStr">
        <is>
          <t>Custo Fixo</t>
        </is>
      </c>
      <c r="C4556" s="106" t="inlineStr">
        <is>
          <t>Telefonia móvel corporativa</t>
        </is>
      </c>
      <c r="D4556" s="107" t="n"/>
      <c r="E4556" s="108" t="n"/>
      <c r="F4556" s="109">
        <f>IFERROR(D4556*E4556,0)</f>
        <v/>
      </c>
      <c r="G4556" s="106">
        <f>INDEX(SETORES!$B:$B,MATCH(A4556,SETORES!$A:$A,0))</f>
        <v/>
      </c>
      <c r="H4556" s="106" t="inlineStr">
        <is>
          <t>Dezembro/2026</t>
        </is>
      </c>
    </row>
    <row r="4557">
      <c r="A4557" s="106" t="inlineStr">
        <is>
          <t>Estoque</t>
        </is>
      </c>
      <c r="B4557" s="106" t="inlineStr">
        <is>
          <t>Custo Fixo</t>
        </is>
      </c>
      <c r="C4557" s="106" t="inlineStr">
        <is>
          <t>Folha de pagamento (salários)</t>
        </is>
      </c>
      <c r="D4557" s="107" t="n">
        <v>1</v>
      </c>
      <c r="E4557" s="108" t="n">
        <v>96388.89999999999</v>
      </c>
      <c r="F4557" s="109">
        <f>IFERROR(D4557*E4557,0)</f>
        <v/>
      </c>
      <c r="G4557" s="106">
        <f>INDEX(SETORES!$B:$B,MATCH(A4557,SETORES!$A:$A,0))</f>
        <v/>
      </c>
      <c r="H4557" s="106" t="inlineStr">
        <is>
          <t>Dezembro/2026</t>
        </is>
      </c>
    </row>
    <row r="4558">
      <c r="A4558" s="106" t="inlineStr">
        <is>
          <t>Estoque</t>
        </is>
      </c>
      <c r="B4558" s="106" t="inlineStr">
        <is>
          <t>Custo Variável</t>
        </is>
      </c>
      <c r="C4558" s="106" t="inlineStr">
        <is>
          <t>Fardamento novo</t>
        </is>
      </c>
      <c r="D4558" s="107" t="n"/>
      <c r="E4558" s="108" t="n"/>
      <c r="F4558" s="109">
        <f>IFERROR(D4558*E4558,0)</f>
        <v/>
      </c>
      <c r="G4558" s="106">
        <f>INDEX(SETORES!$B:$B,MATCH(A4558,SETORES!$A:$A,0))</f>
        <v/>
      </c>
      <c r="H4558" s="106" t="inlineStr">
        <is>
          <t>Dezembro/2026</t>
        </is>
      </c>
    </row>
    <row r="4559">
      <c r="A4559" s="106" t="inlineStr">
        <is>
          <t>Estoque</t>
        </is>
      </c>
      <c r="B4559" s="106" t="inlineStr">
        <is>
          <t>Custo Variável</t>
        </is>
      </c>
      <c r="C4559" s="106" t="inlineStr">
        <is>
          <t>Fardamento substituição</t>
        </is>
      </c>
      <c r="D4559" s="107" t="n"/>
      <c r="E4559" s="108" t="n"/>
      <c r="F4559" s="109">
        <f>IFERROR(D4559*E4559,0)</f>
        <v/>
      </c>
      <c r="G4559" s="106">
        <f>INDEX(SETORES!$B:$B,MATCH(A4559,SETORES!$A:$A,0))</f>
        <v/>
      </c>
      <c r="H4559" s="106" t="inlineStr">
        <is>
          <t>Dezembro/2026</t>
        </is>
      </c>
    </row>
    <row r="4560">
      <c r="A4560" s="106" t="inlineStr">
        <is>
          <t>Estoque</t>
        </is>
      </c>
      <c r="B4560" s="106" t="inlineStr">
        <is>
          <t>Custo Variável</t>
        </is>
      </c>
      <c r="C4560" s="106" t="inlineStr">
        <is>
          <t>Rateio de transporte coletivo</t>
        </is>
      </c>
      <c r="D4560" s="107" t="n"/>
      <c r="E4560" s="108" t="n"/>
      <c r="F4560" s="109">
        <f>IFERROR(D4560*E4560,0)</f>
        <v/>
      </c>
      <c r="G4560" s="106">
        <f>INDEX(SETORES!$B:$B,MATCH(A4560,SETORES!$A:$A,0))</f>
        <v/>
      </c>
      <c r="H4560" s="106" t="inlineStr">
        <is>
          <t>Dezembro/2026</t>
        </is>
      </c>
    </row>
    <row r="4561">
      <c r="A4561" s="106" t="inlineStr">
        <is>
          <t>Estoque</t>
        </is>
      </c>
      <c r="B4561" s="106" t="inlineStr">
        <is>
          <t>Custo Variável</t>
        </is>
      </c>
      <c r="C4561" s="106" t="inlineStr">
        <is>
          <t>Rescisões trabalhistas</t>
        </is>
      </c>
      <c r="D4561" s="107" t="n"/>
      <c r="E4561" s="108" t="n"/>
      <c r="F4561" s="109">
        <f>IFERROR(D4561*E4561,0)</f>
        <v/>
      </c>
      <c r="G4561" s="106">
        <f>INDEX(SETORES!$B:$B,MATCH(A4561,SETORES!$A:$A,0))</f>
        <v/>
      </c>
      <c r="H4561" s="106" t="inlineStr">
        <is>
          <t>Dezembro/2026</t>
        </is>
      </c>
    </row>
    <row r="4562">
      <c r="A4562" s="106" t="inlineStr">
        <is>
          <t>Estoque</t>
        </is>
      </c>
      <c r="B4562" s="106" t="inlineStr">
        <is>
          <t>Custo Variável</t>
        </is>
      </c>
      <c r="C4562" s="106" t="inlineStr">
        <is>
          <t>Exames médicos</t>
        </is>
      </c>
      <c r="D4562" s="107" t="n"/>
      <c r="E4562" s="108" t="n"/>
      <c r="F4562" s="109">
        <f>IFERROR(D4562*E4562,0)</f>
        <v/>
      </c>
      <c r="G4562" s="106">
        <f>INDEX(SETORES!$B:$B,MATCH(A4562,SETORES!$A:$A,0))</f>
        <v/>
      </c>
      <c r="H4562" s="106" t="inlineStr">
        <is>
          <t>Dezembro/2026</t>
        </is>
      </c>
    </row>
    <row r="4563">
      <c r="A4563" s="106" t="inlineStr">
        <is>
          <t>Estoque</t>
        </is>
      </c>
      <c r="B4563" s="106" t="inlineStr">
        <is>
          <t>Custo Fixo</t>
        </is>
      </c>
      <c r="C4563" s="106" t="inlineStr">
        <is>
          <t>Licença de e-mail corporativo</t>
        </is>
      </c>
      <c r="D4563" s="107" t="n">
        <v>16</v>
      </c>
      <c r="E4563" s="108" t="n">
        <v>50</v>
      </c>
      <c r="F4563" s="109">
        <f>IFERROR(D4563*E4563,0)</f>
        <v/>
      </c>
      <c r="G4563" s="106">
        <f>INDEX(SETORES!$B:$B,MATCH(A4563,SETORES!$A:$A,0))</f>
        <v/>
      </c>
      <c r="H4563" s="106" t="inlineStr">
        <is>
          <t>Dezembro/2026</t>
        </is>
      </c>
    </row>
    <row r="4564">
      <c r="A4564" s="106" t="inlineStr">
        <is>
          <t>Estoque</t>
        </is>
      </c>
      <c r="B4564" s="106" t="inlineStr">
        <is>
          <t>Custo Fixo</t>
        </is>
      </c>
      <c r="C4564" s="106" t="inlineStr">
        <is>
          <t>Impressora</t>
        </is>
      </c>
      <c r="D4564" s="107" t="n"/>
      <c r="E4564" s="108" t="n"/>
      <c r="F4564" s="109">
        <f>IFERROR(D4564*E4564,0)</f>
        <v/>
      </c>
      <c r="G4564" s="106">
        <f>INDEX(SETORES!$B:$B,MATCH(A4564,SETORES!$A:$A,0))</f>
        <v/>
      </c>
      <c r="H4564" s="106" t="inlineStr">
        <is>
          <t>Dezembro/2026</t>
        </is>
      </c>
    </row>
    <row r="4565">
      <c r="A4565" s="106" t="inlineStr">
        <is>
          <t>Estoque</t>
        </is>
      </c>
      <c r="B4565" s="106" t="inlineStr">
        <is>
          <t>Custo Fixo</t>
        </is>
      </c>
      <c r="C4565" s="106" t="inlineStr">
        <is>
          <t>Gympass</t>
        </is>
      </c>
      <c r="D4565" s="107" t="n"/>
      <c r="E4565" s="108" t="n"/>
      <c r="F4565" s="109">
        <f>IFERROR(D4565*E4565,0)</f>
        <v/>
      </c>
      <c r="G4565" s="106">
        <f>INDEX(SETORES!$B:$B,MATCH(A4565,SETORES!$A:$A,0))</f>
        <v/>
      </c>
      <c r="H4565" s="106" t="inlineStr">
        <is>
          <t>Dezembro/2026</t>
        </is>
      </c>
    </row>
    <row r="4566">
      <c r="A4566" s="106" t="inlineStr">
        <is>
          <t>Estoque</t>
        </is>
      </c>
      <c r="B4566" s="106" t="inlineStr">
        <is>
          <t>Custo Fixo</t>
        </is>
      </c>
      <c r="C4566" s="106" t="inlineStr">
        <is>
          <t>Stargrid</t>
        </is>
      </c>
      <c r="D4566" s="107" t="n">
        <v>16</v>
      </c>
      <c r="E4566" s="108" t="n">
        <v>1.87</v>
      </c>
      <c r="F4566" s="109">
        <f>IFERROR(D4566*E4566,0)</f>
        <v/>
      </c>
      <c r="G4566" s="106">
        <f>INDEX(SETORES!$B:$B,MATCH(A4566,SETORES!$A:$A,0))</f>
        <v/>
      </c>
      <c r="H4566" s="106" t="inlineStr">
        <is>
          <t>Dezembro/2026</t>
        </is>
      </c>
    </row>
    <row r="4567">
      <c r="A4567" s="106" t="inlineStr">
        <is>
          <t>Financeiro</t>
        </is>
      </c>
      <c r="B4567" s="106" t="inlineStr">
        <is>
          <t>Custo Fixo</t>
        </is>
      </c>
      <c r="C4567" s="106" t="inlineStr">
        <is>
          <t>Material de escritório (suprimentos de informática)</t>
        </is>
      </c>
      <c r="D4567" s="107" t="n">
        <v>1</v>
      </c>
      <c r="E4567" s="108" t="n">
        <v>4.82</v>
      </c>
      <c r="F4567" s="109">
        <f>IFERROR(D4567*E4567,0)</f>
        <v/>
      </c>
      <c r="G4567" s="106">
        <f>INDEX(SETORES!$B:$B,MATCH(A4567,SETORES!$A:$A,0))</f>
        <v/>
      </c>
      <c r="H4567" s="106" t="inlineStr">
        <is>
          <t>Dezembro/2026</t>
        </is>
      </c>
    </row>
    <row r="4568">
      <c r="A4568" s="106" t="inlineStr">
        <is>
          <t>Financeiro</t>
        </is>
      </c>
      <c r="B4568" s="106" t="inlineStr">
        <is>
          <t>Custo Fixo</t>
        </is>
      </c>
      <c r="C4568" s="106" t="inlineStr">
        <is>
          <t>Material de uso coletivo (copa/limpeza)</t>
        </is>
      </c>
      <c r="D4568" s="107" t="n">
        <v>1</v>
      </c>
      <c r="E4568" s="108" t="n">
        <v>438.85</v>
      </c>
      <c r="F4568" s="109">
        <f>IFERROR(D4568*E4568,0)</f>
        <v/>
      </c>
      <c r="G4568" s="106">
        <f>INDEX(SETORES!$B:$B,MATCH(A4568,SETORES!$A:$A,0))</f>
        <v/>
      </c>
      <c r="H4568" s="106" t="inlineStr">
        <is>
          <t>Dezembro/2026</t>
        </is>
      </c>
    </row>
    <row r="4569">
      <c r="A4569" s="106" t="inlineStr">
        <is>
          <t>Financeiro</t>
        </is>
      </c>
      <c r="B4569" s="106" t="inlineStr">
        <is>
          <t>Custo Fixo</t>
        </is>
      </c>
      <c r="C4569" s="106" t="inlineStr">
        <is>
          <t>Energia elétrica (rateio)</t>
        </is>
      </c>
      <c r="D4569" s="107" t="n"/>
      <c r="E4569" s="108" t="n"/>
      <c r="F4569" s="109">
        <f>IFERROR(D4569*E4569,0)</f>
        <v/>
      </c>
      <c r="G4569" s="106">
        <f>INDEX(SETORES!$B:$B,MATCH(A4569,SETORES!$A:$A,0))</f>
        <v/>
      </c>
      <c r="H4569" s="106" t="inlineStr">
        <is>
          <t>Dezembro/2026</t>
        </is>
      </c>
    </row>
    <row r="4570">
      <c r="A4570" s="106" t="inlineStr">
        <is>
          <t>Financeiro</t>
        </is>
      </c>
      <c r="B4570" s="106" t="inlineStr">
        <is>
          <t>Custo Fixo</t>
        </is>
      </c>
      <c r="C4570" s="106" t="inlineStr">
        <is>
          <t>Água e esgoto (rateio)</t>
        </is>
      </c>
      <c r="D4570" s="107" t="n"/>
      <c r="E4570" s="108" t="n"/>
      <c r="F4570" s="109">
        <f>IFERROR(D4570*E4570,0)</f>
        <v/>
      </c>
      <c r="G4570" s="106">
        <f>INDEX(SETORES!$B:$B,MATCH(A4570,SETORES!$A:$A,0))</f>
        <v/>
      </c>
      <c r="H4570" s="106" t="inlineStr">
        <is>
          <t>Dezembro/2026</t>
        </is>
      </c>
    </row>
    <row r="4571">
      <c r="A4571" s="106" t="inlineStr">
        <is>
          <t>Financeiro</t>
        </is>
      </c>
      <c r="B4571" s="106" t="inlineStr">
        <is>
          <t>Custo Fixo</t>
        </is>
      </c>
      <c r="C4571" s="106" t="inlineStr">
        <is>
          <t>Telefonia móvel corporativa</t>
        </is>
      </c>
      <c r="D4571" s="107" t="n"/>
      <c r="E4571" s="108" t="n"/>
      <c r="F4571" s="109">
        <f>IFERROR(D4571*E4571,0)</f>
        <v/>
      </c>
      <c r="G4571" s="106">
        <f>INDEX(SETORES!$B:$B,MATCH(A4571,SETORES!$A:$A,0))</f>
        <v/>
      </c>
      <c r="H4571" s="106" t="inlineStr">
        <is>
          <t>Dezembro/2026</t>
        </is>
      </c>
    </row>
    <row r="4572">
      <c r="A4572" s="106" t="inlineStr">
        <is>
          <t>Financeiro</t>
        </is>
      </c>
      <c r="B4572" s="106" t="inlineStr">
        <is>
          <t>Custo Fixo</t>
        </is>
      </c>
      <c r="C4572" s="106" t="inlineStr">
        <is>
          <t>Folha de pagamento (salários)</t>
        </is>
      </c>
      <c r="D4572" s="107" t="n">
        <v>1</v>
      </c>
      <c r="E4572" s="108" t="n">
        <v>33181.94</v>
      </c>
      <c r="F4572" s="109">
        <f>IFERROR(D4572*E4572,0)</f>
        <v/>
      </c>
      <c r="G4572" s="106">
        <f>INDEX(SETORES!$B:$B,MATCH(A4572,SETORES!$A:$A,0))</f>
        <v/>
      </c>
      <c r="H4572" s="106" t="inlineStr">
        <is>
          <t>Dezembro/2026</t>
        </is>
      </c>
    </row>
    <row r="4573">
      <c r="A4573" s="106" t="inlineStr">
        <is>
          <t>Financeiro</t>
        </is>
      </c>
      <c r="B4573" s="106" t="inlineStr">
        <is>
          <t>Custo Fixo</t>
        </is>
      </c>
      <c r="C4573" s="106" t="inlineStr">
        <is>
          <t>Licenças de software/sistemas corporativos (Financeiro)</t>
        </is>
      </c>
      <c r="D4573" s="107" t="n"/>
      <c r="E4573" s="108" t="n"/>
      <c r="F4573" s="109">
        <f>IFERROR(D4573*E4573,0)</f>
        <v/>
      </c>
      <c r="G4573" s="106">
        <f>INDEX(SETORES!$B:$B,MATCH(A4573,SETORES!$A:$A,0))</f>
        <v/>
      </c>
      <c r="H4573" s="106" t="inlineStr">
        <is>
          <t>Dezembro/2026</t>
        </is>
      </c>
    </row>
    <row r="4574">
      <c r="A4574" s="106" t="inlineStr">
        <is>
          <t>Financeiro</t>
        </is>
      </c>
      <c r="B4574" s="106" t="inlineStr">
        <is>
          <t>Custo Variável</t>
        </is>
      </c>
      <c r="C4574" s="106" t="inlineStr">
        <is>
          <t>Fardamento novo</t>
        </is>
      </c>
      <c r="D4574" s="107" t="n"/>
      <c r="E4574" s="108" t="n"/>
      <c r="F4574" s="109">
        <f>IFERROR(D4574*E4574,0)</f>
        <v/>
      </c>
      <c r="G4574" s="106">
        <f>INDEX(SETORES!$B:$B,MATCH(A4574,SETORES!$A:$A,0))</f>
        <v/>
      </c>
      <c r="H4574" s="106" t="inlineStr">
        <is>
          <t>Dezembro/2026</t>
        </is>
      </c>
    </row>
    <row r="4575">
      <c r="A4575" s="106" t="inlineStr">
        <is>
          <t>Financeiro</t>
        </is>
      </c>
      <c r="B4575" s="106" t="inlineStr">
        <is>
          <t>Custo Variável</t>
        </is>
      </c>
      <c r="C4575" s="106" t="inlineStr">
        <is>
          <t>Fardamento substituição</t>
        </is>
      </c>
      <c r="D4575" s="107" t="n"/>
      <c r="E4575" s="108" t="n"/>
      <c r="F4575" s="109">
        <f>IFERROR(D4575*E4575,0)</f>
        <v/>
      </c>
      <c r="G4575" s="106">
        <f>INDEX(SETORES!$B:$B,MATCH(A4575,SETORES!$A:$A,0))</f>
        <v/>
      </c>
      <c r="H4575" s="106" t="inlineStr">
        <is>
          <t>Dezembro/2026</t>
        </is>
      </c>
    </row>
    <row r="4576">
      <c r="A4576" s="106" t="inlineStr">
        <is>
          <t>Financeiro</t>
        </is>
      </c>
      <c r="B4576" s="106" t="inlineStr">
        <is>
          <t>Custo Fixo</t>
        </is>
      </c>
      <c r="C4576" s="106" t="inlineStr">
        <is>
          <t>Licença de e-mail corporativo</t>
        </is>
      </c>
      <c r="D4576" s="107" t="n">
        <v>8</v>
      </c>
      <c r="E4576" s="108" t="n">
        <v>50</v>
      </c>
      <c r="F4576" s="109">
        <f>IFERROR(D4576*E4576,0)</f>
        <v/>
      </c>
      <c r="G4576" s="106">
        <f>INDEX(SETORES!$B:$B,MATCH(A4576,SETORES!$A:$A,0))</f>
        <v/>
      </c>
      <c r="H4576" s="106" t="inlineStr">
        <is>
          <t>Dezembro/2026</t>
        </is>
      </c>
    </row>
    <row r="4577">
      <c r="A4577" s="106" t="inlineStr">
        <is>
          <t>Financeiro</t>
        </is>
      </c>
      <c r="B4577" s="106" t="inlineStr">
        <is>
          <t>Custo Fixo</t>
        </is>
      </c>
      <c r="C4577" s="106" t="inlineStr">
        <is>
          <t>Impressora</t>
        </is>
      </c>
      <c r="D4577" s="107" t="n"/>
      <c r="E4577" s="108" t="n"/>
      <c r="F4577" s="109">
        <f>IFERROR(D4577*E4577,0)</f>
        <v/>
      </c>
      <c r="G4577" s="106">
        <f>INDEX(SETORES!$B:$B,MATCH(A4577,SETORES!$A:$A,0))</f>
        <v/>
      </c>
      <c r="H4577" s="106" t="inlineStr">
        <is>
          <t>Dezembro/2026</t>
        </is>
      </c>
    </row>
    <row r="4578">
      <c r="A4578" s="106" t="inlineStr">
        <is>
          <t>Financeiro</t>
        </is>
      </c>
      <c r="B4578" s="106" t="inlineStr">
        <is>
          <t>Custo Fixo</t>
        </is>
      </c>
      <c r="C4578" s="106" t="inlineStr">
        <is>
          <t>Gympass</t>
        </is>
      </c>
      <c r="D4578" s="107" t="n"/>
      <c r="E4578" s="108" t="n"/>
      <c r="F4578" s="109">
        <f>IFERROR(D4578*E4578,0)</f>
        <v/>
      </c>
      <c r="G4578" s="106">
        <f>INDEX(SETORES!$B:$B,MATCH(A4578,SETORES!$A:$A,0))</f>
        <v/>
      </c>
      <c r="H4578" s="106" t="inlineStr">
        <is>
          <t>Dezembro/2026</t>
        </is>
      </c>
    </row>
    <row r="4579">
      <c r="A4579" s="106" t="inlineStr">
        <is>
          <t>Financeiro</t>
        </is>
      </c>
      <c r="B4579" s="106" t="inlineStr">
        <is>
          <t>Custo Fixo</t>
        </is>
      </c>
      <c r="C4579" s="106" t="inlineStr">
        <is>
          <t>Stargrid</t>
        </is>
      </c>
      <c r="D4579" s="107" t="n">
        <v>8</v>
      </c>
      <c r="E4579" s="108" t="n">
        <v>1.87</v>
      </c>
      <c r="F4579" s="109">
        <f>IFERROR(D4579*E4579,0)</f>
        <v/>
      </c>
      <c r="G4579" s="106">
        <f>INDEX(SETORES!$B:$B,MATCH(A4579,SETORES!$A:$A,0))</f>
        <v/>
      </c>
      <c r="H4579" s="106" t="inlineStr">
        <is>
          <t>Dezembro/2026</t>
        </is>
      </c>
    </row>
    <row r="4580">
      <c r="A4580" s="106" t="inlineStr">
        <is>
          <t>Logística</t>
        </is>
      </c>
      <c r="B4580" s="106" t="inlineStr">
        <is>
          <t>Custo Fixo</t>
        </is>
      </c>
      <c r="C4580" s="106" t="inlineStr">
        <is>
          <t>Material de escritório (suprimentos de informática)</t>
        </is>
      </c>
      <c r="D4580" s="107" t="n">
        <v>1</v>
      </c>
      <c r="E4580" s="108" t="n">
        <v>89.59</v>
      </c>
      <c r="F4580" s="109">
        <f>IFERROR(D4580*E4580,0)</f>
        <v/>
      </c>
      <c r="G4580" s="106">
        <f>INDEX(SETORES!$B:$B,MATCH(A4580,SETORES!$A:$A,0))</f>
        <v/>
      </c>
      <c r="H4580" s="106" t="inlineStr">
        <is>
          <t>Dezembro/2026</t>
        </is>
      </c>
    </row>
    <row r="4581">
      <c r="A4581" s="106" t="inlineStr">
        <is>
          <t>Logística</t>
        </is>
      </c>
      <c r="B4581" s="106" t="inlineStr">
        <is>
          <t>Custo Fixo</t>
        </is>
      </c>
      <c r="C4581" s="106" t="inlineStr">
        <is>
          <t>Material de uso coletivo (copa/limpeza)</t>
        </is>
      </c>
      <c r="D4581" s="107" t="n">
        <v>1</v>
      </c>
      <c r="E4581" s="108" t="n">
        <v>830.33</v>
      </c>
      <c r="F4581" s="109">
        <f>IFERROR(D4581*E4581,0)</f>
        <v/>
      </c>
      <c r="G4581" s="106">
        <f>INDEX(SETORES!$B:$B,MATCH(A4581,SETORES!$A:$A,0))</f>
        <v/>
      </c>
      <c r="H4581" s="106" t="inlineStr">
        <is>
          <t>Dezembro/2026</t>
        </is>
      </c>
    </row>
    <row r="4582">
      <c r="A4582" s="106" t="inlineStr">
        <is>
          <t>Logística</t>
        </is>
      </c>
      <c r="B4582" s="106" t="inlineStr">
        <is>
          <t>Custo Fixo</t>
        </is>
      </c>
      <c r="C4582" s="106" t="inlineStr">
        <is>
          <t>Energia elétrica (rateio)</t>
        </is>
      </c>
      <c r="D4582" s="107" t="n"/>
      <c r="E4582" s="108" t="n"/>
      <c r="F4582" s="109">
        <f>IFERROR(D4582*E4582,0)</f>
        <v/>
      </c>
      <c r="G4582" s="106">
        <f>INDEX(SETORES!$B:$B,MATCH(A4582,SETORES!$A:$A,0))</f>
        <v/>
      </c>
      <c r="H4582" s="106" t="inlineStr">
        <is>
          <t>Dezembro/2026</t>
        </is>
      </c>
    </row>
    <row r="4583">
      <c r="A4583" s="106" t="inlineStr">
        <is>
          <t>Logística</t>
        </is>
      </c>
      <c r="B4583" s="106" t="inlineStr">
        <is>
          <t>Custo Fixo</t>
        </is>
      </c>
      <c r="C4583" s="106" t="inlineStr">
        <is>
          <t>Água e esgoto (rateio)</t>
        </is>
      </c>
      <c r="D4583" s="107" t="n"/>
      <c r="E4583" s="108" t="n"/>
      <c r="F4583" s="109">
        <f>IFERROR(D4583*E4583,0)</f>
        <v/>
      </c>
      <c r="G4583" s="106">
        <f>INDEX(SETORES!$B:$B,MATCH(A4583,SETORES!$A:$A,0))</f>
        <v/>
      </c>
      <c r="H4583" s="106" t="inlineStr">
        <is>
          <t>Dezembro/2026</t>
        </is>
      </c>
    </row>
    <row r="4584">
      <c r="A4584" s="106" t="inlineStr">
        <is>
          <t>Logística</t>
        </is>
      </c>
      <c r="B4584" s="106" t="inlineStr">
        <is>
          <t>Custo Fixo</t>
        </is>
      </c>
      <c r="C4584" s="106" t="inlineStr">
        <is>
          <t>Telefonia móvel corporativa</t>
        </is>
      </c>
      <c r="D4584" s="107" t="n"/>
      <c r="E4584" s="108" t="n"/>
      <c r="F4584" s="109">
        <f>IFERROR(D4584*E4584,0)</f>
        <v/>
      </c>
      <c r="G4584" s="106">
        <f>INDEX(SETORES!$B:$B,MATCH(A4584,SETORES!$A:$A,0))</f>
        <v/>
      </c>
      <c r="H4584" s="106" t="inlineStr">
        <is>
          <t>Dezembro/2026</t>
        </is>
      </c>
    </row>
    <row r="4585">
      <c r="A4585" s="106" t="inlineStr">
        <is>
          <t>Logística</t>
        </is>
      </c>
      <c r="B4585" s="106" t="inlineStr">
        <is>
          <t>Custo Fixo</t>
        </is>
      </c>
      <c r="C4585" s="106" t="inlineStr">
        <is>
          <t>Folha de pagamento (salários)</t>
        </is>
      </c>
      <c r="D4585" s="107" t="n">
        <v>1</v>
      </c>
      <c r="E4585" s="108" t="n">
        <v>92482.67999999999</v>
      </c>
      <c r="F4585" s="109">
        <f>IFERROR(D4585*E4585,0)</f>
        <v/>
      </c>
      <c r="G4585" s="106">
        <f>INDEX(SETORES!$B:$B,MATCH(A4585,SETORES!$A:$A,0))</f>
        <v/>
      </c>
      <c r="H4585" s="106" t="inlineStr">
        <is>
          <t>Dezembro/2026</t>
        </is>
      </c>
    </row>
    <row r="4586">
      <c r="A4586" s="106" t="inlineStr">
        <is>
          <t>Logística</t>
        </is>
      </c>
      <c r="B4586" s="106" t="inlineStr">
        <is>
          <t>Custo Variável</t>
        </is>
      </c>
      <c r="C4586" s="106" t="inlineStr">
        <is>
          <t>Combustível de frota</t>
        </is>
      </c>
      <c r="D4586" s="107" t="n">
        <v>1</v>
      </c>
      <c r="E4586" s="108" t="n">
        <v>39191.62</v>
      </c>
      <c r="F4586" s="109">
        <f>IFERROR(D4586*E4586,0)</f>
        <v/>
      </c>
      <c r="G4586" s="106">
        <f>INDEX(SETORES!$B:$B,MATCH(A4586,SETORES!$A:$A,0))</f>
        <v/>
      </c>
      <c r="H4586" s="106" t="inlineStr">
        <is>
          <t>Dezembro/2026</t>
        </is>
      </c>
    </row>
    <row r="4587">
      <c r="A4587" s="106" t="inlineStr">
        <is>
          <t>Logística</t>
        </is>
      </c>
      <c r="B4587" s="106" t="inlineStr">
        <is>
          <t>Custo Variável</t>
        </is>
      </c>
      <c r="C4587" s="106" t="inlineStr">
        <is>
          <t>Manutenção de veículos</t>
        </is>
      </c>
      <c r="D4587" s="107" t="n"/>
      <c r="E4587" s="108" t="n"/>
      <c r="F4587" s="109">
        <f>IFERROR(D4587*E4587,0)</f>
        <v/>
      </c>
      <c r="G4587" s="106">
        <f>INDEX(SETORES!$B:$B,MATCH(A4587,SETORES!$A:$A,0))</f>
        <v/>
      </c>
      <c r="H4587" s="106" t="inlineStr">
        <is>
          <t>Dezembro/2026</t>
        </is>
      </c>
    </row>
    <row r="4588">
      <c r="A4588" s="106" t="inlineStr">
        <is>
          <t>Logística</t>
        </is>
      </c>
      <c r="B4588" s="106" t="inlineStr">
        <is>
          <t>Custo Variável</t>
        </is>
      </c>
      <c r="C4588" s="106" t="inlineStr">
        <is>
          <t>Fardamento novo</t>
        </is>
      </c>
      <c r="D4588" s="107" t="n">
        <v>1</v>
      </c>
      <c r="E4588" s="108" t="n">
        <v>90</v>
      </c>
      <c r="F4588" s="109">
        <f>IFERROR(D4588*E4588,0)</f>
        <v/>
      </c>
      <c r="G4588" s="106">
        <f>INDEX(SETORES!$B:$B,MATCH(A4588,SETORES!$A:$A,0))</f>
        <v/>
      </c>
      <c r="H4588" s="106" t="inlineStr">
        <is>
          <t>Dezembro/2026</t>
        </is>
      </c>
    </row>
    <row r="4589">
      <c r="A4589" s="106" t="inlineStr">
        <is>
          <t>Logística</t>
        </is>
      </c>
      <c r="B4589" s="106" t="inlineStr">
        <is>
          <t>Custo Variável</t>
        </is>
      </c>
      <c r="C4589" s="106" t="inlineStr">
        <is>
          <t>Fardamento substituição</t>
        </is>
      </c>
      <c r="D4589" s="107" t="n"/>
      <c r="E4589" s="108" t="n"/>
      <c r="F4589" s="109">
        <f>IFERROR(D4589*E4589,0)</f>
        <v/>
      </c>
      <c r="G4589" s="106">
        <f>INDEX(SETORES!$B:$B,MATCH(A4589,SETORES!$A:$A,0))</f>
        <v/>
      </c>
      <c r="H4589" s="106" t="inlineStr">
        <is>
          <t>Dezembro/2026</t>
        </is>
      </c>
    </row>
    <row r="4590">
      <c r="A4590" s="106" t="inlineStr">
        <is>
          <t>Logística</t>
        </is>
      </c>
      <c r="B4590" s="106" t="inlineStr">
        <is>
          <t>Custo Variável</t>
        </is>
      </c>
      <c r="C4590" s="106" t="inlineStr">
        <is>
          <t>EPIs - Equipamento de Proteção Individual</t>
        </is>
      </c>
      <c r="D4590" s="107" t="n"/>
      <c r="E4590" s="108" t="n"/>
      <c r="F4590" s="109">
        <f>IFERROR(D4590*E4590,0)</f>
        <v/>
      </c>
      <c r="G4590" s="106">
        <f>INDEX(SETORES!$B:$B,MATCH(A4590,SETORES!$A:$A,0))</f>
        <v/>
      </c>
      <c r="H4590" s="106" t="inlineStr">
        <is>
          <t>Dezembro/2026</t>
        </is>
      </c>
    </row>
    <row r="4591">
      <c r="A4591" s="106" t="inlineStr">
        <is>
          <t>Logística</t>
        </is>
      </c>
      <c r="B4591" s="106" t="inlineStr">
        <is>
          <t>Custo Variável</t>
        </is>
      </c>
      <c r="C4591" s="106" t="inlineStr">
        <is>
          <t>Rateio de transporte coletivo</t>
        </is>
      </c>
      <c r="D4591" s="107" t="n"/>
      <c r="E4591" s="108" t="n"/>
      <c r="F4591" s="109">
        <f>IFERROR(D4591*E4591,0)</f>
        <v/>
      </c>
      <c r="G4591" s="106">
        <f>INDEX(SETORES!$B:$B,MATCH(A4591,SETORES!$A:$A,0))</f>
        <v/>
      </c>
      <c r="H4591" s="106" t="inlineStr">
        <is>
          <t>Dezembro/2026</t>
        </is>
      </c>
    </row>
    <row r="4592">
      <c r="A4592" s="106" t="inlineStr">
        <is>
          <t>Logística</t>
        </is>
      </c>
      <c r="B4592" s="106" t="inlineStr">
        <is>
          <t>Custo Fixo</t>
        </is>
      </c>
      <c r="C4592" s="106" t="inlineStr">
        <is>
          <t>Licença de e-mail corporativo</t>
        </is>
      </c>
      <c r="D4592" s="107" t="n">
        <v>16</v>
      </c>
      <c r="E4592" s="108" t="n">
        <v>50</v>
      </c>
      <c r="F4592" s="109">
        <f>IFERROR(D4592*E4592,0)</f>
        <v/>
      </c>
      <c r="G4592" s="106">
        <f>INDEX(SETORES!$B:$B,MATCH(A4592,SETORES!$A:$A,0))</f>
        <v/>
      </c>
      <c r="H4592" s="106" t="inlineStr">
        <is>
          <t>Dezembro/2026</t>
        </is>
      </c>
    </row>
    <row r="4593">
      <c r="A4593" s="106" t="inlineStr">
        <is>
          <t>Logística</t>
        </is>
      </c>
      <c r="B4593" s="106" t="inlineStr">
        <is>
          <t>Custo Fixo</t>
        </is>
      </c>
      <c r="C4593" s="106" t="inlineStr">
        <is>
          <t>Impressora</t>
        </is>
      </c>
      <c r="D4593" s="107" t="n"/>
      <c r="E4593" s="108" t="n"/>
      <c r="F4593" s="109">
        <f>IFERROR(D4593*E4593,0)</f>
        <v/>
      </c>
      <c r="G4593" s="106">
        <f>INDEX(SETORES!$B:$B,MATCH(A4593,SETORES!$A:$A,0))</f>
        <v/>
      </c>
      <c r="H4593" s="106" t="inlineStr">
        <is>
          <t>Dezembro/2026</t>
        </is>
      </c>
    </row>
    <row r="4594">
      <c r="A4594" s="106" t="inlineStr">
        <is>
          <t>Logística</t>
        </is>
      </c>
      <c r="B4594" s="106" t="inlineStr">
        <is>
          <t>Custo Fixo</t>
        </is>
      </c>
      <c r="C4594" s="106" t="inlineStr">
        <is>
          <t>Gympass</t>
        </is>
      </c>
      <c r="D4594" s="107" t="n"/>
      <c r="E4594" s="108" t="n"/>
      <c r="F4594" s="109">
        <f>IFERROR(D4594*E4594,0)</f>
        <v/>
      </c>
      <c r="G4594" s="106">
        <f>INDEX(SETORES!$B:$B,MATCH(A4594,SETORES!$A:$A,0))</f>
        <v/>
      </c>
      <c r="H4594" s="106" t="inlineStr">
        <is>
          <t>Dezembro/2026</t>
        </is>
      </c>
    </row>
    <row r="4595">
      <c r="A4595" s="106" t="inlineStr">
        <is>
          <t>Logística</t>
        </is>
      </c>
      <c r="B4595" s="106" t="inlineStr">
        <is>
          <t>Custo Fixo</t>
        </is>
      </c>
      <c r="C4595" s="106" t="inlineStr">
        <is>
          <t>Stargrid</t>
        </is>
      </c>
      <c r="D4595" s="107" t="n">
        <v>16</v>
      </c>
      <c r="E4595" s="108" t="n">
        <v>1.87</v>
      </c>
      <c r="F4595" s="109">
        <f>IFERROR(D4595*E4595,0)</f>
        <v/>
      </c>
      <c r="G4595" s="106">
        <f>INDEX(SETORES!$B:$B,MATCH(A4595,SETORES!$A:$A,0))</f>
        <v/>
      </c>
      <c r="H4595" s="106" t="inlineStr">
        <is>
          <t>Dezembro/2026</t>
        </is>
      </c>
    </row>
    <row r="4596">
      <c r="A4596" s="106" t="inlineStr">
        <is>
          <t>Manutenção Predial</t>
        </is>
      </c>
      <c r="B4596" s="106" t="inlineStr">
        <is>
          <t>Custo Fixo</t>
        </is>
      </c>
      <c r="C4596" s="106" t="inlineStr">
        <is>
          <t>Material de escritório (suprimentos de informática)</t>
        </is>
      </c>
      <c r="D4596" s="107" t="n"/>
      <c r="E4596" s="108" t="n"/>
      <c r="F4596" s="109">
        <f>IFERROR(D4596*E4596,0)</f>
        <v/>
      </c>
      <c r="G4596" s="106">
        <f>INDEX(SETORES!$B:$B,MATCH(A4596,SETORES!$A:$A,0))</f>
        <v/>
      </c>
      <c r="H4596" s="106" t="inlineStr">
        <is>
          <t>Dezembro/2026</t>
        </is>
      </c>
    </row>
    <row r="4597">
      <c r="A4597" s="106" t="inlineStr">
        <is>
          <t>Manutenção Predial</t>
        </is>
      </c>
      <c r="B4597" s="106" t="inlineStr">
        <is>
          <t>Custo Fixo</t>
        </is>
      </c>
      <c r="C4597" s="106" t="inlineStr">
        <is>
          <t>Material de uso coletivo (copa/limpeza)</t>
        </is>
      </c>
      <c r="D4597" s="107" t="n"/>
      <c r="E4597" s="108" t="n"/>
      <c r="F4597" s="109">
        <f>IFERROR(D4597*E4597,0)</f>
        <v/>
      </c>
      <c r="G4597" s="106">
        <f>INDEX(SETORES!$B:$B,MATCH(A4597,SETORES!$A:$A,0))</f>
        <v/>
      </c>
      <c r="H4597" s="106" t="inlineStr">
        <is>
          <t>Dezembro/2026</t>
        </is>
      </c>
    </row>
    <row r="4598">
      <c r="A4598" s="106" t="inlineStr">
        <is>
          <t>Manutenção Predial</t>
        </is>
      </c>
      <c r="B4598" s="106" t="inlineStr">
        <is>
          <t>Custo Fixo</t>
        </is>
      </c>
      <c r="C4598" s="106" t="inlineStr">
        <is>
          <t>Telefonia móvel corporativa</t>
        </is>
      </c>
      <c r="D4598" s="107" t="n"/>
      <c r="E4598" s="108" t="n"/>
      <c r="F4598" s="109">
        <f>IFERROR(D4598*E4598,0)</f>
        <v/>
      </c>
      <c r="G4598" s="106">
        <f>INDEX(SETORES!$B:$B,MATCH(A4598,SETORES!$A:$A,0))</f>
        <v/>
      </c>
      <c r="H4598" s="106" t="inlineStr">
        <is>
          <t>Dezembro/2026</t>
        </is>
      </c>
    </row>
    <row r="4599">
      <c r="A4599" s="106" t="inlineStr">
        <is>
          <t>Manutenção Predial</t>
        </is>
      </c>
      <c r="B4599" s="106" t="inlineStr">
        <is>
          <t>Custo Fixo</t>
        </is>
      </c>
      <c r="C4599" s="106" t="inlineStr">
        <is>
          <t>Folha de pagamento (salários)</t>
        </is>
      </c>
      <c r="D4599" s="107" t="n">
        <v>1</v>
      </c>
      <c r="E4599" s="108" t="n">
        <v>116417.9</v>
      </c>
      <c r="F4599" s="109">
        <f>IFERROR(D4599*E4599,0)</f>
        <v/>
      </c>
      <c r="G4599" s="106">
        <f>INDEX(SETORES!$B:$B,MATCH(A4599,SETORES!$A:$A,0))</f>
        <v/>
      </c>
      <c r="H4599" s="106" t="inlineStr">
        <is>
          <t>Dezembro/2026</t>
        </is>
      </c>
    </row>
    <row r="4600">
      <c r="A4600" s="106" t="inlineStr">
        <is>
          <t>Manutenção Predial</t>
        </is>
      </c>
      <c r="B4600" s="106" t="inlineStr">
        <is>
          <t>Custo Variável</t>
        </is>
      </c>
      <c r="C4600" s="106" t="inlineStr">
        <is>
          <t>Investimento de equipamentos (não patrimoniável)</t>
        </is>
      </c>
      <c r="D4600" s="107" t="n"/>
      <c r="E4600" s="108" t="n"/>
      <c r="F4600" s="109">
        <f>IFERROR(D4600*E4600,0)</f>
        <v/>
      </c>
      <c r="G4600" s="106">
        <f>INDEX(SETORES!$B:$B,MATCH(A4600,SETORES!$A:$A,0))</f>
        <v/>
      </c>
      <c r="H4600" s="106" t="inlineStr">
        <is>
          <t>Dezembro/2026</t>
        </is>
      </c>
    </row>
    <row r="4601">
      <c r="A4601" s="106" t="inlineStr">
        <is>
          <t>Manutenção Predial</t>
        </is>
      </c>
      <c r="B4601" s="106" t="inlineStr">
        <is>
          <t>Custo Variável</t>
        </is>
      </c>
      <c r="C4601" s="106" t="inlineStr">
        <is>
          <t>EPIs - Equipamento de Proteção Individual</t>
        </is>
      </c>
      <c r="D4601" s="107" t="n"/>
      <c r="E4601" s="108" t="n"/>
      <c r="F4601" s="109">
        <f>IFERROR(D4601*E4601,0)</f>
        <v/>
      </c>
      <c r="G4601" s="106">
        <f>INDEX(SETORES!$B:$B,MATCH(A4601,SETORES!$A:$A,0))</f>
        <v/>
      </c>
      <c r="H4601" s="106" t="inlineStr">
        <is>
          <t>Dezembro/2026</t>
        </is>
      </c>
    </row>
    <row r="4602">
      <c r="A4602" s="106" t="inlineStr">
        <is>
          <t>Manutenção Predial</t>
        </is>
      </c>
      <c r="B4602" s="106" t="inlineStr">
        <is>
          <t>Custo Fixo</t>
        </is>
      </c>
      <c r="C4602" s="106" t="inlineStr">
        <is>
          <t>Licença de e-mail corporativo</t>
        </is>
      </c>
      <c r="D4602" s="107" t="n">
        <v>15</v>
      </c>
      <c r="E4602" s="108" t="n">
        <v>50</v>
      </c>
      <c r="F4602" s="109">
        <f>IFERROR(D4602*E4602,0)</f>
        <v/>
      </c>
      <c r="G4602" s="106">
        <f>INDEX(SETORES!$B:$B,MATCH(A4602,SETORES!$A:$A,0))</f>
        <v/>
      </c>
      <c r="H4602" s="106" t="inlineStr">
        <is>
          <t>Dezembro/2026</t>
        </is>
      </c>
    </row>
    <row r="4603">
      <c r="A4603" s="106" t="inlineStr">
        <is>
          <t>Manutenção Predial</t>
        </is>
      </c>
      <c r="B4603" s="106" t="inlineStr">
        <is>
          <t>Custo Variável</t>
        </is>
      </c>
      <c r="C4603" s="106" t="inlineStr">
        <is>
          <t>Combustível de frota</t>
        </is>
      </c>
      <c r="D4603" s="107" t="n">
        <v>1</v>
      </c>
      <c r="E4603" s="108" t="n">
        <v>11623.33</v>
      </c>
      <c r="F4603" s="109">
        <f>IFERROR(D4603*E4603,0)</f>
        <v/>
      </c>
      <c r="G4603" s="106">
        <f>INDEX(SETORES!$B:$B,MATCH(A4603,SETORES!$A:$A,0))</f>
        <v/>
      </c>
      <c r="H4603" s="106" t="inlineStr">
        <is>
          <t>Dezembro/2026</t>
        </is>
      </c>
    </row>
    <row r="4604">
      <c r="A4604" s="106" t="inlineStr">
        <is>
          <t>Manutenção Predial</t>
        </is>
      </c>
      <c r="B4604" s="106" t="inlineStr">
        <is>
          <t>Custo Fixo</t>
        </is>
      </c>
      <c r="C4604" s="106" t="inlineStr">
        <is>
          <t>Gympass</t>
        </is>
      </c>
      <c r="D4604" s="107" t="n"/>
      <c r="E4604" s="108" t="n"/>
      <c r="F4604" s="109">
        <f>IFERROR(D4604*E4604,0)</f>
        <v/>
      </c>
      <c r="G4604" s="106">
        <f>INDEX(SETORES!$B:$B,MATCH(A4604,SETORES!$A:$A,0))</f>
        <v/>
      </c>
      <c r="H4604" s="106" t="inlineStr">
        <is>
          <t>Dezembro/2026</t>
        </is>
      </c>
    </row>
    <row r="4605">
      <c r="A4605" s="106" t="inlineStr">
        <is>
          <t>Manutenção Predial</t>
        </is>
      </c>
      <c r="B4605" s="106" t="inlineStr">
        <is>
          <t>Custo Fixo</t>
        </is>
      </c>
      <c r="C4605" s="106" t="inlineStr">
        <is>
          <t>Stargrid</t>
        </is>
      </c>
      <c r="D4605" s="107" t="n">
        <v>15</v>
      </c>
      <c r="E4605" s="108" t="n">
        <v>1.87</v>
      </c>
      <c r="F4605" s="109">
        <f>IFERROR(D4605*E4605,0)</f>
        <v/>
      </c>
      <c r="G4605" s="106">
        <f>INDEX(SETORES!$B:$B,MATCH(A4605,SETORES!$A:$A,0))</f>
        <v/>
      </c>
      <c r="H4605" s="106" t="inlineStr">
        <is>
          <t>Dezembro/2026</t>
        </is>
      </c>
    </row>
    <row r="4606">
      <c r="A4606" s="106" t="inlineStr">
        <is>
          <t>NOC</t>
        </is>
      </c>
      <c r="B4606" s="106" t="inlineStr">
        <is>
          <t>Custo Fixo</t>
        </is>
      </c>
      <c r="C4606" s="106" t="inlineStr">
        <is>
          <t>Material de escritório (suprimentos de informática)</t>
        </is>
      </c>
      <c r="D4606" s="107" t="n">
        <v>1</v>
      </c>
      <c r="E4606" s="108" t="n">
        <v>37.24</v>
      </c>
      <c r="F4606" s="109">
        <f>IFERROR(D4606*E4606,0)</f>
        <v/>
      </c>
      <c r="G4606" s="106">
        <f>INDEX(SETORES!$B:$B,MATCH(A4606,SETORES!$A:$A,0))</f>
        <v/>
      </c>
      <c r="H4606" s="106" t="inlineStr">
        <is>
          <t>Dezembro/2026</t>
        </is>
      </c>
    </row>
    <row r="4607">
      <c r="A4607" s="106" t="inlineStr">
        <is>
          <t>NOC</t>
        </is>
      </c>
      <c r="B4607" s="106" t="inlineStr">
        <is>
          <t>Custo Fixo</t>
        </is>
      </c>
      <c r="C4607" s="106" t="inlineStr">
        <is>
          <t>Material de uso coletivo (copa/limpeza)</t>
        </is>
      </c>
      <c r="D4607" s="107" t="n">
        <v>1</v>
      </c>
      <c r="E4607" s="108" t="n">
        <v>288.15</v>
      </c>
      <c r="F4607" s="109">
        <f>IFERROR(D4607*E4607,0)</f>
        <v/>
      </c>
      <c r="G4607" s="106">
        <f>INDEX(SETORES!$B:$B,MATCH(A4607,SETORES!$A:$A,0))</f>
        <v/>
      </c>
      <c r="H4607" s="106" t="inlineStr">
        <is>
          <t>Dezembro/2026</t>
        </is>
      </c>
    </row>
    <row r="4608">
      <c r="A4608" s="106" t="inlineStr">
        <is>
          <t>NOC</t>
        </is>
      </c>
      <c r="B4608" s="106" t="inlineStr">
        <is>
          <t>Custo Fixo</t>
        </is>
      </c>
      <c r="C4608" s="106" t="inlineStr">
        <is>
          <t>Energia elétrica (rateio)</t>
        </is>
      </c>
      <c r="D4608" s="107" t="n"/>
      <c r="E4608" s="108" t="n"/>
      <c r="F4608" s="109">
        <f>IFERROR(D4608*E4608,0)</f>
        <v/>
      </c>
      <c r="G4608" s="106">
        <f>INDEX(SETORES!$B:$B,MATCH(A4608,SETORES!$A:$A,0))</f>
        <v/>
      </c>
      <c r="H4608" s="106" t="inlineStr">
        <is>
          <t>Dezembro/2026</t>
        </is>
      </c>
    </row>
    <row r="4609">
      <c r="A4609" s="106" t="inlineStr">
        <is>
          <t>NOC</t>
        </is>
      </c>
      <c r="B4609" s="106" t="inlineStr">
        <is>
          <t>Custo Fixo</t>
        </is>
      </c>
      <c r="C4609" s="106" t="inlineStr">
        <is>
          <t>Água e esgoto (rateio)</t>
        </is>
      </c>
      <c r="D4609" s="107" t="n"/>
      <c r="E4609" s="108" t="n"/>
      <c r="F4609" s="109">
        <f>IFERROR(D4609*E4609,0)</f>
        <v/>
      </c>
      <c r="G4609" s="106">
        <f>INDEX(SETORES!$B:$B,MATCH(A4609,SETORES!$A:$A,0))</f>
        <v/>
      </c>
      <c r="H4609" s="106" t="inlineStr">
        <is>
          <t>Dezembro/2026</t>
        </is>
      </c>
    </row>
    <row r="4610">
      <c r="A4610" s="106" t="inlineStr">
        <is>
          <t>NOC</t>
        </is>
      </c>
      <c r="B4610" s="106" t="inlineStr">
        <is>
          <t>Custo Fixo</t>
        </is>
      </c>
      <c r="C4610" s="106" t="inlineStr">
        <is>
          <t>Telefonia móvel corporativa</t>
        </is>
      </c>
      <c r="D4610" s="107" t="n"/>
      <c r="E4610" s="108" t="n"/>
      <c r="F4610" s="109">
        <f>IFERROR(D4610*E4610,0)</f>
        <v/>
      </c>
      <c r="G4610" s="106">
        <f>INDEX(SETORES!$B:$B,MATCH(A4610,SETORES!$A:$A,0))</f>
        <v/>
      </c>
      <c r="H4610" s="106" t="inlineStr">
        <is>
          <t>Dezembro/2026</t>
        </is>
      </c>
    </row>
    <row r="4611">
      <c r="A4611" s="106" t="inlineStr">
        <is>
          <t>NOC</t>
        </is>
      </c>
      <c r="B4611" s="106" t="inlineStr">
        <is>
          <t>Custo Fixo</t>
        </is>
      </c>
      <c r="C4611" s="106" t="inlineStr">
        <is>
          <t>Folha de pagamento (salários)</t>
        </is>
      </c>
      <c r="D4611" s="107" t="n">
        <v>1</v>
      </c>
      <c r="E4611" s="108" t="n">
        <v>42164.64</v>
      </c>
      <c r="F4611" s="109">
        <f>IFERROR(D4611*E4611,0)</f>
        <v/>
      </c>
      <c r="G4611" s="106">
        <f>INDEX(SETORES!$B:$B,MATCH(A4611,SETORES!$A:$A,0))</f>
        <v/>
      </c>
      <c r="H4611" s="106" t="inlineStr">
        <is>
          <t>Dezembro/2026</t>
        </is>
      </c>
    </row>
    <row r="4612">
      <c r="A4612" s="106" t="inlineStr">
        <is>
          <t>NOC</t>
        </is>
      </c>
      <c r="B4612" s="106" t="inlineStr">
        <is>
          <t>Custo Fixo</t>
        </is>
      </c>
      <c r="C4612" s="106" t="inlineStr">
        <is>
          <t>Licença de e-mail corporativo</t>
        </is>
      </c>
      <c r="D4612" s="107" t="n">
        <v>3</v>
      </c>
      <c r="E4612" s="108" t="n">
        <v>50</v>
      </c>
      <c r="F4612" s="109">
        <f>IFERROR(D4612*E4612,0)</f>
        <v/>
      </c>
      <c r="G4612" s="106">
        <f>INDEX(SETORES!$B:$B,MATCH(A4612,SETORES!$A:$A,0))</f>
        <v/>
      </c>
      <c r="H4612" s="106" t="inlineStr">
        <is>
          <t>Dezembro/2026</t>
        </is>
      </c>
    </row>
    <row r="4613">
      <c r="A4613" s="106" t="inlineStr">
        <is>
          <t>NOC</t>
        </is>
      </c>
      <c r="B4613" s="106" t="inlineStr">
        <is>
          <t>Custo Variável</t>
        </is>
      </c>
      <c r="C4613" s="106" t="inlineStr">
        <is>
          <t>Combustível de frota</t>
        </is>
      </c>
      <c r="D4613" s="107" t="n">
        <v>1</v>
      </c>
      <c r="E4613" s="108" t="n">
        <v>1882.43</v>
      </c>
      <c r="F4613" s="109">
        <f>IFERROR(D4613*E4613,0)</f>
        <v/>
      </c>
      <c r="G4613" s="106">
        <f>INDEX(SETORES!$B:$B,MATCH(A4613,SETORES!$A:$A,0))</f>
        <v/>
      </c>
      <c r="H4613" s="106" t="inlineStr">
        <is>
          <t>Dezembro/2026</t>
        </is>
      </c>
    </row>
    <row r="4614">
      <c r="A4614" s="106" t="inlineStr">
        <is>
          <t>NOC</t>
        </is>
      </c>
      <c r="B4614" s="106" t="inlineStr">
        <is>
          <t>Custo Fixo</t>
        </is>
      </c>
      <c r="C4614" s="106" t="inlineStr">
        <is>
          <t>Gympass</t>
        </is>
      </c>
      <c r="D4614" s="107" t="n"/>
      <c r="E4614" s="108" t="n"/>
      <c r="F4614" s="109">
        <f>IFERROR(D4614*E4614,0)</f>
        <v/>
      </c>
      <c r="G4614" s="106">
        <f>INDEX(SETORES!$B:$B,MATCH(A4614,SETORES!$A:$A,0))</f>
        <v/>
      </c>
      <c r="H4614" s="106" t="inlineStr">
        <is>
          <t>Dezembro/2026</t>
        </is>
      </c>
    </row>
    <row r="4615">
      <c r="A4615" s="106" t="inlineStr">
        <is>
          <t>NOC</t>
        </is>
      </c>
      <c r="B4615" s="106" t="inlineStr">
        <is>
          <t>Custo Fixo</t>
        </is>
      </c>
      <c r="C4615" s="106" t="inlineStr">
        <is>
          <t>Stargrid</t>
        </is>
      </c>
      <c r="D4615" s="107" t="n">
        <v>3</v>
      </c>
      <c r="E4615" s="108" t="n">
        <v>1.87</v>
      </c>
      <c r="F4615" s="109">
        <f>IFERROR(D4615*E4615,0)</f>
        <v/>
      </c>
      <c r="G4615" s="106">
        <f>INDEX(SETORES!$B:$B,MATCH(A4615,SETORES!$A:$A,0))</f>
        <v/>
      </c>
      <c r="H4615" s="106" t="inlineStr">
        <is>
          <t>Dezembro/2026</t>
        </is>
      </c>
    </row>
    <row r="4616">
      <c r="A4616" s="106" t="inlineStr">
        <is>
          <t>NRC</t>
        </is>
      </c>
      <c r="B4616" s="106" t="inlineStr">
        <is>
          <t>Custo Fixo</t>
        </is>
      </c>
      <c r="C4616" s="106" t="inlineStr">
        <is>
          <t>Material de escritório (suprimentos de informática)</t>
        </is>
      </c>
      <c r="D4616" s="107" t="n">
        <v>1</v>
      </c>
      <c r="E4616" s="108" t="n">
        <v>12.09</v>
      </c>
      <c r="F4616" s="109">
        <f>IFERROR(D4616*E4616,0)</f>
        <v/>
      </c>
      <c r="G4616" s="106">
        <f>INDEX(SETORES!$B:$B,MATCH(A4616,SETORES!$A:$A,0))</f>
        <v/>
      </c>
      <c r="H4616" s="106" t="inlineStr">
        <is>
          <t>Dezembro/2026</t>
        </is>
      </c>
    </row>
    <row r="4617">
      <c r="A4617" s="106" t="inlineStr">
        <is>
          <t>NRC</t>
        </is>
      </c>
      <c r="B4617" s="106" t="inlineStr">
        <is>
          <t>Custo Fixo</t>
        </is>
      </c>
      <c r="C4617" s="106" t="inlineStr">
        <is>
          <t>Material de uso coletivo (copa/limpeza)</t>
        </is>
      </c>
      <c r="D4617" s="107" t="n">
        <v>1</v>
      </c>
      <c r="E4617" s="108" t="n">
        <v>2123.29</v>
      </c>
      <c r="F4617" s="109">
        <f>IFERROR(D4617*E4617,0)</f>
        <v/>
      </c>
      <c r="G4617" s="106">
        <f>INDEX(SETORES!$B:$B,MATCH(A4617,SETORES!$A:$A,0))</f>
        <v/>
      </c>
      <c r="H4617" s="106" t="inlineStr">
        <is>
          <t>Dezembro/2026</t>
        </is>
      </c>
    </row>
    <row r="4618">
      <c r="A4618" s="106" t="inlineStr">
        <is>
          <t>NRC</t>
        </is>
      </c>
      <c r="B4618" s="106" t="inlineStr">
        <is>
          <t>Custo Fixo</t>
        </is>
      </c>
      <c r="C4618" s="106" t="inlineStr">
        <is>
          <t>Energia elétrica (rateio)</t>
        </is>
      </c>
      <c r="D4618" s="107" t="n"/>
      <c r="E4618" s="108" t="n"/>
      <c r="F4618" s="109">
        <f>IFERROR(D4618*E4618,0)</f>
        <v/>
      </c>
      <c r="G4618" s="106">
        <f>INDEX(SETORES!$B:$B,MATCH(A4618,SETORES!$A:$A,0))</f>
        <v/>
      </c>
      <c r="H4618" s="106" t="inlineStr">
        <is>
          <t>Dezembro/2026</t>
        </is>
      </c>
    </row>
    <row r="4619">
      <c r="A4619" s="106" t="inlineStr">
        <is>
          <t>NRC</t>
        </is>
      </c>
      <c r="B4619" s="106" t="inlineStr">
        <is>
          <t>Custo Fixo</t>
        </is>
      </c>
      <c r="C4619" s="106" t="inlineStr">
        <is>
          <t>Água e esgoto (rateio)</t>
        </is>
      </c>
      <c r="D4619" s="107" t="n"/>
      <c r="E4619" s="108" t="n"/>
      <c r="F4619" s="109">
        <f>IFERROR(D4619*E4619,0)</f>
        <v/>
      </c>
      <c r="G4619" s="106">
        <f>INDEX(SETORES!$B:$B,MATCH(A4619,SETORES!$A:$A,0))</f>
        <v/>
      </c>
      <c r="H4619" s="106" t="inlineStr">
        <is>
          <t>Dezembro/2026</t>
        </is>
      </c>
    </row>
    <row r="4620">
      <c r="A4620" s="106" t="inlineStr">
        <is>
          <t>NRC</t>
        </is>
      </c>
      <c r="B4620" s="106" t="inlineStr">
        <is>
          <t>Custo Fixo</t>
        </is>
      </c>
      <c r="C4620" s="106" t="inlineStr">
        <is>
          <t>Telefonia móvel corporativa</t>
        </is>
      </c>
      <c r="D4620" s="107" t="n"/>
      <c r="E4620" s="108" t="n"/>
      <c r="F4620" s="109">
        <f>IFERROR(D4620*E4620,0)</f>
        <v/>
      </c>
      <c r="G4620" s="106">
        <f>INDEX(SETORES!$B:$B,MATCH(A4620,SETORES!$A:$A,0))</f>
        <v/>
      </c>
      <c r="H4620" s="106" t="inlineStr">
        <is>
          <t>Dezembro/2026</t>
        </is>
      </c>
    </row>
    <row r="4621">
      <c r="A4621" s="106" t="inlineStr">
        <is>
          <t>NRC</t>
        </is>
      </c>
      <c r="B4621" s="106" t="inlineStr">
        <is>
          <t>Custo Fixo</t>
        </is>
      </c>
      <c r="C4621" s="106" t="inlineStr">
        <is>
          <t>Folha de pagamento (salários)</t>
        </is>
      </c>
      <c r="D4621" s="107" t="n">
        <v>1</v>
      </c>
      <c r="E4621" s="108" t="n">
        <v>145351.16</v>
      </c>
      <c r="F4621" s="109">
        <f>IFERROR(D4621*E4621,0)</f>
        <v/>
      </c>
      <c r="G4621" s="106">
        <f>INDEX(SETORES!$B:$B,MATCH(A4621,SETORES!$A:$A,0))</f>
        <v/>
      </c>
      <c r="H4621" s="106" t="inlineStr">
        <is>
          <t>Dezembro/2026</t>
        </is>
      </c>
    </row>
    <row r="4622">
      <c r="A4622" s="106" t="inlineStr">
        <is>
          <t>NRC</t>
        </is>
      </c>
      <c r="B4622" s="106" t="inlineStr">
        <is>
          <t>Custo Fixo</t>
        </is>
      </c>
      <c r="C4622" s="106" t="inlineStr">
        <is>
          <t>Licenças de software/sistemas corporativos</t>
        </is>
      </c>
      <c r="D4622" s="107" t="n"/>
      <c r="E4622" s="108" t="n"/>
      <c r="F4622" s="109">
        <f>IFERROR(D4622*E4622,0)</f>
        <v/>
      </c>
      <c r="G4622" s="106">
        <f>INDEX(SETORES!$B:$B,MATCH(A4622,SETORES!$A:$A,0))</f>
        <v/>
      </c>
      <c r="H4622" s="106" t="inlineStr">
        <is>
          <t>Dezembro/2026</t>
        </is>
      </c>
    </row>
    <row r="4623">
      <c r="A4623" s="106" t="inlineStr">
        <is>
          <t>NRC</t>
        </is>
      </c>
      <c r="B4623" s="106" t="inlineStr">
        <is>
          <t>Custo Variável</t>
        </is>
      </c>
      <c r="C4623" s="106" t="inlineStr">
        <is>
          <t>Fardamento novo</t>
        </is>
      </c>
      <c r="D4623" s="107" t="n"/>
      <c r="E4623" s="108" t="n"/>
      <c r="F4623" s="109">
        <f>IFERROR(D4623*E4623,0)</f>
        <v/>
      </c>
      <c r="G4623" s="106">
        <f>INDEX(SETORES!$B:$B,MATCH(A4623,SETORES!$A:$A,0))</f>
        <v/>
      </c>
      <c r="H4623" s="106" t="inlineStr">
        <is>
          <t>Dezembro/2026</t>
        </is>
      </c>
    </row>
    <row r="4624">
      <c r="A4624" s="106" t="inlineStr">
        <is>
          <t>NRC</t>
        </is>
      </c>
      <c r="B4624" s="106" t="inlineStr">
        <is>
          <t>Custo Variável</t>
        </is>
      </c>
      <c r="C4624" s="106" t="inlineStr">
        <is>
          <t>Fardamento substituição</t>
        </is>
      </c>
      <c r="D4624" s="107" t="n"/>
      <c r="E4624" s="108" t="n"/>
      <c r="F4624" s="109">
        <f>IFERROR(D4624*E4624,0)</f>
        <v/>
      </c>
      <c r="G4624" s="106">
        <f>INDEX(SETORES!$B:$B,MATCH(A4624,SETORES!$A:$A,0))</f>
        <v/>
      </c>
      <c r="H4624" s="106" t="inlineStr">
        <is>
          <t>Dezembro/2026</t>
        </is>
      </c>
    </row>
    <row r="4625">
      <c r="A4625" s="106" t="inlineStr">
        <is>
          <t>NRC</t>
        </is>
      </c>
      <c r="B4625" s="106" t="inlineStr">
        <is>
          <t>Custo Variável</t>
        </is>
      </c>
      <c r="C4625" s="106" t="inlineStr">
        <is>
          <t>Rescisões trabalhistas</t>
        </is>
      </c>
      <c r="D4625" s="107" t="n"/>
      <c r="E4625" s="108" t="n"/>
      <c r="F4625" s="109">
        <f>IFERROR(D4625*E4625,0)</f>
        <v/>
      </c>
      <c r="G4625" s="106">
        <f>INDEX(SETORES!$B:$B,MATCH(A4625,SETORES!$A:$A,0))</f>
        <v/>
      </c>
      <c r="H4625" s="106" t="inlineStr">
        <is>
          <t>Dezembro/2026</t>
        </is>
      </c>
    </row>
    <row r="4626">
      <c r="A4626" s="106" t="inlineStr">
        <is>
          <t>NRC</t>
        </is>
      </c>
      <c r="B4626" s="106" t="inlineStr">
        <is>
          <t>Custo Fixo</t>
        </is>
      </c>
      <c r="C4626" s="106" t="inlineStr">
        <is>
          <t>Licença de e-mail corporativo</t>
        </is>
      </c>
      <c r="D4626" s="107" t="n">
        <v>42</v>
      </c>
      <c r="E4626" s="108" t="n">
        <v>50</v>
      </c>
      <c r="F4626" s="109">
        <f>IFERROR(D4626*E4626,0)</f>
        <v/>
      </c>
      <c r="G4626" s="106">
        <f>INDEX(SETORES!$B:$B,MATCH(A4626,SETORES!$A:$A,0))</f>
        <v/>
      </c>
      <c r="H4626" s="106" t="inlineStr">
        <is>
          <t>Dezembro/2026</t>
        </is>
      </c>
    </row>
    <row r="4627">
      <c r="A4627" s="106" t="inlineStr">
        <is>
          <t>NRC</t>
        </is>
      </c>
      <c r="B4627" s="106" t="inlineStr">
        <is>
          <t>Custo Fixo</t>
        </is>
      </c>
      <c r="C4627" s="106" t="inlineStr">
        <is>
          <t>Software MATRIX (rateio equipe Relacionamento)</t>
        </is>
      </c>
      <c r="D4627" s="107" t="n"/>
      <c r="E4627" s="108" t="n"/>
      <c r="F4627" s="109">
        <f>IFERROR(D4627*E4627,0)</f>
        <v/>
      </c>
      <c r="G4627" s="106">
        <f>INDEX(SETORES!$B:$B,MATCH(A4627,SETORES!$A:$A,0))</f>
        <v/>
      </c>
      <c r="H4627" s="106" t="inlineStr">
        <is>
          <t>Dezembro/2026</t>
        </is>
      </c>
    </row>
    <row r="4628">
      <c r="A4628" s="106" t="inlineStr">
        <is>
          <t>NRC</t>
        </is>
      </c>
      <c r="B4628" s="106" t="inlineStr">
        <is>
          <t>Custo Fixo</t>
        </is>
      </c>
      <c r="C4628" s="106" t="inlineStr">
        <is>
          <t>Impressora (rateio equipe Relacionamento)</t>
        </is>
      </c>
      <c r="D4628" s="107" t="n"/>
      <c r="E4628" s="108" t="n"/>
      <c r="F4628" s="109">
        <f>IFERROR(D4628*E4628,0)</f>
        <v/>
      </c>
      <c r="G4628" s="106">
        <f>INDEX(SETORES!$B:$B,MATCH(A4628,SETORES!$A:$A,0))</f>
        <v/>
      </c>
      <c r="H4628" s="106" t="inlineStr">
        <is>
          <t>Dezembro/2026</t>
        </is>
      </c>
    </row>
    <row r="4629">
      <c r="A4629" s="106" t="inlineStr">
        <is>
          <t>NRC</t>
        </is>
      </c>
      <c r="B4629" s="106" t="inlineStr">
        <is>
          <t>Custo Fixo</t>
        </is>
      </c>
      <c r="C4629" s="106" t="inlineStr">
        <is>
          <t>Gympass</t>
        </is>
      </c>
      <c r="D4629" s="107" t="n"/>
      <c r="E4629" s="108" t="n"/>
      <c r="F4629" s="109">
        <f>IFERROR(D4629*E4629,0)</f>
        <v/>
      </c>
      <c r="G4629" s="106">
        <f>INDEX(SETORES!$B:$B,MATCH(A4629,SETORES!$A:$A,0))</f>
        <v/>
      </c>
      <c r="H4629" s="106" t="inlineStr">
        <is>
          <t>Dezembro/2026</t>
        </is>
      </c>
    </row>
    <row r="4630">
      <c r="A4630" s="106" t="inlineStr">
        <is>
          <t>NRC</t>
        </is>
      </c>
      <c r="B4630" s="106" t="inlineStr">
        <is>
          <t>Custo Fixo</t>
        </is>
      </c>
      <c r="C4630" s="106" t="inlineStr">
        <is>
          <t>Stargrid</t>
        </is>
      </c>
      <c r="D4630" s="107" t="n">
        <v>42</v>
      </c>
      <c r="E4630" s="108" t="n">
        <v>1.87</v>
      </c>
      <c r="F4630" s="109">
        <f>IFERROR(D4630*E4630,0)</f>
        <v/>
      </c>
      <c r="G4630" s="106">
        <f>INDEX(SETORES!$B:$B,MATCH(A4630,SETORES!$A:$A,0))</f>
        <v/>
      </c>
      <c r="H4630" s="106" t="inlineStr">
        <is>
          <t>Dezembro/2026</t>
        </is>
      </c>
    </row>
    <row r="4631">
      <c r="A4631" s="106" t="inlineStr">
        <is>
          <t>Obras</t>
        </is>
      </c>
      <c r="B4631" s="106" t="inlineStr">
        <is>
          <t>Custo Fixo</t>
        </is>
      </c>
      <c r="C4631" s="106" t="inlineStr">
        <is>
          <t>Telefonia móvel corporativa</t>
        </is>
      </c>
      <c r="D4631" s="107" t="n"/>
      <c r="E4631" s="108" t="n"/>
      <c r="F4631" s="109">
        <f>IFERROR(D4631*E4631,0)</f>
        <v/>
      </c>
      <c r="G4631" s="106">
        <f>INDEX(SETORES!$B:$B,MATCH(A4631,SETORES!$A:$A,0))</f>
        <v/>
      </c>
      <c r="H4631" s="106" t="inlineStr">
        <is>
          <t>Dezembro/2026</t>
        </is>
      </c>
    </row>
    <row r="4632">
      <c r="A4632" s="106" t="inlineStr">
        <is>
          <t>Obras</t>
        </is>
      </c>
      <c r="B4632" s="106" t="inlineStr">
        <is>
          <t>Custo Fixo</t>
        </is>
      </c>
      <c r="C4632" s="106" t="inlineStr">
        <is>
          <t>Folha de pagamento (salários)</t>
        </is>
      </c>
      <c r="D4632" s="107" t="n">
        <v>1</v>
      </c>
      <c r="E4632" s="108" t="n">
        <v>155833.72</v>
      </c>
      <c r="F4632" s="109">
        <f>IFERROR(D4632*E4632,0)</f>
        <v/>
      </c>
      <c r="G4632" s="106">
        <f>INDEX(SETORES!$B:$B,MATCH(A4632,SETORES!$A:$A,0))</f>
        <v/>
      </c>
      <c r="H4632" s="106" t="inlineStr">
        <is>
          <t>Dezembro/2026</t>
        </is>
      </c>
    </row>
    <row r="4633">
      <c r="A4633" s="106" t="inlineStr">
        <is>
          <t>Obras</t>
        </is>
      </c>
      <c r="B4633" s="106" t="inlineStr">
        <is>
          <t>Custo Variável</t>
        </is>
      </c>
      <c r="C4633" s="106" t="inlineStr">
        <is>
          <t>Investimento de equipamentos (não patrimoniável)</t>
        </is>
      </c>
      <c r="D4633" s="107" t="n"/>
      <c r="E4633" s="108" t="n"/>
      <c r="F4633" s="109">
        <f>IFERROR(D4633*E4633,0)</f>
        <v/>
      </c>
      <c r="G4633" s="106">
        <f>INDEX(SETORES!$B:$B,MATCH(A4633,SETORES!$A:$A,0))</f>
        <v/>
      </c>
      <c r="H4633" s="106" t="inlineStr">
        <is>
          <t>Dezembro/2026</t>
        </is>
      </c>
    </row>
    <row r="4634">
      <c r="A4634" s="106" t="inlineStr">
        <is>
          <t>Obras</t>
        </is>
      </c>
      <c r="B4634" s="106" t="inlineStr">
        <is>
          <t>Custo Variável</t>
        </is>
      </c>
      <c r="C4634" s="106" t="inlineStr">
        <is>
          <t>EPIs - Equipamento de Proteção Individual</t>
        </is>
      </c>
      <c r="D4634" s="107" t="n"/>
      <c r="E4634" s="108" t="n"/>
      <c r="F4634" s="109">
        <f>IFERROR(D4634*E4634,0)</f>
        <v/>
      </c>
      <c r="G4634" s="106">
        <f>INDEX(SETORES!$B:$B,MATCH(A4634,SETORES!$A:$A,0))</f>
        <v/>
      </c>
      <c r="H4634" s="106" t="inlineStr">
        <is>
          <t>Dezembro/2026</t>
        </is>
      </c>
    </row>
    <row r="4635">
      <c r="A4635" s="106" t="inlineStr">
        <is>
          <t>Obras</t>
        </is>
      </c>
      <c r="B4635" s="106" t="inlineStr">
        <is>
          <t>Custo Variável</t>
        </is>
      </c>
      <c r="C4635" s="106" t="inlineStr">
        <is>
          <t>Rescisões trabalhistas</t>
        </is>
      </c>
      <c r="D4635" s="107" t="n"/>
      <c r="E4635" s="108" t="n"/>
      <c r="F4635" s="109">
        <f>IFERROR(D4635*E4635,0)</f>
        <v/>
      </c>
      <c r="G4635" s="106">
        <f>INDEX(SETORES!$B:$B,MATCH(A4635,SETORES!$A:$A,0))</f>
        <v/>
      </c>
      <c r="H4635" s="106" t="inlineStr">
        <is>
          <t>Dezembro/2026</t>
        </is>
      </c>
    </row>
    <row r="4636">
      <c r="A4636" s="106" t="inlineStr">
        <is>
          <t>Obras</t>
        </is>
      </c>
      <c r="B4636" s="106" t="inlineStr">
        <is>
          <t>Custo Fixo</t>
        </is>
      </c>
      <c r="C4636" s="106" t="inlineStr">
        <is>
          <t>Licença de e-mail corporativo</t>
        </is>
      </c>
      <c r="D4636" s="107" t="n">
        <v>24</v>
      </c>
      <c r="E4636" s="108" t="n">
        <v>50</v>
      </c>
      <c r="F4636" s="109">
        <f>IFERROR(D4636*E4636,0)</f>
        <v/>
      </c>
      <c r="G4636" s="106">
        <f>INDEX(SETORES!$B:$B,MATCH(A4636,SETORES!$A:$A,0))</f>
        <v/>
      </c>
      <c r="H4636" s="106" t="inlineStr">
        <is>
          <t>Dezembro/2026</t>
        </is>
      </c>
    </row>
    <row r="4637">
      <c r="A4637" s="106" t="inlineStr">
        <is>
          <t>Obras</t>
        </is>
      </c>
      <c r="B4637" s="106" t="inlineStr">
        <is>
          <t>Custo Variável</t>
        </is>
      </c>
      <c r="C4637" s="106" t="inlineStr">
        <is>
          <t>Combustível de frota</t>
        </is>
      </c>
      <c r="D4637" s="107" t="n">
        <v>1</v>
      </c>
      <c r="E4637" s="108" t="n">
        <v>11761.57</v>
      </c>
      <c r="F4637" s="109">
        <f>IFERROR(D4637*E4637,0)</f>
        <v/>
      </c>
      <c r="G4637" s="106">
        <f>INDEX(SETORES!$B:$B,MATCH(A4637,SETORES!$A:$A,0))</f>
        <v/>
      </c>
      <c r="H4637" s="106" t="inlineStr">
        <is>
          <t>Dezembro/2026</t>
        </is>
      </c>
    </row>
    <row r="4638">
      <c r="A4638" s="106" t="inlineStr">
        <is>
          <t>Obras</t>
        </is>
      </c>
      <c r="B4638" s="106" t="inlineStr">
        <is>
          <t>Custo Fixo</t>
        </is>
      </c>
      <c r="C4638" s="106" t="inlineStr">
        <is>
          <t>Gympass</t>
        </is>
      </c>
      <c r="D4638" s="107" t="n"/>
      <c r="E4638" s="108" t="n"/>
      <c r="F4638" s="109">
        <f>IFERROR(D4638*E4638,0)</f>
        <v/>
      </c>
      <c r="G4638" s="106">
        <f>INDEX(SETORES!$B:$B,MATCH(A4638,SETORES!$A:$A,0))</f>
        <v/>
      </c>
      <c r="H4638" s="106" t="inlineStr">
        <is>
          <t>Dezembro/2026</t>
        </is>
      </c>
    </row>
    <row r="4639">
      <c r="A4639" s="106" t="inlineStr">
        <is>
          <t>Obras</t>
        </is>
      </c>
      <c r="B4639" s="106" t="inlineStr">
        <is>
          <t>Custo Fixo</t>
        </is>
      </c>
      <c r="C4639" s="106" t="inlineStr">
        <is>
          <t>Stargrid</t>
        </is>
      </c>
      <c r="D4639" s="107" t="n">
        <v>24</v>
      </c>
      <c r="E4639" s="108" t="n">
        <v>1.87</v>
      </c>
      <c r="F4639" s="109">
        <f>IFERROR(D4639*E4639,0)</f>
        <v/>
      </c>
      <c r="G4639" s="106">
        <f>INDEX(SETORES!$B:$B,MATCH(A4639,SETORES!$A:$A,0))</f>
        <v/>
      </c>
      <c r="H4639" s="106" t="inlineStr">
        <is>
          <t>Dezembro/2026</t>
        </is>
      </c>
    </row>
    <row r="4640">
      <c r="A4640" s="106" t="inlineStr">
        <is>
          <t>Oficina</t>
        </is>
      </c>
      <c r="B4640" s="106" t="inlineStr">
        <is>
          <t>Custo Fixo</t>
        </is>
      </c>
      <c r="C4640" s="106" t="inlineStr">
        <is>
          <t>Material de escritório (suprimentos de informática)</t>
        </is>
      </c>
      <c r="D4640" s="107" t="n"/>
      <c r="E4640" s="108" t="n"/>
      <c r="F4640" s="109">
        <f>IFERROR(D4640*E4640,0)</f>
        <v/>
      </c>
      <c r="G4640" s="106">
        <f>INDEX(SETORES!$B:$B,MATCH(A4640,SETORES!$A:$A,0))</f>
        <v/>
      </c>
      <c r="H4640" s="106" t="inlineStr">
        <is>
          <t>Dezembro/2026</t>
        </is>
      </c>
    </row>
    <row r="4641">
      <c r="A4641" s="106" t="inlineStr">
        <is>
          <t>Oficina</t>
        </is>
      </c>
      <c r="B4641" s="106" t="inlineStr">
        <is>
          <t>Custo Fixo</t>
        </is>
      </c>
      <c r="C4641" s="106" t="inlineStr">
        <is>
          <t>Material de uso coletivo (copa/limpeza)</t>
        </is>
      </c>
      <c r="D4641" s="107" t="n"/>
      <c r="E4641" s="108" t="n"/>
      <c r="F4641" s="109">
        <f>IFERROR(D4641*E4641,0)</f>
        <v/>
      </c>
      <c r="G4641" s="106">
        <f>INDEX(SETORES!$B:$B,MATCH(A4641,SETORES!$A:$A,0))</f>
        <v/>
      </c>
      <c r="H4641" s="106" t="inlineStr">
        <is>
          <t>Dezembro/2026</t>
        </is>
      </c>
    </row>
    <row r="4642">
      <c r="A4642" s="106" t="inlineStr">
        <is>
          <t>Oficina</t>
        </is>
      </c>
      <c r="B4642" s="106" t="inlineStr">
        <is>
          <t>Custo Fixo</t>
        </is>
      </c>
      <c r="C4642" s="106" t="inlineStr">
        <is>
          <t>Software da oficina (soutech soluções)</t>
        </is>
      </c>
      <c r="D4642" s="107" t="n">
        <v>1</v>
      </c>
      <c r="E4642" s="108" t="n">
        <v>1800</v>
      </c>
      <c r="F4642" s="109">
        <f>IFERROR(D4642*E4642,0)</f>
        <v/>
      </c>
      <c r="G4642" s="106">
        <f>INDEX(SETORES!$B:$B,MATCH(A4642,SETORES!$A:$A,0))</f>
        <v/>
      </c>
      <c r="H4642" s="106" t="inlineStr">
        <is>
          <t>Dezembro/2026</t>
        </is>
      </c>
    </row>
    <row r="4643">
      <c r="A4643" s="106" t="inlineStr">
        <is>
          <t>Oficina</t>
        </is>
      </c>
      <c r="B4643" s="106" t="inlineStr">
        <is>
          <t>Custo Fixo</t>
        </is>
      </c>
      <c r="C4643" s="106" t="inlineStr">
        <is>
          <t>Energia elétrica (rateio)</t>
        </is>
      </c>
      <c r="D4643" s="107" t="n"/>
      <c r="E4643" s="108" t="n"/>
      <c r="F4643" s="109">
        <f>IFERROR(D4643*E4643,0)</f>
        <v/>
      </c>
      <c r="G4643" s="106">
        <f>INDEX(SETORES!$B:$B,MATCH(A4643,SETORES!$A:$A,0))</f>
        <v/>
      </c>
      <c r="H4643" s="106" t="inlineStr">
        <is>
          <t>Dezembro/2026</t>
        </is>
      </c>
    </row>
    <row r="4644">
      <c r="A4644" s="106" t="inlineStr">
        <is>
          <t>Oficina</t>
        </is>
      </c>
      <c r="B4644" s="106" t="inlineStr">
        <is>
          <t>Custo Fixo</t>
        </is>
      </c>
      <c r="C4644" s="106" t="inlineStr">
        <is>
          <t>Água e esgoto (rateio)</t>
        </is>
      </c>
      <c r="D4644" s="107" t="n"/>
      <c r="E4644" s="108" t="n"/>
      <c r="F4644" s="109">
        <f>IFERROR(D4644*E4644,0)</f>
        <v/>
      </c>
      <c r="G4644" s="106">
        <f>INDEX(SETORES!$B:$B,MATCH(A4644,SETORES!$A:$A,0))</f>
        <v/>
      </c>
      <c r="H4644" s="106" t="inlineStr">
        <is>
          <t>Dezembro/2026</t>
        </is>
      </c>
    </row>
    <row r="4645">
      <c r="A4645" s="106" t="inlineStr">
        <is>
          <t>Oficina</t>
        </is>
      </c>
      <c r="B4645" s="106" t="inlineStr">
        <is>
          <t>Custo Fixo</t>
        </is>
      </c>
      <c r="C4645" s="106" t="inlineStr">
        <is>
          <t>Telefonia móvel corporativa</t>
        </is>
      </c>
      <c r="D4645" s="107" t="n"/>
      <c r="E4645" s="108" t="n"/>
      <c r="F4645" s="109">
        <f>IFERROR(D4645*E4645,0)</f>
        <v/>
      </c>
      <c r="G4645" s="106">
        <f>INDEX(SETORES!$B:$B,MATCH(A4645,SETORES!$A:$A,0))</f>
        <v/>
      </c>
      <c r="H4645" s="106" t="inlineStr">
        <is>
          <t>Dezembro/2026</t>
        </is>
      </c>
    </row>
    <row r="4646">
      <c r="A4646" s="106" t="inlineStr">
        <is>
          <t>Oficina</t>
        </is>
      </c>
      <c r="B4646" s="106" t="inlineStr">
        <is>
          <t>Custo Fixo</t>
        </is>
      </c>
      <c r="C4646" s="106" t="inlineStr">
        <is>
          <t>Folha de pagamento (salários)</t>
        </is>
      </c>
      <c r="D4646" s="107" t="n">
        <v>1</v>
      </c>
      <c r="E4646" s="108" t="n">
        <v>25793.59</v>
      </c>
      <c r="F4646" s="109">
        <f>IFERROR(D4646*E4646,0)</f>
        <v/>
      </c>
      <c r="G4646" s="106">
        <f>INDEX(SETORES!$B:$B,MATCH(A4646,SETORES!$A:$A,0))</f>
        <v/>
      </c>
      <c r="H4646" s="106" t="inlineStr">
        <is>
          <t>Dezembro/2026</t>
        </is>
      </c>
    </row>
    <row r="4647">
      <c r="A4647" s="106" t="inlineStr">
        <is>
          <t>Oficina</t>
        </is>
      </c>
      <c r="B4647" s="106" t="inlineStr">
        <is>
          <t>Custo Variável</t>
        </is>
      </c>
      <c r="C4647" s="106" t="inlineStr">
        <is>
          <t>Combustível de frota</t>
        </is>
      </c>
      <c r="D4647" s="107" t="n"/>
      <c r="E4647" s="108" t="n"/>
      <c r="F4647" s="109">
        <f>IFERROR(D4647*E4647,0)</f>
        <v/>
      </c>
      <c r="G4647" s="106">
        <f>INDEX(SETORES!$B:$B,MATCH(A4647,SETORES!$A:$A,0))</f>
        <v/>
      </c>
      <c r="H4647" s="106" t="inlineStr">
        <is>
          <t>Dezembro/2026</t>
        </is>
      </c>
    </row>
    <row r="4648">
      <c r="A4648" s="106" t="inlineStr">
        <is>
          <t>Oficina</t>
        </is>
      </c>
      <c r="B4648" s="106" t="inlineStr">
        <is>
          <t>Custo Variável</t>
        </is>
      </c>
      <c r="C4648" s="106" t="inlineStr">
        <is>
          <t>Manutenção de veículos</t>
        </is>
      </c>
      <c r="D4648" s="107" t="n"/>
      <c r="E4648" s="108" t="n"/>
      <c r="F4648" s="109">
        <f>IFERROR(D4648*E4648,0)</f>
        <v/>
      </c>
      <c r="G4648" s="106">
        <f>INDEX(SETORES!$B:$B,MATCH(A4648,SETORES!$A:$A,0))</f>
        <v/>
      </c>
      <c r="H4648" s="106" t="inlineStr">
        <is>
          <t>Dezembro/2026</t>
        </is>
      </c>
    </row>
    <row r="4649">
      <c r="A4649" s="106" t="inlineStr">
        <is>
          <t>Oficina</t>
        </is>
      </c>
      <c r="B4649" s="106" t="inlineStr">
        <is>
          <t>Custo Variável</t>
        </is>
      </c>
      <c r="C4649" s="106" t="inlineStr">
        <is>
          <t>Rateio de transporte coletivo</t>
        </is>
      </c>
      <c r="D4649" s="107" t="n"/>
      <c r="E4649" s="108" t="n"/>
      <c r="F4649" s="109">
        <f>IFERROR(D4649*E4649,0)</f>
        <v/>
      </c>
      <c r="G4649" s="106">
        <f>INDEX(SETORES!$B:$B,MATCH(A4649,SETORES!$A:$A,0))</f>
        <v/>
      </c>
      <c r="H4649" s="106" t="inlineStr">
        <is>
          <t>Dezembro/2026</t>
        </is>
      </c>
    </row>
    <row r="4650">
      <c r="A4650" s="106" t="inlineStr">
        <is>
          <t>Oficina</t>
        </is>
      </c>
      <c r="B4650" s="106" t="inlineStr">
        <is>
          <t>Custo Fixo</t>
        </is>
      </c>
      <c r="C4650" s="106" t="inlineStr">
        <is>
          <t>Gympass</t>
        </is>
      </c>
      <c r="D4650" s="107" t="n"/>
      <c r="E4650" s="108" t="n"/>
      <c r="F4650" s="109">
        <f>IFERROR(D4650*E4650,0)</f>
        <v/>
      </c>
      <c r="G4650" s="106">
        <f>INDEX(SETORES!$B:$B,MATCH(A4650,SETORES!$A:$A,0))</f>
        <v/>
      </c>
      <c r="H4650" s="106" t="inlineStr">
        <is>
          <t>Dezembro/2026</t>
        </is>
      </c>
    </row>
    <row r="4651">
      <c r="A4651" s="106" t="inlineStr">
        <is>
          <t>Oficina</t>
        </is>
      </c>
      <c r="B4651" s="106" t="inlineStr">
        <is>
          <t>Custo Fixo</t>
        </is>
      </c>
      <c r="C4651" s="106" t="inlineStr">
        <is>
          <t>Stargrid</t>
        </is>
      </c>
      <c r="D4651" s="107" t="n">
        <v>4</v>
      </c>
      <c r="E4651" s="108" t="n">
        <v>1.87</v>
      </c>
      <c r="F4651" s="109">
        <f>IFERROR(D4651*E4651,0)</f>
        <v/>
      </c>
      <c r="G4651" s="106">
        <f>INDEX(SETORES!$B:$B,MATCH(A4651,SETORES!$A:$A,0))</f>
        <v/>
      </c>
      <c r="H4651" s="106" t="inlineStr">
        <is>
          <t>Dezembro/2026</t>
        </is>
      </c>
    </row>
    <row r="4652">
      <c r="A4652" s="106" t="inlineStr">
        <is>
          <t>RH</t>
        </is>
      </c>
      <c r="B4652" s="106" t="inlineStr">
        <is>
          <t>Custo Fixo</t>
        </is>
      </c>
      <c r="C4652" s="106" t="inlineStr">
        <is>
          <t>Material de escritório (suprimentos de informática)</t>
        </is>
      </c>
      <c r="D4652" s="107" t="n">
        <v>1</v>
      </c>
      <c r="E4652" s="108" t="n">
        <v>9.85</v>
      </c>
      <c r="F4652" s="109">
        <f>IFERROR(D4652*E4652,0)</f>
        <v/>
      </c>
      <c r="G4652" s="106">
        <f>INDEX(SETORES!$B:$B,MATCH(A4652,SETORES!$A:$A,0))</f>
        <v/>
      </c>
      <c r="H4652" s="106" t="inlineStr">
        <is>
          <t>Dezembro/2026</t>
        </is>
      </c>
    </row>
    <row r="4653">
      <c r="A4653" s="106" t="inlineStr">
        <is>
          <t>RH</t>
        </is>
      </c>
      <c r="B4653" s="106" t="inlineStr">
        <is>
          <t>Custo Fixo</t>
        </is>
      </c>
      <c r="C4653" s="106" t="inlineStr">
        <is>
          <t>Material de uso coletivo (copa/limpeza)</t>
        </is>
      </c>
      <c r="D4653" s="107" t="n">
        <v>1</v>
      </c>
      <c r="E4653" s="108" t="n">
        <v>167.98</v>
      </c>
      <c r="F4653" s="109">
        <f>IFERROR(D4653*E4653,0)</f>
        <v/>
      </c>
      <c r="G4653" s="106">
        <f>INDEX(SETORES!$B:$B,MATCH(A4653,SETORES!$A:$A,0))</f>
        <v/>
      </c>
      <c r="H4653" s="106" t="inlineStr">
        <is>
          <t>Dezembro/2026</t>
        </is>
      </c>
    </row>
    <row r="4654">
      <c r="A4654" s="106" t="inlineStr">
        <is>
          <t>RH</t>
        </is>
      </c>
      <c r="B4654" s="106" t="inlineStr">
        <is>
          <t>Custo Fixo</t>
        </is>
      </c>
      <c r="C4654" s="106" t="inlineStr">
        <is>
          <t>Energia elétrica (rateio)</t>
        </is>
      </c>
      <c r="D4654" s="107" t="n"/>
      <c r="E4654" s="108" t="n"/>
      <c r="F4654" s="109">
        <f>IFERROR(D4654*E4654,0)</f>
        <v/>
      </c>
      <c r="G4654" s="106">
        <f>INDEX(SETORES!$B:$B,MATCH(A4654,SETORES!$A:$A,0))</f>
        <v/>
      </c>
      <c r="H4654" s="106" t="inlineStr">
        <is>
          <t>Dezembro/2026</t>
        </is>
      </c>
    </row>
    <row r="4655">
      <c r="A4655" s="106" t="inlineStr">
        <is>
          <t>RH</t>
        </is>
      </c>
      <c r="B4655" s="106" t="inlineStr">
        <is>
          <t>Custo Fixo</t>
        </is>
      </c>
      <c r="C4655" s="106" t="inlineStr">
        <is>
          <t>Água e esgoto (rateio)</t>
        </is>
      </c>
      <c r="D4655" s="107" t="n"/>
      <c r="E4655" s="108" t="n"/>
      <c r="F4655" s="109">
        <f>IFERROR(D4655*E4655,0)</f>
        <v/>
      </c>
      <c r="G4655" s="106">
        <f>INDEX(SETORES!$B:$B,MATCH(A4655,SETORES!$A:$A,0))</f>
        <v/>
      </c>
      <c r="H4655" s="106" t="inlineStr">
        <is>
          <t>Dezembro/2026</t>
        </is>
      </c>
    </row>
    <row r="4656">
      <c r="A4656" s="106" t="inlineStr">
        <is>
          <t>RH</t>
        </is>
      </c>
      <c r="B4656" s="106" t="inlineStr">
        <is>
          <t>Custo Fixo</t>
        </is>
      </c>
      <c r="C4656" s="106" t="inlineStr">
        <is>
          <t>Telefonia móvel corporativa</t>
        </is>
      </c>
      <c r="D4656" s="107" t="n"/>
      <c r="E4656" s="108" t="n"/>
      <c r="F4656" s="109">
        <f>IFERROR(D4656*E4656,0)</f>
        <v/>
      </c>
      <c r="G4656" s="106">
        <f>INDEX(SETORES!$B:$B,MATCH(A4656,SETORES!$A:$A,0))</f>
        <v/>
      </c>
      <c r="H4656" s="106" t="inlineStr">
        <is>
          <t>Dezembro/2026</t>
        </is>
      </c>
    </row>
    <row r="4657">
      <c r="A4657" s="106" t="inlineStr">
        <is>
          <t>RH</t>
        </is>
      </c>
      <c r="B4657" s="106" t="inlineStr">
        <is>
          <t>Custo Fixo</t>
        </is>
      </c>
      <c r="C4657" s="106" t="inlineStr">
        <is>
          <t>Folha de pagamento (salários)</t>
        </is>
      </c>
      <c r="D4657" s="107" t="n">
        <v>1</v>
      </c>
      <c r="E4657" s="108" t="n">
        <v>30326.87</v>
      </c>
      <c r="F4657" s="109">
        <f>IFERROR(D4657*E4657,0)</f>
        <v/>
      </c>
      <c r="G4657" s="106">
        <f>INDEX(SETORES!$B:$B,MATCH(A4657,SETORES!$A:$A,0))</f>
        <v/>
      </c>
      <c r="H4657" s="106" t="inlineStr">
        <is>
          <t>Dezembro/2026</t>
        </is>
      </c>
    </row>
    <row r="4658">
      <c r="A4658" s="106" t="inlineStr">
        <is>
          <t>RH</t>
        </is>
      </c>
      <c r="B4658" s="106" t="inlineStr">
        <is>
          <t>Custo Variável</t>
        </is>
      </c>
      <c r="C4658" s="106" t="inlineStr">
        <is>
          <t>Fardamento novo (compra corporativa)</t>
        </is>
      </c>
      <c r="D4658" s="107" t="n"/>
      <c r="E4658" s="108" t="n"/>
      <c r="F4658" s="109">
        <f>IFERROR(D4658*E4658,0)</f>
        <v/>
      </c>
      <c r="G4658" s="106">
        <f>INDEX(SETORES!$B:$B,MATCH(A4658,SETORES!$A:$A,0))</f>
        <v/>
      </c>
      <c r="H4658" s="106" t="inlineStr">
        <is>
          <t>Dezembro/2026</t>
        </is>
      </c>
    </row>
    <row r="4659">
      <c r="A4659" s="106" t="inlineStr">
        <is>
          <t>RH</t>
        </is>
      </c>
      <c r="B4659" s="106" t="inlineStr">
        <is>
          <t>Custo Variável</t>
        </is>
      </c>
      <c r="C4659" s="106" t="inlineStr">
        <is>
          <t>Fardamento substituição (compra corporativa)</t>
        </is>
      </c>
      <c r="D4659" s="107" t="n"/>
      <c r="E4659" s="108" t="n"/>
      <c r="F4659" s="109">
        <f>IFERROR(D4659*E4659,0)</f>
        <v/>
      </c>
      <c r="G4659" s="106">
        <f>INDEX(SETORES!$B:$B,MATCH(A4659,SETORES!$A:$A,0))</f>
        <v/>
      </c>
      <c r="H4659" s="106" t="inlineStr">
        <is>
          <t>Dezembro/2026</t>
        </is>
      </c>
    </row>
    <row r="4660">
      <c r="A4660" s="106" t="inlineStr">
        <is>
          <t>RH</t>
        </is>
      </c>
      <c r="B4660" s="106" t="inlineStr">
        <is>
          <t>Custo Fixo</t>
        </is>
      </c>
      <c r="C4660" s="106" t="inlineStr">
        <is>
          <t>Treinamento e capacitação</t>
        </is>
      </c>
      <c r="D4660" s="107" t="n"/>
      <c r="E4660" s="108" t="n"/>
      <c r="F4660" s="109">
        <f>IFERROR(D4660*E4660,0)</f>
        <v/>
      </c>
      <c r="G4660" s="106">
        <f>INDEX(SETORES!$B:$B,MATCH(A4660,SETORES!$A:$A,0))</f>
        <v/>
      </c>
      <c r="H4660" s="106" t="inlineStr">
        <is>
          <t>Dezembro/2026</t>
        </is>
      </c>
    </row>
    <row r="4661">
      <c r="A4661" s="106" t="inlineStr">
        <is>
          <t>RH</t>
        </is>
      </c>
      <c r="B4661" s="106" t="inlineStr">
        <is>
          <t>Custo Variável</t>
        </is>
      </c>
      <c r="C4661" s="106" t="inlineStr">
        <is>
          <t>Recrutamento e seleção</t>
        </is>
      </c>
      <c r="D4661" s="107" t="n"/>
      <c r="E4661" s="108" t="n"/>
      <c r="F4661" s="109">
        <f>IFERROR(D4661*E4661,0)</f>
        <v/>
      </c>
      <c r="G4661" s="106">
        <f>INDEX(SETORES!$B:$B,MATCH(A4661,SETORES!$A:$A,0))</f>
        <v/>
      </c>
      <c r="H4661" s="106" t="inlineStr">
        <is>
          <t>Dezembro/2026</t>
        </is>
      </c>
    </row>
    <row r="4662">
      <c r="A4662" s="106" t="inlineStr">
        <is>
          <t>RH</t>
        </is>
      </c>
      <c r="B4662" s="106" t="inlineStr">
        <is>
          <t>Custo Fixo</t>
        </is>
      </c>
      <c r="C4662" s="106" t="inlineStr">
        <is>
          <t>Ações de endomarketing</t>
        </is>
      </c>
      <c r="D4662" s="107" t="n"/>
      <c r="E4662" s="108" t="n"/>
      <c r="F4662" s="109">
        <f>IFERROR(D4662*E4662,0)</f>
        <v/>
      </c>
      <c r="G4662" s="106">
        <f>INDEX(SETORES!$B:$B,MATCH(A4662,SETORES!$A:$A,0))</f>
        <v/>
      </c>
      <c r="H4662" s="106" t="inlineStr">
        <is>
          <t>Dezembro/2026</t>
        </is>
      </c>
    </row>
    <row r="4663">
      <c r="A4663" s="106" t="inlineStr">
        <is>
          <t>RH</t>
        </is>
      </c>
      <c r="B4663" s="106" t="inlineStr">
        <is>
          <t>Custo Fixo</t>
        </is>
      </c>
      <c r="C4663" s="106" t="inlineStr">
        <is>
          <t>Pesquisa de clima organizacional</t>
        </is>
      </c>
      <c r="D4663" s="107" t="n"/>
      <c r="E4663" s="108" t="n"/>
      <c r="F4663" s="109">
        <f>IFERROR(D4663*E4663,0)</f>
        <v/>
      </c>
      <c r="G4663" s="106">
        <f>INDEX(SETORES!$B:$B,MATCH(A4663,SETORES!$A:$A,0))</f>
        <v/>
      </c>
      <c r="H4663" s="106" t="inlineStr">
        <is>
          <t>Dezembro/2026</t>
        </is>
      </c>
    </row>
    <row r="4664">
      <c r="A4664" s="106" t="inlineStr">
        <is>
          <t>RH</t>
        </is>
      </c>
      <c r="B4664" s="106" t="inlineStr">
        <is>
          <t>Custo Fixo</t>
        </is>
      </c>
      <c r="C4664" s="106" t="inlineStr">
        <is>
          <t>Licença de e-mail corporativo</t>
        </is>
      </c>
      <c r="D4664" s="107" t="n">
        <v>6</v>
      </c>
      <c r="E4664" s="108" t="n">
        <v>50</v>
      </c>
      <c r="F4664" s="109">
        <f>IFERROR(D4664*E4664,0)</f>
        <v/>
      </c>
      <c r="G4664" s="106">
        <f>INDEX(SETORES!$B:$B,MATCH(A4664,SETORES!$A:$A,0))</f>
        <v/>
      </c>
      <c r="H4664" s="106" t="inlineStr">
        <is>
          <t>Dezembro/2026</t>
        </is>
      </c>
    </row>
    <row r="4665">
      <c r="A4665" s="106" t="inlineStr">
        <is>
          <t>RH</t>
        </is>
      </c>
      <c r="B4665" s="106" t="inlineStr">
        <is>
          <t>Custo Fixo</t>
        </is>
      </c>
      <c r="C4665" s="106" t="inlineStr">
        <is>
          <t>Impressora</t>
        </is>
      </c>
      <c r="D4665" s="107" t="n"/>
      <c r="E4665" s="108" t="n"/>
      <c r="F4665" s="109">
        <f>IFERROR(D4665*E4665,0)</f>
        <v/>
      </c>
      <c r="G4665" s="106">
        <f>INDEX(SETORES!$B:$B,MATCH(A4665,SETORES!$A:$A,0))</f>
        <v/>
      </c>
      <c r="H4665" s="106" t="inlineStr">
        <is>
          <t>Dezembro/2026</t>
        </is>
      </c>
    </row>
    <row r="4666">
      <c r="A4666" s="106" t="inlineStr">
        <is>
          <t>RH</t>
        </is>
      </c>
      <c r="B4666" s="106" t="inlineStr">
        <is>
          <t>Custo Fixo</t>
        </is>
      </c>
      <c r="C4666" s="106" t="inlineStr">
        <is>
          <t>Gympass</t>
        </is>
      </c>
      <c r="D4666" s="107" t="n"/>
      <c r="E4666" s="108" t="n"/>
      <c r="F4666" s="109">
        <f>IFERROR(D4666*E4666,0)</f>
        <v/>
      </c>
      <c r="G4666" s="106">
        <f>INDEX(SETORES!$B:$B,MATCH(A4666,SETORES!$A:$A,0))</f>
        <v/>
      </c>
      <c r="H4666" s="106" t="inlineStr">
        <is>
          <t>Dezembro/2026</t>
        </is>
      </c>
    </row>
    <row r="4667">
      <c r="A4667" s="106" t="inlineStr">
        <is>
          <t>RH</t>
        </is>
      </c>
      <c r="B4667" s="106" t="inlineStr">
        <is>
          <t>Custo Fixo</t>
        </is>
      </c>
      <c r="C4667" s="106" t="inlineStr">
        <is>
          <t>Stargrid</t>
        </is>
      </c>
      <c r="D4667" s="107" t="n">
        <v>6</v>
      </c>
      <c r="E4667" s="108" t="n">
        <v>1.87</v>
      </c>
      <c r="F4667" s="109">
        <f>IFERROR(D4667*E4667,0)</f>
        <v/>
      </c>
      <c r="G4667" s="106">
        <f>INDEX(SETORES!$B:$B,MATCH(A4667,SETORES!$A:$A,0))</f>
        <v/>
      </c>
      <c r="H4667" s="106" t="inlineStr">
        <is>
          <t>Dezembro/2026</t>
        </is>
      </c>
    </row>
    <row r="4668">
      <c r="A4668" s="106" t="inlineStr">
        <is>
          <t>Retenção</t>
        </is>
      </c>
      <c r="B4668" s="106" t="inlineStr">
        <is>
          <t>Custo Fixo</t>
        </is>
      </c>
      <c r="C4668" s="106" t="inlineStr">
        <is>
          <t>Material de escritório (suprimentos de informática)</t>
        </is>
      </c>
      <c r="D4668" s="107" t="n">
        <v>1</v>
      </c>
      <c r="E4668" s="108" t="n">
        <v>3.45</v>
      </c>
      <c r="F4668" s="109">
        <f>IFERROR(D4668*E4668,0)</f>
        <v/>
      </c>
      <c r="G4668" s="106">
        <f>INDEX(SETORES!$B:$B,MATCH(A4668,SETORES!$A:$A,0))</f>
        <v/>
      </c>
      <c r="H4668" s="106" t="inlineStr">
        <is>
          <t>Dezembro/2026</t>
        </is>
      </c>
    </row>
    <row r="4669">
      <c r="A4669" s="106" t="inlineStr">
        <is>
          <t>Retenção</t>
        </is>
      </c>
      <c r="B4669" s="106" t="inlineStr">
        <is>
          <t>Custo Fixo</t>
        </is>
      </c>
      <c r="C4669" s="106" t="inlineStr">
        <is>
          <t>Material de uso coletivo (copa/limpeza)</t>
        </is>
      </c>
      <c r="D4669" s="107" t="n">
        <v>1</v>
      </c>
      <c r="E4669" s="108" t="n">
        <v>606.65</v>
      </c>
      <c r="F4669" s="109">
        <f>IFERROR(D4669*E4669,0)</f>
        <v/>
      </c>
      <c r="G4669" s="106">
        <f>INDEX(SETORES!$B:$B,MATCH(A4669,SETORES!$A:$A,0))</f>
        <v/>
      </c>
      <c r="H4669" s="106" t="inlineStr">
        <is>
          <t>Dezembro/2026</t>
        </is>
      </c>
    </row>
    <row r="4670">
      <c r="A4670" s="106" t="inlineStr">
        <is>
          <t>Retenção</t>
        </is>
      </c>
      <c r="B4670" s="106" t="inlineStr">
        <is>
          <t>Custo Fixo</t>
        </is>
      </c>
      <c r="C4670" s="106" t="inlineStr">
        <is>
          <t>Energia elétrica (rateio)</t>
        </is>
      </c>
      <c r="D4670" s="107" t="n"/>
      <c r="E4670" s="108" t="n"/>
      <c r="F4670" s="109">
        <f>IFERROR(D4670*E4670,0)</f>
        <v/>
      </c>
      <c r="G4670" s="106">
        <f>INDEX(SETORES!$B:$B,MATCH(A4670,SETORES!$A:$A,0))</f>
        <v/>
      </c>
      <c r="H4670" s="106" t="inlineStr">
        <is>
          <t>Dezembro/2026</t>
        </is>
      </c>
    </row>
    <row r="4671">
      <c r="A4671" s="106" t="inlineStr">
        <is>
          <t>Retenção</t>
        </is>
      </c>
      <c r="B4671" s="106" t="inlineStr">
        <is>
          <t>Custo Fixo</t>
        </is>
      </c>
      <c r="C4671" s="106" t="inlineStr">
        <is>
          <t>Água e esgoto (rateio)</t>
        </is>
      </c>
      <c r="D4671" s="107" t="n"/>
      <c r="E4671" s="108" t="n"/>
      <c r="F4671" s="109">
        <f>IFERROR(D4671*E4671,0)</f>
        <v/>
      </c>
      <c r="G4671" s="106">
        <f>INDEX(SETORES!$B:$B,MATCH(A4671,SETORES!$A:$A,0))</f>
        <v/>
      </c>
      <c r="H4671" s="106" t="inlineStr">
        <is>
          <t>Dezembro/2026</t>
        </is>
      </c>
    </row>
    <row r="4672">
      <c r="A4672" s="106" t="inlineStr">
        <is>
          <t>Retenção</t>
        </is>
      </c>
      <c r="B4672" s="106" t="inlineStr">
        <is>
          <t>Custo Fixo</t>
        </is>
      </c>
      <c r="C4672" s="106" t="inlineStr">
        <is>
          <t>Telefonia móvel corporativa</t>
        </is>
      </c>
      <c r="D4672" s="107" t="n"/>
      <c r="E4672" s="108" t="n"/>
      <c r="F4672" s="109">
        <f>IFERROR(D4672*E4672,0)</f>
        <v/>
      </c>
      <c r="G4672" s="106">
        <f>INDEX(SETORES!$B:$B,MATCH(A4672,SETORES!$A:$A,0))</f>
        <v/>
      </c>
      <c r="H4672" s="106" t="inlineStr">
        <is>
          <t>Dezembro/2026</t>
        </is>
      </c>
    </row>
    <row r="4673">
      <c r="A4673" s="106" t="inlineStr">
        <is>
          <t>Retenção</t>
        </is>
      </c>
      <c r="B4673" s="106" t="inlineStr">
        <is>
          <t>Custo Fixo</t>
        </is>
      </c>
      <c r="C4673" s="106" t="inlineStr">
        <is>
          <t>Folha de pagamento (salários)</t>
        </is>
      </c>
      <c r="D4673" s="107" t="n">
        <v>1</v>
      </c>
      <c r="E4673" s="108" t="n">
        <v>41989.1</v>
      </c>
      <c r="F4673" s="109">
        <f>IFERROR(D4673*E4673,0)</f>
        <v/>
      </c>
      <c r="G4673" s="106">
        <f>INDEX(SETORES!$B:$B,MATCH(A4673,SETORES!$A:$A,0))</f>
        <v/>
      </c>
      <c r="H4673" s="106" t="inlineStr">
        <is>
          <t>Dezembro/2026</t>
        </is>
      </c>
    </row>
    <row r="4674">
      <c r="A4674" s="106" t="inlineStr">
        <is>
          <t>Retenção</t>
        </is>
      </c>
      <c r="B4674" s="106" t="inlineStr">
        <is>
          <t>Custo Variável</t>
        </is>
      </c>
      <c r="C4674" s="106" t="inlineStr">
        <is>
          <t>Fardamento novo</t>
        </is>
      </c>
      <c r="D4674" s="107" t="n"/>
      <c r="E4674" s="108" t="n"/>
      <c r="F4674" s="109">
        <f>IFERROR(D4674*E4674,0)</f>
        <v/>
      </c>
      <c r="G4674" s="106">
        <f>INDEX(SETORES!$B:$B,MATCH(A4674,SETORES!$A:$A,0))</f>
        <v/>
      </c>
      <c r="H4674" s="106" t="inlineStr">
        <is>
          <t>Dezembro/2026</t>
        </is>
      </c>
    </row>
    <row r="4675">
      <c r="A4675" s="106" t="inlineStr">
        <is>
          <t>Retenção</t>
        </is>
      </c>
      <c r="B4675" s="106" t="inlineStr">
        <is>
          <t>Custo Variável</t>
        </is>
      </c>
      <c r="C4675" s="106" t="inlineStr">
        <is>
          <t>Fardamento substituição</t>
        </is>
      </c>
      <c r="D4675" s="107" t="n"/>
      <c r="E4675" s="108" t="n"/>
      <c r="F4675" s="109">
        <f>IFERROR(D4675*E4675,0)</f>
        <v/>
      </c>
      <c r="G4675" s="106">
        <f>INDEX(SETORES!$B:$B,MATCH(A4675,SETORES!$A:$A,0))</f>
        <v/>
      </c>
      <c r="H4675" s="106" t="inlineStr">
        <is>
          <t>Dezembro/2026</t>
        </is>
      </c>
    </row>
    <row r="4676">
      <c r="A4676" s="106" t="inlineStr">
        <is>
          <t>Retenção</t>
        </is>
      </c>
      <c r="B4676" s="106" t="inlineStr">
        <is>
          <t>Custo Variável</t>
        </is>
      </c>
      <c r="C4676" s="106" t="inlineStr">
        <is>
          <t>Rescisões trabalhistas</t>
        </is>
      </c>
      <c r="D4676" s="107" t="n"/>
      <c r="E4676" s="108" t="n"/>
      <c r="F4676" s="109">
        <f>IFERROR(D4676*E4676,0)</f>
        <v/>
      </c>
      <c r="G4676" s="106">
        <f>INDEX(SETORES!$B:$B,MATCH(A4676,SETORES!$A:$A,0))</f>
        <v/>
      </c>
      <c r="H4676" s="106" t="inlineStr">
        <is>
          <t>Dezembro/2026</t>
        </is>
      </c>
    </row>
    <row r="4677">
      <c r="A4677" s="106" t="inlineStr">
        <is>
          <t>Retenção</t>
        </is>
      </c>
      <c r="B4677" s="106" t="inlineStr">
        <is>
          <t>Custo Fixo</t>
        </is>
      </c>
      <c r="C4677" s="106" t="inlineStr">
        <is>
          <t>Licença de e-mail corporativo</t>
        </is>
      </c>
      <c r="D4677" s="107" t="n">
        <v>12</v>
      </c>
      <c r="E4677" s="108" t="n">
        <v>50</v>
      </c>
      <c r="F4677" s="109">
        <f>IFERROR(D4677*E4677,0)</f>
        <v/>
      </c>
      <c r="G4677" s="106">
        <f>INDEX(SETORES!$B:$B,MATCH(A4677,SETORES!$A:$A,0))</f>
        <v/>
      </c>
      <c r="H4677" s="106" t="inlineStr">
        <is>
          <t>Dezembro/2026</t>
        </is>
      </c>
    </row>
    <row r="4678">
      <c r="A4678" s="106" t="inlineStr">
        <is>
          <t>Retenção</t>
        </is>
      </c>
      <c r="B4678" s="106" t="inlineStr">
        <is>
          <t>Custo Fixo</t>
        </is>
      </c>
      <c r="C4678" s="106" t="inlineStr">
        <is>
          <t>Software MATRIX (rateio equipe Relacionamento)</t>
        </is>
      </c>
      <c r="D4678" s="107" t="n"/>
      <c r="E4678" s="108" t="n"/>
      <c r="F4678" s="109">
        <f>IFERROR(D4678*E4678,0)</f>
        <v/>
      </c>
      <c r="G4678" s="106">
        <f>INDEX(SETORES!$B:$B,MATCH(A4678,SETORES!$A:$A,0))</f>
        <v/>
      </c>
      <c r="H4678" s="106" t="inlineStr">
        <is>
          <t>Dezembro/2026</t>
        </is>
      </c>
    </row>
    <row r="4679">
      <c r="A4679" s="106" t="inlineStr">
        <is>
          <t>Retenção</t>
        </is>
      </c>
      <c r="B4679" s="106" t="inlineStr">
        <is>
          <t>Custo Fixo</t>
        </is>
      </c>
      <c r="C4679" s="106" t="inlineStr">
        <is>
          <t>Impressora (rateio equipe Relacionamento)</t>
        </is>
      </c>
      <c r="D4679" s="107" t="n"/>
      <c r="E4679" s="108" t="n"/>
      <c r="F4679" s="109">
        <f>IFERROR(D4679*E4679,0)</f>
        <v/>
      </c>
      <c r="G4679" s="106">
        <f>INDEX(SETORES!$B:$B,MATCH(A4679,SETORES!$A:$A,0))</f>
        <v/>
      </c>
      <c r="H4679" s="106" t="inlineStr">
        <is>
          <t>Dezembro/2026</t>
        </is>
      </c>
    </row>
    <row r="4680">
      <c r="A4680" s="106" t="inlineStr">
        <is>
          <t>Retenção</t>
        </is>
      </c>
      <c r="B4680" s="106" t="inlineStr">
        <is>
          <t>Custo Fixo</t>
        </is>
      </c>
      <c r="C4680" s="106" t="inlineStr">
        <is>
          <t>Gympass</t>
        </is>
      </c>
      <c r="D4680" s="107" t="n"/>
      <c r="E4680" s="108" t="n"/>
      <c r="F4680" s="109">
        <f>IFERROR(D4680*E4680,0)</f>
        <v/>
      </c>
      <c r="G4680" s="106">
        <f>INDEX(SETORES!$B:$B,MATCH(A4680,SETORES!$A:$A,0))</f>
        <v/>
      </c>
      <c r="H4680" s="106" t="inlineStr">
        <is>
          <t>Dezembro/2026</t>
        </is>
      </c>
    </row>
    <row r="4681">
      <c r="A4681" s="106" t="inlineStr">
        <is>
          <t>Retenção</t>
        </is>
      </c>
      <c r="B4681" s="106" t="inlineStr">
        <is>
          <t>Custo Fixo</t>
        </is>
      </c>
      <c r="C4681" s="106" t="inlineStr">
        <is>
          <t>Stargrid</t>
        </is>
      </c>
      <c r="D4681" s="107" t="n">
        <v>12</v>
      </c>
      <c r="E4681" s="108" t="n">
        <v>1.87</v>
      </c>
      <c r="F4681" s="109">
        <f>IFERROR(D4681*E4681,0)</f>
        <v/>
      </c>
      <c r="G4681" s="106">
        <f>INDEX(SETORES!$B:$B,MATCH(A4681,SETORES!$A:$A,0))</f>
        <v/>
      </c>
      <c r="H4681" s="106" t="inlineStr">
        <is>
          <t>Dezembro/2026</t>
        </is>
      </c>
    </row>
    <row r="4682">
      <c r="A4682" s="106" t="inlineStr">
        <is>
          <t>Segurança do Trabalho</t>
        </is>
      </c>
      <c r="B4682" s="106" t="inlineStr">
        <is>
          <t>Custo Fixo</t>
        </is>
      </c>
      <c r="C4682" s="106" t="inlineStr">
        <is>
          <t>Material de escritório (suprimentos de informática)</t>
        </is>
      </c>
      <c r="D4682" s="107" t="n">
        <v>1</v>
      </c>
      <c r="E4682" s="108" t="n">
        <v>56.96</v>
      </c>
      <c r="F4682" s="109">
        <f>IFERROR(D4682*E4682,0)</f>
        <v/>
      </c>
      <c r="G4682" s="106">
        <f>INDEX(SETORES!$B:$B,MATCH(A4682,SETORES!$A:$A,0))</f>
        <v/>
      </c>
      <c r="H4682" s="106" t="inlineStr">
        <is>
          <t>Dezembro/2026</t>
        </is>
      </c>
    </row>
    <row r="4683">
      <c r="A4683" s="106" t="inlineStr">
        <is>
          <t>Segurança do Trabalho</t>
        </is>
      </c>
      <c r="B4683" s="106" t="inlineStr">
        <is>
          <t>Custo Fixo</t>
        </is>
      </c>
      <c r="C4683" s="106" t="inlineStr">
        <is>
          <t>Material de uso coletivo (copa/limpeza)</t>
        </is>
      </c>
      <c r="D4683" s="107" t="n"/>
      <c r="E4683" s="108" t="n"/>
      <c r="F4683" s="109">
        <f>IFERROR(D4683*E4683,0)</f>
        <v/>
      </c>
      <c r="G4683" s="106">
        <f>INDEX(SETORES!$B:$B,MATCH(A4683,SETORES!$A:$A,0))</f>
        <v/>
      </c>
      <c r="H4683" s="106" t="inlineStr">
        <is>
          <t>Dezembro/2026</t>
        </is>
      </c>
    </row>
    <row r="4684">
      <c r="A4684" s="106" t="inlineStr">
        <is>
          <t>Segurança do Trabalho</t>
        </is>
      </c>
      <c r="B4684" s="106" t="inlineStr">
        <is>
          <t>Custo Fixo</t>
        </is>
      </c>
      <c r="C4684" s="106" t="inlineStr">
        <is>
          <t>Energia elétrica (rateio)</t>
        </is>
      </c>
      <c r="D4684" s="107" t="n"/>
      <c r="E4684" s="108" t="n"/>
      <c r="F4684" s="109">
        <f>IFERROR(D4684*E4684,0)</f>
        <v/>
      </c>
      <c r="G4684" s="106">
        <f>INDEX(SETORES!$B:$B,MATCH(A4684,SETORES!$A:$A,0))</f>
        <v/>
      </c>
      <c r="H4684" s="106" t="inlineStr">
        <is>
          <t>Dezembro/2026</t>
        </is>
      </c>
    </row>
    <row r="4685">
      <c r="A4685" s="106" t="inlineStr">
        <is>
          <t>Segurança do Trabalho</t>
        </is>
      </c>
      <c r="B4685" s="106" t="inlineStr">
        <is>
          <t>Custo Fixo</t>
        </is>
      </c>
      <c r="C4685" s="106" t="inlineStr">
        <is>
          <t>Água e esgoto (rateio)</t>
        </is>
      </c>
      <c r="D4685" s="107" t="n"/>
      <c r="E4685" s="108" t="n"/>
      <c r="F4685" s="109">
        <f>IFERROR(D4685*E4685,0)</f>
        <v/>
      </c>
      <c r="G4685" s="106">
        <f>INDEX(SETORES!$B:$B,MATCH(A4685,SETORES!$A:$A,0))</f>
        <v/>
      </c>
      <c r="H4685" s="106" t="inlineStr">
        <is>
          <t>Dezembro/2026</t>
        </is>
      </c>
    </row>
    <row r="4686">
      <c r="A4686" s="106" t="inlineStr">
        <is>
          <t>Segurança do Trabalho</t>
        </is>
      </c>
      <c r="B4686" s="106" t="inlineStr">
        <is>
          <t>Custo Fixo</t>
        </is>
      </c>
      <c r="C4686" s="106" t="inlineStr">
        <is>
          <t>Telefonia móvel corporativa</t>
        </is>
      </c>
      <c r="D4686" s="107" t="n"/>
      <c r="E4686" s="108" t="n"/>
      <c r="F4686" s="109">
        <f>IFERROR(D4686*E4686,0)</f>
        <v/>
      </c>
      <c r="G4686" s="106">
        <f>INDEX(SETORES!$B:$B,MATCH(A4686,SETORES!$A:$A,0))</f>
        <v/>
      </c>
      <c r="H4686" s="106" t="inlineStr">
        <is>
          <t>Dezembro/2026</t>
        </is>
      </c>
    </row>
    <row r="4687">
      <c r="A4687" s="106" t="inlineStr">
        <is>
          <t>Segurança do Trabalho</t>
        </is>
      </c>
      <c r="B4687" s="106" t="inlineStr">
        <is>
          <t>Custo Fixo</t>
        </is>
      </c>
      <c r="C4687" s="106" t="inlineStr">
        <is>
          <t>Folha de pagamento (salários)</t>
        </is>
      </c>
      <c r="D4687" s="107" t="n">
        <v>1</v>
      </c>
      <c r="E4687" s="108" t="n">
        <v>43760.48</v>
      </c>
      <c r="F4687" s="109">
        <f>IFERROR(D4687*E4687,0)</f>
        <v/>
      </c>
      <c r="G4687" s="106">
        <f>INDEX(SETORES!$B:$B,MATCH(A4687,SETORES!$A:$A,0))</f>
        <v/>
      </c>
      <c r="H4687" s="106" t="inlineStr">
        <is>
          <t>Dezembro/2026</t>
        </is>
      </c>
    </row>
    <row r="4688">
      <c r="A4688" s="106" t="inlineStr">
        <is>
          <t>Segurança do Trabalho</t>
        </is>
      </c>
      <c r="B4688" s="106" t="inlineStr">
        <is>
          <t>Custo Variável</t>
        </is>
      </c>
      <c r="C4688" s="106" t="inlineStr">
        <is>
          <t>EPIs - Equipamento de Proteção Individual</t>
        </is>
      </c>
      <c r="D4688" s="107" t="n"/>
      <c r="E4688" s="108" t="n"/>
      <c r="F4688" s="109">
        <f>IFERROR(D4688*E4688,0)</f>
        <v/>
      </c>
      <c r="G4688" s="106">
        <f>INDEX(SETORES!$B:$B,MATCH(A4688,SETORES!$A:$A,0))</f>
        <v/>
      </c>
      <c r="H4688" s="106" t="inlineStr">
        <is>
          <t>Dezembro/2026</t>
        </is>
      </c>
    </row>
    <row r="4689">
      <c r="A4689" s="106" t="inlineStr">
        <is>
          <t>Cobrança</t>
        </is>
      </c>
      <c r="B4689" s="106" t="inlineStr">
        <is>
          <t>Custo Variável</t>
        </is>
      </c>
      <c r="C4689" s="106" t="inlineStr">
        <is>
          <t>Exames médicos</t>
        </is>
      </c>
      <c r="D4689" s="107" t="n"/>
      <c r="E4689" s="108" t="n"/>
      <c r="F4689" s="109">
        <f>IFERROR(D4689*E4689,0)</f>
        <v/>
      </c>
      <c r="G4689" s="106">
        <f>INDEX(SETORES!$B:$B,MATCH(A4689,SETORES!$A:$A,0))</f>
        <v/>
      </c>
      <c r="H4689" s="106" t="inlineStr">
        <is>
          <t>Dezembro/2026</t>
        </is>
      </c>
    </row>
    <row r="4690">
      <c r="A4690" s="106" t="inlineStr">
        <is>
          <t>NRC</t>
        </is>
      </c>
      <c r="B4690" s="106" t="inlineStr">
        <is>
          <t>Custo Variável</t>
        </is>
      </c>
      <c r="C4690" s="106" t="inlineStr">
        <is>
          <t>Exames médicos</t>
        </is>
      </c>
      <c r="D4690" s="107" t="n"/>
      <c r="E4690" s="108" t="n"/>
      <c r="F4690" s="109">
        <f>IFERROR(D4690*E4690,0)</f>
        <v/>
      </c>
      <c r="G4690" s="106">
        <f>INDEX(SETORES!$B:$B,MATCH(A4690,SETORES!$A:$A,0))</f>
        <v/>
      </c>
      <c r="H4690" s="106" t="inlineStr">
        <is>
          <t>Dezembro/2026</t>
        </is>
      </c>
    </row>
    <row r="4691">
      <c r="A4691" s="106" t="inlineStr">
        <is>
          <t>Suporte da Central</t>
        </is>
      </c>
      <c r="B4691" s="106" t="inlineStr">
        <is>
          <t>Custo Variável</t>
        </is>
      </c>
      <c r="C4691" s="106" t="inlineStr">
        <is>
          <t>Exames médicos</t>
        </is>
      </c>
      <c r="D4691" s="107" t="n"/>
      <c r="E4691" s="108" t="n"/>
      <c r="F4691" s="109">
        <f>IFERROR(D4691*E4691,0)</f>
        <v/>
      </c>
      <c r="G4691" s="106">
        <f>INDEX(SETORES!$B:$B,MATCH(A4691,SETORES!$A:$A,0))</f>
        <v/>
      </c>
      <c r="H4691" s="106" t="inlineStr">
        <is>
          <t>Dezembro/2026</t>
        </is>
      </c>
    </row>
    <row r="4692">
      <c r="A4692" s="106" t="inlineStr">
        <is>
          <t>Manutenção Predial</t>
        </is>
      </c>
      <c r="B4692" s="106" t="inlineStr">
        <is>
          <t>Custo Variável</t>
        </is>
      </c>
      <c r="C4692" s="106" t="inlineStr">
        <is>
          <t>Exames médicos</t>
        </is>
      </c>
      <c r="D4692" s="107" t="n"/>
      <c r="E4692" s="108" t="n"/>
      <c r="F4692" s="109">
        <f>IFERROR(D4692*E4692,0)</f>
        <v/>
      </c>
      <c r="G4692" s="106">
        <f>INDEX(SETORES!$B:$B,MATCH(A4692,SETORES!$A:$A,0))</f>
        <v/>
      </c>
      <c r="H4692" s="106" t="inlineStr">
        <is>
          <t>Dezembro/2026</t>
        </is>
      </c>
    </row>
    <row r="4693">
      <c r="A4693" s="106" t="inlineStr">
        <is>
          <t>Segurança do Trabalho</t>
        </is>
      </c>
      <c r="B4693" s="106" t="inlineStr">
        <is>
          <t>Custo Variável</t>
        </is>
      </c>
      <c r="C4693" s="106" t="inlineStr">
        <is>
          <t>Exames médicos</t>
        </is>
      </c>
      <c r="D4693" s="107" t="n"/>
      <c r="E4693" s="108" t="n"/>
      <c r="F4693" s="109">
        <f>IFERROR(D4693*E4693,0)</f>
        <v/>
      </c>
      <c r="G4693" s="106">
        <f>INDEX(SETORES!$B:$B,MATCH(A4693,SETORES!$A:$A,0))</f>
        <v/>
      </c>
      <c r="H4693" s="106" t="inlineStr">
        <is>
          <t>Dezembro/2026</t>
        </is>
      </c>
    </row>
    <row r="4694">
      <c r="A4694" s="106" t="inlineStr">
        <is>
          <t>Segurança do Trabalho</t>
        </is>
      </c>
      <c r="B4694" s="106" t="inlineStr">
        <is>
          <t>Custo Variável</t>
        </is>
      </c>
      <c r="C4694" s="106" t="inlineStr">
        <is>
          <t>Fardamento novo</t>
        </is>
      </c>
      <c r="D4694" s="107" t="n"/>
      <c r="E4694" s="108" t="n"/>
      <c r="F4694" s="109">
        <f>IFERROR(D4694*E4694,0)</f>
        <v/>
      </c>
      <c r="G4694" s="106">
        <f>INDEX(SETORES!$B:$B,MATCH(A4694,SETORES!$A:$A,0))</f>
        <v/>
      </c>
      <c r="H4694" s="106" t="inlineStr">
        <is>
          <t>Dezembro/2026</t>
        </is>
      </c>
    </row>
    <row r="4695">
      <c r="A4695" s="106" t="inlineStr">
        <is>
          <t>Segurança do Trabalho</t>
        </is>
      </c>
      <c r="B4695" s="106" t="inlineStr">
        <is>
          <t>Custo Variável</t>
        </is>
      </c>
      <c r="C4695" s="106" t="inlineStr">
        <is>
          <t>Fardamento substituição</t>
        </is>
      </c>
      <c r="D4695" s="107" t="n">
        <v>1</v>
      </c>
      <c r="E4695" s="108" t="n">
        <v>204</v>
      </c>
      <c r="F4695" s="109">
        <f>IFERROR(D4695*E4695,0)</f>
        <v/>
      </c>
      <c r="G4695" s="106">
        <f>INDEX(SETORES!$B:$B,MATCH(A4695,SETORES!$A:$A,0))</f>
        <v/>
      </c>
      <c r="H4695" s="106" t="inlineStr">
        <is>
          <t>Dezembro/2026</t>
        </is>
      </c>
    </row>
    <row r="4696">
      <c r="A4696" s="106" t="inlineStr">
        <is>
          <t>Segurança do Trabalho</t>
        </is>
      </c>
      <c r="B4696" s="106" t="inlineStr">
        <is>
          <t>Custo Variável</t>
        </is>
      </c>
      <c r="C4696" s="106" t="inlineStr">
        <is>
          <t>Rateio de transporte coletivo</t>
        </is>
      </c>
      <c r="D4696" s="107" t="n"/>
      <c r="E4696" s="108" t="n"/>
      <c r="F4696" s="109">
        <f>IFERROR(D4696*E4696,0)</f>
        <v/>
      </c>
      <c r="G4696" s="106">
        <f>INDEX(SETORES!$B:$B,MATCH(A4696,SETORES!$A:$A,0))</f>
        <v/>
      </c>
      <c r="H4696" s="106" t="inlineStr">
        <is>
          <t>Dezembro/2026</t>
        </is>
      </c>
    </row>
    <row r="4697">
      <c r="A4697" s="106" t="inlineStr">
        <is>
          <t>Segurança do Trabalho</t>
        </is>
      </c>
      <c r="B4697" s="106" t="inlineStr">
        <is>
          <t>Custo Variável</t>
        </is>
      </c>
      <c r="C4697" s="106" t="inlineStr">
        <is>
          <t>Médico do trabalho</t>
        </is>
      </c>
      <c r="D4697" s="107" t="n">
        <v>1</v>
      </c>
      <c r="E4697" s="108" t="n">
        <v>7689.5</v>
      </c>
      <c r="F4697" s="109">
        <f>IFERROR(D4697*E4697,0)</f>
        <v/>
      </c>
      <c r="G4697" s="106">
        <f>INDEX(SETORES!$B:$B,MATCH(A4697,SETORES!$A:$A,0))</f>
        <v/>
      </c>
      <c r="H4697" s="106" t="inlineStr">
        <is>
          <t>Dezembro/2026</t>
        </is>
      </c>
    </row>
    <row r="4698">
      <c r="A4698" s="106" t="inlineStr">
        <is>
          <t>Segurança do Trabalho</t>
        </is>
      </c>
      <c r="B4698" s="106" t="inlineStr">
        <is>
          <t>Custo Fixo</t>
        </is>
      </c>
      <c r="C4698" s="106" t="inlineStr">
        <is>
          <t>Licença de e-mail corporativo</t>
        </is>
      </c>
      <c r="D4698" s="107" t="n">
        <v>8</v>
      </c>
      <c r="E4698" s="108" t="n">
        <v>50</v>
      </c>
      <c r="F4698" s="109">
        <f>IFERROR(D4698*E4698,0)</f>
        <v/>
      </c>
      <c r="G4698" s="106">
        <f>INDEX(SETORES!$B:$B,MATCH(A4698,SETORES!$A:$A,0))</f>
        <v/>
      </c>
      <c r="H4698" s="106" t="inlineStr">
        <is>
          <t>Dezembro/2026</t>
        </is>
      </c>
    </row>
    <row r="4699">
      <c r="A4699" s="106" t="inlineStr">
        <is>
          <t>Segurança do Trabalho</t>
        </is>
      </c>
      <c r="B4699" s="106" t="inlineStr">
        <is>
          <t>Custo Variável</t>
        </is>
      </c>
      <c r="C4699" s="106" t="inlineStr">
        <is>
          <t>Combustível de frota</t>
        </is>
      </c>
      <c r="D4699" s="107" t="n">
        <v>1</v>
      </c>
      <c r="E4699" s="108" t="n">
        <v>4175.57</v>
      </c>
      <c r="F4699" s="109">
        <f>IFERROR(D4699*E4699,0)</f>
        <v/>
      </c>
      <c r="G4699" s="106">
        <f>INDEX(SETORES!$B:$B,MATCH(A4699,SETORES!$A:$A,0))</f>
        <v/>
      </c>
      <c r="H4699" s="106" t="inlineStr">
        <is>
          <t>Dezembro/2026</t>
        </is>
      </c>
    </row>
    <row r="4700">
      <c r="A4700" s="106" t="inlineStr">
        <is>
          <t>Segurança do Trabalho</t>
        </is>
      </c>
      <c r="B4700" s="106" t="inlineStr">
        <is>
          <t>Custo Fixo</t>
        </is>
      </c>
      <c r="C4700" s="106" t="inlineStr">
        <is>
          <t>Impressora</t>
        </is>
      </c>
      <c r="D4700" s="107" t="n"/>
      <c r="E4700" s="108" t="n"/>
      <c r="F4700" s="109">
        <f>IFERROR(D4700*E4700,0)</f>
        <v/>
      </c>
      <c r="G4700" s="106">
        <f>INDEX(SETORES!$B:$B,MATCH(A4700,SETORES!$A:$A,0))</f>
        <v/>
      </c>
      <c r="H4700" s="106" t="inlineStr">
        <is>
          <t>Dezembro/2026</t>
        </is>
      </c>
    </row>
    <row r="4701">
      <c r="A4701" s="106" t="inlineStr">
        <is>
          <t>Segurança do Trabalho</t>
        </is>
      </c>
      <c r="B4701" s="106" t="inlineStr">
        <is>
          <t>Custo Fixo</t>
        </is>
      </c>
      <c r="C4701" s="106" t="inlineStr">
        <is>
          <t>Gympass</t>
        </is>
      </c>
      <c r="D4701" s="107" t="n"/>
      <c r="E4701" s="108" t="n"/>
      <c r="F4701" s="109">
        <f>IFERROR(D4701*E4701,0)</f>
        <v/>
      </c>
      <c r="G4701" s="106">
        <f>INDEX(SETORES!$B:$B,MATCH(A4701,SETORES!$A:$A,0))</f>
        <v/>
      </c>
      <c r="H4701" s="106" t="inlineStr">
        <is>
          <t>Dezembro/2026</t>
        </is>
      </c>
    </row>
    <row r="4702">
      <c r="A4702" s="106" t="inlineStr">
        <is>
          <t>Segurança do Trabalho</t>
        </is>
      </c>
      <c r="B4702" s="106" t="inlineStr">
        <is>
          <t>Custo Fixo</t>
        </is>
      </c>
      <c r="C4702" s="106" t="inlineStr">
        <is>
          <t>Stargrid</t>
        </is>
      </c>
      <c r="D4702" s="107" t="n">
        <v>8</v>
      </c>
      <c r="E4702" s="108" t="n">
        <v>1.87</v>
      </c>
      <c r="F4702" s="109">
        <f>IFERROR(D4702*E4702,0)</f>
        <v/>
      </c>
      <c r="G4702" s="106">
        <f>INDEX(SETORES!$B:$B,MATCH(A4702,SETORES!$A:$A,0))</f>
        <v/>
      </c>
      <c r="H4702" s="106" t="inlineStr">
        <is>
          <t>Dezembro/2026</t>
        </is>
      </c>
    </row>
    <row r="4703">
      <c r="A4703" s="106" t="inlineStr">
        <is>
          <t>Suporte Orbix</t>
        </is>
      </c>
      <c r="B4703" s="106" t="inlineStr">
        <is>
          <t>Custo Fixo</t>
        </is>
      </c>
      <c r="C4703" s="106" t="inlineStr">
        <is>
          <t>Material de escritório (suprimentos de informática)</t>
        </is>
      </c>
      <c r="D4703" s="107" t="n">
        <v>1</v>
      </c>
      <c r="E4703" s="108" t="n">
        <v>2.3</v>
      </c>
      <c r="F4703" s="109">
        <f>IFERROR(D4703*E4703,0)</f>
        <v/>
      </c>
      <c r="G4703" s="106">
        <f>INDEX(SETORES!$B:$B,MATCH(A4703,SETORES!$A:$A,0))</f>
        <v/>
      </c>
      <c r="H4703" s="106" t="inlineStr">
        <is>
          <t>Dezembro/2026</t>
        </is>
      </c>
    </row>
    <row r="4704">
      <c r="A4704" s="106" t="inlineStr">
        <is>
          <t>Suporte Orbix</t>
        </is>
      </c>
      <c r="B4704" s="106" t="inlineStr">
        <is>
          <t>Custo Fixo</t>
        </is>
      </c>
      <c r="C4704" s="106" t="inlineStr">
        <is>
          <t>Material de uso coletivo (copa/limpeza)</t>
        </is>
      </c>
      <c r="D4704" s="107" t="n">
        <v>1</v>
      </c>
      <c r="E4704" s="108" t="n">
        <v>404.44</v>
      </c>
      <c r="F4704" s="109">
        <f>IFERROR(D4704*E4704,0)</f>
        <v/>
      </c>
      <c r="G4704" s="106">
        <f>INDEX(SETORES!$B:$B,MATCH(A4704,SETORES!$A:$A,0))</f>
        <v/>
      </c>
      <c r="H4704" s="106" t="inlineStr">
        <is>
          <t>Dezembro/2026</t>
        </is>
      </c>
    </row>
    <row r="4705">
      <c r="A4705" s="106" t="inlineStr">
        <is>
          <t>Suporte Orbix</t>
        </is>
      </c>
      <c r="B4705" s="106" t="inlineStr">
        <is>
          <t>Custo Fixo</t>
        </is>
      </c>
      <c r="C4705" s="106" t="inlineStr">
        <is>
          <t>Energia elétrica (rateio)</t>
        </is>
      </c>
      <c r="D4705" s="107" t="n"/>
      <c r="E4705" s="108" t="n"/>
      <c r="F4705" s="109">
        <f>IFERROR(D4705*E4705,0)</f>
        <v/>
      </c>
      <c r="G4705" s="106">
        <f>INDEX(SETORES!$B:$B,MATCH(A4705,SETORES!$A:$A,0))</f>
        <v/>
      </c>
      <c r="H4705" s="106" t="inlineStr">
        <is>
          <t>Dezembro/2026</t>
        </is>
      </c>
    </row>
    <row r="4706">
      <c r="A4706" s="106" t="inlineStr">
        <is>
          <t>Suporte Orbix</t>
        </is>
      </c>
      <c r="B4706" s="106" t="inlineStr">
        <is>
          <t>Custo Fixo</t>
        </is>
      </c>
      <c r="C4706" s="106" t="inlineStr">
        <is>
          <t>Água e esgoto (rateio)</t>
        </is>
      </c>
      <c r="D4706" s="107" t="n"/>
      <c r="E4706" s="108" t="n"/>
      <c r="F4706" s="109">
        <f>IFERROR(D4706*E4706,0)</f>
        <v/>
      </c>
      <c r="G4706" s="106">
        <f>INDEX(SETORES!$B:$B,MATCH(A4706,SETORES!$A:$A,0))</f>
        <v/>
      </c>
      <c r="H4706" s="106" t="inlineStr">
        <is>
          <t>Dezembro/2026</t>
        </is>
      </c>
    </row>
    <row r="4707">
      <c r="A4707" s="106" t="inlineStr">
        <is>
          <t>Suporte Orbix</t>
        </is>
      </c>
      <c r="B4707" s="106" t="inlineStr">
        <is>
          <t>Custo Fixo</t>
        </is>
      </c>
      <c r="C4707" s="106" t="inlineStr">
        <is>
          <t>Telefonia móvel corporativa</t>
        </is>
      </c>
      <c r="D4707" s="107" t="n"/>
      <c r="E4707" s="108" t="n"/>
      <c r="F4707" s="109">
        <f>IFERROR(D4707*E4707,0)</f>
        <v/>
      </c>
      <c r="G4707" s="106">
        <f>INDEX(SETORES!$B:$B,MATCH(A4707,SETORES!$A:$A,0))</f>
        <v/>
      </c>
      <c r="H4707" s="106" t="inlineStr">
        <is>
          <t>Dezembro/2026</t>
        </is>
      </c>
    </row>
    <row r="4708">
      <c r="A4708" s="106" t="inlineStr">
        <is>
          <t>Suporte Orbix</t>
        </is>
      </c>
      <c r="B4708" s="106" t="inlineStr">
        <is>
          <t>Custo Fixo</t>
        </is>
      </c>
      <c r="C4708" s="106" t="inlineStr">
        <is>
          <t>Folha de pagamento (salários)</t>
        </is>
      </c>
      <c r="D4708" s="107" t="n">
        <v>1</v>
      </c>
      <c r="E4708" s="108" t="n">
        <v>30736.23</v>
      </c>
      <c r="F4708" s="109">
        <f>IFERROR(D4708*E4708,0)</f>
        <v/>
      </c>
      <c r="G4708" s="106">
        <f>INDEX(SETORES!$B:$B,MATCH(A4708,SETORES!$A:$A,0))</f>
        <v/>
      </c>
      <c r="H4708" s="106" t="inlineStr">
        <is>
          <t>Dezembro/2026</t>
        </is>
      </c>
    </row>
    <row r="4709">
      <c r="A4709" s="106" t="inlineStr">
        <is>
          <t>Suporte Orbix</t>
        </is>
      </c>
      <c r="B4709" s="106" t="inlineStr">
        <is>
          <t>Custo Fixo</t>
        </is>
      </c>
      <c r="C4709" s="106" t="inlineStr">
        <is>
          <t>Licença de e-mail corporativo</t>
        </is>
      </c>
      <c r="D4709" s="107" t="n">
        <v>8</v>
      </c>
      <c r="E4709" s="108" t="n">
        <v>50</v>
      </c>
      <c r="F4709" s="109">
        <f>IFERROR(D4709*E4709,0)</f>
        <v/>
      </c>
      <c r="G4709" s="106">
        <f>INDEX(SETORES!$B:$B,MATCH(A4709,SETORES!$A:$A,0))</f>
        <v/>
      </c>
      <c r="H4709" s="106" t="inlineStr">
        <is>
          <t>Dezembro/2026</t>
        </is>
      </c>
    </row>
    <row r="4710">
      <c r="A4710" s="106" t="inlineStr">
        <is>
          <t>Suporte Orbix</t>
        </is>
      </c>
      <c r="B4710" s="106" t="inlineStr">
        <is>
          <t>Custo Fixo</t>
        </is>
      </c>
      <c r="C4710" s="106" t="inlineStr">
        <is>
          <t>Software MATRIX (rateio equipe Relacionamento)</t>
        </is>
      </c>
      <c r="D4710" s="107" t="n"/>
      <c r="E4710" s="108" t="n"/>
      <c r="F4710" s="109">
        <f>IFERROR(D4710*E4710,0)</f>
        <v/>
      </c>
      <c r="G4710" s="106">
        <f>INDEX(SETORES!$B:$B,MATCH(A4710,SETORES!$A:$A,0))</f>
        <v/>
      </c>
      <c r="H4710" s="106" t="inlineStr">
        <is>
          <t>Dezembro/2026</t>
        </is>
      </c>
    </row>
    <row r="4711">
      <c r="A4711" s="106" t="inlineStr">
        <is>
          <t>Suporte Orbix</t>
        </is>
      </c>
      <c r="B4711" s="106" t="inlineStr">
        <is>
          <t>Custo Fixo</t>
        </is>
      </c>
      <c r="C4711" s="106" t="inlineStr">
        <is>
          <t>Impressora (rateio equipe Relacionamento)</t>
        </is>
      </c>
      <c r="D4711" s="107" t="n"/>
      <c r="E4711" s="108" t="n"/>
      <c r="F4711" s="109">
        <f>IFERROR(D4711*E4711,0)</f>
        <v/>
      </c>
      <c r="G4711" s="106">
        <f>INDEX(SETORES!$B:$B,MATCH(A4711,SETORES!$A:$A,0))</f>
        <v/>
      </c>
      <c r="H4711" s="106" t="inlineStr">
        <is>
          <t>Dezembro/2026</t>
        </is>
      </c>
    </row>
    <row r="4712">
      <c r="A4712" s="106" t="inlineStr">
        <is>
          <t>Suporte Orbix</t>
        </is>
      </c>
      <c r="B4712" s="106" t="inlineStr">
        <is>
          <t>Custo Fixo</t>
        </is>
      </c>
      <c r="C4712" s="106" t="inlineStr">
        <is>
          <t>Gympass</t>
        </is>
      </c>
      <c r="D4712" s="107" t="n"/>
      <c r="E4712" s="108" t="n"/>
      <c r="F4712" s="109">
        <f>IFERROR(D4712*E4712,0)</f>
        <v/>
      </c>
      <c r="G4712" s="106">
        <f>INDEX(SETORES!$B:$B,MATCH(A4712,SETORES!$A:$A,0))</f>
        <v/>
      </c>
      <c r="H4712" s="106" t="inlineStr">
        <is>
          <t>Dezembro/2026</t>
        </is>
      </c>
    </row>
    <row r="4713">
      <c r="A4713" s="106" t="inlineStr">
        <is>
          <t>Suporte Orbix</t>
        </is>
      </c>
      <c r="B4713" s="106" t="inlineStr">
        <is>
          <t>Custo Fixo</t>
        </is>
      </c>
      <c r="C4713" s="106" t="inlineStr">
        <is>
          <t>Stargrid</t>
        </is>
      </c>
      <c r="D4713" s="107" t="n">
        <v>8</v>
      </c>
      <c r="E4713" s="108" t="n">
        <v>1.87</v>
      </c>
      <c r="F4713" s="109">
        <f>IFERROR(D4713*E4713,0)</f>
        <v/>
      </c>
      <c r="G4713" s="106">
        <f>INDEX(SETORES!$B:$B,MATCH(A4713,SETORES!$A:$A,0))</f>
        <v/>
      </c>
      <c r="H4713" s="106" t="inlineStr">
        <is>
          <t>Dezembro/2026</t>
        </is>
      </c>
    </row>
    <row r="4714">
      <c r="A4714" s="106" t="inlineStr">
        <is>
          <t>Suporte da Central</t>
        </is>
      </c>
      <c r="B4714" s="106" t="inlineStr">
        <is>
          <t>Custo Fixo</t>
        </is>
      </c>
      <c r="C4714" s="106" t="inlineStr">
        <is>
          <t>Material de escritório (suprimentos de informática)</t>
        </is>
      </c>
      <c r="D4714" s="107" t="n">
        <v>1</v>
      </c>
      <c r="E4714" s="108" t="n">
        <v>9.5</v>
      </c>
      <c r="F4714" s="109">
        <f>IFERROR(D4714*E4714,0)</f>
        <v/>
      </c>
      <c r="G4714" s="106">
        <f>INDEX(SETORES!$B:$B,MATCH(A4714,SETORES!$A:$A,0))</f>
        <v/>
      </c>
      <c r="H4714" s="106" t="inlineStr">
        <is>
          <t>Dezembro/2026</t>
        </is>
      </c>
    </row>
    <row r="4715">
      <c r="A4715" s="106" t="inlineStr">
        <is>
          <t>Suporte da Central</t>
        </is>
      </c>
      <c r="B4715" s="106" t="inlineStr">
        <is>
          <t>Custo Fixo</t>
        </is>
      </c>
      <c r="C4715" s="106" t="inlineStr">
        <is>
          <t>Material de uso coletivo (copa/limpeza)</t>
        </is>
      </c>
      <c r="D4715" s="107" t="n">
        <v>1</v>
      </c>
      <c r="E4715" s="108" t="n">
        <v>1668.3</v>
      </c>
      <c r="F4715" s="109">
        <f>IFERROR(D4715*E4715,0)</f>
        <v/>
      </c>
      <c r="G4715" s="106">
        <f>INDEX(SETORES!$B:$B,MATCH(A4715,SETORES!$A:$A,0))</f>
        <v/>
      </c>
      <c r="H4715" s="106" t="inlineStr">
        <is>
          <t>Dezembro/2026</t>
        </is>
      </c>
    </row>
    <row r="4716">
      <c r="A4716" s="106" t="inlineStr">
        <is>
          <t>Suporte da Central</t>
        </is>
      </c>
      <c r="B4716" s="106" t="inlineStr">
        <is>
          <t>Custo Fixo</t>
        </is>
      </c>
      <c r="C4716" s="106" t="inlineStr">
        <is>
          <t>Energia elétrica (rateio)</t>
        </is>
      </c>
      <c r="D4716" s="107" t="n"/>
      <c r="E4716" s="108" t="n"/>
      <c r="F4716" s="109">
        <f>IFERROR(D4716*E4716,0)</f>
        <v/>
      </c>
      <c r="G4716" s="106">
        <f>INDEX(SETORES!$B:$B,MATCH(A4716,SETORES!$A:$A,0))</f>
        <v/>
      </c>
      <c r="H4716" s="106" t="inlineStr">
        <is>
          <t>Dezembro/2026</t>
        </is>
      </c>
    </row>
    <row r="4717">
      <c r="A4717" s="106" t="inlineStr">
        <is>
          <t>Suporte da Central</t>
        </is>
      </c>
      <c r="B4717" s="106" t="inlineStr">
        <is>
          <t>Custo Fixo</t>
        </is>
      </c>
      <c r="C4717" s="106" t="inlineStr">
        <is>
          <t>Água e esgoto (rateio)</t>
        </is>
      </c>
      <c r="D4717" s="107" t="n"/>
      <c r="E4717" s="108" t="n"/>
      <c r="F4717" s="109">
        <f>IFERROR(D4717*E4717,0)</f>
        <v/>
      </c>
      <c r="G4717" s="106">
        <f>INDEX(SETORES!$B:$B,MATCH(A4717,SETORES!$A:$A,0))</f>
        <v/>
      </c>
      <c r="H4717" s="106" t="inlineStr">
        <is>
          <t>Dezembro/2026</t>
        </is>
      </c>
    </row>
    <row r="4718">
      <c r="A4718" s="106" t="inlineStr">
        <is>
          <t>Suporte da Central</t>
        </is>
      </c>
      <c r="B4718" s="106" t="inlineStr">
        <is>
          <t>Custo Fixo</t>
        </is>
      </c>
      <c r="C4718" s="106" t="inlineStr">
        <is>
          <t>Telefonia móvel corporativa</t>
        </is>
      </c>
      <c r="D4718" s="107" t="n"/>
      <c r="E4718" s="108" t="n"/>
      <c r="F4718" s="109">
        <f>IFERROR(D4718*E4718,0)</f>
        <v/>
      </c>
      <c r="G4718" s="106">
        <f>INDEX(SETORES!$B:$B,MATCH(A4718,SETORES!$A:$A,0))</f>
        <v/>
      </c>
      <c r="H4718" s="106" t="inlineStr">
        <is>
          <t>Dezembro/2026</t>
        </is>
      </c>
    </row>
    <row r="4719">
      <c r="A4719" s="106" t="inlineStr">
        <is>
          <t>Suporte da Central</t>
        </is>
      </c>
      <c r="B4719" s="106" t="inlineStr">
        <is>
          <t>Custo Fixo</t>
        </is>
      </c>
      <c r="C4719" s="106" t="inlineStr">
        <is>
          <t>Folha de pagamento (salários)</t>
        </is>
      </c>
      <c r="D4719" s="107" t="n">
        <v>1</v>
      </c>
      <c r="E4719" s="108" t="n">
        <v>106886.23</v>
      </c>
      <c r="F4719" s="109">
        <f>IFERROR(D4719*E4719,0)</f>
        <v/>
      </c>
      <c r="G4719" s="106">
        <f>INDEX(SETORES!$B:$B,MATCH(A4719,SETORES!$A:$A,0))</f>
        <v/>
      </c>
      <c r="H4719" s="106" t="inlineStr">
        <is>
          <t>Dezembro/2026</t>
        </is>
      </c>
    </row>
    <row r="4720">
      <c r="A4720" s="106" t="inlineStr">
        <is>
          <t>Suporte da Central</t>
        </is>
      </c>
      <c r="B4720" s="106" t="inlineStr">
        <is>
          <t>Custo Fixo</t>
        </is>
      </c>
      <c r="C4720" s="106" t="inlineStr">
        <is>
          <t>Licença de e-mail corporativo</t>
        </is>
      </c>
      <c r="D4720" s="107" t="n">
        <v>33</v>
      </c>
      <c r="E4720" s="108" t="n">
        <v>50</v>
      </c>
      <c r="F4720" s="109">
        <f>IFERROR(D4720*E4720,0)</f>
        <v/>
      </c>
      <c r="G4720" s="106">
        <f>INDEX(SETORES!$B:$B,MATCH(A4720,SETORES!$A:$A,0))</f>
        <v/>
      </c>
      <c r="H4720" s="106" t="inlineStr">
        <is>
          <t>Dezembro/2026</t>
        </is>
      </c>
    </row>
    <row r="4721">
      <c r="A4721" s="106" t="inlineStr">
        <is>
          <t>Suporte da Central</t>
        </is>
      </c>
      <c r="B4721" s="106" t="inlineStr">
        <is>
          <t>Custo Fixo</t>
        </is>
      </c>
      <c r="C4721" s="106" t="inlineStr">
        <is>
          <t>Software MATRIX (rateio equipe Relacionamento)</t>
        </is>
      </c>
      <c r="D4721" s="107" t="n"/>
      <c r="E4721" s="108" t="n"/>
      <c r="F4721" s="109">
        <f>IFERROR(D4721*E4721,0)</f>
        <v/>
      </c>
      <c r="G4721" s="106">
        <f>INDEX(SETORES!$B:$B,MATCH(A4721,SETORES!$A:$A,0))</f>
        <v/>
      </c>
      <c r="H4721" s="106" t="inlineStr">
        <is>
          <t>Dezembro/2026</t>
        </is>
      </c>
    </row>
    <row r="4722">
      <c r="A4722" s="106" t="inlineStr">
        <is>
          <t>Suporte da Central</t>
        </is>
      </c>
      <c r="B4722" s="106" t="inlineStr">
        <is>
          <t>Custo Fixo</t>
        </is>
      </c>
      <c r="C4722" s="106" t="inlineStr">
        <is>
          <t>Impressora (rateio equipe Relacionamento)</t>
        </is>
      </c>
      <c r="D4722" s="107" t="n"/>
      <c r="E4722" s="108" t="n"/>
      <c r="F4722" s="109">
        <f>IFERROR(D4722*E4722,0)</f>
        <v/>
      </c>
      <c r="G4722" s="106">
        <f>INDEX(SETORES!$B:$B,MATCH(A4722,SETORES!$A:$A,0))</f>
        <v/>
      </c>
      <c r="H4722" s="106" t="inlineStr">
        <is>
          <t>Dezembro/2026</t>
        </is>
      </c>
    </row>
    <row r="4723">
      <c r="A4723" s="106" t="inlineStr">
        <is>
          <t>Suporte da Central</t>
        </is>
      </c>
      <c r="B4723" s="106" t="inlineStr">
        <is>
          <t>Custo Fixo</t>
        </is>
      </c>
      <c r="C4723" s="106" t="inlineStr">
        <is>
          <t>Gympass</t>
        </is>
      </c>
      <c r="D4723" s="107" t="n"/>
      <c r="E4723" s="108" t="n"/>
      <c r="F4723" s="109">
        <f>IFERROR(D4723*E4723,0)</f>
        <v/>
      </c>
      <c r="G4723" s="106">
        <f>INDEX(SETORES!$B:$B,MATCH(A4723,SETORES!$A:$A,0))</f>
        <v/>
      </c>
      <c r="H4723" s="106" t="inlineStr">
        <is>
          <t>Dezembro/2026</t>
        </is>
      </c>
    </row>
    <row r="4724">
      <c r="A4724" s="106" t="inlineStr">
        <is>
          <t>Suporte da Central</t>
        </is>
      </c>
      <c r="B4724" s="106" t="inlineStr">
        <is>
          <t>Custo Fixo</t>
        </is>
      </c>
      <c r="C4724" s="106" t="inlineStr">
        <is>
          <t>Stargrid</t>
        </is>
      </c>
      <c r="D4724" s="107" t="n">
        <v>33</v>
      </c>
      <c r="E4724" s="108" t="n">
        <v>1.87</v>
      </c>
      <c r="F4724" s="109">
        <f>IFERROR(D4724*E4724,0)</f>
        <v/>
      </c>
      <c r="G4724" s="106">
        <f>INDEX(SETORES!$B:$B,MATCH(A4724,SETORES!$A:$A,0))</f>
        <v/>
      </c>
      <c r="H4724" s="106" t="inlineStr">
        <is>
          <t>Dezembro/2026</t>
        </is>
      </c>
    </row>
    <row r="4725">
      <c r="A4725" s="106" t="inlineStr">
        <is>
          <t>Televendas</t>
        </is>
      </c>
      <c r="B4725" s="106" t="inlineStr">
        <is>
          <t>Custo Fixo</t>
        </is>
      </c>
      <c r="C4725" s="106" t="inlineStr">
        <is>
          <t>Material de escritório (suprimentos de informática)</t>
        </is>
      </c>
      <c r="D4725" s="107" t="n">
        <v>1</v>
      </c>
      <c r="E4725" s="108" t="n">
        <v>3.17</v>
      </c>
      <c r="F4725" s="109">
        <f>IFERROR(D4725*E4725,0)</f>
        <v/>
      </c>
      <c r="G4725" s="106">
        <f>INDEX(SETORES!$B:$B,MATCH(A4725,SETORES!$A:$A,0))</f>
        <v/>
      </c>
      <c r="H4725" s="106" t="inlineStr">
        <is>
          <t>Dezembro/2026</t>
        </is>
      </c>
    </row>
    <row r="4726">
      <c r="A4726" s="106" t="inlineStr">
        <is>
          <t>Televendas</t>
        </is>
      </c>
      <c r="B4726" s="106" t="inlineStr">
        <is>
          <t>Custo Fixo</t>
        </is>
      </c>
      <c r="C4726" s="106" t="inlineStr">
        <is>
          <t>Material de uso coletivo (copa/limpeza)</t>
        </is>
      </c>
      <c r="D4726" s="107" t="n">
        <v>1</v>
      </c>
      <c r="E4726" s="108" t="n">
        <v>556.1</v>
      </c>
      <c r="F4726" s="109">
        <f>IFERROR(D4726*E4726,0)</f>
        <v/>
      </c>
      <c r="G4726" s="106">
        <f>INDEX(SETORES!$B:$B,MATCH(A4726,SETORES!$A:$A,0))</f>
        <v/>
      </c>
      <c r="H4726" s="106" t="inlineStr">
        <is>
          <t>Dezembro/2026</t>
        </is>
      </c>
    </row>
    <row r="4727">
      <c r="A4727" s="106" t="inlineStr">
        <is>
          <t>Televendas</t>
        </is>
      </c>
      <c r="B4727" s="106" t="inlineStr">
        <is>
          <t>Custo Fixo</t>
        </is>
      </c>
      <c r="C4727" s="106" t="inlineStr">
        <is>
          <t>Energia elétrica (rateio)</t>
        </is>
      </c>
      <c r="D4727" s="107" t="n"/>
      <c r="E4727" s="108" t="n"/>
      <c r="F4727" s="109">
        <f>IFERROR(D4727*E4727,0)</f>
        <v/>
      </c>
      <c r="G4727" s="106">
        <f>INDEX(SETORES!$B:$B,MATCH(A4727,SETORES!$A:$A,0))</f>
        <v/>
      </c>
      <c r="H4727" s="106" t="inlineStr">
        <is>
          <t>Dezembro/2026</t>
        </is>
      </c>
    </row>
    <row r="4728">
      <c r="A4728" s="106" t="inlineStr">
        <is>
          <t>Televendas</t>
        </is>
      </c>
      <c r="B4728" s="106" t="inlineStr">
        <is>
          <t>Custo Fixo</t>
        </is>
      </c>
      <c r="C4728" s="106" t="inlineStr">
        <is>
          <t>Água e esgoto (rateio)</t>
        </is>
      </c>
      <c r="D4728" s="107" t="n"/>
      <c r="E4728" s="108" t="n"/>
      <c r="F4728" s="109">
        <f>IFERROR(D4728*E4728,0)</f>
        <v/>
      </c>
      <c r="G4728" s="106">
        <f>INDEX(SETORES!$B:$B,MATCH(A4728,SETORES!$A:$A,0))</f>
        <v/>
      </c>
      <c r="H4728" s="106" t="inlineStr">
        <is>
          <t>Dezembro/2026</t>
        </is>
      </c>
    </row>
    <row r="4729">
      <c r="A4729" s="106" t="inlineStr">
        <is>
          <t>Televendas</t>
        </is>
      </c>
      <c r="B4729" s="106" t="inlineStr">
        <is>
          <t>Custo Fixo</t>
        </is>
      </c>
      <c r="C4729" s="106" t="inlineStr">
        <is>
          <t>Telefonia móvel corporativa</t>
        </is>
      </c>
      <c r="D4729" s="107" t="n"/>
      <c r="E4729" s="108" t="n"/>
      <c r="F4729" s="109">
        <f>IFERROR(D4729*E4729,0)</f>
        <v/>
      </c>
      <c r="G4729" s="106">
        <f>INDEX(SETORES!$B:$B,MATCH(A4729,SETORES!$A:$A,0))</f>
        <v/>
      </c>
      <c r="H4729" s="106" t="inlineStr">
        <is>
          <t>Dezembro/2026</t>
        </is>
      </c>
    </row>
    <row r="4730">
      <c r="A4730" s="106" t="inlineStr">
        <is>
          <t>Televendas</t>
        </is>
      </c>
      <c r="B4730" s="106" t="inlineStr">
        <is>
          <t>Custo Fixo</t>
        </is>
      </c>
      <c r="C4730" s="106" t="inlineStr">
        <is>
          <t>Folha de pagamento (salários)</t>
        </is>
      </c>
      <c r="D4730" s="107" t="n">
        <v>1</v>
      </c>
      <c r="E4730" s="108" t="n">
        <v>128483.01</v>
      </c>
      <c r="F4730" s="109">
        <f>IFERROR(D4730*E4730,0)</f>
        <v/>
      </c>
      <c r="G4730" s="106">
        <f>INDEX(SETORES!$B:$B,MATCH(A4730,SETORES!$A:$A,0))</f>
        <v/>
      </c>
      <c r="H4730" s="106" t="inlineStr">
        <is>
          <t>Dezembro/2026</t>
        </is>
      </c>
    </row>
    <row r="4731">
      <c r="A4731" s="106" t="inlineStr">
        <is>
          <t>Televendas</t>
        </is>
      </c>
      <c r="B4731" s="106" t="inlineStr">
        <is>
          <t>Custo Fixo</t>
        </is>
      </c>
      <c r="C4731" s="106" t="inlineStr">
        <is>
          <t>Licença de e-mail corporativo</t>
        </is>
      </c>
      <c r="D4731" s="107" t="n">
        <v>11</v>
      </c>
      <c r="E4731" s="108" t="n">
        <v>50</v>
      </c>
      <c r="F4731" s="109">
        <f>IFERROR(D4731*E4731,0)</f>
        <v/>
      </c>
      <c r="G4731" s="106">
        <f>INDEX(SETORES!$B:$B,MATCH(A4731,SETORES!$A:$A,0))</f>
        <v/>
      </c>
      <c r="H4731" s="106" t="inlineStr">
        <is>
          <t>Dezembro/2026</t>
        </is>
      </c>
    </row>
    <row r="4732">
      <c r="A4732" s="106" t="inlineStr">
        <is>
          <t>Televendas</t>
        </is>
      </c>
      <c r="B4732" s="106" t="inlineStr">
        <is>
          <t>Custo Fixo</t>
        </is>
      </c>
      <c r="C4732" s="106" t="inlineStr">
        <is>
          <t>Gympass</t>
        </is>
      </c>
      <c r="D4732" s="107" t="n"/>
      <c r="E4732" s="108" t="n"/>
      <c r="F4732" s="109">
        <f>IFERROR(D4732*E4732,0)</f>
        <v/>
      </c>
      <c r="G4732" s="106">
        <f>INDEX(SETORES!$B:$B,MATCH(A4732,SETORES!$A:$A,0))</f>
        <v/>
      </c>
      <c r="H4732" s="106" t="inlineStr">
        <is>
          <t>Dezembro/2026</t>
        </is>
      </c>
    </row>
    <row r="4733">
      <c r="A4733" s="106" t="inlineStr">
        <is>
          <t>Televendas</t>
        </is>
      </c>
      <c r="B4733" s="106" t="inlineStr">
        <is>
          <t>Custo Fixo</t>
        </is>
      </c>
      <c r="C4733" s="106" t="inlineStr">
        <is>
          <t>Stargrid</t>
        </is>
      </c>
      <c r="D4733" s="107" t="n">
        <v>11</v>
      </c>
      <c r="E4733" s="108" t="n">
        <v>1.87</v>
      </c>
      <c r="F4733" s="109">
        <f>IFERROR(D4733*E4733,0)</f>
        <v/>
      </c>
      <c r="G4733" s="106">
        <f>INDEX(SETORES!$B:$B,MATCH(A4733,SETORES!$A:$A,0))</f>
        <v/>
      </c>
      <c r="H4733" s="106" t="inlineStr">
        <is>
          <t>Dezembro/2026</t>
        </is>
      </c>
    </row>
    <row r="4734">
      <c r="A4734" s="106" t="inlineStr">
        <is>
          <t>Administrativo</t>
        </is>
      </c>
      <c r="B4734" s="106" t="inlineStr">
        <is>
          <t>Custo Fixo</t>
        </is>
      </c>
      <c r="C4734" s="106" t="inlineStr">
        <is>
          <t>Licença Google Workspace</t>
        </is>
      </c>
      <c r="D4734" s="107" t="n">
        <v>1</v>
      </c>
      <c r="E4734" s="108" t="n">
        <v>21454</v>
      </c>
      <c r="F4734" s="109">
        <f>IFERROR(D4734*E4734,0)</f>
        <v/>
      </c>
      <c r="G4734" s="106">
        <f>INDEX(SETORES!$B:$B,MATCH(A4734,SETORES!$A:$A,0))</f>
        <v/>
      </c>
      <c r="H4734" s="106" t="inlineStr">
        <is>
          <t>Dezembro/2026</t>
        </is>
      </c>
    </row>
    <row r="4735">
      <c r="A4735" s="106" t="inlineStr">
        <is>
          <t>Gestão de Atendimento</t>
        </is>
      </c>
      <c r="B4735" s="106" t="inlineStr">
        <is>
          <t>Custo Fixo</t>
        </is>
      </c>
      <c r="C4735" s="106" t="inlineStr">
        <is>
          <t>Despesas com RH</t>
        </is>
      </c>
      <c r="D4735" s="107" t="n">
        <v>17</v>
      </c>
      <c r="E4735" s="108" t="n">
        <v>32.55</v>
      </c>
      <c r="F4735" s="109">
        <f>IFERROR(D4735*E4735,0)</f>
        <v/>
      </c>
      <c r="G4735" s="106">
        <f>INDEX(SETORES!$B:$B,MATCH(A4735,SETORES!$A:$A,0))</f>
        <v/>
      </c>
      <c r="H4735" s="106" t="inlineStr">
        <is>
          <t>Dezembro/2026</t>
        </is>
      </c>
    </row>
    <row r="4736">
      <c r="A4736" s="106" t="inlineStr">
        <is>
          <t>Gestão de Atendimento</t>
        </is>
      </c>
      <c r="B4736" s="106" t="inlineStr">
        <is>
          <t>Custo Fixo</t>
        </is>
      </c>
      <c r="C4736" s="106" t="inlineStr">
        <is>
          <t>Despesas com DP</t>
        </is>
      </c>
      <c r="D4736" s="107" t="n">
        <v>17</v>
      </c>
      <c r="E4736" s="108" t="n">
        <v>52.09</v>
      </c>
      <c r="F4736" s="109">
        <f>IFERROR(D4736*E4736,0)</f>
        <v/>
      </c>
      <c r="G4736" s="106">
        <f>INDEX(SETORES!$B:$B,MATCH(A4736,SETORES!$A:$A,0))</f>
        <v/>
      </c>
      <c r="H4736" s="106" t="inlineStr">
        <is>
          <t>Dezembro/2026</t>
        </is>
      </c>
    </row>
    <row r="4737">
      <c r="A4737" s="106" t="inlineStr">
        <is>
          <t>Gestão de Atendimento</t>
        </is>
      </c>
      <c r="B4737" s="106" t="inlineStr">
        <is>
          <t>Custo Fixo</t>
        </is>
      </c>
      <c r="C4737" s="106" t="inlineStr">
        <is>
          <t>Despesas com SST</t>
        </is>
      </c>
      <c r="D4737" s="107" t="n">
        <v>17</v>
      </c>
      <c r="E4737" s="108" t="n">
        <v>52.35</v>
      </c>
      <c r="F4737" s="109">
        <f>IFERROR(D4737*E4737,0)</f>
        <v/>
      </c>
      <c r="G4737" s="106">
        <f>INDEX(SETORES!$B:$B,MATCH(A4737,SETORES!$A:$A,0))</f>
        <v/>
      </c>
      <c r="H4737" s="106" t="inlineStr">
        <is>
          <t>Dezembro/2026</t>
        </is>
      </c>
    </row>
    <row r="4738">
      <c r="A4738" s="106" t="inlineStr">
        <is>
          <t>CAC</t>
        </is>
      </c>
      <c r="B4738" s="106" t="inlineStr">
        <is>
          <t>Custo Fixo</t>
        </is>
      </c>
      <c r="C4738" s="106" t="inlineStr">
        <is>
          <t>Despesas com RH</t>
        </is>
      </c>
      <c r="D4738" s="107" t="n">
        <v>5</v>
      </c>
      <c r="E4738" s="108" t="n">
        <v>32.55</v>
      </c>
      <c r="F4738" s="109">
        <f>IFERROR(D4738*E4738,0)</f>
        <v/>
      </c>
      <c r="G4738" s="106">
        <f>INDEX(SETORES!$B:$B,MATCH(A4738,SETORES!$A:$A,0))</f>
        <v/>
      </c>
      <c r="H4738" s="106" t="inlineStr">
        <is>
          <t>Dezembro/2026</t>
        </is>
      </c>
    </row>
    <row r="4739">
      <c r="A4739" s="106" t="inlineStr">
        <is>
          <t>CAC</t>
        </is>
      </c>
      <c r="B4739" s="106" t="inlineStr">
        <is>
          <t>Custo Fixo</t>
        </is>
      </c>
      <c r="C4739" s="106" t="inlineStr">
        <is>
          <t>Despesas com DP</t>
        </is>
      </c>
      <c r="D4739" s="107" t="n">
        <v>5</v>
      </c>
      <c r="E4739" s="108" t="n">
        <v>52.09</v>
      </c>
      <c r="F4739" s="109">
        <f>IFERROR(D4739*E4739,0)</f>
        <v/>
      </c>
      <c r="G4739" s="106">
        <f>INDEX(SETORES!$B:$B,MATCH(A4739,SETORES!$A:$A,0))</f>
        <v/>
      </c>
      <c r="H4739" s="106" t="inlineStr">
        <is>
          <t>Dezembro/2026</t>
        </is>
      </c>
    </row>
    <row r="4740">
      <c r="A4740" s="106" t="inlineStr">
        <is>
          <t>CAC</t>
        </is>
      </c>
      <c r="B4740" s="106" t="inlineStr">
        <is>
          <t>Custo Fixo</t>
        </is>
      </c>
      <c r="C4740" s="106" t="inlineStr">
        <is>
          <t>Despesas com SST</t>
        </is>
      </c>
      <c r="D4740" s="107" t="n">
        <v>5</v>
      </c>
      <c r="E4740" s="108" t="n">
        <v>52.35</v>
      </c>
      <c r="F4740" s="109">
        <f>IFERROR(D4740*E4740,0)</f>
        <v/>
      </c>
      <c r="G4740" s="106">
        <f>INDEX(SETORES!$B:$B,MATCH(A4740,SETORES!$A:$A,0))</f>
        <v/>
      </c>
      <c r="H4740" s="106" t="inlineStr">
        <is>
          <t>Dezembro/2026</t>
        </is>
      </c>
    </row>
    <row r="4741">
      <c r="A4741" s="106" t="inlineStr">
        <is>
          <t>Cobrança</t>
        </is>
      </c>
      <c r="B4741" s="106" t="inlineStr">
        <is>
          <t>Custo Fixo</t>
        </is>
      </c>
      <c r="C4741" s="106" t="inlineStr">
        <is>
          <t>Despesas com RH</t>
        </is>
      </c>
      <c r="D4741" s="107" t="n">
        <v>13</v>
      </c>
      <c r="E4741" s="108" t="n">
        <v>32.55</v>
      </c>
      <c r="F4741" s="109">
        <f>IFERROR(D4741*E4741,0)</f>
        <v/>
      </c>
      <c r="G4741" s="106">
        <f>INDEX(SETORES!$B:$B,MATCH(A4741,SETORES!$A:$A,0))</f>
        <v/>
      </c>
      <c r="H4741" s="106" t="inlineStr">
        <is>
          <t>Dezembro/2026</t>
        </is>
      </c>
    </row>
    <row r="4742">
      <c r="A4742" s="106" t="inlineStr">
        <is>
          <t>Cobrança</t>
        </is>
      </c>
      <c r="B4742" s="106" t="inlineStr">
        <is>
          <t>Custo Fixo</t>
        </is>
      </c>
      <c r="C4742" s="106" t="inlineStr">
        <is>
          <t>Despesas com DP</t>
        </is>
      </c>
      <c r="D4742" s="107" t="n">
        <v>13</v>
      </c>
      <c r="E4742" s="108" t="n">
        <v>52.09</v>
      </c>
      <c r="F4742" s="109">
        <f>IFERROR(D4742*E4742,0)</f>
        <v/>
      </c>
      <c r="G4742" s="106">
        <f>INDEX(SETORES!$B:$B,MATCH(A4742,SETORES!$A:$A,0))</f>
        <v/>
      </c>
      <c r="H4742" s="106" t="inlineStr">
        <is>
          <t>Dezembro/2026</t>
        </is>
      </c>
    </row>
    <row r="4743">
      <c r="A4743" s="106" t="inlineStr">
        <is>
          <t>Cobrança</t>
        </is>
      </c>
      <c r="B4743" s="106" t="inlineStr">
        <is>
          <t>Custo Fixo</t>
        </is>
      </c>
      <c r="C4743" s="106" t="inlineStr">
        <is>
          <t>Despesas com SST</t>
        </is>
      </c>
      <c r="D4743" s="107" t="n">
        <v>13</v>
      </c>
      <c r="E4743" s="108" t="n">
        <v>52.35</v>
      </c>
      <c r="F4743" s="109">
        <f>IFERROR(D4743*E4743,0)</f>
        <v/>
      </c>
      <c r="G4743" s="106">
        <f>INDEX(SETORES!$B:$B,MATCH(A4743,SETORES!$A:$A,0))</f>
        <v/>
      </c>
      <c r="H4743" s="106" t="inlineStr">
        <is>
          <t>Dezembro/2026</t>
        </is>
      </c>
    </row>
    <row r="4744">
      <c r="A4744" s="106" t="inlineStr">
        <is>
          <t>Compras</t>
        </is>
      </c>
      <c r="B4744" s="106" t="inlineStr">
        <is>
          <t>Custo Fixo</t>
        </is>
      </c>
      <c r="C4744" s="106" t="inlineStr">
        <is>
          <t>Despesas com RH</t>
        </is>
      </c>
      <c r="D4744" s="107" t="n">
        <v>5</v>
      </c>
      <c r="E4744" s="108" t="n">
        <v>32.55</v>
      </c>
      <c r="F4744" s="109">
        <f>IFERROR(D4744*E4744,0)</f>
        <v/>
      </c>
      <c r="G4744" s="106">
        <f>INDEX(SETORES!$B:$B,MATCH(A4744,SETORES!$A:$A,0))</f>
        <v/>
      </c>
      <c r="H4744" s="106" t="inlineStr">
        <is>
          <t>Dezembro/2026</t>
        </is>
      </c>
    </row>
    <row r="4745">
      <c r="A4745" s="106" t="inlineStr">
        <is>
          <t>Compras</t>
        </is>
      </c>
      <c r="B4745" s="106" t="inlineStr">
        <is>
          <t>Custo Fixo</t>
        </is>
      </c>
      <c r="C4745" s="106" t="inlineStr">
        <is>
          <t>Despesas com DP</t>
        </is>
      </c>
      <c r="D4745" s="107" t="n">
        <v>5</v>
      </c>
      <c r="E4745" s="108" t="n">
        <v>52.09</v>
      </c>
      <c r="F4745" s="109">
        <f>IFERROR(D4745*E4745,0)</f>
        <v/>
      </c>
      <c r="G4745" s="106">
        <f>INDEX(SETORES!$B:$B,MATCH(A4745,SETORES!$A:$A,0))</f>
        <v/>
      </c>
      <c r="H4745" s="106" t="inlineStr">
        <is>
          <t>Dezembro/2026</t>
        </is>
      </c>
    </row>
    <row r="4746">
      <c r="A4746" s="106" t="inlineStr">
        <is>
          <t>Compras</t>
        </is>
      </c>
      <c r="B4746" s="106" t="inlineStr">
        <is>
          <t>Custo Fixo</t>
        </is>
      </c>
      <c r="C4746" s="106" t="inlineStr">
        <is>
          <t>Despesas com SST</t>
        </is>
      </c>
      <c r="D4746" s="107" t="n">
        <v>5</v>
      </c>
      <c r="E4746" s="108" t="n">
        <v>52.35</v>
      </c>
      <c r="F4746" s="109">
        <f>IFERROR(D4746*E4746,0)</f>
        <v/>
      </c>
      <c r="G4746" s="106">
        <f>INDEX(SETORES!$B:$B,MATCH(A4746,SETORES!$A:$A,0))</f>
        <v/>
      </c>
      <c r="H4746" s="106" t="inlineStr">
        <is>
          <t>Dezembro/2026</t>
        </is>
      </c>
    </row>
    <row r="4747">
      <c r="A4747" s="106" t="inlineStr">
        <is>
          <t>Contabilidade</t>
        </is>
      </c>
      <c r="B4747" s="106" t="inlineStr">
        <is>
          <t>Custo Fixo</t>
        </is>
      </c>
      <c r="C4747" s="106" t="inlineStr">
        <is>
          <t>Despesas com RH</t>
        </is>
      </c>
      <c r="D4747" s="107" t="n">
        <v>6</v>
      </c>
      <c r="E4747" s="108" t="n">
        <v>32.55</v>
      </c>
      <c r="F4747" s="109">
        <f>IFERROR(D4747*E4747,0)</f>
        <v/>
      </c>
      <c r="G4747" s="106">
        <f>INDEX(SETORES!$B:$B,MATCH(A4747,SETORES!$A:$A,0))</f>
        <v/>
      </c>
      <c r="H4747" s="106" t="inlineStr">
        <is>
          <t>Dezembro/2026</t>
        </is>
      </c>
    </row>
    <row r="4748">
      <c r="A4748" s="106" t="inlineStr">
        <is>
          <t>Contabilidade</t>
        </is>
      </c>
      <c r="B4748" s="106" t="inlineStr">
        <is>
          <t>Custo Fixo</t>
        </is>
      </c>
      <c r="C4748" s="106" t="inlineStr">
        <is>
          <t>Despesas com DP</t>
        </is>
      </c>
      <c r="D4748" s="107" t="n">
        <v>6</v>
      </c>
      <c r="E4748" s="108" t="n">
        <v>52.09</v>
      </c>
      <c r="F4748" s="109">
        <f>IFERROR(D4748*E4748,0)</f>
        <v/>
      </c>
      <c r="G4748" s="106">
        <f>INDEX(SETORES!$B:$B,MATCH(A4748,SETORES!$A:$A,0))</f>
        <v/>
      </c>
      <c r="H4748" s="106" t="inlineStr">
        <is>
          <t>Dezembro/2026</t>
        </is>
      </c>
    </row>
    <row r="4749">
      <c r="A4749" s="106" t="inlineStr">
        <is>
          <t>Contabilidade</t>
        </is>
      </c>
      <c r="B4749" s="106" t="inlineStr">
        <is>
          <t>Custo Fixo</t>
        </is>
      </c>
      <c r="C4749" s="106" t="inlineStr">
        <is>
          <t>Despesas com SST</t>
        </is>
      </c>
      <c r="D4749" s="107" t="n">
        <v>6</v>
      </c>
      <c r="E4749" s="108" t="n">
        <v>52.35</v>
      </c>
      <c r="F4749" s="109">
        <f>IFERROR(D4749*E4749,0)</f>
        <v/>
      </c>
      <c r="G4749" s="106">
        <f>INDEX(SETORES!$B:$B,MATCH(A4749,SETORES!$A:$A,0))</f>
        <v/>
      </c>
      <c r="H4749" s="106" t="inlineStr">
        <is>
          <t>Dezembro/2026</t>
        </is>
      </c>
    </row>
    <row r="4750">
      <c r="A4750" s="106" t="inlineStr">
        <is>
          <t>Controladoria</t>
        </is>
      </c>
      <c r="B4750" s="106" t="inlineStr">
        <is>
          <t>Custo Fixo</t>
        </is>
      </c>
      <c r="C4750" s="106" t="inlineStr">
        <is>
          <t>Despesas com RH</t>
        </is>
      </c>
      <c r="D4750" s="107" t="n">
        <v>1</v>
      </c>
      <c r="E4750" s="108" t="n">
        <v>32.55</v>
      </c>
      <c r="F4750" s="109">
        <f>IFERROR(D4750*E4750,0)</f>
        <v/>
      </c>
      <c r="G4750" s="106">
        <f>INDEX(SETORES!$B:$B,MATCH(A4750,SETORES!$A:$A,0))</f>
        <v/>
      </c>
      <c r="H4750" s="106" t="inlineStr">
        <is>
          <t>Dezembro/2026</t>
        </is>
      </c>
    </row>
    <row r="4751">
      <c r="A4751" s="106" t="inlineStr">
        <is>
          <t>Controladoria</t>
        </is>
      </c>
      <c r="B4751" s="106" t="inlineStr">
        <is>
          <t>Custo Fixo</t>
        </is>
      </c>
      <c r="C4751" s="106" t="inlineStr">
        <is>
          <t>Despesas com DP</t>
        </is>
      </c>
      <c r="D4751" s="107" t="n">
        <v>1</v>
      </c>
      <c r="E4751" s="108" t="n">
        <v>52.09</v>
      </c>
      <c r="F4751" s="109">
        <f>IFERROR(D4751*E4751,0)</f>
        <v/>
      </c>
      <c r="G4751" s="106">
        <f>INDEX(SETORES!$B:$B,MATCH(A4751,SETORES!$A:$A,0))</f>
        <v/>
      </c>
      <c r="H4751" s="106" t="inlineStr">
        <is>
          <t>Dezembro/2026</t>
        </is>
      </c>
    </row>
    <row r="4752">
      <c r="A4752" s="106" t="inlineStr">
        <is>
          <t>Controladoria</t>
        </is>
      </c>
      <c r="B4752" s="106" t="inlineStr">
        <is>
          <t>Custo Fixo</t>
        </is>
      </c>
      <c r="C4752" s="106" t="inlineStr">
        <is>
          <t>Despesas com SST</t>
        </is>
      </c>
      <c r="D4752" s="107" t="n">
        <v>1</v>
      </c>
      <c r="E4752" s="108" t="n">
        <v>52.35</v>
      </c>
      <c r="F4752" s="109">
        <f>IFERROR(D4752*E4752,0)</f>
        <v/>
      </c>
      <c r="G4752" s="106">
        <f>INDEX(SETORES!$B:$B,MATCH(A4752,SETORES!$A:$A,0))</f>
        <v/>
      </c>
      <c r="H4752" s="106" t="inlineStr">
        <is>
          <t>Dezembro/2026</t>
        </is>
      </c>
    </row>
    <row r="4753">
      <c r="A4753" s="106" t="inlineStr">
        <is>
          <t>DP</t>
        </is>
      </c>
      <c r="B4753" s="106" t="inlineStr">
        <is>
          <t>Custo Fixo</t>
        </is>
      </c>
      <c r="C4753" s="106" t="inlineStr">
        <is>
          <t>Despesas com RH</t>
        </is>
      </c>
      <c r="D4753" s="107" t="n">
        <v>9</v>
      </c>
      <c r="E4753" s="108" t="n">
        <v>32.55</v>
      </c>
      <c r="F4753" s="109">
        <f>IFERROR(D4753*E4753,0)</f>
        <v/>
      </c>
      <c r="G4753" s="106">
        <f>INDEX(SETORES!$B:$B,MATCH(A4753,SETORES!$A:$A,0))</f>
        <v/>
      </c>
      <c r="H4753" s="106" t="inlineStr">
        <is>
          <t>Dezembro/2026</t>
        </is>
      </c>
    </row>
    <row r="4754">
      <c r="A4754" s="106" t="inlineStr">
        <is>
          <t>DP</t>
        </is>
      </c>
      <c r="B4754" s="106" t="inlineStr">
        <is>
          <t>Custo Fixo</t>
        </is>
      </c>
      <c r="C4754" s="106" t="inlineStr">
        <is>
          <t>Despesas com DP</t>
        </is>
      </c>
      <c r="D4754" s="107" t="n">
        <v>9</v>
      </c>
      <c r="E4754" s="108" t="n">
        <v>52.09</v>
      </c>
      <c r="F4754" s="109">
        <f>IFERROR(D4754*E4754,0)</f>
        <v/>
      </c>
      <c r="G4754" s="106">
        <f>INDEX(SETORES!$B:$B,MATCH(A4754,SETORES!$A:$A,0))</f>
        <v/>
      </c>
      <c r="H4754" s="106" t="inlineStr">
        <is>
          <t>Dezembro/2026</t>
        </is>
      </c>
    </row>
    <row r="4755">
      <c r="A4755" s="106" t="inlineStr">
        <is>
          <t>DP</t>
        </is>
      </c>
      <c r="B4755" s="106" t="inlineStr">
        <is>
          <t>Custo Fixo</t>
        </is>
      </c>
      <c r="C4755" s="106" t="inlineStr">
        <is>
          <t>Despesas com SST</t>
        </is>
      </c>
      <c r="D4755" s="107" t="n">
        <v>9</v>
      </c>
      <c r="E4755" s="108" t="n">
        <v>52.35</v>
      </c>
      <c r="F4755" s="109">
        <f>IFERROR(D4755*E4755,0)</f>
        <v/>
      </c>
      <c r="G4755" s="106">
        <f>INDEX(SETORES!$B:$B,MATCH(A4755,SETORES!$A:$A,0))</f>
        <v/>
      </c>
      <c r="H4755" s="106" t="inlineStr">
        <is>
          <t>Dezembro/2026</t>
        </is>
      </c>
    </row>
    <row r="4756">
      <c r="A4756" s="106" t="inlineStr">
        <is>
          <t>Diretoria Operacional</t>
        </is>
      </c>
      <c r="B4756" s="106" t="inlineStr">
        <is>
          <t>Custo Fixo</t>
        </is>
      </c>
      <c r="C4756" s="106" t="inlineStr">
        <is>
          <t>Despesas com RH</t>
        </is>
      </c>
      <c r="D4756" s="107" t="n">
        <v>2</v>
      </c>
      <c r="E4756" s="108" t="n">
        <v>32.55</v>
      </c>
      <c r="F4756" s="109">
        <f>IFERROR(D4756*E4756,0)</f>
        <v/>
      </c>
      <c r="G4756" s="106">
        <f>INDEX(SETORES!$B:$B,MATCH(A4756,SETORES!$A:$A,0))</f>
        <v/>
      </c>
      <c r="H4756" s="106" t="inlineStr">
        <is>
          <t>Dezembro/2026</t>
        </is>
      </c>
    </row>
    <row r="4757">
      <c r="A4757" s="106" t="inlineStr">
        <is>
          <t>Diretoria Operacional</t>
        </is>
      </c>
      <c r="B4757" s="106" t="inlineStr">
        <is>
          <t>Custo Fixo</t>
        </is>
      </c>
      <c r="C4757" s="106" t="inlineStr">
        <is>
          <t>Despesas com DP</t>
        </is>
      </c>
      <c r="D4757" s="107" t="n">
        <v>2</v>
      </c>
      <c r="E4757" s="108" t="n">
        <v>52.09</v>
      </c>
      <c r="F4757" s="109">
        <f>IFERROR(D4757*E4757,0)</f>
        <v/>
      </c>
      <c r="G4757" s="106">
        <f>INDEX(SETORES!$B:$B,MATCH(A4757,SETORES!$A:$A,0))</f>
        <v/>
      </c>
      <c r="H4757" s="106" t="inlineStr">
        <is>
          <t>Dezembro/2026</t>
        </is>
      </c>
    </row>
    <row r="4758">
      <c r="A4758" s="106" t="inlineStr">
        <is>
          <t>Diretoria Operacional</t>
        </is>
      </c>
      <c r="B4758" s="106" t="inlineStr">
        <is>
          <t>Custo Fixo</t>
        </is>
      </c>
      <c r="C4758" s="106" t="inlineStr">
        <is>
          <t>Despesas com SST</t>
        </is>
      </c>
      <c r="D4758" s="107" t="n">
        <v>2</v>
      </c>
      <c r="E4758" s="108" t="n">
        <v>52.35</v>
      </c>
      <c r="F4758" s="109">
        <f>IFERROR(D4758*E4758,0)</f>
        <v/>
      </c>
      <c r="G4758" s="106">
        <f>INDEX(SETORES!$B:$B,MATCH(A4758,SETORES!$A:$A,0))</f>
        <v/>
      </c>
      <c r="H4758" s="106" t="inlineStr">
        <is>
          <t>Dezembro/2026</t>
        </is>
      </c>
    </row>
    <row r="4759">
      <c r="A4759" s="106" t="inlineStr">
        <is>
          <t>Engenharia</t>
        </is>
      </c>
      <c r="B4759" s="106" t="inlineStr">
        <is>
          <t>Custo Fixo</t>
        </is>
      </c>
      <c r="C4759" s="106" t="inlineStr">
        <is>
          <t>Despesas com RH</t>
        </is>
      </c>
      <c r="D4759" s="107" t="n">
        <v>9</v>
      </c>
      <c r="E4759" s="108" t="n">
        <v>32.55</v>
      </c>
      <c r="F4759" s="109">
        <f>IFERROR(D4759*E4759,0)</f>
        <v/>
      </c>
      <c r="G4759" s="106">
        <f>INDEX(SETORES!$B:$B,MATCH(A4759,SETORES!$A:$A,0))</f>
        <v/>
      </c>
      <c r="H4759" s="106" t="inlineStr">
        <is>
          <t>Dezembro/2026</t>
        </is>
      </c>
    </row>
    <row r="4760">
      <c r="A4760" s="106" t="inlineStr">
        <is>
          <t>Engenharia</t>
        </is>
      </c>
      <c r="B4760" s="106" t="inlineStr">
        <is>
          <t>Custo Fixo</t>
        </is>
      </c>
      <c r="C4760" s="106" t="inlineStr">
        <is>
          <t>Despesas com DP</t>
        </is>
      </c>
      <c r="D4760" s="107" t="n">
        <v>9</v>
      </c>
      <c r="E4760" s="108" t="n">
        <v>52.09</v>
      </c>
      <c r="F4760" s="109">
        <f>IFERROR(D4760*E4760,0)</f>
        <v/>
      </c>
      <c r="G4760" s="106">
        <f>INDEX(SETORES!$B:$B,MATCH(A4760,SETORES!$A:$A,0))</f>
        <v/>
      </c>
      <c r="H4760" s="106" t="inlineStr">
        <is>
          <t>Dezembro/2026</t>
        </is>
      </c>
    </row>
    <row r="4761">
      <c r="A4761" s="106" t="inlineStr">
        <is>
          <t>Engenharia</t>
        </is>
      </c>
      <c r="B4761" s="106" t="inlineStr">
        <is>
          <t>Custo Fixo</t>
        </is>
      </c>
      <c r="C4761" s="106" t="inlineStr">
        <is>
          <t>Despesas com SST</t>
        </is>
      </c>
      <c r="D4761" s="107" t="n">
        <v>9</v>
      </c>
      <c r="E4761" s="108" t="n">
        <v>52.35</v>
      </c>
      <c r="F4761" s="109">
        <f>IFERROR(D4761*E4761,0)</f>
        <v/>
      </c>
      <c r="G4761" s="106">
        <f>INDEX(SETORES!$B:$B,MATCH(A4761,SETORES!$A:$A,0))</f>
        <v/>
      </c>
      <c r="H4761" s="106" t="inlineStr">
        <is>
          <t>Dezembro/2026</t>
        </is>
      </c>
    </row>
    <row r="4762">
      <c r="A4762" s="106" t="inlineStr">
        <is>
          <t>Estoque</t>
        </is>
      </c>
      <c r="B4762" s="106" t="inlineStr">
        <is>
          <t>Custo Fixo</t>
        </is>
      </c>
      <c r="C4762" s="106" t="inlineStr">
        <is>
          <t>Despesas com RH</t>
        </is>
      </c>
      <c r="D4762" s="107" t="n">
        <v>16</v>
      </c>
      <c r="E4762" s="108" t="n">
        <v>32.55</v>
      </c>
      <c r="F4762" s="109">
        <f>IFERROR(D4762*E4762,0)</f>
        <v/>
      </c>
      <c r="G4762" s="106">
        <f>INDEX(SETORES!$B:$B,MATCH(A4762,SETORES!$A:$A,0))</f>
        <v/>
      </c>
      <c r="H4762" s="106" t="inlineStr">
        <is>
          <t>Dezembro/2026</t>
        </is>
      </c>
    </row>
    <row r="4763">
      <c r="A4763" s="106" t="inlineStr">
        <is>
          <t>Estoque</t>
        </is>
      </c>
      <c r="B4763" s="106" t="inlineStr">
        <is>
          <t>Custo Fixo</t>
        </is>
      </c>
      <c r="C4763" s="106" t="inlineStr">
        <is>
          <t>Despesas com DP</t>
        </is>
      </c>
      <c r="D4763" s="107" t="n">
        <v>16</v>
      </c>
      <c r="E4763" s="108" t="n">
        <v>52.09</v>
      </c>
      <c r="F4763" s="109">
        <f>IFERROR(D4763*E4763,0)</f>
        <v/>
      </c>
      <c r="G4763" s="106">
        <f>INDEX(SETORES!$B:$B,MATCH(A4763,SETORES!$A:$A,0))</f>
        <v/>
      </c>
      <c r="H4763" s="106" t="inlineStr">
        <is>
          <t>Dezembro/2026</t>
        </is>
      </c>
    </row>
    <row r="4764">
      <c r="A4764" s="106" t="inlineStr">
        <is>
          <t>Estoque</t>
        </is>
      </c>
      <c r="B4764" s="106" t="inlineStr">
        <is>
          <t>Custo Fixo</t>
        </is>
      </c>
      <c r="C4764" s="106" t="inlineStr">
        <is>
          <t>Despesas com SST</t>
        </is>
      </c>
      <c r="D4764" s="107" t="n">
        <v>16</v>
      </c>
      <c r="E4764" s="108" t="n">
        <v>52.35</v>
      </c>
      <c r="F4764" s="109">
        <f>IFERROR(D4764*E4764,0)</f>
        <v/>
      </c>
      <c r="G4764" s="106">
        <f>INDEX(SETORES!$B:$B,MATCH(A4764,SETORES!$A:$A,0))</f>
        <v/>
      </c>
      <c r="H4764" s="106" t="inlineStr">
        <is>
          <t>Dezembro/2026</t>
        </is>
      </c>
    </row>
    <row r="4765">
      <c r="A4765" s="106" t="inlineStr">
        <is>
          <t>Financeiro</t>
        </is>
      </c>
      <c r="B4765" s="106" t="inlineStr">
        <is>
          <t>Custo Fixo</t>
        </is>
      </c>
      <c r="C4765" s="106" t="inlineStr">
        <is>
          <t>Despesas com RH</t>
        </is>
      </c>
      <c r="D4765" s="107" t="n">
        <v>8</v>
      </c>
      <c r="E4765" s="108" t="n">
        <v>32.55</v>
      </c>
      <c r="F4765" s="109">
        <f>IFERROR(D4765*E4765,0)</f>
        <v/>
      </c>
      <c r="G4765" s="106">
        <f>INDEX(SETORES!$B:$B,MATCH(A4765,SETORES!$A:$A,0))</f>
        <v/>
      </c>
      <c r="H4765" s="106" t="inlineStr">
        <is>
          <t>Dezembro/2026</t>
        </is>
      </c>
    </row>
    <row r="4766">
      <c r="A4766" s="106" t="inlineStr">
        <is>
          <t>Financeiro</t>
        </is>
      </c>
      <c r="B4766" s="106" t="inlineStr">
        <is>
          <t>Custo Fixo</t>
        </is>
      </c>
      <c r="C4766" s="106" t="inlineStr">
        <is>
          <t>Despesas com DP</t>
        </is>
      </c>
      <c r="D4766" s="107" t="n">
        <v>8</v>
      </c>
      <c r="E4766" s="108" t="n">
        <v>52.09</v>
      </c>
      <c r="F4766" s="109">
        <f>IFERROR(D4766*E4766,0)</f>
        <v/>
      </c>
      <c r="G4766" s="106">
        <f>INDEX(SETORES!$B:$B,MATCH(A4766,SETORES!$A:$A,0))</f>
        <v/>
      </c>
      <c r="H4766" s="106" t="inlineStr">
        <is>
          <t>Dezembro/2026</t>
        </is>
      </c>
    </row>
    <row r="4767">
      <c r="A4767" s="106" t="inlineStr">
        <is>
          <t>Financeiro</t>
        </is>
      </c>
      <c r="B4767" s="106" t="inlineStr">
        <is>
          <t>Custo Fixo</t>
        </is>
      </c>
      <c r="C4767" s="106" t="inlineStr">
        <is>
          <t>Despesas com SST</t>
        </is>
      </c>
      <c r="D4767" s="107" t="n">
        <v>8</v>
      </c>
      <c r="E4767" s="108" t="n">
        <v>52.35</v>
      </c>
      <c r="F4767" s="109">
        <f>IFERROR(D4767*E4767,0)</f>
        <v/>
      </c>
      <c r="G4767" s="106">
        <f>INDEX(SETORES!$B:$B,MATCH(A4767,SETORES!$A:$A,0))</f>
        <v/>
      </c>
      <c r="H4767" s="106" t="inlineStr">
        <is>
          <t>Dezembro/2026</t>
        </is>
      </c>
    </row>
    <row r="4768">
      <c r="A4768" s="106" t="inlineStr">
        <is>
          <t>Logística</t>
        </is>
      </c>
      <c r="B4768" s="106" t="inlineStr">
        <is>
          <t>Custo Fixo</t>
        </is>
      </c>
      <c r="C4768" s="106" t="inlineStr">
        <is>
          <t>Despesas com RH</t>
        </is>
      </c>
      <c r="D4768" s="107" t="n">
        <v>16</v>
      </c>
      <c r="E4768" s="108" t="n">
        <v>32.55</v>
      </c>
      <c r="F4768" s="109">
        <f>IFERROR(D4768*E4768,0)</f>
        <v/>
      </c>
      <c r="G4768" s="106">
        <f>INDEX(SETORES!$B:$B,MATCH(A4768,SETORES!$A:$A,0))</f>
        <v/>
      </c>
      <c r="H4768" s="106" t="inlineStr">
        <is>
          <t>Dezembro/2026</t>
        </is>
      </c>
    </row>
    <row r="4769">
      <c r="A4769" s="106" t="inlineStr">
        <is>
          <t>Logística</t>
        </is>
      </c>
      <c r="B4769" s="106" t="inlineStr">
        <is>
          <t>Custo Fixo</t>
        </is>
      </c>
      <c r="C4769" s="106" t="inlineStr">
        <is>
          <t>Despesas com DP</t>
        </is>
      </c>
      <c r="D4769" s="107" t="n">
        <v>16</v>
      </c>
      <c r="E4769" s="108" t="n">
        <v>52.09</v>
      </c>
      <c r="F4769" s="109">
        <f>IFERROR(D4769*E4769,0)</f>
        <v/>
      </c>
      <c r="G4769" s="106">
        <f>INDEX(SETORES!$B:$B,MATCH(A4769,SETORES!$A:$A,0))</f>
        <v/>
      </c>
      <c r="H4769" s="106" t="inlineStr">
        <is>
          <t>Dezembro/2026</t>
        </is>
      </c>
    </row>
    <row r="4770">
      <c r="A4770" s="106" t="inlineStr">
        <is>
          <t>Logística</t>
        </is>
      </c>
      <c r="B4770" s="106" t="inlineStr">
        <is>
          <t>Custo Fixo</t>
        </is>
      </c>
      <c r="C4770" s="106" t="inlineStr">
        <is>
          <t>Despesas com SST</t>
        </is>
      </c>
      <c r="D4770" s="107" t="n">
        <v>16</v>
      </c>
      <c r="E4770" s="108" t="n">
        <v>52.35</v>
      </c>
      <c r="F4770" s="109">
        <f>IFERROR(D4770*E4770,0)</f>
        <v/>
      </c>
      <c r="G4770" s="106">
        <f>INDEX(SETORES!$B:$B,MATCH(A4770,SETORES!$A:$A,0))</f>
        <v/>
      </c>
      <c r="H4770" s="106" t="inlineStr">
        <is>
          <t>Dezembro/2026</t>
        </is>
      </c>
    </row>
    <row r="4771">
      <c r="A4771" s="106" t="inlineStr">
        <is>
          <t>Manutenção Predial</t>
        </is>
      </c>
      <c r="B4771" s="106" t="inlineStr">
        <is>
          <t>Custo Fixo</t>
        </is>
      </c>
      <c r="C4771" s="106" t="inlineStr">
        <is>
          <t>Despesas com RH</t>
        </is>
      </c>
      <c r="D4771" s="107" t="n">
        <v>15</v>
      </c>
      <c r="E4771" s="108" t="n">
        <v>32.55</v>
      </c>
      <c r="F4771" s="109">
        <f>IFERROR(D4771*E4771,0)</f>
        <v/>
      </c>
      <c r="G4771" s="106">
        <f>INDEX(SETORES!$B:$B,MATCH(A4771,SETORES!$A:$A,0))</f>
        <v/>
      </c>
      <c r="H4771" s="106" t="inlineStr">
        <is>
          <t>Dezembro/2026</t>
        </is>
      </c>
    </row>
    <row r="4772">
      <c r="A4772" s="106" t="inlineStr">
        <is>
          <t>Manutenção Predial</t>
        </is>
      </c>
      <c r="B4772" s="106" t="inlineStr">
        <is>
          <t>Custo Fixo</t>
        </is>
      </c>
      <c r="C4772" s="106" t="inlineStr">
        <is>
          <t>Despesas com DP</t>
        </is>
      </c>
      <c r="D4772" s="107" t="n">
        <v>15</v>
      </c>
      <c r="E4772" s="108" t="n">
        <v>52.09</v>
      </c>
      <c r="F4772" s="109">
        <f>IFERROR(D4772*E4772,0)</f>
        <v/>
      </c>
      <c r="G4772" s="106">
        <f>INDEX(SETORES!$B:$B,MATCH(A4772,SETORES!$A:$A,0))</f>
        <v/>
      </c>
      <c r="H4772" s="106" t="inlineStr">
        <is>
          <t>Dezembro/2026</t>
        </is>
      </c>
    </row>
    <row r="4773">
      <c r="A4773" s="106" t="inlineStr">
        <is>
          <t>Manutenção Predial</t>
        </is>
      </c>
      <c r="B4773" s="106" t="inlineStr">
        <is>
          <t>Custo Fixo</t>
        </is>
      </c>
      <c r="C4773" s="106" t="inlineStr">
        <is>
          <t>Despesas com SST</t>
        </is>
      </c>
      <c r="D4773" s="107" t="n">
        <v>15</v>
      </c>
      <c r="E4773" s="108" t="n">
        <v>52.35</v>
      </c>
      <c r="F4773" s="109">
        <f>IFERROR(D4773*E4773,0)</f>
        <v/>
      </c>
      <c r="G4773" s="106">
        <f>INDEX(SETORES!$B:$B,MATCH(A4773,SETORES!$A:$A,0))</f>
        <v/>
      </c>
      <c r="H4773" s="106" t="inlineStr">
        <is>
          <t>Dezembro/2026</t>
        </is>
      </c>
    </row>
    <row r="4774">
      <c r="A4774" s="106" t="inlineStr">
        <is>
          <t>NOC</t>
        </is>
      </c>
      <c r="B4774" s="106" t="inlineStr">
        <is>
          <t>Custo Fixo</t>
        </is>
      </c>
      <c r="C4774" s="106" t="inlineStr">
        <is>
          <t>Despesas com RH</t>
        </is>
      </c>
      <c r="D4774" s="107" t="n">
        <v>3</v>
      </c>
      <c r="E4774" s="108" t="n">
        <v>32.55</v>
      </c>
      <c r="F4774" s="109">
        <f>IFERROR(D4774*E4774,0)</f>
        <v/>
      </c>
      <c r="G4774" s="106">
        <f>INDEX(SETORES!$B:$B,MATCH(A4774,SETORES!$A:$A,0))</f>
        <v/>
      </c>
      <c r="H4774" s="106" t="inlineStr">
        <is>
          <t>Dezembro/2026</t>
        </is>
      </c>
    </row>
    <row r="4775">
      <c r="A4775" s="106" t="inlineStr">
        <is>
          <t>NOC</t>
        </is>
      </c>
      <c r="B4775" s="106" t="inlineStr">
        <is>
          <t>Custo Fixo</t>
        </is>
      </c>
      <c r="C4775" s="106" t="inlineStr">
        <is>
          <t>Despesas com DP</t>
        </is>
      </c>
      <c r="D4775" s="107" t="n">
        <v>3</v>
      </c>
      <c r="E4775" s="108" t="n">
        <v>52.09</v>
      </c>
      <c r="F4775" s="109">
        <f>IFERROR(D4775*E4775,0)</f>
        <v/>
      </c>
      <c r="G4775" s="106">
        <f>INDEX(SETORES!$B:$B,MATCH(A4775,SETORES!$A:$A,0))</f>
        <v/>
      </c>
      <c r="H4775" s="106" t="inlineStr">
        <is>
          <t>Dezembro/2026</t>
        </is>
      </c>
    </row>
    <row r="4776">
      <c r="A4776" s="106" t="inlineStr">
        <is>
          <t>NOC</t>
        </is>
      </c>
      <c r="B4776" s="106" t="inlineStr">
        <is>
          <t>Custo Fixo</t>
        </is>
      </c>
      <c r="C4776" s="106" t="inlineStr">
        <is>
          <t>Despesas com SST</t>
        </is>
      </c>
      <c r="D4776" s="107" t="n">
        <v>3</v>
      </c>
      <c r="E4776" s="108" t="n">
        <v>52.35</v>
      </c>
      <c r="F4776" s="109">
        <f>IFERROR(D4776*E4776,0)</f>
        <v/>
      </c>
      <c r="G4776" s="106">
        <f>INDEX(SETORES!$B:$B,MATCH(A4776,SETORES!$A:$A,0))</f>
        <v/>
      </c>
      <c r="H4776" s="106" t="inlineStr">
        <is>
          <t>Dezembro/2026</t>
        </is>
      </c>
    </row>
    <row r="4777">
      <c r="A4777" s="106" t="inlineStr">
        <is>
          <t>NRC</t>
        </is>
      </c>
      <c r="B4777" s="106" t="inlineStr">
        <is>
          <t>Custo Fixo</t>
        </is>
      </c>
      <c r="C4777" s="106" t="inlineStr">
        <is>
          <t>Despesas com RH</t>
        </is>
      </c>
      <c r="D4777" s="107" t="n">
        <v>42</v>
      </c>
      <c r="E4777" s="108" t="n">
        <v>32.55</v>
      </c>
      <c r="F4777" s="109">
        <f>IFERROR(D4777*E4777,0)</f>
        <v/>
      </c>
      <c r="G4777" s="106">
        <f>INDEX(SETORES!$B:$B,MATCH(A4777,SETORES!$A:$A,0))</f>
        <v/>
      </c>
      <c r="H4777" s="106" t="inlineStr">
        <is>
          <t>Dezembro/2026</t>
        </is>
      </c>
    </row>
    <row r="4778">
      <c r="A4778" s="106" t="inlineStr">
        <is>
          <t>NRC</t>
        </is>
      </c>
      <c r="B4778" s="106" t="inlineStr">
        <is>
          <t>Custo Fixo</t>
        </is>
      </c>
      <c r="C4778" s="106" t="inlineStr">
        <is>
          <t>Despesas com DP</t>
        </is>
      </c>
      <c r="D4778" s="107" t="n">
        <v>42</v>
      </c>
      <c r="E4778" s="108" t="n">
        <v>52.09</v>
      </c>
      <c r="F4778" s="109">
        <f>IFERROR(D4778*E4778,0)</f>
        <v/>
      </c>
      <c r="G4778" s="106">
        <f>INDEX(SETORES!$B:$B,MATCH(A4778,SETORES!$A:$A,0))</f>
        <v/>
      </c>
      <c r="H4778" s="106" t="inlineStr">
        <is>
          <t>Dezembro/2026</t>
        </is>
      </c>
    </row>
    <row r="4779">
      <c r="A4779" s="106" t="inlineStr">
        <is>
          <t>NRC</t>
        </is>
      </c>
      <c r="B4779" s="106" t="inlineStr">
        <is>
          <t>Custo Fixo</t>
        </is>
      </c>
      <c r="C4779" s="106" t="inlineStr">
        <is>
          <t>Despesas com SST</t>
        </is>
      </c>
      <c r="D4779" s="107" t="n">
        <v>42</v>
      </c>
      <c r="E4779" s="108" t="n">
        <v>52.35</v>
      </c>
      <c r="F4779" s="109">
        <f>IFERROR(D4779*E4779,0)</f>
        <v/>
      </c>
      <c r="G4779" s="106">
        <f>INDEX(SETORES!$B:$B,MATCH(A4779,SETORES!$A:$A,0))</f>
        <v/>
      </c>
      <c r="H4779" s="106" t="inlineStr">
        <is>
          <t>Dezembro/2026</t>
        </is>
      </c>
    </row>
    <row r="4780">
      <c r="A4780" s="106" t="inlineStr">
        <is>
          <t>Obras</t>
        </is>
      </c>
      <c r="B4780" s="106" t="inlineStr">
        <is>
          <t>Custo Fixo</t>
        </is>
      </c>
      <c r="C4780" s="106" t="inlineStr">
        <is>
          <t>Despesas com RH</t>
        </is>
      </c>
      <c r="D4780" s="107" t="n">
        <v>24</v>
      </c>
      <c r="E4780" s="108" t="n">
        <v>32.55</v>
      </c>
      <c r="F4780" s="109">
        <f>IFERROR(D4780*E4780,0)</f>
        <v/>
      </c>
      <c r="G4780" s="106">
        <f>INDEX(SETORES!$B:$B,MATCH(A4780,SETORES!$A:$A,0))</f>
        <v/>
      </c>
      <c r="H4780" s="106" t="inlineStr">
        <is>
          <t>Dezembro/2026</t>
        </is>
      </c>
    </row>
    <row r="4781">
      <c r="A4781" s="106" t="inlineStr">
        <is>
          <t>Obras</t>
        </is>
      </c>
      <c r="B4781" s="106" t="inlineStr">
        <is>
          <t>Custo Fixo</t>
        </is>
      </c>
      <c r="C4781" s="106" t="inlineStr">
        <is>
          <t>Despesas com DP</t>
        </is>
      </c>
      <c r="D4781" s="107" t="n">
        <v>24</v>
      </c>
      <c r="E4781" s="108" t="n">
        <v>52.09</v>
      </c>
      <c r="F4781" s="109">
        <f>IFERROR(D4781*E4781,0)</f>
        <v/>
      </c>
      <c r="G4781" s="106">
        <f>INDEX(SETORES!$B:$B,MATCH(A4781,SETORES!$A:$A,0))</f>
        <v/>
      </c>
      <c r="H4781" s="106" t="inlineStr">
        <is>
          <t>Dezembro/2026</t>
        </is>
      </c>
    </row>
    <row r="4782">
      <c r="A4782" s="106" t="inlineStr">
        <is>
          <t>Obras</t>
        </is>
      </c>
      <c r="B4782" s="106" t="inlineStr">
        <is>
          <t>Custo Fixo</t>
        </is>
      </c>
      <c r="C4782" s="106" t="inlineStr">
        <is>
          <t>Despesas com SST</t>
        </is>
      </c>
      <c r="D4782" s="107" t="n">
        <v>24</v>
      </c>
      <c r="E4782" s="108" t="n">
        <v>52.35</v>
      </c>
      <c r="F4782" s="109">
        <f>IFERROR(D4782*E4782,0)</f>
        <v/>
      </c>
      <c r="G4782" s="106">
        <f>INDEX(SETORES!$B:$B,MATCH(A4782,SETORES!$A:$A,0))</f>
        <v/>
      </c>
      <c r="H4782" s="106" t="inlineStr">
        <is>
          <t>Dezembro/2026</t>
        </is>
      </c>
    </row>
    <row r="4783">
      <c r="A4783" s="106" t="inlineStr">
        <is>
          <t>Oficina</t>
        </is>
      </c>
      <c r="B4783" s="106" t="inlineStr">
        <is>
          <t>Custo Fixo</t>
        </is>
      </c>
      <c r="C4783" s="106" t="inlineStr">
        <is>
          <t>Despesas com RH</t>
        </is>
      </c>
      <c r="D4783" s="107" t="n">
        <v>4</v>
      </c>
      <c r="E4783" s="108" t="n">
        <v>32.55</v>
      </c>
      <c r="F4783" s="109">
        <f>IFERROR(D4783*E4783,0)</f>
        <v/>
      </c>
      <c r="G4783" s="106">
        <f>INDEX(SETORES!$B:$B,MATCH(A4783,SETORES!$A:$A,0))</f>
        <v/>
      </c>
      <c r="H4783" s="106" t="inlineStr">
        <is>
          <t>Dezembro/2026</t>
        </is>
      </c>
    </row>
    <row r="4784">
      <c r="A4784" s="106" t="inlineStr">
        <is>
          <t>Oficina</t>
        </is>
      </c>
      <c r="B4784" s="106" t="inlineStr">
        <is>
          <t>Custo Fixo</t>
        </is>
      </c>
      <c r="C4784" s="106" t="inlineStr">
        <is>
          <t>Despesas com DP</t>
        </is>
      </c>
      <c r="D4784" s="107" t="n">
        <v>4</v>
      </c>
      <c r="E4784" s="108" t="n">
        <v>52.09</v>
      </c>
      <c r="F4784" s="109">
        <f>IFERROR(D4784*E4784,0)</f>
        <v/>
      </c>
      <c r="G4784" s="106">
        <f>INDEX(SETORES!$B:$B,MATCH(A4784,SETORES!$A:$A,0))</f>
        <v/>
      </c>
      <c r="H4784" s="106" t="inlineStr">
        <is>
          <t>Dezembro/2026</t>
        </is>
      </c>
    </row>
    <row r="4785">
      <c r="A4785" s="106" t="inlineStr">
        <is>
          <t>Oficina</t>
        </is>
      </c>
      <c r="B4785" s="106" t="inlineStr">
        <is>
          <t>Custo Fixo</t>
        </is>
      </c>
      <c r="C4785" s="106" t="inlineStr">
        <is>
          <t>Despesas com SST</t>
        </is>
      </c>
      <c r="D4785" s="107" t="n">
        <v>4</v>
      </c>
      <c r="E4785" s="108" t="n">
        <v>52.35</v>
      </c>
      <c r="F4785" s="109">
        <f>IFERROR(D4785*E4785,0)</f>
        <v/>
      </c>
      <c r="G4785" s="106">
        <f>INDEX(SETORES!$B:$B,MATCH(A4785,SETORES!$A:$A,0))</f>
        <v/>
      </c>
      <c r="H4785" s="106" t="inlineStr">
        <is>
          <t>Dezembro/2026</t>
        </is>
      </c>
    </row>
    <row r="4786">
      <c r="A4786" s="106" t="inlineStr">
        <is>
          <t>RH</t>
        </is>
      </c>
      <c r="B4786" s="106" t="inlineStr">
        <is>
          <t>Custo Fixo</t>
        </is>
      </c>
      <c r="C4786" s="106" t="inlineStr">
        <is>
          <t>Despesas com RH</t>
        </is>
      </c>
      <c r="D4786" s="107" t="n">
        <v>6</v>
      </c>
      <c r="E4786" s="108" t="n">
        <v>32.55</v>
      </c>
      <c r="F4786" s="109">
        <f>IFERROR(D4786*E4786,0)</f>
        <v/>
      </c>
      <c r="G4786" s="106">
        <f>INDEX(SETORES!$B:$B,MATCH(A4786,SETORES!$A:$A,0))</f>
        <v/>
      </c>
      <c r="H4786" s="106" t="inlineStr">
        <is>
          <t>Dezembro/2026</t>
        </is>
      </c>
    </row>
    <row r="4787">
      <c r="A4787" s="106" t="inlineStr">
        <is>
          <t>RH</t>
        </is>
      </c>
      <c r="B4787" s="106" t="inlineStr">
        <is>
          <t>Custo Fixo</t>
        </is>
      </c>
      <c r="C4787" s="106" t="inlineStr">
        <is>
          <t>Despesas com DP</t>
        </is>
      </c>
      <c r="D4787" s="107" t="n">
        <v>6</v>
      </c>
      <c r="E4787" s="108" t="n">
        <v>52.09</v>
      </c>
      <c r="F4787" s="109">
        <f>IFERROR(D4787*E4787,0)</f>
        <v/>
      </c>
      <c r="G4787" s="106">
        <f>INDEX(SETORES!$B:$B,MATCH(A4787,SETORES!$A:$A,0))</f>
        <v/>
      </c>
      <c r="H4787" s="106" t="inlineStr">
        <is>
          <t>Dezembro/2026</t>
        </is>
      </c>
    </row>
    <row r="4788">
      <c r="A4788" s="106" t="inlineStr">
        <is>
          <t>RH</t>
        </is>
      </c>
      <c r="B4788" s="106" t="inlineStr">
        <is>
          <t>Custo Fixo</t>
        </is>
      </c>
      <c r="C4788" s="106" t="inlineStr">
        <is>
          <t>Despesas com SST</t>
        </is>
      </c>
      <c r="D4788" s="107" t="n">
        <v>6</v>
      </c>
      <c r="E4788" s="108" t="n">
        <v>52.35</v>
      </c>
      <c r="F4788" s="109">
        <f>IFERROR(D4788*E4788,0)</f>
        <v/>
      </c>
      <c r="G4788" s="106">
        <f>INDEX(SETORES!$B:$B,MATCH(A4788,SETORES!$A:$A,0))</f>
        <v/>
      </c>
      <c r="H4788" s="106" t="inlineStr">
        <is>
          <t>Dezembro/2026</t>
        </is>
      </c>
    </row>
    <row r="4789">
      <c r="A4789" s="106" t="inlineStr">
        <is>
          <t>Retenção</t>
        </is>
      </c>
      <c r="B4789" s="106" t="inlineStr">
        <is>
          <t>Custo Fixo</t>
        </is>
      </c>
      <c r="C4789" s="106" t="inlineStr">
        <is>
          <t>Despesas com RH</t>
        </is>
      </c>
      <c r="D4789" s="107" t="n">
        <v>12</v>
      </c>
      <c r="E4789" s="108" t="n">
        <v>32.55</v>
      </c>
      <c r="F4789" s="109">
        <f>IFERROR(D4789*E4789,0)</f>
        <v/>
      </c>
      <c r="G4789" s="106">
        <f>INDEX(SETORES!$B:$B,MATCH(A4789,SETORES!$A:$A,0))</f>
        <v/>
      </c>
      <c r="H4789" s="106" t="inlineStr">
        <is>
          <t>Dezembro/2026</t>
        </is>
      </c>
    </row>
    <row r="4790">
      <c r="A4790" s="106" t="inlineStr">
        <is>
          <t>Retenção</t>
        </is>
      </c>
      <c r="B4790" s="106" t="inlineStr">
        <is>
          <t>Custo Fixo</t>
        </is>
      </c>
      <c r="C4790" s="106" t="inlineStr">
        <is>
          <t>Despesas com DP</t>
        </is>
      </c>
      <c r="D4790" s="107" t="n">
        <v>12</v>
      </c>
      <c r="E4790" s="108" t="n">
        <v>52.09</v>
      </c>
      <c r="F4790" s="109">
        <f>IFERROR(D4790*E4790,0)</f>
        <v/>
      </c>
      <c r="G4790" s="106">
        <f>INDEX(SETORES!$B:$B,MATCH(A4790,SETORES!$A:$A,0))</f>
        <v/>
      </c>
      <c r="H4790" s="106" t="inlineStr">
        <is>
          <t>Dezembro/2026</t>
        </is>
      </c>
    </row>
    <row r="4791">
      <c r="A4791" s="106" t="inlineStr">
        <is>
          <t>Retenção</t>
        </is>
      </c>
      <c r="B4791" s="106" t="inlineStr">
        <is>
          <t>Custo Fixo</t>
        </is>
      </c>
      <c r="C4791" s="106" t="inlineStr">
        <is>
          <t>Despesas com SST</t>
        </is>
      </c>
      <c r="D4791" s="107" t="n">
        <v>12</v>
      </c>
      <c r="E4791" s="108" t="n">
        <v>52.35</v>
      </c>
      <c r="F4791" s="109">
        <f>IFERROR(D4791*E4791,0)</f>
        <v/>
      </c>
      <c r="G4791" s="106">
        <f>INDEX(SETORES!$B:$B,MATCH(A4791,SETORES!$A:$A,0))</f>
        <v/>
      </c>
      <c r="H4791" s="106" t="inlineStr">
        <is>
          <t>Dezembro/2026</t>
        </is>
      </c>
    </row>
    <row r="4792">
      <c r="A4792" s="106" t="inlineStr">
        <is>
          <t>Segurança do Trabalho</t>
        </is>
      </c>
      <c r="B4792" s="106" t="inlineStr">
        <is>
          <t>Custo Fixo</t>
        </is>
      </c>
      <c r="C4792" s="106" t="inlineStr">
        <is>
          <t>Despesas com RH</t>
        </is>
      </c>
      <c r="D4792" s="107" t="n">
        <v>8</v>
      </c>
      <c r="E4792" s="108" t="n">
        <v>32.55</v>
      </c>
      <c r="F4792" s="109">
        <f>IFERROR(D4792*E4792,0)</f>
        <v/>
      </c>
      <c r="G4792" s="106">
        <f>INDEX(SETORES!$B:$B,MATCH(A4792,SETORES!$A:$A,0))</f>
        <v/>
      </c>
      <c r="H4792" s="106" t="inlineStr">
        <is>
          <t>Dezembro/2026</t>
        </is>
      </c>
    </row>
    <row r="4793">
      <c r="A4793" s="106" t="inlineStr">
        <is>
          <t>Segurança do Trabalho</t>
        </is>
      </c>
      <c r="B4793" s="106" t="inlineStr">
        <is>
          <t>Custo Fixo</t>
        </is>
      </c>
      <c r="C4793" s="106" t="inlineStr">
        <is>
          <t>Despesas com DP</t>
        </is>
      </c>
      <c r="D4793" s="107" t="n">
        <v>8</v>
      </c>
      <c r="E4793" s="108" t="n">
        <v>52.09</v>
      </c>
      <c r="F4793" s="109">
        <f>IFERROR(D4793*E4793,0)</f>
        <v/>
      </c>
      <c r="G4793" s="106">
        <f>INDEX(SETORES!$B:$B,MATCH(A4793,SETORES!$A:$A,0))</f>
        <v/>
      </c>
      <c r="H4793" s="106" t="inlineStr">
        <is>
          <t>Dezembro/2026</t>
        </is>
      </c>
    </row>
    <row r="4794">
      <c r="A4794" s="106" t="inlineStr">
        <is>
          <t>Segurança do Trabalho</t>
        </is>
      </c>
      <c r="B4794" s="106" t="inlineStr">
        <is>
          <t>Custo Fixo</t>
        </is>
      </c>
      <c r="C4794" s="106" t="inlineStr">
        <is>
          <t>Despesas com SST</t>
        </is>
      </c>
      <c r="D4794" s="107" t="n">
        <v>8</v>
      </c>
      <c r="E4794" s="108" t="n">
        <v>52.35</v>
      </c>
      <c r="F4794" s="109">
        <f>IFERROR(D4794*E4794,0)</f>
        <v/>
      </c>
      <c r="G4794" s="106">
        <f>INDEX(SETORES!$B:$B,MATCH(A4794,SETORES!$A:$A,0))</f>
        <v/>
      </c>
      <c r="H4794" s="106" t="inlineStr">
        <is>
          <t>Dezembro/2026</t>
        </is>
      </c>
    </row>
    <row r="4795">
      <c r="A4795" s="106" t="inlineStr">
        <is>
          <t>Suporte Orbix</t>
        </is>
      </c>
      <c r="B4795" s="106" t="inlineStr">
        <is>
          <t>Custo Fixo</t>
        </is>
      </c>
      <c r="C4795" s="106" t="inlineStr">
        <is>
          <t>Despesas com RH</t>
        </is>
      </c>
      <c r="D4795" s="107" t="n">
        <v>8</v>
      </c>
      <c r="E4795" s="108" t="n">
        <v>32.55</v>
      </c>
      <c r="F4795" s="109">
        <f>IFERROR(D4795*E4795,0)</f>
        <v/>
      </c>
      <c r="G4795" s="106">
        <f>INDEX(SETORES!$B:$B,MATCH(A4795,SETORES!$A:$A,0))</f>
        <v/>
      </c>
      <c r="H4795" s="106" t="inlineStr">
        <is>
          <t>Dezembro/2026</t>
        </is>
      </c>
    </row>
    <row r="4796">
      <c r="A4796" s="106" t="inlineStr">
        <is>
          <t>Suporte Orbix</t>
        </is>
      </c>
      <c r="B4796" s="106" t="inlineStr">
        <is>
          <t>Custo Fixo</t>
        </is>
      </c>
      <c r="C4796" s="106" t="inlineStr">
        <is>
          <t>Despesas com DP</t>
        </is>
      </c>
      <c r="D4796" s="107" t="n">
        <v>8</v>
      </c>
      <c r="E4796" s="108" t="n">
        <v>52.09</v>
      </c>
      <c r="F4796" s="109">
        <f>IFERROR(D4796*E4796,0)</f>
        <v/>
      </c>
      <c r="G4796" s="106">
        <f>INDEX(SETORES!$B:$B,MATCH(A4796,SETORES!$A:$A,0))</f>
        <v/>
      </c>
      <c r="H4796" s="106" t="inlineStr">
        <is>
          <t>Dezembro/2026</t>
        </is>
      </c>
    </row>
    <row r="4797">
      <c r="A4797" s="106" t="inlineStr">
        <is>
          <t>Suporte Orbix</t>
        </is>
      </c>
      <c r="B4797" s="106" t="inlineStr">
        <is>
          <t>Custo Fixo</t>
        </is>
      </c>
      <c r="C4797" s="106" t="inlineStr">
        <is>
          <t>Despesas com SST</t>
        </is>
      </c>
      <c r="D4797" s="107" t="n">
        <v>8</v>
      </c>
      <c r="E4797" s="108" t="n">
        <v>52.35</v>
      </c>
      <c r="F4797" s="109">
        <f>IFERROR(D4797*E4797,0)</f>
        <v/>
      </c>
      <c r="G4797" s="106">
        <f>INDEX(SETORES!$B:$B,MATCH(A4797,SETORES!$A:$A,0))</f>
        <v/>
      </c>
      <c r="H4797" s="106" t="inlineStr">
        <is>
          <t>Dezembro/2026</t>
        </is>
      </c>
    </row>
    <row r="4798">
      <c r="A4798" s="106" t="inlineStr">
        <is>
          <t>Suporte da Central</t>
        </is>
      </c>
      <c r="B4798" s="106" t="inlineStr">
        <is>
          <t>Custo Fixo</t>
        </is>
      </c>
      <c r="C4798" s="106" t="inlineStr">
        <is>
          <t>Despesas com RH</t>
        </is>
      </c>
      <c r="D4798" s="107" t="n">
        <v>33</v>
      </c>
      <c r="E4798" s="108" t="n">
        <v>32.55</v>
      </c>
      <c r="F4798" s="109">
        <f>IFERROR(D4798*E4798,0)</f>
        <v/>
      </c>
      <c r="G4798" s="106">
        <f>INDEX(SETORES!$B:$B,MATCH(A4798,SETORES!$A:$A,0))</f>
        <v/>
      </c>
      <c r="H4798" s="106" t="inlineStr">
        <is>
          <t>Dezembro/2026</t>
        </is>
      </c>
    </row>
    <row r="4799">
      <c r="A4799" s="106" t="inlineStr">
        <is>
          <t>Suporte da Central</t>
        </is>
      </c>
      <c r="B4799" s="106" t="inlineStr">
        <is>
          <t>Custo Fixo</t>
        </is>
      </c>
      <c r="C4799" s="106" t="inlineStr">
        <is>
          <t>Despesas com DP</t>
        </is>
      </c>
      <c r="D4799" s="107" t="n">
        <v>33</v>
      </c>
      <c r="E4799" s="108" t="n">
        <v>52.09</v>
      </c>
      <c r="F4799" s="109">
        <f>IFERROR(D4799*E4799,0)</f>
        <v/>
      </c>
      <c r="G4799" s="106">
        <f>INDEX(SETORES!$B:$B,MATCH(A4799,SETORES!$A:$A,0))</f>
        <v/>
      </c>
      <c r="H4799" s="106" t="inlineStr">
        <is>
          <t>Dezembro/2026</t>
        </is>
      </c>
    </row>
    <row r="4800">
      <c r="A4800" s="106" t="inlineStr">
        <is>
          <t>Suporte da Central</t>
        </is>
      </c>
      <c r="B4800" s="106" t="inlineStr">
        <is>
          <t>Custo Fixo</t>
        </is>
      </c>
      <c r="C4800" s="106" t="inlineStr">
        <is>
          <t>Despesas com SST</t>
        </is>
      </c>
      <c r="D4800" s="107" t="n">
        <v>33</v>
      </c>
      <c r="E4800" s="108" t="n">
        <v>52.35</v>
      </c>
      <c r="F4800" s="109">
        <f>IFERROR(D4800*E4800,0)</f>
        <v/>
      </c>
      <c r="G4800" s="106">
        <f>INDEX(SETORES!$B:$B,MATCH(A4800,SETORES!$A:$A,0))</f>
        <v/>
      </c>
      <c r="H4800" s="106" t="inlineStr">
        <is>
          <t>Dezembro/2026</t>
        </is>
      </c>
    </row>
    <row r="4801">
      <c r="A4801" s="106" t="inlineStr">
        <is>
          <t>Televendas</t>
        </is>
      </c>
      <c r="B4801" s="106" t="inlineStr">
        <is>
          <t>Custo Fixo</t>
        </is>
      </c>
      <c r="C4801" s="106" t="inlineStr">
        <is>
          <t>Despesas com RH</t>
        </is>
      </c>
      <c r="D4801" s="107" t="n">
        <v>11</v>
      </c>
      <c r="E4801" s="108" t="n">
        <v>32.55</v>
      </c>
      <c r="F4801" s="109">
        <f>IFERROR(D4801*E4801,0)</f>
        <v/>
      </c>
      <c r="G4801" s="106">
        <f>INDEX(SETORES!$B:$B,MATCH(A4801,SETORES!$A:$A,0))</f>
        <v/>
      </c>
      <c r="H4801" s="106" t="inlineStr">
        <is>
          <t>Dezembro/2026</t>
        </is>
      </c>
    </row>
    <row r="4802">
      <c r="A4802" s="106" t="inlineStr">
        <is>
          <t>Televendas</t>
        </is>
      </c>
      <c r="B4802" s="106" t="inlineStr">
        <is>
          <t>Custo Fixo</t>
        </is>
      </c>
      <c r="C4802" s="106" t="inlineStr">
        <is>
          <t>Despesas com DP</t>
        </is>
      </c>
      <c r="D4802" s="107" t="n">
        <v>11</v>
      </c>
      <c r="E4802" s="108" t="n">
        <v>52.09</v>
      </c>
      <c r="F4802" s="109">
        <f>IFERROR(D4802*E4802,0)</f>
        <v/>
      </c>
      <c r="G4802" s="106">
        <f>INDEX(SETORES!$B:$B,MATCH(A4802,SETORES!$A:$A,0))</f>
        <v/>
      </c>
      <c r="H4802" s="106" t="inlineStr">
        <is>
          <t>Dezembro/2026</t>
        </is>
      </c>
    </row>
    <row r="4803">
      <c r="A4803" s="106" t="inlineStr">
        <is>
          <t>Televendas</t>
        </is>
      </c>
      <c r="B4803" s="106" t="inlineStr">
        <is>
          <t>Custo Fixo</t>
        </is>
      </c>
      <c r="C4803" s="106" t="inlineStr">
        <is>
          <t>Despesas com SST</t>
        </is>
      </c>
      <c r="D4803" s="107" t="n">
        <v>11</v>
      </c>
      <c r="E4803" s="108" t="n">
        <v>52.35</v>
      </c>
      <c r="F4803" s="109">
        <f>IFERROR(D4803*E4803,0)</f>
        <v/>
      </c>
      <c r="G4803" s="106">
        <f>INDEX(SETORES!$B:$B,MATCH(A4803,SETORES!$A:$A,0))</f>
        <v/>
      </c>
      <c r="H4803" s="106" t="inlineStr">
        <is>
          <t>Dezembro/2026</t>
        </is>
      </c>
    </row>
    <row r="4804">
      <c r="A4804" s="106" t="inlineStr">
        <is>
          <t>Comercial Corporativo</t>
        </is>
      </c>
      <c r="B4804" s="106" t="inlineStr">
        <is>
          <t>Custo Fixo</t>
        </is>
      </c>
      <c r="C4804" s="106" t="inlineStr">
        <is>
          <t>Plataforma de licitações (pago anual em julho, ref. 12 meses)</t>
        </is>
      </c>
      <c r="D4804" s="107" t="n"/>
      <c r="E4804" s="108" t="n"/>
      <c r="F4804" s="109">
        <f>IFERROR(D4804*E4804,0)</f>
        <v/>
      </c>
      <c r="G4804" s="106">
        <f>INDEX(SETORES!$B:$B,MATCH(A4804,SETORES!$A:$A,0))</f>
        <v/>
      </c>
      <c r="H4804" s="106" t="inlineStr">
        <is>
          <t>Dezembro/2026</t>
        </is>
      </c>
    </row>
    <row r="4805">
      <c r="A4805" s="106" t="inlineStr">
        <is>
          <t>Televendas</t>
        </is>
      </c>
      <c r="B4805" s="106" t="inlineStr">
        <is>
          <t>Custo Fixo</t>
        </is>
      </c>
      <c r="C4805" s="106" t="inlineStr">
        <is>
          <t>Impressora (rateio equipe Relacionamento)</t>
        </is>
      </c>
      <c r="D4805" s="107" t="n"/>
      <c r="E4805" s="108" t="n"/>
      <c r="F4805" s="109">
        <f>IFERROR(D4805*E4805,0)</f>
        <v/>
      </c>
      <c r="G4805" s="106">
        <f>INDEX(SETORES!$B:$B,MATCH(A4805,SETORES!$A:$A,0))</f>
        <v/>
      </c>
      <c r="H4805" s="106" t="inlineStr">
        <is>
          <t>Dezembro/2026</t>
        </is>
      </c>
    </row>
    <row r="4806">
      <c r="A4806" s="106" t="inlineStr">
        <is>
          <t>Compras</t>
        </is>
      </c>
      <c r="B4806" s="106" t="inlineStr">
        <is>
          <t>Custo Variável</t>
        </is>
      </c>
      <c r="C4806" s="106" t="inlineStr">
        <is>
          <t>Combustível de frota</t>
        </is>
      </c>
      <c r="D4806" s="107" t="n">
        <v>1</v>
      </c>
      <c r="E4806" s="108" t="n">
        <v>0</v>
      </c>
      <c r="F4806" s="109">
        <f>IFERROR(D4806*E4806,0)</f>
        <v/>
      </c>
      <c r="G4806" s="106">
        <f>INDEX(SETORES!$B:$B,MATCH(A4806,SETORES!$A:$A,0))</f>
        <v/>
      </c>
      <c r="H4806" s="106" t="inlineStr">
        <is>
          <t>Dezembro/2026</t>
        </is>
      </c>
    </row>
    <row r="4807">
      <c r="A4807" s="106" t="inlineStr">
        <is>
          <t>Contabilidade</t>
        </is>
      </c>
      <c r="B4807" s="106" t="inlineStr">
        <is>
          <t>Custo Variável</t>
        </is>
      </c>
      <c r="C4807" s="106" t="inlineStr">
        <is>
          <t>Exames médicos</t>
        </is>
      </c>
      <c r="D4807" s="107" t="n"/>
      <c r="E4807" s="108" t="n"/>
      <c r="F4807" s="109">
        <f>IFERROR(D4807*E4807,0)</f>
        <v/>
      </c>
      <c r="G4807" s="106">
        <f>INDEX(SETORES!$B:$B,MATCH(A4807,SETORES!$A:$A,0))</f>
        <v/>
      </c>
      <c r="H4807" s="106" t="inlineStr">
        <is>
          <t>Dezembro/2026</t>
        </is>
      </c>
    </row>
    <row r="4808">
      <c r="A4808" s="106" t="inlineStr">
        <is>
          <t>Suporte da Central</t>
        </is>
      </c>
      <c r="B4808" s="106" t="inlineStr">
        <is>
          <t>Custo Variável</t>
        </is>
      </c>
      <c r="C4808" s="106" t="inlineStr">
        <is>
          <t>Rescisões trabalhistas</t>
        </is>
      </c>
      <c r="D4808" s="107" t="n"/>
      <c r="E4808" s="108" t="n"/>
      <c r="F4808" s="109">
        <f>IFERROR(D4808*E4808,0)</f>
        <v/>
      </c>
      <c r="G4808" s="106">
        <f>INDEX(SETORES!$B:$B,MATCH(A4808,SETORES!$A:$A,0))</f>
        <v/>
      </c>
      <c r="H4808" s="106" t="inlineStr">
        <is>
          <t>Dezembro/2026</t>
        </is>
      </c>
    </row>
    <row r="4809">
      <c r="A4809" s="106" t="inlineStr">
        <is>
          <t>Televendas</t>
        </is>
      </c>
      <c r="B4809" s="106" t="inlineStr">
        <is>
          <t>Custo Variável</t>
        </is>
      </c>
      <c r="C4809" s="106" t="inlineStr">
        <is>
          <t>Rescisões trabalhistas</t>
        </is>
      </c>
      <c r="D4809" s="107" t="n"/>
      <c r="E4809" s="108" t="n"/>
      <c r="F4809" s="109">
        <f>IFERROR(D4809*E4809,0)</f>
        <v/>
      </c>
      <c r="G4809" s="106">
        <f>INDEX(SETORES!$B:$B,MATCH(A4809,SETORES!$A:$A,0))</f>
        <v/>
      </c>
      <c r="H4809" s="106" t="inlineStr">
        <is>
          <t>Dezembro/2026</t>
        </is>
      </c>
    </row>
    <row r="4810">
      <c r="A4810" s="106" t="inlineStr">
        <is>
          <t>CAC</t>
        </is>
      </c>
      <c r="B4810" s="106" t="inlineStr">
        <is>
          <t>Custo Variável</t>
        </is>
      </c>
      <c r="C4810" s="106" t="inlineStr">
        <is>
          <t>Rescisões trabalhistas</t>
        </is>
      </c>
      <c r="D4810" s="107" t="n"/>
      <c r="E4810" s="108" t="n"/>
      <c r="F4810" s="109">
        <f>IFERROR(D4810*E4810,0)</f>
        <v/>
      </c>
      <c r="G4810" s="106">
        <f>INDEX(SETORES!$B:$B,MATCH(A4810,SETORES!$A:$A,0))</f>
        <v/>
      </c>
      <c r="H4810" s="106" t="inlineStr">
        <is>
          <t>Dezembro/2026</t>
        </is>
      </c>
    </row>
    <row r="4811">
      <c r="A4811" s="106" t="inlineStr">
        <is>
          <t>NOC</t>
        </is>
      </c>
      <c r="B4811" s="106" t="inlineStr">
        <is>
          <t>Custo Variável</t>
        </is>
      </c>
      <c r="C4811" s="106" t="inlineStr">
        <is>
          <t>Rescisões trabalhistas</t>
        </is>
      </c>
      <c r="D4811" s="107" t="n"/>
      <c r="E4811" s="108" t="n"/>
      <c r="F4811" s="109">
        <f>IFERROR(D4811*E4811,0)</f>
        <v/>
      </c>
      <c r="G4811" s="106">
        <f>INDEX(SETORES!$B:$B,MATCH(A4811,SETORES!$A:$A,0))</f>
        <v/>
      </c>
      <c r="H4811" s="106" t="inlineStr">
        <is>
          <t>Dezembro/2026</t>
        </is>
      </c>
    </row>
    <row r="4812">
      <c r="A4812" s="106" t="inlineStr">
        <is>
          <t>Segurança do Trabalho</t>
        </is>
      </c>
      <c r="B4812" s="106" t="inlineStr">
        <is>
          <t>Custo Variável</t>
        </is>
      </c>
      <c r="C4812" s="106" t="inlineStr">
        <is>
          <t>Rescisões trabalhistas</t>
        </is>
      </c>
      <c r="D4812" s="107" t="n"/>
      <c r="E4812" s="108" t="n"/>
      <c r="F4812" s="109">
        <f>IFERROR(D4812*E4812,0)</f>
        <v/>
      </c>
      <c r="G4812" s="106">
        <f>INDEX(SETORES!$B:$B,MATCH(A4812,SETORES!$A:$A,0))</f>
        <v/>
      </c>
      <c r="H4812" s="106" t="inlineStr">
        <is>
          <t>Dezembro/2026</t>
        </is>
      </c>
    </row>
    <row r="4813">
      <c r="A4813" s="106" t="inlineStr">
        <is>
          <t>Administrativo</t>
        </is>
      </c>
      <c r="B4813" s="106" t="inlineStr">
        <is>
          <t>Custo Variável</t>
        </is>
      </c>
      <c r="C4813" s="106" t="inlineStr">
        <is>
          <t>Rescisões trabalhistas</t>
        </is>
      </c>
      <c r="D4813" s="107" t="n"/>
      <c r="E4813" s="108" t="n"/>
      <c r="F4813" s="109">
        <f>IFERROR(D4813*E4813,0)</f>
        <v/>
      </c>
      <c r="G4813" s="106">
        <f>INDEX(SETORES!$B:$B,MATCH(A4813,SETORES!$A:$A,0))</f>
        <v/>
      </c>
      <c r="H4813" s="106" t="inlineStr">
        <is>
          <t>Dezembro/2026</t>
        </is>
      </c>
    </row>
    <row r="4814">
      <c r="A4814" s="106" t="inlineStr">
        <is>
          <t>Suporte Orbix</t>
        </is>
      </c>
      <c r="B4814" s="106" t="inlineStr">
        <is>
          <t>Custo Variável</t>
        </is>
      </c>
      <c r="C4814" s="106" t="inlineStr">
        <is>
          <t>Rescisões trabalhistas</t>
        </is>
      </c>
      <c r="D4814" s="107" t="n"/>
      <c r="E4814" s="108" t="n"/>
      <c r="F4814" s="109">
        <f>IFERROR(D4814*E4814,0)</f>
        <v/>
      </c>
      <c r="G4814" s="106">
        <f>INDEX(SETORES!$B:$B,MATCH(A4814,SETORES!$A:$A,0))</f>
        <v/>
      </c>
      <c r="H4814" s="106" t="inlineStr">
        <is>
          <t>Dezembro/2026</t>
        </is>
      </c>
    </row>
    <row r="4815">
      <c r="A4815" s="106" t="inlineStr">
        <is>
          <t>Controladoria</t>
        </is>
      </c>
      <c r="B4815" s="106" t="inlineStr">
        <is>
          <t>Custo Variável</t>
        </is>
      </c>
      <c r="C4815" s="106" t="inlineStr">
        <is>
          <t>Combustível de frota</t>
        </is>
      </c>
      <c r="D4815" s="107" t="n">
        <v>1</v>
      </c>
      <c r="E4815" s="108" t="n">
        <v>1581.98</v>
      </c>
      <c r="F4815" s="109">
        <f>IFERROR(D4815*E4815,0)</f>
        <v/>
      </c>
      <c r="G4815" s="106">
        <f>INDEX(SETORES!$B:$B,MATCH(A4815,SETORES!$A:$A,0))</f>
        <v/>
      </c>
      <c r="H4815" s="106" t="inlineStr">
        <is>
          <t>Dezembro/2026</t>
        </is>
      </c>
    </row>
    <row r="4816">
      <c r="A4816" s="106" t="inlineStr">
        <is>
          <t>Logística</t>
        </is>
      </c>
      <c r="B4816" s="106" t="inlineStr">
        <is>
          <t>Custo Variável</t>
        </is>
      </c>
      <c r="C4816" s="106" t="inlineStr">
        <is>
          <t>Combustível de frota (gerador e veículos sem condutor identificado)</t>
        </is>
      </c>
      <c r="D4816" s="107" t="n"/>
      <c r="E4816" s="108" t="n"/>
      <c r="F4816" s="109">
        <f>IFERROR(D4816*E4816,0)</f>
        <v/>
      </c>
      <c r="G4816" s="106">
        <f>INDEX(SETORES!$B:$B,MATCH(A4816,SETORES!$A:$A,0))</f>
        <v/>
      </c>
      <c r="H4816" s="106" t="inlineStr">
        <is>
          <t>Dezembro/2026</t>
        </is>
      </c>
    </row>
    <row r="4817">
      <c r="A4817" s="106" t="inlineStr">
        <is>
          <t>Qualidade</t>
        </is>
      </c>
      <c r="B4817" s="106" t="inlineStr">
        <is>
          <t>Custo Fixo</t>
        </is>
      </c>
      <c r="C4817" s="106" t="inlineStr">
        <is>
          <t>Folha de pagamento (salários)</t>
        </is>
      </c>
      <c r="D4817" s="107" t="n">
        <v>1</v>
      </c>
      <c r="E4817" s="108" t="n">
        <v>42206.73</v>
      </c>
      <c r="F4817" s="109">
        <f>IFERROR(D4817*E4817,0)</f>
        <v/>
      </c>
      <c r="G4817" s="106">
        <f>INDEX(SETORES!$B:$B,MATCH(A4817,SETORES!$A:$A,0))</f>
        <v/>
      </c>
      <c r="H4817" s="106" t="inlineStr">
        <is>
          <t>Dezembro/2026</t>
        </is>
      </c>
    </row>
    <row r="4818">
      <c r="A4818" s="106" t="inlineStr">
        <is>
          <t>Qualidade</t>
        </is>
      </c>
      <c r="B4818" s="106" t="inlineStr">
        <is>
          <t>Custo Fixo</t>
        </is>
      </c>
      <c r="C4818" s="106" t="inlineStr">
        <is>
          <t>Material de uso coletivo (copa/limpeza)</t>
        </is>
      </c>
      <c r="D4818" s="107" t="n">
        <v>1</v>
      </c>
      <c r="E4818" s="108" t="n">
        <v>350.54</v>
      </c>
      <c r="F4818" s="109">
        <f>IFERROR(D4818*E4818,0)</f>
        <v/>
      </c>
      <c r="G4818" s="106">
        <f>INDEX(SETORES!$B:$B,MATCH(A4818,SETORES!$A:$A,0))</f>
        <v/>
      </c>
      <c r="H4818" s="106" t="inlineStr">
        <is>
          <t>Dezembro/2026</t>
        </is>
      </c>
    </row>
    <row r="4819">
      <c r="A4819" s="106" t="inlineStr">
        <is>
          <t>Qualidade</t>
        </is>
      </c>
      <c r="B4819" s="106" t="inlineStr">
        <is>
          <t>Custo Variável</t>
        </is>
      </c>
      <c r="C4819" s="106" t="inlineStr">
        <is>
          <t>Exames médicos</t>
        </is>
      </c>
      <c r="D4819" s="107" t="n"/>
      <c r="E4819" s="108" t="n"/>
      <c r="F4819" s="109">
        <f>IFERROR(D4819*E4819,0)</f>
        <v/>
      </c>
      <c r="G4819" s="106">
        <f>INDEX(SETORES!$B:$B,MATCH(A4819,SETORES!$A:$A,0))</f>
        <v/>
      </c>
      <c r="H4819" s="106" t="inlineStr">
        <is>
          <t>Dezembro/2026</t>
        </is>
      </c>
    </row>
    <row r="4820">
      <c r="A4820" s="106" t="inlineStr">
        <is>
          <t>Jurídico</t>
        </is>
      </c>
      <c r="B4820" s="106" t="inlineStr">
        <is>
          <t>Custo Fixo</t>
        </is>
      </c>
      <c r="C4820" s="106" t="inlineStr">
        <is>
          <t>Folha de pagamento (salários)</t>
        </is>
      </c>
      <c r="D4820" s="107" t="n">
        <v>1</v>
      </c>
      <c r="E4820" s="108" t="n">
        <v>7846.31</v>
      </c>
      <c r="F4820" s="109">
        <f>IFERROR(D4820*E4820,0)</f>
        <v/>
      </c>
      <c r="G4820" s="106">
        <f>INDEX(SETORES!$B:$B,MATCH(A4820,SETORES!$A:$A,0))</f>
        <v/>
      </c>
      <c r="H4820" s="106" t="inlineStr">
        <is>
          <t>Dezembro/2026</t>
        </is>
      </c>
    </row>
    <row r="4821">
      <c r="A4821" s="106" t="inlineStr">
        <is>
          <t>Jurídico</t>
        </is>
      </c>
      <c r="B4821" s="106" t="inlineStr">
        <is>
          <t>Custo Fixo</t>
        </is>
      </c>
      <c r="C4821" s="106" t="inlineStr">
        <is>
          <t>Material de uso coletivo (copa/limpeza)</t>
        </is>
      </c>
      <c r="D4821" s="107" t="n">
        <v>1</v>
      </c>
      <c r="E4821" s="108" t="n">
        <v>150.42</v>
      </c>
      <c r="F4821" s="109">
        <f>IFERROR(D4821*E4821,0)</f>
        <v/>
      </c>
      <c r="G4821" s="106">
        <f>INDEX(SETORES!$B:$B,MATCH(A4821,SETORES!$A:$A,0))</f>
        <v/>
      </c>
      <c r="H4821" s="106" t="inlineStr">
        <is>
          <t>Dezembro/2026</t>
        </is>
      </c>
    </row>
    <row r="4822">
      <c r="A4822" s="106" t="inlineStr">
        <is>
          <t>Jurídico</t>
        </is>
      </c>
      <c r="B4822" s="106" t="inlineStr">
        <is>
          <t>Custo Variável</t>
        </is>
      </c>
      <c r="C4822" s="106" t="inlineStr">
        <is>
          <t>Combustível de frota</t>
        </is>
      </c>
      <c r="D4822" s="107" t="n">
        <v>1</v>
      </c>
      <c r="E4822" s="108" t="n">
        <v>1280.1</v>
      </c>
      <c r="F4822" s="109">
        <f>IFERROR(D4822*E4822,0)</f>
        <v/>
      </c>
      <c r="G4822" s="106">
        <f>INDEX(SETORES!$B:$B,MATCH(A4822,SETORES!$A:$A,0))</f>
        <v/>
      </c>
      <c r="H4822" s="106" t="inlineStr">
        <is>
          <t>Dezembro/2026</t>
        </is>
      </c>
    </row>
    <row r="4823">
      <c r="A4823" s="106" t="inlineStr">
        <is>
          <t>Marketing</t>
        </is>
      </c>
      <c r="B4823" s="106" t="inlineStr">
        <is>
          <t>Custo Fixo</t>
        </is>
      </c>
      <c r="C4823" s="106" t="inlineStr">
        <is>
          <t>Folha de pagamento (salários)</t>
        </is>
      </c>
      <c r="D4823" s="107" t="n">
        <v>1</v>
      </c>
      <c r="E4823" s="108" t="n">
        <v>62265.7</v>
      </c>
      <c r="F4823" s="109">
        <f>IFERROR(D4823*E4823,0)</f>
        <v/>
      </c>
      <c r="G4823" s="106">
        <f>INDEX(SETORES!$B:$B,MATCH(A4823,SETORES!$A:$A,0))</f>
        <v/>
      </c>
      <c r="H4823" s="106" t="inlineStr">
        <is>
          <t>Dezembro/2026</t>
        </is>
      </c>
    </row>
    <row r="4824">
      <c r="A4824" s="106" t="inlineStr">
        <is>
          <t>Marketing</t>
        </is>
      </c>
      <c r="B4824" s="106" t="inlineStr">
        <is>
          <t>Custo Fixo</t>
        </is>
      </c>
      <c r="C4824" s="106" t="inlineStr">
        <is>
          <t>Material de uso coletivo (copa/limpeza)</t>
        </is>
      </c>
      <c r="D4824" s="107" t="n">
        <v>1</v>
      </c>
      <c r="E4824" s="108" t="n">
        <v>507.51</v>
      </c>
      <c r="F4824" s="109">
        <f>IFERROR(D4824*E4824,0)</f>
        <v/>
      </c>
      <c r="G4824" s="106">
        <f>INDEX(SETORES!$B:$B,MATCH(A4824,SETORES!$A:$A,0))</f>
        <v/>
      </c>
      <c r="H4824" s="106" t="inlineStr">
        <is>
          <t>Dezembro/2026</t>
        </is>
      </c>
    </row>
    <row r="4825">
      <c r="A4825" s="106" t="inlineStr">
        <is>
          <t>Marketing</t>
        </is>
      </c>
      <c r="B4825" s="106" t="inlineStr">
        <is>
          <t>Custo Variável</t>
        </is>
      </c>
      <c r="C4825" s="106" t="inlineStr">
        <is>
          <t>Combustível de frota</t>
        </is>
      </c>
      <c r="D4825" s="107" t="n">
        <v>1</v>
      </c>
      <c r="E4825" s="108" t="n">
        <v>1514.08</v>
      </c>
      <c r="F4825" s="109">
        <f>IFERROR(D4825*E4825,0)</f>
        <v/>
      </c>
      <c r="G4825" s="106">
        <f>INDEX(SETORES!$B:$B,MATCH(A4825,SETORES!$A:$A,0))</f>
        <v/>
      </c>
      <c r="H4825" s="106" t="inlineStr">
        <is>
          <t>Dezembro/2026</t>
        </is>
      </c>
    </row>
    <row r="4826">
      <c r="A4826" s="106" t="inlineStr">
        <is>
          <t>Marketing</t>
        </is>
      </c>
      <c r="B4826" s="106" t="inlineStr">
        <is>
          <t>Custo Variável</t>
        </is>
      </c>
      <c r="C4826" s="106" t="inlineStr">
        <is>
          <t>Exames médicos</t>
        </is>
      </c>
      <c r="D4826" s="107" t="n"/>
      <c r="E4826" s="108" t="n"/>
      <c r="F4826" s="109">
        <f>IFERROR(D4826*E4826,0)</f>
        <v/>
      </c>
      <c r="G4826" s="106">
        <f>INDEX(SETORES!$B:$B,MATCH(A4826,SETORES!$A:$A,0))</f>
        <v/>
      </c>
      <c r="H4826" s="106" t="inlineStr">
        <is>
          <t>Dezembro/2026</t>
        </is>
      </c>
    </row>
    <row r="4827">
      <c r="A4827" s="106" t="inlineStr">
        <is>
          <t>TIC</t>
        </is>
      </c>
      <c r="B4827" s="106" t="inlineStr">
        <is>
          <t>Custo Fixo</t>
        </is>
      </c>
      <c r="C4827" s="106" t="inlineStr">
        <is>
          <t>Folha de pagamento (salários)</t>
        </is>
      </c>
      <c r="D4827" s="107" t="n">
        <v>1</v>
      </c>
      <c r="E4827" s="108" t="n">
        <v>35073.9</v>
      </c>
      <c r="F4827" s="109">
        <f>IFERROR(D4827*E4827,0)</f>
        <v/>
      </c>
      <c r="G4827" s="106">
        <f>INDEX(SETORES!$B:$B,MATCH(A4827,SETORES!$A:$A,0))</f>
        <v/>
      </c>
      <c r="H4827" s="106" t="inlineStr">
        <is>
          <t>Dezembro/2026</t>
        </is>
      </c>
    </row>
    <row r="4828">
      <c r="A4828" s="106" t="inlineStr">
        <is>
          <t>TIC</t>
        </is>
      </c>
      <c r="B4828" s="106" t="inlineStr">
        <is>
          <t>Custo Fixo</t>
        </is>
      </c>
      <c r="C4828" s="106" t="inlineStr">
        <is>
          <t>Material de uso coletivo (copa/limpeza)</t>
        </is>
      </c>
      <c r="D4828" s="107" t="n">
        <v>1</v>
      </c>
      <c r="E4828" s="108" t="n">
        <v>107.14</v>
      </c>
      <c r="F4828" s="109">
        <f>IFERROR(D4828*E4828,0)</f>
        <v/>
      </c>
      <c r="G4828" s="106">
        <f>INDEX(SETORES!$B:$B,MATCH(A4828,SETORES!$A:$A,0))</f>
        <v/>
      </c>
      <c r="H4828" s="106" t="inlineStr">
        <is>
          <t>Dezembro/2026</t>
        </is>
      </c>
    </row>
    <row r="4829">
      <c r="A4829" s="106" t="inlineStr">
        <is>
          <t>COE</t>
        </is>
      </c>
      <c r="B4829" s="106" t="inlineStr">
        <is>
          <t>Custo Fixo</t>
        </is>
      </c>
      <c r="C4829" s="106" t="inlineStr">
        <is>
          <t>Folha de pagamento (salários)</t>
        </is>
      </c>
      <c r="D4829" s="107" t="n">
        <v>1</v>
      </c>
      <c r="E4829" s="108" t="n">
        <v>71692.57000000001</v>
      </c>
      <c r="F4829" s="109">
        <f>IFERROR(D4829*E4829,0)</f>
        <v/>
      </c>
      <c r="G4829" s="106">
        <f>INDEX(SETORES!$B:$B,MATCH(A4829,SETORES!$A:$A,0))</f>
        <v/>
      </c>
      <c r="H4829" s="106" t="inlineStr">
        <is>
          <t>Dezembro/2026</t>
        </is>
      </c>
    </row>
    <row r="4830">
      <c r="A4830" s="106" t="inlineStr">
        <is>
          <t>Fique Móvel</t>
        </is>
      </c>
      <c r="B4830" s="106" t="inlineStr">
        <is>
          <t>Custo Fixo</t>
        </is>
      </c>
      <c r="C4830" s="106" t="inlineStr">
        <is>
          <t>Folha de pagamento (salários)</t>
        </is>
      </c>
      <c r="D4830" s="107" t="n">
        <v>1</v>
      </c>
      <c r="E4830" s="108" t="n">
        <v>13644.85</v>
      </c>
      <c r="F4830" s="109">
        <f>IFERROR(D4830*E4830,0)</f>
        <v/>
      </c>
      <c r="G4830" s="106">
        <f>INDEX(SETORES!$B:$B,MATCH(A4830,SETORES!$A:$A,0))</f>
        <v/>
      </c>
      <c r="H4830" s="106" t="inlineStr">
        <is>
          <t>Dezembro/2026</t>
        </is>
      </c>
    </row>
    <row r="4831">
      <c r="A4831" s="106" t="inlineStr">
        <is>
          <t>Lançamento</t>
        </is>
      </c>
      <c r="B4831" s="106" t="inlineStr">
        <is>
          <t>Custo Fixo</t>
        </is>
      </c>
      <c r="C4831" s="106" t="inlineStr">
        <is>
          <t>Folha de pagamento (salários)</t>
        </is>
      </c>
      <c r="D4831" s="107" t="n">
        <v>1</v>
      </c>
      <c r="E4831" s="108" t="n">
        <v>184970.83</v>
      </c>
      <c r="F4831" s="109">
        <f>IFERROR(D4831*E4831,0)</f>
        <v/>
      </c>
      <c r="G4831" s="106">
        <f>INDEX(SETORES!$B:$B,MATCH(A4831,SETORES!$A:$A,0))</f>
        <v/>
      </c>
      <c r="H4831" s="106" t="inlineStr">
        <is>
          <t>Dezembro/2026</t>
        </is>
      </c>
    </row>
    <row r="4832">
      <c r="A4832" s="106" t="inlineStr">
        <is>
          <t>Lançamento</t>
        </is>
      </c>
      <c r="B4832" s="106" t="inlineStr">
        <is>
          <t>Custo Variável</t>
        </is>
      </c>
      <c r="C4832" s="106" t="inlineStr">
        <is>
          <t>Combustível de frota</t>
        </is>
      </c>
      <c r="D4832" s="107" t="n">
        <v>1</v>
      </c>
      <c r="E4832" s="108" t="n">
        <v>12181.5</v>
      </c>
      <c r="F4832" s="109">
        <f>IFERROR(D4832*E4832,0)</f>
        <v/>
      </c>
      <c r="G4832" s="106">
        <f>INDEX(SETORES!$B:$B,MATCH(A4832,SETORES!$A:$A,0))</f>
        <v/>
      </c>
      <c r="H4832" s="106" t="inlineStr">
        <is>
          <t>Dezembro/2026</t>
        </is>
      </c>
    </row>
    <row r="4833">
      <c r="A4833" s="106" t="inlineStr">
        <is>
          <t>Lançamento</t>
        </is>
      </c>
      <c r="B4833" s="106" t="inlineStr">
        <is>
          <t>Custo Variável</t>
        </is>
      </c>
      <c r="C4833" s="106" t="inlineStr">
        <is>
          <t>EPIs - Equipamento de Proteção Individual</t>
        </is>
      </c>
      <c r="D4833" s="107" t="n"/>
      <c r="E4833" s="108" t="n"/>
      <c r="F4833" s="109">
        <f>IFERROR(D4833*E4833,0)</f>
        <v/>
      </c>
      <c r="G4833" s="106">
        <f>INDEX(SETORES!$B:$B,MATCH(A4833,SETORES!$A:$A,0))</f>
        <v/>
      </c>
      <c r="H4833" s="106" t="inlineStr">
        <is>
          <t>Dezembro/2026</t>
        </is>
      </c>
    </row>
    <row r="4834">
      <c r="A4834" s="106" t="inlineStr">
        <is>
          <t>Fusão</t>
        </is>
      </c>
      <c r="B4834" s="106" t="inlineStr">
        <is>
          <t>Custo Fixo</t>
        </is>
      </c>
      <c r="C4834" s="106" t="inlineStr">
        <is>
          <t>Folha de pagamento (salários)</t>
        </is>
      </c>
      <c r="D4834" s="107" t="n">
        <v>1</v>
      </c>
      <c r="E4834" s="108" t="n">
        <v>108616.1</v>
      </c>
      <c r="F4834" s="109">
        <f>IFERROR(D4834*E4834,0)</f>
        <v/>
      </c>
      <c r="G4834" s="106">
        <f>INDEX(SETORES!$B:$B,MATCH(A4834,SETORES!$A:$A,0))</f>
        <v/>
      </c>
      <c r="H4834" s="106" t="inlineStr">
        <is>
          <t>Dezembro/2026</t>
        </is>
      </c>
    </row>
    <row r="4835">
      <c r="A4835" s="106" t="inlineStr">
        <is>
          <t>Fusão</t>
        </is>
      </c>
      <c r="B4835" s="106" t="inlineStr">
        <is>
          <t>Custo Variável</t>
        </is>
      </c>
      <c r="C4835" s="106" t="inlineStr">
        <is>
          <t>Combustível de frota</t>
        </is>
      </c>
      <c r="D4835" s="107" t="n">
        <v>1</v>
      </c>
      <c r="E4835" s="108" t="n">
        <v>19762.11</v>
      </c>
      <c r="F4835" s="109">
        <f>IFERROR(D4835*E4835,0)</f>
        <v/>
      </c>
      <c r="G4835" s="106">
        <f>INDEX(SETORES!$B:$B,MATCH(A4835,SETORES!$A:$A,0))</f>
        <v/>
      </c>
      <c r="H4835" s="106" t="inlineStr">
        <is>
          <t>Dezembro/2026</t>
        </is>
      </c>
    </row>
    <row r="4836">
      <c r="A4836" s="106" t="inlineStr">
        <is>
          <t>Fusão</t>
        </is>
      </c>
      <c r="B4836" s="106" t="inlineStr">
        <is>
          <t>Custo Variável</t>
        </is>
      </c>
      <c r="C4836" s="106" t="inlineStr">
        <is>
          <t>EPIs - Equipamento de Proteção Individual</t>
        </is>
      </c>
      <c r="D4836" s="107" t="n"/>
      <c r="E4836" s="108" t="n"/>
      <c r="F4836" s="109">
        <f>IFERROR(D4836*E4836,0)</f>
        <v/>
      </c>
      <c r="G4836" s="106">
        <f>INDEX(SETORES!$B:$B,MATCH(A4836,SETORES!$A:$A,0))</f>
        <v/>
      </c>
      <c r="H4836" s="106" t="inlineStr">
        <is>
          <t>Dezembro/2026</t>
        </is>
      </c>
    </row>
    <row r="4837">
      <c r="A4837" s="106" t="inlineStr">
        <is>
          <t>Diretoria Adm</t>
        </is>
      </c>
      <c r="B4837" s="106" t="inlineStr">
        <is>
          <t>Custo Fixo</t>
        </is>
      </c>
      <c r="C4837" s="106" t="inlineStr">
        <is>
          <t>Folha de pagamento (salários)</t>
        </is>
      </c>
      <c r="D4837" s="107" t="n">
        <v>1</v>
      </c>
      <c r="E4837" s="108" t="n">
        <v>11133.4</v>
      </c>
      <c r="F4837" s="109">
        <f>IFERROR(D4837*E4837,0)</f>
        <v/>
      </c>
      <c r="G4837" s="106">
        <f>INDEX(SETORES!$B:$B,MATCH(A4837,SETORES!$A:$A,0))</f>
        <v/>
      </c>
      <c r="H4837" s="106" t="inlineStr">
        <is>
          <t>Dezembro/2026</t>
        </is>
      </c>
    </row>
    <row r="4838">
      <c r="A4838" s="106" t="inlineStr">
        <is>
          <t>Diretoria Adm</t>
        </is>
      </c>
      <c r="B4838" s="106" t="inlineStr">
        <is>
          <t>Custo Fixo</t>
        </is>
      </c>
      <c r="C4838" s="106" t="inlineStr">
        <is>
          <t>Material de escritório (suprimentos de informática)</t>
        </is>
      </c>
      <c r="D4838" s="107" t="n"/>
      <c r="E4838" s="108" t="n"/>
      <c r="F4838" s="109">
        <f>IFERROR(D4838*E4838,0)</f>
        <v/>
      </c>
      <c r="G4838" s="106">
        <f>INDEX(SETORES!$B:$B,MATCH(A4838,SETORES!$A:$A,0))</f>
        <v/>
      </c>
      <c r="H4838" s="106" t="inlineStr">
        <is>
          <t>Dezembro/2026</t>
        </is>
      </c>
    </row>
    <row r="4839">
      <c r="A4839" s="106" t="inlineStr">
        <is>
          <t>Diretoria Adm</t>
        </is>
      </c>
      <c r="B4839" s="106" t="inlineStr">
        <is>
          <t>Custo Fixo</t>
        </is>
      </c>
      <c r="C4839" s="106" t="inlineStr">
        <is>
          <t>Material de uso coletivo (copa/limpeza)</t>
        </is>
      </c>
      <c r="D4839" s="107" t="n"/>
      <c r="E4839" s="108" t="n"/>
      <c r="F4839" s="109">
        <f>IFERROR(D4839*E4839,0)</f>
        <v/>
      </c>
      <c r="G4839" s="106">
        <f>INDEX(SETORES!$B:$B,MATCH(A4839,SETORES!$A:$A,0))</f>
        <v/>
      </c>
      <c r="H4839" s="106" t="inlineStr">
        <is>
          <t>Dezembro/2026</t>
        </is>
      </c>
    </row>
    <row r="4840">
      <c r="A4840" s="106" t="inlineStr">
        <is>
          <t>Comercial Corporativo</t>
        </is>
      </c>
      <c r="B4840" s="106" t="inlineStr">
        <is>
          <t>Custo Fixo</t>
        </is>
      </c>
      <c r="C4840" s="106" t="inlineStr">
        <is>
          <t>Material de uso coletivo (copa/limpeza)</t>
        </is>
      </c>
      <c r="D4840" s="107" t="n"/>
      <c r="E4840" s="108" t="n"/>
      <c r="F4840" s="109">
        <f>IFERROR(D4840*E4840,0)</f>
        <v/>
      </c>
      <c r="G4840" s="106">
        <f>INDEX(SETORES!$B:$B,MATCH(A4840,SETORES!$A:$A,0))</f>
        <v/>
      </c>
      <c r="H4840" s="106" t="inlineStr">
        <is>
          <t>Dezembro/2026</t>
        </is>
      </c>
    </row>
    <row r="4841">
      <c r="A4841" s="106" t="inlineStr">
        <is>
          <t>Fique Móvel</t>
        </is>
      </c>
      <c r="B4841" s="106" t="inlineStr">
        <is>
          <t>Custo Fixo</t>
        </is>
      </c>
      <c r="C4841" s="106" t="inlineStr">
        <is>
          <t>Material de uso coletivo (copa/limpeza)</t>
        </is>
      </c>
      <c r="D4841" s="107" t="n">
        <v>1</v>
      </c>
      <c r="E4841" s="108" t="n">
        <v>175.81</v>
      </c>
      <c r="F4841" s="109">
        <f>IFERROR(D4841*E4841,0)</f>
        <v/>
      </c>
      <c r="G4841" s="106">
        <f>INDEX(SETORES!$B:$B,MATCH(A4841,SETORES!$A:$A,0))</f>
        <v/>
      </c>
      <c r="H4841" s="106" t="inlineStr">
        <is>
          <t>Dezembro/2026</t>
        </is>
      </c>
    </row>
    <row r="4842">
      <c r="A4842" s="106" t="inlineStr">
        <is>
          <t>Qualidade</t>
        </is>
      </c>
      <c r="B4842" s="106" t="inlineStr">
        <is>
          <t>Custo Fixo</t>
        </is>
      </c>
      <c r="C4842" s="106" t="inlineStr">
        <is>
          <t>Gympass</t>
        </is>
      </c>
      <c r="D4842" s="107" t="n"/>
      <c r="E4842" s="108" t="n"/>
      <c r="F4842" s="109">
        <f>IFERROR(D4842*E4842,0)</f>
        <v/>
      </c>
      <c r="G4842" s="106">
        <f>INDEX(SETORES!$B:$B,MATCH(A4842,SETORES!$A:$A,0))</f>
        <v/>
      </c>
      <c r="H4842" s="106" t="inlineStr">
        <is>
          <t>Dezembro/2026</t>
        </is>
      </c>
    </row>
    <row r="4843">
      <c r="A4843" s="106" t="inlineStr">
        <is>
          <t>Qualidade</t>
        </is>
      </c>
      <c r="B4843" s="106" t="inlineStr">
        <is>
          <t>Custo Fixo</t>
        </is>
      </c>
      <c r="C4843" s="106" t="inlineStr">
        <is>
          <t>Stargrid</t>
        </is>
      </c>
      <c r="D4843" s="107" t="n">
        <v>11</v>
      </c>
      <c r="E4843" s="108" t="n">
        <v>1.87</v>
      </c>
      <c r="F4843" s="109">
        <f>IFERROR(D4843*E4843,0)</f>
        <v/>
      </c>
      <c r="G4843" s="106">
        <f>INDEX(SETORES!$B:$B,MATCH(A4843,SETORES!$A:$A,0))</f>
        <v/>
      </c>
      <c r="H4843" s="106" t="inlineStr">
        <is>
          <t>Dezembro/2026</t>
        </is>
      </c>
    </row>
    <row r="4844">
      <c r="A4844" s="106" t="inlineStr">
        <is>
          <t>Qualidade</t>
        </is>
      </c>
      <c r="B4844" s="106" t="inlineStr">
        <is>
          <t>Custo Fixo</t>
        </is>
      </c>
      <c r="C4844" s="106" t="inlineStr">
        <is>
          <t>Licença de e-mail corporativo</t>
        </is>
      </c>
      <c r="D4844" s="107" t="n">
        <v>11</v>
      </c>
      <c r="E4844" s="108" t="n">
        <v>50</v>
      </c>
      <c r="F4844" s="109">
        <f>IFERROR(D4844*E4844,0)</f>
        <v/>
      </c>
      <c r="G4844" s="106">
        <f>INDEX(SETORES!$B:$B,MATCH(A4844,SETORES!$A:$A,0))</f>
        <v/>
      </c>
      <c r="H4844" s="106" t="inlineStr">
        <is>
          <t>Dezembro/2026</t>
        </is>
      </c>
    </row>
    <row r="4845">
      <c r="A4845" s="106" t="inlineStr">
        <is>
          <t>Qualidade</t>
        </is>
      </c>
      <c r="B4845" s="106" t="inlineStr">
        <is>
          <t>Custo Fixo</t>
        </is>
      </c>
      <c r="C4845" s="106" t="inlineStr">
        <is>
          <t>Despesas com RH</t>
        </is>
      </c>
      <c r="D4845" s="107" t="n">
        <v>11</v>
      </c>
      <c r="E4845" s="108" t="n">
        <v>32.55</v>
      </c>
      <c r="F4845" s="109">
        <f>IFERROR(D4845*E4845,0)</f>
        <v/>
      </c>
      <c r="G4845" s="106">
        <f>INDEX(SETORES!$B:$B,MATCH(A4845,SETORES!$A:$A,0))</f>
        <v/>
      </c>
      <c r="H4845" s="106" t="inlineStr">
        <is>
          <t>Dezembro/2026</t>
        </is>
      </c>
    </row>
    <row r="4846">
      <c r="A4846" s="106" t="inlineStr">
        <is>
          <t>Qualidade</t>
        </is>
      </c>
      <c r="B4846" s="106" t="inlineStr">
        <is>
          <t>Custo Fixo</t>
        </is>
      </c>
      <c r="C4846" s="106" t="inlineStr">
        <is>
          <t>Despesas com DP</t>
        </is>
      </c>
      <c r="D4846" s="107" t="n">
        <v>11</v>
      </c>
      <c r="E4846" s="108" t="n">
        <v>52.09</v>
      </c>
      <c r="F4846" s="109">
        <f>IFERROR(D4846*E4846,0)</f>
        <v/>
      </c>
      <c r="G4846" s="106">
        <f>INDEX(SETORES!$B:$B,MATCH(A4846,SETORES!$A:$A,0))</f>
        <v/>
      </c>
      <c r="H4846" s="106" t="inlineStr">
        <is>
          <t>Dezembro/2026</t>
        </is>
      </c>
    </row>
    <row r="4847">
      <c r="A4847" s="106" t="inlineStr">
        <is>
          <t>Qualidade</t>
        </is>
      </c>
      <c r="B4847" s="106" t="inlineStr">
        <is>
          <t>Custo Fixo</t>
        </is>
      </c>
      <c r="C4847" s="106" t="inlineStr">
        <is>
          <t>Despesas com SST</t>
        </is>
      </c>
      <c r="D4847" s="107" t="n">
        <v>11</v>
      </c>
      <c r="E4847" s="108" t="n">
        <v>52.35</v>
      </c>
      <c r="F4847" s="109">
        <f>IFERROR(D4847*E4847,0)</f>
        <v/>
      </c>
      <c r="G4847" s="106">
        <f>INDEX(SETORES!$B:$B,MATCH(A4847,SETORES!$A:$A,0))</f>
        <v/>
      </c>
      <c r="H4847" s="106" t="inlineStr">
        <is>
          <t>Dezembro/2026</t>
        </is>
      </c>
    </row>
    <row r="4848">
      <c r="A4848" s="106" t="inlineStr">
        <is>
          <t>Jurídico</t>
        </is>
      </c>
      <c r="B4848" s="106" t="inlineStr">
        <is>
          <t>Custo Fixo</t>
        </is>
      </c>
      <c r="C4848" s="106" t="inlineStr">
        <is>
          <t>Gympass</t>
        </is>
      </c>
      <c r="D4848" s="107" t="n"/>
      <c r="E4848" s="108" t="n"/>
      <c r="F4848" s="109">
        <f>IFERROR(D4848*E4848,0)</f>
        <v/>
      </c>
      <c r="G4848" s="106">
        <f>INDEX(SETORES!$B:$B,MATCH(A4848,SETORES!$A:$A,0))</f>
        <v/>
      </c>
      <c r="H4848" s="106" t="inlineStr">
        <is>
          <t>Dezembro/2026</t>
        </is>
      </c>
    </row>
    <row r="4849">
      <c r="A4849" s="106" t="inlineStr">
        <is>
          <t>Jurídico</t>
        </is>
      </c>
      <c r="B4849" s="106" t="inlineStr">
        <is>
          <t>Custo Fixo</t>
        </is>
      </c>
      <c r="C4849" s="106" t="inlineStr">
        <is>
          <t>Stargrid</t>
        </is>
      </c>
      <c r="D4849" s="107" t="n">
        <v>2</v>
      </c>
      <c r="E4849" s="108" t="n">
        <v>1.87</v>
      </c>
      <c r="F4849" s="109">
        <f>IFERROR(D4849*E4849,0)</f>
        <v/>
      </c>
      <c r="G4849" s="106">
        <f>INDEX(SETORES!$B:$B,MATCH(A4849,SETORES!$A:$A,0))</f>
        <v/>
      </c>
      <c r="H4849" s="106" t="inlineStr">
        <is>
          <t>Dezembro/2026</t>
        </is>
      </c>
    </row>
    <row r="4850">
      <c r="A4850" s="106" t="inlineStr">
        <is>
          <t>Jurídico</t>
        </is>
      </c>
      <c r="B4850" s="106" t="inlineStr">
        <is>
          <t>Custo Fixo</t>
        </is>
      </c>
      <c r="C4850" s="106" t="inlineStr">
        <is>
          <t>Licença de e-mail corporativo</t>
        </is>
      </c>
      <c r="D4850" s="107" t="n">
        <v>2</v>
      </c>
      <c r="E4850" s="108" t="n">
        <v>50</v>
      </c>
      <c r="F4850" s="109">
        <f>IFERROR(D4850*E4850,0)</f>
        <v/>
      </c>
      <c r="G4850" s="106">
        <f>INDEX(SETORES!$B:$B,MATCH(A4850,SETORES!$A:$A,0))</f>
        <v/>
      </c>
      <c r="H4850" s="106" t="inlineStr">
        <is>
          <t>Dezembro/2026</t>
        </is>
      </c>
    </row>
    <row r="4851">
      <c r="A4851" s="106" t="inlineStr">
        <is>
          <t>Jurídico</t>
        </is>
      </c>
      <c r="B4851" s="106" t="inlineStr">
        <is>
          <t>Custo Fixo</t>
        </is>
      </c>
      <c r="C4851" s="106" t="inlineStr">
        <is>
          <t>Despesas com RH</t>
        </is>
      </c>
      <c r="D4851" s="107" t="n">
        <v>2</v>
      </c>
      <c r="E4851" s="108" t="n">
        <v>32.55</v>
      </c>
      <c r="F4851" s="109">
        <f>IFERROR(D4851*E4851,0)</f>
        <v/>
      </c>
      <c r="G4851" s="106">
        <f>INDEX(SETORES!$B:$B,MATCH(A4851,SETORES!$A:$A,0))</f>
        <v/>
      </c>
      <c r="H4851" s="106" t="inlineStr">
        <is>
          <t>Dezembro/2026</t>
        </is>
      </c>
    </row>
    <row r="4852">
      <c r="A4852" s="106" t="inlineStr">
        <is>
          <t>Jurídico</t>
        </is>
      </c>
      <c r="B4852" s="106" t="inlineStr">
        <is>
          <t>Custo Fixo</t>
        </is>
      </c>
      <c r="C4852" s="106" t="inlineStr">
        <is>
          <t>Despesas com DP</t>
        </is>
      </c>
      <c r="D4852" s="107" t="n">
        <v>2</v>
      </c>
      <c r="E4852" s="108" t="n">
        <v>52.09</v>
      </c>
      <c r="F4852" s="109">
        <f>IFERROR(D4852*E4852,0)</f>
        <v/>
      </c>
      <c r="G4852" s="106">
        <f>INDEX(SETORES!$B:$B,MATCH(A4852,SETORES!$A:$A,0))</f>
        <v/>
      </c>
      <c r="H4852" s="106" t="inlineStr">
        <is>
          <t>Dezembro/2026</t>
        </is>
      </c>
    </row>
    <row r="4853">
      <c r="A4853" s="106" t="inlineStr">
        <is>
          <t>Jurídico</t>
        </is>
      </c>
      <c r="B4853" s="106" t="inlineStr">
        <is>
          <t>Custo Fixo</t>
        </is>
      </c>
      <c r="C4853" s="106" t="inlineStr">
        <is>
          <t>Despesas com SST</t>
        </is>
      </c>
      <c r="D4853" s="107" t="n">
        <v>2</v>
      </c>
      <c r="E4853" s="108" t="n">
        <v>52.35</v>
      </c>
      <c r="F4853" s="109">
        <f>IFERROR(D4853*E4853,0)</f>
        <v/>
      </c>
      <c r="G4853" s="106">
        <f>INDEX(SETORES!$B:$B,MATCH(A4853,SETORES!$A:$A,0))</f>
        <v/>
      </c>
      <c r="H4853" s="106" t="inlineStr">
        <is>
          <t>Dezembro/2026</t>
        </is>
      </c>
    </row>
    <row r="4854">
      <c r="A4854" s="106" t="inlineStr">
        <is>
          <t>Marketing</t>
        </is>
      </c>
      <c r="B4854" s="106" t="inlineStr">
        <is>
          <t>Custo Fixo</t>
        </is>
      </c>
      <c r="C4854" s="106" t="inlineStr">
        <is>
          <t>Gympass</t>
        </is>
      </c>
      <c r="D4854" s="107" t="n"/>
      <c r="E4854" s="108" t="n"/>
      <c r="F4854" s="109">
        <f>IFERROR(D4854*E4854,0)</f>
        <v/>
      </c>
      <c r="G4854" s="106">
        <f>INDEX(SETORES!$B:$B,MATCH(A4854,SETORES!$A:$A,0))</f>
        <v/>
      </c>
      <c r="H4854" s="106" t="inlineStr">
        <is>
          <t>Dezembro/2026</t>
        </is>
      </c>
    </row>
    <row r="4855">
      <c r="A4855" s="106" t="inlineStr">
        <is>
          <t>Marketing</t>
        </is>
      </c>
      <c r="B4855" s="106" t="inlineStr">
        <is>
          <t>Custo Fixo</t>
        </is>
      </c>
      <c r="C4855" s="106" t="inlineStr">
        <is>
          <t>Stargrid</t>
        </is>
      </c>
      <c r="D4855" s="107" t="n">
        <v>17</v>
      </c>
      <c r="E4855" s="108" t="n">
        <v>1.87</v>
      </c>
      <c r="F4855" s="109">
        <f>IFERROR(D4855*E4855,0)</f>
        <v/>
      </c>
      <c r="G4855" s="106">
        <f>INDEX(SETORES!$B:$B,MATCH(A4855,SETORES!$A:$A,0))</f>
        <v/>
      </c>
      <c r="H4855" s="106" t="inlineStr">
        <is>
          <t>Dezembro/2026</t>
        </is>
      </c>
    </row>
    <row r="4856">
      <c r="A4856" s="106" t="inlineStr">
        <is>
          <t>Marketing</t>
        </is>
      </c>
      <c r="B4856" s="106" t="inlineStr">
        <is>
          <t>Custo Fixo</t>
        </is>
      </c>
      <c r="C4856" s="106" t="inlineStr">
        <is>
          <t>Licença de e-mail corporativo</t>
        </is>
      </c>
      <c r="D4856" s="107" t="n">
        <v>17</v>
      </c>
      <c r="E4856" s="108" t="n">
        <v>50</v>
      </c>
      <c r="F4856" s="109">
        <f>IFERROR(D4856*E4856,0)</f>
        <v/>
      </c>
      <c r="G4856" s="106">
        <f>INDEX(SETORES!$B:$B,MATCH(A4856,SETORES!$A:$A,0))</f>
        <v/>
      </c>
      <c r="H4856" s="106" t="inlineStr">
        <is>
          <t>Dezembro/2026</t>
        </is>
      </c>
    </row>
    <row r="4857">
      <c r="A4857" s="106" t="inlineStr">
        <is>
          <t>Marketing</t>
        </is>
      </c>
      <c r="B4857" s="106" t="inlineStr">
        <is>
          <t>Custo Fixo</t>
        </is>
      </c>
      <c r="C4857" s="106" t="inlineStr">
        <is>
          <t>Despesas com RH</t>
        </is>
      </c>
      <c r="D4857" s="107" t="n">
        <v>17</v>
      </c>
      <c r="E4857" s="108" t="n">
        <v>32.55</v>
      </c>
      <c r="F4857" s="109">
        <f>IFERROR(D4857*E4857,0)</f>
        <v/>
      </c>
      <c r="G4857" s="106">
        <f>INDEX(SETORES!$B:$B,MATCH(A4857,SETORES!$A:$A,0))</f>
        <v/>
      </c>
      <c r="H4857" s="106" t="inlineStr">
        <is>
          <t>Dezembro/2026</t>
        </is>
      </c>
    </row>
    <row r="4858">
      <c r="A4858" s="106" t="inlineStr">
        <is>
          <t>Marketing</t>
        </is>
      </c>
      <c r="B4858" s="106" t="inlineStr">
        <is>
          <t>Custo Fixo</t>
        </is>
      </c>
      <c r="C4858" s="106" t="inlineStr">
        <is>
          <t>Despesas com DP</t>
        </is>
      </c>
      <c r="D4858" s="107" t="n">
        <v>17</v>
      </c>
      <c r="E4858" s="108" t="n">
        <v>52.09</v>
      </c>
      <c r="F4858" s="109">
        <f>IFERROR(D4858*E4858,0)</f>
        <v/>
      </c>
      <c r="G4858" s="106">
        <f>INDEX(SETORES!$B:$B,MATCH(A4858,SETORES!$A:$A,0))</f>
        <v/>
      </c>
      <c r="H4858" s="106" t="inlineStr">
        <is>
          <t>Dezembro/2026</t>
        </is>
      </c>
    </row>
    <row r="4859">
      <c r="A4859" s="106" t="inlineStr">
        <is>
          <t>Marketing</t>
        </is>
      </c>
      <c r="B4859" s="106" t="inlineStr">
        <is>
          <t>Custo Fixo</t>
        </is>
      </c>
      <c r="C4859" s="106" t="inlineStr">
        <is>
          <t>Despesas com SST</t>
        </is>
      </c>
      <c r="D4859" s="107" t="n">
        <v>17</v>
      </c>
      <c r="E4859" s="108" t="n">
        <v>52.35</v>
      </c>
      <c r="F4859" s="109">
        <f>IFERROR(D4859*E4859,0)</f>
        <v/>
      </c>
      <c r="G4859" s="106">
        <f>INDEX(SETORES!$B:$B,MATCH(A4859,SETORES!$A:$A,0))</f>
        <v/>
      </c>
      <c r="H4859" s="106" t="inlineStr">
        <is>
          <t>Dezembro/2026</t>
        </is>
      </c>
    </row>
    <row r="4860">
      <c r="A4860" s="106" t="inlineStr">
        <is>
          <t>TIC</t>
        </is>
      </c>
      <c r="B4860" s="106" t="inlineStr">
        <is>
          <t>Custo Fixo</t>
        </is>
      </c>
      <c r="C4860" s="106" t="inlineStr">
        <is>
          <t>Gympass</t>
        </is>
      </c>
      <c r="D4860" s="107" t="n"/>
      <c r="E4860" s="108" t="n"/>
      <c r="F4860" s="109">
        <f>IFERROR(D4860*E4860,0)</f>
        <v/>
      </c>
      <c r="G4860" s="106">
        <f>INDEX(SETORES!$B:$B,MATCH(A4860,SETORES!$A:$A,0))</f>
        <v/>
      </c>
      <c r="H4860" s="106" t="inlineStr">
        <is>
          <t>Dezembro/2026</t>
        </is>
      </c>
    </row>
    <row r="4861">
      <c r="A4861" s="106" t="inlineStr">
        <is>
          <t>TIC</t>
        </is>
      </c>
      <c r="B4861" s="106" t="inlineStr">
        <is>
          <t>Custo Fixo</t>
        </is>
      </c>
      <c r="C4861" s="106" t="inlineStr">
        <is>
          <t>Stargrid</t>
        </is>
      </c>
      <c r="D4861" s="107" t="n">
        <v>7</v>
      </c>
      <c r="E4861" s="108" t="n">
        <v>1.87</v>
      </c>
      <c r="F4861" s="109">
        <f>IFERROR(D4861*E4861,0)</f>
        <v/>
      </c>
      <c r="G4861" s="106">
        <f>INDEX(SETORES!$B:$B,MATCH(A4861,SETORES!$A:$A,0))</f>
        <v/>
      </c>
      <c r="H4861" s="106" t="inlineStr">
        <is>
          <t>Dezembro/2026</t>
        </is>
      </c>
    </row>
    <row r="4862">
      <c r="A4862" s="106" t="inlineStr">
        <is>
          <t>TIC</t>
        </is>
      </c>
      <c r="B4862" s="106" t="inlineStr">
        <is>
          <t>Custo Fixo</t>
        </is>
      </c>
      <c r="C4862" s="106" t="inlineStr">
        <is>
          <t>Licença de e-mail corporativo</t>
        </is>
      </c>
      <c r="D4862" s="107" t="n">
        <v>7</v>
      </c>
      <c r="E4862" s="108" t="n">
        <v>50</v>
      </c>
      <c r="F4862" s="109">
        <f>IFERROR(D4862*E4862,0)</f>
        <v/>
      </c>
      <c r="G4862" s="106">
        <f>INDEX(SETORES!$B:$B,MATCH(A4862,SETORES!$A:$A,0))</f>
        <v/>
      </c>
      <c r="H4862" s="106" t="inlineStr">
        <is>
          <t>Dezembro/2026</t>
        </is>
      </c>
    </row>
    <row r="4863">
      <c r="A4863" s="106" t="inlineStr">
        <is>
          <t>TIC</t>
        </is>
      </c>
      <c r="B4863" s="106" t="inlineStr">
        <is>
          <t>Custo Fixo</t>
        </is>
      </c>
      <c r="C4863" s="106" t="inlineStr">
        <is>
          <t>Despesas com RH</t>
        </is>
      </c>
      <c r="D4863" s="107" t="n">
        <v>7</v>
      </c>
      <c r="E4863" s="108" t="n">
        <v>32.55</v>
      </c>
      <c r="F4863" s="109">
        <f>IFERROR(D4863*E4863,0)</f>
        <v/>
      </c>
      <c r="G4863" s="106">
        <f>INDEX(SETORES!$B:$B,MATCH(A4863,SETORES!$A:$A,0))</f>
        <v/>
      </c>
      <c r="H4863" s="106" t="inlineStr">
        <is>
          <t>Dezembro/2026</t>
        </is>
      </c>
    </row>
    <row r="4864">
      <c r="A4864" s="106" t="inlineStr">
        <is>
          <t>TIC</t>
        </is>
      </c>
      <c r="B4864" s="106" t="inlineStr">
        <is>
          <t>Custo Fixo</t>
        </is>
      </c>
      <c r="C4864" s="106" t="inlineStr">
        <is>
          <t>Despesas com DP</t>
        </is>
      </c>
      <c r="D4864" s="107" t="n">
        <v>7</v>
      </c>
      <c r="E4864" s="108" t="n">
        <v>52.09</v>
      </c>
      <c r="F4864" s="109">
        <f>IFERROR(D4864*E4864,0)</f>
        <v/>
      </c>
      <c r="G4864" s="106">
        <f>INDEX(SETORES!$B:$B,MATCH(A4864,SETORES!$A:$A,0))</f>
        <v/>
      </c>
      <c r="H4864" s="106" t="inlineStr">
        <is>
          <t>Dezembro/2026</t>
        </is>
      </c>
    </row>
    <row r="4865">
      <c r="A4865" s="106" t="inlineStr">
        <is>
          <t>TIC</t>
        </is>
      </c>
      <c r="B4865" s="106" t="inlineStr">
        <is>
          <t>Custo Fixo</t>
        </is>
      </c>
      <c r="C4865" s="106" t="inlineStr">
        <is>
          <t>Despesas com SST</t>
        </is>
      </c>
      <c r="D4865" s="107" t="n">
        <v>7</v>
      </c>
      <c r="E4865" s="108" t="n">
        <v>52.35</v>
      </c>
      <c r="F4865" s="109">
        <f>IFERROR(D4865*E4865,0)</f>
        <v/>
      </c>
      <c r="G4865" s="106">
        <f>INDEX(SETORES!$B:$B,MATCH(A4865,SETORES!$A:$A,0))</f>
        <v/>
      </c>
      <c r="H4865" s="106" t="inlineStr">
        <is>
          <t>Dezembro/2026</t>
        </is>
      </c>
    </row>
    <row r="4866">
      <c r="A4866" s="106" t="inlineStr">
        <is>
          <t>COE</t>
        </is>
      </c>
      <c r="B4866" s="106" t="inlineStr">
        <is>
          <t>Custo Fixo</t>
        </is>
      </c>
      <c r="C4866" s="106" t="inlineStr">
        <is>
          <t>Gympass</t>
        </is>
      </c>
      <c r="D4866" s="107" t="n"/>
      <c r="E4866" s="108" t="n"/>
      <c r="F4866" s="109">
        <f>IFERROR(D4866*E4866,0)</f>
        <v/>
      </c>
      <c r="G4866" s="106">
        <f>INDEX(SETORES!$B:$B,MATCH(A4866,SETORES!$A:$A,0))</f>
        <v/>
      </c>
      <c r="H4866" s="106" t="inlineStr">
        <is>
          <t>Dezembro/2026</t>
        </is>
      </c>
    </row>
    <row r="4867">
      <c r="A4867" s="106" t="inlineStr">
        <is>
          <t>COE</t>
        </is>
      </c>
      <c r="B4867" s="106" t="inlineStr">
        <is>
          <t>Custo Fixo</t>
        </is>
      </c>
      <c r="C4867" s="106" t="inlineStr">
        <is>
          <t>Stargrid</t>
        </is>
      </c>
      <c r="D4867" s="107" t="n">
        <v>11</v>
      </c>
      <c r="E4867" s="108" t="n">
        <v>1.87</v>
      </c>
      <c r="F4867" s="109">
        <f>IFERROR(D4867*E4867,0)</f>
        <v/>
      </c>
      <c r="G4867" s="106">
        <f>INDEX(SETORES!$B:$B,MATCH(A4867,SETORES!$A:$A,0))</f>
        <v/>
      </c>
      <c r="H4867" s="106" t="inlineStr">
        <is>
          <t>Dezembro/2026</t>
        </is>
      </c>
    </row>
    <row r="4868">
      <c r="A4868" s="106" t="inlineStr">
        <is>
          <t>COE</t>
        </is>
      </c>
      <c r="B4868" s="106" t="inlineStr">
        <is>
          <t>Custo Fixo</t>
        </is>
      </c>
      <c r="C4868" s="106" t="inlineStr">
        <is>
          <t>Licença de e-mail corporativo</t>
        </is>
      </c>
      <c r="D4868" s="107" t="n">
        <v>11</v>
      </c>
      <c r="E4868" s="108" t="n">
        <v>50</v>
      </c>
      <c r="F4868" s="109">
        <f>IFERROR(D4868*E4868,0)</f>
        <v/>
      </c>
      <c r="G4868" s="106">
        <f>INDEX(SETORES!$B:$B,MATCH(A4868,SETORES!$A:$A,0))</f>
        <v/>
      </c>
      <c r="H4868" s="106" t="inlineStr">
        <is>
          <t>Dezembro/2026</t>
        </is>
      </c>
    </row>
    <row r="4869">
      <c r="A4869" s="106" t="inlineStr">
        <is>
          <t>COE</t>
        </is>
      </c>
      <c r="B4869" s="106" t="inlineStr">
        <is>
          <t>Custo Fixo</t>
        </is>
      </c>
      <c r="C4869" s="106" t="inlineStr">
        <is>
          <t>Despesas com RH</t>
        </is>
      </c>
      <c r="D4869" s="107" t="n">
        <v>11</v>
      </c>
      <c r="E4869" s="108" t="n">
        <v>32.55</v>
      </c>
      <c r="F4869" s="109">
        <f>IFERROR(D4869*E4869,0)</f>
        <v/>
      </c>
      <c r="G4869" s="106">
        <f>INDEX(SETORES!$B:$B,MATCH(A4869,SETORES!$A:$A,0))</f>
        <v/>
      </c>
      <c r="H4869" s="106" t="inlineStr">
        <is>
          <t>Dezembro/2026</t>
        </is>
      </c>
    </row>
    <row r="4870">
      <c r="A4870" s="106" t="inlineStr">
        <is>
          <t>COE</t>
        </is>
      </c>
      <c r="B4870" s="106" t="inlineStr">
        <is>
          <t>Custo Fixo</t>
        </is>
      </c>
      <c r="C4870" s="106" t="inlineStr">
        <is>
          <t>Despesas com DP</t>
        </is>
      </c>
      <c r="D4870" s="107" t="n">
        <v>11</v>
      </c>
      <c r="E4870" s="108" t="n">
        <v>52.09</v>
      </c>
      <c r="F4870" s="109">
        <f>IFERROR(D4870*E4870,0)</f>
        <v/>
      </c>
      <c r="G4870" s="106">
        <f>INDEX(SETORES!$B:$B,MATCH(A4870,SETORES!$A:$A,0))</f>
        <v/>
      </c>
      <c r="H4870" s="106" t="inlineStr">
        <is>
          <t>Dezembro/2026</t>
        </is>
      </c>
    </row>
    <row r="4871">
      <c r="A4871" s="106" t="inlineStr">
        <is>
          <t>COE</t>
        </is>
      </c>
      <c r="B4871" s="106" t="inlineStr">
        <is>
          <t>Custo Fixo</t>
        </is>
      </c>
      <c r="C4871" s="106" t="inlineStr">
        <is>
          <t>Despesas com SST</t>
        </is>
      </c>
      <c r="D4871" s="107" t="n">
        <v>11</v>
      </c>
      <c r="E4871" s="108" t="n">
        <v>52.35</v>
      </c>
      <c r="F4871" s="109">
        <f>IFERROR(D4871*E4871,0)</f>
        <v/>
      </c>
      <c r="G4871" s="106">
        <f>INDEX(SETORES!$B:$B,MATCH(A4871,SETORES!$A:$A,0))</f>
        <v/>
      </c>
      <c r="H4871" s="106" t="inlineStr">
        <is>
          <t>Dezembro/2026</t>
        </is>
      </c>
    </row>
    <row r="4872">
      <c r="A4872" s="106" t="inlineStr">
        <is>
          <t>Fique Móvel</t>
        </is>
      </c>
      <c r="B4872" s="106" t="inlineStr">
        <is>
          <t>Custo Fixo</t>
        </is>
      </c>
      <c r="C4872" s="106" t="inlineStr">
        <is>
          <t>Gympass</t>
        </is>
      </c>
      <c r="D4872" s="107" t="n"/>
      <c r="E4872" s="108" t="n"/>
      <c r="F4872" s="109">
        <f>IFERROR(D4872*E4872,0)</f>
        <v/>
      </c>
      <c r="G4872" s="106">
        <f>INDEX(SETORES!$B:$B,MATCH(A4872,SETORES!$A:$A,0))</f>
        <v/>
      </c>
      <c r="H4872" s="106" t="inlineStr">
        <is>
          <t>Dezembro/2026</t>
        </is>
      </c>
    </row>
    <row r="4873">
      <c r="A4873" s="106" t="inlineStr">
        <is>
          <t>Fique Móvel</t>
        </is>
      </c>
      <c r="B4873" s="106" t="inlineStr">
        <is>
          <t>Custo Fixo</t>
        </is>
      </c>
      <c r="C4873" s="106" t="inlineStr">
        <is>
          <t>Stargrid</t>
        </is>
      </c>
      <c r="D4873" s="107" t="n">
        <v>3</v>
      </c>
      <c r="E4873" s="108" t="n">
        <v>1.87</v>
      </c>
      <c r="F4873" s="109">
        <f>IFERROR(D4873*E4873,0)</f>
        <v/>
      </c>
      <c r="G4873" s="106">
        <f>INDEX(SETORES!$B:$B,MATCH(A4873,SETORES!$A:$A,0))</f>
        <v/>
      </c>
      <c r="H4873" s="106" t="inlineStr">
        <is>
          <t>Dezembro/2026</t>
        </is>
      </c>
    </row>
    <row r="4874">
      <c r="A4874" s="106" t="inlineStr">
        <is>
          <t>Fique Móvel</t>
        </is>
      </c>
      <c r="B4874" s="106" t="inlineStr">
        <is>
          <t>Custo Fixo</t>
        </is>
      </c>
      <c r="C4874" s="106" t="inlineStr">
        <is>
          <t>Licença de e-mail corporativo</t>
        </is>
      </c>
      <c r="D4874" s="107" t="n">
        <v>3</v>
      </c>
      <c r="E4874" s="108" t="n">
        <v>50</v>
      </c>
      <c r="F4874" s="109">
        <f>IFERROR(D4874*E4874,0)</f>
        <v/>
      </c>
      <c r="G4874" s="106">
        <f>INDEX(SETORES!$B:$B,MATCH(A4874,SETORES!$A:$A,0))</f>
        <v/>
      </c>
      <c r="H4874" s="106" t="inlineStr">
        <is>
          <t>Dezembro/2026</t>
        </is>
      </c>
    </row>
    <row r="4875">
      <c r="A4875" s="106" t="inlineStr">
        <is>
          <t>Fique Móvel</t>
        </is>
      </c>
      <c r="B4875" s="106" t="inlineStr">
        <is>
          <t>Custo Fixo</t>
        </is>
      </c>
      <c r="C4875" s="106" t="inlineStr">
        <is>
          <t>Despesas com RH</t>
        </is>
      </c>
      <c r="D4875" s="107" t="n">
        <v>3</v>
      </c>
      <c r="E4875" s="108" t="n">
        <v>32.55</v>
      </c>
      <c r="F4875" s="109">
        <f>IFERROR(D4875*E4875,0)</f>
        <v/>
      </c>
      <c r="G4875" s="106">
        <f>INDEX(SETORES!$B:$B,MATCH(A4875,SETORES!$A:$A,0))</f>
        <v/>
      </c>
      <c r="H4875" s="106" t="inlineStr">
        <is>
          <t>Dezembro/2026</t>
        </is>
      </c>
    </row>
    <row r="4876">
      <c r="A4876" s="106" t="inlineStr">
        <is>
          <t>Fique Móvel</t>
        </is>
      </c>
      <c r="B4876" s="106" t="inlineStr">
        <is>
          <t>Custo Fixo</t>
        </is>
      </c>
      <c r="C4876" s="106" t="inlineStr">
        <is>
          <t>Despesas com DP</t>
        </is>
      </c>
      <c r="D4876" s="107" t="n">
        <v>3</v>
      </c>
      <c r="E4876" s="108" t="n">
        <v>52.09</v>
      </c>
      <c r="F4876" s="109">
        <f>IFERROR(D4876*E4876,0)</f>
        <v/>
      </c>
      <c r="G4876" s="106">
        <f>INDEX(SETORES!$B:$B,MATCH(A4876,SETORES!$A:$A,0))</f>
        <v/>
      </c>
      <c r="H4876" s="106" t="inlineStr">
        <is>
          <t>Dezembro/2026</t>
        </is>
      </c>
    </row>
    <row r="4877">
      <c r="A4877" s="106" t="inlineStr">
        <is>
          <t>Fique Móvel</t>
        </is>
      </c>
      <c r="B4877" s="106" t="inlineStr">
        <is>
          <t>Custo Fixo</t>
        </is>
      </c>
      <c r="C4877" s="106" t="inlineStr">
        <is>
          <t>Despesas com SST</t>
        </is>
      </c>
      <c r="D4877" s="107" t="n">
        <v>3</v>
      </c>
      <c r="E4877" s="108" t="n">
        <v>52.35</v>
      </c>
      <c r="F4877" s="109">
        <f>IFERROR(D4877*E4877,0)</f>
        <v/>
      </c>
      <c r="G4877" s="106">
        <f>INDEX(SETORES!$B:$B,MATCH(A4877,SETORES!$A:$A,0))</f>
        <v/>
      </c>
      <c r="H4877" s="106" t="inlineStr">
        <is>
          <t>Dezembro/2026</t>
        </is>
      </c>
    </row>
    <row r="4878">
      <c r="A4878" s="106" t="inlineStr">
        <is>
          <t>Lançamento</t>
        </is>
      </c>
      <c r="B4878" s="106" t="inlineStr">
        <is>
          <t>Custo Fixo</t>
        </is>
      </c>
      <c r="C4878" s="106" t="inlineStr">
        <is>
          <t>Gympass</t>
        </is>
      </c>
      <c r="D4878" s="107" t="n"/>
      <c r="E4878" s="108" t="n"/>
      <c r="F4878" s="109">
        <f>IFERROR(D4878*E4878,0)</f>
        <v/>
      </c>
      <c r="G4878" s="106">
        <f>INDEX(SETORES!$B:$B,MATCH(A4878,SETORES!$A:$A,0))</f>
        <v/>
      </c>
      <c r="H4878" s="106" t="inlineStr">
        <is>
          <t>Dezembro/2026</t>
        </is>
      </c>
    </row>
    <row r="4879">
      <c r="A4879" s="106" t="inlineStr">
        <is>
          <t>Lançamento</t>
        </is>
      </c>
      <c r="B4879" s="106" t="inlineStr">
        <is>
          <t>Custo Fixo</t>
        </is>
      </c>
      <c r="C4879" s="106" t="inlineStr">
        <is>
          <t>Stargrid</t>
        </is>
      </c>
      <c r="D4879" s="107" t="n">
        <v>24</v>
      </c>
      <c r="E4879" s="108" t="n">
        <v>1.87</v>
      </c>
      <c r="F4879" s="109">
        <f>IFERROR(D4879*E4879,0)</f>
        <v/>
      </c>
      <c r="G4879" s="106">
        <f>INDEX(SETORES!$B:$B,MATCH(A4879,SETORES!$A:$A,0))</f>
        <v/>
      </c>
      <c r="H4879" s="106" t="inlineStr">
        <is>
          <t>Dezembro/2026</t>
        </is>
      </c>
    </row>
    <row r="4880">
      <c r="A4880" s="106" t="inlineStr">
        <is>
          <t>Lançamento</t>
        </is>
      </c>
      <c r="B4880" s="106" t="inlineStr">
        <is>
          <t>Custo Fixo</t>
        </is>
      </c>
      <c r="C4880" s="106" t="inlineStr">
        <is>
          <t>Licença de e-mail corporativo</t>
        </is>
      </c>
      <c r="D4880" s="107" t="n">
        <v>24</v>
      </c>
      <c r="E4880" s="108" t="n">
        <v>50</v>
      </c>
      <c r="F4880" s="109">
        <f>IFERROR(D4880*E4880,0)</f>
        <v/>
      </c>
      <c r="G4880" s="106">
        <f>INDEX(SETORES!$B:$B,MATCH(A4880,SETORES!$A:$A,0))</f>
        <v/>
      </c>
      <c r="H4880" s="106" t="inlineStr">
        <is>
          <t>Dezembro/2026</t>
        </is>
      </c>
    </row>
    <row r="4881">
      <c r="A4881" s="106" t="inlineStr">
        <is>
          <t>Lançamento</t>
        </is>
      </c>
      <c r="B4881" s="106" t="inlineStr">
        <is>
          <t>Custo Fixo</t>
        </is>
      </c>
      <c r="C4881" s="106" t="inlineStr">
        <is>
          <t>Despesas com RH</t>
        </is>
      </c>
      <c r="D4881" s="107" t="n">
        <v>24</v>
      </c>
      <c r="E4881" s="108" t="n">
        <v>32.55</v>
      </c>
      <c r="F4881" s="109">
        <f>IFERROR(D4881*E4881,0)</f>
        <v/>
      </c>
      <c r="G4881" s="106">
        <f>INDEX(SETORES!$B:$B,MATCH(A4881,SETORES!$A:$A,0))</f>
        <v/>
      </c>
      <c r="H4881" s="106" t="inlineStr">
        <is>
          <t>Dezembro/2026</t>
        </is>
      </c>
    </row>
    <row r="4882">
      <c r="A4882" s="106" t="inlineStr">
        <is>
          <t>Lançamento</t>
        </is>
      </c>
      <c r="B4882" s="106" t="inlineStr">
        <is>
          <t>Custo Fixo</t>
        </is>
      </c>
      <c r="C4882" s="106" t="inlineStr">
        <is>
          <t>Despesas com DP</t>
        </is>
      </c>
      <c r="D4882" s="107" t="n">
        <v>24</v>
      </c>
      <c r="E4882" s="108" t="n">
        <v>52.09</v>
      </c>
      <c r="F4882" s="109">
        <f>IFERROR(D4882*E4882,0)</f>
        <v/>
      </c>
      <c r="G4882" s="106">
        <f>INDEX(SETORES!$B:$B,MATCH(A4882,SETORES!$A:$A,0))</f>
        <v/>
      </c>
      <c r="H4882" s="106" t="inlineStr">
        <is>
          <t>Dezembro/2026</t>
        </is>
      </c>
    </row>
    <row r="4883">
      <c r="A4883" s="106" t="inlineStr">
        <is>
          <t>Lançamento</t>
        </is>
      </c>
      <c r="B4883" s="106" t="inlineStr">
        <is>
          <t>Custo Fixo</t>
        </is>
      </c>
      <c r="C4883" s="106" t="inlineStr">
        <is>
          <t>Despesas com SST</t>
        </is>
      </c>
      <c r="D4883" s="107" t="n">
        <v>24</v>
      </c>
      <c r="E4883" s="108" t="n">
        <v>52.35</v>
      </c>
      <c r="F4883" s="109">
        <f>IFERROR(D4883*E4883,0)</f>
        <v/>
      </c>
      <c r="G4883" s="106">
        <f>INDEX(SETORES!$B:$B,MATCH(A4883,SETORES!$A:$A,0))</f>
        <v/>
      </c>
      <c r="H4883" s="106" t="inlineStr">
        <is>
          <t>Dezembro/2026</t>
        </is>
      </c>
    </row>
    <row r="4884">
      <c r="A4884" s="106" t="inlineStr">
        <is>
          <t>Fusão</t>
        </is>
      </c>
      <c r="B4884" s="106" t="inlineStr">
        <is>
          <t>Custo Fixo</t>
        </is>
      </c>
      <c r="C4884" s="106" t="inlineStr">
        <is>
          <t>Gympass</t>
        </is>
      </c>
      <c r="D4884" s="107" t="n"/>
      <c r="E4884" s="108" t="n"/>
      <c r="F4884" s="109">
        <f>IFERROR(D4884*E4884,0)</f>
        <v/>
      </c>
      <c r="G4884" s="106">
        <f>INDEX(SETORES!$B:$B,MATCH(A4884,SETORES!$A:$A,0))</f>
        <v/>
      </c>
      <c r="H4884" s="106" t="inlineStr">
        <is>
          <t>Dezembro/2026</t>
        </is>
      </c>
    </row>
    <row r="4885">
      <c r="A4885" s="106" t="inlineStr">
        <is>
          <t>Fusão</t>
        </is>
      </c>
      <c r="B4885" s="106" t="inlineStr">
        <is>
          <t>Custo Fixo</t>
        </is>
      </c>
      <c r="C4885" s="106" t="inlineStr">
        <is>
          <t>Stargrid</t>
        </is>
      </c>
      <c r="D4885" s="107" t="n">
        <v>10</v>
      </c>
      <c r="E4885" s="108" t="n">
        <v>1.87</v>
      </c>
      <c r="F4885" s="109">
        <f>IFERROR(D4885*E4885,0)</f>
        <v/>
      </c>
      <c r="G4885" s="106">
        <f>INDEX(SETORES!$B:$B,MATCH(A4885,SETORES!$A:$A,0))</f>
        <v/>
      </c>
      <c r="H4885" s="106" t="inlineStr">
        <is>
          <t>Dezembro/2026</t>
        </is>
      </c>
    </row>
    <row r="4886">
      <c r="A4886" s="106" t="inlineStr">
        <is>
          <t>Fusão</t>
        </is>
      </c>
      <c r="B4886" s="106" t="inlineStr">
        <is>
          <t>Custo Fixo</t>
        </is>
      </c>
      <c r="C4886" s="106" t="inlineStr">
        <is>
          <t>Licença de e-mail corporativo</t>
        </is>
      </c>
      <c r="D4886" s="107" t="n">
        <v>10</v>
      </c>
      <c r="E4886" s="108" t="n">
        <v>50</v>
      </c>
      <c r="F4886" s="109">
        <f>IFERROR(D4886*E4886,0)</f>
        <v/>
      </c>
      <c r="G4886" s="106">
        <f>INDEX(SETORES!$B:$B,MATCH(A4886,SETORES!$A:$A,0))</f>
        <v/>
      </c>
      <c r="H4886" s="106" t="inlineStr">
        <is>
          <t>Dezembro/2026</t>
        </is>
      </c>
    </row>
    <row r="4887">
      <c r="A4887" s="106" t="inlineStr">
        <is>
          <t>Fusão</t>
        </is>
      </c>
      <c r="B4887" s="106" t="inlineStr">
        <is>
          <t>Custo Fixo</t>
        </is>
      </c>
      <c r="C4887" s="106" t="inlineStr">
        <is>
          <t>Despesas com RH</t>
        </is>
      </c>
      <c r="D4887" s="107" t="n">
        <v>10</v>
      </c>
      <c r="E4887" s="108" t="n">
        <v>32.55</v>
      </c>
      <c r="F4887" s="109">
        <f>IFERROR(D4887*E4887,0)</f>
        <v/>
      </c>
      <c r="G4887" s="106">
        <f>INDEX(SETORES!$B:$B,MATCH(A4887,SETORES!$A:$A,0))</f>
        <v/>
      </c>
      <c r="H4887" s="106" t="inlineStr">
        <is>
          <t>Dezembro/2026</t>
        </is>
      </c>
    </row>
    <row r="4888">
      <c r="A4888" s="106" t="inlineStr">
        <is>
          <t>Fusão</t>
        </is>
      </c>
      <c r="B4888" s="106" t="inlineStr">
        <is>
          <t>Custo Fixo</t>
        </is>
      </c>
      <c r="C4888" s="106" t="inlineStr">
        <is>
          <t>Despesas com DP</t>
        </is>
      </c>
      <c r="D4888" s="107" t="n">
        <v>10</v>
      </c>
      <c r="E4888" s="108" t="n">
        <v>52.09</v>
      </c>
      <c r="F4888" s="109">
        <f>IFERROR(D4888*E4888,0)</f>
        <v/>
      </c>
      <c r="G4888" s="106">
        <f>INDEX(SETORES!$B:$B,MATCH(A4888,SETORES!$A:$A,0))</f>
        <v/>
      </c>
      <c r="H4888" s="106" t="inlineStr">
        <is>
          <t>Dezembro/2026</t>
        </is>
      </c>
    </row>
    <row r="4889">
      <c r="A4889" s="106" t="inlineStr">
        <is>
          <t>Fusão</t>
        </is>
      </c>
      <c r="B4889" s="106" t="inlineStr">
        <is>
          <t>Custo Fixo</t>
        </is>
      </c>
      <c r="C4889" s="106" t="inlineStr">
        <is>
          <t>Despesas com SST</t>
        </is>
      </c>
      <c r="D4889" s="107" t="n">
        <v>10</v>
      </c>
      <c r="E4889" s="108" t="n">
        <v>52.35</v>
      </c>
      <c r="F4889" s="109">
        <f>IFERROR(D4889*E4889,0)</f>
        <v/>
      </c>
      <c r="G4889" s="106">
        <f>INDEX(SETORES!$B:$B,MATCH(A4889,SETORES!$A:$A,0))</f>
        <v/>
      </c>
      <c r="H4889" s="106" t="inlineStr">
        <is>
          <t>Dezembro/2026</t>
        </is>
      </c>
    </row>
    <row r="4890">
      <c r="A4890" s="106" t="inlineStr">
        <is>
          <t>Diretoria Adm</t>
        </is>
      </c>
      <c r="B4890" s="106" t="inlineStr">
        <is>
          <t>Custo Fixo</t>
        </is>
      </c>
      <c r="C4890" s="106" t="inlineStr">
        <is>
          <t>Gympass</t>
        </is>
      </c>
      <c r="D4890" s="107" t="n"/>
      <c r="E4890" s="108" t="n"/>
      <c r="F4890" s="109">
        <f>IFERROR(D4890*E4890,0)</f>
        <v/>
      </c>
      <c r="G4890" s="106">
        <f>INDEX(SETORES!$B:$B,MATCH(A4890,SETORES!$A:$A,0))</f>
        <v/>
      </c>
      <c r="H4890" s="106" t="inlineStr">
        <is>
          <t>Dezembro/2026</t>
        </is>
      </c>
    </row>
    <row r="4891">
      <c r="A4891" s="106" t="inlineStr">
        <is>
          <t>Diretoria Adm</t>
        </is>
      </c>
      <c r="B4891" s="106" t="inlineStr">
        <is>
          <t>Custo Fixo</t>
        </is>
      </c>
      <c r="C4891" s="106" t="inlineStr">
        <is>
          <t>Stargrid</t>
        </is>
      </c>
      <c r="D4891" s="107" t="n">
        <v>2</v>
      </c>
      <c r="E4891" s="108" t="n">
        <v>1.87</v>
      </c>
      <c r="F4891" s="109">
        <f>IFERROR(D4891*E4891,0)</f>
        <v/>
      </c>
      <c r="G4891" s="106">
        <f>INDEX(SETORES!$B:$B,MATCH(A4891,SETORES!$A:$A,0))</f>
        <v/>
      </c>
      <c r="H4891" s="106" t="inlineStr">
        <is>
          <t>Dezembro/2026</t>
        </is>
      </c>
    </row>
    <row r="4892">
      <c r="A4892" s="106" t="inlineStr">
        <is>
          <t>Diretoria Adm</t>
        </is>
      </c>
      <c r="B4892" s="106" t="inlineStr">
        <is>
          <t>Custo Fixo</t>
        </is>
      </c>
      <c r="C4892" s="106" t="inlineStr">
        <is>
          <t>Licença de e-mail corporativo</t>
        </is>
      </c>
      <c r="D4892" s="107" t="n">
        <v>2</v>
      </c>
      <c r="E4892" s="108" t="n">
        <v>50</v>
      </c>
      <c r="F4892" s="109">
        <f>IFERROR(D4892*E4892,0)</f>
        <v/>
      </c>
      <c r="G4892" s="106">
        <f>INDEX(SETORES!$B:$B,MATCH(A4892,SETORES!$A:$A,0))</f>
        <v/>
      </c>
      <c r="H4892" s="106" t="inlineStr">
        <is>
          <t>Dezembro/2026</t>
        </is>
      </c>
    </row>
    <row r="4893">
      <c r="A4893" s="106" t="inlineStr">
        <is>
          <t>Diretoria Adm</t>
        </is>
      </c>
      <c r="B4893" s="106" t="inlineStr">
        <is>
          <t>Custo Fixo</t>
        </is>
      </c>
      <c r="C4893" s="106" t="inlineStr">
        <is>
          <t>Despesas com RH</t>
        </is>
      </c>
      <c r="D4893" s="107" t="n">
        <v>2</v>
      </c>
      <c r="E4893" s="108" t="n">
        <v>32.55</v>
      </c>
      <c r="F4893" s="109">
        <f>IFERROR(D4893*E4893,0)</f>
        <v/>
      </c>
      <c r="G4893" s="106">
        <f>INDEX(SETORES!$B:$B,MATCH(A4893,SETORES!$A:$A,0))</f>
        <v/>
      </c>
      <c r="H4893" s="106" t="inlineStr">
        <is>
          <t>Dezembro/2026</t>
        </is>
      </c>
    </row>
    <row r="4894">
      <c r="A4894" s="106" t="inlineStr">
        <is>
          <t>Diretoria Adm</t>
        </is>
      </c>
      <c r="B4894" s="106" t="inlineStr">
        <is>
          <t>Custo Fixo</t>
        </is>
      </c>
      <c r="C4894" s="106" t="inlineStr">
        <is>
          <t>Despesas com DP</t>
        </is>
      </c>
      <c r="D4894" s="107" t="n">
        <v>2</v>
      </c>
      <c r="E4894" s="108" t="n">
        <v>52.09</v>
      </c>
      <c r="F4894" s="109">
        <f>IFERROR(D4894*E4894,0)</f>
        <v/>
      </c>
      <c r="G4894" s="106">
        <f>INDEX(SETORES!$B:$B,MATCH(A4894,SETORES!$A:$A,0))</f>
        <v/>
      </c>
      <c r="H4894" s="106" t="inlineStr">
        <is>
          <t>Dezembro/2026</t>
        </is>
      </c>
    </row>
    <row r="4895">
      <c r="A4895" s="106" t="inlineStr">
        <is>
          <t>Diretoria Adm</t>
        </is>
      </c>
      <c r="B4895" s="106" t="inlineStr">
        <is>
          <t>Custo Fixo</t>
        </is>
      </c>
      <c r="C4895" s="106" t="inlineStr">
        <is>
          <t>Despesas com SST</t>
        </is>
      </c>
      <c r="D4895" s="107" t="n">
        <v>2</v>
      </c>
      <c r="E4895" s="108" t="n">
        <v>52.35</v>
      </c>
      <c r="F4895" s="109">
        <f>IFERROR(D4895*E4895,0)</f>
        <v/>
      </c>
      <c r="G4895" s="106">
        <f>INDEX(SETORES!$B:$B,MATCH(A4895,SETORES!$A:$A,0))</f>
        <v/>
      </c>
      <c r="H4895" s="106" t="inlineStr">
        <is>
          <t>Dezembro/2026</t>
        </is>
      </c>
    </row>
    <row r="4896">
      <c r="A4896" s="106" t="inlineStr">
        <is>
          <t>TIC</t>
        </is>
      </c>
      <c r="B4896" s="106" t="inlineStr">
        <is>
          <t>Custo Fixo</t>
        </is>
      </c>
      <c r="C4896" s="106" t="inlineStr">
        <is>
          <t>Impressora</t>
        </is>
      </c>
      <c r="D4896" s="107" t="n"/>
      <c r="E4896" s="108" t="n"/>
      <c r="F4896" s="109">
        <f>IFERROR(D4896*E4896,0)</f>
        <v/>
      </c>
      <c r="G4896" s="106">
        <f>INDEX(SETORES!$B:$B,MATCH(A4896,SETORES!$A:$A,0))</f>
        <v/>
      </c>
      <c r="H4896" s="106" t="inlineStr">
        <is>
          <t>Dezembro/2026</t>
        </is>
      </c>
    </row>
    <row r="4897">
      <c r="A4897" s="106" t="inlineStr">
        <is>
          <t>Marketing</t>
        </is>
      </c>
      <c r="B4897" s="106" t="inlineStr">
        <is>
          <t>Custo Fixo</t>
        </is>
      </c>
      <c r="C4897" s="106" t="inlineStr">
        <is>
          <t>Impressora</t>
        </is>
      </c>
      <c r="D4897" s="107" t="n"/>
      <c r="E4897" s="108" t="n"/>
      <c r="F4897" s="109">
        <f>IFERROR(D4897*E4897,0)</f>
        <v/>
      </c>
      <c r="G4897" s="106">
        <f>INDEX(SETORES!$B:$B,MATCH(A4897,SETORES!$A:$A,0))</f>
        <v/>
      </c>
      <c r="H4897" s="106" t="inlineStr">
        <is>
          <t>Dezembro/2026</t>
        </is>
      </c>
    </row>
    <row r="4898">
      <c r="A4898" s="106" t="inlineStr">
        <is>
          <t>NOC</t>
        </is>
      </c>
      <c r="B4898" s="106" t="inlineStr">
        <is>
          <t>Custo Fixo</t>
        </is>
      </c>
      <c r="C4898" s="106" t="inlineStr">
        <is>
          <t>Impressora</t>
        </is>
      </c>
      <c r="D4898" s="107" t="n"/>
      <c r="E4898" s="108" t="n"/>
      <c r="F4898" s="109">
        <f>IFERROR(D4898*E4898,0)</f>
        <v/>
      </c>
      <c r="G4898" s="106">
        <f>INDEX(SETORES!$B:$B,MATCH(A4898,SETORES!$A:$A,0))</f>
        <v/>
      </c>
      <c r="H4898" s="106" t="inlineStr">
        <is>
          <t>Dezembro/2026</t>
        </is>
      </c>
    </row>
    <row r="4899">
      <c r="A4899" s="106" t="inlineStr">
        <is>
          <t>COE</t>
        </is>
      </c>
      <c r="B4899" s="106" t="inlineStr">
        <is>
          <t>Custo Fixo</t>
        </is>
      </c>
      <c r="C4899" s="106" t="inlineStr">
        <is>
          <t>Impressora</t>
        </is>
      </c>
      <c r="D4899" s="107" t="n"/>
      <c r="E4899" s="108" t="n"/>
      <c r="F4899" s="109">
        <f>IFERROR(D4899*E4899,0)</f>
        <v/>
      </c>
      <c r="G4899" s="106">
        <f>INDEX(SETORES!$B:$B,MATCH(A4899,SETORES!$A:$A,0))</f>
        <v/>
      </c>
      <c r="H4899" s="106" t="inlineStr">
        <is>
          <t>Dezembro/2026</t>
        </is>
      </c>
    </row>
    <row r="4900">
      <c r="A4900" s="106" t="inlineStr">
        <is>
          <t>Oficina</t>
        </is>
      </c>
      <c r="B4900" s="106" t="inlineStr">
        <is>
          <t>Custo Fixo</t>
        </is>
      </c>
      <c r="C4900" s="106" t="inlineStr">
        <is>
          <t>Impressora</t>
        </is>
      </c>
      <c r="D4900" s="107" t="n"/>
      <c r="E4900" s="108" t="n"/>
      <c r="F4900" s="109">
        <f>IFERROR(D4900*E4900,0)</f>
        <v/>
      </c>
      <c r="G4900" s="106">
        <f>INDEX(SETORES!$B:$B,MATCH(A4900,SETORES!$A:$A,0))</f>
        <v/>
      </c>
      <c r="H4900" s="106" t="inlineStr">
        <is>
          <t>Dezembro/2026</t>
        </is>
      </c>
    </row>
    <row r="4901">
      <c r="A4901" s="106" t="inlineStr">
        <is>
          <t>Jurídico</t>
        </is>
      </c>
      <c r="B4901" s="106" t="inlineStr">
        <is>
          <t>Custo Fixo</t>
        </is>
      </c>
      <c r="C4901" s="106" t="inlineStr">
        <is>
          <t>Impressora</t>
        </is>
      </c>
      <c r="D4901" s="107" t="n"/>
      <c r="E4901" s="108" t="n"/>
      <c r="F4901" s="109">
        <f>IFERROR(D4901*E4901,0)</f>
        <v/>
      </c>
      <c r="G4901" s="106">
        <f>INDEX(SETORES!$B:$B,MATCH(A4901,SETORES!$A:$A,0))</f>
        <v/>
      </c>
      <c r="H4901" s="106" t="inlineStr">
        <is>
          <t>Dezembro/2026</t>
        </is>
      </c>
    </row>
    <row r="4902">
      <c r="A4902" s="106" t="inlineStr">
        <is>
          <t>Controladoria</t>
        </is>
      </c>
      <c r="B4902" s="106" t="inlineStr">
        <is>
          <t>Custo Fixo</t>
        </is>
      </c>
      <c r="C4902" s="106" t="inlineStr">
        <is>
          <t>Licença de e-mail corporativo</t>
        </is>
      </c>
      <c r="D4902" s="107" t="n"/>
      <c r="E4902" s="108" t="n"/>
      <c r="F4902" s="109">
        <f>IFERROR(D4902*E4902,0)</f>
        <v/>
      </c>
      <c r="G4902" s="106">
        <f>INDEX(SETORES!$B:$B,MATCH(A4902,SETORES!$A:$A,0))</f>
        <v/>
      </c>
      <c r="H4902" s="106" t="inlineStr">
        <is>
          <t>Dezembro/2026</t>
        </is>
      </c>
    </row>
    <row r="4903">
      <c r="A4903" s="106" t="inlineStr">
        <is>
          <t>Jurídico</t>
        </is>
      </c>
      <c r="B4903" s="106" t="inlineStr">
        <is>
          <t>Custo Fixo</t>
        </is>
      </c>
      <c r="C4903" s="106" t="inlineStr">
        <is>
          <t>Consultoria Jurídica</t>
        </is>
      </c>
      <c r="D4903" s="107" t="n">
        <v>1</v>
      </c>
      <c r="E4903" s="108" t="n">
        <v>7500</v>
      </c>
      <c r="F4903" s="109">
        <f>IFERROR(D4903*E4903,0)</f>
        <v/>
      </c>
      <c r="G4903" s="106">
        <f>INDEX(SETORES!$B:$B,MATCH(A4903,SETORES!$A:$A,0))</f>
        <v/>
      </c>
      <c r="H4903" s="106" t="inlineStr">
        <is>
          <t>Dezembro/2026</t>
        </is>
      </c>
    </row>
    <row r="4904">
      <c r="A4904" s="106" t="inlineStr">
        <is>
          <t>Cozinha</t>
        </is>
      </c>
      <c r="B4904" s="106" t="inlineStr">
        <is>
          <t>Custo Fixo</t>
        </is>
      </c>
      <c r="C4904" s="106" t="inlineStr">
        <is>
          <t>Folha de pagamento (salários)</t>
        </is>
      </c>
      <c r="D4904" s="107" t="n">
        <v>1</v>
      </c>
      <c r="E4904" s="108" t="n">
        <v>23971.48</v>
      </c>
      <c r="F4904" s="109">
        <f>IFERROR(D4904*E4904,0)</f>
        <v/>
      </c>
      <c r="G4904" s="106">
        <f>INDEX(SETORES!$B:$B,MATCH(A4904,SETORES!$A:$A,0))</f>
        <v/>
      </c>
      <c r="H4904" s="106" t="inlineStr">
        <is>
          <t>Dezembro/2026</t>
        </is>
      </c>
    </row>
    <row r="4905">
      <c r="A4905" s="106" t="inlineStr">
        <is>
          <t>Cozinha</t>
        </is>
      </c>
      <c r="B4905" s="106" t="inlineStr">
        <is>
          <t>Custo Fixo</t>
        </is>
      </c>
      <c r="C4905" s="106" t="inlineStr">
        <is>
          <t>Licença de e-mail corporativo</t>
        </is>
      </c>
      <c r="D4905" s="107" t="n">
        <v>4</v>
      </c>
      <c r="E4905" s="108" t="n">
        <v>50</v>
      </c>
      <c r="F4905" s="109">
        <f>IFERROR(D4905*E4905,0)</f>
        <v/>
      </c>
      <c r="G4905" s="106">
        <f>INDEX(SETORES!$B:$B,MATCH(A4905,SETORES!$A:$A,0))</f>
        <v/>
      </c>
      <c r="H4905" s="106" t="inlineStr">
        <is>
          <t>Dezembro/2026</t>
        </is>
      </c>
    </row>
    <row r="4906">
      <c r="A4906" s="106" t="inlineStr">
        <is>
          <t>COE</t>
        </is>
      </c>
      <c r="B4906" s="106" t="inlineStr">
        <is>
          <t>Custo Variável</t>
        </is>
      </c>
      <c r="C4906" s="106" t="inlineStr">
        <is>
          <t>Rateio de transporte coletivo</t>
        </is>
      </c>
      <c r="D4906" s="107" t="n"/>
      <c r="E4906" s="108" t="n"/>
      <c r="F4906" s="109">
        <f>IFERROR(D4906*E4906,0)</f>
        <v/>
      </c>
      <c r="G4906" s="106">
        <f>INDEX(SETORES!$B:$B,MATCH(A4906,SETORES!$A:$A,0))</f>
        <v/>
      </c>
      <c r="H4906" s="106" t="inlineStr">
        <is>
          <t>Dezembro/2026</t>
        </is>
      </c>
    </row>
    <row r="4907">
      <c r="A4907" s="106" t="inlineStr">
        <is>
          <t>Cozinha</t>
        </is>
      </c>
      <c r="B4907" s="106" t="inlineStr">
        <is>
          <t>Custo Variável</t>
        </is>
      </c>
      <c r="C4907" s="106" t="inlineStr">
        <is>
          <t>Rateio de transporte coletivo</t>
        </is>
      </c>
      <c r="D4907" s="107" t="n"/>
      <c r="E4907" s="108" t="n"/>
      <c r="F4907" s="109">
        <f>IFERROR(D4907*E4907,0)</f>
        <v/>
      </c>
      <c r="G4907" s="106">
        <f>INDEX(SETORES!$B:$B,MATCH(A4907,SETORES!$A:$A,0))</f>
        <v/>
      </c>
      <c r="H4907" s="106" t="inlineStr">
        <is>
          <t>Dezembro/2026</t>
        </is>
      </c>
    </row>
    <row r="4908">
      <c r="A4908" s="106" t="inlineStr">
        <is>
          <t>COE</t>
        </is>
      </c>
      <c r="B4908" s="106" t="inlineStr">
        <is>
          <t>Custo Fixo</t>
        </is>
      </c>
      <c r="C4908" s="106" t="inlineStr">
        <is>
          <t>Energia elétrica (rateio)</t>
        </is>
      </c>
      <c r="D4908" s="107" t="n"/>
      <c r="E4908" s="108" t="n"/>
      <c r="F4908" s="109">
        <f>IFERROR(D4908*E4908,0)</f>
        <v/>
      </c>
      <c r="G4908" s="106">
        <f>INDEX(SETORES!$B:$B,MATCH(A4908,SETORES!$A:$A,0))</f>
        <v/>
      </c>
      <c r="H4908" s="106" t="inlineStr">
        <is>
          <t>Dezembro/2026</t>
        </is>
      </c>
    </row>
    <row r="4909">
      <c r="A4909" s="106" t="inlineStr">
        <is>
          <t>COE</t>
        </is>
      </c>
      <c r="B4909" s="106" t="inlineStr">
        <is>
          <t>Custo Fixo</t>
        </is>
      </c>
      <c r="C4909" s="106" t="inlineStr">
        <is>
          <t>Água e esgoto (rateio)</t>
        </is>
      </c>
      <c r="D4909" s="107" t="n"/>
      <c r="E4909" s="108" t="n"/>
      <c r="F4909" s="109">
        <f>IFERROR(D4909*E4909,0)</f>
        <v/>
      </c>
      <c r="G4909" s="106">
        <f>INDEX(SETORES!$B:$B,MATCH(A4909,SETORES!$A:$A,0))</f>
        <v/>
      </c>
      <c r="H4909" s="106" t="inlineStr">
        <is>
          <t>Dezembro/2026</t>
        </is>
      </c>
    </row>
    <row r="4910">
      <c r="A4910" s="106" t="inlineStr">
        <is>
          <t>Cozinha</t>
        </is>
      </c>
      <c r="B4910" s="106" t="inlineStr">
        <is>
          <t>Custo Fixo</t>
        </is>
      </c>
      <c r="C4910" s="106" t="inlineStr">
        <is>
          <t>Energia elétrica (rateio)</t>
        </is>
      </c>
      <c r="D4910" s="107" t="n"/>
      <c r="E4910" s="108" t="n"/>
      <c r="F4910" s="109">
        <f>IFERROR(D4910*E4910,0)</f>
        <v/>
      </c>
      <c r="G4910" s="106">
        <f>INDEX(SETORES!$B:$B,MATCH(A4910,SETORES!$A:$A,0))</f>
        <v/>
      </c>
      <c r="H4910" s="106" t="inlineStr">
        <is>
          <t>Dezembro/2026</t>
        </is>
      </c>
    </row>
    <row r="4911">
      <c r="A4911" s="106" t="inlineStr">
        <is>
          <t>Cozinha</t>
        </is>
      </c>
      <c r="B4911" s="106" t="inlineStr">
        <is>
          <t>Custo Fixo</t>
        </is>
      </c>
      <c r="C4911" s="106" t="inlineStr">
        <is>
          <t>Água e esgoto (rateio)</t>
        </is>
      </c>
      <c r="D4911" s="107" t="n"/>
      <c r="E4911" s="108" t="n"/>
      <c r="F4911" s="109">
        <f>IFERROR(D4911*E4911,0)</f>
        <v/>
      </c>
      <c r="G4911" s="106">
        <f>INDEX(SETORES!$B:$B,MATCH(A4911,SETORES!$A:$A,0))</f>
        <v/>
      </c>
      <c r="H4911" s="106" t="inlineStr">
        <is>
          <t>Dezembro/2026</t>
        </is>
      </c>
    </row>
    <row r="4912">
      <c r="A4912" s="106" t="inlineStr">
        <is>
          <t>COE</t>
        </is>
      </c>
      <c r="B4912" s="106" t="inlineStr">
        <is>
          <t>Custo Variável</t>
        </is>
      </c>
      <c r="C4912" s="106" t="inlineStr">
        <is>
          <t>Rescisões trabalhistas</t>
        </is>
      </c>
      <c r="D4912" s="107" t="n"/>
      <c r="E4912" s="108" t="n"/>
      <c r="F4912" s="109">
        <f>IFERROR(D4912*E4912,0)</f>
        <v/>
      </c>
      <c r="G4912" s="106">
        <f>INDEX(SETORES!$B:$B,MATCH(A4912,SETORES!$A:$A,0))</f>
        <v/>
      </c>
      <c r="H4912" s="106" t="inlineStr">
        <is>
          <t>Dezembro/2026</t>
        </is>
      </c>
    </row>
    <row r="4913">
      <c r="A4913" s="106" t="inlineStr">
        <is>
          <t>Compras</t>
        </is>
      </c>
      <c r="B4913" s="106" t="inlineStr">
        <is>
          <t>Custo Variável</t>
        </is>
      </c>
      <c r="C4913" s="106" t="inlineStr">
        <is>
          <t>Rescisões trabalhistas</t>
        </is>
      </c>
      <c r="D4913" s="107" t="n"/>
      <c r="E4913" s="108" t="n"/>
      <c r="F4913" s="109">
        <f>IFERROR(D4913*E4913,0)</f>
        <v/>
      </c>
      <c r="G4913" s="106">
        <f>INDEX(SETORES!$B:$B,MATCH(A4913,SETORES!$A:$A,0))</f>
        <v/>
      </c>
      <c r="H4913" s="106" t="inlineStr">
        <is>
          <t>Dezembro/2026</t>
        </is>
      </c>
    </row>
    <row r="4914">
      <c r="A4914" s="106" t="inlineStr">
        <is>
          <t>Controladoria</t>
        </is>
      </c>
      <c r="B4914" s="106" t="inlineStr">
        <is>
          <t>Custo Variável</t>
        </is>
      </c>
      <c r="C4914" s="106" t="inlineStr">
        <is>
          <t>Rescisões trabalhistas</t>
        </is>
      </c>
      <c r="D4914" s="107" t="n"/>
      <c r="E4914" s="108" t="n"/>
      <c r="F4914" s="109">
        <f>IFERROR(D4914*E4914,0)</f>
        <v/>
      </c>
      <c r="G4914" s="106">
        <f>INDEX(SETORES!$B:$B,MATCH(A4914,SETORES!$A:$A,0))</f>
        <v/>
      </c>
      <c r="H4914" s="106" t="inlineStr">
        <is>
          <t>Dezembro/2026</t>
        </is>
      </c>
    </row>
    <row r="4915">
      <c r="A4915" s="106" t="inlineStr">
        <is>
          <t>Cozinha</t>
        </is>
      </c>
      <c r="B4915" s="106" t="inlineStr">
        <is>
          <t>Custo Variável</t>
        </is>
      </c>
      <c r="C4915" s="106" t="inlineStr">
        <is>
          <t>Rescisões trabalhistas</t>
        </is>
      </c>
      <c r="D4915" s="107" t="n"/>
      <c r="E4915" s="108" t="n"/>
      <c r="F4915" s="109">
        <f>IFERROR(D4915*E4915,0)</f>
        <v/>
      </c>
      <c r="G4915" s="106">
        <f>INDEX(SETORES!$B:$B,MATCH(A4915,SETORES!$A:$A,0))</f>
        <v/>
      </c>
      <c r="H4915" s="106" t="inlineStr">
        <is>
          <t>Dezembro/2026</t>
        </is>
      </c>
    </row>
    <row r="4916">
      <c r="A4916" s="106" t="inlineStr">
        <is>
          <t>Diretoria Adm</t>
        </is>
      </c>
      <c r="B4916" s="106" t="inlineStr">
        <is>
          <t>Custo Variável</t>
        </is>
      </c>
      <c r="C4916" s="106" t="inlineStr">
        <is>
          <t>Rescisões trabalhistas</t>
        </is>
      </c>
      <c r="D4916" s="107" t="n"/>
      <c r="E4916" s="108" t="n"/>
      <c r="F4916" s="109">
        <f>IFERROR(D4916*E4916,0)</f>
        <v/>
      </c>
      <c r="G4916" s="106">
        <f>INDEX(SETORES!$B:$B,MATCH(A4916,SETORES!$A:$A,0))</f>
        <v/>
      </c>
      <c r="H4916" s="106" t="inlineStr">
        <is>
          <t>Dezembro/2026</t>
        </is>
      </c>
    </row>
    <row r="4917">
      <c r="A4917" s="106" t="inlineStr">
        <is>
          <t>Diretoria Operacional</t>
        </is>
      </c>
      <c r="B4917" s="106" t="inlineStr">
        <is>
          <t>Custo Variável</t>
        </is>
      </c>
      <c r="C4917" s="106" t="inlineStr">
        <is>
          <t>Rescisões trabalhistas</t>
        </is>
      </c>
      <c r="D4917" s="107" t="n"/>
      <c r="E4917" s="108" t="n"/>
      <c r="F4917" s="109">
        <f>IFERROR(D4917*E4917,0)</f>
        <v/>
      </c>
      <c r="G4917" s="106">
        <f>INDEX(SETORES!$B:$B,MATCH(A4917,SETORES!$A:$A,0))</f>
        <v/>
      </c>
      <c r="H4917" s="106" t="inlineStr">
        <is>
          <t>Dezembro/2026</t>
        </is>
      </c>
    </row>
    <row r="4918">
      <c r="A4918" s="106" t="inlineStr">
        <is>
          <t>Financeiro</t>
        </is>
      </c>
      <c r="B4918" s="106" t="inlineStr">
        <is>
          <t>Custo Variável</t>
        </is>
      </c>
      <c r="C4918" s="106" t="inlineStr">
        <is>
          <t>Rescisões trabalhistas</t>
        </is>
      </c>
      <c r="D4918" s="107" t="n"/>
      <c r="E4918" s="108" t="n"/>
      <c r="F4918" s="109">
        <f>IFERROR(D4918*E4918,0)</f>
        <v/>
      </c>
      <c r="G4918" s="106">
        <f>INDEX(SETORES!$B:$B,MATCH(A4918,SETORES!$A:$A,0))</f>
        <v/>
      </c>
      <c r="H4918" s="106" t="inlineStr">
        <is>
          <t>Dezembro/2026</t>
        </is>
      </c>
    </row>
    <row r="4919">
      <c r="A4919" s="106" t="inlineStr">
        <is>
          <t>Fique Móvel</t>
        </is>
      </c>
      <c r="B4919" s="106" t="inlineStr">
        <is>
          <t>Custo Variável</t>
        </is>
      </c>
      <c r="C4919" s="106" t="inlineStr">
        <is>
          <t>Rescisões trabalhistas</t>
        </is>
      </c>
      <c r="D4919" s="107" t="n"/>
      <c r="E4919" s="108" t="n"/>
      <c r="F4919" s="109">
        <f>IFERROR(D4919*E4919,0)</f>
        <v/>
      </c>
      <c r="G4919" s="106">
        <f>INDEX(SETORES!$B:$B,MATCH(A4919,SETORES!$A:$A,0))</f>
        <v/>
      </c>
      <c r="H4919" s="106" t="inlineStr">
        <is>
          <t>Dezembro/2026</t>
        </is>
      </c>
    </row>
    <row r="4920">
      <c r="A4920" s="106" t="inlineStr">
        <is>
          <t>Fusão</t>
        </is>
      </c>
      <c r="B4920" s="106" t="inlineStr">
        <is>
          <t>Custo Variável</t>
        </is>
      </c>
      <c r="C4920" s="106" t="inlineStr">
        <is>
          <t>Rescisões trabalhistas</t>
        </is>
      </c>
      <c r="D4920" s="107" t="n"/>
      <c r="E4920" s="108" t="n"/>
      <c r="F4920" s="109">
        <f>IFERROR(D4920*E4920,0)</f>
        <v/>
      </c>
      <c r="G4920" s="106">
        <f>INDEX(SETORES!$B:$B,MATCH(A4920,SETORES!$A:$A,0))</f>
        <v/>
      </c>
      <c r="H4920" s="106" t="inlineStr">
        <is>
          <t>Dezembro/2026</t>
        </is>
      </c>
    </row>
    <row r="4921">
      <c r="A4921" s="106" t="inlineStr">
        <is>
          <t>Gestão de Atendimento</t>
        </is>
      </c>
      <c r="B4921" s="106" t="inlineStr">
        <is>
          <t>Custo Variável</t>
        </is>
      </c>
      <c r="C4921" s="106" t="inlineStr">
        <is>
          <t>Rescisões trabalhistas</t>
        </is>
      </c>
      <c r="D4921" s="107" t="n"/>
      <c r="E4921" s="108" t="n"/>
      <c r="F4921" s="109">
        <f>IFERROR(D4921*E4921,0)</f>
        <v/>
      </c>
      <c r="G4921" s="106">
        <f>INDEX(SETORES!$B:$B,MATCH(A4921,SETORES!$A:$A,0))</f>
        <v/>
      </c>
      <c r="H4921" s="106" t="inlineStr">
        <is>
          <t>Dezembro/2026</t>
        </is>
      </c>
    </row>
    <row r="4922">
      <c r="A4922" s="106" t="inlineStr">
        <is>
          <t>Jurídico</t>
        </is>
      </c>
      <c r="B4922" s="106" t="inlineStr">
        <is>
          <t>Custo Variável</t>
        </is>
      </c>
      <c r="C4922" s="106" t="inlineStr">
        <is>
          <t>Rescisões trabalhistas</t>
        </is>
      </c>
      <c r="D4922" s="107" t="n"/>
      <c r="E4922" s="108" t="n"/>
      <c r="F4922" s="109">
        <f>IFERROR(D4922*E4922,0)</f>
        <v/>
      </c>
      <c r="G4922" s="106">
        <f>INDEX(SETORES!$B:$B,MATCH(A4922,SETORES!$A:$A,0))</f>
        <v/>
      </c>
      <c r="H4922" s="106" t="inlineStr">
        <is>
          <t>Dezembro/2026</t>
        </is>
      </c>
    </row>
    <row r="4923">
      <c r="A4923" s="106" t="inlineStr">
        <is>
          <t>Logística</t>
        </is>
      </c>
      <c r="B4923" s="106" t="inlineStr">
        <is>
          <t>Custo Variável</t>
        </is>
      </c>
      <c r="C4923" s="106" t="inlineStr">
        <is>
          <t>Rescisões trabalhistas</t>
        </is>
      </c>
      <c r="D4923" s="107" t="n"/>
      <c r="E4923" s="108" t="n"/>
      <c r="F4923" s="109">
        <f>IFERROR(D4923*E4923,0)</f>
        <v/>
      </c>
      <c r="G4923" s="106">
        <f>INDEX(SETORES!$B:$B,MATCH(A4923,SETORES!$A:$A,0))</f>
        <v/>
      </c>
      <c r="H4923" s="106" t="inlineStr">
        <is>
          <t>Dezembro/2026</t>
        </is>
      </c>
    </row>
    <row r="4924">
      <c r="A4924" s="106" t="inlineStr">
        <is>
          <t>Marketing</t>
        </is>
      </c>
      <c r="B4924" s="106" t="inlineStr">
        <is>
          <t>Custo Variável</t>
        </is>
      </c>
      <c r="C4924" s="106" t="inlineStr">
        <is>
          <t>Rescisões trabalhistas</t>
        </is>
      </c>
      <c r="D4924" s="107" t="n"/>
      <c r="E4924" s="108" t="n"/>
      <c r="F4924" s="109">
        <f>IFERROR(D4924*E4924,0)</f>
        <v/>
      </c>
      <c r="G4924" s="106">
        <f>INDEX(SETORES!$B:$B,MATCH(A4924,SETORES!$A:$A,0))</f>
        <v/>
      </c>
      <c r="H4924" s="106" t="inlineStr">
        <is>
          <t>Dezembro/2026</t>
        </is>
      </c>
    </row>
    <row r="4925">
      <c r="A4925" s="106" t="inlineStr">
        <is>
          <t>Oficina</t>
        </is>
      </c>
      <c r="B4925" s="106" t="inlineStr">
        <is>
          <t>Custo Variável</t>
        </is>
      </c>
      <c r="C4925" s="106" t="inlineStr">
        <is>
          <t>Rescisões trabalhistas</t>
        </is>
      </c>
      <c r="D4925" s="107" t="n"/>
      <c r="E4925" s="108" t="n"/>
      <c r="F4925" s="109">
        <f>IFERROR(D4925*E4925,0)</f>
        <v/>
      </c>
      <c r="G4925" s="106">
        <f>INDEX(SETORES!$B:$B,MATCH(A4925,SETORES!$A:$A,0))</f>
        <v/>
      </c>
      <c r="H4925" s="106" t="inlineStr">
        <is>
          <t>Dezembro/2026</t>
        </is>
      </c>
    </row>
    <row r="4926">
      <c r="A4926" s="106" t="inlineStr">
        <is>
          <t>Qualidade</t>
        </is>
      </c>
      <c r="B4926" s="106" t="inlineStr">
        <is>
          <t>Custo Variável</t>
        </is>
      </c>
      <c r="C4926" s="106" t="inlineStr">
        <is>
          <t>Rescisões trabalhistas</t>
        </is>
      </c>
      <c r="D4926" s="107" t="n"/>
      <c r="E4926" s="108" t="n"/>
      <c r="F4926" s="109">
        <f>IFERROR(D4926*E4926,0)</f>
        <v/>
      </c>
      <c r="G4926" s="106">
        <f>INDEX(SETORES!$B:$B,MATCH(A4926,SETORES!$A:$A,0))</f>
        <v/>
      </c>
      <c r="H4926" s="106" t="inlineStr">
        <is>
          <t>Dezembro/2026</t>
        </is>
      </c>
    </row>
    <row r="4927">
      <c r="A4927" s="106" t="inlineStr">
        <is>
          <t>RH</t>
        </is>
      </c>
      <c r="B4927" s="106" t="inlineStr">
        <is>
          <t>Custo Variável</t>
        </is>
      </c>
      <c r="C4927" s="106" t="inlineStr">
        <is>
          <t>Rescisões trabalhistas</t>
        </is>
      </c>
      <c r="D4927" s="107" t="n"/>
      <c r="E4927" s="108" t="n"/>
      <c r="F4927" s="109">
        <f>IFERROR(D4927*E4927,0)</f>
        <v/>
      </c>
      <c r="G4927" s="106">
        <f>INDEX(SETORES!$B:$B,MATCH(A4927,SETORES!$A:$A,0))</f>
        <v/>
      </c>
      <c r="H4927" s="106" t="inlineStr">
        <is>
          <t>Dezembro/2026</t>
        </is>
      </c>
    </row>
    <row r="4928">
      <c r="A4928" s="106" t="inlineStr">
        <is>
          <t>Fique Móvel</t>
        </is>
      </c>
      <c r="B4928" s="106" t="inlineStr">
        <is>
          <t>Custo Fixo</t>
        </is>
      </c>
      <c r="C4928" s="106" t="inlineStr">
        <is>
          <t>Impressora</t>
        </is>
      </c>
      <c r="D4928" s="107" t="n"/>
      <c r="E4928" s="108" t="n"/>
      <c r="F4928" s="109">
        <f>IFERROR(D4928*E4928,0)</f>
        <v/>
      </c>
      <c r="G4928" s="106">
        <f>INDEX(SETORES!$B:$B,MATCH(A4928,SETORES!$A:$A,0))</f>
        <v/>
      </c>
      <c r="H4928" s="106" t="inlineStr">
        <is>
          <t>Dezembro/2026</t>
        </is>
      </c>
    </row>
    <row r="4929">
      <c r="A4929" s="106" t="inlineStr">
        <is>
          <t>Comercial Corporativo</t>
        </is>
      </c>
      <c r="B4929" s="106" t="inlineStr">
        <is>
          <t>Custo Fixo</t>
        </is>
      </c>
      <c r="C4929" s="106" t="inlineStr">
        <is>
          <t>Impressora</t>
        </is>
      </c>
      <c r="D4929" s="107" t="n"/>
      <c r="E4929" s="108" t="n"/>
      <c r="F4929" s="109">
        <f>IFERROR(D4929*E4929,0)</f>
        <v/>
      </c>
      <c r="G4929" s="106">
        <f>INDEX(SETORES!$B:$B,MATCH(A4929,SETORES!$A:$A,0))</f>
        <v/>
      </c>
      <c r="H4929" s="106" t="inlineStr">
        <is>
          <t>Dezembro/2026</t>
        </is>
      </c>
    </row>
    <row r="4930">
      <c r="A4930" s="106" t="inlineStr">
        <is>
          <t>Contabilidade</t>
        </is>
      </c>
      <c r="B4930" s="106" t="inlineStr">
        <is>
          <t>Custo Fixo</t>
        </is>
      </c>
      <c r="C4930" s="106" t="inlineStr">
        <is>
          <t>Impressora</t>
        </is>
      </c>
      <c r="D4930" s="107" t="n"/>
      <c r="E4930" s="108" t="n"/>
      <c r="F4930" s="109">
        <f>IFERROR(D4930*E4930,0)</f>
        <v/>
      </c>
      <c r="G4930" s="106">
        <f>INDEX(SETORES!$B:$B,MATCH(A4930,SETORES!$A:$A,0))</f>
        <v/>
      </c>
      <c r="H4930" s="106" t="inlineStr">
        <is>
          <t>Dezembro/2026</t>
        </is>
      </c>
    </row>
    <row r="4931">
      <c r="A4931" s="106" t="inlineStr">
        <is>
          <t>Qualidade</t>
        </is>
      </c>
      <c r="B4931" s="106" t="inlineStr">
        <is>
          <t>Custo Fixo</t>
        </is>
      </c>
      <c r="C4931" s="106" t="inlineStr">
        <is>
          <t>Impressora</t>
        </is>
      </c>
      <c r="D4931" s="107" t="n"/>
      <c r="E4931" s="108" t="n"/>
      <c r="F4931" s="109">
        <f>IFERROR(D4931*E4931,0)</f>
        <v/>
      </c>
      <c r="G4931" s="106">
        <f>INDEX(SETORES!$B:$B,MATCH(A4931,SETORES!$A:$A,0))</f>
        <v/>
      </c>
      <c r="H4931" s="106" t="inlineStr">
        <is>
          <t>Dezembro/2026</t>
        </is>
      </c>
    </row>
    <row r="4932">
      <c r="A4932" s="106" t="inlineStr">
        <is>
          <t>Diretoria Adm</t>
        </is>
      </c>
      <c r="B4932" s="106" t="inlineStr">
        <is>
          <t>Custo Fixo</t>
        </is>
      </c>
      <c r="C4932" s="106" t="inlineStr">
        <is>
          <t>Impressora</t>
        </is>
      </c>
      <c r="D4932" s="107" t="n"/>
      <c r="E4932" s="108" t="n"/>
      <c r="F4932" s="109">
        <f>IFERROR(D4932*E4932,0)</f>
        <v/>
      </c>
      <c r="G4932" s="106">
        <f>INDEX(SETORES!$B:$B,MATCH(A4932,SETORES!$A:$A,0))</f>
        <v/>
      </c>
      <c r="H4932" s="106" t="inlineStr">
        <is>
          <t>Dezembro/2026</t>
        </is>
      </c>
    </row>
    <row r="4933">
      <c r="A4933" s="106" t="inlineStr">
        <is>
          <t>Diretoria Operacional</t>
        </is>
      </c>
      <c r="B4933" s="106" t="inlineStr">
        <is>
          <t>Custo Fixo</t>
        </is>
      </c>
      <c r="C4933" s="106" t="inlineStr">
        <is>
          <t>Impressora</t>
        </is>
      </c>
      <c r="D4933" s="107" t="n"/>
      <c r="E4933" s="108" t="n"/>
      <c r="F4933" s="109">
        <f>IFERROR(D4933*E4933,0)</f>
        <v/>
      </c>
      <c r="G4933" s="106">
        <f>INDEX(SETORES!$B:$B,MATCH(A4933,SETORES!$A:$A,0))</f>
        <v/>
      </c>
      <c r="H4933" s="106" t="inlineStr">
        <is>
          <t>Dezembro/2026</t>
        </is>
      </c>
    </row>
    <row r="4934">
      <c r="A4934" s="106" t="inlineStr">
        <is>
          <t>Gestão de Atendimento</t>
        </is>
      </c>
      <c r="B4934" s="106" t="inlineStr">
        <is>
          <t>Custo Fixo</t>
        </is>
      </c>
      <c r="C4934" s="106" t="inlineStr">
        <is>
          <t>Impressora</t>
        </is>
      </c>
      <c r="D4934" s="107" t="n"/>
      <c r="E4934" s="108" t="n"/>
      <c r="F4934" s="109">
        <f>IFERROR(D4934*E4934,0)</f>
        <v/>
      </c>
      <c r="G4934" s="106">
        <f>INDEX(SETORES!$B:$B,MATCH(A4934,SETORES!$A:$A,0))</f>
        <v/>
      </c>
      <c r="H4934" s="106" t="inlineStr">
        <is>
          <t>Dezembro/2026</t>
        </is>
      </c>
    </row>
    <row r="4935">
      <c r="A4935" s="106" t="inlineStr">
        <is>
          <t>Controladoria</t>
        </is>
      </c>
      <c r="B4935" s="106" t="inlineStr">
        <is>
          <t>Custo Fixo</t>
        </is>
      </c>
      <c r="C4935" s="106" t="inlineStr">
        <is>
          <t>Impressora</t>
        </is>
      </c>
      <c r="D4935" s="107" t="n"/>
      <c r="E4935" s="108" t="n"/>
      <c r="F4935" s="109">
        <f>IFERROR(D4935*E4935,0)</f>
        <v/>
      </c>
      <c r="G4935" s="106">
        <f>INDEX(SETORES!$B:$B,MATCH(A4935,SETORES!$A:$A,0))</f>
        <v/>
      </c>
      <c r="H4935" s="106" t="inlineStr">
        <is>
          <t>Dezembro/2026</t>
        </is>
      </c>
    </row>
    <row r="4936">
      <c r="A4936" s="106" t="inlineStr">
        <is>
          <t>CAC</t>
        </is>
      </c>
      <c r="B4936" s="106" t="inlineStr">
        <is>
          <t>Custo Fixo</t>
        </is>
      </c>
      <c r="C4936" s="106" t="inlineStr">
        <is>
          <t>Chip móvel corporativo</t>
        </is>
      </c>
      <c r="D4936" s="107" t="n">
        <v>1</v>
      </c>
      <c r="E4936" s="108" t="n">
        <v>30</v>
      </c>
      <c r="F4936" s="109">
        <f>IFERROR(D4936*E4936,0)</f>
        <v/>
      </c>
      <c r="G4936" s="106">
        <f>INDEX(SETORES!$B:$B,MATCH(A4936,SETORES!$A:$A,0))</f>
        <v/>
      </c>
      <c r="H4936" s="106" t="inlineStr">
        <is>
          <t>Dezembro/2026</t>
        </is>
      </c>
    </row>
    <row r="4937">
      <c r="A4937" s="106" t="inlineStr">
        <is>
          <t>COE</t>
        </is>
      </c>
      <c r="B4937" s="106" t="inlineStr">
        <is>
          <t>Custo Fixo</t>
        </is>
      </c>
      <c r="C4937" s="106" t="inlineStr">
        <is>
          <t>Chip móvel corporativo</t>
        </is>
      </c>
      <c r="D4937" s="107" t="n">
        <v>12</v>
      </c>
      <c r="E4937" s="108" t="n">
        <v>30</v>
      </c>
      <c r="F4937" s="109">
        <f>IFERROR(D4937*E4937,0)</f>
        <v/>
      </c>
      <c r="G4937" s="106">
        <f>INDEX(SETORES!$B:$B,MATCH(A4937,SETORES!$A:$A,0))</f>
        <v/>
      </c>
      <c r="H4937" s="106" t="inlineStr">
        <is>
          <t>Dezembro/2026</t>
        </is>
      </c>
    </row>
    <row r="4938">
      <c r="A4938" s="106" t="inlineStr">
        <is>
          <t>Compras</t>
        </is>
      </c>
      <c r="B4938" s="106" t="inlineStr">
        <is>
          <t>Custo Fixo</t>
        </is>
      </c>
      <c r="C4938" s="106" t="inlineStr">
        <is>
          <t>Chip móvel corporativo</t>
        </is>
      </c>
      <c r="D4938" s="107" t="n">
        <v>2</v>
      </c>
      <c r="E4938" s="108" t="n">
        <v>30</v>
      </c>
      <c r="F4938" s="109">
        <f>IFERROR(D4938*E4938,0)</f>
        <v/>
      </c>
      <c r="G4938" s="106">
        <f>INDEX(SETORES!$B:$B,MATCH(A4938,SETORES!$A:$A,0))</f>
        <v/>
      </c>
      <c r="H4938" s="106" t="inlineStr">
        <is>
          <t>Dezembro/2026</t>
        </is>
      </c>
    </row>
    <row r="4939">
      <c r="A4939" s="106" t="inlineStr">
        <is>
          <t>Contabilidade</t>
        </is>
      </c>
      <c r="B4939" s="106" t="inlineStr">
        <is>
          <t>Custo Fixo</t>
        </is>
      </c>
      <c r="C4939" s="106" t="inlineStr">
        <is>
          <t>Chip móvel corporativo</t>
        </is>
      </c>
      <c r="D4939" s="107" t="n">
        <v>2</v>
      </c>
      <c r="E4939" s="108" t="n">
        <v>30</v>
      </c>
      <c r="F4939" s="109">
        <f>IFERROR(D4939*E4939,0)</f>
        <v/>
      </c>
      <c r="G4939" s="106">
        <f>INDEX(SETORES!$B:$B,MATCH(A4939,SETORES!$A:$A,0))</f>
        <v/>
      </c>
      <c r="H4939" s="106" t="inlineStr">
        <is>
          <t>Dezembro/2026</t>
        </is>
      </c>
    </row>
    <row r="4940">
      <c r="A4940" s="106" t="inlineStr">
        <is>
          <t>DP</t>
        </is>
      </c>
      <c r="B4940" s="106" t="inlineStr">
        <is>
          <t>Custo Fixo</t>
        </is>
      </c>
      <c r="C4940" s="106" t="inlineStr">
        <is>
          <t>Chip móvel corporativo</t>
        </is>
      </c>
      <c r="D4940" s="107" t="n">
        <v>2</v>
      </c>
      <c r="E4940" s="108" t="n">
        <v>30</v>
      </c>
      <c r="F4940" s="109">
        <f>IFERROR(D4940*E4940,0)</f>
        <v/>
      </c>
      <c r="G4940" s="106">
        <f>INDEX(SETORES!$B:$B,MATCH(A4940,SETORES!$A:$A,0))</f>
        <v/>
      </c>
      <c r="H4940" s="106" t="inlineStr">
        <is>
          <t>Dezembro/2026</t>
        </is>
      </c>
    </row>
    <row r="4941">
      <c r="A4941" s="106" t="inlineStr">
        <is>
          <t>Engenharia</t>
        </is>
      </c>
      <c r="B4941" s="106" t="inlineStr">
        <is>
          <t>Custo Fixo</t>
        </is>
      </c>
      <c r="C4941" s="106" t="inlineStr">
        <is>
          <t>Chip móvel corporativo</t>
        </is>
      </c>
      <c r="D4941" s="107" t="n">
        <v>8</v>
      </c>
      <c r="E4941" s="108" t="n">
        <v>30</v>
      </c>
      <c r="F4941" s="109">
        <f>IFERROR(D4941*E4941,0)</f>
        <v/>
      </c>
      <c r="G4941" s="106">
        <f>INDEX(SETORES!$B:$B,MATCH(A4941,SETORES!$A:$A,0))</f>
        <v/>
      </c>
      <c r="H4941" s="106" t="inlineStr">
        <is>
          <t>Dezembro/2026</t>
        </is>
      </c>
    </row>
    <row r="4942">
      <c r="A4942" s="106" t="inlineStr">
        <is>
          <t>Financeiro</t>
        </is>
      </c>
      <c r="B4942" s="106" t="inlineStr">
        <is>
          <t>Custo Fixo</t>
        </is>
      </c>
      <c r="C4942" s="106" t="inlineStr">
        <is>
          <t>Chip móvel corporativo</t>
        </is>
      </c>
      <c r="D4942" s="107" t="n">
        <v>2</v>
      </c>
      <c r="E4942" s="108" t="n">
        <v>30</v>
      </c>
      <c r="F4942" s="109">
        <f>IFERROR(D4942*E4942,0)</f>
        <v/>
      </c>
      <c r="G4942" s="106">
        <f>INDEX(SETORES!$B:$B,MATCH(A4942,SETORES!$A:$A,0))</f>
        <v/>
      </c>
      <c r="H4942" s="106" t="inlineStr">
        <is>
          <t>Dezembro/2026</t>
        </is>
      </c>
    </row>
    <row r="4943">
      <c r="A4943" s="106" t="inlineStr">
        <is>
          <t>Fique Móvel</t>
        </is>
      </c>
      <c r="B4943" s="106" t="inlineStr">
        <is>
          <t>Custo Fixo</t>
        </is>
      </c>
      <c r="C4943" s="106" t="inlineStr">
        <is>
          <t>Chip móvel corporativo</t>
        </is>
      </c>
      <c r="D4943" s="107" t="n">
        <v>2</v>
      </c>
      <c r="E4943" s="108" t="n">
        <v>30</v>
      </c>
      <c r="F4943" s="109">
        <f>IFERROR(D4943*E4943,0)</f>
        <v/>
      </c>
      <c r="G4943" s="106">
        <f>INDEX(SETORES!$B:$B,MATCH(A4943,SETORES!$A:$A,0))</f>
        <v/>
      </c>
      <c r="H4943" s="106" t="inlineStr">
        <is>
          <t>Dezembro/2026</t>
        </is>
      </c>
    </row>
    <row r="4944">
      <c r="A4944" s="106" t="inlineStr">
        <is>
          <t>Gestão de Atendimento</t>
        </is>
      </c>
      <c r="B4944" s="106" t="inlineStr">
        <is>
          <t>Custo Fixo</t>
        </is>
      </c>
      <c r="C4944" s="106" t="inlineStr">
        <is>
          <t>Chip móvel corporativo</t>
        </is>
      </c>
      <c r="D4944" s="107" t="n">
        <v>2</v>
      </c>
      <c r="E4944" s="108" t="n">
        <v>30</v>
      </c>
      <c r="F4944" s="109">
        <f>IFERROR(D4944*E4944,0)</f>
        <v/>
      </c>
      <c r="G4944" s="106">
        <f>INDEX(SETORES!$B:$B,MATCH(A4944,SETORES!$A:$A,0))</f>
        <v/>
      </c>
      <c r="H4944" s="106" t="inlineStr">
        <is>
          <t>Dezembro/2026</t>
        </is>
      </c>
    </row>
    <row r="4945">
      <c r="A4945" s="106" t="inlineStr">
        <is>
          <t>Jurídico</t>
        </is>
      </c>
      <c r="B4945" s="106" t="inlineStr">
        <is>
          <t>Custo Fixo</t>
        </is>
      </c>
      <c r="C4945" s="106" t="inlineStr">
        <is>
          <t>Chip móvel corporativo</t>
        </is>
      </c>
      <c r="D4945" s="107" t="n">
        <v>2</v>
      </c>
      <c r="E4945" s="108" t="n">
        <v>30</v>
      </c>
      <c r="F4945" s="109">
        <f>IFERROR(D4945*E4945,0)</f>
        <v/>
      </c>
      <c r="G4945" s="106">
        <f>INDEX(SETORES!$B:$B,MATCH(A4945,SETORES!$A:$A,0))</f>
        <v/>
      </c>
      <c r="H4945" s="106" t="inlineStr">
        <is>
          <t>Dezembro/2026</t>
        </is>
      </c>
    </row>
    <row r="4946">
      <c r="A4946" s="106" t="inlineStr">
        <is>
          <t>Logística</t>
        </is>
      </c>
      <c r="B4946" s="106" t="inlineStr">
        <is>
          <t>Custo Fixo</t>
        </is>
      </c>
      <c r="C4946" s="106" t="inlineStr">
        <is>
          <t>Chip móvel corporativo</t>
        </is>
      </c>
      <c r="D4946" s="107" t="n">
        <v>7</v>
      </c>
      <c r="E4946" s="108" t="n">
        <v>30</v>
      </c>
      <c r="F4946" s="109">
        <f>IFERROR(D4946*E4946,0)</f>
        <v/>
      </c>
      <c r="G4946" s="106">
        <f>INDEX(SETORES!$B:$B,MATCH(A4946,SETORES!$A:$A,0))</f>
        <v/>
      </c>
      <c r="H4946" s="106" t="inlineStr">
        <is>
          <t>Dezembro/2026</t>
        </is>
      </c>
    </row>
    <row r="4947">
      <c r="A4947" s="106" t="inlineStr">
        <is>
          <t>Manutenção Predial</t>
        </is>
      </c>
      <c r="B4947" s="106" t="inlineStr">
        <is>
          <t>Custo Fixo</t>
        </is>
      </c>
      <c r="C4947" s="106" t="inlineStr">
        <is>
          <t>Chip móvel corporativo</t>
        </is>
      </c>
      <c r="D4947" s="107" t="n">
        <v>7</v>
      </c>
      <c r="E4947" s="108" t="n">
        <v>30</v>
      </c>
      <c r="F4947" s="109">
        <f>IFERROR(D4947*E4947,0)</f>
        <v/>
      </c>
      <c r="G4947" s="106">
        <f>INDEX(SETORES!$B:$B,MATCH(A4947,SETORES!$A:$A,0))</f>
        <v/>
      </c>
      <c r="H4947" s="106" t="inlineStr">
        <is>
          <t>Dezembro/2026</t>
        </is>
      </c>
    </row>
    <row r="4948">
      <c r="A4948" s="106" t="inlineStr">
        <is>
          <t>Marketing</t>
        </is>
      </c>
      <c r="B4948" s="106" t="inlineStr">
        <is>
          <t>Custo Fixo</t>
        </is>
      </c>
      <c r="C4948" s="106" t="inlineStr">
        <is>
          <t>Chip móvel corporativo</t>
        </is>
      </c>
      <c r="D4948" s="107" t="n">
        <v>10</v>
      </c>
      <c r="E4948" s="108" t="n">
        <v>30</v>
      </c>
      <c r="F4948" s="109">
        <f>IFERROR(D4948*E4948,0)</f>
        <v/>
      </c>
      <c r="G4948" s="106">
        <f>INDEX(SETORES!$B:$B,MATCH(A4948,SETORES!$A:$A,0))</f>
        <v/>
      </c>
      <c r="H4948" s="106" t="inlineStr">
        <is>
          <t>Dezembro/2026</t>
        </is>
      </c>
    </row>
    <row r="4949">
      <c r="A4949" s="106" t="inlineStr">
        <is>
          <t>NOC</t>
        </is>
      </c>
      <c r="B4949" s="106" t="inlineStr">
        <is>
          <t>Custo Fixo</t>
        </is>
      </c>
      <c r="C4949" s="106" t="inlineStr">
        <is>
          <t>Chip móvel corporativo</t>
        </is>
      </c>
      <c r="D4949" s="107" t="n">
        <v>3</v>
      </c>
      <c r="E4949" s="108" t="n">
        <v>30</v>
      </c>
      <c r="F4949" s="109">
        <f>IFERROR(D4949*E4949,0)</f>
        <v/>
      </c>
      <c r="G4949" s="106">
        <f>INDEX(SETORES!$B:$B,MATCH(A4949,SETORES!$A:$A,0))</f>
        <v/>
      </c>
      <c r="H4949" s="106" t="inlineStr">
        <is>
          <t>Dezembro/2026</t>
        </is>
      </c>
    </row>
    <row r="4950">
      <c r="A4950" s="106" t="inlineStr">
        <is>
          <t>Obras</t>
        </is>
      </c>
      <c r="B4950" s="106" t="inlineStr">
        <is>
          <t>Custo Fixo</t>
        </is>
      </c>
      <c r="C4950" s="106" t="inlineStr">
        <is>
          <t>Chip móvel corporativo</t>
        </is>
      </c>
      <c r="D4950" s="107" t="n">
        <v>5</v>
      </c>
      <c r="E4950" s="108" t="n">
        <v>30</v>
      </c>
      <c r="F4950" s="109">
        <f>IFERROR(D4950*E4950,0)</f>
        <v/>
      </c>
      <c r="G4950" s="106">
        <f>INDEX(SETORES!$B:$B,MATCH(A4950,SETORES!$A:$A,0))</f>
        <v/>
      </c>
      <c r="H4950" s="106" t="inlineStr">
        <is>
          <t>Dezembro/2026</t>
        </is>
      </c>
    </row>
    <row r="4951">
      <c r="A4951" s="106" t="inlineStr">
        <is>
          <t>Qualidade</t>
        </is>
      </c>
      <c r="B4951" s="106" t="inlineStr">
        <is>
          <t>Custo Fixo</t>
        </is>
      </c>
      <c r="C4951" s="106" t="inlineStr">
        <is>
          <t>Chip móvel corporativo</t>
        </is>
      </c>
      <c r="D4951" s="107" t="n">
        <v>4</v>
      </c>
      <c r="E4951" s="108" t="n">
        <v>30</v>
      </c>
      <c r="F4951" s="109">
        <f>IFERROR(D4951*E4951,0)</f>
        <v/>
      </c>
      <c r="G4951" s="106">
        <f>INDEX(SETORES!$B:$B,MATCH(A4951,SETORES!$A:$A,0))</f>
        <v/>
      </c>
      <c r="H4951" s="106" t="inlineStr">
        <is>
          <t>Dezembro/2026</t>
        </is>
      </c>
    </row>
    <row r="4952">
      <c r="A4952" s="106" t="inlineStr">
        <is>
          <t>RH</t>
        </is>
      </c>
      <c r="B4952" s="106" t="inlineStr">
        <is>
          <t>Custo Fixo</t>
        </is>
      </c>
      <c r="C4952" s="106" t="inlineStr">
        <is>
          <t>Chip móvel corporativo</t>
        </is>
      </c>
      <c r="D4952" s="107" t="n">
        <v>3</v>
      </c>
      <c r="E4952" s="108" t="n">
        <v>30</v>
      </c>
      <c r="F4952" s="109">
        <f>IFERROR(D4952*E4952,0)</f>
        <v/>
      </c>
      <c r="G4952" s="106">
        <f>INDEX(SETORES!$B:$B,MATCH(A4952,SETORES!$A:$A,0))</f>
        <v/>
      </c>
      <c r="H4952" s="106" t="inlineStr">
        <is>
          <t>Dezembro/2026</t>
        </is>
      </c>
    </row>
    <row r="4953">
      <c r="A4953" s="106" t="inlineStr">
        <is>
          <t>Segurança do Trabalho</t>
        </is>
      </c>
      <c r="B4953" s="106" t="inlineStr">
        <is>
          <t>Custo Fixo</t>
        </is>
      </c>
      <c r="C4953" s="106" t="inlineStr">
        <is>
          <t>Chip móvel corporativo</t>
        </is>
      </c>
      <c r="D4953" s="107" t="n">
        <v>3</v>
      </c>
      <c r="E4953" s="108" t="n">
        <v>30</v>
      </c>
      <c r="F4953" s="109">
        <f>IFERROR(D4953*E4953,0)</f>
        <v/>
      </c>
      <c r="G4953" s="106">
        <f>INDEX(SETORES!$B:$B,MATCH(A4953,SETORES!$A:$A,0))</f>
        <v/>
      </c>
      <c r="H4953" s="106" t="inlineStr">
        <is>
          <t>Dezembro/2026</t>
        </is>
      </c>
    </row>
    <row r="4954">
      <c r="A4954" s="106" t="inlineStr">
        <is>
          <t>TIC</t>
        </is>
      </c>
      <c r="B4954" s="106" t="inlineStr">
        <is>
          <t>Custo Fixo</t>
        </is>
      </c>
      <c r="C4954" s="106" t="inlineStr">
        <is>
          <t>Chip móvel corporativo</t>
        </is>
      </c>
      <c r="D4954" s="107" t="n">
        <v>5</v>
      </c>
      <c r="E4954" s="108" t="n">
        <v>30</v>
      </c>
      <c r="F4954" s="109">
        <f>IFERROR(D4954*E4954,0)</f>
        <v/>
      </c>
      <c r="G4954" s="106">
        <f>INDEX(SETORES!$B:$B,MATCH(A4954,SETORES!$A:$A,0))</f>
        <v/>
      </c>
      <c r="H4954" s="106" t="inlineStr">
        <is>
          <t>Dezembro/2026</t>
        </is>
      </c>
    </row>
    <row r="4955">
      <c r="A4955" s="106" t="inlineStr">
        <is>
          <t>Backoffice Comercial Varejo</t>
        </is>
      </c>
      <c r="B4955" s="106" t="inlineStr">
        <is>
          <t>Custo Fixo</t>
        </is>
      </c>
      <c r="C4955" s="106" t="inlineStr">
        <is>
          <t>Folha de pagamento (salários)</t>
        </is>
      </c>
      <c r="D4955" s="107" t="n">
        <v>1</v>
      </c>
      <c r="E4955" s="108" t="n">
        <v>7220.72</v>
      </c>
      <c r="F4955" s="109">
        <f>IFERROR(D4955*E4955,0)</f>
        <v/>
      </c>
      <c r="G4955" s="106">
        <f>INDEX(SETORES!$B:$B,MATCH(A4955,SETORES!$A:$A,0))</f>
        <v/>
      </c>
      <c r="H4955" s="106" t="inlineStr">
        <is>
          <t>Dezembro/2026</t>
        </is>
      </c>
    </row>
    <row r="4956">
      <c r="A4956" s="106" t="inlineStr">
        <is>
          <t>Serviços Gerais</t>
        </is>
      </c>
      <c r="B4956" s="106" t="inlineStr">
        <is>
          <t>Custo Fixo</t>
        </is>
      </c>
      <c r="C4956" s="106" t="inlineStr">
        <is>
          <t>Folha de pagamento (salários)</t>
        </is>
      </c>
      <c r="D4956" s="107" t="n">
        <v>1</v>
      </c>
      <c r="E4956" s="108" t="n">
        <v>27256.45</v>
      </c>
      <c r="F4956" s="109">
        <f>IFERROR(D4956*E4956,0)</f>
        <v/>
      </c>
      <c r="G4956" s="106">
        <f>INDEX(SETORES!$B:$B,MATCH(A4956,SETORES!$A:$A,0))</f>
        <v/>
      </c>
      <c r="H4956" s="106" t="inlineStr">
        <is>
          <t>Dezembro/2026</t>
        </is>
      </c>
    </row>
    <row r="4957">
      <c r="A4957" s="106" t="inlineStr">
        <is>
          <t>Gestão de Atendimento</t>
        </is>
      </c>
      <c r="B4957" s="106" t="inlineStr">
        <is>
          <t>Custo Fixo</t>
        </is>
      </c>
      <c r="C4957" s="106" t="inlineStr">
        <is>
          <t>Custo de gestão administrativa (rateado — Renata Thaysa dos Santos Cunha)</t>
        </is>
      </c>
      <c r="D4957" s="107" t="n">
        <v>1</v>
      </c>
      <c r="E4957" s="108" t="n">
        <v>4947.47</v>
      </c>
      <c r="F4957" s="109">
        <f>IFERROR(D4957*E4957,0)</f>
        <v/>
      </c>
      <c r="G4957" s="106">
        <f>INDEX(SETORES!$B:$B,MATCH(A4957,SETORES!$A:$A,0))</f>
        <v/>
      </c>
      <c r="H4957" s="106" t="inlineStr">
        <is>
          <t>Dezembro/2026</t>
        </is>
      </c>
    </row>
    <row r="4958">
      <c r="A4958" s="106" t="inlineStr">
        <is>
          <t>CAC</t>
        </is>
      </c>
      <c r="B4958" s="106" t="inlineStr">
        <is>
          <t>Custo Fixo</t>
        </is>
      </c>
      <c r="C4958" s="106" t="inlineStr">
        <is>
          <t>Custo de gestão administrativa (rateado — Renata Thaysa dos Santos Cunha)</t>
        </is>
      </c>
      <c r="D4958" s="107" t="n">
        <v>1</v>
      </c>
      <c r="E4958" s="108" t="n">
        <v>1455.14</v>
      </c>
      <c r="F4958" s="109">
        <f>IFERROR(D4958*E4958,0)</f>
        <v/>
      </c>
      <c r="G4958" s="106">
        <f>INDEX(SETORES!$B:$B,MATCH(A4958,SETORES!$A:$A,0))</f>
        <v/>
      </c>
      <c r="H4958" s="106" t="inlineStr">
        <is>
          <t>Dezembro/2026</t>
        </is>
      </c>
    </row>
    <row r="4959">
      <c r="A4959" s="106" t="inlineStr">
        <is>
          <t>Backoffice Comercial Varejo</t>
        </is>
      </c>
      <c r="B4959" s="106" t="inlineStr">
        <is>
          <t>Custo Fixo</t>
        </is>
      </c>
      <c r="C4959" s="106" t="inlineStr">
        <is>
          <t>Custo de gestão administrativa (rateado — Renata Thaysa dos Santos Cunha)</t>
        </is>
      </c>
      <c r="D4959" s="107" t="n">
        <v>1</v>
      </c>
      <c r="E4959" s="108" t="n">
        <v>582.0599999999999</v>
      </c>
      <c r="F4959" s="109">
        <f>IFERROR(D4959*E4959,0)</f>
        <v/>
      </c>
      <c r="G4959" s="106">
        <f>INDEX(SETORES!$B:$B,MATCH(A4959,SETORES!$A:$A,0))</f>
        <v/>
      </c>
      <c r="H4959" s="106" t="inlineStr">
        <is>
          <t>Dezembro/2026</t>
        </is>
      </c>
    </row>
    <row r="4960">
      <c r="A4960" s="106" t="inlineStr">
        <is>
          <t>NRC</t>
        </is>
      </c>
      <c r="B4960" s="106" t="inlineStr">
        <is>
          <t>Custo Fixo</t>
        </is>
      </c>
      <c r="C4960" s="106" t="inlineStr">
        <is>
          <t>Custo de gestão administrativa (rateado — Ayrton da Silva Lima)</t>
        </is>
      </c>
      <c r="D4960" s="107" t="n">
        <v>1</v>
      </c>
      <c r="E4960" s="108" t="n">
        <v>3272.78</v>
      </c>
      <c r="F4960" s="109">
        <f>IFERROR(D4960*E4960,0)</f>
        <v/>
      </c>
      <c r="G4960" s="106">
        <f>INDEX(SETORES!$B:$B,MATCH(A4960,SETORES!$A:$A,0))</f>
        <v/>
      </c>
      <c r="H4960" s="106" t="inlineStr">
        <is>
          <t>Dezembro/2026</t>
        </is>
      </c>
    </row>
    <row r="4961">
      <c r="A4961" s="106" t="inlineStr">
        <is>
          <t>Cobrança</t>
        </is>
      </c>
      <c r="B4961" s="106" t="inlineStr">
        <is>
          <t>Custo Fixo</t>
        </is>
      </c>
      <c r="C4961" s="106" t="inlineStr">
        <is>
          <t>Custo de gestão administrativa (rateado — Ayrton da Silva Lima)</t>
        </is>
      </c>
      <c r="D4961" s="107" t="n">
        <v>1</v>
      </c>
      <c r="E4961" s="108" t="n">
        <v>1013</v>
      </c>
      <c r="F4961" s="109">
        <f>IFERROR(D4961*E4961,0)</f>
        <v/>
      </c>
      <c r="G4961" s="106">
        <f>INDEX(SETORES!$B:$B,MATCH(A4961,SETORES!$A:$A,0))</f>
        <v/>
      </c>
      <c r="H4961" s="106" t="inlineStr">
        <is>
          <t>Dezembro/2026</t>
        </is>
      </c>
    </row>
    <row r="4962">
      <c r="A4962" s="106" t="inlineStr">
        <is>
          <t>Retenção</t>
        </is>
      </c>
      <c r="B4962" s="106" t="inlineStr">
        <is>
          <t>Custo Fixo</t>
        </is>
      </c>
      <c r="C4962" s="106" t="inlineStr">
        <is>
          <t>Custo de gestão administrativa (rateado — Ayrton da Silva Lima)</t>
        </is>
      </c>
      <c r="D4962" s="107" t="n">
        <v>1</v>
      </c>
      <c r="E4962" s="108" t="n">
        <v>935.08</v>
      </c>
      <c r="F4962" s="109">
        <f>IFERROR(D4962*E4962,0)</f>
        <v/>
      </c>
      <c r="G4962" s="106">
        <f>INDEX(SETORES!$B:$B,MATCH(A4962,SETORES!$A:$A,0))</f>
        <v/>
      </c>
      <c r="H4962" s="106" t="inlineStr">
        <is>
          <t>Dezembro/2026</t>
        </is>
      </c>
    </row>
    <row r="4963">
      <c r="A4963" s="106" t="inlineStr">
        <is>
          <t>Televendas</t>
        </is>
      </c>
      <c r="B4963" s="106" t="inlineStr">
        <is>
          <t>Custo Fixo</t>
        </is>
      </c>
      <c r="C4963" s="106" t="inlineStr">
        <is>
          <t>Custo de gestão administrativa (rateado — Ayrton da Silva Lima)</t>
        </is>
      </c>
      <c r="D4963" s="107" t="n">
        <v>1</v>
      </c>
      <c r="E4963" s="108" t="n">
        <v>857.16</v>
      </c>
      <c r="F4963" s="109">
        <f>IFERROR(D4963*E4963,0)</f>
        <v/>
      </c>
      <c r="G4963" s="106">
        <f>INDEX(SETORES!$B:$B,MATCH(A4963,SETORES!$A:$A,0))</f>
        <v/>
      </c>
      <c r="H4963" s="106" t="inlineStr">
        <is>
          <t>Dezembro/2026</t>
        </is>
      </c>
    </row>
    <row r="4964">
      <c r="A4964" s="106" t="inlineStr">
        <is>
          <t>Suporte da Central</t>
        </is>
      </c>
      <c r="B4964" s="106" t="inlineStr">
        <is>
          <t>Custo Fixo</t>
        </is>
      </c>
      <c r="C4964" s="106" t="inlineStr">
        <is>
          <t>Custo de gestão administrativa (rateado — Ayrton da Silva Lima)</t>
        </is>
      </c>
      <c r="D4964" s="107" t="n">
        <v>1</v>
      </c>
      <c r="E4964" s="108" t="n">
        <v>2571.47</v>
      </c>
      <c r="F4964" s="109">
        <f>IFERROR(D4964*E4964,0)</f>
        <v/>
      </c>
      <c r="G4964" s="106">
        <f>INDEX(SETORES!$B:$B,MATCH(A4964,SETORES!$A:$A,0))</f>
        <v/>
      </c>
      <c r="H4964" s="106" t="inlineStr">
        <is>
          <t>Dezembro/2026</t>
        </is>
      </c>
    </row>
    <row r="4965">
      <c r="A4965" s="106" t="inlineStr">
        <is>
          <t>Suporte Orbix</t>
        </is>
      </c>
      <c r="B4965" s="106" t="inlineStr">
        <is>
          <t>Custo Fixo</t>
        </is>
      </c>
      <c r="C4965" s="106" t="inlineStr">
        <is>
          <t>Custo de gestão administrativa (rateado — Ayrton da Silva Lima)</t>
        </is>
      </c>
      <c r="D4965" s="107" t="n">
        <v>1</v>
      </c>
      <c r="E4965" s="108" t="n">
        <v>623.39</v>
      </c>
      <c r="F4965" s="109">
        <f>IFERROR(D4965*E4965,0)</f>
        <v/>
      </c>
      <c r="G4965" s="106">
        <f>INDEX(SETORES!$B:$B,MATCH(A4965,SETORES!$A:$A,0))</f>
        <v/>
      </c>
      <c r="H4965" s="106" t="inlineStr">
        <is>
          <t>Dezembro/2026</t>
        </is>
      </c>
    </row>
    <row r="4966">
      <c r="A4966" s="106" t="inlineStr">
        <is>
          <t>Engenharia</t>
        </is>
      </c>
      <c r="B4966" s="106" t="inlineStr">
        <is>
          <t>Custo Fixo</t>
        </is>
      </c>
      <c r="C4966" s="106" t="inlineStr">
        <is>
          <t>Custo de gestão administrativa (rateado — Cryslaine Fonseca Rosal)</t>
        </is>
      </c>
      <c r="D4966" s="107" t="n">
        <v>1</v>
      </c>
      <c r="E4966" s="108" t="n">
        <v>1574.51</v>
      </c>
      <c r="F4966" s="109">
        <f>IFERROR(D4966*E4966,0)</f>
        <v/>
      </c>
      <c r="G4966" s="106">
        <f>INDEX(SETORES!$B:$B,MATCH(A4966,SETORES!$A:$A,0))</f>
        <v/>
      </c>
      <c r="H4966" s="106" t="inlineStr">
        <is>
          <t>Dezembro/2026</t>
        </is>
      </c>
    </row>
    <row r="4967">
      <c r="A4967" s="106" t="inlineStr">
        <is>
          <t>Obras</t>
        </is>
      </c>
      <c r="B4967" s="106" t="inlineStr">
        <is>
          <t>Custo Fixo</t>
        </is>
      </c>
      <c r="C4967" s="106" t="inlineStr">
        <is>
          <t>Custo de gestão administrativa (rateado — Cryslaine Fonseca Rosal)</t>
        </is>
      </c>
      <c r="D4967" s="107" t="n">
        <v>1</v>
      </c>
      <c r="E4967" s="108" t="n">
        <v>4198.71</v>
      </c>
      <c r="F4967" s="109">
        <f>IFERROR(D4967*E4967,0)</f>
        <v/>
      </c>
      <c r="G4967" s="106">
        <f>INDEX(SETORES!$B:$B,MATCH(A4967,SETORES!$A:$A,0))</f>
        <v/>
      </c>
      <c r="H4967" s="106" t="inlineStr">
        <is>
          <t>Dezembro/2026</t>
        </is>
      </c>
    </row>
    <row r="4968">
      <c r="A4968" s="106" t="inlineStr">
        <is>
          <t>Manutenção Predial</t>
        </is>
      </c>
      <c r="B4968" s="106" t="inlineStr">
        <is>
          <t>Custo Fixo</t>
        </is>
      </c>
      <c r="C4968" s="106" t="inlineStr">
        <is>
          <t>Custo de gestão administrativa (rateado — Cryslaine Fonseca Rosal)</t>
        </is>
      </c>
      <c r="D4968" s="107" t="n">
        <v>1</v>
      </c>
      <c r="E4968" s="108" t="n">
        <v>2624.19</v>
      </c>
      <c r="F4968" s="109">
        <f>IFERROR(D4968*E4968,0)</f>
        <v/>
      </c>
      <c r="G4968" s="106">
        <f>INDEX(SETORES!$B:$B,MATCH(A4968,SETORES!$A:$A,0))</f>
        <v/>
      </c>
      <c r="H4968" s="106" t="inlineStr">
        <is>
          <t>Dezembro/2026</t>
        </is>
      </c>
    </row>
    <row r="4969">
      <c r="A4969" s="106" t="inlineStr">
        <is>
          <t>Lançamento</t>
        </is>
      </c>
      <c r="B4969" s="106" t="inlineStr">
        <is>
          <t>Custo Fixo</t>
        </is>
      </c>
      <c r="C4969" s="106" t="inlineStr">
        <is>
          <t>Custo de gestão administrativa (rateado — Cryslaine Fonseca Rosal)</t>
        </is>
      </c>
      <c r="D4969" s="107" t="n">
        <v>1</v>
      </c>
      <c r="E4969" s="108" t="n">
        <v>4198.71</v>
      </c>
      <c r="F4969" s="109">
        <f>IFERROR(D4969*E4969,0)</f>
        <v/>
      </c>
      <c r="G4969" s="106">
        <f>INDEX(SETORES!$B:$B,MATCH(A4969,SETORES!$A:$A,0))</f>
        <v/>
      </c>
      <c r="H4969" s="106" t="inlineStr">
        <is>
          <t>Dezembro/2026</t>
        </is>
      </c>
    </row>
    <row r="4970">
      <c r="A4970" s="106" t="inlineStr">
        <is>
          <t>Fusão</t>
        </is>
      </c>
      <c r="B4970" s="106" t="inlineStr">
        <is>
          <t>Custo Fixo</t>
        </is>
      </c>
      <c r="C4970" s="106" t="inlineStr">
        <is>
          <t>Custo de gestão administrativa (rateado — Cryslaine Fonseca Rosal)</t>
        </is>
      </c>
      <c r="D4970" s="107" t="n">
        <v>1</v>
      </c>
      <c r="E4970" s="108" t="n">
        <v>1749.46</v>
      </c>
      <c r="F4970" s="109">
        <f>IFERROR(D4970*E4970,0)</f>
        <v/>
      </c>
      <c r="G4970" s="106">
        <f>INDEX(SETORES!$B:$B,MATCH(A4970,SETORES!$A:$A,0))</f>
        <v/>
      </c>
      <c r="H4970" s="106" t="inlineStr">
        <is>
          <t>Dezembro/2026</t>
        </is>
      </c>
    </row>
    <row r="4971">
      <c r="A4971" s="106" t="inlineStr">
        <is>
          <t>Serviços Gerais</t>
        </is>
      </c>
      <c r="B4971" s="106" t="inlineStr">
        <is>
          <t>Custo Fixo</t>
        </is>
      </c>
      <c r="C4971" s="106" t="inlineStr">
        <is>
          <t>Custo de gestão administrativa (rateado — Cryslaine Fonseca Rosal)</t>
        </is>
      </c>
      <c r="D4971" s="107" t="n">
        <v>1</v>
      </c>
      <c r="E4971" s="108" t="n">
        <v>1049.68</v>
      </c>
      <c r="F4971" s="109">
        <f>IFERROR(D4971*E4971,0)</f>
        <v/>
      </c>
      <c r="G4971" s="106">
        <f>INDEX(SETORES!$B:$B,MATCH(A4971,SETORES!$A:$A,0))</f>
        <v/>
      </c>
      <c r="H4971" s="106" t="inlineStr">
        <is>
          <t>Dezembro/2026</t>
        </is>
      </c>
    </row>
    <row r="4972">
      <c r="A4972" s="106" t="inlineStr">
        <is>
          <t>Backoffice Comercial Varejo</t>
        </is>
      </c>
      <c r="B4972" s="106" t="inlineStr">
        <is>
          <t>Custo Fixo</t>
        </is>
      </c>
      <c r="C4972" s="106" t="inlineStr">
        <is>
          <t>Energia elétrica (rateio)</t>
        </is>
      </c>
      <c r="D4972" s="107" t="n"/>
      <c r="E4972" s="108" t="n"/>
      <c r="F4972" s="109">
        <f>IFERROR(D4972*E4972,0)</f>
        <v/>
      </c>
      <c r="G4972" s="106">
        <f>INDEX(SETORES!$B:$B,MATCH(A4972,SETORES!$A:$A,0))</f>
        <v/>
      </c>
      <c r="H4972" s="106" t="inlineStr">
        <is>
          <t>Dezembro/2026</t>
        </is>
      </c>
    </row>
    <row r="4973">
      <c r="A4973" s="106" t="inlineStr">
        <is>
          <t>Backoffice Comercial Varejo</t>
        </is>
      </c>
      <c r="B4973" s="106" t="inlineStr">
        <is>
          <t>Custo Fixo</t>
        </is>
      </c>
      <c r="C4973" s="106" t="inlineStr">
        <is>
          <t>Água e esgoto (rateio)</t>
        </is>
      </c>
      <c r="D4973" s="107" t="n"/>
      <c r="E4973" s="108" t="n"/>
      <c r="F4973" s="109">
        <f>IFERROR(D4973*E4973,0)</f>
        <v/>
      </c>
      <c r="G4973" s="106">
        <f>INDEX(SETORES!$B:$B,MATCH(A4973,SETORES!$A:$A,0))</f>
        <v/>
      </c>
      <c r="H4973" s="106" t="inlineStr">
        <is>
          <t>Dezembro/2026</t>
        </is>
      </c>
    </row>
    <row r="4974">
      <c r="A4974" s="106" t="inlineStr">
        <is>
          <t>Marketing</t>
        </is>
      </c>
      <c r="B4974" s="106" t="inlineStr">
        <is>
          <t>Custo Fixo</t>
        </is>
      </c>
      <c r="C4974" s="106" t="inlineStr">
        <is>
          <t>Energia elétrica (rateio)</t>
        </is>
      </c>
      <c r="D4974" s="107" t="n"/>
      <c r="E4974" s="108" t="n"/>
      <c r="F4974" s="109">
        <f>IFERROR(D4974*E4974,0)</f>
        <v/>
      </c>
      <c r="G4974" s="106">
        <f>INDEX(SETORES!$B:$B,MATCH(A4974,SETORES!$A:$A,0))</f>
        <v/>
      </c>
      <c r="H4974" s="106" t="inlineStr">
        <is>
          <t>Dezembro/2026</t>
        </is>
      </c>
    </row>
    <row r="4975">
      <c r="A4975" s="106" t="inlineStr">
        <is>
          <t>Marketing</t>
        </is>
      </c>
      <c r="B4975" s="106" t="inlineStr">
        <is>
          <t>Custo Fixo</t>
        </is>
      </c>
      <c r="C4975" s="106" t="inlineStr">
        <is>
          <t>Água e esgoto (rateio)</t>
        </is>
      </c>
      <c r="D4975" s="107" t="n"/>
      <c r="E4975" s="108" t="n"/>
      <c r="F4975" s="109">
        <f>IFERROR(D4975*E4975,0)</f>
        <v/>
      </c>
      <c r="G4975" s="106">
        <f>INDEX(SETORES!$B:$B,MATCH(A4975,SETORES!$A:$A,0))</f>
        <v/>
      </c>
      <c r="H4975" s="106" t="inlineStr">
        <is>
          <t>Dezembro/2026</t>
        </is>
      </c>
    </row>
    <row r="4976">
      <c r="A4976" s="106" t="inlineStr">
        <is>
          <t>Comercial Corporativo</t>
        </is>
      </c>
      <c r="B4976" s="106" t="inlineStr">
        <is>
          <t>Custo Fixo</t>
        </is>
      </c>
      <c r="C4976" s="106" t="inlineStr">
        <is>
          <t>Energia elétrica (rateio)</t>
        </is>
      </c>
      <c r="D4976" s="107" t="n"/>
      <c r="E4976" s="108" t="n"/>
      <c r="F4976" s="109">
        <f>IFERROR(D4976*E4976,0)</f>
        <v/>
      </c>
      <c r="G4976" s="106">
        <f>INDEX(SETORES!$B:$B,MATCH(A4976,SETORES!$A:$A,0))</f>
        <v/>
      </c>
      <c r="H4976" s="106" t="inlineStr">
        <is>
          <t>Dezembro/2026</t>
        </is>
      </c>
    </row>
    <row r="4977">
      <c r="A4977" s="106" t="inlineStr">
        <is>
          <t>Comercial Corporativo</t>
        </is>
      </c>
      <c r="B4977" s="106" t="inlineStr">
        <is>
          <t>Custo Fixo</t>
        </is>
      </c>
      <c r="C4977" s="106" t="inlineStr">
        <is>
          <t>Água e esgoto (rateio)</t>
        </is>
      </c>
      <c r="D4977" s="107" t="n"/>
      <c r="E4977" s="108" t="n"/>
      <c r="F4977" s="109">
        <f>IFERROR(D4977*E4977,0)</f>
        <v/>
      </c>
      <c r="G4977" s="106">
        <f>INDEX(SETORES!$B:$B,MATCH(A4977,SETORES!$A:$A,0))</f>
        <v/>
      </c>
      <c r="H4977" s="106" t="inlineStr">
        <is>
          <t>Dezembro/2026</t>
        </is>
      </c>
    </row>
    <row r="4978">
      <c r="A4978" s="106" t="inlineStr">
        <is>
          <t>TIC</t>
        </is>
      </c>
      <c r="B4978" s="106" t="inlineStr">
        <is>
          <t>Custo Fixo</t>
        </is>
      </c>
      <c r="C4978" s="106" t="inlineStr">
        <is>
          <t>Energia elétrica (rateio)</t>
        </is>
      </c>
      <c r="D4978" s="107" t="n"/>
      <c r="E4978" s="108" t="n"/>
      <c r="F4978" s="109">
        <f>IFERROR(D4978*E4978,0)</f>
        <v/>
      </c>
      <c r="G4978" s="106">
        <f>INDEX(SETORES!$B:$B,MATCH(A4978,SETORES!$A:$A,0))</f>
        <v/>
      </c>
      <c r="H4978" s="106" t="inlineStr">
        <is>
          <t>Dezembro/2026</t>
        </is>
      </c>
    </row>
    <row r="4979">
      <c r="A4979" s="106" t="inlineStr">
        <is>
          <t>TIC</t>
        </is>
      </c>
      <c r="B4979" s="106" t="inlineStr">
        <is>
          <t>Custo Fixo</t>
        </is>
      </c>
      <c r="C4979" s="106" t="inlineStr">
        <is>
          <t>Água e esgoto (rateio)</t>
        </is>
      </c>
      <c r="D4979" s="107" t="n"/>
      <c r="E4979" s="108" t="n"/>
      <c r="F4979" s="109">
        <f>IFERROR(D4979*E4979,0)</f>
        <v/>
      </c>
      <c r="G4979" s="106">
        <f>INDEX(SETORES!$B:$B,MATCH(A4979,SETORES!$A:$A,0))</f>
        <v/>
      </c>
      <c r="H4979" s="106" t="inlineStr">
        <is>
          <t>Dezembro/2026</t>
        </is>
      </c>
    </row>
    <row r="4980">
      <c r="A4980" s="106" t="inlineStr">
        <is>
          <t>Diretoria Adm</t>
        </is>
      </c>
      <c r="B4980" s="106" t="inlineStr">
        <is>
          <t>Custo Fixo</t>
        </is>
      </c>
      <c r="C4980" s="106" t="inlineStr">
        <is>
          <t>Energia elétrica (rateio)</t>
        </is>
      </c>
      <c r="D4980" s="107" t="n"/>
      <c r="E4980" s="108" t="n"/>
      <c r="F4980" s="109">
        <f>IFERROR(D4980*E4980,0)</f>
        <v/>
      </c>
      <c r="G4980" s="106">
        <f>INDEX(SETORES!$B:$B,MATCH(A4980,SETORES!$A:$A,0))</f>
        <v/>
      </c>
      <c r="H4980" s="106" t="inlineStr">
        <is>
          <t>Dezembro/2026</t>
        </is>
      </c>
    </row>
    <row r="4981">
      <c r="A4981" s="106" t="inlineStr">
        <is>
          <t>Diretoria Adm</t>
        </is>
      </c>
      <c r="B4981" s="106" t="inlineStr">
        <is>
          <t>Custo Fixo</t>
        </is>
      </c>
      <c r="C4981" s="106" t="inlineStr">
        <is>
          <t>Água e esgoto (rateio)</t>
        </is>
      </c>
      <c r="D4981" s="107" t="n"/>
      <c r="E4981" s="108" t="n"/>
      <c r="F4981" s="109">
        <f>IFERROR(D4981*E4981,0)</f>
        <v/>
      </c>
      <c r="G4981" s="106">
        <f>INDEX(SETORES!$B:$B,MATCH(A4981,SETORES!$A:$A,0))</f>
        <v/>
      </c>
      <c r="H4981" s="106" t="inlineStr">
        <is>
          <t>Dezembro/2026</t>
        </is>
      </c>
    </row>
    <row r="4982">
      <c r="A4982" s="106" t="inlineStr">
        <is>
          <t>Backoffice Comercial Varejo</t>
        </is>
      </c>
      <c r="B4982" s="106" t="inlineStr">
        <is>
          <t>Custo Fixo</t>
        </is>
      </c>
      <c r="C4982" s="106" t="inlineStr">
        <is>
          <t>Gympass</t>
        </is>
      </c>
      <c r="D4982" s="107" t="n"/>
      <c r="E4982" s="108" t="n"/>
      <c r="F4982" s="109">
        <f>IFERROR(D4982*E4982,0)</f>
        <v/>
      </c>
      <c r="G4982" s="106">
        <f>INDEX(SETORES!$B:$B,MATCH(A4982,SETORES!$A:$A,0))</f>
        <v/>
      </c>
      <c r="H4982" s="106" t="inlineStr">
        <is>
          <t>Dezembro/2026</t>
        </is>
      </c>
    </row>
    <row r="4983">
      <c r="A4983" s="106" t="inlineStr">
        <is>
          <t>Backoffice Comercial Varejo</t>
        </is>
      </c>
      <c r="B4983" s="106" t="inlineStr">
        <is>
          <t>Custo Fixo</t>
        </is>
      </c>
      <c r="C4983" s="106" t="inlineStr">
        <is>
          <t>Stargrid</t>
        </is>
      </c>
      <c r="D4983" s="107" t="n">
        <v>2</v>
      </c>
      <c r="E4983" s="108" t="n">
        <v>1.87</v>
      </c>
      <c r="F4983" s="109">
        <f>IFERROR(D4983*E4983,0)</f>
        <v/>
      </c>
      <c r="G4983" s="106">
        <f>INDEX(SETORES!$B:$B,MATCH(A4983,SETORES!$A:$A,0))</f>
        <v/>
      </c>
      <c r="H4983" s="106" t="inlineStr">
        <is>
          <t>Dezembro/2026</t>
        </is>
      </c>
    </row>
    <row r="4984">
      <c r="A4984" s="106" t="inlineStr">
        <is>
          <t>Backoffice Comercial Varejo</t>
        </is>
      </c>
      <c r="B4984" s="106" t="inlineStr">
        <is>
          <t>Custo Fixo</t>
        </is>
      </c>
      <c r="C4984" s="106" t="inlineStr">
        <is>
          <t>Despesas com RH</t>
        </is>
      </c>
      <c r="D4984" s="107" t="n">
        <v>2</v>
      </c>
      <c r="E4984" s="108" t="n">
        <v>32.55</v>
      </c>
      <c r="F4984" s="109">
        <f>IFERROR(D4984*E4984,0)</f>
        <v/>
      </c>
      <c r="G4984" s="106">
        <f>INDEX(SETORES!$B:$B,MATCH(A4984,SETORES!$A:$A,0))</f>
        <v/>
      </c>
      <c r="H4984" s="106" t="inlineStr">
        <is>
          <t>Dezembro/2026</t>
        </is>
      </c>
    </row>
    <row r="4985">
      <c r="A4985" s="106" t="inlineStr">
        <is>
          <t>Backoffice Comercial Varejo</t>
        </is>
      </c>
      <c r="B4985" s="106" t="inlineStr">
        <is>
          <t>Custo Fixo</t>
        </is>
      </c>
      <c r="C4985" s="106" t="inlineStr">
        <is>
          <t>Despesas com DP</t>
        </is>
      </c>
      <c r="D4985" s="107" t="n">
        <v>2</v>
      </c>
      <c r="E4985" s="108" t="n">
        <v>52.09</v>
      </c>
      <c r="F4985" s="109">
        <f>IFERROR(D4985*E4985,0)</f>
        <v/>
      </c>
      <c r="G4985" s="106">
        <f>INDEX(SETORES!$B:$B,MATCH(A4985,SETORES!$A:$A,0))</f>
        <v/>
      </c>
      <c r="H4985" s="106" t="inlineStr">
        <is>
          <t>Dezembro/2026</t>
        </is>
      </c>
    </row>
    <row r="4986">
      <c r="A4986" s="106" t="inlineStr">
        <is>
          <t>Backoffice Comercial Varejo</t>
        </is>
      </c>
      <c r="B4986" s="106" t="inlineStr">
        <is>
          <t>Custo Fixo</t>
        </is>
      </c>
      <c r="C4986" s="106" t="inlineStr">
        <is>
          <t>Despesas com SST</t>
        </is>
      </c>
      <c r="D4986" s="107" t="n">
        <v>2</v>
      </c>
      <c r="E4986" s="108" t="n">
        <v>52.35</v>
      </c>
      <c r="F4986" s="109">
        <f>IFERROR(D4986*E4986,0)</f>
        <v/>
      </c>
      <c r="G4986" s="106">
        <f>INDEX(SETORES!$B:$B,MATCH(A4986,SETORES!$A:$A,0))</f>
        <v/>
      </c>
      <c r="H4986" s="106" t="inlineStr">
        <is>
          <t>Dezembro/2026</t>
        </is>
      </c>
    </row>
    <row r="4987">
      <c r="A4987" s="106" t="inlineStr">
        <is>
          <t>Backoffice Comercial Varejo</t>
        </is>
      </c>
      <c r="B4987" s="106" t="inlineStr">
        <is>
          <t>Custo Fixo</t>
        </is>
      </c>
      <c r="C4987" s="106" t="inlineStr">
        <is>
          <t>Licença de e-mail corporativo</t>
        </is>
      </c>
      <c r="D4987" s="107" t="n">
        <v>2</v>
      </c>
      <c r="E4987" s="108" t="n">
        <v>50</v>
      </c>
      <c r="F4987" s="109">
        <f>IFERROR(D4987*E4987,0)</f>
        <v/>
      </c>
      <c r="G4987" s="106">
        <f>INDEX(SETORES!$B:$B,MATCH(A4987,SETORES!$A:$A,0))</f>
        <v/>
      </c>
      <c r="H4987" s="106" t="inlineStr">
        <is>
          <t>Dezembro/2026</t>
        </is>
      </c>
    </row>
    <row r="4988">
      <c r="A4988" s="106" t="inlineStr">
        <is>
          <t>Backoffice Comercial Varejo</t>
        </is>
      </c>
      <c r="B4988" s="106" t="inlineStr">
        <is>
          <t>Custo Fixo</t>
        </is>
      </c>
      <c r="C4988" s="106" t="inlineStr">
        <is>
          <t>Chip móvel corporativo</t>
        </is>
      </c>
      <c r="D4988" s="107" t="n">
        <v>1</v>
      </c>
      <c r="E4988" s="108" t="n">
        <v>30</v>
      </c>
      <c r="F4988" s="109">
        <f>IFERROR(D4988*E4988,0)</f>
        <v/>
      </c>
      <c r="G4988" s="106">
        <f>INDEX(SETORES!$B:$B,MATCH(A4988,SETORES!$A:$A,0))</f>
        <v/>
      </c>
      <c r="H4988" s="106" t="inlineStr">
        <is>
          <t>Dezembro/2026</t>
        </is>
      </c>
    </row>
    <row r="4989">
      <c r="A4989" s="106" t="inlineStr">
        <is>
          <t>Serviços Gerais</t>
        </is>
      </c>
      <c r="B4989" s="106" t="inlineStr">
        <is>
          <t>Custo Fixo</t>
        </is>
      </c>
      <c r="C4989" s="106" t="inlineStr">
        <is>
          <t>Gympass</t>
        </is>
      </c>
      <c r="D4989" s="107" t="n"/>
      <c r="E4989" s="108" t="n"/>
      <c r="F4989" s="109">
        <f>IFERROR(D4989*E4989,0)</f>
        <v/>
      </c>
      <c r="G4989" s="106">
        <f>INDEX(SETORES!$B:$B,MATCH(A4989,SETORES!$A:$A,0))</f>
        <v/>
      </c>
      <c r="H4989" s="106" t="inlineStr">
        <is>
          <t>Dezembro/2026</t>
        </is>
      </c>
    </row>
    <row r="4990">
      <c r="A4990" s="106" t="inlineStr">
        <is>
          <t>Serviços Gerais</t>
        </is>
      </c>
      <c r="B4990" s="106" t="inlineStr">
        <is>
          <t>Custo Fixo</t>
        </is>
      </c>
      <c r="C4990" s="106" t="inlineStr">
        <is>
          <t>Stargrid</t>
        </is>
      </c>
      <c r="D4990" s="107" t="n">
        <v>6</v>
      </c>
      <c r="E4990" s="108" t="n">
        <v>1.87</v>
      </c>
      <c r="F4990" s="109">
        <f>IFERROR(D4990*E4990,0)</f>
        <v/>
      </c>
      <c r="G4990" s="106">
        <f>INDEX(SETORES!$B:$B,MATCH(A4990,SETORES!$A:$A,0))</f>
        <v/>
      </c>
      <c r="H4990" s="106" t="inlineStr">
        <is>
          <t>Dezembro/2026</t>
        </is>
      </c>
    </row>
    <row r="4991">
      <c r="A4991" s="106" t="inlineStr">
        <is>
          <t>Serviços Gerais</t>
        </is>
      </c>
      <c r="B4991" s="106" t="inlineStr">
        <is>
          <t>Custo Fixo</t>
        </is>
      </c>
      <c r="C4991" s="106" t="inlineStr">
        <is>
          <t>Despesas com RH</t>
        </is>
      </c>
      <c r="D4991" s="107" t="n">
        <v>6</v>
      </c>
      <c r="E4991" s="108" t="n">
        <v>32.55</v>
      </c>
      <c r="F4991" s="109">
        <f>IFERROR(D4991*E4991,0)</f>
        <v/>
      </c>
      <c r="G4991" s="106">
        <f>INDEX(SETORES!$B:$B,MATCH(A4991,SETORES!$A:$A,0))</f>
        <v/>
      </c>
      <c r="H4991" s="106" t="inlineStr">
        <is>
          <t>Dezembro/2026</t>
        </is>
      </c>
    </row>
    <row r="4992">
      <c r="A4992" s="106" t="inlineStr">
        <is>
          <t>Serviços Gerais</t>
        </is>
      </c>
      <c r="B4992" s="106" t="inlineStr">
        <is>
          <t>Custo Fixo</t>
        </is>
      </c>
      <c r="C4992" s="106" t="inlineStr">
        <is>
          <t>Despesas com DP</t>
        </is>
      </c>
      <c r="D4992" s="107" t="n">
        <v>6</v>
      </c>
      <c r="E4992" s="108" t="n">
        <v>52.09</v>
      </c>
      <c r="F4992" s="109">
        <f>IFERROR(D4992*E4992,0)</f>
        <v/>
      </c>
      <c r="G4992" s="106">
        <f>INDEX(SETORES!$B:$B,MATCH(A4992,SETORES!$A:$A,0))</f>
        <v/>
      </c>
      <c r="H4992" s="106" t="inlineStr">
        <is>
          <t>Dezembro/2026</t>
        </is>
      </c>
    </row>
    <row r="4993">
      <c r="A4993" s="106" t="inlineStr">
        <is>
          <t>Serviços Gerais</t>
        </is>
      </c>
      <c r="B4993" s="106" t="inlineStr">
        <is>
          <t>Custo Fixo</t>
        </is>
      </c>
      <c r="C4993" s="106" t="inlineStr">
        <is>
          <t>Despesas com SST</t>
        </is>
      </c>
      <c r="D4993" s="107" t="n">
        <v>6</v>
      </c>
      <c r="E4993" s="108" t="n">
        <v>52.35</v>
      </c>
      <c r="F4993" s="109">
        <f>IFERROR(D4993*E4993,0)</f>
        <v/>
      </c>
      <c r="G4993" s="106">
        <f>INDEX(SETORES!$B:$B,MATCH(A4993,SETORES!$A:$A,0))</f>
        <v/>
      </c>
      <c r="H4993" s="106" t="inlineStr">
        <is>
          <t>Dezembro/2026</t>
        </is>
      </c>
    </row>
    <row r="4994">
      <c r="A4994" s="106" t="inlineStr">
        <is>
          <t>Compras</t>
        </is>
      </c>
      <c r="B4994" s="106" t="inlineStr">
        <is>
          <t>Custo Variável</t>
        </is>
      </c>
      <c r="C4994" s="106" t="inlineStr">
        <is>
          <t>Fardamento novo</t>
        </is>
      </c>
      <c r="D4994" s="107" t="n"/>
      <c r="E4994" s="108" t="n"/>
      <c r="F4994" s="109">
        <f>IFERROR(D4994*E4994,0)</f>
        <v/>
      </c>
      <c r="G4994" s="106">
        <f>INDEX(SETORES!$B:$B,MATCH(A4994,SETORES!$A:$A,0))</f>
        <v/>
      </c>
      <c r="H4994" s="106" t="inlineStr">
        <is>
          <t>Dezembro/2026</t>
        </is>
      </c>
    </row>
    <row r="4995">
      <c r="A4995" s="106" t="inlineStr">
        <is>
          <t>Fique Móvel</t>
        </is>
      </c>
      <c r="B4995" s="106" t="inlineStr">
        <is>
          <t>Custo Variável</t>
        </is>
      </c>
      <c r="C4995" s="106" t="inlineStr">
        <is>
          <t>Fardamento novo</t>
        </is>
      </c>
      <c r="D4995" s="107" t="n"/>
      <c r="E4995" s="108" t="n"/>
      <c r="F4995" s="109">
        <f>IFERROR(D4995*E4995,0)</f>
        <v/>
      </c>
      <c r="G4995" s="106">
        <f>INDEX(SETORES!$B:$B,MATCH(A4995,SETORES!$A:$A,0))</f>
        <v/>
      </c>
      <c r="H4995" s="106" t="inlineStr">
        <is>
          <t>Dezembro/2026</t>
        </is>
      </c>
    </row>
    <row r="4996">
      <c r="A4996" s="106" t="inlineStr">
        <is>
          <t>Manutenção Predial</t>
        </is>
      </c>
      <c r="B4996" s="106" t="inlineStr">
        <is>
          <t>Custo Variável</t>
        </is>
      </c>
      <c r="C4996" s="106" t="inlineStr">
        <is>
          <t>Fardamento novo</t>
        </is>
      </c>
      <c r="D4996" s="107" t="n"/>
      <c r="E4996" s="108" t="n"/>
      <c r="F4996" s="109">
        <f>IFERROR(D4996*E4996,0)</f>
        <v/>
      </c>
      <c r="G4996" s="106">
        <f>INDEX(SETORES!$B:$B,MATCH(A4996,SETORES!$A:$A,0))</f>
        <v/>
      </c>
      <c r="H4996" s="106" t="inlineStr">
        <is>
          <t>Dezembro/2026</t>
        </is>
      </c>
    </row>
    <row r="4997">
      <c r="A4997" s="106" t="inlineStr">
        <is>
          <t>Manutenção Predial</t>
        </is>
      </c>
      <c r="B4997" s="106" t="inlineStr">
        <is>
          <t>Custo Variável</t>
        </is>
      </c>
      <c r="C4997" s="106" t="inlineStr">
        <is>
          <t>Fardamento substituição</t>
        </is>
      </c>
      <c r="D4997" s="107" t="n"/>
      <c r="E4997" s="108" t="n"/>
      <c r="F4997" s="109">
        <f>IFERROR(D4997*E4997,0)</f>
        <v/>
      </c>
      <c r="G4997" s="106">
        <f>INDEX(SETORES!$B:$B,MATCH(A4997,SETORES!$A:$A,0))</f>
        <v/>
      </c>
      <c r="H4997" s="106" t="inlineStr">
        <is>
          <t>Dezembro/2026</t>
        </is>
      </c>
    </row>
    <row r="4998">
      <c r="A4998" s="106" t="inlineStr">
        <is>
          <t>Marketing</t>
        </is>
      </c>
      <c r="B4998" s="106" t="inlineStr">
        <is>
          <t>Custo Variável</t>
        </is>
      </c>
      <c r="C4998" s="106" t="inlineStr">
        <is>
          <t>Fardamento novo</t>
        </is>
      </c>
      <c r="D4998" s="107" t="n">
        <v>1</v>
      </c>
      <c r="E4998" s="108" t="n">
        <v>360</v>
      </c>
      <c r="F4998" s="109">
        <f>IFERROR(D4998*E4998,0)</f>
        <v/>
      </c>
      <c r="G4998" s="106">
        <f>INDEX(SETORES!$B:$B,MATCH(A4998,SETORES!$A:$A,0))</f>
        <v/>
      </c>
      <c r="H4998" s="106" t="inlineStr">
        <is>
          <t>Dezembro/2026</t>
        </is>
      </c>
    </row>
    <row r="4999">
      <c r="A4999" s="106" t="inlineStr">
        <is>
          <t>Serviços Gerais</t>
        </is>
      </c>
      <c r="B4999" s="106" t="inlineStr">
        <is>
          <t>Custo Variável</t>
        </is>
      </c>
      <c r="C4999" s="106" t="inlineStr">
        <is>
          <t>Fardamento substituição</t>
        </is>
      </c>
      <c r="D4999" s="107" t="n"/>
      <c r="E4999" s="108" t="n"/>
      <c r="F4999" s="109">
        <f>IFERROR(D4999*E4999,0)</f>
        <v/>
      </c>
      <c r="G4999" s="106">
        <f>INDEX(SETORES!$B:$B,MATCH(A4999,SETORES!$A:$A,0))</f>
        <v/>
      </c>
      <c r="H4999" s="106" t="inlineStr">
        <is>
          <t>Dezembro/2026</t>
        </is>
      </c>
    </row>
    <row r="5000">
      <c r="A5000" s="106" t="inlineStr">
        <is>
          <t>Suporte da Central</t>
        </is>
      </c>
      <c r="B5000" s="106" t="inlineStr">
        <is>
          <t>Custo Variável</t>
        </is>
      </c>
      <c r="C5000" s="106" t="inlineStr">
        <is>
          <t>Fardamento novo</t>
        </is>
      </c>
      <c r="D5000" s="107" t="n"/>
      <c r="E5000" s="108" t="n"/>
      <c r="F5000" s="109">
        <f>IFERROR(D5000*E5000,0)</f>
        <v/>
      </c>
      <c r="G5000" s="106">
        <f>INDEX(SETORES!$B:$B,MATCH(A5000,SETORES!$A:$A,0))</f>
        <v/>
      </c>
      <c r="H5000" s="106" t="inlineStr">
        <is>
          <t>Dezembro/2026</t>
        </is>
      </c>
    </row>
    <row r="5001">
      <c r="A5001" s="106" t="inlineStr">
        <is>
          <t>Suporte Orbix</t>
        </is>
      </c>
      <c r="B5001" s="106" t="inlineStr">
        <is>
          <t>Custo Variável</t>
        </is>
      </c>
      <c r="C5001" s="106" t="inlineStr">
        <is>
          <t>Fardamento substituição</t>
        </is>
      </c>
      <c r="D5001" s="107" t="n"/>
      <c r="E5001" s="108" t="n"/>
      <c r="F5001" s="109">
        <f>IFERROR(D5001*E5001,0)</f>
        <v/>
      </c>
      <c r="G5001" s="106">
        <f>INDEX(SETORES!$B:$B,MATCH(A5001,SETORES!$A:$A,0))</f>
        <v/>
      </c>
      <c r="H5001" s="106" t="inlineStr">
        <is>
          <t>Dezembro/2026</t>
        </is>
      </c>
    </row>
    <row r="5002">
      <c r="A5002" s="106" t="inlineStr">
        <is>
          <t>Televendas</t>
        </is>
      </c>
      <c r="B5002" s="106" t="inlineStr">
        <is>
          <t>Custo Variável</t>
        </is>
      </c>
      <c r="C5002" s="106" t="inlineStr">
        <is>
          <t>Fardamento novo</t>
        </is>
      </c>
      <c r="D5002" s="107" t="n"/>
      <c r="E5002" s="108" t="n"/>
      <c r="F5002" s="109">
        <f>IFERROR(D5002*E5002,0)</f>
        <v/>
      </c>
      <c r="G5002" s="106">
        <f>INDEX(SETORES!$B:$B,MATCH(A5002,SETORES!$A:$A,0))</f>
        <v/>
      </c>
      <c r="H5002" s="106" t="inlineStr">
        <is>
          <t>Dezembro/2026</t>
        </is>
      </c>
    </row>
    <row r="5003">
      <c r="A5003" s="106" t="inlineStr">
        <is>
          <t>TIC</t>
        </is>
      </c>
      <c r="B5003" s="106" t="inlineStr">
        <is>
          <t>Custo Variável</t>
        </is>
      </c>
      <c r="C5003" s="106" t="inlineStr">
        <is>
          <t>Fardamento novo</t>
        </is>
      </c>
      <c r="D5003" s="107" t="n"/>
      <c r="E5003" s="108" t="n"/>
      <c r="F5003" s="109">
        <f>IFERROR(D5003*E5003,0)</f>
        <v/>
      </c>
      <c r="G5003" s="106">
        <f>INDEX(SETORES!$B:$B,MATCH(A5003,SETORES!$A:$A,0))</f>
        <v/>
      </c>
      <c r="H5003" s="106" t="inlineStr">
        <is>
          <t>Dezembro/2026</t>
        </is>
      </c>
    </row>
    <row r="5004">
      <c r="A5004" s="106" t="inlineStr">
        <is>
          <t>Televendas</t>
        </is>
      </c>
      <c r="B5004" s="106" t="inlineStr">
        <is>
          <t>Custo Fixo</t>
        </is>
      </c>
      <c r="C5004" s="106" t="inlineStr">
        <is>
          <t>Software MATRIX (rateio equipe Relacionamento)</t>
        </is>
      </c>
      <c r="D5004" s="107" t="n"/>
      <c r="E5004" s="108" t="n"/>
      <c r="F5004" s="109">
        <f>IFERROR(D5004*E5004,0)</f>
        <v/>
      </c>
      <c r="G5004" s="106">
        <f>INDEX(SETORES!$B:$B,MATCH(A5004,SETORES!$A:$A,0))</f>
        <v/>
      </c>
      <c r="H5004" s="106" t="inlineStr">
        <is>
          <t>Dezembro/2026</t>
        </is>
      </c>
    </row>
    <row r="5005">
      <c r="A5005" s="106" t="inlineStr">
        <is>
          <t>Cozinha</t>
        </is>
      </c>
      <c r="B5005" s="106" t="inlineStr">
        <is>
          <t>Custo Fixo</t>
        </is>
      </c>
      <c r="C5005" s="106" t="inlineStr">
        <is>
          <t>Custo de gestão administrativa (rateado — Cryslaine Fonseca Rosal)</t>
        </is>
      </c>
      <c r="D5005" s="107" t="n">
        <v>1</v>
      </c>
      <c r="E5005" s="108" t="n">
        <v>699.78</v>
      </c>
      <c r="F5005" s="109">
        <f>IFERROR(D5005*E5005,0)</f>
        <v/>
      </c>
      <c r="G5005" s="106">
        <f>INDEX(SETORES!$B:$B,MATCH(A5005,SETORES!$A:$A,0))</f>
        <v/>
      </c>
      <c r="H5005" s="106" t="inlineStr">
        <is>
          <t>Dezembro/2026</t>
        </is>
      </c>
    </row>
    <row r="5006">
      <c r="A5006" s="106" t="inlineStr">
        <is>
          <t>Cozinha</t>
        </is>
      </c>
      <c r="B5006" s="106" t="inlineStr">
        <is>
          <t>Custo Fixo</t>
        </is>
      </c>
      <c r="C5006" s="106" t="inlineStr">
        <is>
          <t>Gympass</t>
        </is>
      </c>
      <c r="D5006" s="107" t="n"/>
      <c r="E5006" s="108" t="n"/>
      <c r="F5006" s="109">
        <f>IFERROR(D5006*E5006,0)</f>
        <v/>
      </c>
      <c r="G5006" s="106">
        <f>INDEX(SETORES!$B:$B,MATCH(A5006,SETORES!$A:$A,0))</f>
        <v/>
      </c>
      <c r="H5006" s="106" t="inlineStr">
        <is>
          <t>Dezembro/2026</t>
        </is>
      </c>
    </row>
    <row r="5007">
      <c r="A5007" s="106" t="inlineStr">
        <is>
          <t>Cozinha</t>
        </is>
      </c>
      <c r="B5007" s="106" t="inlineStr">
        <is>
          <t>Custo Fixo</t>
        </is>
      </c>
      <c r="C5007" s="106" t="inlineStr">
        <is>
          <t>Stargrid</t>
        </is>
      </c>
      <c r="D5007" s="107" t="n">
        <v>4</v>
      </c>
      <c r="E5007" s="108" t="n">
        <v>1.87</v>
      </c>
      <c r="F5007" s="109">
        <f>IFERROR(D5007*E5007,0)</f>
        <v/>
      </c>
      <c r="G5007" s="106">
        <f>INDEX(SETORES!$B:$B,MATCH(A5007,SETORES!$A:$A,0))</f>
        <v/>
      </c>
      <c r="H5007" s="106" t="inlineStr">
        <is>
          <t>Dezembro/2026</t>
        </is>
      </c>
    </row>
    <row r="5008">
      <c r="A5008" s="106" t="inlineStr">
        <is>
          <t>Cozinha</t>
        </is>
      </c>
      <c r="B5008" s="106" t="inlineStr">
        <is>
          <t>Custo Fixo</t>
        </is>
      </c>
      <c r="C5008" s="106" t="inlineStr">
        <is>
          <t>Despesas com RH</t>
        </is>
      </c>
      <c r="D5008" s="107" t="n">
        <v>4</v>
      </c>
      <c r="E5008" s="108" t="n">
        <v>32.55</v>
      </c>
      <c r="F5008" s="109">
        <f>IFERROR(D5008*E5008,0)</f>
        <v/>
      </c>
      <c r="G5008" s="106">
        <f>INDEX(SETORES!$B:$B,MATCH(A5008,SETORES!$A:$A,0))</f>
        <v/>
      </c>
      <c r="H5008" s="106" t="inlineStr">
        <is>
          <t>Dezembro/2026</t>
        </is>
      </c>
    </row>
    <row r="5009">
      <c r="A5009" s="106" t="inlineStr">
        <is>
          <t>Cozinha</t>
        </is>
      </c>
      <c r="B5009" s="106" t="inlineStr">
        <is>
          <t>Custo Fixo</t>
        </is>
      </c>
      <c r="C5009" s="106" t="inlineStr">
        <is>
          <t>Despesas com DP</t>
        </is>
      </c>
      <c r="D5009" s="107" t="n">
        <v>4</v>
      </c>
      <c r="E5009" s="108" t="n">
        <v>52.09</v>
      </c>
      <c r="F5009" s="109">
        <f>IFERROR(D5009*E5009,0)</f>
        <v/>
      </c>
      <c r="G5009" s="106">
        <f>INDEX(SETORES!$B:$B,MATCH(A5009,SETORES!$A:$A,0))</f>
        <v/>
      </c>
      <c r="H5009" s="106" t="inlineStr">
        <is>
          <t>Dezembro/2026</t>
        </is>
      </c>
    </row>
    <row r="5010">
      <c r="A5010" s="106" t="inlineStr">
        <is>
          <t>Cozinha</t>
        </is>
      </c>
      <c r="B5010" s="106" t="inlineStr">
        <is>
          <t>Custo Fixo</t>
        </is>
      </c>
      <c r="C5010" s="106" t="inlineStr">
        <is>
          <t>Despesas com SST</t>
        </is>
      </c>
      <c r="D5010" s="107" t="n">
        <v>4</v>
      </c>
      <c r="E5010" s="108" t="n">
        <v>52.35</v>
      </c>
      <c r="F5010" s="109">
        <f>IFERROR(D5010*E5010,0)</f>
        <v/>
      </c>
      <c r="G5010" s="106">
        <f>INDEX(SETORES!$B:$B,MATCH(A5010,SETORES!$A:$A,0))</f>
        <v/>
      </c>
      <c r="H5010" s="106" t="inlineStr">
        <is>
          <t>Dezembro/2026</t>
        </is>
      </c>
    </row>
    <row r="5011">
      <c r="A5011" s="106" t="inlineStr">
        <is>
          <t>Cozinha</t>
        </is>
      </c>
      <c r="B5011" s="106" t="inlineStr">
        <is>
          <t>Custo Variável</t>
        </is>
      </c>
      <c r="C5011" s="106" t="inlineStr">
        <is>
          <t>Alimentação (compras semanais para a cozinha)</t>
        </is>
      </c>
      <c r="D5011" s="107" t="n"/>
      <c r="E5011" s="108" t="n"/>
      <c r="F5011" s="109">
        <f>IFERROR(D5011*E5011,0)</f>
        <v/>
      </c>
      <c r="G5011" s="106">
        <f>INDEX(SETORES!$B:$B,MATCH(A5011,SETORES!$A:$A,0))</f>
        <v/>
      </c>
      <c r="H5011" s="106" t="inlineStr">
        <is>
          <t>Dezembro/2026</t>
        </is>
      </c>
    </row>
    <row r="5012">
      <c r="A5012" s="106" t="inlineStr">
        <is>
          <t>Cozinha</t>
        </is>
      </c>
      <c r="B5012" s="106" t="inlineStr">
        <is>
          <t>Custo Variável</t>
        </is>
      </c>
      <c r="C5012" s="106" t="inlineStr">
        <is>
          <t>Material de limpeza (compras mensais para distribuição — Cozinha)</t>
        </is>
      </c>
      <c r="D5012" s="107" t="n"/>
      <c r="E5012" s="108" t="n"/>
      <c r="F5012" s="109">
        <f>IFERROR(D5012*E5012,0)</f>
        <v/>
      </c>
      <c r="G5012" s="106">
        <f>INDEX(SETORES!$B:$B,MATCH(A5012,SETORES!$A:$A,0))</f>
        <v/>
      </c>
      <c r="H5012" s="106" t="inlineStr">
        <is>
          <t>Dezembro/2026</t>
        </is>
      </c>
    </row>
    <row r="5013">
      <c r="A5013" s="106" t="inlineStr">
        <is>
          <t>Cozinha</t>
        </is>
      </c>
      <c r="B5013" s="106" t="inlineStr">
        <is>
          <t>Custo Variável</t>
        </is>
      </c>
      <c r="C5013" s="106" t="inlineStr">
        <is>
          <t>Gás de cozinha (compras mensais para a cozinha)</t>
        </is>
      </c>
      <c r="D5013" s="107" t="n"/>
      <c r="E5013" s="108" t="n"/>
      <c r="F5013" s="109">
        <f>IFERROR(D5013*E5013,0)</f>
        <v/>
      </c>
      <c r="G5013" s="106">
        <f>INDEX(SETORES!$B:$B,MATCH(A5013,SETORES!$A:$A,0))</f>
        <v/>
      </c>
      <c r="H5013" s="106" t="inlineStr">
        <is>
          <t>Dezembro/2026</t>
        </is>
      </c>
    </row>
    <row r="5014">
      <c r="A5014" s="106" t="inlineStr">
        <is>
          <t>Cozinha</t>
        </is>
      </c>
      <c r="B5014" s="106" t="inlineStr">
        <is>
          <t>Custo Variável</t>
        </is>
      </c>
      <c r="C5014" s="106" t="inlineStr">
        <is>
          <t>Crédito — Refeições pagas pelos colaboradores (valor simbólico, Refeitório)</t>
        </is>
      </c>
      <c r="D5014" s="107" t="n"/>
      <c r="E5014" s="108" t="n"/>
      <c r="F5014" s="109">
        <f>IFERROR(D5014*E5014,0)</f>
        <v/>
      </c>
      <c r="G5014" s="106">
        <f>INDEX(SETORES!$B:$B,MATCH(A5014,SETORES!$A:$A,0))</f>
        <v/>
      </c>
      <c r="H5014" s="106" t="inlineStr">
        <is>
          <t>Dezembro/2026</t>
        </is>
      </c>
    </row>
    <row r="5015">
      <c r="A5015" s="106" t="inlineStr">
        <is>
          <t>Desenvolvimento</t>
        </is>
      </c>
      <c r="B5015" s="106" t="inlineStr">
        <is>
          <t>Custo Fixo</t>
        </is>
      </c>
      <c r="C5015" s="106" t="inlineStr">
        <is>
          <t>Folha de pagamento (salários)</t>
        </is>
      </c>
      <c r="D5015" s="107" t="n">
        <v>1</v>
      </c>
      <c r="E5015" s="108" t="n">
        <v>24325.69</v>
      </c>
      <c r="F5015" s="109">
        <f>IFERROR(D5015*E5015,0)</f>
        <v/>
      </c>
      <c r="G5015" s="106">
        <f>INDEX(SETORES!$B:$B,MATCH(A5015,SETORES!$A:$A,0))</f>
        <v/>
      </c>
      <c r="H5015" s="106" t="inlineStr">
        <is>
          <t>Dezembro/2026</t>
        </is>
      </c>
    </row>
    <row r="5016">
      <c r="A5016" s="106" t="inlineStr">
        <is>
          <t>Logística</t>
        </is>
      </c>
      <c r="B5016" s="106" t="inlineStr">
        <is>
          <t>Custo Fixo</t>
        </is>
      </c>
      <c r="C5016" s="106" t="inlineStr">
        <is>
          <t>Custo de gestão administrativa (rateado — Demetrius Ribeiro de Aquino)</t>
        </is>
      </c>
      <c r="D5016" s="107" t="n">
        <v>1</v>
      </c>
      <c r="E5016" s="108" t="n">
        <v>11599.66</v>
      </c>
      <c r="F5016" s="109">
        <f>IFERROR(D5016*E5016,0)</f>
        <v/>
      </c>
      <c r="G5016" s="106">
        <f>INDEX(SETORES!$B:$B,MATCH(A5016,SETORES!$A:$A,0))</f>
        <v/>
      </c>
      <c r="H5016" s="106" t="inlineStr">
        <is>
          <t>Dezembro/2026</t>
        </is>
      </c>
    </row>
    <row r="5017">
      <c r="A5017" s="106" t="inlineStr">
        <is>
          <t>Oficina</t>
        </is>
      </c>
      <c r="B5017" s="106" t="inlineStr">
        <is>
          <t>Custo Fixo</t>
        </is>
      </c>
      <c r="C5017" s="106" t="inlineStr">
        <is>
          <t>Custo de gestão administrativa (rateado — Demetrius Ribeiro de Aquino)</t>
        </is>
      </c>
      <c r="D5017" s="107" t="n">
        <v>1</v>
      </c>
      <c r="E5017" s="108" t="n">
        <v>2899.91</v>
      </c>
      <c r="F5017" s="109">
        <f>IFERROR(D5017*E5017,0)</f>
        <v/>
      </c>
      <c r="G5017" s="106">
        <f>INDEX(SETORES!$B:$B,MATCH(A5017,SETORES!$A:$A,0))</f>
        <v/>
      </c>
      <c r="H5017" s="106" t="inlineStr">
        <is>
          <t>Dezembro/2026</t>
        </is>
      </c>
    </row>
    <row r="5018">
      <c r="A5018" s="106" t="inlineStr">
        <is>
          <t>Configuração</t>
        </is>
      </c>
      <c r="B5018" s="106" t="inlineStr">
        <is>
          <t>Custo Fixo</t>
        </is>
      </c>
      <c r="C5018" s="106" t="inlineStr">
        <is>
          <t>Folha de pagamento (salários)</t>
        </is>
      </c>
      <c r="D5018" s="107" t="n">
        <v>1</v>
      </c>
      <c r="E5018" s="108" t="n">
        <v>46351.21</v>
      </c>
      <c r="F5018" s="109">
        <f>IFERROR(D5018*E5018,0)</f>
        <v/>
      </c>
      <c r="G5018" s="106">
        <f>INDEX(SETORES!$B:$B,MATCH(A5018,SETORES!$A:$A,0))</f>
        <v/>
      </c>
      <c r="H5018" s="106" t="inlineStr">
        <is>
          <t>Dezembro/2026</t>
        </is>
      </c>
    </row>
    <row r="5019">
      <c r="A5019" s="106" t="inlineStr">
        <is>
          <t>Cozinha</t>
        </is>
      </c>
      <c r="B5019" s="106" t="inlineStr">
        <is>
          <t>Custo Variável</t>
        </is>
      </c>
      <c r="C5019" s="106" t="inlineStr">
        <is>
          <t>Rescisões trabalhistas</t>
        </is>
      </c>
      <c r="D5019" s="107" t="n"/>
      <c r="E5019" s="108" t="n"/>
      <c r="F5019" s="109">
        <f>IFERROR(D5019*E5019,0)</f>
        <v/>
      </c>
      <c r="G5019" s="106">
        <f>INDEX(SETORES!$B:$B,MATCH(A5019,SETORES!$A:$A,0))</f>
        <v/>
      </c>
      <c r="H5019" s="106" t="inlineStr">
        <is>
          <t>Dezembro/2026</t>
        </is>
      </c>
    </row>
    <row r="5020">
      <c r="A5020" s="106" t="inlineStr">
        <is>
          <t>Marketing</t>
        </is>
      </c>
      <c r="B5020" s="106" t="inlineStr">
        <is>
          <t>Custo Variável</t>
        </is>
      </c>
      <c r="C5020" s="106" t="inlineStr">
        <is>
          <t>Rescisões trabalhistas</t>
        </is>
      </c>
      <c r="D5020" s="107" t="n"/>
      <c r="E5020" s="108" t="n"/>
      <c r="F5020" s="109">
        <f>IFERROR(D5020*E5020,0)</f>
        <v/>
      </c>
      <c r="G5020" s="106">
        <f>INDEX(SETORES!$B:$B,MATCH(A5020,SETORES!$A:$A,0))</f>
        <v/>
      </c>
      <c r="H5020" s="106" t="inlineStr">
        <is>
          <t>Dezembro/2026</t>
        </is>
      </c>
    </row>
    <row r="5021">
      <c r="A5021" s="106" t="inlineStr">
        <is>
          <t>Configuração</t>
        </is>
      </c>
      <c r="B5021" s="106" t="inlineStr">
        <is>
          <t>Custo Variável</t>
        </is>
      </c>
      <c r="C5021" s="106" t="inlineStr">
        <is>
          <t>Rescisões trabalhistas</t>
        </is>
      </c>
      <c r="D5021" s="107" t="n"/>
      <c r="E5021" s="108" t="n"/>
      <c r="F5021" s="109">
        <f>IFERROR(D5021*E5021,0)</f>
        <v/>
      </c>
      <c r="G5021" s="106">
        <f>INDEX(SETORES!$B:$B,MATCH(A5021,SETORES!$A:$A,0))</f>
        <v/>
      </c>
      <c r="H5021" s="106" t="inlineStr">
        <is>
          <t>Dezembro/2026</t>
        </is>
      </c>
    </row>
    <row r="5022">
      <c r="A5022" s="106" t="inlineStr">
        <is>
          <t>Qualidade</t>
        </is>
      </c>
      <c r="B5022" s="106" t="inlineStr">
        <is>
          <t>Custo Variável</t>
        </is>
      </c>
      <c r="C5022" s="106" t="inlineStr">
        <is>
          <t>Fardamento novo</t>
        </is>
      </c>
      <c r="D5022" s="107" t="n">
        <v>1</v>
      </c>
      <c r="E5022" s="108" t="n">
        <v>270</v>
      </c>
      <c r="F5022" s="109">
        <f>IFERROR(D5022*E5022,0)</f>
        <v/>
      </c>
      <c r="G5022" s="106">
        <f>INDEX(SETORES!$B:$B,MATCH(A5022,SETORES!$A:$A,0))</f>
        <v/>
      </c>
      <c r="H5022" s="106" t="inlineStr">
        <is>
          <t>Dezembro/2026</t>
        </is>
      </c>
    </row>
    <row r="5023">
      <c r="A5023" s="106" t="inlineStr">
        <is>
          <t>Qualidade</t>
        </is>
      </c>
      <c r="B5023" s="106" t="inlineStr">
        <is>
          <t>Custo Variável</t>
        </is>
      </c>
      <c r="C5023" s="106" t="inlineStr">
        <is>
          <t>Material de escritório (suprimentos de informática)</t>
        </is>
      </c>
      <c r="D5023" s="107" t="n">
        <v>1</v>
      </c>
      <c r="E5023" s="108" t="n">
        <v>69.45</v>
      </c>
      <c r="F5023" s="109">
        <f>IFERROR(D5023*E5023,0)</f>
        <v/>
      </c>
      <c r="G5023" s="106">
        <f>INDEX(SETORES!$B:$B,MATCH(A5023,SETORES!$A:$A,0))</f>
        <v/>
      </c>
      <c r="H5023" s="106" t="inlineStr">
        <is>
          <t>Dezembro/2026</t>
        </is>
      </c>
    </row>
    <row r="5024">
      <c r="A5024" s="106" t="inlineStr">
        <is>
          <t>TIC</t>
        </is>
      </c>
      <c r="B5024" s="106" t="inlineStr">
        <is>
          <t>Custo Variável</t>
        </is>
      </c>
      <c r="C5024" s="106" t="inlineStr">
        <is>
          <t>Material de escritório (suprimentos de informática)</t>
        </is>
      </c>
      <c r="D5024" s="107" t="n">
        <v>1</v>
      </c>
      <c r="E5024" s="108" t="n">
        <v>52.84</v>
      </c>
      <c r="F5024" s="109">
        <f>IFERROR(D5024*E5024,0)</f>
        <v/>
      </c>
      <c r="G5024" s="106">
        <f>INDEX(SETORES!$B:$B,MATCH(A5024,SETORES!$A:$A,0))</f>
        <v/>
      </c>
      <c r="H5024" s="106" t="inlineStr">
        <is>
          <t>Dezembro/2026</t>
        </is>
      </c>
    </row>
    <row r="5025">
      <c r="A5025" s="106" t="inlineStr">
        <is>
          <t>Comercial Corporativo</t>
        </is>
      </c>
      <c r="B5025" s="106" t="inlineStr">
        <is>
          <t>Custo Variável</t>
        </is>
      </c>
      <c r="C5025" s="106" t="inlineStr">
        <is>
          <t>Material de escritório (suprimentos de informática)</t>
        </is>
      </c>
      <c r="D5025" s="107" t="n">
        <v>1</v>
      </c>
      <c r="E5025" s="108" t="n">
        <v>9.640000000000001</v>
      </c>
      <c r="F5025" s="109">
        <f>IFERROR(D5025*E5025,0)</f>
        <v/>
      </c>
      <c r="G5025" s="106">
        <f>INDEX(SETORES!$B:$B,MATCH(A5025,SETORES!$A:$A,0))</f>
        <v/>
      </c>
      <c r="H5025" s="106" t="inlineStr">
        <is>
          <t>Dezembro/2026</t>
        </is>
      </c>
    </row>
    <row r="5026">
      <c r="A5026" s="106" t="inlineStr">
        <is>
          <t>Cozinha</t>
        </is>
      </c>
      <c r="B5026" s="106" t="inlineStr">
        <is>
          <t>Custo Variável</t>
        </is>
      </c>
      <c r="C5026" s="106" t="inlineStr">
        <is>
          <t>Material de uso coletivo (copa/limpeza)</t>
        </is>
      </c>
      <c r="D5026" s="107" t="n">
        <v>1</v>
      </c>
      <c r="E5026" s="108" t="n">
        <v>124.05</v>
      </c>
      <c r="F5026" s="109">
        <f>IFERROR(D5026*E5026,0)</f>
        <v/>
      </c>
      <c r="G5026" s="106">
        <f>INDEX(SETORES!$B:$B,MATCH(A5026,SETORES!$A:$A,0))</f>
        <v/>
      </c>
      <c r="H5026" s="106" t="inlineStr">
        <is>
          <t>Dezembro/2026</t>
        </is>
      </c>
    </row>
    <row r="5027">
      <c r="A5027" s="106" t="inlineStr">
        <is>
          <t>Fique Móvel</t>
        </is>
      </c>
      <c r="B5027" s="106" t="inlineStr">
        <is>
          <t>Custo Variável</t>
        </is>
      </c>
      <c r="C5027" s="106" t="inlineStr">
        <is>
          <t>Material de escritório (suprimentos de informática)</t>
        </is>
      </c>
      <c r="D5027" s="107" t="n">
        <v>1</v>
      </c>
      <c r="E5027" s="108" t="n">
        <v>528.1</v>
      </c>
      <c r="F5027" s="109">
        <f>IFERROR(D5027*E5027,0)</f>
        <v/>
      </c>
      <c r="G5027" s="106">
        <f>INDEX(SETORES!$B:$B,MATCH(A5027,SETORES!$A:$A,0))</f>
        <v/>
      </c>
      <c r="H5027" s="106" t="inlineStr">
        <is>
          <t>Dezembro/2026</t>
        </is>
      </c>
    </row>
    <row r="5028">
      <c r="A5028" s="106" t="inlineStr">
        <is>
          <t>Gestão de Atendimento</t>
        </is>
      </c>
      <c r="B5028" s="106" t="inlineStr">
        <is>
          <t>Custo Fixo</t>
        </is>
      </c>
      <c r="C5028" s="106" t="inlineStr">
        <is>
          <t>Instalações - corredores e alojamentos (rateio)</t>
        </is>
      </c>
      <c r="D5028" s="107" t="n">
        <v>1</v>
      </c>
      <c r="E5028" s="108" t="n">
        <v>329.56</v>
      </c>
      <c r="F5028" s="109">
        <f>IFERROR(D5028*E5028,0)</f>
        <v/>
      </c>
      <c r="G5028" s="106">
        <f>INDEX(SETORES!$B:$B,MATCH(A5028,SETORES!$A:$A,0))</f>
        <v/>
      </c>
      <c r="H5028" s="106" t="inlineStr">
        <is>
          <t>Dezembro/2026</t>
        </is>
      </c>
    </row>
    <row r="5029">
      <c r="A5029" s="106" t="inlineStr">
        <is>
          <t>CAC</t>
        </is>
      </c>
      <c r="B5029" s="106" t="inlineStr">
        <is>
          <t>Custo Fixo</t>
        </is>
      </c>
      <c r="C5029" s="106" t="inlineStr">
        <is>
          <t>Instalações - corredores e alojamentos (rateio)</t>
        </is>
      </c>
      <c r="D5029" s="107" t="n">
        <v>1</v>
      </c>
      <c r="E5029" s="108" t="n">
        <v>96.93000000000001</v>
      </c>
      <c r="F5029" s="109">
        <f>IFERROR(D5029*E5029,0)</f>
        <v/>
      </c>
      <c r="G5029" s="106">
        <f>INDEX(SETORES!$B:$B,MATCH(A5029,SETORES!$A:$A,0))</f>
        <v/>
      </c>
      <c r="H5029" s="106" t="inlineStr">
        <is>
          <t>Dezembro/2026</t>
        </is>
      </c>
    </row>
    <row r="5030">
      <c r="A5030" s="106" t="inlineStr">
        <is>
          <t>Cobrança</t>
        </is>
      </c>
      <c r="B5030" s="106" t="inlineStr">
        <is>
          <t>Custo Fixo</t>
        </is>
      </c>
      <c r="C5030" s="106" t="inlineStr">
        <is>
          <t>Instalações - corredores e alojamentos (rateio)</t>
        </is>
      </c>
      <c r="D5030" s="107" t="n">
        <v>1</v>
      </c>
      <c r="E5030" s="108" t="n">
        <v>252.02</v>
      </c>
      <c r="F5030" s="109">
        <f>IFERROR(D5030*E5030,0)</f>
        <v/>
      </c>
      <c r="G5030" s="106">
        <f>INDEX(SETORES!$B:$B,MATCH(A5030,SETORES!$A:$A,0))</f>
        <v/>
      </c>
      <c r="H5030" s="106" t="inlineStr">
        <is>
          <t>Dezembro/2026</t>
        </is>
      </c>
    </row>
    <row r="5031">
      <c r="A5031" s="106" t="inlineStr">
        <is>
          <t>Compras</t>
        </is>
      </c>
      <c r="B5031" s="106" t="inlineStr">
        <is>
          <t>Custo Fixo</t>
        </is>
      </c>
      <c r="C5031" s="106" t="inlineStr">
        <is>
          <t>Instalações - corredores e alojamentos (rateio)</t>
        </is>
      </c>
      <c r="D5031" s="107" t="n">
        <v>1</v>
      </c>
      <c r="E5031" s="108" t="n">
        <v>96.93000000000001</v>
      </c>
      <c r="F5031" s="109">
        <f>IFERROR(D5031*E5031,0)</f>
        <v/>
      </c>
      <c r="G5031" s="106">
        <f>INDEX(SETORES!$B:$B,MATCH(A5031,SETORES!$A:$A,0))</f>
        <v/>
      </c>
      <c r="H5031" s="106" t="inlineStr">
        <is>
          <t>Dezembro/2026</t>
        </is>
      </c>
    </row>
    <row r="5032">
      <c r="A5032" s="106" t="inlineStr">
        <is>
          <t>Contabilidade</t>
        </is>
      </c>
      <c r="B5032" s="106" t="inlineStr">
        <is>
          <t>Custo Fixo</t>
        </is>
      </c>
      <c r="C5032" s="106" t="inlineStr">
        <is>
          <t>Instalações - corredores e alojamentos (rateio)</t>
        </is>
      </c>
      <c r="D5032" s="107" t="n">
        <v>1</v>
      </c>
      <c r="E5032" s="108" t="n">
        <v>116.32</v>
      </c>
      <c r="F5032" s="109">
        <f>IFERROR(D5032*E5032,0)</f>
        <v/>
      </c>
      <c r="G5032" s="106">
        <f>INDEX(SETORES!$B:$B,MATCH(A5032,SETORES!$A:$A,0))</f>
        <v/>
      </c>
      <c r="H5032" s="106" t="inlineStr">
        <is>
          <t>Dezembro/2026</t>
        </is>
      </c>
    </row>
    <row r="5033">
      <c r="A5033" s="106" t="inlineStr">
        <is>
          <t>DP</t>
        </is>
      </c>
      <c r="B5033" s="106" t="inlineStr">
        <is>
          <t>Custo Fixo</t>
        </is>
      </c>
      <c r="C5033" s="106" t="inlineStr">
        <is>
          <t>Instalações - corredores e alojamentos (rateio)</t>
        </is>
      </c>
      <c r="D5033" s="107" t="n">
        <v>1</v>
      </c>
      <c r="E5033" s="108" t="n">
        <v>174.47</v>
      </c>
      <c r="F5033" s="109">
        <f>IFERROR(D5033*E5033,0)</f>
        <v/>
      </c>
      <c r="G5033" s="106">
        <f>INDEX(SETORES!$B:$B,MATCH(A5033,SETORES!$A:$A,0))</f>
        <v/>
      </c>
      <c r="H5033" s="106" t="inlineStr">
        <is>
          <t>Dezembro/2026</t>
        </is>
      </c>
    </row>
    <row r="5034">
      <c r="A5034" s="106" t="inlineStr">
        <is>
          <t>Diretoria Operacional</t>
        </is>
      </c>
      <c r="B5034" s="106" t="inlineStr">
        <is>
          <t>Custo Fixo</t>
        </is>
      </c>
      <c r="C5034" s="106" t="inlineStr">
        <is>
          <t>Instalações - corredores e alojamentos (rateio)</t>
        </is>
      </c>
      <c r="D5034" s="107" t="n">
        <v>1</v>
      </c>
      <c r="E5034" s="108" t="n">
        <v>38.77</v>
      </c>
      <c r="F5034" s="109">
        <f>IFERROR(D5034*E5034,0)</f>
        <v/>
      </c>
      <c r="G5034" s="106">
        <f>INDEX(SETORES!$B:$B,MATCH(A5034,SETORES!$A:$A,0))</f>
        <v/>
      </c>
      <c r="H5034" s="106" t="inlineStr">
        <is>
          <t>Dezembro/2026</t>
        </is>
      </c>
    </row>
    <row r="5035">
      <c r="A5035" s="106" t="inlineStr">
        <is>
          <t>Engenharia</t>
        </is>
      </c>
      <c r="B5035" s="106" t="inlineStr">
        <is>
          <t>Custo Fixo</t>
        </is>
      </c>
      <c r="C5035" s="106" t="inlineStr">
        <is>
          <t>Instalações - corredores e alojamentos (rateio)</t>
        </is>
      </c>
      <c r="D5035" s="107" t="n">
        <v>1</v>
      </c>
      <c r="E5035" s="108" t="n">
        <v>174.47</v>
      </c>
      <c r="F5035" s="109">
        <f>IFERROR(D5035*E5035,0)</f>
        <v/>
      </c>
      <c r="G5035" s="106">
        <f>INDEX(SETORES!$B:$B,MATCH(A5035,SETORES!$A:$A,0))</f>
        <v/>
      </c>
      <c r="H5035" s="106" t="inlineStr">
        <is>
          <t>Dezembro/2026</t>
        </is>
      </c>
    </row>
    <row r="5036">
      <c r="A5036" s="106" t="inlineStr">
        <is>
          <t>Estoque</t>
        </is>
      </c>
      <c r="B5036" s="106" t="inlineStr">
        <is>
          <t>Custo Fixo</t>
        </is>
      </c>
      <c r="C5036" s="106" t="inlineStr">
        <is>
          <t>Instalações - corredores e alojamentos (rateio)</t>
        </is>
      </c>
      <c r="D5036" s="107" t="n">
        <v>1</v>
      </c>
      <c r="E5036" s="108" t="n">
        <v>310.17</v>
      </c>
      <c r="F5036" s="109">
        <f>IFERROR(D5036*E5036,0)</f>
        <v/>
      </c>
      <c r="G5036" s="106">
        <f>INDEX(SETORES!$B:$B,MATCH(A5036,SETORES!$A:$A,0))</f>
        <v/>
      </c>
      <c r="H5036" s="106" t="inlineStr">
        <is>
          <t>Dezembro/2026</t>
        </is>
      </c>
    </row>
    <row r="5037">
      <c r="A5037" s="106" t="inlineStr">
        <is>
          <t>Financeiro</t>
        </is>
      </c>
      <c r="B5037" s="106" t="inlineStr">
        <is>
          <t>Custo Fixo</t>
        </is>
      </c>
      <c r="C5037" s="106" t="inlineStr">
        <is>
          <t>Instalações - corredores e alojamentos (rateio)</t>
        </is>
      </c>
      <c r="D5037" s="107" t="n">
        <v>1</v>
      </c>
      <c r="E5037" s="108" t="n">
        <v>155.09</v>
      </c>
      <c r="F5037" s="109">
        <f>IFERROR(D5037*E5037,0)</f>
        <v/>
      </c>
      <c r="G5037" s="106">
        <f>INDEX(SETORES!$B:$B,MATCH(A5037,SETORES!$A:$A,0))</f>
        <v/>
      </c>
      <c r="H5037" s="106" t="inlineStr">
        <is>
          <t>Dezembro/2026</t>
        </is>
      </c>
    </row>
    <row r="5038">
      <c r="A5038" s="106" t="inlineStr">
        <is>
          <t>Logística</t>
        </is>
      </c>
      <c r="B5038" s="106" t="inlineStr">
        <is>
          <t>Custo Fixo</t>
        </is>
      </c>
      <c r="C5038" s="106" t="inlineStr">
        <is>
          <t>Instalações - corredores e alojamentos (rateio)</t>
        </is>
      </c>
      <c r="D5038" s="107" t="n">
        <v>1</v>
      </c>
      <c r="E5038" s="108" t="n">
        <v>310.17</v>
      </c>
      <c r="F5038" s="109">
        <f>IFERROR(D5038*E5038,0)</f>
        <v/>
      </c>
      <c r="G5038" s="106">
        <f>INDEX(SETORES!$B:$B,MATCH(A5038,SETORES!$A:$A,0))</f>
        <v/>
      </c>
      <c r="H5038" s="106" t="inlineStr">
        <is>
          <t>Dezembro/2026</t>
        </is>
      </c>
    </row>
    <row r="5039">
      <c r="A5039" s="106" t="inlineStr">
        <is>
          <t>NOC</t>
        </is>
      </c>
      <c r="B5039" s="106" t="inlineStr">
        <is>
          <t>Custo Fixo</t>
        </is>
      </c>
      <c r="C5039" s="106" t="inlineStr">
        <is>
          <t>Instalações - corredores e alojamentos (rateio)</t>
        </is>
      </c>
      <c r="D5039" s="107" t="n">
        <v>1</v>
      </c>
      <c r="E5039" s="108" t="n">
        <v>58.16</v>
      </c>
      <c r="F5039" s="109">
        <f>IFERROR(D5039*E5039,0)</f>
        <v/>
      </c>
      <c r="G5039" s="106">
        <f>INDEX(SETORES!$B:$B,MATCH(A5039,SETORES!$A:$A,0))</f>
        <v/>
      </c>
      <c r="H5039" s="106" t="inlineStr">
        <is>
          <t>Dezembro/2026</t>
        </is>
      </c>
    </row>
    <row r="5040">
      <c r="A5040" s="106" t="inlineStr">
        <is>
          <t>NRC</t>
        </is>
      </c>
      <c r="B5040" s="106" t="inlineStr">
        <is>
          <t>Custo Fixo</t>
        </is>
      </c>
      <c r="C5040" s="106" t="inlineStr">
        <is>
          <t>Instalações - corredores e alojamentos (rateio)</t>
        </is>
      </c>
      <c r="D5040" s="107" t="n">
        <v>1</v>
      </c>
      <c r="E5040" s="108" t="n">
        <v>814.21</v>
      </c>
      <c r="F5040" s="109">
        <f>IFERROR(D5040*E5040,0)</f>
        <v/>
      </c>
      <c r="G5040" s="106">
        <f>INDEX(SETORES!$B:$B,MATCH(A5040,SETORES!$A:$A,0))</f>
        <v/>
      </c>
      <c r="H5040" s="106" t="inlineStr">
        <is>
          <t>Dezembro/2026</t>
        </is>
      </c>
    </row>
    <row r="5041">
      <c r="A5041" s="106" t="inlineStr">
        <is>
          <t>Oficina</t>
        </is>
      </c>
      <c r="B5041" s="106" t="inlineStr">
        <is>
          <t>Custo Fixo</t>
        </is>
      </c>
      <c r="C5041" s="106" t="inlineStr">
        <is>
          <t>Instalações - corredores e alojamentos (rateio)</t>
        </is>
      </c>
      <c r="D5041" s="107" t="n">
        <v>1</v>
      </c>
      <c r="E5041" s="108" t="n">
        <v>77.54000000000001</v>
      </c>
      <c r="F5041" s="109">
        <f>IFERROR(D5041*E5041,0)</f>
        <v/>
      </c>
      <c r="G5041" s="106">
        <f>INDEX(SETORES!$B:$B,MATCH(A5041,SETORES!$A:$A,0))</f>
        <v/>
      </c>
      <c r="H5041" s="106" t="inlineStr">
        <is>
          <t>Dezembro/2026</t>
        </is>
      </c>
    </row>
    <row r="5042">
      <c r="A5042" s="106" t="inlineStr">
        <is>
          <t>RH</t>
        </is>
      </c>
      <c r="B5042" s="106" t="inlineStr">
        <is>
          <t>Custo Fixo</t>
        </is>
      </c>
      <c r="C5042" s="106" t="inlineStr">
        <is>
          <t>Instalações - corredores e alojamentos (rateio)</t>
        </is>
      </c>
      <c r="D5042" s="107" t="n">
        <v>1</v>
      </c>
      <c r="E5042" s="108" t="n">
        <v>116.32</v>
      </c>
      <c r="F5042" s="109">
        <f>IFERROR(D5042*E5042,0)</f>
        <v/>
      </c>
      <c r="G5042" s="106">
        <f>INDEX(SETORES!$B:$B,MATCH(A5042,SETORES!$A:$A,0))</f>
        <v/>
      </c>
      <c r="H5042" s="106" t="inlineStr">
        <is>
          <t>Dezembro/2026</t>
        </is>
      </c>
    </row>
    <row r="5043">
      <c r="A5043" s="106" t="inlineStr">
        <is>
          <t>Retenção</t>
        </is>
      </c>
      <c r="B5043" s="106" t="inlineStr">
        <is>
          <t>Custo Fixo</t>
        </is>
      </c>
      <c r="C5043" s="106" t="inlineStr">
        <is>
          <t>Instalações - corredores e alojamentos (rateio)</t>
        </is>
      </c>
      <c r="D5043" s="107" t="n">
        <v>1</v>
      </c>
      <c r="E5043" s="108" t="n">
        <v>232.63</v>
      </c>
      <c r="F5043" s="109">
        <f>IFERROR(D5043*E5043,0)</f>
        <v/>
      </c>
      <c r="G5043" s="106">
        <f>INDEX(SETORES!$B:$B,MATCH(A5043,SETORES!$A:$A,0))</f>
        <v/>
      </c>
      <c r="H5043" s="106" t="inlineStr">
        <is>
          <t>Dezembro/2026</t>
        </is>
      </c>
    </row>
    <row r="5044">
      <c r="A5044" s="106" t="inlineStr">
        <is>
          <t>Segurança do Trabalho</t>
        </is>
      </c>
      <c r="B5044" s="106" t="inlineStr">
        <is>
          <t>Custo Fixo</t>
        </is>
      </c>
      <c r="C5044" s="106" t="inlineStr">
        <is>
          <t>Instalações - corredores e alojamentos (rateio)</t>
        </is>
      </c>
      <c r="D5044" s="107" t="n">
        <v>1</v>
      </c>
      <c r="E5044" s="108" t="n">
        <v>155.09</v>
      </c>
      <c r="F5044" s="109">
        <f>IFERROR(D5044*E5044,0)</f>
        <v/>
      </c>
      <c r="G5044" s="106">
        <f>INDEX(SETORES!$B:$B,MATCH(A5044,SETORES!$A:$A,0))</f>
        <v/>
      </c>
      <c r="H5044" s="106" t="inlineStr">
        <is>
          <t>Dezembro/2026</t>
        </is>
      </c>
    </row>
    <row r="5045">
      <c r="A5045" s="106" t="inlineStr">
        <is>
          <t>Suporte Orbix</t>
        </is>
      </c>
      <c r="B5045" s="106" t="inlineStr">
        <is>
          <t>Custo Fixo</t>
        </is>
      </c>
      <c r="C5045" s="106" t="inlineStr">
        <is>
          <t>Instalações - corredores e alojamentos (rateio)</t>
        </is>
      </c>
      <c r="D5045" s="107" t="n">
        <v>1</v>
      </c>
      <c r="E5045" s="108" t="n">
        <v>155.09</v>
      </c>
      <c r="F5045" s="109">
        <f>IFERROR(D5045*E5045,0)</f>
        <v/>
      </c>
      <c r="G5045" s="106">
        <f>INDEX(SETORES!$B:$B,MATCH(A5045,SETORES!$A:$A,0))</f>
        <v/>
      </c>
      <c r="H5045" s="106" t="inlineStr">
        <is>
          <t>Dezembro/2026</t>
        </is>
      </c>
    </row>
    <row r="5046">
      <c r="A5046" s="106" t="inlineStr">
        <is>
          <t>Suporte da Central</t>
        </is>
      </c>
      <c r="B5046" s="106" t="inlineStr">
        <is>
          <t>Custo Fixo</t>
        </is>
      </c>
      <c r="C5046" s="106" t="inlineStr">
        <is>
          <t>Instalações - corredores e alojamentos (rateio)</t>
        </is>
      </c>
      <c r="D5046" s="107" t="n">
        <v>1</v>
      </c>
      <c r="E5046" s="108" t="n">
        <v>639.74</v>
      </c>
      <c r="F5046" s="109">
        <f>IFERROR(D5046*E5046,0)</f>
        <v/>
      </c>
      <c r="G5046" s="106">
        <f>INDEX(SETORES!$B:$B,MATCH(A5046,SETORES!$A:$A,0))</f>
        <v/>
      </c>
      <c r="H5046" s="106" t="inlineStr">
        <is>
          <t>Dezembro/2026</t>
        </is>
      </c>
    </row>
    <row r="5047">
      <c r="A5047" s="106" t="inlineStr">
        <is>
          <t>Televendas</t>
        </is>
      </c>
      <c r="B5047" s="106" t="inlineStr">
        <is>
          <t>Custo Fixo</t>
        </is>
      </c>
      <c r="C5047" s="106" t="inlineStr">
        <is>
          <t>Instalações - corredores e alojamentos (rateio)</t>
        </is>
      </c>
      <c r="D5047" s="107" t="n">
        <v>1</v>
      </c>
      <c r="E5047" s="108" t="n">
        <v>213.25</v>
      </c>
      <c r="F5047" s="109">
        <f>IFERROR(D5047*E5047,0)</f>
        <v/>
      </c>
      <c r="G5047" s="106">
        <f>INDEX(SETORES!$B:$B,MATCH(A5047,SETORES!$A:$A,0))</f>
        <v/>
      </c>
      <c r="H5047" s="106" t="inlineStr">
        <is>
          <t>Dezembro/2026</t>
        </is>
      </c>
    </row>
    <row r="5048">
      <c r="A5048" s="106" t="inlineStr">
        <is>
          <t>COE</t>
        </is>
      </c>
      <c r="B5048" s="106" t="inlineStr">
        <is>
          <t>Custo Fixo</t>
        </is>
      </c>
      <c r="C5048" s="106" t="inlineStr">
        <is>
          <t>Instalações - corredores e alojamentos (rateio)</t>
        </is>
      </c>
      <c r="D5048" s="107" t="n">
        <v>1</v>
      </c>
      <c r="E5048" s="108" t="n">
        <v>213.25</v>
      </c>
      <c r="F5048" s="109">
        <f>IFERROR(D5048*E5048,0)</f>
        <v/>
      </c>
      <c r="G5048" s="106">
        <f>INDEX(SETORES!$B:$B,MATCH(A5048,SETORES!$A:$A,0))</f>
        <v/>
      </c>
      <c r="H5048" s="106" t="inlineStr">
        <is>
          <t>Dezembro/2026</t>
        </is>
      </c>
    </row>
    <row r="5049">
      <c r="A5049" s="106" t="inlineStr">
        <is>
          <t>Cozinha</t>
        </is>
      </c>
      <c r="B5049" s="106" t="inlineStr">
        <is>
          <t>Custo Fixo</t>
        </is>
      </c>
      <c r="C5049" s="106" t="inlineStr">
        <is>
          <t>Instalações - corredores e alojamentos (rateio)</t>
        </is>
      </c>
      <c r="D5049" s="107" t="n">
        <v>1</v>
      </c>
      <c r="E5049" s="108" t="n">
        <v>77.54000000000001</v>
      </c>
      <c r="F5049" s="109">
        <f>IFERROR(D5049*E5049,0)</f>
        <v/>
      </c>
      <c r="G5049" s="106">
        <f>INDEX(SETORES!$B:$B,MATCH(A5049,SETORES!$A:$A,0))</f>
        <v/>
      </c>
      <c r="H5049" s="106" t="inlineStr">
        <is>
          <t>Dezembro/2026</t>
        </is>
      </c>
    </row>
    <row r="5050">
      <c r="A5050" s="106" t="inlineStr">
        <is>
          <t>Backoffice Comercial Varejo</t>
        </is>
      </c>
      <c r="B5050" s="106" t="inlineStr">
        <is>
          <t>Custo Fixo</t>
        </is>
      </c>
      <c r="C5050" s="106" t="inlineStr">
        <is>
          <t>Instalações - corredores e alojamentos (rateio)</t>
        </is>
      </c>
      <c r="D5050" s="107" t="n">
        <v>1</v>
      </c>
      <c r="E5050" s="108" t="n">
        <v>38.77</v>
      </c>
      <c r="F5050" s="109">
        <f>IFERROR(D5050*E5050,0)</f>
        <v/>
      </c>
      <c r="G5050" s="106">
        <f>INDEX(SETORES!$B:$B,MATCH(A5050,SETORES!$A:$A,0))</f>
        <v/>
      </c>
      <c r="H5050" s="106" t="inlineStr">
        <is>
          <t>Dezembro/2026</t>
        </is>
      </c>
    </row>
    <row r="5051">
      <c r="A5051" s="106" t="inlineStr">
        <is>
          <t>Marketing</t>
        </is>
      </c>
      <c r="B5051" s="106" t="inlineStr">
        <is>
          <t>Custo Fixo</t>
        </is>
      </c>
      <c r="C5051" s="106" t="inlineStr">
        <is>
          <t>Instalações - corredores e alojamentos (rateio)</t>
        </is>
      </c>
      <c r="D5051" s="107" t="n">
        <v>1</v>
      </c>
      <c r="E5051" s="108" t="n">
        <v>329.56</v>
      </c>
      <c r="F5051" s="109">
        <f>IFERROR(D5051*E5051,0)</f>
        <v/>
      </c>
      <c r="G5051" s="106">
        <f>INDEX(SETORES!$B:$B,MATCH(A5051,SETORES!$A:$A,0))</f>
        <v/>
      </c>
      <c r="H5051" s="106" t="inlineStr">
        <is>
          <t>Dezembro/2026</t>
        </is>
      </c>
    </row>
    <row r="5052">
      <c r="A5052" s="106" t="inlineStr">
        <is>
          <t>Comercial Corporativo</t>
        </is>
      </c>
      <c r="B5052" s="106" t="inlineStr">
        <is>
          <t>Custo Fixo</t>
        </is>
      </c>
      <c r="C5052" s="106" t="inlineStr">
        <is>
          <t>Instalações - corredores e alojamentos (rateio)</t>
        </is>
      </c>
      <c r="D5052" s="107" t="n">
        <v>1</v>
      </c>
      <c r="E5052" s="108" t="n">
        <v>232.63</v>
      </c>
      <c r="F5052" s="109">
        <f>IFERROR(D5052*E5052,0)</f>
        <v/>
      </c>
      <c r="G5052" s="106">
        <f>INDEX(SETORES!$B:$B,MATCH(A5052,SETORES!$A:$A,0))</f>
        <v/>
      </c>
      <c r="H5052" s="106" t="inlineStr">
        <is>
          <t>Dezembro/2026</t>
        </is>
      </c>
    </row>
    <row r="5053">
      <c r="A5053" s="106" t="inlineStr">
        <is>
          <t>TIC</t>
        </is>
      </c>
      <c r="B5053" s="106" t="inlineStr">
        <is>
          <t>Custo Fixo</t>
        </is>
      </c>
      <c r="C5053" s="106" t="inlineStr">
        <is>
          <t>Instalações - corredores e alojamentos (rateio)</t>
        </is>
      </c>
      <c r="D5053" s="107" t="n">
        <v>1</v>
      </c>
      <c r="E5053" s="108" t="n">
        <v>135.7</v>
      </c>
      <c r="F5053" s="109">
        <f>IFERROR(D5053*E5053,0)</f>
        <v/>
      </c>
      <c r="G5053" s="106">
        <f>INDEX(SETORES!$B:$B,MATCH(A5053,SETORES!$A:$A,0))</f>
        <v/>
      </c>
      <c r="H5053" s="106" t="inlineStr">
        <is>
          <t>Dezembro/2026</t>
        </is>
      </c>
    </row>
    <row r="5054">
      <c r="A5054" s="106" t="inlineStr">
        <is>
          <t>Diretoria Adm</t>
        </is>
      </c>
      <c r="B5054" s="106" t="inlineStr">
        <is>
          <t>Custo Fixo</t>
        </is>
      </c>
      <c r="C5054" s="106" t="inlineStr">
        <is>
          <t>Instalações - corredores e alojamentos (rateio)</t>
        </is>
      </c>
      <c r="D5054" s="107" t="n">
        <v>1</v>
      </c>
      <c r="E5054" s="108" t="n">
        <v>38.77</v>
      </c>
      <c r="F5054" s="109">
        <f>IFERROR(D5054*E5054,0)</f>
        <v/>
      </c>
      <c r="G5054" s="106">
        <f>INDEX(SETORES!$B:$B,MATCH(A5054,SETORES!$A:$A,0))</f>
        <v/>
      </c>
      <c r="H5054" s="106" t="inlineStr">
        <is>
          <t>Dezembro/2026</t>
        </is>
      </c>
    </row>
    <row r="5055">
      <c r="A5055" s="106" t="inlineStr">
        <is>
          <t>Controladoria</t>
        </is>
      </c>
      <c r="B5055" s="106" t="inlineStr">
        <is>
          <t>Custo Fixo</t>
        </is>
      </c>
      <c r="C5055" s="106" t="inlineStr">
        <is>
          <t>Instalações - corredores e alojamentos (rateio)</t>
        </is>
      </c>
      <c r="D5055" s="107" t="n">
        <v>1</v>
      </c>
      <c r="E5055" s="108" t="n">
        <v>19.39</v>
      </c>
      <c r="F5055" s="109">
        <f>IFERROR(D5055*E5055,0)</f>
        <v/>
      </c>
      <c r="G5055" s="106">
        <f>INDEX(SETORES!$B:$B,MATCH(A5055,SETORES!$A:$A,0))</f>
        <v/>
      </c>
      <c r="H5055" s="106" t="inlineStr">
        <is>
          <t>Dezembro/2026</t>
        </is>
      </c>
    </row>
    <row r="5056">
      <c r="A5056" s="106" t="inlineStr">
        <is>
          <t>Configuração</t>
        </is>
      </c>
      <c r="B5056" s="106" t="inlineStr">
        <is>
          <t>Custo Fixo</t>
        </is>
      </c>
      <c r="C5056" s="106" t="inlineStr">
        <is>
          <t>Stargrid</t>
        </is>
      </c>
      <c r="D5056" s="107" t="n">
        <v>10</v>
      </c>
      <c r="E5056" s="108" t="n">
        <v>1.87</v>
      </c>
      <c r="F5056" s="109">
        <f>IFERROR(D5056*E5056,0)</f>
        <v/>
      </c>
      <c r="G5056" s="106">
        <f>INDEX(SETORES!$B:$B,MATCH(A5056,SETORES!$A:$A,0))</f>
        <v/>
      </c>
      <c r="H5056" s="106" t="inlineStr">
        <is>
          <t>Dezembro/2026</t>
        </is>
      </c>
    </row>
    <row r="5057">
      <c r="A5057" s="106" t="inlineStr">
        <is>
          <t>Configuração</t>
        </is>
      </c>
      <c r="B5057" s="106" t="inlineStr">
        <is>
          <t>Custo Fixo</t>
        </is>
      </c>
      <c r="C5057" s="106" t="inlineStr">
        <is>
          <t>Licença de e-mail corporativo</t>
        </is>
      </c>
      <c r="D5057" s="107" t="n">
        <v>10</v>
      </c>
      <c r="E5057" s="108" t="n">
        <v>50</v>
      </c>
      <c r="F5057" s="109">
        <f>IFERROR(D5057*E5057,0)</f>
        <v/>
      </c>
      <c r="G5057" s="106">
        <f>INDEX(SETORES!$B:$B,MATCH(A5057,SETORES!$A:$A,0))</f>
        <v/>
      </c>
      <c r="H5057" s="106" t="inlineStr">
        <is>
          <t>Dezembro/2026</t>
        </is>
      </c>
    </row>
    <row r="5058">
      <c r="A5058" s="106" t="inlineStr">
        <is>
          <t>Desenvolvimento</t>
        </is>
      </c>
      <c r="B5058" s="106" t="inlineStr">
        <is>
          <t>Custo Fixo</t>
        </is>
      </c>
      <c r="C5058" s="106" t="inlineStr">
        <is>
          <t>Stargrid</t>
        </is>
      </c>
      <c r="D5058" s="107" t="n">
        <v>6</v>
      </c>
      <c r="E5058" s="108" t="n">
        <v>1.87</v>
      </c>
      <c r="F5058" s="109">
        <f>IFERROR(D5058*E5058,0)</f>
        <v/>
      </c>
      <c r="G5058" s="106">
        <f>INDEX(SETORES!$B:$B,MATCH(A5058,SETORES!$A:$A,0))</f>
        <v/>
      </c>
      <c r="H5058" s="106" t="inlineStr">
        <is>
          <t>Dezembro/2026</t>
        </is>
      </c>
    </row>
    <row r="5059">
      <c r="A5059" s="106" t="inlineStr">
        <is>
          <t>Desenvolvimento</t>
        </is>
      </c>
      <c r="B5059" s="106" t="inlineStr">
        <is>
          <t>Custo Fixo</t>
        </is>
      </c>
      <c r="C5059" s="106" t="inlineStr">
        <is>
          <t>Licença de e-mail corporativo</t>
        </is>
      </c>
      <c r="D5059" s="107" t="n">
        <v>6</v>
      </c>
      <c r="E5059" s="108" t="n">
        <v>50</v>
      </c>
      <c r="F5059" s="109">
        <f>IFERROR(D5059*E5059,0)</f>
        <v/>
      </c>
      <c r="G5059" s="106">
        <f>INDEX(SETORES!$B:$B,MATCH(A5059,SETORES!$A:$A,0))</f>
        <v/>
      </c>
      <c r="H5059" s="106" t="inlineStr">
        <is>
          <t>Dezembro/2026</t>
        </is>
      </c>
    </row>
    <row r="5060">
      <c r="A5060" s="110" t="inlineStr">
        <is>
          <t>Projetista</t>
        </is>
      </c>
      <c r="B5060" s="110" t="inlineStr">
        <is>
          <t>Custo Fixo</t>
        </is>
      </c>
      <c r="C5060" s="110" t="inlineStr">
        <is>
          <t>Folha de pagamento (salários)</t>
        </is>
      </c>
      <c r="D5060" s="110" t="n">
        <v>1</v>
      </c>
      <c r="E5060" s="110" t="n">
        <v>25653.46</v>
      </c>
      <c r="F5060" s="110">
        <f>IFERROR(D5060*E5060,0)</f>
        <v/>
      </c>
      <c r="G5060" s="110">
        <f>INDEX(SETORES!$B:$B,MATCH(A5060,SETORES!$A:$A,0))</f>
        <v/>
      </c>
      <c r="H5060" s="110" t="inlineStr">
        <is>
          <t>Dezembro/2026</t>
        </is>
      </c>
    </row>
    <row r="5061">
      <c r="A5061" s="110" t="inlineStr">
        <is>
          <t>Suporte da Central</t>
        </is>
      </c>
      <c r="B5061" s="110" t="inlineStr">
        <is>
          <t>Custo Variável</t>
        </is>
      </c>
      <c r="C5061" s="110" t="inlineStr">
        <is>
          <t>Fardamento substituição</t>
        </is>
      </c>
      <c r="D5061" s="110" t="n">
        <v>1</v>
      </c>
      <c r="E5061" s="110" t="n">
        <v>272</v>
      </c>
      <c r="F5061" s="110">
        <f>IFERROR(D5061*E5061,0)</f>
        <v/>
      </c>
      <c r="G5061" s="110">
        <f>INDEX(SETORES!$B:$B,MATCH(A5061,SETORES!$A:$A,0))</f>
        <v/>
      </c>
      <c r="H5061" s="110" t="inlineStr">
        <is>
          <t>Dezembro/2026</t>
        </is>
      </c>
    </row>
    <row r="5062">
      <c r="A5062" s="110" t="inlineStr">
        <is>
          <t>Configuração</t>
        </is>
      </c>
      <c r="B5062" s="110" t="inlineStr">
        <is>
          <t>Custo Variável</t>
        </is>
      </c>
      <c r="C5062" s="110" t="inlineStr">
        <is>
          <t>Fardamento novo</t>
        </is>
      </c>
      <c r="D5062" s="110" t="n">
        <v>1</v>
      </c>
      <c r="E5062" s="110" t="n">
        <v>90</v>
      </c>
      <c r="F5062" s="110">
        <f>IFERROR(D5062*E5062,0)</f>
        <v/>
      </c>
      <c r="G5062" s="110">
        <f>INDEX(SETORES!$B:$B,MATCH(A5062,SETORES!$A:$A,0))</f>
        <v/>
      </c>
      <c r="H5062" s="110" t="inlineStr">
        <is>
          <t>Dezembro/2026</t>
        </is>
      </c>
    </row>
    <row r="5063">
      <c r="A5063" s="106" t="inlineStr">
        <is>
          <t>Gestão de Atendimento</t>
        </is>
      </c>
      <c r="B5063" s="106" t="inlineStr">
        <is>
          <t>Custo Fixo</t>
        </is>
      </c>
      <c r="C5063" s="106" t="inlineStr">
        <is>
          <t>Material de escritório (suprimentos de informática)</t>
        </is>
      </c>
      <c r="D5063" s="107" t="n">
        <v>1</v>
      </c>
      <c r="E5063" s="108" t="n">
        <v>840.67</v>
      </c>
      <c r="F5063" s="109">
        <f>IFERROR(D5063*E5063,0)</f>
        <v/>
      </c>
      <c r="G5063" s="106">
        <f>INDEX(SETORES!$B:$B,MATCH(A5063,SETORES!$A:$A,0))</f>
        <v/>
      </c>
      <c r="H5063" s="106" t="inlineStr">
        <is>
          <t>Janeiro/2027</t>
        </is>
      </c>
    </row>
    <row r="5064">
      <c r="A5064" s="106" t="inlineStr">
        <is>
          <t>Gestão de Atendimento</t>
        </is>
      </c>
      <c r="B5064" s="106" t="inlineStr">
        <is>
          <t>Custo Fixo</t>
        </is>
      </c>
      <c r="C5064" s="106" t="inlineStr">
        <is>
          <t>Material de uso coletivo (copa/limpeza)</t>
        </is>
      </c>
      <c r="D5064" s="107" t="n">
        <v>1</v>
      </c>
      <c r="E5064" s="108" t="n">
        <v>882.22</v>
      </c>
      <c r="F5064" s="109">
        <f>IFERROR(D5064*E5064,0)</f>
        <v/>
      </c>
      <c r="G5064" s="106">
        <f>INDEX(SETORES!$B:$B,MATCH(A5064,SETORES!$A:$A,0))</f>
        <v/>
      </c>
      <c r="H5064" s="106" t="inlineStr">
        <is>
          <t>Janeiro/2027</t>
        </is>
      </c>
    </row>
    <row r="5065">
      <c r="A5065" s="106" t="inlineStr">
        <is>
          <t>Gestão de Atendimento</t>
        </is>
      </c>
      <c r="B5065" s="106" t="inlineStr">
        <is>
          <t>Custo Fixo</t>
        </is>
      </c>
      <c r="C5065" s="106" t="inlineStr">
        <is>
          <t>Energia elétrica (rateio)</t>
        </is>
      </c>
      <c r="D5065" s="107" t="n"/>
      <c r="E5065" s="108" t="n"/>
      <c r="F5065" s="109">
        <f>IFERROR(D5065*E5065,0)</f>
        <v/>
      </c>
      <c r="G5065" s="106">
        <f>INDEX(SETORES!$B:$B,MATCH(A5065,SETORES!$A:$A,0))</f>
        <v/>
      </c>
      <c r="H5065" s="106" t="inlineStr">
        <is>
          <t>Janeiro/2027</t>
        </is>
      </c>
    </row>
    <row r="5066">
      <c r="A5066" s="106" t="inlineStr">
        <is>
          <t>Gestão de Atendimento</t>
        </is>
      </c>
      <c r="B5066" s="106" t="inlineStr">
        <is>
          <t>Custo Fixo</t>
        </is>
      </c>
      <c r="C5066" s="106" t="inlineStr">
        <is>
          <t>Água e esgoto (rateio)</t>
        </is>
      </c>
      <c r="D5066" s="107" t="n"/>
      <c r="E5066" s="108" t="n"/>
      <c r="F5066" s="109">
        <f>IFERROR(D5066*E5066,0)</f>
        <v/>
      </c>
      <c r="G5066" s="106">
        <f>INDEX(SETORES!$B:$B,MATCH(A5066,SETORES!$A:$A,0))</f>
        <v/>
      </c>
      <c r="H5066" s="106" t="inlineStr">
        <is>
          <t>Janeiro/2027</t>
        </is>
      </c>
    </row>
    <row r="5067">
      <c r="A5067" s="106" t="inlineStr">
        <is>
          <t>Gestão de Atendimento</t>
        </is>
      </c>
      <c r="B5067" s="106" t="inlineStr">
        <is>
          <t>Custo Fixo</t>
        </is>
      </c>
      <c r="C5067" s="106" t="inlineStr">
        <is>
          <t>Telefonia móvel corporativa</t>
        </is>
      </c>
      <c r="D5067" s="107" t="n"/>
      <c r="E5067" s="108" t="n"/>
      <c r="F5067" s="109">
        <f>IFERROR(D5067*E5067,0)</f>
        <v/>
      </c>
      <c r="G5067" s="106">
        <f>INDEX(SETORES!$B:$B,MATCH(A5067,SETORES!$A:$A,0))</f>
        <v/>
      </c>
      <c r="H5067" s="106" t="inlineStr">
        <is>
          <t>Janeiro/2027</t>
        </is>
      </c>
    </row>
    <row r="5068">
      <c r="A5068" s="106" t="inlineStr">
        <is>
          <t>Gestão de Atendimento</t>
        </is>
      </c>
      <c r="B5068" s="106" t="inlineStr">
        <is>
          <t>Custo Fixo</t>
        </is>
      </c>
      <c r="C5068" s="106" t="inlineStr">
        <is>
          <t>Folha de pagamento (salários)</t>
        </is>
      </c>
      <c r="D5068" s="107" t="n">
        <v>1</v>
      </c>
      <c r="E5068" s="108" t="n">
        <v>55556.32</v>
      </c>
      <c r="F5068" s="109">
        <f>IFERROR(D5068*E5068,0)</f>
        <v/>
      </c>
      <c r="G5068" s="106">
        <f>INDEX(SETORES!$B:$B,MATCH(A5068,SETORES!$A:$A,0))</f>
        <v/>
      </c>
      <c r="H5068" s="106" t="inlineStr">
        <is>
          <t>Janeiro/2027</t>
        </is>
      </c>
    </row>
    <row r="5069">
      <c r="A5069" s="106" t="inlineStr">
        <is>
          <t>Gestão de Atendimento</t>
        </is>
      </c>
      <c r="B5069" s="106" t="inlineStr">
        <is>
          <t>Custo Variável</t>
        </is>
      </c>
      <c r="C5069" s="106" t="inlineStr">
        <is>
          <t>Fardamento novo</t>
        </is>
      </c>
      <c r="D5069" s="107" t="n">
        <v>1</v>
      </c>
      <c r="E5069" s="108" t="n">
        <v>180</v>
      </c>
      <c r="F5069" s="109">
        <f>IFERROR(D5069*E5069,0)</f>
        <v/>
      </c>
      <c r="G5069" s="106">
        <f>INDEX(SETORES!$B:$B,MATCH(A5069,SETORES!$A:$A,0))</f>
        <v/>
      </c>
      <c r="H5069" s="106" t="inlineStr">
        <is>
          <t>Janeiro/2027</t>
        </is>
      </c>
    </row>
    <row r="5070">
      <c r="A5070" s="106" t="inlineStr">
        <is>
          <t>Gestão de Atendimento</t>
        </is>
      </c>
      <c r="B5070" s="106" t="inlineStr">
        <is>
          <t>Custo Variável</t>
        </is>
      </c>
      <c r="C5070" s="106" t="inlineStr">
        <is>
          <t>Fardamento substituição</t>
        </is>
      </c>
      <c r="D5070" s="107" t="n"/>
      <c r="E5070" s="108" t="n"/>
      <c r="F5070" s="109">
        <f>IFERROR(D5070*E5070,0)</f>
        <v/>
      </c>
      <c r="G5070" s="106">
        <f>INDEX(SETORES!$B:$B,MATCH(A5070,SETORES!$A:$A,0))</f>
        <v/>
      </c>
      <c r="H5070" s="106" t="inlineStr">
        <is>
          <t>Janeiro/2027</t>
        </is>
      </c>
    </row>
    <row r="5071">
      <c r="A5071" s="106" t="inlineStr">
        <is>
          <t>Gestão de Atendimento</t>
        </is>
      </c>
      <c r="B5071" s="106" t="inlineStr">
        <is>
          <t>Custo Variável</t>
        </is>
      </c>
      <c r="C5071" s="106" t="inlineStr">
        <is>
          <t>Exames médicos</t>
        </is>
      </c>
      <c r="D5071" s="107" t="n"/>
      <c r="E5071" s="108" t="n"/>
      <c r="F5071" s="109">
        <f>IFERROR(D5071*E5071,0)</f>
        <v/>
      </c>
      <c r="G5071" s="106">
        <f>INDEX(SETORES!$B:$B,MATCH(A5071,SETORES!$A:$A,0))</f>
        <v/>
      </c>
      <c r="H5071" s="106" t="inlineStr">
        <is>
          <t>Janeiro/2027</t>
        </is>
      </c>
    </row>
    <row r="5072">
      <c r="A5072" s="106" t="inlineStr">
        <is>
          <t>Gestão de Atendimento</t>
        </is>
      </c>
      <c r="B5072" s="106" t="inlineStr">
        <is>
          <t>Custo Fixo</t>
        </is>
      </c>
      <c r="C5072" s="106" t="inlineStr">
        <is>
          <t>Licença de e-mail corporativo</t>
        </is>
      </c>
      <c r="D5072" s="107" t="n">
        <v>17</v>
      </c>
      <c r="E5072" s="108" t="n">
        <v>50</v>
      </c>
      <c r="F5072" s="109">
        <f>IFERROR(D5072*E5072,0)</f>
        <v/>
      </c>
      <c r="G5072" s="106">
        <f>INDEX(SETORES!$B:$B,MATCH(A5072,SETORES!$A:$A,0))</f>
        <v/>
      </c>
      <c r="H5072" s="106" t="inlineStr">
        <is>
          <t>Janeiro/2027</t>
        </is>
      </c>
    </row>
    <row r="5073">
      <c r="A5073" s="106" t="inlineStr">
        <is>
          <t>Gestão de Atendimento</t>
        </is>
      </c>
      <c r="B5073" s="106" t="inlineStr">
        <is>
          <t>Custo Fixo</t>
        </is>
      </c>
      <c r="C5073" s="106" t="inlineStr">
        <is>
          <t>Gympass</t>
        </is>
      </c>
      <c r="D5073" s="107" t="n"/>
      <c r="E5073" s="108" t="n"/>
      <c r="F5073" s="109">
        <f>IFERROR(D5073*E5073,0)</f>
        <v/>
      </c>
      <c r="G5073" s="106">
        <f>INDEX(SETORES!$B:$B,MATCH(A5073,SETORES!$A:$A,0))</f>
        <v/>
      </c>
      <c r="H5073" s="106" t="inlineStr">
        <is>
          <t>Janeiro/2027</t>
        </is>
      </c>
    </row>
    <row r="5074">
      <c r="A5074" s="106" t="inlineStr">
        <is>
          <t>Gestão de Atendimento</t>
        </is>
      </c>
      <c r="B5074" s="106" t="inlineStr">
        <is>
          <t>Custo Fixo</t>
        </is>
      </c>
      <c r="C5074" s="106" t="inlineStr">
        <is>
          <t>Stargrid</t>
        </is>
      </c>
      <c r="D5074" s="107" t="n">
        <v>17</v>
      </c>
      <c r="E5074" s="108" t="n">
        <v>1.87</v>
      </c>
      <c r="F5074" s="109">
        <f>IFERROR(D5074*E5074,0)</f>
        <v/>
      </c>
      <c r="G5074" s="106">
        <f>INDEX(SETORES!$B:$B,MATCH(A5074,SETORES!$A:$A,0))</f>
        <v/>
      </c>
      <c r="H5074" s="106" t="inlineStr">
        <is>
          <t>Janeiro/2027</t>
        </is>
      </c>
    </row>
    <row r="5075">
      <c r="A5075" s="106" t="inlineStr">
        <is>
          <t>RH</t>
        </is>
      </c>
      <c r="B5075" s="106" t="inlineStr">
        <is>
          <t>Custo Fixo</t>
        </is>
      </c>
      <c r="C5075" s="106" t="inlineStr">
        <is>
          <t>Software exclusivo fiberschool (RH)</t>
        </is>
      </c>
      <c r="D5075" s="107" t="n">
        <v>1</v>
      </c>
      <c r="E5075" s="108" t="n">
        <v>2500</v>
      </c>
      <c r="F5075" s="109">
        <f>IFERROR(D5075*E5075,0)</f>
        <v/>
      </c>
      <c r="G5075" s="106">
        <f>INDEX(SETORES!$B:$B,MATCH(A5075,SETORES!$A:$A,0))</f>
        <v/>
      </c>
      <c r="H5075" s="106" t="inlineStr">
        <is>
          <t>Janeiro/2027</t>
        </is>
      </c>
    </row>
    <row r="5076">
      <c r="A5076" s="106" t="inlineStr">
        <is>
          <t>RH</t>
        </is>
      </c>
      <c r="B5076" s="106" t="inlineStr">
        <is>
          <t>Custo Fixo</t>
        </is>
      </c>
      <c r="C5076" s="106" t="inlineStr">
        <is>
          <t>Software RH1000 (RH)</t>
        </is>
      </c>
      <c r="D5076" s="107" t="n">
        <v>1</v>
      </c>
      <c r="E5076" s="108" t="n">
        <v>2612.9</v>
      </c>
      <c r="F5076" s="109">
        <f>IFERROR(D5076*E5076,0)</f>
        <v/>
      </c>
      <c r="G5076" s="106">
        <f>INDEX(SETORES!$B:$B,MATCH(A5076,SETORES!$A:$A,0))</f>
        <v/>
      </c>
      <c r="H5076" s="106" t="inlineStr">
        <is>
          <t>Janeiro/2027</t>
        </is>
      </c>
    </row>
    <row r="5077">
      <c r="A5077" s="106" t="inlineStr">
        <is>
          <t>Administrativo</t>
        </is>
      </c>
      <c r="B5077" s="106" t="inlineStr">
        <is>
          <t>Custo Fixo</t>
        </is>
      </c>
      <c r="C5077" s="106" t="inlineStr">
        <is>
          <t>Sistema de assinatura eletronica (autentique) (TIC)</t>
        </is>
      </c>
      <c r="D5077" s="107" t="n">
        <v>1</v>
      </c>
      <c r="E5077" s="108" t="n">
        <v>99</v>
      </c>
      <c r="F5077" s="109">
        <f>IFERROR(D5077*E5077,0)</f>
        <v/>
      </c>
      <c r="G5077" s="106">
        <f>INDEX(SETORES!$B:$B,MATCH(A5077,SETORES!$A:$A,0))</f>
        <v/>
      </c>
      <c r="H5077" s="106" t="inlineStr">
        <is>
          <t>Janeiro/2027</t>
        </is>
      </c>
    </row>
    <row r="5078">
      <c r="A5078" s="106" t="inlineStr">
        <is>
          <t>Financeiro</t>
        </is>
      </c>
      <c r="B5078" s="106" t="inlineStr">
        <is>
          <t>Custo Fixo</t>
        </is>
      </c>
      <c r="C5078" s="106" t="inlineStr">
        <is>
          <t>Plataforma do aplicativo Vexpenses (financeiro)</t>
        </is>
      </c>
      <c r="D5078" s="107" t="n"/>
      <c r="E5078" s="108" t="n"/>
      <c r="F5078" s="109">
        <f>IFERROR(D5078*E5078,0)</f>
        <v/>
      </c>
      <c r="G5078" s="106">
        <f>INDEX(SETORES!$B:$B,MATCH(A5078,SETORES!$A:$A,0))</f>
        <v/>
      </c>
      <c r="H5078" s="106" t="inlineStr">
        <is>
          <t>Janeiro/2027</t>
        </is>
      </c>
    </row>
    <row r="5079">
      <c r="A5079" s="106" t="inlineStr">
        <is>
          <t>DP</t>
        </is>
      </c>
      <c r="B5079" s="106" t="inlineStr">
        <is>
          <t>Custo Fixo</t>
        </is>
      </c>
      <c r="C5079" s="106" t="inlineStr">
        <is>
          <t>Licenças de software/sistemas corporativos (DP)</t>
        </is>
      </c>
      <c r="D5079" s="107" t="n">
        <v>1</v>
      </c>
      <c r="E5079" s="108" t="n">
        <v>2559.44</v>
      </c>
      <c r="F5079" s="109">
        <f>IFERROR(D5079*E5079,0)</f>
        <v/>
      </c>
      <c r="G5079" s="106">
        <f>INDEX(SETORES!$B:$B,MATCH(A5079,SETORES!$A:$A,0))</f>
        <v/>
      </c>
      <c r="H5079" s="106" t="inlineStr">
        <is>
          <t>Janeiro/2027</t>
        </is>
      </c>
    </row>
    <row r="5080">
      <c r="A5080" s="106" t="inlineStr">
        <is>
          <t>DP</t>
        </is>
      </c>
      <c r="B5080" s="106" t="inlineStr">
        <is>
          <t>Custo Fixo</t>
        </is>
      </c>
      <c r="C5080" s="106" t="inlineStr">
        <is>
          <t>Sistema de ponto eletrônico (KAIROS) (DP)</t>
        </is>
      </c>
      <c r="D5080" s="107" t="n"/>
      <c r="E5080" s="108" t="n"/>
      <c r="F5080" s="109">
        <f>IFERROR(D5080*E5080,0)</f>
        <v/>
      </c>
      <c r="G5080" s="106">
        <f>INDEX(SETORES!$B:$B,MATCH(A5080,SETORES!$A:$A,0))</f>
        <v/>
      </c>
      <c r="H5080" s="106" t="inlineStr">
        <is>
          <t>Janeiro/2027</t>
        </is>
      </c>
    </row>
    <row r="5081">
      <c r="A5081" s="106" t="inlineStr">
        <is>
          <t>RH</t>
        </is>
      </c>
      <c r="B5081" s="106" t="inlineStr">
        <is>
          <t>Custo Fixo</t>
        </is>
      </c>
      <c r="C5081" s="106" t="inlineStr">
        <is>
          <t>Plataforma de comunicação interna (Useflow) (RH)</t>
        </is>
      </c>
      <c r="D5081" s="107" t="n">
        <v>1</v>
      </c>
      <c r="E5081" s="108" t="n">
        <v>2000</v>
      </c>
      <c r="F5081" s="109">
        <f>IFERROR(D5081*E5081,0)</f>
        <v/>
      </c>
      <c r="G5081" s="106">
        <f>INDEX(SETORES!$B:$B,MATCH(A5081,SETORES!$A:$A,0))</f>
        <v/>
      </c>
      <c r="H5081" s="106" t="inlineStr">
        <is>
          <t>Janeiro/2027</t>
        </is>
      </c>
    </row>
    <row r="5082">
      <c r="A5082" s="106" t="inlineStr">
        <is>
          <t>DP</t>
        </is>
      </c>
      <c r="B5082" s="106" t="inlineStr">
        <is>
          <t>Custo Fixo</t>
        </is>
      </c>
      <c r="C5082" s="106" t="inlineStr">
        <is>
          <t>Software exclusivo B2D (Arquivar) (DP)</t>
        </is>
      </c>
      <c r="D5082" s="107" t="n"/>
      <c r="E5082" s="108" t="n"/>
      <c r="F5082" s="109">
        <f>IFERROR(D5082*E5082,0)</f>
        <v/>
      </c>
      <c r="G5082" s="106">
        <f>INDEX(SETORES!$B:$B,MATCH(A5082,SETORES!$A:$A,0))</f>
        <v/>
      </c>
      <c r="H5082" s="106" t="inlineStr">
        <is>
          <t>Janeiro/2027</t>
        </is>
      </c>
    </row>
    <row r="5083">
      <c r="A5083" s="106" t="inlineStr">
        <is>
          <t>DP</t>
        </is>
      </c>
      <c r="B5083" s="106" t="inlineStr">
        <is>
          <t>Custo Fixo</t>
        </is>
      </c>
      <c r="C5083" s="106" t="inlineStr">
        <is>
          <t>Software Dominio portal do empregado (DP)</t>
        </is>
      </c>
      <c r="D5083" s="107" t="n"/>
      <c r="E5083" s="108" t="n"/>
      <c r="F5083" s="109">
        <f>IFERROR(D5083*E5083,0)</f>
        <v/>
      </c>
      <c r="G5083" s="106">
        <f>INDEX(SETORES!$B:$B,MATCH(A5083,SETORES!$A:$A,0))</f>
        <v/>
      </c>
      <c r="H5083" s="106" t="inlineStr">
        <is>
          <t>Janeiro/2027</t>
        </is>
      </c>
    </row>
    <row r="5084">
      <c r="A5084" s="106" t="inlineStr">
        <is>
          <t>Contabilidade</t>
        </is>
      </c>
      <c r="B5084" s="106" t="inlineStr">
        <is>
          <t>Custo Fixo</t>
        </is>
      </c>
      <c r="C5084" s="106" t="inlineStr">
        <is>
          <t>Licenças de software/sistemas corporativos (Contabilidade)</t>
        </is>
      </c>
      <c r="D5084" s="107" t="n">
        <v>1</v>
      </c>
      <c r="E5084" s="108" t="n">
        <v>2559.45</v>
      </c>
      <c r="F5084" s="109">
        <f>IFERROR(D5084*E5084,0)</f>
        <v/>
      </c>
      <c r="G5084" s="106">
        <f>INDEX(SETORES!$B:$B,MATCH(A5084,SETORES!$A:$A,0))</f>
        <v/>
      </c>
      <c r="H5084" s="106" t="inlineStr">
        <is>
          <t>Janeiro/2027</t>
        </is>
      </c>
    </row>
    <row r="5085">
      <c r="A5085" s="106" t="inlineStr">
        <is>
          <t>Administrativo</t>
        </is>
      </c>
      <c r="B5085" s="106" t="inlineStr">
        <is>
          <t>Custo Fixo</t>
        </is>
      </c>
      <c r="C5085" s="106" t="inlineStr">
        <is>
          <t>Software Power BI Dynamics (f001796)</t>
        </is>
      </c>
      <c r="D5085" s="107" t="n">
        <v>1</v>
      </c>
      <c r="E5085" s="108" t="n">
        <v>1787.09</v>
      </c>
      <c r="F5085" s="109">
        <f>IFERROR(D5085*E5085,0)</f>
        <v/>
      </c>
      <c r="G5085" s="106">
        <f>INDEX(SETORES!$B:$B,MATCH(A5085,SETORES!$A:$A,0))</f>
        <v/>
      </c>
      <c r="H5085" s="106" t="inlineStr">
        <is>
          <t>Janeiro/2027</t>
        </is>
      </c>
    </row>
    <row r="5086">
      <c r="A5086" s="106" t="inlineStr">
        <is>
          <t>Engenharia</t>
        </is>
      </c>
      <c r="B5086" s="106" t="inlineStr">
        <is>
          <t>Custo Fixo</t>
        </is>
      </c>
      <c r="C5086" s="106" t="inlineStr">
        <is>
          <t>Software de geolocalização (Engenharia)</t>
        </is>
      </c>
      <c r="D5086" s="107" t="n"/>
      <c r="E5086" s="108" t="n"/>
      <c r="F5086" s="109">
        <f>IFERROR(D5086*E5086,0)</f>
        <v/>
      </c>
      <c r="G5086" s="106">
        <f>INDEX(SETORES!$B:$B,MATCH(A5086,SETORES!$A:$A,0))</f>
        <v/>
      </c>
      <c r="H5086" s="106" t="inlineStr">
        <is>
          <t>Janeiro/2027</t>
        </is>
      </c>
    </row>
    <row r="5087">
      <c r="A5087" s="106" t="inlineStr">
        <is>
          <t>Logística</t>
        </is>
      </c>
      <c r="B5087" s="106" t="inlineStr">
        <is>
          <t>Custo Fixo</t>
        </is>
      </c>
      <c r="C5087" s="106" t="inlineStr">
        <is>
          <t>Software Full time (Logística)</t>
        </is>
      </c>
      <c r="D5087" s="107" t="n"/>
      <c r="E5087" s="108" t="n"/>
      <c r="F5087" s="109">
        <f>IFERROR(D5087*E5087,0)</f>
        <v/>
      </c>
      <c r="G5087" s="106">
        <f>INDEX(SETORES!$B:$B,MATCH(A5087,SETORES!$A:$A,0))</f>
        <v/>
      </c>
      <c r="H5087" s="106" t="inlineStr">
        <is>
          <t>Janeiro/2027</t>
        </is>
      </c>
    </row>
    <row r="5088">
      <c r="A5088" s="106" t="inlineStr">
        <is>
          <t>Administrativo</t>
        </is>
      </c>
      <c r="B5088" s="106" t="inlineStr">
        <is>
          <t>Custo Fixo</t>
        </is>
      </c>
      <c r="C5088" s="106" t="inlineStr">
        <is>
          <t>Software de sistema eletronico de alarme (administrativo)</t>
        </is>
      </c>
      <c r="D5088" s="107" t="n"/>
      <c r="E5088" s="108" t="n"/>
      <c r="F5088" s="109">
        <f>IFERROR(D5088*E5088,0)</f>
        <v/>
      </c>
      <c r="G5088" s="106">
        <f>INDEX(SETORES!$B:$B,MATCH(A5088,SETORES!$A:$A,0))</f>
        <v/>
      </c>
      <c r="H5088" s="106" t="inlineStr">
        <is>
          <t>Janeiro/2027</t>
        </is>
      </c>
    </row>
    <row r="5089">
      <c r="A5089" s="106" t="inlineStr">
        <is>
          <t>CAC</t>
        </is>
      </c>
      <c r="B5089" s="106" t="inlineStr">
        <is>
          <t>Custo Fixo</t>
        </is>
      </c>
      <c r="C5089" s="106" t="inlineStr">
        <is>
          <t>Material de escritório (suprimentos de informática)</t>
        </is>
      </c>
      <c r="D5089" s="107" t="n"/>
      <c r="E5089" s="108" t="n"/>
      <c r="F5089" s="109">
        <f>IFERROR(D5089*E5089,0)</f>
        <v/>
      </c>
      <c r="G5089" s="106">
        <f>INDEX(SETORES!$B:$B,MATCH(A5089,SETORES!$A:$A,0))</f>
        <v/>
      </c>
      <c r="H5089" s="106" t="inlineStr">
        <is>
          <t>Janeiro/2027</t>
        </is>
      </c>
    </row>
    <row r="5090">
      <c r="A5090" s="106" t="inlineStr">
        <is>
          <t>CAC</t>
        </is>
      </c>
      <c r="B5090" s="106" t="inlineStr">
        <is>
          <t>Custo Fixo</t>
        </is>
      </c>
      <c r="C5090" s="106" t="inlineStr">
        <is>
          <t>Material de uso coletivo (copa/limpeza)</t>
        </is>
      </c>
      <c r="D5090" s="107" t="n"/>
      <c r="E5090" s="108" t="n"/>
      <c r="F5090" s="109">
        <f>IFERROR(D5090*E5090,0)</f>
        <v/>
      </c>
      <c r="G5090" s="106">
        <f>INDEX(SETORES!$B:$B,MATCH(A5090,SETORES!$A:$A,0))</f>
        <v/>
      </c>
      <c r="H5090" s="106" t="inlineStr">
        <is>
          <t>Janeiro/2027</t>
        </is>
      </c>
    </row>
    <row r="5091">
      <c r="A5091" s="106" t="inlineStr">
        <is>
          <t>CAC</t>
        </is>
      </c>
      <c r="B5091" s="106" t="inlineStr">
        <is>
          <t>Custo Fixo</t>
        </is>
      </c>
      <c r="C5091" s="106" t="inlineStr">
        <is>
          <t>Energia elétrica (rateio)</t>
        </is>
      </c>
      <c r="D5091" s="107" t="n"/>
      <c r="E5091" s="108" t="n"/>
      <c r="F5091" s="109">
        <f>IFERROR(D5091*E5091,0)</f>
        <v/>
      </c>
      <c r="G5091" s="106">
        <f>INDEX(SETORES!$B:$B,MATCH(A5091,SETORES!$A:$A,0))</f>
        <v/>
      </c>
      <c r="H5091" s="106" t="inlineStr">
        <is>
          <t>Janeiro/2027</t>
        </is>
      </c>
    </row>
    <row r="5092">
      <c r="A5092" s="106" t="inlineStr">
        <is>
          <t>CAC</t>
        </is>
      </c>
      <c r="B5092" s="106" t="inlineStr">
        <is>
          <t>Custo Fixo</t>
        </is>
      </c>
      <c r="C5092" s="106" t="inlineStr">
        <is>
          <t>Água e esgoto (rateio)</t>
        </is>
      </c>
      <c r="D5092" s="107" t="n"/>
      <c r="E5092" s="108" t="n"/>
      <c r="F5092" s="109">
        <f>IFERROR(D5092*E5092,0)</f>
        <v/>
      </c>
      <c r="G5092" s="106">
        <f>INDEX(SETORES!$B:$B,MATCH(A5092,SETORES!$A:$A,0))</f>
        <v/>
      </c>
      <c r="H5092" s="106" t="inlineStr">
        <is>
          <t>Janeiro/2027</t>
        </is>
      </c>
    </row>
    <row r="5093">
      <c r="A5093" s="106" t="inlineStr">
        <is>
          <t>CAC</t>
        </is>
      </c>
      <c r="B5093" s="106" t="inlineStr">
        <is>
          <t>Custo Fixo</t>
        </is>
      </c>
      <c r="C5093" s="106" t="inlineStr">
        <is>
          <t>Telefonia móvel corporativa</t>
        </is>
      </c>
      <c r="D5093" s="107" t="n"/>
      <c r="E5093" s="108" t="n"/>
      <c r="F5093" s="109">
        <f>IFERROR(D5093*E5093,0)</f>
        <v/>
      </c>
      <c r="G5093" s="106">
        <f>INDEX(SETORES!$B:$B,MATCH(A5093,SETORES!$A:$A,0))</f>
        <v/>
      </c>
      <c r="H5093" s="106" t="inlineStr">
        <is>
          <t>Janeiro/2027</t>
        </is>
      </c>
    </row>
    <row r="5094">
      <c r="A5094" s="106" t="inlineStr">
        <is>
          <t>CAC</t>
        </is>
      </c>
      <c r="B5094" s="106" t="inlineStr">
        <is>
          <t>Custo Fixo</t>
        </is>
      </c>
      <c r="C5094" s="106" t="inlineStr">
        <is>
          <t>Folha de pagamento (salários)</t>
        </is>
      </c>
      <c r="D5094" s="107" t="n">
        <v>1</v>
      </c>
      <c r="E5094" s="108" t="n">
        <v>21051.01</v>
      </c>
      <c r="F5094" s="109">
        <f>IFERROR(D5094*E5094,0)</f>
        <v/>
      </c>
      <c r="G5094" s="106">
        <f>INDEX(SETORES!$B:$B,MATCH(A5094,SETORES!$A:$A,0))</f>
        <v/>
      </c>
      <c r="H5094" s="106" t="inlineStr">
        <is>
          <t>Janeiro/2027</t>
        </is>
      </c>
    </row>
    <row r="5095">
      <c r="A5095" s="106" t="inlineStr">
        <is>
          <t>CAC</t>
        </is>
      </c>
      <c r="B5095" s="106" t="inlineStr">
        <is>
          <t>Custo Variável</t>
        </is>
      </c>
      <c r="C5095" s="106" t="inlineStr">
        <is>
          <t>Fardamento novo</t>
        </is>
      </c>
      <c r="D5095" s="107" t="n"/>
      <c r="E5095" s="108" t="n"/>
      <c r="F5095" s="109">
        <f>IFERROR(D5095*E5095,0)</f>
        <v/>
      </c>
      <c r="G5095" s="106">
        <f>INDEX(SETORES!$B:$B,MATCH(A5095,SETORES!$A:$A,0))</f>
        <v/>
      </c>
      <c r="H5095" s="106" t="inlineStr">
        <is>
          <t>Janeiro/2027</t>
        </is>
      </c>
    </row>
    <row r="5096">
      <c r="A5096" s="106" t="inlineStr">
        <is>
          <t>CAC</t>
        </is>
      </c>
      <c r="B5096" s="106" t="inlineStr">
        <is>
          <t>Custo Variável</t>
        </is>
      </c>
      <c r="C5096" s="106" t="inlineStr">
        <is>
          <t>Fardamento substituição</t>
        </is>
      </c>
      <c r="D5096" s="107" t="n"/>
      <c r="E5096" s="108" t="n"/>
      <c r="F5096" s="109">
        <f>IFERROR(D5096*E5096,0)</f>
        <v/>
      </c>
      <c r="G5096" s="106">
        <f>INDEX(SETORES!$B:$B,MATCH(A5096,SETORES!$A:$A,0))</f>
        <v/>
      </c>
      <c r="H5096" s="106" t="inlineStr">
        <is>
          <t>Janeiro/2027</t>
        </is>
      </c>
    </row>
    <row r="5097">
      <c r="A5097" s="106" t="inlineStr">
        <is>
          <t>CAC</t>
        </is>
      </c>
      <c r="B5097" s="106" t="inlineStr">
        <is>
          <t>Custo Variável</t>
        </is>
      </c>
      <c r="C5097" s="106" t="inlineStr">
        <is>
          <t>Exames médicos</t>
        </is>
      </c>
      <c r="D5097" s="107" t="n"/>
      <c r="E5097" s="108" t="n"/>
      <c r="F5097" s="109">
        <f>IFERROR(D5097*E5097,0)</f>
        <v/>
      </c>
      <c r="G5097" s="106">
        <f>INDEX(SETORES!$B:$B,MATCH(A5097,SETORES!$A:$A,0))</f>
        <v/>
      </c>
      <c r="H5097" s="106" t="inlineStr">
        <is>
          <t>Janeiro/2027</t>
        </is>
      </c>
    </row>
    <row r="5098">
      <c r="A5098" s="106" t="inlineStr">
        <is>
          <t>CAC</t>
        </is>
      </c>
      <c r="B5098" s="106" t="inlineStr">
        <is>
          <t>Custo Fixo</t>
        </is>
      </c>
      <c r="C5098" s="106" t="inlineStr">
        <is>
          <t>Licença de e-mail corporativo</t>
        </is>
      </c>
      <c r="D5098" s="107" t="n">
        <v>5</v>
      </c>
      <c r="E5098" s="108" t="n">
        <v>50</v>
      </c>
      <c r="F5098" s="109">
        <f>IFERROR(D5098*E5098,0)</f>
        <v/>
      </c>
      <c r="G5098" s="106">
        <f>INDEX(SETORES!$B:$B,MATCH(A5098,SETORES!$A:$A,0))</f>
        <v/>
      </c>
      <c r="H5098" s="106" t="inlineStr">
        <is>
          <t>Janeiro/2027</t>
        </is>
      </c>
    </row>
    <row r="5099">
      <c r="A5099" s="106" t="inlineStr">
        <is>
          <t>CAC</t>
        </is>
      </c>
      <c r="B5099" s="106" t="inlineStr">
        <is>
          <t>Custo Fixo</t>
        </is>
      </c>
      <c r="C5099" s="106" t="inlineStr">
        <is>
          <t>Gympass</t>
        </is>
      </c>
      <c r="D5099" s="107" t="n"/>
      <c r="E5099" s="108" t="n"/>
      <c r="F5099" s="109">
        <f>IFERROR(D5099*E5099,0)</f>
        <v/>
      </c>
      <c r="G5099" s="106">
        <f>INDEX(SETORES!$B:$B,MATCH(A5099,SETORES!$A:$A,0))</f>
        <v/>
      </c>
      <c r="H5099" s="106" t="inlineStr">
        <is>
          <t>Janeiro/2027</t>
        </is>
      </c>
    </row>
    <row r="5100">
      <c r="A5100" s="106" t="inlineStr">
        <is>
          <t>CAC</t>
        </is>
      </c>
      <c r="B5100" s="106" t="inlineStr">
        <is>
          <t>Custo Fixo</t>
        </is>
      </c>
      <c r="C5100" s="106" t="inlineStr">
        <is>
          <t>Stargrid</t>
        </is>
      </c>
      <c r="D5100" s="107" t="n">
        <v>5</v>
      </c>
      <c r="E5100" s="108" t="n">
        <v>1.87</v>
      </c>
      <c r="F5100" s="109">
        <f>IFERROR(D5100*E5100,0)</f>
        <v/>
      </c>
      <c r="G5100" s="106">
        <f>INDEX(SETORES!$B:$B,MATCH(A5100,SETORES!$A:$A,0))</f>
        <v/>
      </c>
      <c r="H5100" s="106" t="inlineStr">
        <is>
          <t>Janeiro/2027</t>
        </is>
      </c>
    </row>
    <row r="5101">
      <c r="A5101" s="106" t="inlineStr">
        <is>
          <t>Cobrança</t>
        </is>
      </c>
      <c r="B5101" s="106" t="inlineStr">
        <is>
          <t>Custo Fixo</t>
        </is>
      </c>
      <c r="C5101" s="106" t="inlineStr">
        <is>
          <t>Material de escritório (suprimentos de informática)</t>
        </is>
      </c>
      <c r="D5101" s="107" t="n">
        <v>1</v>
      </c>
      <c r="E5101" s="108" t="n">
        <v>3.74</v>
      </c>
      <c r="F5101" s="109">
        <f>IFERROR(D5101*E5101,0)</f>
        <v/>
      </c>
      <c r="G5101" s="106">
        <f>INDEX(SETORES!$B:$B,MATCH(A5101,SETORES!$A:$A,0))</f>
        <v/>
      </c>
      <c r="H5101" s="106" t="inlineStr">
        <is>
          <t>Janeiro/2027</t>
        </is>
      </c>
    </row>
    <row r="5102">
      <c r="A5102" s="106" t="inlineStr">
        <is>
          <t>Cobrança</t>
        </is>
      </c>
      <c r="B5102" s="106" t="inlineStr">
        <is>
          <t>Custo Fixo</t>
        </is>
      </c>
      <c r="C5102" s="106" t="inlineStr">
        <is>
          <t>Material de uso coletivo (copa/limpeza)</t>
        </is>
      </c>
      <c r="D5102" s="107" t="n">
        <v>1</v>
      </c>
      <c r="E5102" s="108" t="n">
        <v>657.21</v>
      </c>
      <c r="F5102" s="109">
        <f>IFERROR(D5102*E5102,0)</f>
        <v/>
      </c>
      <c r="G5102" s="106">
        <f>INDEX(SETORES!$B:$B,MATCH(A5102,SETORES!$A:$A,0))</f>
        <v/>
      </c>
      <c r="H5102" s="106" t="inlineStr">
        <is>
          <t>Janeiro/2027</t>
        </is>
      </c>
    </row>
    <row r="5103">
      <c r="A5103" s="106" t="inlineStr">
        <is>
          <t>Cobrança</t>
        </is>
      </c>
      <c r="B5103" s="106" t="inlineStr">
        <is>
          <t>Custo Fixo</t>
        </is>
      </c>
      <c r="C5103" s="106" t="inlineStr">
        <is>
          <t>Energia elétrica (rateio)</t>
        </is>
      </c>
      <c r="D5103" s="107" t="n"/>
      <c r="E5103" s="108" t="n"/>
      <c r="F5103" s="109">
        <f>IFERROR(D5103*E5103,0)</f>
        <v/>
      </c>
      <c r="G5103" s="106">
        <f>INDEX(SETORES!$B:$B,MATCH(A5103,SETORES!$A:$A,0))</f>
        <v/>
      </c>
      <c r="H5103" s="106" t="inlineStr">
        <is>
          <t>Janeiro/2027</t>
        </is>
      </c>
    </row>
    <row r="5104">
      <c r="A5104" s="106" t="inlineStr">
        <is>
          <t>Cobrança</t>
        </is>
      </c>
      <c r="B5104" s="106" t="inlineStr">
        <is>
          <t>Custo Fixo</t>
        </is>
      </c>
      <c r="C5104" s="106" t="inlineStr">
        <is>
          <t>Água e esgoto (rateio)</t>
        </is>
      </c>
      <c r="D5104" s="107" t="n"/>
      <c r="E5104" s="108" t="n"/>
      <c r="F5104" s="109">
        <f>IFERROR(D5104*E5104,0)</f>
        <v/>
      </c>
      <c r="G5104" s="106">
        <f>INDEX(SETORES!$B:$B,MATCH(A5104,SETORES!$A:$A,0))</f>
        <v/>
      </c>
      <c r="H5104" s="106" t="inlineStr">
        <is>
          <t>Janeiro/2027</t>
        </is>
      </c>
    </row>
    <row r="5105">
      <c r="A5105" s="106" t="inlineStr">
        <is>
          <t>Cobrança</t>
        </is>
      </c>
      <c r="B5105" s="106" t="inlineStr">
        <is>
          <t>Custo Fixo</t>
        </is>
      </c>
      <c r="C5105" s="106" t="inlineStr">
        <is>
          <t>Telefonia móvel corporativa</t>
        </is>
      </c>
      <c r="D5105" s="107" t="n"/>
      <c r="E5105" s="108" t="n"/>
      <c r="F5105" s="109">
        <f>IFERROR(D5105*E5105,0)</f>
        <v/>
      </c>
      <c r="G5105" s="106">
        <f>INDEX(SETORES!$B:$B,MATCH(A5105,SETORES!$A:$A,0))</f>
        <v/>
      </c>
      <c r="H5105" s="106" t="inlineStr">
        <is>
          <t>Janeiro/2027</t>
        </is>
      </c>
    </row>
    <row r="5106">
      <c r="A5106" s="106" t="inlineStr">
        <is>
          <t>Cobrança</t>
        </is>
      </c>
      <c r="B5106" s="106" t="inlineStr">
        <is>
          <t>Custo Fixo</t>
        </is>
      </c>
      <c r="C5106" s="106" t="inlineStr">
        <is>
          <t>Folha de pagamento (salários)</t>
        </is>
      </c>
      <c r="D5106" s="107" t="n">
        <v>1</v>
      </c>
      <c r="E5106" s="108" t="n">
        <v>42492.05</v>
      </c>
      <c r="F5106" s="109">
        <f>IFERROR(D5106*E5106,0)</f>
        <v/>
      </c>
      <c r="G5106" s="106">
        <f>INDEX(SETORES!$B:$B,MATCH(A5106,SETORES!$A:$A,0))</f>
        <v/>
      </c>
      <c r="H5106" s="106" t="inlineStr">
        <is>
          <t>Janeiro/2027</t>
        </is>
      </c>
    </row>
    <row r="5107">
      <c r="A5107" s="106" t="inlineStr">
        <is>
          <t>Cobrança</t>
        </is>
      </c>
      <c r="B5107" s="106" t="inlineStr">
        <is>
          <t>Custo Variável</t>
        </is>
      </c>
      <c r="C5107" s="106" t="inlineStr">
        <is>
          <t>Fardamento novo</t>
        </is>
      </c>
      <c r="D5107" s="107" t="n"/>
      <c r="E5107" s="108" t="n"/>
      <c r="F5107" s="109">
        <f>IFERROR(D5107*E5107,0)</f>
        <v/>
      </c>
      <c r="G5107" s="106">
        <f>INDEX(SETORES!$B:$B,MATCH(A5107,SETORES!$A:$A,0))</f>
        <v/>
      </c>
      <c r="H5107" s="106" t="inlineStr">
        <is>
          <t>Janeiro/2027</t>
        </is>
      </c>
    </row>
    <row r="5108">
      <c r="A5108" s="106" t="inlineStr">
        <is>
          <t>Cobrança</t>
        </is>
      </c>
      <c r="B5108" s="106" t="inlineStr">
        <is>
          <t>Custo Variável</t>
        </is>
      </c>
      <c r="C5108" s="106" t="inlineStr">
        <is>
          <t>Fardamento substituição</t>
        </is>
      </c>
      <c r="D5108" s="107" t="n"/>
      <c r="E5108" s="108" t="n"/>
      <c r="F5108" s="109">
        <f>IFERROR(D5108*E5108,0)</f>
        <v/>
      </c>
      <c r="G5108" s="106">
        <f>INDEX(SETORES!$B:$B,MATCH(A5108,SETORES!$A:$A,0))</f>
        <v/>
      </c>
      <c r="H5108" s="106" t="inlineStr">
        <is>
          <t>Janeiro/2027</t>
        </is>
      </c>
    </row>
    <row r="5109">
      <c r="A5109" s="106" t="inlineStr">
        <is>
          <t>Cobrança</t>
        </is>
      </c>
      <c r="B5109" s="106" t="inlineStr">
        <is>
          <t>Custo Variável</t>
        </is>
      </c>
      <c r="C5109" s="106" t="inlineStr">
        <is>
          <t>Rescisões trabalhistas</t>
        </is>
      </c>
      <c r="D5109" s="107" t="n"/>
      <c r="E5109" s="108" t="n"/>
      <c r="F5109" s="109">
        <f>IFERROR(D5109*E5109,0)</f>
        <v/>
      </c>
      <c r="G5109" s="106">
        <f>INDEX(SETORES!$B:$B,MATCH(A5109,SETORES!$A:$A,0))</f>
        <v/>
      </c>
      <c r="H5109" s="106" t="inlineStr">
        <is>
          <t>Janeiro/2027</t>
        </is>
      </c>
    </row>
    <row r="5110">
      <c r="A5110" s="106" t="inlineStr">
        <is>
          <t>Cobrança</t>
        </is>
      </c>
      <c r="B5110" s="106" t="inlineStr">
        <is>
          <t>Custo Fixo</t>
        </is>
      </c>
      <c r="C5110" s="106" t="inlineStr">
        <is>
          <t>Licença de e-mail corporativo</t>
        </is>
      </c>
      <c r="D5110" s="107" t="n">
        <v>13</v>
      </c>
      <c r="E5110" s="108" t="n">
        <v>50</v>
      </c>
      <c r="F5110" s="109">
        <f>IFERROR(D5110*E5110,0)</f>
        <v/>
      </c>
      <c r="G5110" s="106">
        <f>INDEX(SETORES!$B:$B,MATCH(A5110,SETORES!$A:$A,0))</f>
        <v/>
      </c>
      <c r="H5110" s="106" t="inlineStr">
        <is>
          <t>Janeiro/2027</t>
        </is>
      </c>
    </row>
    <row r="5111">
      <c r="A5111" s="106" t="inlineStr">
        <is>
          <t>Cobrança</t>
        </is>
      </c>
      <c r="B5111" s="106" t="inlineStr">
        <is>
          <t>Custo Fixo</t>
        </is>
      </c>
      <c r="C5111" s="106" t="inlineStr">
        <is>
          <t>Software MATRIX (rateio equipe Relacionamento)</t>
        </is>
      </c>
      <c r="D5111" s="107" t="n"/>
      <c r="E5111" s="108" t="n"/>
      <c r="F5111" s="109">
        <f>IFERROR(D5111*E5111,0)</f>
        <v/>
      </c>
      <c r="G5111" s="106">
        <f>INDEX(SETORES!$B:$B,MATCH(A5111,SETORES!$A:$A,0))</f>
        <v/>
      </c>
      <c r="H5111" s="106" t="inlineStr">
        <is>
          <t>Janeiro/2027</t>
        </is>
      </c>
    </row>
    <row r="5112">
      <c r="A5112" s="106" t="inlineStr">
        <is>
          <t>Cobrança</t>
        </is>
      </c>
      <c r="B5112" s="106" t="inlineStr">
        <is>
          <t>Custo Fixo</t>
        </is>
      </c>
      <c r="C5112" s="106" t="inlineStr">
        <is>
          <t>Impressora (rateio equipe Relacionamento)</t>
        </is>
      </c>
      <c r="D5112" s="107" t="n"/>
      <c r="E5112" s="108" t="n"/>
      <c r="F5112" s="109">
        <f>IFERROR(D5112*E5112,0)</f>
        <v/>
      </c>
      <c r="G5112" s="106">
        <f>INDEX(SETORES!$B:$B,MATCH(A5112,SETORES!$A:$A,0))</f>
        <v/>
      </c>
      <c r="H5112" s="106" t="inlineStr">
        <is>
          <t>Janeiro/2027</t>
        </is>
      </c>
    </row>
    <row r="5113">
      <c r="A5113" s="106" t="inlineStr">
        <is>
          <t>Cobrança</t>
        </is>
      </c>
      <c r="B5113" s="106" t="inlineStr">
        <is>
          <t>Custo Fixo</t>
        </is>
      </c>
      <c r="C5113" s="106" t="inlineStr">
        <is>
          <t>Gympass</t>
        </is>
      </c>
      <c r="D5113" s="107" t="n"/>
      <c r="E5113" s="108" t="n"/>
      <c r="F5113" s="109">
        <f>IFERROR(D5113*E5113,0)</f>
        <v/>
      </c>
      <c r="G5113" s="106">
        <f>INDEX(SETORES!$B:$B,MATCH(A5113,SETORES!$A:$A,0))</f>
        <v/>
      </c>
      <c r="H5113" s="106" t="inlineStr">
        <is>
          <t>Janeiro/2027</t>
        </is>
      </c>
    </row>
    <row r="5114">
      <c r="A5114" s="106" t="inlineStr">
        <is>
          <t>Cobrança</t>
        </is>
      </c>
      <c r="B5114" s="106" t="inlineStr">
        <is>
          <t>Custo Fixo</t>
        </is>
      </c>
      <c r="C5114" s="106" t="inlineStr">
        <is>
          <t>Stargrid</t>
        </is>
      </c>
      <c r="D5114" s="107" t="n">
        <v>13</v>
      </c>
      <c r="E5114" s="108" t="n">
        <v>1.87</v>
      </c>
      <c r="F5114" s="109">
        <f>IFERROR(D5114*E5114,0)</f>
        <v/>
      </c>
      <c r="G5114" s="106">
        <f>INDEX(SETORES!$B:$B,MATCH(A5114,SETORES!$A:$A,0))</f>
        <v/>
      </c>
      <c r="H5114" s="106" t="inlineStr">
        <is>
          <t>Janeiro/2027</t>
        </is>
      </c>
    </row>
    <row r="5115">
      <c r="A5115" s="106" t="inlineStr">
        <is>
          <t>Comercial Corporativo</t>
        </is>
      </c>
      <c r="B5115" s="106" t="inlineStr">
        <is>
          <t>Custo Variável</t>
        </is>
      </c>
      <c r="C5115" s="106" t="inlineStr">
        <is>
          <t>Endomarketing</t>
        </is>
      </c>
      <c r="D5115" s="107" t="n"/>
      <c r="E5115" s="108" t="n"/>
      <c r="F5115" s="109">
        <f>IFERROR(D5115*E5115,0)</f>
        <v/>
      </c>
      <c r="G5115" s="106">
        <f>INDEX(SETORES!$B:$B,MATCH(A5115,SETORES!$A:$A,0))</f>
        <v/>
      </c>
      <c r="H5115" s="106" t="inlineStr">
        <is>
          <t>Janeiro/2027</t>
        </is>
      </c>
    </row>
    <row r="5116">
      <c r="A5116" s="106" t="inlineStr">
        <is>
          <t>Comercial Corporativo</t>
        </is>
      </c>
      <c r="B5116" s="106" t="inlineStr">
        <is>
          <t>Custo Variável</t>
        </is>
      </c>
      <c r="C5116" s="106" t="inlineStr">
        <is>
          <t>Marketing direto</t>
        </is>
      </c>
      <c r="D5116" s="107" t="n"/>
      <c r="E5116" s="108" t="n"/>
      <c r="F5116" s="109">
        <f>IFERROR(D5116*E5116,0)</f>
        <v/>
      </c>
      <c r="G5116" s="106">
        <f>INDEX(SETORES!$B:$B,MATCH(A5116,SETORES!$A:$A,0))</f>
        <v/>
      </c>
      <c r="H5116" s="106" t="inlineStr">
        <is>
          <t>Janeiro/2027</t>
        </is>
      </c>
    </row>
    <row r="5117">
      <c r="A5117" s="106" t="inlineStr">
        <is>
          <t>Comercial Corporativo</t>
        </is>
      </c>
      <c r="B5117" s="106" t="inlineStr">
        <is>
          <t>Custo Fixo</t>
        </is>
      </c>
      <c r="C5117" s="106" t="inlineStr">
        <is>
          <t>E-mail do departamento</t>
        </is>
      </c>
      <c r="D5117" s="107" t="n">
        <v>12</v>
      </c>
      <c r="E5117" s="108" t="n">
        <v>50</v>
      </c>
      <c r="F5117" s="109">
        <f>IFERROR(D5117*E5117,0)</f>
        <v/>
      </c>
      <c r="G5117" s="106">
        <f>INDEX(SETORES!$B:$B,MATCH(A5117,SETORES!$A:$A,0))</f>
        <v/>
      </c>
      <c r="H5117" s="106" t="inlineStr">
        <is>
          <t>Janeiro/2027</t>
        </is>
      </c>
    </row>
    <row r="5118">
      <c r="A5118" s="106" t="inlineStr">
        <is>
          <t>Comercial Corporativo</t>
        </is>
      </c>
      <c r="B5118" s="106" t="inlineStr">
        <is>
          <t>Custo Fixo</t>
        </is>
      </c>
      <c r="C5118" s="106" t="inlineStr">
        <is>
          <t>Folha de pagamento (salários)</t>
        </is>
      </c>
      <c r="D5118" s="107" t="n">
        <v>1</v>
      </c>
      <c r="E5118" s="108" t="n">
        <v>189839.41</v>
      </c>
      <c r="F5118" s="109">
        <f>IFERROR(D5118*E5118,0)</f>
        <v/>
      </c>
      <c r="G5118" s="106">
        <f>INDEX(SETORES!$B:$B,MATCH(A5118,SETORES!$A:$A,0))</f>
        <v/>
      </c>
      <c r="H5118" s="106" t="inlineStr">
        <is>
          <t>Janeiro/2027</t>
        </is>
      </c>
    </row>
    <row r="5119">
      <c r="A5119" s="106" t="inlineStr">
        <is>
          <t>Comercial Corporativo</t>
        </is>
      </c>
      <c r="B5119" s="106" t="inlineStr">
        <is>
          <t>Custo Fixo</t>
        </is>
      </c>
      <c r="C5119" s="106" t="inlineStr">
        <is>
          <t>Linhas moveis (FIQUE MÓVEL)</t>
        </is>
      </c>
      <c r="D5119" s="107" t="n"/>
      <c r="E5119" s="108" t="n"/>
      <c r="F5119" s="109">
        <f>IFERROR(D5119*E5119,0)</f>
        <v/>
      </c>
      <c r="G5119" s="106">
        <f>INDEX(SETORES!$B:$B,MATCH(A5119,SETORES!$A:$A,0))</f>
        <v/>
      </c>
      <c r="H5119" s="106" t="inlineStr">
        <is>
          <t>Janeiro/2027</t>
        </is>
      </c>
    </row>
    <row r="5120">
      <c r="A5120" s="106" t="inlineStr">
        <is>
          <t>Comercial Corporativo</t>
        </is>
      </c>
      <c r="B5120" s="106" t="inlineStr">
        <is>
          <t>Custo Fixo</t>
        </is>
      </c>
      <c r="C5120" s="106" t="inlineStr">
        <is>
          <t>Despesas com RH</t>
        </is>
      </c>
      <c r="D5120" s="107" t="n">
        <v>12</v>
      </c>
      <c r="E5120" s="108" t="n">
        <v>32.55</v>
      </c>
      <c r="F5120" s="109">
        <f>IFERROR(D5120*E5120,0)</f>
        <v/>
      </c>
      <c r="G5120" s="106">
        <f>INDEX(SETORES!$B:$B,MATCH(A5120,SETORES!$A:$A,0))</f>
        <v/>
      </c>
      <c r="H5120" s="106" t="inlineStr">
        <is>
          <t>Janeiro/2027</t>
        </is>
      </c>
    </row>
    <row r="5121">
      <c r="A5121" s="106" t="inlineStr">
        <is>
          <t>Comercial Corporativo</t>
        </is>
      </c>
      <c r="B5121" s="106" t="inlineStr">
        <is>
          <t>Custo Fixo</t>
        </is>
      </c>
      <c r="C5121" s="106" t="inlineStr">
        <is>
          <t>Despesas com DP</t>
        </is>
      </c>
      <c r="D5121" s="107" t="n">
        <v>12</v>
      </c>
      <c r="E5121" s="108" t="n">
        <v>52.09</v>
      </c>
      <c r="F5121" s="109">
        <f>IFERROR(D5121*E5121,0)</f>
        <v/>
      </c>
      <c r="G5121" s="106">
        <f>INDEX(SETORES!$B:$B,MATCH(A5121,SETORES!$A:$A,0))</f>
        <v/>
      </c>
      <c r="H5121" s="106" t="inlineStr">
        <is>
          <t>Janeiro/2027</t>
        </is>
      </c>
    </row>
    <row r="5122">
      <c r="A5122" s="106" t="inlineStr">
        <is>
          <t>Comercial Corporativo</t>
        </is>
      </c>
      <c r="B5122" s="106" t="inlineStr">
        <is>
          <t>Custo Fixo</t>
        </is>
      </c>
      <c r="C5122" s="106" t="inlineStr">
        <is>
          <t>Despesas com SST</t>
        </is>
      </c>
      <c r="D5122" s="107" t="n">
        <v>12</v>
      </c>
      <c r="E5122" s="108" t="n">
        <v>52.35</v>
      </c>
      <c r="F5122" s="109">
        <f>IFERROR(D5122*E5122,0)</f>
        <v/>
      </c>
      <c r="G5122" s="106">
        <f>INDEX(SETORES!$B:$B,MATCH(A5122,SETORES!$A:$A,0))</f>
        <v/>
      </c>
      <c r="H5122" s="106" t="inlineStr">
        <is>
          <t>Janeiro/2027</t>
        </is>
      </c>
    </row>
    <row r="5123">
      <c r="A5123" s="106" t="inlineStr">
        <is>
          <t>Comercial Corporativo</t>
        </is>
      </c>
      <c r="B5123" s="106" t="inlineStr">
        <is>
          <t>Custo Variável</t>
        </is>
      </c>
      <c r="C5123" s="106" t="inlineStr">
        <is>
          <t>Exames médicos</t>
        </is>
      </c>
      <c r="D5123" s="107" t="n"/>
      <c r="E5123" s="108" t="n"/>
      <c r="F5123" s="109">
        <f>IFERROR(D5123*E5123,0)</f>
        <v/>
      </c>
      <c r="G5123" s="106">
        <f>INDEX(SETORES!$B:$B,MATCH(A5123,SETORES!$A:$A,0))</f>
        <v/>
      </c>
      <c r="H5123" s="106" t="inlineStr">
        <is>
          <t>Janeiro/2027</t>
        </is>
      </c>
    </row>
    <row r="5124">
      <c r="A5124" s="106" t="inlineStr">
        <is>
          <t>Comercial Corporativo</t>
        </is>
      </c>
      <c r="B5124" s="106" t="inlineStr">
        <is>
          <t>Custo Variável</t>
        </is>
      </c>
      <c r="C5124" s="106" t="inlineStr">
        <is>
          <t>Novo Fardamento</t>
        </is>
      </c>
      <c r="D5124" s="107" t="n">
        <v>1</v>
      </c>
      <c r="E5124" s="108" t="n">
        <v>90</v>
      </c>
      <c r="F5124" s="109">
        <f>IFERROR(D5124*E5124,0)</f>
        <v/>
      </c>
      <c r="G5124" s="106">
        <f>INDEX(SETORES!$B:$B,MATCH(A5124,SETORES!$A:$A,0))</f>
        <v/>
      </c>
      <c r="H5124" s="106" t="inlineStr">
        <is>
          <t>Janeiro/2027</t>
        </is>
      </c>
    </row>
    <row r="5125">
      <c r="A5125" s="106" t="inlineStr">
        <is>
          <t>Comercial Corporativo</t>
        </is>
      </c>
      <c r="B5125" s="106" t="inlineStr">
        <is>
          <t>Custo Variável</t>
        </is>
      </c>
      <c r="C5125" s="106" t="inlineStr">
        <is>
          <t>Devolução de fardamento</t>
        </is>
      </c>
      <c r="D5125" s="107" t="n"/>
      <c r="E5125" s="108" t="n"/>
      <c r="F5125" s="109">
        <f>IFERROR(D5125*E5125,0)</f>
        <v/>
      </c>
      <c r="G5125" s="106">
        <f>INDEX(SETORES!$B:$B,MATCH(A5125,SETORES!$A:$A,0))</f>
        <v/>
      </c>
      <c r="H5125" s="106" t="inlineStr">
        <is>
          <t>Janeiro/2027</t>
        </is>
      </c>
    </row>
    <row r="5126">
      <c r="A5126" s="106" t="inlineStr">
        <is>
          <t>Comercial Corporativo</t>
        </is>
      </c>
      <c r="B5126" s="106" t="inlineStr">
        <is>
          <t>Custo Variável</t>
        </is>
      </c>
      <c r="C5126" s="106" t="inlineStr">
        <is>
          <t>Substituição extra de Fardamento</t>
        </is>
      </c>
      <c r="D5126" s="107" t="n"/>
      <c r="E5126" s="108" t="n"/>
      <c r="F5126" s="109">
        <f>IFERROR(D5126*E5126,0)</f>
        <v/>
      </c>
      <c r="G5126" s="106">
        <f>INDEX(SETORES!$B:$B,MATCH(A5126,SETORES!$A:$A,0))</f>
        <v/>
      </c>
      <c r="H5126" s="106" t="inlineStr">
        <is>
          <t>Janeiro/2027</t>
        </is>
      </c>
    </row>
    <row r="5127">
      <c r="A5127" s="106" t="inlineStr">
        <is>
          <t>Comercial Corporativo</t>
        </is>
      </c>
      <c r="B5127" s="106" t="inlineStr">
        <is>
          <t>Custo Variável</t>
        </is>
      </c>
      <c r="C5127" s="106" t="inlineStr">
        <is>
          <t>Consumo de combustível</t>
        </is>
      </c>
      <c r="D5127" s="107" t="n">
        <v>1</v>
      </c>
      <c r="E5127" s="108" t="n">
        <v>3995.53</v>
      </c>
      <c r="F5127" s="109">
        <f>IFERROR(D5127*E5127,0)</f>
        <v/>
      </c>
      <c r="G5127" s="106">
        <f>INDEX(SETORES!$B:$B,MATCH(A5127,SETORES!$A:$A,0))</f>
        <v/>
      </c>
      <c r="H5127" s="106" t="inlineStr">
        <is>
          <t>Janeiro/2027</t>
        </is>
      </c>
    </row>
    <row r="5128">
      <c r="A5128" s="106" t="inlineStr">
        <is>
          <t>Comercial Corporativo</t>
        </is>
      </c>
      <c r="B5128" s="106" t="inlineStr">
        <is>
          <t>Custo Fixo</t>
        </is>
      </c>
      <c r="C5128" s="106" t="inlineStr">
        <is>
          <t>Gympass</t>
        </is>
      </c>
      <c r="D5128" s="107" t="n"/>
      <c r="E5128" s="108" t="n"/>
      <c r="F5128" s="109">
        <f>IFERROR(D5128*E5128,0)</f>
        <v/>
      </c>
      <c r="G5128" s="106">
        <f>INDEX(SETORES!$B:$B,MATCH(A5128,SETORES!$A:$A,0))</f>
        <v/>
      </c>
      <c r="H5128" s="106" t="inlineStr">
        <is>
          <t>Janeiro/2027</t>
        </is>
      </c>
    </row>
    <row r="5129">
      <c r="A5129" s="106" t="inlineStr">
        <is>
          <t>Comercial Corporativo</t>
        </is>
      </c>
      <c r="B5129" s="106" t="inlineStr">
        <is>
          <t>Custo Fixo</t>
        </is>
      </c>
      <c r="C5129" s="106" t="inlineStr">
        <is>
          <t>Stargrid</t>
        </is>
      </c>
      <c r="D5129" s="107" t="n">
        <v>12</v>
      </c>
      <c r="E5129" s="108" t="n">
        <v>1.87</v>
      </c>
      <c r="F5129" s="109">
        <f>IFERROR(D5129*E5129,0)</f>
        <v/>
      </c>
      <c r="G5129" s="106">
        <f>INDEX(SETORES!$B:$B,MATCH(A5129,SETORES!$A:$A,0))</f>
        <v/>
      </c>
      <c r="H5129" s="106" t="inlineStr">
        <is>
          <t>Janeiro/2027</t>
        </is>
      </c>
    </row>
    <row r="5130">
      <c r="A5130" s="106" t="inlineStr">
        <is>
          <t>Comercial Corporativo</t>
        </is>
      </c>
      <c r="B5130" s="106" t="inlineStr">
        <is>
          <t>Custo Variável</t>
        </is>
      </c>
      <c r="C5130" s="106" t="inlineStr">
        <is>
          <t>Rescisões/Despesas Trabalhistas extra folha</t>
        </is>
      </c>
      <c r="D5130" s="107" t="n"/>
      <c r="E5130" s="108" t="n"/>
      <c r="F5130" s="109">
        <f>IFERROR(D5130*E5130,0)</f>
        <v/>
      </c>
      <c r="G5130" s="106">
        <f>INDEX(SETORES!$B:$B,MATCH(A5130,SETORES!$A:$A,0))</f>
        <v/>
      </c>
      <c r="H5130" s="106" t="inlineStr">
        <is>
          <t>Janeiro/2027</t>
        </is>
      </c>
    </row>
    <row r="5131">
      <c r="A5131" s="106" t="inlineStr">
        <is>
          <t>Comercial Corporativo</t>
        </is>
      </c>
      <c r="B5131" s="106" t="inlineStr">
        <is>
          <t>Custo Fixo</t>
        </is>
      </c>
      <c r="C5131" s="106" t="inlineStr">
        <is>
          <t>Datlo</t>
        </is>
      </c>
      <c r="D5131" s="107" t="n">
        <v>1</v>
      </c>
      <c r="E5131" s="108" t="n">
        <v>2997</v>
      </c>
      <c r="F5131" s="109">
        <f>IFERROR(D5131*E5131,0)</f>
        <v/>
      </c>
      <c r="G5131" s="106">
        <f>INDEX(SETORES!$B:$B,MATCH(A5131,SETORES!$A:$A,0))</f>
        <v/>
      </c>
      <c r="H5131" s="106" t="inlineStr">
        <is>
          <t>Janeiro/2027</t>
        </is>
      </c>
    </row>
    <row r="5132">
      <c r="A5132" s="106" t="inlineStr">
        <is>
          <t>Comercial Corporativo</t>
        </is>
      </c>
      <c r="B5132" s="106" t="inlineStr">
        <is>
          <t>Custo Fixo</t>
        </is>
      </c>
      <c r="C5132" s="106" t="inlineStr">
        <is>
          <t>Agendor (válido por 3 meses)</t>
        </is>
      </c>
      <c r="D5132" s="107" t="n">
        <v>1</v>
      </c>
      <c r="E5132" s="108" t="n">
        <v>545.99</v>
      </c>
      <c r="F5132" s="109">
        <f>IFERROR(D5132*E5132,0)</f>
        <v/>
      </c>
      <c r="G5132" s="106">
        <f>INDEX(SETORES!$B:$B,MATCH(A5132,SETORES!$A:$A,0))</f>
        <v/>
      </c>
      <c r="H5132" s="106" t="inlineStr">
        <is>
          <t>Janeiro/2027</t>
        </is>
      </c>
    </row>
    <row r="5133">
      <c r="A5133" s="106" t="inlineStr">
        <is>
          <t>Comercial Corporativo</t>
        </is>
      </c>
      <c r="B5133" s="106" t="inlineStr">
        <is>
          <t>Custo Fixo</t>
        </is>
      </c>
      <c r="C5133" s="106" t="inlineStr">
        <is>
          <t>Dynamics (f001796)</t>
        </is>
      </c>
      <c r="D5133" s="107" t="n"/>
      <c r="E5133" s="108" t="n"/>
      <c r="F5133" s="109">
        <f>IFERROR(D5133*E5133,0)</f>
        <v/>
      </c>
      <c r="G5133" s="106">
        <f>INDEX(SETORES!$B:$B,MATCH(A5133,SETORES!$A:$A,0))</f>
        <v/>
      </c>
      <c r="H5133" s="106" t="inlineStr">
        <is>
          <t>Janeiro/2027</t>
        </is>
      </c>
    </row>
    <row r="5134">
      <c r="A5134" s="106" t="inlineStr">
        <is>
          <t>Comercial Corporativo</t>
        </is>
      </c>
      <c r="B5134" s="106" t="inlineStr">
        <is>
          <t>Custo Fixo</t>
        </is>
      </c>
      <c r="C5134" s="106" t="inlineStr">
        <is>
          <t>Salesforce</t>
        </is>
      </c>
      <c r="D5134" s="107" t="n">
        <v>1</v>
      </c>
      <c r="E5134" s="108" t="n">
        <v>3042.34</v>
      </c>
      <c r="F5134" s="109">
        <f>IFERROR(D5134*E5134,0)</f>
        <v/>
      </c>
      <c r="G5134" s="106">
        <f>INDEX(SETORES!$B:$B,MATCH(A5134,SETORES!$A:$A,0))</f>
        <v/>
      </c>
      <c r="H5134" s="106" t="inlineStr">
        <is>
          <t>Janeiro/2027</t>
        </is>
      </c>
    </row>
    <row r="5135">
      <c r="A5135" s="106" t="inlineStr">
        <is>
          <t>Compras</t>
        </is>
      </c>
      <c r="B5135" s="106" t="inlineStr">
        <is>
          <t>Custo Fixo</t>
        </is>
      </c>
      <c r="C5135" s="106" t="inlineStr">
        <is>
          <t>Material de escritório (suprimentos de informática)</t>
        </is>
      </c>
      <c r="D5135" s="107" t="n"/>
      <c r="E5135" s="108" t="n"/>
      <c r="F5135" s="109">
        <f>IFERROR(D5135*E5135,0)</f>
        <v/>
      </c>
      <c r="G5135" s="106">
        <f>INDEX(SETORES!$B:$B,MATCH(A5135,SETORES!$A:$A,0))</f>
        <v/>
      </c>
      <c r="H5135" s="106" t="inlineStr">
        <is>
          <t>Janeiro/2027</t>
        </is>
      </c>
    </row>
    <row r="5136">
      <c r="A5136" s="106" t="inlineStr">
        <is>
          <t>Compras</t>
        </is>
      </c>
      <c r="B5136" s="106" t="inlineStr">
        <is>
          <t>Custo Fixo</t>
        </is>
      </c>
      <c r="C5136" s="106" t="inlineStr">
        <is>
          <t>Material de uso coletivo (copa/limpeza)</t>
        </is>
      </c>
      <c r="D5136" s="107" t="n"/>
      <c r="E5136" s="108" t="n"/>
      <c r="F5136" s="109">
        <f>IFERROR(D5136*E5136,0)</f>
        <v/>
      </c>
      <c r="G5136" s="106">
        <f>INDEX(SETORES!$B:$B,MATCH(A5136,SETORES!$A:$A,0))</f>
        <v/>
      </c>
      <c r="H5136" s="106" t="inlineStr">
        <is>
          <t>Janeiro/2027</t>
        </is>
      </c>
    </row>
    <row r="5137">
      <c r="A5137" s="106" t="inlineStr">
        <is>
          <t>Compras</t>
        </is>
      </c>
      <c r="B5137" s="106" t="inlineStr">
        <is>
          <t>Custo Fixo</t>
        </is>
      </c>
      <c r="C5137" s="106" t="inlineStr">
        <is>
          <t>Energia elétrica (rateio)</t>
        </is>
      </c>
      <c r="D5137" s="107" t="n"/>
      <c r="E5137" s="108" t="n"/>
      <c r="F5137" s="109">
        <f>IFERROR(D5137*E5137,0)</f>
        <v/>
      </c>
      <c r="G5137" s="106">
        <f>INDEX(SETORES!$B:$B,MATCH(A5137,SETORES!$A:$A,0))</f>
        <v/>
      </c>
      <c r="H5137" s="106" t="inlineStr">
        <is>
          <t>Janeiro/2027</t>
        </is>
      </c>
    </row>
    <row r="5138">
      <c r="A5138" s="106" t="inlineStr">
        <is>
          <t>Compras</t>
        </is>
      </c>
      <c r="B5138" s="106" t="inlineStr">
        <is>
          <t>Custo Fixo</t>
        </is>
      </c>
      <c r="C5138" s="106" t="inlineStr">
        <is>
          <t>Água e esgoto (rateio)</t>
        </is>
      </c>
      <c r="D5138" s="107" t="n"/>
      <c r="E5138" s="108" t="n"/>
      <c r="F5138" s="109">
        <f>IFERROR(D5138*E5138,0)</f>
        <v/>
      </c>
      <c r="G5138" s="106">
        <f>INDEX(SETORES!$B:$B,MATCH(A5138,SETORES!$A:$A,0))</f>
        <v/>
      </c>
      <c r="H5138" s="106" t="inlineStr">
        <is>
          <t>Janeiro/2027</t>
        </is>
      </c>
    </row>
    <row r="5139">
      <c r="A5139" s="106" t="inlineStr">
        <is>
          <t>Compras</t>
        </is>
      </c>
      <c r="B5139" s="106" t="inlineStr">
        <is>
          <t>Custo Fixo</t>
        </is>
      </c>
      <c r="C5139" s="106" t="inlineStr">
        <is>
          <t>Telefonia móvel corporativa</t>
        </is>
      </c>
      <c r="D5139" s="107" t="n"/>
      <c r="E5139" s="108" t="n"/>
      <c r="F5139" s="109">
        <f>IFERROR(D5139*E5139,0)</f>
        <v/>
      </c>
      <c r="G5139" s="106">
        <f>INDEX(SETORES!$B:$B,MATCH(A5139,SETORES!$A:$A,0))</f>
        <v/>
      </c>
      <c r="H5139" s="106" t="inlineStr">
        <is>
          <t>Janeiro/2027</t>
        </is>
      </c>
    </row>
    <row r="5140">
      <c r="A5140" s="106" t="inlineStr">
        <is>
          <t>Compras</t>
        </is>
      </c>
      <c r="B5140" s="106" t="inlineStr">
        <is>
          <t>Custo Fixo</t>
        </is>
      </c>
      <c r="C5140" s="106" t="inlineStr">
        <is>
          <t>Folha de pagamento (salários)</t>
        </is>
      </c>
      <c r="D5140" s="107" t="n">
        <v>1</v>
      </c>
      <c r="E5140" s="108" t="n">
        <v>24935.86</v>
      </c>
      <c r="F5140" s="109">
        <f>IFERROR(D5140*E5140,0)</f>
        <v/>
      </c>
      <c r="G5140" s="106">
        <f>INDEX(SETORES!$B:$B,MATCH(A5140,SETORES!$A:$A,0))</f>
        <v/>
      </c>
      <c r="H5140" s="106" t="inlineStr">
        <is>
          <t>Janeiro/2027</t>
        </is>
      </c>
    </row>
    <row r="5141">
      <c r="A5141" s="106" t="inlineStr">
        <is>
          <t>Compras</t>
        </is>
      </c>
      <c r="B5141" s="106" t="inlineStr">
        <is>
          <t>Custo Variável</t>
        </is>
      </c>
      <c r="C5141" s="106" t="inlineStr">
        <is>
          <t>Rateio de transporte coletivo</t>
        </is>
      </c>
      <c r="D5141" s="107" t="n"/>
      <c r="E5141" s="108" t="n"/>
      <c r="F5141" s="109">
        <f>IFERROR(D5141*E5141,0)</f>
        <v/>
      </c>
      <c r="G5141" s="106">
        <f>INDEX(SETORES!$B:$B,MATCH(A5141,SETORES!$A:$A,0))</f>
        <v/>
      </c>
      <c r="H5141" s="106" t="inlineStr">
        <is>
          <t>Janeiro/2027</t>
        </is>
      </c>
    </row>
    <row r="5142">
      <c r="A5142" s="106" t="inlineStr">
        <is>
          <t>Compras</t>
        </is>
      </c>
      <c r="B5142" s="106" t="inlineStr">
        <is>
          <t>Custo Fixo</t>
        </is>
      </c>
      <c r="C5142" s="106" t="inlineStr">
        <is>
          <t>Licença de e-mail corporativo</t>
        </is>
      </c>
      <c r="D5142" s="107" t="n">
        <v>5</v>
      </c>
      <c r="E5142" s="108" t="n">
        <v>50</v>
      </c>
      <c r="F5142" s="109">
        <f>IFERROR(D5142*E5142,0)</f>
        <v/>
      </c>
      <c r="G5142" s="106">
        <f>INDEX(SETORES!$B:$B,MATCH(A5142,SETORES!$A:$A,0))</f>
        <v/>
      </c>
      <c r="H5142" s="106" t="inlineStr">
        <is>
          <t>Janeiro/2027</t>
        </is>
      </c>
    </row>
    <row r="5143">
      <c r="A5143" s="106" t="inlineStr">
        <is>
          <t>Compras</t>
        </is>
      </c>
      <c r="B5143" s="106" t="inlineStr">
        <is>
          <t>Custo Fixo</t>
        </is>
      </c>
      <c r="C5143" s="106" t="inlineStr">
        <is>
          <t>Impressora</t>
        </is>
      </c>
      <c r="D5143" s="107" t="n"/>
      <c r="E5143" s="108" t="n"/>
      <c r="F5143" s="109">
        <f>IFERROR(D5143*E5143,0)</f>
        <v/>
      </c>
      <c r="G5143" s="106">
        <f>INDEX(SETORES!$B:$B,MATCH(A5143,SETORES!$A:$A,0))</f>
        <v/>
      </c>
      <c r="H5143" s="106" t="inlineStr">
        <is>
          <t>Janeiro/2027</t>
        </is>
      </c>
    </row>
    <row r="5144">
      <c r="A5144" s="106" t="inlineStr">
        <is>
          <t>Compras</t>
        </is>
      </c>
      <c r="B5144" s="106" t="inlineStr">
        <is>
          <t>Custo Fixo</t>
        </is>
      </c>
      <c r="C5144" s="106" t="inlineStr">
        <is>
          <t>Gympass</t>
        </is>
      </c>
      <c r="D5144" s="107" t="n"/>
      <c r="E5144" s="108" t="n"/>
      <c r="F5144" s="109">
        <f>IFERROR(D5144*E5144,0)</f>
        <v/>
      </c>
      <c r="G5144" s="106">
        <f>INDEX(SETORES!$B:$B,MATCH(A5144,SETORES!$A:$A,0))</f>
        <v/>
      </c>
      <c r="H5144" s="106" t="inlineStr">
        <is>
          <t>Janeiro/2027</t>
        </is>
      </c>
    </row>
    <row r="5145">
      <c r="A5145" s="106" t="inlineStr">
        <is>
          <t>Compras</t>
        </is>
      </c>
      <c r="B5145" s="106" t="inlineStr">
        <is>
          <t>Custo Fixo</t>
        </is>
      </c>
      <c r="C5145" s="106" t="inlineStr">
        <is>
          <t>Stargrid</t>
        </is>
      </c>
      <c r="D5145" s="107" t="n">
        <v>5</v>
      </c>
      <c r="E5145" s="108" t="n">
        <v>1.87</v>
      </c>
      <c r="F5145" s="109">
        <f>IFERROR(D5145*E5145,0)</f>
        <v/>
      </c>
      <c r="G5145" s="106">
        <f>INDEX(SETORES!$B:$B,MATCH(A5145,SETORES!$A:$A,0))</f>
        <v/>
      </c>
      <c r="H5145" s="106" t="inlineStr">
        <is>
          <t>Janeiro/2027</t>
        </is>
      </c>
    </row>
    <row r="5146">
      <c r="A5146" s="106" t="inlineStr">
        <is>
          <t>Contabilidade</t>
        </is>
      </c>
      <c r="B5146" s="106" t="inlineStr">
        <is>
          <t>Custo Fixo</t>
        </is>
      </c>
      <c r="C5146" s="106" t="inlineStr">
        <is>
          <t>Material de escritório (suprimentos de informática)</t>
        </is>
      </c>
      <c r="D5146" s="107" t="n"/>
      <c r="E5146" s="108" t="n"/>
      <c r="F5146" s="109">
        <f>IFERROR(D5146*E5146,0)</f>
        <v/>
      </c>
      <c r="G5146" s="106">
        <f>INDEX(SETORES!$B:$B,MATCH(A5146,SETORES!$A:$A,0))</f>
        <v/>
      </c>
      <c r="H5146" s="106" t="inlineStr">
        <is>
          <t>Janeiro/2027</t>
        </is>
      </c>
    </row>
    <row r="5147">
      <c r="A5147" s="106" t="inlineStr">
        <is>
          <t>Contabilidade</t>
        </is>
      </c>
      <c r="B5147" s="106" t="inlineStr">
        <is>
          <t>Custo Fixo</t>
        </is>
      </c>
      <c r="C5147" s="106" t="inlineStr">
        <is>
          <t>Material de uso coletivo (copa/limpeza)</t>
        </is>
      </c>
      <c r="D5147" s="107" t="n">
        <v>1</v>
      </c>
      <c r="E5147" s="108" t="n">
        <v>241.44</v>
      </c>
      <c r="F5147" s="109">
        <f>IFERROR(D5147*E5147,0)</f>
        <v/>
      </c>
      <c r="G5147" s="106">
        <f>INDEX(SETORES!$B:$B,MATCH(A5147,SETORES!$A:$A,0))</f>
        <v/>
      </c>
      <c r="H5147" s="106" t="inlineStr">
        <is>
          <t>Janeiro/2027</t>
        </is>
      </c>
    </row>
    <row r="5148">
      <c r="A5148" s="106" t="inlineStr">
        <is>
          <t>Contabilidade</t>
        </is>
      </c>
      <c r="B5148" s="106" t="inlineStr">
        <is>
          <t>Custo Fixo</t>
        </is>
      </c>
      <c r="C5148" s="106" t="inlineStr">
        <is>
          <t>Energia elétrica (rateio)</t>
        </is>
      </c>
      <c r="D5148" s="107" t="n"/>
      <c r="E5148" s="108" t="n"/>
      <c r="F5148" s="109">
        <f>IFERROR(D5148*E5148,0)</f>
        <v/>
      </c>
      <c r="G5148" s="106">
        <f>INDEX(SETORES!$B:$B,MATCH(A5148,SETORES!$A:$A,0))</f>
        <v/>
      </c>
      <c r="H5148" s="106" t="inlineStr">
        <is>
          <t>Janeiro/2027</t>
        </is>
      </c>
    </row>
    <row r="5149">
      <c r="A5149" s="106" t="inlineStr">
        <is>
          <t>Contabilidade</t>
        </is>
      </c>
      <c r="B5149" s="106" t="inlineStr">
        <is>
          <t>Custo Fixo</t>
        </is>
      </c>
      <c r="C5149" s="106" t="inlineStr">
        <is>
          <t>Água e esgoto (rateio)</t>
        </is>
      </c>
      <c r="D5149" s="107" t="n"/>
      <c r="E5149" s="108" t="n"/>
      <c r="F5149" s="109">
        <f>IFERROR(D5149*E5149,0)</f>
        <v/>
      </c>
      <c r="G5149" s="106">
        <f>INDEX(SETORES!$B:$B,MATCH(A5149,SETORES!$A:$A,0))</f>
        <v/>
      </c>
      <c r="H5149" s="106" t="inlineStr">
        <is>
          <t>Janeiro/2027</t>
        </is>
      </c>
    </row>
    <row r="5150">
      <c r="A5150" s="106" t="inlineStr">
        <is>
          <t>Contabilidade</t>
        </is>
      </c>
      <c r="B5150" s="106" t="inlineStr">
        <is>
          <t>Custo Fixo</t>
        </is>
      </c>
      <c r="C5150" s="106" t="inlineStr">
        <is>
          <t>Telefonia móvel corporativa</t>
        </is>
      </c>
      <c r="D5150" s="107" t="n"/>
      <c r="E5150" s="108" t="n"/>
      <c r="F5150" s="109">
        <f>IFERROR(D5150*E5150,0)</f>
        <v/>
      </c>
      <c r="G5150" s="106">
        <f>INDEX(SETORES!$B:$B,MATCH(A5150,SETORES!$A:$A,0))</f>
        <v/>
      </c>
      <c r="H5150" s="106" t="inlineStr">
        <is>
          <t>Janeiro/2027</t>
        </is>
      </c>
    </row>
    <row r="5151">
      <c r="A5151" s="106" t="inlineStr">
        <is>
          <t>Contabilidade</t>
        </is>
      </c>
      <c r="B5151" s="106" t="inlineStr">
        <is>
          <t>Custo Fixo</t>
        </is>
      </c>
      <c r="C5151" s="106" t="inlineStr">
        <is>
          <t>Folha de pagamento (salários)</t>
        </is>
      </c>
      <c r="D5151" s="107" t="n">
        <v>1</v>
      </c>
      <c r="E5151" s="108" t="n">
        <v>36209.58</v>
      </c>
      <c r="F5151" s="109">
        <f>IFERROR(D5151*E5151,0)</f>
        <v/>
      </c>
      <c r="G5151" s="106">
        <f>INDEX(SETORES!$B:$B,MATCH(A5151,SETORES!$A:$A,0))</f>
        <v/>
      </c>
      <c r="H5151" s="106" t="inlineStr">
        <is>
          <t>Janeiro/2027</t>
        </is>
      </c>
    </row>
    <row r="5152">
      <c r="A5152" s="106" t="inlineStr">
        <is>
          <t>Contabilidade</t>
        </is>
      </c>
      <c r="B5152" s="106" t="inlineStr">
        <is>
          <t>Custo Variável</t>
        </is>
      </c>
      <c r="C5152" s="106" t="inlineStr">
        <is>
          <t>Auditoria contábil externa (fiber finance)</t>
        </is>
      </c>
      <c r="D5152" s="107" t="n"/>
      <c r="E5152" s="108" t="n"/>
      <c r="F5152" s="109">
        <f>IFERROR(D5152*E5152,0)</f>
        <v/>
      </c>
      <c r="G5152" s="106">
        <f>INDEX(SETORES!$B:$B,MATCH(A5152,SETORES!$A:$A,0))</f>
        <v/>
      </c>
      <c r="H5152" s="106" t="inlineStr">
        <is>
          <t>Janeiro/2027</t>
        </is>
      </c>
    </row>
    <row r="5153">
      <c r="A5153" s="106" t="inlineStr">
        <is>
          <t>Contabilidade</t>
        </is>
      </c>
      <c r="B5153" s="106" t="inlineStr">
        <is>
          <t>Custo Variável</t>
        </is>
      </c>
      <c r="C5153" s="106" t="inlineStr">
        <is>
          <t>Fardamento novo</t>
        </is>
      </c>
      <c r="D5153" s="107" t="n">
        <v>1</v>
      </c>
      <c r="E5153" s="108" t="n">
        <v>90</v>
      </c>
      <c r="F5153" s="109">
        <f>IFERROR(D5153*E5153,0)</f>
        <v/>
      </c>
      <c r="G5153" s="106">
        <f>INDEX(SETORES!$B:$B,MATCH(A5153,SETORES!$A:$A,0))</f>
        <v/>
      </c>
      <c r="H5153" s="106" t="inlineStr">
        <is>
          <t>Janeiro/2027</t>
        </is>
      </c>
    </row>
    <row r="5154">
      <c r="A5154" s="106" t="inlineStr">
        <is>
          <t>Contabilidade</t>
        </is>
      </c>
      <c r="B5154" s="106" t="inlineStr">
        <is>
          <t>Custo Variável</t>
        </is>
      </c>
      <c r="C5154" s="106" t="inlineStr">
        <is>
          <t>Fardamento substituição</t>
        </is>
      </c>
      <c r="D5154" s="107" t="n"/>
      <c r="E5154" s="108" t="n"/>
      <c r="F5154" s="109">
        <f>IFERROR(D5154*E5154,0)</f>
        <v/>
      </c>
      <c r="G5154" s="106">
        <f>INDEX(SETORES!$B:$B,MATCH(A5154,SETORES!$A:$A,0))</f>
        <v/>
      </c>
      <c r="H5154" s="106" t="inlineStr">
        <is>
          <t>Janeiro/2027</t>
        </is>
      </c>
    </row>
    <row r="5155">
      <c r="A5155" s="106" t="inlineStr">
        <is>
          <t>Contabilidade</t>
        </is>
      </c>
      <c r="B5155" s="106" t="inlineStr">
        <is>
          <t>Custo Variável</t>
        </is>
      </c>
      <c r="C5155" s="106" t="inlineStr">
        <is>
          <t>Rescisões trabalhistas</t>
        </is>
      </c>
      <c r="D5155" s="107" t="n"/>
      <c r="E5155" s="108" t="n"/>
      <c r="F5155" s="109">
        <f>IFERROR(D5155*E5155,0)</f>
        <v/>
      </c>
      <c r="G5155" s="106">
        <f>INDEX(SETORES!$B:$B,MATCH(A5155,SETORES!$A:$A,0))</f>
        <v/>
      </c>
      <c r="H5155" s="106" t="inlineStr">
        <is>
          <t>Janeiro/2027</t>
        </is>
      </c>
    </row>
    <row r="5156">
      <c r="A5156" s="106" t="inlineStr">
        <is>
          <t>Contabilidade</t>
        </is>
      </c>
      <c r="B5156" s="106" t="inlineStr">
        <is>
          <t>Custo Fixo</t>
        </is>
      </c>
      <c r="C5156" s="106" t="inlineStr">
        <is>
          <t>Licença de e-mail corporativo</t>
        </is>
      </c>
      <c r="D5156" s="107" t="n">
        <v>6</v>
      </c>
      <c r="E5156" s="108" t="n">
        <v>50</v>
      </c>
      <c r="F5156" s="109">
        <f>IFERROR(D5156*E5156,0)</f>
        <v/>
      </c>
      <c r="G5156" s="106">
        <f>INDEX(SETORES!$B:$B,MATCH(A5156,SETORES!$A:$A,0))</f>
        <v/>
      </c>
      <c r="H5156" s="106" t="inlineStr">
        <is>
          <t>Janeiro/2027</t>
        </is>
      </c>
    </row>
    <row r="5157">
      <c r="A5157" s="106" t="inlineStr">
        <is>
          <t>Contabilidade</t>
        </is>
      </c>
      <c r="B5157" s="106" t="inlineStr">
        <is>
          <t>Custo Fixo</t>
        </is>
      </c>
      <c r="C5157" s="106" t="inlineStr">
        <is>
          <t>Gympass</t>
        </is>
      </c>
      <c r="D5157" s="107" t="n"/>
      <c r="E5157" s="108" t="n"/>
      <c r="F5157" s="109">
        <f>IFERROR(D5157*E5157,0)</f>
        <v/>
      </c>
      <c r="G5157" s="106">
        <f>INDEX(SETORES!$B:$B,MATCH(A5157,SETORES!$A:$A,0))</f>
        <v/>
      </c>
      <c r="H5157" s="106" t="inlineStr">
        <is>
          <t>Janeiro/2027</t>
        </is>
      </c>
    </row>
    <row r="5158">
      <c r="A5158" s="106" t="inlineStr">
        <is>
          <t>Contabilidade</t>
        </is>
      </c>
      <c r="B5158" s="106" t="inlineStr">
        <is>
          <t>Custo Fixo</t>
        </is>
      </c>
      <c r="C5158" s="106" t="inlineStr">
        <is>
          <t>Stargrid</t>
        </is>
      </c>
      <c r="D5158" s="107" t="n">
        <v>6</v>
      </c>
      <c r="E5158" s="108" t="n">
        <v>1.87</v>
      </c>
      <c r="F5158" s="109">
        <f>IFERROR(D5158*E5158,0)</f>
        <v/>
      </c>
      <c r="G5158" s="106">
        <f>INDEX(SETORES!$B:$B,MATCH(A5158,SETORES!$A:$A,0))</f>
        <v/>
      </c>
      <c r="H5158" s="106" t="inlineStr">
        <is>
          <t>Janeiro/2027</t>
        </is>
      </c>
    </row>
    <row r="5159">
      <c r="A5159" s="106" t="inlineStr">
        <is>
          <t>Contabilidade</t>
        </is>
      </c>
      <c r="B5159" s="106" t="inlineStr">
        <is>
          <t>Custo Variável</t>
        </is>
      </c>
      <c r="C5159" s="106" t="inlineStr">
        <is>
          <t>Consultoria contábil PJ (Wadson Genuíno)</t>
        </is>
      </c>
      <c r="D5159" s="107" t="n"/>
      <c r="E5159" s="108" t="n"/>
      <c r="F5159" s="109">
        <f>IFERROR(D5159*E5159,0)</f>
        <v/>
      </c>
      <c r="G5159" s="106">
        <f>INDEX(SETORES!$B:$B,MATCH(A5159,SETORES!$A:$A,0))</f>
        <v/>
      </c>
      <c r="H5159" s="106" t="inlineStr">
        <is>
          <t>Janeiro/2027</t>
        </is>
      </c>
    </row>
    <row r="5160">
      <c r="A5160" s="106" t="inlineStr">
        <is>
          <t>Controladoria</t>
        </is>
      </c>
      <c r="B5160" s="106" t="inlineStr">
        <is>
          <t>Custo Fixo</t>
        </is>
      </c>
      <c r="C5160" s="106" t="inlineStr">
        <is>
          <t>Material de escritório (suprimentos de informática)</t>
        </is>
      </c>
      <c r="D5160" s="107" t="n"/>
      <c r="E5160" s="108" t="n"/>
      <c r="F5160" s="109">
        <f>IFERROR(D5160*E5160,0)</f>
        <v/>
      </c>
      <c r="G5160" s="106">
        <f>INDEX(SETORES!$B:$B,MATCH(A5160,SETORES!$A:$A,0))</f>
        <v/>
      </c>
      <c r="H5160" s="106" t="inlineStr">
        <is>
          <t>Janeiro/2027</t>
        </is>
      </c>
    </row>
    <row r="5161">
      <c r="A5161" s="106" t="inlineStr">
        <is>
          <t>Controladoria</t>
        </is>
      </c>
      <c r="B5161" s="106" t="inlineStr">
        <is>
          <t>Custo Fixo</t>
        </is>
      </c>
      <c r="C5161" s="106" t="inlineStr">
        <is>
          <t>Material de uso coletivo (copa/limpeza)</t>
        </is>
      </c>
      <c r="D5161" s="107" t="n">
        <v>1</v>
      </c>
      <c r="E5161" s="108" t="n">
        <v>36.22</v>
      </c>
      <c r="F5161" s="109">
        <f>IFERROR(D5161*E5161,0)</f>
        <v/>
      </c>
      <c r="G5161" s="106">
        <f>INDEX(SETORES!$B:$B,MATCH(A5161,SETORES!$A:$A,0))</f>
        <v/>
      </c>
      <c r="H5161" s="106" t="inlineStr">
        <is>
          <t>Janeiro/2027</t>
        </is>
      </c>
    </row>
    <row r="5162">
      <c r="A5162" s="106" t="inlineStr">
        <is>
          <t>Controladoria</t>
        </is>
      </c>
      <c r="B5162" s="106" t="inlineStr">
        <is>
          <t>Custo Fixo</t>
        </is>
      </c>
      <c r="C5162" s="106" t="inlineStr">
        <is>
          <t>Energia elétrica (rateio)</t>
        </is>
      </c>
      <c r="D5162" s="107" t="n"/>
      <c r="E5162" s="108" t="n"/>
      <c r="F5162" s="109">
        <f>IFERROR(D5162*E5162,0)</f>
        <v/>
      </c>
      <c r="G5162" s="106">
        <f>INDEX(SETORES!$B:$B,MATCH(A5162,SETORES!$A:$A,0))</f>
        <v/>
      </c>
      <c r="H5162" s="106" t="inlineStr">
        <is>
          <t>Janeiro/2027</t>
        </is>
      </c>
    </row>
    <row r="5163">
      <c r="A5163" s="106" t="inlineStr">
        <is>
          <t>Controladoria</t>
        </is>
      </c>
      <c r="B5163" s="106" t="inlineStr">
        <is>
          <t>Custo Fixo</t>
        </is>
      </c>
      <c r="C5163" s="106" t="inlineStr">
        <is>
          <t>Água e esgoto (rateio)</t>
        </is>
      </c>
      <c r="D5163" s="107" t="n"/>
      <c r="E5163" s="108" t="n"/>
      <c r="F5163" s="109">
        <f>IFERROR(D5163*E5163,0)</f>
        <v/>
      </c>
      <c r="G5163" s="106">
        <f>INDEX(SETORES!$B:$B,MATCH(A5163,SETORES!$A:$A,0))</f>
        <v/>
      </c>
      <c r="H5163" s="106" t="inlineStr">
        <is>
          <t>Janeiro/2027</t>
        </is>
      </c>
    </row>
    <row r="5164">
      <c r="A5164" s="106" t="inlineStr">
        <is>
          <t>Controladoria</t>
        </is>
      </c>
      <c r="B5164" s="106" t="inlineStr">
        <is>
          <t>Custo Fixo</t>
        </is>
      </c>
      <c r="C5164" s="106" t="inlineStr">
        <is>
          <t>Chip móvel corporativo</t>
        </is>
      </c>
      <c r="D5164" s="107" t="n"/>
      <c r="E5164" s="108" t="n"/>
      <c r="F5164" s="109">
        <f>IFERROR(D5164*E5164,0)</f>
        <v/>
      </c>
      <c r="G5164" s="106">
        <f>INDEX(SETORES!$B:$B,MATCH(A5164,SETORES!$A:$A,0))</f>
        <v/>
      </c>
      <c r="H5164" s="106" t="inlineStr">
        <is>
          <t>Janeiro/2027</t>
        </is>
      </c>
    </row>
    <row r="5165">
      <c r="A5165" s="106" t="inlineStr">
        <is>
          <t>Controladoria</t>
        </is>
      </c>
      <c r="B5165" s="106" t="inlineStr">
        <is>
          <t>Custo Fixo</t>
        </is>
      </c>
      <c r="C5165" s="106" t="inlineStr">
        <is>
          <t>Folha de pagamento (salários)</t>
        </is>
      </c>
      <c r="D5165" s="107" t="n">
        <v>1</v>
      </c>
      <c r="E5165" s="108" t="n">
        <v>18000</v>
      </c>
      <c r="F5165" s="109">
        <f>IFERROR(D5165*E5165,0)</f>
        <v/>
      </c>
      <c r="G5165" s="106">
        <f>INDEX(SETORES!$B:$B,MATCH(A5165,SETORES!$A:$A,0))</f>
        <v/>
      </c>
      <c r="H5165" s="106" t="inlineStr">
        <is>
          <t>Janeiro/2027</t>
        </is>
      </c>
    </row>
    <row r="5166">
      <c r="A5166" s="106" t="inlineStr">
        <is>
          <t>Controladoria</t>
        </is>
      </c>
      <c r="B5166" s="106" t="inlineStr">
        <is>
          <t>Custo Fixo</t>
        </is>
      </c>
      <c r="C5166" s="106" t="inlineStr">
        <is>
          <t>Gympass</t>
        </is>
      </c>
      <c r="D5166" s="107" t="n"/>
      <c r="E5166" s="108" t="n"/>
      <c r="F5166" s="109">
        <f>IFERROR(D5166*E5166,0)</f>
        <v/>
      </c>
      <c r="G5166" s="106">
        <f>INDEX(SETORES!$B:$B,MATCH(A5166,SETORES!$A:$A,0))</f>
        <v/>
      </c>
      <c r="H5166" s="106" t="inlineStr">
        <is>
          <t>Janeiro/2027</t>
        </is>
      </c>
    </row>
    <row r="5167">
      <c r="A5167" s="106" t="inlineStr">
        <is>
          <t>Controladoria</t>
        </is>
      </c>
      <c r="B5167" s="106" t="inlineStr">
        <is>
          <t>Custo Fixo</t>
        </is>
      </c>
      <c r="C5167" s="106" t="inlineStr">
        <is>
          <t>Stargrid</t>
        </is>
      </c>
      <c r="D5167" s="107" t="n">
        <v>1</v>
      </c>
      <c r="E5167" s="108" t="n">
        <v>1.87</v>
      </c>
      <c r="F5167" s="109">
        <f>IFERROR(D5167*E5167,0)</f>
        <v/>
      </c>
      <c r="G5167" s="106">
        <f>INDEX(SETORES!$B:$B,MATCH(A5167,SETORES!$A:$A,0))</f>
        <v/>
      </c>
      <c r="H5167" s="106" t="inlineStr">
        <is>
          <t>Janeiro/2027</t>
        </is>
      </c>
    </row>
    <row r="5168">
      <c r="A5168" s="106" t="inlineStr">
        <is>
          <t>DP</t>
        </is>
      </c>
      <c r="B5168" s="106" t="inlineStr">
        <is>
          <t>Custo Fixo</t>
        </is>
      </c>
      <c r="C5168" s="106" t="inlineStr">
        <is>
          <t>Material de escritório (suprimentos de informática)</t>
        </is>
      </c>
      <c r="D5168" s="107" t="n">
        <v>1</v>
      </c>
      <c r="E5168" s="108" t="n">
        <v>9.24</v>
      </c>
      <c r="F5168" s="109">
        <f>IFERROR(D5168*E5168,0)</f>
        <v/>
      </c>
      <c r="G5168" s="106">
        <f>INDEX(SETORES!$B:$B,MATCH(A5168,SETORES!$A:$A,0))</f>
        <v/>
      </c>
      <c r="H5168" s="106" t="inlineStr">
        <is>
          <t>Janeiro/2027</t>
        </is>
      </c>
    </row>
    <row r="5169">
      <c r="A5169" s="106" t="inlineStr">
        <is>
          <t>DP</t>
        </is>
      </c>
      <c r="B5169" s="106" t="inlineStr">
        <is>
          <t>Custo Fixo</t>
        </is>
      </c>
      <c r="C5169" s="106" t="inlineStr">
        <is>
          <t>Material de uso coletivo (copa/limpeza)</t>
        </is>
      </c>
      <c r="D5169" s="107" t="n">
        <v>1</v>
      </c>
      <c r="E5169" s="108" t="n">
        <v>204.89</v>
      </c>
      <c r="F5169" s="109">
        <f>IFERROR(D5169*E5169,0)</f>
        <v/>
      </c>
      <c r="G5169" s="106">
        <f>INDEX(SETORES!$B:$B,MATCH(A5169,SETORES!$A:$A,0))</f>
        <v/>
      </c>
      <c r="H5169" s="106" t="inlineStr">
        <is>
          <t>Janeiro/2027</t>
        </is>
      </c>
    </row>
    <row r="5170">
      <c r="A5170" s="106" t="inlineStr">
        <is>
          <t>DP</t>
        </is>
      </c>
      <c r="B5170" s="106" t="inlineStr">
        <is>
          <t>Custo Fixo</t>
        </is>
      </c>
      <c r="C5170" s="106" t="inlineStr">
        <is>
          <t>Energia elétrica (rateio)</t>
        </is>
      </c>
      <c r="D5170" s="107" t="n"/>
      <c r="E5170" s="108" t="n"/>
      <c r="F5170" s="109">
        <f>IFERROR(D5170*E5170,0)</f>
        <v/>
      </c>
      <c r="G5170" s="106">
        <f>INDEX(SETORES!$B:$B,MATCH(A5170,SETORES!$A:$A,0))</f>
        <v/>
      </c>
      <c r="H5170" s="106" t="inlineStr">
        <is>
          <t>Janeiro/2027</t>
        </is>
      </c>
    </row>
    <row r="5171">
      <c r="A5171" s="106" t="inlineStr">
        <is>
          <t>DP</t>
        </is>
      </c>
      <c r="B5171" s="106" t="inlineStr">
        <is>
          <t>Custo Fixo</t>
        </is>
      </c>
      <c r="C5171" s="106" t="inlineStr">
        <is>
          <t>Água e esgoto (rateio)</t>
        </is>
      </c>
      <c r="D5171" s="107" t="n"/>
      <c r="E5171" s="108" t="n"/>
      <c r="F5171" s="109">
        <f>IFERROR(D5171*E5171,0)</f>
        <v/>
      </c>
      <c r="G5171" s="106">
        <f>INDEX(SETORES!$B:$B,MATCH(A5171,SETORES!$A:$A,0))</f>
        <v/>
      </c>
      <c r="H5171" s="106" t="inlineStr">
        <is>
          <t>Janeiro/2027</t>
        </is>
      </c>
    </row>
    <row r="5172">
      <c r="A5172" s="106" t="inlineStr">
        <is>
          <t>DP</t>
        </is>
      </c>
      <c r="B5172" s="106" t="inlineStr">
        <is>
          <t>Custo Fixo</t>
        </is>
      </c>
      <c r="C5172" s="106" t="inlineStr">
        <is>
          <t>Telefonia móvel corporativa</t>
        </is>
      </c>
      <c r="D5172" s="107" t="n"/>
      <c r="E5172" s="108" t="n"/>
      <c r="F5172" s="109">
        <f>IFERROR(D5172*E5172,0)</f>
        <v/>
      </c>
      <c r="G5172" s="106">
        <f>INDEX(SETORES!$B:$B,MATCH(A5172,SETORES!$A:$A,0))</f>
        <v/>
      </c>
      <c r="H5172" s="106" t="inlineStr">
        <is>
          <t>Janeiro/2027</t>
        </is>
      </c>
    </row>
    <row r="5173">
      <c r="A5173" s="106" t="inlineStr">
        <is>
          <t>DP</t>
        </is>
      </c>
      <c r="B5173" s="106" t="inlineStr">
        <is>
          <t>Custo Fixo</t>
        </is>
      </c>
      <c r="C5173" s="106" t="inlineStr">
        <is>
          <t>Folha de pagamento (salários)</t>
        </is>
      </c>
      <c r="D5173" s="107" t="n">
        <v>1</v>
      </c>
      <c r="E5173" s="108" t="n">
        <v>48158.28</v>
      </c>
      <c r="F5173" s="109">
        <f>IFERROR(D5173*E5173,0)</f>
        <v/>
      </c>
      <c r="G5173" s="106">
        <f>INDEX(SETORES!$B:$B,MATCH(A5173,SETORES!$A:$A,0))</f>
        <v/>
      </c>
      <c r="H5173" s="106" t="inlineStr">
        <is>
          <t>Janeiro/2027</t>
        </is>
      </c>
    </row>
    <row r="5174">
      <c r="A5174" s="106" t="inlineStr">
        <is>
          <t>Logística</t>
        </is>
      </c>
      <c r="B5174" s="106" t="inlineStr">
        <is>
          <t>Custo Variável</t>
        </is>
      </c>
      <c r="C5174" s="106" t="inlineStr">
        <is>
          <t>Exames médicos</t>
        </is>
      </c>
      <c r="D5174" s="107" t="n"/>
      <c r="E5174" s="108" t="n"/>
      <c r="F5174" s="109">
        <f>IFERROR(D5174*E5174,0)</f>
        <v/>
      </c>
      <c r="G5174" s="106">
        <f>INDEX(SETORES!$B:$B,MATCH(A5174,SETORES!$A:$A,0))</f>
        <v/>
      </c>
      <c r="H5174" s="106" t="inlineStr">
        <is>
          <t>Janeiro/2027</t>
        </is>
      </c>
    </row>
    <row r="5175">
      <c r="A5175" s="106" t="inlineStr">
        <is>
          <t>Oficina</t>
        </is>
      </c>
      <c r="B5175" s="106" t="inlineStr">
        <is>
          <t>Custo Variável</t>
        </is>
      </c>
      <c r="C5175" s="106" t="inlineStr">
        <is>
          <t>Exames médicos</t>
        </is>
      </c>
      <c r="D5175" s="107" t="n"/>
      <c r="E5175" s="108" t="n"/>
      <c r="F5175" s="109">
        <f>IFERROR(D5175*E5175,0)</f>
        <v/>
      </c>
      <c r="G5175" s="106">
        <f>INDEX(SETORES!$B:$B,MATCH(A5175,SETORES!$A:$A,0))</f>
        <v/>
      </c>
      <c r="H5175" s="106" t="inlineStr">
        <is>
          <t>Janeiro/2027</t>
        </is>
      </c>
    </row>
    <row r="5176">
      <c r="A5176" s="106" t="inlineStr">
        <is>
          <t>DP</t>
        </is>
      </c>
      <c r="B5176" s="106" t="inlineStr">
        <is>
          <t>Custo Variável</t>
        </is>
      </c>
      <c r="C5176" s="106" t="inlineStr">
        <is>
          <t>Exames médicos</t>
        </is>
      </c>
      <c r="D5176" s="107" t="n"/>
      <c r="E5176" s="108" t="n"/>
      <c r="F5176" s="109">
        <f>IFERROR(D5176*E5176,0)</f>
        <v/>
      </c>
      <c r="G5176" s="106">
        <f>INDEX(SETORES!$B:$B,MATCH(A5176,SETORES!$A:$A,0))</f>
        <v/>
      </c>
      <c r="H5176" s="106" t="inlineStr">
        <is>
          <t>Janeiro/2027</t>
        </is>
      </c>
    </row>
    <row r="5177">
      <c r="A5177" s="106" t="inlineStr">
        <is>
          <t>DP</t>
        </is>
      </c>
      <c r="B5177" s="106" t="inlineStr">
        <is>
          <t>Custo Variável</t>
        </is>
      </c>
      <c r="C5177" s="106" t="inlineStr">
        <is>
          <t>Homologações e rescisões</t>
        </is>
      </c>
      <c r="D5177" s="107" t="n"/>
      <c r="E5177" s="108" t="n"/>
      <c r="F5177" s="109">
        <f>IFERROR(D5177*E5177,0)</f>
        <v/>
      </c>
      <c r="G5177" s="106">
        <f>INDEX(SETORES!$B:$B,MATCH(A5177,SETORES!$A:$A,0))</f>
        <v/>
      </c>
      <c r="H5177" s="106" t="inlineStr">
        <is>
          <t>Janeiro/2027</t>
        </is>
      </c>
    </row>
    <row r="5178">
      <c r="A5178" s="106" t="inlineStr">
        <is>
          <t>DP</t>
        </is>
      </c>
      <c r="B5178" s="106" t="inlineStr">
        <is>
          <t>Custo Variável</t>
        </is>
      </c>
      <c r="C5178" s="106" t="inlineStr">
        <is>
          <t>Fardamento novo</t>
        </is>
      </c>
      <c r="D5178" s="107" t="n">
        <v>1</v>
      </c>
      <c r="E5178" s="108" t="n">
        <v>180</v>
      </c>
      <c r="F5178" s="109">
        <f>IFERROR(D5178*E5178,0)</f>
        <v/>
      </c>
      <c r="G5178" s="106">
        <f>INDEX(SETORES!$B:$B,MATCH(A5178,SETORES!$A:$A,0))</f>
        <v/>
      </c>
      <c r="H5178" s="106" t="inlineStr">
        <is>
          <t>Janeiro/2027</t>
        </is>
      </c>
    </row>
    <row r="5179">
      <c r="A5179" s="106" t="inlineStr">
        <is>
          <t>DP</t>
        </is>
      </c>
      <c r="B5179" s="106" t="inlineStr">
        <is>
          <t>Custo Variável</t>
        </is>
      </c>
      <c r="C5179" s="106" t="inlineStr">
        <is>
          <t>Fardamento substituição</t>
        </is>
      </c>
      <c r="D5179" s="107" t="n">
        <v>1</v>
      </c>
      <c r="E5179" s="108" t="n">
        <v>272</v>
      </c>
      <c r="F5179" s="109">
        <f>IFERROR(D5179*E5179,0)</f>
        <v/>
      </c>
      <c r="G5179" s="106">
        <f>INDEX(SETORES!$B:$B,MATCH(A5179,SETORES!$A:$A,0))</f>
        <v/>
      </c>
      <c r="H5179" s="106" t="inlineStr">
        <is>
          <t>Janeiro/2027</t>
        </is>
      </c>
    </row>
    <row r="5180">
      <c r="A5180" s="106" t="inlineStr">
        <is>
          <t>DP</t>
        </is>
      </c>
      <c r="B5180" s="106" t="inlineStr">
        <is>
          <t>Custo Fixo</t>
        </is>
      </c>
      <c r="C5180" s="106" t="inlineStr">
        <is>
          <t>Licença de e-mail corporativo</t>
        </is>
      </c>
      <c r="D5180" s="107" t="n">
        <v>9</v>
      </c>
      <c r="E5180" s="108" t="n">
        <v>50</v>
      </c>
      <c r="F5180" s="109">
        <f>IFERROR(D5180*E5180,0)</f>
        <v/>
      </c>
      <c r="G5180" s="106">
        <f>INDEX(SETORES!$B:$B,MATCH(A5180,SETORES!$A:$A,0))</f>
        <v/>
      </c>
      <c r="H5180" s="106" t="inlineStr">
        <is>
          <t>Janeiro/2027</t>
        </is>
      </c>
    </row>
    <row r="5181">
      <c r="A5181" s="106" t="inlineStr">
        <is>
          <t>DP</t>
        </is>
      </c>
      <c r="B5181" s="106" t="inlineStr">
        <is>
          <t>Custo Fixo</t>
        </is>
      </c>
      <c r="C5181" s="106" t="inlineStr">
        <is>
          <t>Impressora</t>
        </is>
      </c>
      <c r="D5181" s="107" t="n"/>
      <c r="E5181" s="108" t="n"/>
      <c r="F5181" s="109">
        <f>IFERROR(D5181*E5181,0)</f>
        <v/>
      </c>
      <c r="G5181" s="106">
        <f>INDEX(SETORES!$B:$B,MATCH(A5181,SETORES!$A:$A,0))</f>
        <v/>
      </c>
      <c r="H5181" s="106" t="inlineStr">
        <is>
          <t>Janeiro/2027</t>
        </is>
      </c>
    </row>
    <row r="5182">
      <c r="A5182" s="106" t="inlineStr">
        <is>
          <t>DP</t>
        </is>
      </c>
      <c r="B5182" s="106" t="inlineStr">
        <is>
          <t>Custo Fixo</t>
        </is>
      </c>
      <c r="C5182" s="106" t="inlineStr">
        <is>
          <t>Gympass</t>
        </is>
      </c>
      <c r="D5182" s="107" t="n"/>
      <c r="E5182" s="108" t="n"/>
      <c r="F5182" s="109">
        <f>IFERROR(D5182*E5182,0)</f>
        <v/>
      </c>
      <c r="G5182" s="106">
        <f>INDEX(SETORES!$B:$B,MATCH(A5182,SETORES!$A:$A,0))</f>
        <v/>
      </c>
      <c r="H5182" s="106" t="inlineStr">
        <is>
          <t>Janeiro/2027</t>
        </is>
      </c>
    </row>
    <row r="5183">
      <c r="A5183" s="106" t="inlineStr">
        <is>
          <t>DP</t>
        </is>
      </c>
      <c r="B5183" s="106" t="inlineStr">
        <is>
          <t>Custo Fixo</t>
        </is>
      </c>
      <c r="C5183" s="106" t="inlineStr">
        <is>
          <t>Stargrid</t>
        </is>
      </c>
      <c r="D5183" s="107" t="n">
        <v>9</v>
      </c>
      <c r="E5183" s="108" t="n">
        <v>1.87</v>
      </c>
      <c r="F5183" s="109">
        <f>IFERROR(D5183*E5183,0)</f>
        <v/>
      </c>
      <c r="G5183" s="106">
        <f>INDEX(SETORES!$B:$B,MATCH(A5183,SETORES!$A:$A,0))</f>
        <v/>
      </c>
      <c r="H5183" s="106" t="inlineStr">
        <is>
          <t>Janeiro/2027</t>
        </is>
      </c>
    </row>
    <row r="5184">
      <c r="A5184" s="106" t="inlineStr">
        <is>
          <t>Diretoria Operacional</t>
        </is>
      </c>
      <c r="B5184" s="106" t="inlineStr">
        <is>
          <t>Custo Fixo</t>
        </is>
      </c>
      <c r="C5184" s="106" t="inlineStr">
        <is>
          <t>Material de escritório (suprimentos de informática)</t>
        </is>
      </c>
      <c r="D5184" s="107" t="n">
        <v>1</v>
      </c>
      <c r="E5184" s="108" t="n">
        <v>9.31</v>
      </c>
      <c r="F5184" s="109">
        <f>IFERROR(D5184*E5184,0)</f>
        <v/>
      </c>
      <c r="G5184" s="106">
        <f>INDEX(SETORES!$B:$B,MATCH(A5184,SETORES!$A:$A,0))</f>
        <v/>
      </c>
      <c r="H5184" s="106" t="inlineStr">
        <is>
          <t>Janeiro/2027</t>
        </is>
      </c>
    </row>
    <row r="5185">
      <c r="A5185" s="106" t="inlineStr">
        <is>
          <t>Diretoria Operacional</t>
        </is>
      </c>
      <c r="B5185" s="106" t="inlineStr">
        <is>
          <t>Custo Fixo</t>
        </is>
      </c>
      <c r="C5185" s="106" t="inlineStr">
        <is>
          <t>Material de uso coletivo (copa/limpeza)</t>
        </is>
      </c>
      <c r="D5185" s="107" t="n">
        <v>1</v>
      </c>
      <c r="E5185" s="108" t="n">
        <v>70.76000000000001</v>
      </c>
      <c r="F5185" s="109">
        <f>IFERROR(D5185*E5185,0)</f>
        <v/>
      </c>
      <c r="G5185" s="106">
        <f>INDEX(SETORES!$B:$B,MATCH(A5185,SETORES!$A:$A,0))</f>
        <v/>
      </c>
      <c r="H5185" s="106" t="inlineStr">
        <is>
          <t>Janeiro/2027</t>
        </is>
      </c>
    </row>
    <row r="5186">
      <c r="A5186" s="106" t="inlineStr">
        <is>
          <t>Diretoria Operacional</t>
        </is>
      </c>
      <c r="B5186" s="106" t="inlineStr">
        <is>
          <t>Custo Fixo</t>
        </is>
      </c>
      <c r="C5186" s="106" t="inlineStr">
        <is>
          <t>Energia elétrica (rateio)</t>
        </is>
      </c>
      <c r="D5186" s="107" t="n"/>
      <c r="E5186" s="108" t="n"/>
      <c r="F5186" s="109">
        <f>IFERROR(D5186*E5186,0)</f>
        <v/>
      </c>
      <c r="G5186" s="106">
        <f>INDEX(SETORES!$B:$B,MATCH(A5186,SETORES!$A:$A,0))</f>
        <v/>
      </c>
      <c r="H5186" s="106" t="inlineStr">
        <is>
          <t>Janeiro/2027</t>
        </is>
      </c>
    </row>
    <row r="5187">
      <c r="A5187" s="106" t="inlineStr">
        <is>
          <t>Diretoria Operacional</t>
        </is>
      </c>
      <c r="B5187" s="106" t="inlineStr">
        <is>
          <t>Custo Fixo</t>
        </is>
      </c>
      <c r="C5187" s="106" t="inlineStr">
        <is>
          <t>Água e esgoto (rateio)</t>
        </is>
      </c>
      <c r="D5187" s="107" t="n"/>
      <c r="E5187" s="108" t="n"/>
      <c r="F5187" s="109">
        <f>IFERROR(D5187*E5187,0)</f>
        <v/>
      </c>
      <c r="G5187" s="106">
        <f>INDEX(SETORES!$B:$B,MATCH(A5187,SETORES!$A:$A,0))</f>
        <v/>
      </c>
      <c r="H5187" s="106" t="inlineStr">
        <is>
          <t>Janeiro/2027</t>
        </is>
      </c>
    </row>
    <row r="5188">
      <c r="A5188" s="106" t="inlineStr">
        <is>
          <t>Diretoria Operacional</t>
        </is>
      </c>
      <c r="B5188" s="106" t="inlineStr">
        <is>
          <t>Custo Fixo</t>
        </is>
      </c>
      <c r="C5188" s="106" t="inlineStr">
        <is>
          <t>Telefonia móvel corporativa</t>
        </is>
      </c>
      <c r="D5188" s="107" t="n"/>
      <c r="E5188" s="108" t="n"/>
      <c r="F5188" s="109">
        <f>IFERROR(D5188*E5188,0)</f>
        <v/>
      </c>
      <c r="G5188" s="106">
        <f>INDEX(SETORES!$B:$B,MATCH(A5188,SETORES!$A:$A,0))</f>
        <v/>
      </c>
      <c r="H5188" s="106" t="inlineStr">
        <is>
          <t>Janeiro/2027</t>
        </is>
      </c>
    </row>
    <row r="5189">
      <c r="A5189" s="106" t="inlineStr">
        <is>
          <t>Diretoria Operacional</t>
        </is>
      </c>
      <c r="B5189" s="106" t="inlineStr">
        <is>
          <t>Custo Fixo</t>
        </is>
      </c>
      <c r="C5189" s="106" t="inlineStr">
        <is>
          <t>Folha de pagamento (salários)</t>
        </is>
      </c>
      <c r="D5189" s="107" t="n">
        <v>1</v>
      </c>
      <c r="E5189" s="108" t="n">
        <v>28328.94</v>
      </c>
      <c r="F5189" s="109">
        <f>IFERROR(D5189*E5189,0)</f>
        <v/>
      </c>
      <c r="G5189" s="106">
        <f>INDEX(SETORES!$B:$B,MATCH(A5189,SETORES!$A:$A,0))</f>
        <v/>
      </c>
      <c r="H5189" s="106" t="inlineStr">
        <is>
          <t>Janeiro/2027</t>
        </is>
      </c>
    </row>
    <row r="5190">
      <c r="A5190" s="106" t="inlineStr">
        <is>
          <t>Diretoria Operacional</t>
        </is>
      </c>
      <c r="B5190" s="106" t="inlineStr">
        <is>
          <t>Custo Variável</t>
        </is>
      </c>
      <c r="C5190" s="106" t="inlineStr">
        <is>
          <t>Viagens e hospedagem corporativas</t>
        </is>
      </c>
      <c r="D5190" s="107" t="n"/>
      <c r="E5190" s="108" t="n"/>
      <c r="F5190" s="109">
        <f>IFERROR(D5190*E5190,0)</f>
        <v/>
      </c>
      <c r="G5190" s="106">
        <f>INDEX(SETORES!$B:$B,MATCH(A5190,SETORES!$A:$A,0))</f>
        <v/>
      </c>
      <c r="H5190" s="106" t="inlineStr">
        <is>
          <t>Janeiro/2027</t>
        </is>
      </c>
    </row>
    <row r="5191">
      <c r="A5191" s="106" t="inlineStr">
        <is>
          <t>Diretoria Operacional</t>
        </is>
      </c>
      <c r="B5191" s="106" t="inlineStr">
        <is>
          <t>Custo Variável</t>
        </is>
      </c>
      <c r="C5191" s="106" t="inlineStr">
        <is>
          <t>Fardamento novo</t>
        </is>
      </c>
      <c r="D5191" s="107" t="n"/>
      <c r="E5191" s="108" t="n"/>
      <c r="F5191" s="109">
        <f>IFERROR(D5191*E5191,0)</f>
        <v/>
      </c>
      <c r="G5191" s="106">
        <f>INDEX(SETORES!$B:$B,MATCH(A5191,SETORES!$A:$A,0))</f>
        <v/>
      </c>
      <c r="H5191" s="106" t="inlineStr">
        <is>
          <t>Janeiro/2027</t>
        </is>
      </c>
    </row>
    <row r="5192">
      <c r="A5192" s="106" t="inlineStr">
        <is>
          <t>Diretoria Operacional</t>
        </is>
      </c>
      <c r="B5192" s="106" t="inlineStr">
        <is>
          <t>Custo Variável</t>
        </is>
      </c>
      <c r="C5192" s="106" t="inlineStr">
        <is>
          <t>Fardamento substituição</t>
        </is>
      </c>
      <c r="D5192" s="107" t="n"/>
      <c r="E5192" s="108" t="n"/>
      <c r="F5192" s="109">
        <f>IFERROR(D5192*E5192,0)</f>
        <v/>
      </c>
      <c r="G5192" s="106">
        <f>INDEX(SETORES!$B:$B,MATCH(A5192,SETORES!$A:$A,0))</f>
        <v/>
      </c>
      <c r="H5192" s="106" t="inlineStr">
        <is>
          <t>Janeiro/2027</t>
        </is>
      </c>
    </row>
    <row r="5193">
      <c r="A5193" s="106" t="inlineStr">
        <is>
          <t>Diretoria Operacional</t>
        </is>
      </c>
      <c r="B5193" s="106" t="inlineStr">
        <is>
          <t>Custo Fixo</t>
        </is>
      </c>
      <c r="C5193" s="106" t="inlineStr">
        <is>
          <t>Licença de e-mail corporativo</t>
        </is>
      </c>
      <c r="D5193" s="107" t="n">
        <v>2</v>
      </c>
      <c r="E5193" s="108" t="n">
        <v>50</v>
      </c>
      <c r="F5193" s="109">
        <f>IFERROR(D5193*E5193,0)</f>
        <v/>
      </c>
      <c r="G5193" s="106">
        <f>INDEX(SETORES!$B:$B,MATCH(A5193,SETORES!$A:$A,0))</f>
        <v/>
      </c>
      <c r="H5193" s="106" t="inlineStr">
        <is>
          <t>Janeiro/2027</t>
        </is>
      </c>
    </row>
    <row r="5194">
      <c r="A5194" s="106" t="inlineStr">
        <is>
          <t>Diretoria Operacional</t>
        </is>
      </c>
      <c r="B5194" s="106" t="inlineStr">
        <is>
          <t>Custo Fixo</t>
        </is>
      </c>
      <c r="C5194" s="106" t="inlineStr">
        <is>
          <t>Gympass</t>
        </is>
      </c>
      <c r="D5194" s="107" t="n"/>
      <c r="E5194" s="108" t="n"/>
      <c r="F5194" s="109">
        <f>IFERROR(D5194*E5194,0)</f>
        <v/>
      </c>
      <c r="G5194" s="106">
        <f>INDEX(SETORES!$B:$B,MATCH(A5194,SETORES!$A:$A,0))</f>
        <v/>
      </c>
      <c r="H5194" s="106" t="inlineStr">
        <is>
          <t>Janeiro/2027</t>
        </is>
      </c>
    </row>
    <row r="5195">
      <c r="A5195" s="106" t="inlineStr">
        <is>
          <t>Diretoria Operacional</t>
        </is>
      </c>
      <c r="B5195" s="106" t="inlineStr">
        <is>
          <t>Custo Fixo</t>
        </is>
      </c>
      <c r="C5195" s="106" t="inlineStr">
        <is>
          <t>Stargrid</t>
        </is>
      </c>
      <c r="D5195" s="107" t="n">
        <v>2</v>
      </c>
      <c r="E5195" s="108" t="n">
        <v>1.87</v>
      </c>
      <c r="F5195" s="109">
        <f>IFERROR(D5195*E5195,0)</f>
        <v/>
      </c>
      <c r="G5195" s="106">
        <f>INDEX(SETORES!$B:$B,MATCH(A5195,SETORES!$A:$A,0))</f>
        <v/>
      </c>
      <c r="H5195" s="106" t="inlineStr">
        <is>
          <t>Janeiro/2027</t>
        </is>
      </c>
    </row>
    <row r="5196">
      <c r="A5196" s="106" t="inlineStr">
        <is>
          <t>Engenharia</t>
        </is>
      </c>
      <c r="B5196" s="106" t="inlineStr">
        <is>
          <t>Custo Fixo</t>
        </is>
      </c>
      <c r="C5196" s="106" t="inlineStr">
        <is>
          <t>Material de escritório (suprimentos de informática)</t>
        </is>
      </c>
      <c r="D5196" s="107" t="n"/>
      <c r="E5196" s="108" t="n"/>
      <c r="F5196" s="109">
        <f>IFERROR(D5196*E5196,0)</f>
        <v/>
      </c>
      <c r="G5196" s="106">
        <f>INDEX(SETORES!$B:$B,MATCH(A5196,SETORES!$A:$A,0))</f>
        <v/>
      </c>
      <c r="H5196" s="106" t="inlineStr">
        <is>
          <t>Janeiro/2027</t>
        </is>
      </c>
    </row>
    <row r="5197">
      <c r="A5197" s="106" t="inlineStr">
        <is>
          <t>Engenharia</t>
        </is>
      </c>
      <c r="B5197" s="106" t="inlineStr">
        <is>
          <t>Custo Fixo</t>
        </is>
      </c>
      <c r="C5197" s="106" t="inlineStr">
        <is>
          <t>Material de uso coletivo (copa/limpeza)</t>
        </is>
      </c>
      <c r="D5197" s="107" t="n"/>
      <c r="E5197" s="108" t="n"/>
      <c r="F5197" s="109">
        <f>IFERROR(D5197*E5197,0)</f>
        <v/>
      </c>
      <c r="G5197" s="106">
        <f>INDEX(SETORES!$B:$B,MATCH(A5197,SETORES!$A:$A,0))</f>
        <v/>
      </c>
      <c r="H5197" s="106" t="inlineStr">
        <is>
          <t>Janeiro/2027</t>
        </is>
      </c>
    </row>
    <row r="5198">
      <c r="A5198" s="106" t="inlineStr">
        <is>
          <t>Engenharia</t>
        </is>
      </c>
      <c r="B5198" s="106" t="inlineStr">
        <is>
          <t>Custo Variável</t>
        </is>
      </c>
      <c r="C5198" s="106" t="inlineStr">
        <is>
          <t>Endomarketing</t>
        </is>
      </c>
      <c r="D5198" s="107" t="n"/>
      <c r="E5198" s="108" t="n"/>
      <c r="F5198" s="109">
        <f>IFERROR(D5198*E5198,0)</f>
        <v/>
      </c>
      <c r="G5198" s="106">
        <f>INDEX(SETORES!$B:$B,MATCH(A5198,SETORES!$A:$A,0))</f>
        <v/>
      </c>
      <c r="H5198" s="106" t="inlineStr">
        <is>
          <t>Janeiro/2027</t>
        </is>
      </c>
    </row>
    <row r="5199">
      <c r="A5199" s="106" t="inlineStr">
        <is>
          <t>Engenharia</t>
        </is>
      </c>
      <c r="B5199" s="106" t="inlineStr">
        <is>
          <t>Custo Fixo</t>
        </is>
      </c>
      <c r="C5199" s="106" t="inlineStr">
        <is>
          <t>Energia elétrica (rateio)</t>
        </is>
      </c>
      <c r="D5199" s="107" t="n"/>
      <c r="E5199" s="108" t="n"/>
      <c r="F5199" s="109">
        <f>IFERROR(D5199*E5199,0)</f>
        <v/>
      </c>
      <c r="G5199" s="106">
        <f>INDEX(SETORES!$B:$B,MATCH(A5199,SETORES!$A:$A,0))</f>
        <v/>
      </c>
      <c r="H5199" s="106" t="inlineStr">
        <is>
          <t>Janeiro/2027</t>
        </is>
      </c>
    </row>
    <row r="5200">
      <c r="A5200" s="106" t="inlineStr">
        <is>
          <t>Engenharia</t>
        </is>
      </c>
      <c r="B5200" s="106" t="inlineStr">
        <is>
          <t>Custo Fixo</t>
        </is>
      </c>
      <c r="C5200" s="106" t="inlineStr">
        <is>
          <t>Água e esgoto (rateio)</t>
        </is>
      </c>
      <c r="D5200" s="107" t="n"/>
      <c r="E5200" s="108" t="n"/>
      <c r="F5200" s="109">
        <f>IFERROR(D5200*E5200,0)</f>
        <v/>
      </c>
      <c r="G5200" s="106">
        <f>INDEX(SETORES!$B:$B,MATCH(A5200,SETORES!$A:$A,0))</f>
        <v/>
      </c>
      <c r="H5200" s="106" t="inlineStr">
        <is>
          <t>Janeiro/2027</t>
        </is>
      </c>
    </row>
    <row r="5201">
      <c r="A5201" s="106" t="inlineStr">
        <is>
          <t>Engenharia</t>
        </is>
      </c>
      <c r="B5201" s="106" t="inlineStr">
        <is>
          <t>Custo Fixo</t>
        </is>
      </c>
      <c r="C5201" s="106" t="inlineStr">
        <is>
          <t>Telefonia móvel corporativa</t>
        </is>
      </c>
      <c r="D5201" s="107" t="n"/>
      <c r="E5201" s="108" t="n"/>
      <c r="F5201" s="109">
        <f>IFERROR(D5201*E5201,0)</f>
        <v/>
      </c>
      <c r="G5201" s="106">
        <f>INDEX(SETORES!$B:$B,MATCH(A5201,SETORES!$A:$A,0))</f>
        <v/>
      </c>
      <c r="H5201" s="106" t="inlineStr">
        <is>
          <t>Janeiro/2027</t>
        </is>
      </c>
    </row>
    <row r="5202">
      <c r="A5202" s="106" t="inlineStr">
        <is>
          <t>Engenharia</t>
        </is>
      </c>
      <c r="B5202" s="106" t="inlineStr">
        <is>
          <t>Custo Fixo</t>
        </is>
      </c>
      <c r="C5202" s="106" t="inlineStr">
        <is>
          <t>Folha de pagamento (salários)</t>
        </is>
      </c>
      <c r="D5202" s="107" t="n">
        <v>1</v>
      </c>
      <c r="E5202" s="108" t="n">
        <v>64244.34</v>
      </c>
      <c r="F5202" s="109">
        <f>IFERROR(D5202*E5202,0)</f>
        <v/>
      </c>
      <c r="G5202" s="106">
        <f>INDEX(SETORES!$B:$B,MATCH(A5202,SETORES!$A:$A,0))</f>
        <v/>
      </c>
      <c r="H5202" s="106" t="inlineStr">
        <is>
          <t>Janeiro/2027</t>
        </is>
      </c>
    </row>
    <row r="5203">
      <c r="A5203" s="106" t="inlineStr">
        <is>
          <t>Engenharia</t>
        </is>
      </c>
      <c r="B5203" s="106" t="inlineStr">
        <is>
          <t>Custo Variável</t>
        </is>
      </c>
      <c r="C5203" s="106" t="inlineStr">
        <is>
          <t>Fardamento novo</t>
        </is>
      </c>
      <c r="D5203" s="107" t="n">
        <v>1</v>
      </c>
      <c r="E5203" s="108" t="n">
        <v>90</v>
      </c>
      <c r="F5203" s="109">
        <f>IFERROR(D5203*E5203,0)</f>
        <v/>
      </c>
      <c r="G5203" s="106">
        <f>INDEX(SETORES!$B:$B,MATCH(A5203,SETORES!$A:$A,0))</f>
        <v/>
      </c>
      <c r="H5203" s="106" t="inlineStr">
        <is>
          <t>Janeiro/2027</t>
        </is>
      </c>
    </row>
    <row r="5204">
      <c r="A5204" s="106" t="inlineStr">
        <is>
          <t>Engenharia</t>
        </is>
      </c>
      <c r="B5204" s="106" t="inlineStr">
        <is>
          <t>Custo Variável</t>
        </is>
      </c>
      <c r="C5204" s="106" t="inlineStr">
        <is>
          <t>Fardamento substituição</t>
        </is>
      </c>
      <c r="D5204" s="107" t="n"/>
      <c r="E5204" s="108" t="n"/>
      <c r="F5204" s="109">
        <f>IFERROR(D5204*E5204,0)</f>
        <v/>
      </c>
      <c r="G5204" s="106">
        <f>INDEX(SETORES!$B:$B,MATCH(A5204,SETORES!$A:$A,0))</f>
        <v/>
      </c>
      <c r="H5204" s="106" t="inlineStr">
        <is>
          <t>Janeiro/2027</t>
        </is>
      </c>
    </row>
    <row r="5205">
      <c r="A5205" s="106" t="inlineStr">
        <is>
          <t>Engenharia</t>
        </is>
      </c>
      <c r="B5205" s="106" t="inlineStr">
        <is>
          <t>Custo Variável</t>
        </is>
      </c>
      <c r="C5205" s="106" t="inlineStr">
        <is>
          <t>Rateio de transporte coletivo</t>
        </is>
      </c>
      <c r="D5205" s="107" t="n"/>
      <c r="E5205" s="108" t="n"/>
      <c r="F5205" s="109">
        <f>IFERROR(D5205*E5205,0)</f>
        <v/>
      </c>
      <c r="G5205" s="106">
        <f>INDEX(SETORES!$B:$B,MATCH(A5205,SETORES!$A:$A,0))</f>
        <v/>
      </c>
      <c r="H5205" s="106" t="inlineStr">
        <is>
          <t>Janeiro/2027</t>
        </is>
      </c>
    </row>
    <row r="5206">
      <c r="A5206" s="106" t="inlineStr">
        <is>
          <t>Engenharia</t>
        </is>
      </c>
      <c r="B5206" s="106" t="inlineStr">
        <is>
          <t>Custo Variável</t>
        </is>
      </c>
      <c r="C5206" s="106" t="inlineStr">
        <is>
          <t>Rescisões trabalhistas</t>
        </is>
      </c>
      <c r="D5206" s="107" t="n"/>
      <c r="E5206" s="108" t="n"/>
      <c r="F5206" s="109">
        <f>IFERROR(D5206*E5206,0)</f>
        <v/>
      </c>
      <c r="G5206" s="106">
        <f>INDEX(SETORES!$B:$B,MATCH(A5206,SETORES!$A:$A,0))</f>
        <v/>
      </c>
      <c r="H5206" s="106" t="inlineStr">
        <is>
          <t>Janeiro/2027</t>
        </is>
      </c>
    </row>
    <row r="5207">
      <c r="A5207" s="106" t="inlineStr">
        <is>
          <t>Engenharia</t>
        </is>
      </c>
      <c r="B5207" s="106" t="inlineStr">
        <is>
          <t>Custo Fixo</t>
        </is>
      </c>
      <c r="C5207" s="106" t="inlineStr">
        <is>
          <t>Licença de e-mail corporativo</t>
        </is>
      </c>
      <c r="D5207" s="107" t="n">
        <v>9</v>
      </c>
      <c r="E5207" s="108" t="n">
        <v>50</v>
      </c>
      <c r="F5207" s="109">
        <f>IFERROR(D5207*E5207,0)</f>
        <v/>
      </c>
      <c r="G5207" s="106">
        <f>INDEX(SETORES!$B:$B,MATCH(A5207,SETORES!$A:$A,0))</f>
        <v/>
      </c>
      <c r="H5207" s="106" t="inlineStr">
        <is>
          <t>Janeiro/2027</t>
        </is>
      </c>
    </row>
    <row r="5208">
      <c r="A5208" s="106" t="inlineStr">
        <is>
          <t>Engenharia</t>
        </is>
      </c>
      <c r="B5208" s="106" t="inlineStr">
        <is>
          <t>Custo Variável</t>
        </is>
      </c>
      <c r="C5208" s="106" t="inlineStr">
        <is>
          <t>Combustível de frota</t>
        </is>
      </c>
      <c r="D5208" s="107" t="n">
        <v>1</v>
      </c>
      <c r="E5208" s="108" t="n">
        <v>4864.24</v>
      </c>
      <c r="F5208" s="109">
        <f>IFERROR(D5208*E5208,0)</f>
        <v/>
      </c>
      <c r="G5208" s="106">
        <f>INDEX(SETORES!$B:$B,MATCH(A5208,SETORES!$A:$A,0))</f>
        <v/>
      </c>
      <c r="H5208" s="106" t="inlineStr">
        <is>
          <t>Janeiro/2027</t>
        </is>
      </c>
    </row>
    <row r="5209">
      <c r="A5209" s="106" t="inlineStr">
        <is>
          <t>Engenharia</t>
        </is>
      </c>
      <c r="B5209" s="106" t="inlineStr">
        <is>
          <t>Custo Fixo</t>
        </is>
      </c>
      <c r="C5209" s="106" t="inlineStr">
        <is>
          <t>Impressora</t>
        </is>
      </c>
      <c r="D5209" s="107" t="n"/>
      <c r="E5209" s="108" t="n"/>
      <c r="F5209" s="109">
        <f>IFERROR(D5209*E5209,0)</f>
        <v/>
      </c>
      <c r="G5209" s="106">
        <f>INDEX(SETORES!$B:$B,MATCH(A5209,SETORES!$A:$A,0))</f>
        <v/>
      </c>
      <c r="H5209" s="106" t="inlineStr">
        <is>
          <t>Janeiro/2027</t>
        </is>
      </c>
    </row>
    <row r="5210">
      <c r="A5210" s="106" t="inlineStr">
        <is>
          <t>Engenharia</t>
        </is>
      </c>
      <c r="B5210" s="106" t="inlineStr">
        <is>
          <t>Custo Fixo</t>
        </is>
      </c>
      <c r="C5210" s="106" t="inlineStr">
        <is>
          <t>Gympass</t>
        </is>
      </c>
      <c r="D5210" s="107" t="n"/>
      <c r="E5210" s="108" t="n"/>
      <c r="F5210" s="109">
        <f>IFERROR(D5210*E5210,0)</f>
        <v/>
      </c>
      <c r="G5210" s="106">
        <f>INDEX(SETORES!$B:$B,MATCH(A5210,SETORES!$A:$A,0))</f>
        <v/>
      </c>
      <c r="H5210" s="106" t="inlineStr">
        <is>
          <t>Janeiro/2027</t>
        </is>
      </c>
    </row>
    <row r="5211">
      <c r="A5211" s="106" t="inlineStr">
        <is>
          <t>Engenharia</t>
        </is>
      </c>
      <c r="B5211" s="106" t="inlineStr">
        <is>
          <t>Custo Fixo</t>
        </is>
      </c>
      <c r="C5211" s="106" t="inlineStr">
        <is>
          <t>Stargrid</t>
        </is>
      </c>
      <c r="D5211" s="107" t="n">
        <v>9</v>
      </c>
      <c r="E5211" s="108" t="n">
        <v>1.87</v>
      </c>
      <c r="F5211" s="109">
        <f>IFERROR(D5211*E5211,0)</f>
        <v/>
      </c>
      <c r="G5211" s="106">
        <f>INDEX(SETORES!$B:$B,MATCH(A5211,SETORES!$A:$A,0))</f>
        <v/>
      </c>
      <c r="H5211" s="106" t="inlineStr">
        <is>
          <t>Janeiro/2027</t>
        </is>
      </c>
    </row>
    <row r="5212">
      <c r="A5212" s="106" t="inlineStr">
        <is>
          <t>Estoque</t>
        </is>
      </c>
      <c r="B5212" s="106" t="inlineStr">
        <is>
          <t>Custo Fixo</t>
        </is>
      </c>
      <c r="C5212" s="106" t="inlineStr">
        <is>
          <t>Material de escritório (suprimentos de informática)</t>
        </is>
      </c>
      <c r="D5212" s="107" t="n"/>
      <c r="E5212" s="108" t="n"/>
      <c r="F5212" s="109">
        <f>IFERROR(D5212*E5212,0)</f>
        <v/>
      </c>
      <c r="G5212" s="106">
        <f>INDEX(SETORES!$B:$B,MATCH(A5212,SETORES!$A:$A,0))</f>
        <v/>
      </c>
      <c r="H5212" s="106" t="inlineStr">
        <is>
          <t>Janeiro/2027</t>
        </is>
      </c>
    </row>
    <row r="5213">
      <c r="A5213" s="106" t="inlineStr">
        <is>
          <t>Estoque</t>
        </is>
      </c>
      <c r="B5213" s="106" t="inlineStr">
        <is>
          <t>Custo Fixo</t>
        </is>
      </c>
      <c r="C5213" s="106" t="inlineStr">
        <is>
          <t>Material de uso coletivo (copa/limpeza)</t>
        </is>
      </c>
      <c r="D5213" s="107" t="n">
        <v>1</v>
      </c>
      <c r="E5213" s="108" t="n">
        <v>828.61</v>
      </c>
      <c r="F5213" s="109">
        <f>IFERROR(D5213*E5213,0)</f>
        <v/>
      </c>
      <c r="G5213" s="106">
        <f>INDEX(SETORES!$B:$B,MATCH(A5213,SETORES!$A:$A,0))</f>
        <v/>
      </c>
      <c r="H5213" s="106" t="inlineStr">
        <is>
          <t>Janeiro/2027</t>
        </is>
      </c>
    </row>
    <row r="5214">
      <c r="A5214" s="106" t="inlineStr">
        <is>
          <t>Estoque</t>
        </is>
      </c>
      <c r="B5214" s="106" t="inlineStr">
        <is>
          <t>Custo Fixo</t>
        </is>
      </c>
      <c r="C5214" s="106" t="inlineStr">
        <is>
          <t>Energia elétrica (rateio)</t>
        </is>
      </c>
      <c r="D5214" s="107" t="n"/>
      <c r="E5214" s="108" t="n"/>
      <c r="F5214" s="109">
        <f>IFERROR(D5214*E5214,0)</f>
        <v/>
      </c>
      <c r="G5214" s="106">
        <f>INDEX(SETORES!$B:$B,MATCH(A5214,SETORES!$A:$A,0))</f>
        <v/>
      </c>
      <c r="H5214" s="106" t="inlineStr">
        <is>
          <t>Janeiro/2027</t>
        </is>
      </c>
    </row>
    <row r="5215">
      <c r="A5215" s="106" t="inlineStr">
        <is>
          <t>Estoque</t>
        </is>
      </c>
      <c r="B5215" s="106" t="inlineStr">
        <is>
          <t>Custo Fixo</t>
        </is>
      </c>
      <c r="C5215" s="106" t="inlineStr">
        <is>
          <t>Água e esgoto (rateio)</t>
        </is>
      </c>
      <c r="D5215" s="107" t="n"/>
      <c r="E5215" s="108" t="n"/>
      <c r="F5215" s="109">
        <f>IFERROR(D5215*E5215,0)</f>
        <v/>
      </c>
      <c r="G5215" s="106">
        <f>INDEX(SETORES!$B:$B,MATCH(A5215,SETORES!$A:$A,0))</f>
        <v/>
      </c>
      <c r="H5215" s="106" t="inlineStr">
        <is>
          <t>Janeiro/2027</t>
        </is>
      </c>
    </row>
    <row r="5216">
      <c r="A5216" s="106" t="inlineStr">
        <is>
          <t>Estoque</t>
        </is>
      </c>
      <c r="B5216" s="106" t="inlineStr">
        <is>
          <t>Custo Fixo</t>
        </is>
      </c>
      <c r="C5216" s="106" t="inlineStr">
        <is>
          <t>Telefonia móvel corporativa</t>
        </is>
      </c>
      <c r="D5216" s="107" t="n"/>
      <c r="E5216" s="108" t="n"/>
      <c r="F5216" s="109">
        <f>IFERROR(D5216*E5216,0)</f>
        <v/>
      </c>
      <c r="G5216" s="106">
        <f>INDEX(SETORES!$B:$B,MATCH(A5216,SETORES!$A:$A,0))</f>
        <v/>
      </c>
      <c r="H5216" s="106" t="inlineStr">
        <is>
          <t>Janeiro/2027</t>
        </is>
      </c>
    </row>
    <row r="5217">
      <c r="A5217" s="106" t="inlineStr">
        <is>
          <t>Estoque</t>
        </is>
      </c>
      <c r="B5217" s="106" t="inlineStr">
        <is>
          <t>Custo Fixo</t>
        </is>
      </c>
      <c r="C5217" s="106" t="inlineStr">
        <is>
          <t>Folha de pagamento (salários)</t>
        </is>
      </c>
      <c r="D5217" s="107" t="n">
        <v>1</v>
      </c>
      <c r="E5217" s="108" t="n">
        <v>96388.89999999999</v>
      </c>
      <c r="F5217" s="109">
        <f>IFERROR(D5217*E5217,0)</f>
        <v/>
      </c>
      <c r="G5217" s="106">
        <f>INDEX(SETORES!$B:$B,MATCH(A5217,SETORES!$A:$A,0))</f>
        <v/>
      </c>
      <c r="H5217" s="106" t="inlineStr">
        <is>
          <t>Janeiro/2027</t>
        </is>
      </c>
    </row>
    <row r="5218">
      <c r="A5218" s="106" t="inlineStr">
        <is>
          <t>Estoque</t>
        </is>
      </c>
      <c r="B5218" s="106" t="inlineStr">
        <is>
          <t>Custo Variável</t>
        </is>
      </c>
      <c r="C5218" s="106" t="inlineStr">
        <is>
          <t>Fardamento novo</t>
        </is>
      </c>
      <c r="D5218" s="107" t="n"/>
      <c r="E5218" s="108" t="n"/>
      <c r="F5218" s="109">
        <f>IFERROR(D5218*E5218,0)</f>
        <v/>
      </c>
      <c r="G5218" s="106">
        <f>INDEX(SETORES!$B:$B,MATCH(A5218,SETORES!$A:$A,0))</f>
        <v/>
      </c>
      <c r="H5218" s="106" t="inlineStr">
        <is>
          <t>Janeiro/2027</t>
        </is>
      </c>
    </row>
    <row r="5219">
      <c r="A5219" s="106" t="inlineStr">
        <is>
          <t>Estoque</t>
        </is>
      </c>
      <c r="B5219" s="106" t="inlineStr">
        <is>
          <t>Custo Variável</t>
        </is>
      </c>
      <c r="C5219" s="106" t="inlineStr">
        <is>
          <t>Fardamento substituição</t>
        </is>
      </c>
      <c r="D5219" s="107" t="n"/>
      <c r="E5219" s="108" t="n"/>
      <c r="F5219" s="109">
        <f>IFERROR(D5219*E5219,0)</f>
        <v/>
      </c>
      <c r="G5219" s="106">
        <f>INDEX(SETORES!$B:$B,MATCH(A5219,SETORES!$A:$A,0))</f>
        <v/>
      </c>
      <c r="H5219" s="106" t="inlineStr">
        <is>
          <t>Janeiro/2027</t>
        </is>
      </c>
    </row>
    <row r="5220">
      <c r="A5220" s="106" t="inlineStr">
        <is>
          <t>Estoque</t>
        </is>
      </c>
      <c r="B5220" s="106" t="inlineStr">
        <is>
          <t>Custo Variável</t>
        </is>
      </c>
      <c r="C5220" s="106" t="inlineStr">
        <is>
          <t>Rateio de transporte coletivo</t>
        </is>
      </c>
      <c r="D5220" s="107" t="n"/>
      <c r="E5220" s="108" t="n"/>
      <c r="F5220" s="109">
        <f>IFERROR(D5220*E5220,0)</f>
        <v/>
      </c>
      <c r="G5220" s="106">
        <f>INDEX(SETORES!$B:$B,MATCH(A5220,SETORES!$A:$A,0))</f>
        <v/>
      </c>
      <c r="H5220" s="106" t="inlineStr">
        <is>
          <t>Janeiro/2027</t>
        </is>
      </c>
    </row>
    <row r="5221">
      <c r="A5221" s="106" t="inlineStr">
        <is>
          <t>Estoque</t>
        </is>
      </c>
      <c r="B5221" s="106" t="inlineStr">
        <is>
          <t>Custo Variável</t>
        </is>
      </c>
      <c r="C5221" s="106" t="inlineStr">
        <is>
          <t>Rescisões trabalhistas</t>
        </is>
      </c>
      <c r="D5221" s="107" t="n"/>
      <c r="E5221" s="108" t="n"/>
      <c r="F5221" s="109">
        <f>IFERROR(D5221*E5221,0)</f>
        <v/>
      </c>
      <c r="G5221" s="106">
        <f>INDEX(SETORES!$B:$B,MATCH(A5221,SETORES!$A:$A,0))</f>
        <v/>
      </c>
      <c r="H5221" s="106" t="inlineStr">
        <is>
          <t>Janeiro/2027</t>
        </is>
      </c>
    </row>
    <row r="5222">
      <c r="A5222" s="106" t="inlineStr">
        <is>
          <t>Estoque</t>
        </is>
      </c>
      <c r="B5222" s="106" t="inlineStr">
        <is>
          <t>Custo Variável</t>
        </is>
      </c>
      <c r="C5222" s="106" t="inlineStr">
        <is>
          <t>Exames médicos</t>
        </is>
      </c>
      <c r="D5222" s="107" t="n"/>
      <c r="E5222" s="108" t="n"/>
      <c r="F5222" s="109">
        <f>IFERROR(D5222*E5222,0)</f>
        <v/>
      </c>
      <c r="G5222" s="106">
        <f>INDEX(SETORES!$B:$B,MATCH(A5222,SETORES!$A:$A,0))</f>
        <v/>
      </c>
      <c r="H5222" s="106" t="inlineStr">
        <is>
          <t>Janeiro/2027</t>
        </is>
      </c>
    </row>
    <row r="5223">
      <c r="A5223" s="106" t="inlineStr">
        <is>
          <t>Estoque</t>
        </is>
      </c>
      <c r="B5223" s="106" t="inlineStr">
        <is>
          <t>Custo Fixo</t>
        </is>
      </c>
      <c r="C5223" s="106" t="inlineStr">
        <is>
          <t>Licença de e-mail corporativo</t>
        </is>
      </c>
      <c r="D5223" s="107" t="n">
        <v>16</v>
      </c>
      <c r="E5223" s="108" t="n">
        <v>50</v>
      </c>
      <c r="F5223" s="109">
        <f>IFERROR(D5223*E5223,0)</f>
        <v/>
      </c>
      <c r="G5223" s="106">
        <f>INDEX(SETORES!$B:$B,MATCH(A5223,SETORES!$A:$A,0))</f>
        <v/>
      </c>
      <c r="H5223" s="106" t="inlineStr">
        <is>
          <t>Janeiro/2027</t>
        </is>
      </c>
    </row>
    <row r="5224">
      <c r="A5224" s="106" t="inlineStr">
        <is>
          <t>Estoque</t>
        </is>
      </c>
      <c r="B5224" s="106" t="inlineStr">
        <is>
          <t>Custo Fixo</t>
        </is>
      </c>
      <c r="C5224" s="106" t="inlineStr">
        <is>
          <t>Impressora</t>
        </is>
      </c>
      <c r="D5224" s="107" t="n"/>
      <c r="E5224" s="108" t="n"/>
      <c r="F5224" s="109">
        <f>IFERROR(D5224*E5224,0)</f>
        <v/>
      </c>
      <c r="G5224" s="106">
        <f>INDEX(SETORES!$B:$B,MATCH(A5224,SETORES!$A:$A,0))</f>
        <v/>
      </c>
      <c r="H5224" s="106" t="inlineStr">
        <is>
          <t>Janeiro/2027</t>
        </is>
      </c>
    </row>
    <row r="5225">
      <c r="A5225" s="106" t="inlineStr">
        <is>
          <t>Estoque</t>
        </is>
      </c>
      <c r="B5225" s="106" t="inlineStr">
        <is>
          <t>Custo Fixo</t>
        </is>
      </c>
      <c r="C5225" s="106" t="inlineStr">
        <is>
          <t>Gympass</t>
        </is>
      </c>
      <c r="D5225" s="107" t="n"/>
      <c r="E5225" s="108" t="n"/>
      <c r="F5225" s="109">
        <f>IFERROR(D5225*E5225,0)</f>
        <v/>
      </c>
      <c r="G5225" s="106">
        <f>INDEX(SETORES!$B:$B,MATCH(A5225,SETORES!$A:$A,0))</f>
        <v/>
      </c>
      <c r="H5225" s="106" t="inlineStr">
        <is>
          <t>Janeiro/2027</t>
        </is>
      </c>
    </row>
    <row r="5226">
      <c r="A5226" s="106" t="inlineStr">
        <is>
          <t>Estoque</t>
        </is>
      </c>
      <c r="B5226" s="106" t="inlineStr">
        <is>
          <t>Custo Fixo</t>
        </is>
      </c>
      <c r="C5226" s="106" t="inlineStr">
        <is>
          <t>Stargrid</t>
        </is>
      </c>
      <c r="D5226" s="107" t="n">
        <v>16</v>
      </c>
      <c r="E5226" s="108" t="n">
        <v>1.87</v>
      </c>
      <c r="F5226" s="109">
        <f>IFERROR(D5226*E5226,0)</f>
        <v/>
      </c>
      <c r="G5226" s="106">
        <f>INDEX(SETORES!$B:$B,MATCH(A5226,SETORES!$A:$A,0))</f>
        <v/>
      </c>
      <c r="H5226" s="106" t="inlineStr">
        <is>
          <t>Janeiro/2027</t>
        </is>
      </c>
    </row>
    <row r="5227">
      <c r="A5227" s="106" t="inlineStr">
        <is>
          <t>Financeiro</t>
        </is>
      </c>
      <c r="B5227" s="106" t="inlineStr">
        <is>
          <t>Custo Fixo</t>
        </is>
      </c>
      <c r="C5227" s="106" t="inlineStr">
        <is>
          <t>Material de escritório (suprimentos de informática)</t>
        </is>
      </c>
      <c r="D5227" s="107" t="n">
        <v>1</v>
      </c>
      <c r="E5227" s="108" t="n">
        <v>4.82</v>
      </c>
      <c r="F5227" s="109">
        <f>IFERROR(D5227*E5227,0)</f>
        <v/>
      </c>
      <c r="G5227" s="106">
        <f>INDEX(SETORES!$B:$B,MATCH(A5227,SETORES!$A:$A,0))</f>
        <v/>
      </c>
      <c r="H5227" s="106" t="inlineStr">
        <is>
          <t>Janeiro/2027</t>
        </is>
      </c>
    </row>
    <row r="5228">
      <c r="A5228" s="106" t="inlineStr">
        <is>
          <t>Financeiro</t>
        </is>
      </c>
      <c r="B5228" s="106" t="inlineStr">
        <is>
          <t>Custo Fixo</t>
        </is>
      </c>
      <c r="C5228" s="106" t="inlineStr">
        <is>
          <t>Material de uso coletivo (copa/limpeza)</t>
        </is>
      </c>
      <c r="D5228" s="107" t="n">
        <v>1</v>
      </c>
      <c r="E5228" s="108" t="n">
        <v>438.85</v>
      </c>
      <c r="F5228" s="109">
        <f>IFERROR(D5228*E5228,0)</f>
        <v/>
      </c>
      <c r="G5228" s="106">
        <f>INDEX(SETORES!$B:$B,MATCH(A5228,SETORES!$A:$A,0))</f>
        <v/>
      </c>
      <c r="H5228" s="106" t="inlineStr">
        <is>
          <t>Janeiro/2027</t>
        </is>
      </c>
    </row>
    <row r="5229">
      <c r="A5229" s="106" t="inlineStr">
        <is>
          <t>Financeiro</t>
        </is>
      </c>
      <c r="B5229" s="106" t="inlineStr">
        <is>
          <t>Custo Fixo</t>
        </is>
      </c>
      <c r="C5229" s="106" t="inlineStr">
        <is>
          <t>Energia elétrica (rateio)</t>
        </is>
      </c>
      <c r="D5229" s="107" t="n"/>
      <c r="E5229" s="108" t="n"/>
      <c r="F5229" s="109">
        <f>IFERROR(D5229*E5229,0)</f>
        <v/>
      </c>
      <c r="G5229" s="106">
        <f>INDEX(SETORES!$B:$B,MATCH(A5229,SETORES!$A:$A,0))</f>
        <v/>
      </c>
      <c r="H5229" s="106" t="inlineStr">
        <is>
          <t>Janeiro/2027</t>
        </is>
      </c>
    </row>
    <row r="5230">
      <c r="A5230" s="106" t="inlineStr">
        <is>
          <t>Financeiro</t>
        </is>
      </c>
      <c r="B5230" s="106" t="inlineStr">
        <is>
          <t>Custo Fixo</t>
        </is>
      </c>
      <c r="C5230" s="106" t="inlineStr">
        <is>
          <t>Água e esgoto (rateio)</t>
        </is>
      </c>
      <c r="D5230" s="107" t="n"/>
      <c r="E5230" s="108" t="n"/>
      <c r="F5230" s="109">
        <f>IFERROR(D5230*E5230,0)</f>
        <v/>
      </c>
      <c r="G5230" s="106">
        <f>INDEX(SETORES!$B:$B,MATCH(A5230,SETORES!$A:$A,0))</f>
        <v/>
      </c>
      <c r="H5230" s="106" t="inlineStr">
        <is>
          <t>Janeiro/2027</t>
        </is>
      </c>
    </row>
    <row r="5231">
      <c r="A5231" s="106" t="inlineStr">
        <is>
          <t>Financeiro</t>
        </is>
      </c>
      <c r="B5231" s="106" t="inlineStr">
        <is>
          <t>Custo Fixo</t>
        </is>
      </c>
      <c r="C5231" s="106" t="inlineStr">
        <is>
          <t>Telefonia móvel corporativa</t>
        </is>
      </c>
      <c r="D5231" s="107" t="n"/>
      <c r="E5231" s="108" t="n"/>
      <c r="F5231" s="109">
        <f>IFERROR(D5231*E5231,0)</f>
        <v/>
      </c>
      <c r="G5231" s="106">
        <f>INDEX(SETORES!$B:$B,MATCH(A5231,SETORES!$A:$A,0))</f>
        <v/>
      </c>
      <c r="H5231" s="106" t="inlineStr">
        <is>
          <t>Janeiro/2027</t>
        </is>
      </c>
    </row>
    <row r="5232">
      <c r="A5232" s="106" t="inlineStr">
        <is>
          <t>Financeiro</t>
        </is>
      </c>
      <c r="B5232" s="106" t="inlineStr">
        <is>
          <t>Custo Fixo</t>
        </is>
      </c>
      <c r="C5232" s="106" t="inlineStr">
        <is>
          <t>Folha de pagamento (salários)</t>
        </is>
      </c>
      <c r="D5232" s="107" t="n">
        <v>1</v>
      </c>
      <c r="E5232" s="108" t="n">
        <v>33181.94</v>
      </c>
      <c r="F5232" s="109">
        <f>IFERROR(D5232*E5232,0)</f>
        <v/>
      </c>
      <c r="G5232" s="106">
        <f>INDEX(SETORES!$B:$B,MATCH(A5232,SETORES!$A:$A,0))</f>
        <v/>
      </c>
      <c r="H5232" s="106" t="inlineStr">
        <is>
          <t>Janeiro/2027</t>
        </is>
      </c>
    </row>
    <row r="5233">
      <c r="A5233" s="106" t="inlineStr">
        <is>
          <t>Financeiro</t>
        </is>
      </c>
      <c r="B5233" s="106" t="inlineStr">
        <is>
          <t>Custo Fixo</t>
        </is>
      </c>
      <c r="C5233" s="106" t="inlineStr">
        <is>
          <t>Licenças de software/sistemas corporativos (Financeiro)</t>
        </is>
      </c>
      <c r="D5233" s="107" t="n"/>
      <c r="E5233" s="108" t="n"/>
      <c r="F5233" s="109">
        <f>IFERROR(D5233*E5233,0)</f>
        <v/>
      </c>
      <c r="G5233" s="106">
        <f>INDEX(SETORES!$B:$B,MATCH(A5233,SETORES!$A:$A,0))</f>
        <v/>
      </c>
      <c r="H5233" s="106" t="inlineStr">
        <is>
          <t>Janeiro/2027</t>
        </is>
      </c>
    </row>
    <row r="5234">
      <c r="A5234" s="106" t="inlineStr">
        <is>
          <t>Financeiro</t>
        </is>
      </c>
      <c r="B5234" s="106" t="inlineStr">
        <is>
          <t>Custo Variável</t>
        </is>
      </c>
      <c r="C5234" s="106" t="inlineStr">
        <is>
          <t>Fardamento novo</t>
        </is>
      </c>
      <c r="D5234" s="107" t="n"/>
      <c r="E5234" s="108" t="n"/>
      <c r="F5234" s="109">
        <f>IFERROR(D5234*E5234,0)</f>
        <v/>
      </c>
      <c r="G5234" s="106">
        <f>INDEX(SETORES!$B:$B,MATCH(A5234,SETORES!$A:$A,0))</f>
        <v/>
      </c>
      <c r="H5234" s="106" t="inlineStr">
        <is>
          <t>Janeiro/2027</t>
        </is>
      </c>
    </row>
    <row r="5235">
      <c r="A5235" s="106" t="inlineStr">
        <is>
          <t>Financeiro</t>
        </is>
      </c>
      <c r="B5235" s="106" t="inlineStr">
        <is>
          <t>Custo Variável</t>
        </is>
      </c>
      <c r="C5235" s="106" t="inlineStr">
        <is>
          <t>Fardamento substituição</t>
        </is>
      </c>
      <c r="D5235" s="107" t="n"/>
      <c r="E5235" s="108" t="n"/>
      <c r="F5235" s="109">
        <f>IFERROR(D5235*E5235,0)</f>
        <v/>
      </c>
      <c r="G5235" s="106">
        <f>INDEX(SETORES!$B:$B,MATCH(A5235,SETORES!$A:$A,0))</f>
        <v/>
      </c>
      <c r="H5235" s="106" t="inlineStr">
        <is>
          <t>Janeiro/2027</t>
        </is>
      </c>
    </row>
    <row r="5236">
      <c r="A5236" s="106" t="inlineStr">
        <is>
          <t>Financeiro</t>
        </is>
      </c>
      <c r="B5236" s="106" t="inlineStr">
        <is>
          <t>Custo Fixo</t>
        </is>
      </c>
      <c r="C5236" s="106" t="inlineStr">
        <is>
          <t>Licença de e-mail corporativo</t>
        </is>
      </c>
      <c r="D5236" s="107" t="n">
        <v>8</v>
      </c>
      <c r="E5236" s="108" t="n">
        <v>50</v>
      </c>
      <c r="F5236" s="109">
        <f>IFERROR(D5236*E5236,0)</f>
        <v/>
      </c>
      <c r="G5236" s="106">
        <f>INDEX(SETORES!$B:$B,MATCH(A5236,SETORES!$A:$A,0))</f>
        <v/>
      </c>
      <c r="H5236" s="106" t="inlineStr">
        <is>
          <t>Janeiro/2027</t>
        </is>
      </c>
    </row>
    <row r="5237">
      <c r="A5237" s="106" t="inlineStr">
        <is>
          <t>Financeiro</t>
        </is>
      </c>
      <c r="B5237" s="106" t="inlineStr">
        <is>
          <t>Custo Fixo</t>
        </is>
      </c>
      <c r="C5237" s="106" t="inlineStr">
        <is>
          <t>Impressora</t>
        </is>
      </c>
      <c r="D5237" s="107" t="n"/>
      <c r="E5237" s="108" t="n"/>
      <c r="F5237" s="109">
        <f>IFERROR(D5237*E5237,0)</f>
        <v/>
      </c>
      <c r="G5237" s="106">
        <f>INDEX(SETORES!$B:$B,MATCH(A5237,SETORES!$A:$A,0))</f>
        <v/>
      </c>
      <c r="H5237" s="106" t="inlineStr">
        <is>
          <t>Janeiro/2027</t>
        </is>
      </c>
    </row>
    <row r="5238">
      <c r="A5238" s="106" t="inlineStr">
        <is>
          <t>Financeiro</t>
        </is>
      </c>
      <c r="B5238" s="106" t="inlineStr">
        <is>
          <t>Custo Fixo</t>
        </is>
      </c>
      <c r="C5238" s="106" t="inlineStr">
        <is>
          <t>Gympass</t>
        </is>
      </c>
      <c r="D5238" s="107" t="n"/>
      <c r="E5238" s="108" t="n"/>
      <c r="F5238" s="109">
        <f>IFERROR(D5238*E5238,0)</f>
        <v/>
      </c>
      <c r="G5238" s="106">
        <f>INDEX(SETORES!$B:$B,MATCH(A5238,SETORES!$A:$A,0))</f>
        <v/>
      </c>
      <c r="H5238" s="106" t="inlineStr">
        <is>
          <t>Janeiro/2027</t>
        </is>
      </c>
    </row>
    <row r="5239">
      <c r="A5239" s="106" t="inlineStr">
        <is>
          <t>Financeiro</t>
        </is>
      </c>
      <c r="B5239" s="106" t="inlineStr">
        <is>
          <t>Custo Fixo</t>
        </is>
      </c>
      <c r="C5239" s="106" t="inlineStr">
        <is>
          <t>Stargrid</t>
        </is>
      </c>
      <c r="D5239" s="107" t="n">
        <v>8</v>
      </c>
      <c r="E5239" s="108" t="n">
        <v>1.87</v>
      </c>
      <c r="F5239" s="109">
        <f>IFERROR(D5239*E5239,0)</f>
        <v/>
      </c>
      <c r="G5239" s="106">
        <f>INDEX(SETORES!$B:$B,MATCH(A5239,SETORES!$A:$A,0))</f>
        <v/>
      </c>
      <c r="H5239" s="106" t="inlineStr">
        <is>
          <t>Janeiro/2027</t>
        </is>
      </c>
    </row>
    <row r="5240">
      <c r="A5240" s="106" t="inlineStr">
        <is>
          <t>Logística</t>
        </is>
      </c>
      <c r="B5240" s="106" t="inlineStr">
        <is>
          <t>Custo Fixo</t>
        </is>
      </c>
      <c r="C5240" s="106" t="inlineStr">
        <is>
          <t>Material de escritório (suprimentos de informática)</t>
        </is>
      </c>
      <c r="D5240" s="107" t="n">
        <v>1</v>
      </c>
      <c r="E5240" s="108" t="n">
        <v>89.59</v>
      </c>
      <c r="F5240" s="109">
        <f>IFERROR(D5240*E5240,0)</f>
        <v/>
      </c>
      <c r="G5240" s="106">
        <f>INDEX(SETORES!$B:$B,MATCH(A5240,SETORES!$A:$A,0))</f>
        <v/>
      </c>
      <c r="H5240" s="106" t="inlineStr">
        <is>
          <t>Janeiro/2027</t>
        </is>
      </c>
    </row>
    <row r="5241">
      <c r="A5241" s="106" t="inlineStr">
        <is>
          <t>Logística</t>
        </is>
      </c>
      <c r="B5241" s="106" t="inlineStr">
        <is>
          <t>Custo Fixo</t>
        </is>
      </c>
      <c r="C5241" s="106" t="inlineStr">
        <is>
          <t>Material de uso coletivo (copa/limpeza)</t>
        </is>
      </c>
      <c r="D5241" s="107" t="n">
        <v>1</v>
      </c>
      <c r="E5241" s="108" t="n">
        <v>830.33</v>
      </c>
      <c r="F5241" s="109">
        <f>IFERROR(D5241*E5241,0)</f>
        <v/>
      </c>
      <c r="G5241" s="106">
        <f>INDEX(SETORES!$B:$B,MATCH(A5241,SETORES!$A:$A,0))</f>
        <v/>
      </c>
      <c r="H5241" s="106" t="inlineStr">
        <is>
          <t>Janeiro/2027</t>
        </is>
      </c>
    </row>
    <row r="5242">
      <c r="A5242" s="106" t="inlineStr">
        <is>
          <t>Logística</t>
        </is>
      </c>
      <c r="B5242" s="106" t="inlineStr">
        <is>
          <t>Custo Fixo</t>
        </is>
      </c>
      <c r="C5242" s="106" t="inlineStr">
        <is>
          <t>Energia elétrica (rateio)</t>
        </is>
      </c>
      <c r="D5242" s="107" t="n"/>
      <c r="E5242" s="108" t="n"/>
      <c r="F5242" s="109">
        <f>IFERROR(D5242*E5242,0)</f>
        <v/>
      </c>
      <c r="G5242" s="106">
        <f>INDEX(SETORES!$B:$B,MATCH(A5242,SETORES!$A:$A,0))</f>
        <v/>
      </c>
      <c r="H5242" s="106" t="inlineStr">
        <is>
          <t>Janeiro/2027</t>
        </is>
      </c>
    </row>
    <row r="5243">
      <c r="A5243" s="106" t="inlineStr">
        <is>
          <t>Logística</t>
        </is>
      </c>
      <c r="B5243" s="106" t="inlineStr">
        <is>
          <t>Custo Fixo</t>
        </is>
      </c>
      <c r="C5243" s="106" t="inlineStr">
        <is>
          <t>Água e esgoto (rateio)</t>
        </is>
      </c>
      <c r="D5243" s="107" t="n"/>
      <c r="E5243" s="108" t="n"/>
      <c r="F5243" s="109">
        <f>IFERROR(D5243*E5243,0)</f>
        <v/>
      </c>
      <c r="G5243" s="106">
        <f>INDEX(SETORES!$B:$B,MATCH(A5243,SETORES!$A:$A,0))</f>
        <v/>
      </c>
      <c r="H5243" s="106" t="inlineStr">
        <is>
          <t>Janeiro/2027</t>
        </is>
      </c>
    </row>
    <row r="5244">
      <c r="A5244" s="106" t="inlineStr">
        <is>
          <t>Logística</t>
        </is>
      </c>
      <c r="B5244" s="106" t="inlineStr">
        <is>
          <t>Custo Fixo</t>
        </is>
      </c>
      <c r="C5244" s="106" t="inlineStr">
        <is>
          <t>Telefonia móvel corporativa</t>
        </is>
      </c>
      <c r="D5244" s="107" t="n"/>
      <c r="E5244" s="108" t="n"/>
      <c r="F5244" s="109">
        <f>IFERROR(D5244*E5244,0)</f>
        <v/>
      </c>
      <c r="G5244" s="106">
        <f>INDEX(SETORES!$B:$B,MATCH(A5244,SETORES!$A:$A,0))</f>
        <v/>
      </c>
      <c r="H5244" s="106" t="inlineStr">
        <is>
          <t>Janeiro/2027</t>
        </is>
      </c>
    </row>
    <row r="5245">
      <c r="A5245" s="106" t="inlineStr">
        <is>
          <t>Logística</t>
        </is>
      </c>
      <c r="B5245" s="106" t="inlineStr">
        <is>
          <t>Custo Fixo</t>
        </is>
      </c>
      <c r="C5245" s="106" t="inlineStr">
        <is>
          <t>Folha de pagamento (salários)</t>
        </is>
      </c>
      <c r="D5245" s="107" t="n">
        <v>1</v>
      </c>
      <c r="E5245" s="108" t="n">
        <v>92482.67999999999</v>
      </c>
      <c r="F5245" s="109">
        <f>IFERROR(D5245*E5245,0)</f>
        <v/>
      </c>
      <c r="G5245" s="106">
        <f>INDEX(SETORES!$B:$B,MATCH(A5245,SETORES!$A:$A,0))</f>
        <v/>
      </c>
      <c r="H5245" s="106" t="inlineStr">
        <is>
          <t>Janeiro/2027</t>
        </is>
      </c>
    </row>
    <row r="5246">
      <c r="A5246" s="106" t="inlineStr">
        <is>
          <t>Logística</t>
        </is>
      </c>
      <c r="B5246" s="106" t="inlineStr">
        <is>
          <t>Custo Variável</t>
        </is>
      </c>
      <c r="C5246" s="106" t="inlineStr">
        <is>
          <t>Combustível de frota</t>
        </is>
      </c>
      <c r="D5246" s="107" t="n">
        <v>1</v>
      </c>
      <c r="E5246" s="108" t="n">
        <v>39191.62</v>
      </c>
      <c r="F5246" s="109">
        <f>IFERROR(D5246*E5246,0)</f>
        <v/>
      </c>
      <c r="G5246" s="106">
        <f>INDEX(SETORES!$B:$B,MATCH(A5246,SETORES!$A:$A,0))</f>
        <v/>
      </c>
      <c r="H5246" s="106" t="inlineStr">
        <is>
          <t>Janeiro/2027</t>
        </is>
      </c>
    </row>
    <row r="5247">
      <c r="A5247" s="106" t="inlineStr">
        <is>
          <t>Logística</t>
        </is>
      </c>
      <c r="B5247" s="106" t="inlineStr">
        <is>
          <t>Custo Variável</t>
        </is>
      </c>
      <c r="C5247" s="106" t="inlineStr">
        <is>
          <t>Manutenção de veículos</t>
        </is>
      </c>
      <c r="D5247" s="107" t="n"/>
      <c r="E5247" s="108" t="n"/>
      <c r="F5247" s="109">
        <f>IFERROR(D5247*E5247,0)</f>
        <v/>
      </c>
      <c r="G5247" s="106">
        <f>INDEX(SETORES!$B:$B,MATCH(A5247,SETORES!$A:$A,0))</f>
        <v/>
      </c>
      <c r="H5247" s="106" t="inlineStr">
        <is>
          <t>Janeiro/2027</t>
        </is>
      </c>
    </row>
    <row r="5248">
      <c r="A5248" s="106" t="inlineStr">
        <is>
          <t>Logística</t>
        </is>
      </c>
      <c r="B5248" s="106" t="inlineStr">
        <is>
          <t>Custo Variável</t>
        </is>
      </c>
      <c r="C5248" s="106" t="inlineStr">
        <is>
          <t>Fardamento novo</t>
        </is>
      </c>
      <c r="D5248" s="107" t="n">
        <v>1</v>
      </c>
      <c r="E5248" s="108" t="n">
        <v>90</v>
      </c>
      <c r="F5248" s="109">
        <f>IFERROR(D5248*E5248,0)</f>
        <v/>
      </c>
      <c r="G5248" s="106">
        <f>INDEX(SETORES!$B:$B,MATCH(A5248,SETORES!$A:$A,0))</f>
        <v/>
      </c>
      <c r="H5248" s="106" t="inlineStr">
        <is>
          <t>Janeiro/2027</t>
        </is>
      </c>
    </row>
    <row r="5249">
      <c r="A5249" s="106" t="inlineStr">
        <is>
          <t>Logística</t>
        </is>
      </c>
      <c r="B5249" s="106" t="inlineStr">
        <is>
          <t>Custo Variável</t>
        </is>
      </c>
      <c r="C5249" s="106" t="inlineStr">
        <is>
          <t>Fardamento substituição</t>
        </is>
      </c>
      <c r="D5249" s="107" t="n"/>
      <c r="E5249" s="108" t="n"/>
      <c r="F5249" s="109">
        <f>IFERROR(D5249*E5249,0)</f>
        <v/>
      </c>
      <c r="G5249" s="106">
        <f>INDEX(SETORES!$B:$B,MATCH(A5249,SETORES!$A:$A,0))</f>
        <v/>
      </c>
      <c r="H5249" s="106" t="inlineStr">
        <is>
          <t>Janeiro/2027</t>
        </is>
      </c>
    </row>
    <row r="5250">
      <c r="A5250" s="106" t="inlineStr">
        <is>
          <t>Logística</t>
        </is>
      </c>
      <c r="B5250" s="106" t="inlineStr">
        <is>
          <t>Custo Variável</t>
        </is>
      </c>
      <c r="C5250" s="106" t="inlineStr">
        <is>
          <t>EPIs - Equipamento de Proteção Individual</t>
        </is>
      </c>
      <c r="D5250" s="107" t="n"/>
      <c r="E5250" s="108" t="n"/>
      <c r="F5250" s="109">
        <f>IFERROR(D5250*E5250,0)</f>
        <v/>
      </c>
      <c r="G5250" s="106">
        <f>INDEX(SETORES!$B:$B,MATCH(A5250,SETORES!$A:$A,0))</f>
        <v/>
      </c>
      <c r="H5250" s="106" t="inlineStr">
        <is>
          <t>Janeiro/2027</t>
        </is>
      </c>
    </row>
    <row r="5251">
      <c r="A5251" s="106" t="inlineStr">
        <is>
          <t>Logística</t>
        </is>
      </c>
      <c r="B5251" s="106" t="inlineStr">
        <is>
          <t>Custo Variável</t>
        </is>
      </c>
      <c r="C5251" s="106" t="inlineStr">
        <is>
          <t>Rateio de transporte coletivo</t>
        </is>
      </c>
      <c r="D5251" s="107" t="n"/>
      <c r="E5251" s="108" t="n"/>
      <c r="F5251" s="109">
        <f>IFERROR(D5251*E5251,0)</f>
        <v/>
      </c>
      <c r="G5251" s="106">
        <f>INDEX(SETORES!$B:$B,MATCH(A5251,SETORES!$A:$A,0))</f>
        <v/>
      </c>
      <c r="H5251" s="106" t="inlineStr">
        <is>
          <t>Janeiro/2027</t>
        </is>
      </c>
    </row>
    <row r="5252">
      <c r="A5252" s="106" t="inlineStr">
        <is>
          <t>Logística</t>
        </is>
      </c>
      <c r="B5252" s="106" t="inlineStr">
        <is>
          <t>Custo Fixo</t>
        </is>
      </c>
      <c r="C5252" s="106" t="inlineStr">
        <is>
          <t>Licença de e-mail corporativo</t>
        </is>
      </c>
      <c r="D5252" s="107" t="n">
        <v>16</v>
      </c>
      <c r="E5252" s="108" t="n">
        <v>50</v>
      </c>
      <c r="F5252" s="109">
        <f>IFERROR(D5252*E5252,0)</f>
        <v/>
      </c>
      <c r="G5252" s="106">
        <f>INDEX(SETORES!$B:$B,MATCH(A5252,SETORES!$A:$A,0))</f>
        <v/>
      </c>
      <c r="H5252" s="106" t="inlineStr">
        <is>
          <t>Janeiro/2027</t>
        </is>
      </c>
    </row>
    <row r="5253">
      <c r="A5253" s="106" t="inlineStr">
        <is>
          <t>Logística</t>
        </is>
      </c>
      <c r="B5253" s="106" t="inlineStr">
        <is>
          <t>Custo Fixo</t>
        </is>
      </c>
      <c r="C5253" s="106" t="inlineStr">
        <is>
          <t>Impressora</t>
        </is>
      </c>
      <c r="D5253" s="107" t="n"/>
      <c r="E5253" s="108" t="n"/>
      <c r="F5253" s="109">
        <f>IFERROR(D5253*E5253,0)</f>
        <v/>
      </c>
      <c r="G5253" s="106">
        <f>INDEX(SETORES!$B:$B,MATCH(A5253,SETORES!$A:$A,0))</f>
        <v/>
      </c>
      <c r="H5253" s="106" t="inlineStr">
        <is>
          <t>Janeiro/2027</t>
        </is>
      </c>
    </row>
    <row r="5254">
      <c r="A5254" s="106" t="inlineStr">
        <is>
          <t>Logística</t>
        </is>
      </c>
      <c r="B5254" s="106" t="inlineStr">
        <is>
          <t>Custo Fixo</t>
        </is>
      </c>
      <c r="C5254" s="106" t="inlineStr">
        <is>
          <t>Gympass</t>
        </is>
      </c>
      <c r="D5254" s="107" t="n"/>
      <c r="E5254" s="108" t="n"/>
      <c r="F5254" s="109">
        <f>IFERROR(D5254*E5254,0)</f>
        <v/>
      </c>
      <c r="G5254" s="106">
        <f>INDEX(SETORES!$B:$B,MATCH(A5254,SETORES!$A:$A,0))</f>
        <v/>
      </c>
      <c r="H5254" s="106" t="inlineStr">
        <is>
          <t>Janeiro/2027</t>
        </is>
      </c>
    </row>
    <row r="5255">
      <c r="A5255" s="106" t="inlineStr">
        <is>
          <t>Logística</t>
        </is>
      </c>
      <c r="B5255" s="106" t="inlineStr">
        <is>
          <t>Custo Fixo</t>
        </is>
      </c>
      <c r="C5255" s="106" t="inlineStr">
        <is>
          <t>Stargrid</t>
        </is>
      </c>
      <c r="D5255" s="107" t="n">
        <v>16</v>
      </c>
      <c r="E5255" s="108" t="n">
        <v>1.87</v>
      </c>
      <c r="F5255" s="109">
        <f>IFERROR(D5255*E5255,0)</f>
        <v/>
      </c>
      <c r="G5255" s="106">
        <f>INDEX(SETORES!$B:$B,MATCH(A5255,SETORES!$A:$A,0))</f>
        <v/>
      </c>
      <c r="H5255" s="106" t="inlineStr">
        <is>
          <t>Janeiro/2027</t>
        </is>
      </c>
    </row>
    <row r="5256">
      <c r="A5256" s="106" t="inlineStr">
        <is>
          <t>Manutenção Predial</t>
        </is>
      </c>
      <c r="B5256" s="106" t="inlineStr">
        <is>
          <t>Custo Fixo</t>
        </is>
      </c>
      <c r="C5256" s="106" t="inlineStr">
        <is>
          <t>Material de escritório (suprimentos de informática)</t>
        </is>
      </c>
      <c r="D5256" s="107" t="n"/>
      <c r="E5256" s="108" t="n"/>
      <c r="F5256" s="109">
        <f>IFERROR(D5256*E5256,0)</f>
        <v/>
      </c>
      <c r="G5256" s="106">
        <f>INDEX(SETORES!$B:$B,MATCH(A5256,SETORES!$A:$A,0))</f>
        <v/>
      </c>
      <c r="H5256" s="106" t="inlineStr">
        <is>
          <t>Janeiro/2027</t>
        </is>
      </c>
    </row>
    <row r="5257">
      <c r="A5257" s="106" t="inlineStr">
        <is>
          <t>Manutenção Predial</t>
        </is>
      </c>
      <c r="B5257" s="106" t="inlineStr">
        <is>
          <t>Custo Fixo</t>
        </is>
      </c>
      <c r="C5257" s="106" t="inlineStr">
        <is>
          <t>Material de uso coletivo (copa/limpeza)</t>
        </is>
      </c>
      <c r="D5257" s="107" t="n"/>
      <c r="E5257" s="108" t="n"/>
      <c r="F5257" s="109">
        <f>IFERROR(D5257*E5257,0)</f>
        <v/>
      </c>
      <c r="G5257" s="106">
        <f>INDEX(SETORES!$B:$B,MATCH(A5257,SETORES!$A:$A,0))</f>
        <v/>
      </c>
      <c r="H5257" s="106" t="inlineStr">
        <is>
          <t>Janeiro/2027</t>
        </is>
      </c>
    </row>
    <row r="5258">
      <c r="A5258" s="106" t="inlineStr">
        <is>
          <t>Manutenção Predial</t>
        </is>
      </c>
      <c r="B5258" s="106" t="inlineStr">
        <is>
          <t>Custo Fixo</t>
        </is>
      </c>
      <c r="C5258" s="106" t="inlineStr">
        <is>
          <t>Telefonia móvel corporativa</t>
        </is>
      </c>
      <c r="D5258" s="107" t="n"/>
      <c r="E5258" s="108" t="n"/>
      <c r="F5258" s="109">
        <f>IFERROR(D5258*E5258,0)</f>
        <v/>
      </c>
      <c r="G5258" s="106">
        <f>INDEX(SETORES!$B:$B,MATCH(A5258,SETORES!$A:$A,0))</f>
        <v/>
      </c>
      <c r="H5258" s="106" t="inlineStr">
        <is>
          <t>Janeiro/2027</t>
        </is>
      </c>
    </row>
    <row r="5259">
      <c r="A5259" s="106" t="inlineStr">
        <is>
          <t>Manutenção Predial</t>
        </is>
      </c>
      <c r="B5259" s="106" t="inlineStr">
        <is>
          <t>Custo Fixo</t>
        </is>
      </c>
      <c r="C5259" s="106" t="inlineStr">
        <is>
          <t>Folha de pagamento (salários)</t>
        </is>
      </c>
      <c r="D5259" s="107" t="n">
        <v>1</v>
      </c>
      <c r="E5259" s="108" t="n">
        <v>116417.9</v>
      </c>
      <c r="F5259" s="109">
        <f>IFERROR(D5259*E5259,0)</f>
        <v/>
      </c>
      <c r="G5259" s="106">
        <f>INDEX(SETORES!$B:$B,MATCH(A5259,SETORES!$A:$A,0))</f>
        <v/>
      </c>
      <c r="H5259" s="106" t="inlineStr">
        <is>
          <t>Janeiro/2027</t>
        </is>
      </c>
    </row>
    <row r="5260">
      <c r="A5260" s="106" t="inlineStr">
        <is>
          <t>Manutenção Predial</t>
        </is>
      </c>
      <c r="B5260" s="106" t="inlineStr">
        <is>
          <t>Custo Variável</t>
        </is>
      </c>
      <c r="C5260" s="106" t="inlineStr">
        <is>
          <t>Investimento de equipamentos (não patrimoniável)</t>
        </is>
      </c>
      <c r="D5260" s="107" t="n"/>
      <c r="E5260" s="108" t="n"/>
      <c r="F5260" s="109">
        <f>IFERROR(D5260*E5260,0)</f>
        <v/>
      </c>
      <c r="G5260" s="106">
        <f>INDEX(SETORES!$B:$B,MATCH(A5260,SETORES!$A:$A,0))</f>
        <v/>
      </c>
      <c r="H5260" s="106" t="inlineStr">
        <is>
          <t>Janeiro/2027</t>
        </is>
      </c>
    </row>
    <row r="5261">
      <c r="A5261" s="106" t="inlineStr">
        <is>
          <t>Manutenção Predial</t>
        </is>
      </c>
      <c r="B5261" s="106" t="inlineStr">
        <is>
          <t>Custo Variável</t>
        </is>
      </c>
      <c r="C5261" s="106" t="inlineStr">
        <is>
          <t>EPIs - Equipamento de Proteção Individual</t>
        </is>
      </c>
      <c r="D5261" s="107" t="n"/>
      <c r="E5261" s="108" t="n"/>
      <c r="F5261" s="109">
        <f>IFERROR(D5261*E5261,0)</f>
        <v/>
      </c>
      <c r="G5261" s="106">
        <f>INDEX(SETORES!$B:$B,MATCH(A5261,SETORES!$A:$A,0))</f>
        <v/>
      </c>
      <c r="H5261" s="106" t="inlineStr">
        <is>
          <t>Janeiro/2027</t>
        </is>
      </c>
    </row>
    <row r="5262">
      <c r="A5262" s="106" t="inlineStr">
        <is>
          <t>Manutenção Predial</t>
        </is>
      </c>
      <c r="B5262" s="106" t="inlineStr">
        <is>
          <t>Custo Fixo</t>
        </is>
      </c>
      <c r="C5262" s="106" t="inlineStr">
        <is>
          <t>Licença de e-mail corporativo</t>
        </is>
      </c>
      <c r="D5262" s="107" t="n">
        <v>15</v>
      </c>
      <c r="E5262" s="108" t="n">
        <v>50</v>
      </c>
      <c r="F5262" s="109">
        <f>IFERROR(D5262*E5262,0)</f>
        <v/>
      </c>
      <c r="G5262" s="106">
        <f>INDEX(SETORES!$B:$B,MATCH(A5262,SETORES!$A:$A,0))</f>
        <v/>
      </c>
      <c r="H5262" s="106" t="inlineStr">
        <is>
          <t>Janeiro/2027</t>
        </is>
      </c>
    </row>
    <row r="5263">
      <c r="A5263" s="106" t="inlineStr">
        <is>
          <t>Manutenção Predial</t>
        </is>
      </c>
      <c r="B5263" s="106" t="inlineStr">
        <is>
          <t>Custo Variável</t>
        </is>
      </c>
      <c r="C5263" s="106" t="inlineStr">
        <is>
          <t>Combustível de frota</t>
        </is>
      </c>
      <c r="D5263" s="107" t="n">
        <v>1</v>
      </c>
      <c r="E5263" s="108" t="n">
        <v>11623.33</v>
      </c>
      <c r="F5263" s="109">
        <f>IFERROR(D5263*E5263,0)</f>
        <v/>
      </c>
      <c r="G5263" s="106">
        <f>INDEX(SETORES!$B:$B,MATCH(A5263,SETORES!$A:$A,0))</f>
        <v/>
      </c>
      <c r="H5263" s="106" t="inlineStr">
        <is>
          <t>Janeiro/2027</t>
        </is>
      </c>
    </row>
    <row r="5264">
      <c r="A5264" s="106" t="inlineStr">
        <is>
          <t>Manutenção Predial</t>
        </is>
      </c>
      <c r="B5264" s="106" t="inlineStr">
        <is>
          <t>Custo Fixo</t>
        </is>
      </c>
      <c r="C5264" s="106" t="inlineStr">
        <is>
          <t>Gympass</t>
        </is>
      </c>
      <c r="D5264" s="107" t="n"/>
      <c r="E5264" s="108" t="n"/>
      <c r="F5264" s="109">
        <f>IFERROR(D5264*E5264,0)</f>
        <v/>
      </c>
      <c r="G5264" s="106">
        <f>INDEX(SETORES!$B:$B,MATCH(A5264,SETORES!$A:$A,0))</f>
        <v/>
      </c>
      <c r="H5264" s="106" t="inlineStr">
        <is>
          <t>Janeiro/2027</t>
        </is>
      </c>
    </row>
    <row r="5265">
      <c r="A5265" s="106" t="inlineStr">
        <is>
          <t>Manutenção Predial</t>
        </is>
      </c>
      <c r="B5265" s="106" t="inlineStr">
        <is>
          <t>Custo Fixo</t>
        </is>
      </c>
      <c r="C5265" s="106" t="inlineStr">
        <is>
          <t>Stargrid</t>
        </is>
      </c>
      <c r="D5265" s="107" t="n">
        <v>15</v>
      </c>
      <c r="E5265" s="108" t="n">
        <v>1.87</v>
      </c>
      <c r="F5265" s="109">
        <f>IFERROR(D5265*E5265,0)</f>
        <v/>
      </c>
      <c r="G5265" s="106">
        <f>INDEX(SETORES!$B:$B,MATCH(A5265,SETORES!$A:$A,0))</f>
        <v/>
      </c>
      <c r="H5265" s="106" t="inlineStr">
        <is>
          <t>Janeiro/2027</t>
        </is>
      </c>
    </row>
    <row r="5266">
      <c r="A5266" s="106" t="inlineStr">
        <is>
          <t>NOC</t>
        </is>
      </c>
      <c r="B5266" s="106" t="inlineStr">
        <is>
          <t>Custo Fixo</t>
        </is>
      </c>
      <c r="C5266" s="106" t="inlineStr">
        <is>
          <t>Material de escritório (suprimentos de informática)</t>
        </is>
      </c>
      <c r="D5266" s="107" t="n">
        <v>1</v>
      </c>
      <c r="E5266" s="108" t="n">
        <v>37.24</v>
      </c>
      <c r="F5266" s="109">
        <f>IFERROR(D5266*E5266,0)</f>
        <v/>
      </c>
      <c r="G5266" s="106">
        <f>INDEX(SETORES!$B:$B,MATCH(A5266,SETORES!$A:$A,0))</f>
        <v/>
      </c>
      <c r="H5266" s="106" t="inlineStr">
        <is>
          <t>Janeiro/2027</t>
        </is>
      </c>
    </row>
    <row r="5267">
      <c r="A5267" s="106" t="inlineStr">
        <is>
          <t>NOC</t>
        </is>
      </c>
      <c r="B5267" s="106" t="inlineStr">
        <is>
          <t>Custo Fixo</t>
        </is>
      </c>
      <c r="C5267" s="106" t="inlineStr">
        <is>
          <t>Material de uso coletivo (copa/limpeza)</t>
        </is>
      </c>
      <c r="D5267" s="107" t="n">
        <v>1</v>
      </c>
      <c r="E5267" s="108" t="n">
        <v>288.15</v>
      </c>
      <c r="F5267" s="109">
        <f>IFERROR(D5267*E5267,0)</f>
        <v/>
      </c>
      <c r="G5267" s="106">
        <f>INDEX(SETORES!$B:$B,MATCH(A5267,SETORES!$A:$A,0))</f>
        <v/>
      </c>
      <c r="H5267" s="106" t="inlineStr">
        <is>
          <t>Janeiro/2027</t>
        </is>
      </c>
    </row>
    <row r="5268">
      <c r="A5268" s="106" t="inlineStr">
        <is>
          <t>NOC</t>
        </is>
      </c>
      <c r="B5268" s="106" t="inlineStr">
        <is>
          <t>Custo Fixo</t>
        </is>
      </c>
      <c r="C5268" s="106" t="inlineStr">
        <is>
          <t>Energia elétrica (rateio)</t>
        </is>
      </c>
      <c r="D5268" s="107" t="n"/>
      <c r="E5268" s="108" t="n"/>
      <c r="F5268" s="109">
        <f>IFERROR(D5268*E5268,0)</f>
        <v/>
      </c>
      <c r="G5268" s="106">
        <f>INDEX(SETORES!$B:$B,MATCH(A5268,SETORES!$A:$A,0))</f>
        <v/>
      </c>
      <c r="H5268" s="106" t="inlineStr">
        <is>
          <t>Janeiro/2027</t>
        </is>
      </c>
    </row>
    <row r="5269">
      <c r="A5269" s="106" t="inlineStr">
        <is>
          <t>NOC</t>
        </is>
      </c>
      <c r="B5269" s="106" t="inlineStr">
        <is>
          <t>Custo Fixo</t>
        </is>
      </c>
      <c r="C5269" s="106" t="inlineStr">
        <is>
          <t>Água e esgoto (rateio)</t>
        </is>
      </c>
      <c r="D5269" s="107" t="n"/>
      <c r="E5269" s="108" t="n"/>
      <c r="F5269" s="109">
        <f>IFERROR(D5269*E5269,0)</f>
        <v/>
      </c>
      <c r="G5269" s="106">
        <f>INDEX(SETORES!$B:$B,MATCH(A5269,SETORES!$A:$A,0))</f>
        <v/>
      </c>
      <c r="H5269" s="106" t="inlineStr">
        <is>
          <t>Janeiro/2027</t>
        </is>
      </c>
    </row>
    <row r="5270">
      <c r="A5270" s="106" t="inlineStr">
        <is>
          <t>NOC</t>
        </is>
      </c>
      <c r="B5270" s="106" t="inlineStr">
        <is>
          <t>Custo Fixo</t>
        </is>
      </c>
      <c r="C5270" s="106" t="inlineStr">
        <is>
          <t>Telefonia móvel corporativa</t>
        </is>
      </c>
      <c r="D5270" s="107" t="n"/>
      <c r="E5270" s="108" t="n"/>
      <c r="F5270" s="109">
        <f>IFERROR(D5270*E5270,0)</f>
        <v/>
      </c>
      <c r="G5270" s="106">
        <f>INDEX(SETORES!$B:$B,MATCH(A5270,SETORES!$A:$A,0))</f>
        <v/>
      </c>
      <c r="H5270" s="106" t="inlineStr">
        <is>
          <t>Janeiro/2027</t>
        </is>
      </c>
    </row>
    <row r="5271">
      <c r="A5271" s="106" t="inlineStr">
        <is>
          <t>NOC</t>
        </is>
      </c>
      <c r="B5271" s="106" t="inlineStr">
        <is>
          <t>Custo Fixo</t>
        </is>
      </c>
      <c r="C5271" s="106" t="inlineStr">
        <is>
          <t>Folha de pagamento (salários)</t>
        </is>
      </c>
      <c r="D5271" s="107" t="n">
        <v>1</v>
      </c>
      <c r="E5271" s="108" t="n">
        <v>42164.64</v>
      </c>
      <c r="F5271" s="109">
        <f>IFERROR(D5271*E5271,0)</f>
        <v/>
      </c>
      <c r="G5271" s="106">
        <f>INDEX(SETORES!$B:$B,MATCH(A5271,SETORES!$A:$A,0))</f>
        <v/>
      </c>
      <c r="H5271" s="106" t="inlineStr">
        <is>
          <t>Janeiro/2027</t>
        </is>
      </c>
    </row>
    <row r="5272">
      <c r="A5272" s="106" t="inlineStr">
        <is>
          <t>NOC</t>
        </is>
      </c>
      <c r="B5272" s="106" t="inlineStr">
        <is>
          <t>Custo Fixo</t>
        </is>
      </c>
      <c r="C5272" s="106" t="inlineStr">
        <is>
          <t>Licença de e-mail corporativo</t>
        </is>
      </c>
      <c r="D5272" s="107" t="n">
        <v>3</v>
      </c>
      <c r="E5272" s="108" t="n">
        <v>50</v>
      </c>
      <c r="F5272" s="109">
        <f>IFERROR(D5272*E5272,0)</f>
        <v/>
      </c>
      <c r="G5272" s="106">
        <f>INDEX(SETORES!$B:$B,MATCH(A5272,SETORES!$A:$A,0))</f>
        <v/>
      </c>
      <c r="H5272" s="106" t="inlineStr">
        <is>
          <t>Janeiro/2027</t>
        </is>
      </c>
    </row>
    <row r="5273">
      <c r="A5273" s="106" t="inlineStr">
        <is>
          <t>NOC</t>
        </is>
      </c>
      <c r="B5273" s="106" t="inlineStr">
        <is>
          <t>Custo Variável</t>
        </is>
      </c>
      <c r="C5273" s="106" t="inlineStr">
        <is>
          <t>Combustível de frota</t>
        </is>
      </c>
      <c r="D5273" s="107" t="n">
        <v>1</v>
      </c>
      <c r="E5273" s="108" t="n">
        <v>1882.43</v>
      </c>
      <c r="F5273" s="109">
        <f>IFERROR(D5273*E5273,0)</f>
        <v/>
      </c>
      <c r="G5273" s="106">
        <f>INDEX(SETORES!$B:$B,MATCH(A5273,SETORES!$A:$A,0))</f>
        <v/>
      </c>
      <c r="H5273" s="106" t="inlineStr">
        <is>
          <t>Janeiro/2027</t>
        </is>
      </c>
    </row>
    <row r="5274">
      <c r="A5274" s="106" t="inlineStr">
        <is>
          <t>NOC</t>
        </is>
      </c>
      <c r="B5274" s="106" t="inlineStr">
        <is>
          <t>Custo Fixo</t>
        </is>
      </c>
      <c r="C5274" s="106" t="inlineStr">
        <is>
          <t>Gympass</t>
        </is>
      </c>
      <c r="D5274" s="107" t="n"/>
      <c r="E5274" s="108" t="n"/>
      <c r="F5274" s="109">
        <f>IFERROR(D5274*E5274,0)</f>
        <v/>
      </c>
      <c r="G5274" s="106">
        <f>INDEX(SETORES!$B:$B,MATCH(A5274,SETORES!$A:$A,0))</f>
        <v/>
      </c>
      <c r="H5274" s="106" t="inlineStr">
        <is>
          <t>Janeiro/2027</t>
        </is>
      </c>
    </row>
    <row r="5275">
      <c r="A5275" s="106" t="inlineStr">
        <is>
          <t>NOC</t>
        </is>
      </c>
      <c r="B5275" s="106" t="inlineStr">
        <is>
          <t>Custo Fixo</t>
        </is>
      </c>
      <c r="C5275" s="106" t="inlineStr">
        <is>
          <t>Stargrid</t>
        </is>
      </c>
      <c r="D5275" s="107" t="n">
        <v>3</v>
      </c>
      <c r="E5275" s="108" t="n">
        <v>1.87</v>
      </c>
      <c r="F5275" s="109">
        <f>IFERROR(D5275*E5275,0)</f>
        <v/>
      </c>
      <c r="G5275" s="106">
        <f>INDEX(SETORES!$B:$B,MATCH(A5275,SETORES!$A:$A,0))</f>
        <v/>
      </c>
      <c r="H5275" s="106" t="inlineStr">
        <is>
          <t>Janeiro/2027</t>
        </is>
      </c>
    </row>
    <row r="5276">
      <c r="A5276" s="106" t="inlineStr">
        <is>
          <t>NRC</t>
        </is>
      </c>
      <c r="B5276" s="106" t="inlineStr">
        <is>
          <t>Custo Fixo</t>
        </is>
      </c>
      <c r="C5276" s="106" t="inlineStr">
        <is>
          <t>Material de escritório (suprimentos de informática)</t>
        </is>
      </c>
      <c r="D5276" s="107" t="n">
        <v>1</v>
      </c>
      <c r="E5276" s="108" t="n">
        <v>12.09</v>
      </c>
      <c r="F5276" s="109">
        <f>IFERROR(D5276*E5276,0)</f>
        <v/>
      </c>
      <c r="G5276" s="106">
        <f>INDEX(SETORES!$B:$B,MATCH(A5276,SETORES!$A:$A,0))</f>
        <v/>
      </c>
      <c r="H5276" s="106" t="inlineStr">
        <is>
          <t>Janeiro/2027</t>
        </is>
      </c>
    </row>
    <row r="5277">
      <c r="A5277" s="106" t="inlineStr">
        <is>
          <t>NRC</t>
        </is>
      </c>
      <c r="B5277" s="106" t="inlineStr">
        <is>
          <t>Custo Fixo</t>
        </is>
      </c>
      <c r="C5277" s="106" t="inlineStr">
        <is>
          <t>Material de uso coletivo (copa/limpeza)</t>
        </is>
      </c>
      <c r="D5277" s="107" t="n">
        <v>1</v>
      </c>
      <c r="E5277" s="108" t="n">
        <v>2123.29</v>
      </c>
      <c r="F5277" s="109">
        <f>IFERROR(D5277*E5277,0)</f>
        <v/>
      </c>
      <c r="G5277" s="106">
        <f>INDEX(SETORES!$B:$B,MATCH(A5277,SETORES!$A:$A,0))</f>
        <v/>
      </c>
      <c r="H5277" s="106" t="inlineStr">
        <is>
          <t>Janeiro/2027</t>
        </is>
      </c>
    </row>
    <row r="5278">
      <c r="A5278" s="106" t="inlineStr">
        <is>
          <t>NRC</t>
        </is>
      </c>
      <c r="B5278" s="106" t="inlineStr">
        <is>
          <t>Custo Fixo</t>
        </is>
      </c>
      <c r="C5278" s="106" t="inlineStr">
        <is>
          <t>Energia elétrica (rateio)</t>
        </is>
      </c>
      <c r="D5278" s="107" t="n"/>
      <c r="E5278" s="108" t="n"/>
      <c r="F5278" s="109">
        <f>IFERROR(D5278*E5278,0)</f>
        <v/>
      </c>
      <c r="G5278" s="106">
        <f>INDEX(SETORES!$B:$B,MATCH(A5278,SETORES!$A:$A,0))</f>
        <v/>
      </c>
      <c r="H5278" s="106" t="inlineStr">
        <is>
          <t>Janeiro/2027</t>
        </is>
      </c>
    </row>
    <row r="5279">
      <c r="A5279" s="106" t="inlineStr">
        <is>
          <t>NRC</t>
        </is>
      </c>
      <c r="B5279" s="106" t="inlineStr">
        <is>
          <t>Custo Fixo</t>
        </is>
      </c>
      <c r="C5279" s="106" t="inlineStr">
        <is>
          <t>Água e esgoto (rateio)</t>
        </is>
      </c>
      <c r="D5279" s="107" t="n"/>
      <c r="E5279" s="108" t="n"/>
      <c r="F5279" s="109">
        <f>IFERROR(D5279*E5279,0)</f>
        <v/>
      </c>
      <c r="G5279" s="106">
        <f>INDEX(SETORES!$B:$B,MATCH(A5279,SETORES!$A:$A,0))</f>
        <v/>
      </c>
      <c r="H5279" s="106" t="inlineStr">
        <is>
          <t>Janeiro/2027</t>
        </is>
      </c>
    </row>
    <row r="5280">
      <c r="A5280" s="106" t="inlineStr">
        <is>
          <t>NRC</t>
        </is>
      </c>
      <c r="B5280" s="106" t="inlineStr">
        <is>
          <t>Custo Fixo</t>
        </is>
      </c>
      <c r="C5280" s="106" t="inlineStr">
        <is>
          <t>Telefonia móvel corporativa</t>
        </is>
      </c>
      <c r="D5280" s="107" t="n"/>
      <c r="E5280" s="108" t="n"/>
      <c r="F5280" s="109">
        <f>IFERROR(D5280*E5280,0)</f>
        <v/>
      </c>
      <c r="G5280" s="106">
        <f>INDEX(SETORES!$B:$B,MATCH(A5280,SETORES!$A:$A,0))</f>
        <v/>
      </c>
      <c r="H5280" s="106" t="inlineStr">
        <is>
          <t>Janeiro/2027</t>
        </is>
      </c>
    </row>
    <row r="5281">
      <c r="A5281" s="106" t="inlineStr">
        <is>
          <t>NRC</t>
        </is>
      </c>
      <c r="B5281" s="106" t="inlineStr">
        <is>
          <t>Custo Fixo</t>
        </is>
      </c>
      <c r="C5281" s="106" t="inlineStr">
        <is>
          <t>Folha de pagamento (salários)</t>
        </is>
      </c>
      <c r="D5281" s="107" t="n">
        <v>1</v>
      </c>
      <c r="E5281" s="108" t="n">
        <v>145351.16</v>
      </c>
      <c r="F5281" s="109">
        <f>IFERROR(D5281*E5281,0)</f>
        <v/>
      </c>
      <c r="G5281" s="106">
        <f>INDEX(SETORES!$B:$B,MATCH(A5281,SETORES!$A:$A,0))</f>
        <v/>
      </c>
      <c r="H5281" s="106" t="inlineStr">
        <is>
          <t>Janeiro/2027</t>
        </is>
      </c>
    </row>
    <row r="5282">
      <c r="A5282" s="106" t="inlineStr">
        <is>
          <t>NRC</t>
        </is>
      </c>
      <c r="B5282" s="106" t="inlineStr">
        <is>
          <t>Custo Fixo</t>
        </is>
      </c>
      <c r="C5282" s="106" t="inlineStr">
        <is>
          <t>Licenças de software/sistemas corporativos</t>
        </is>
      </c>
      <c r="D5282" s="107" t="n"/>
      <c r="E5282" s="108" t="n"/>
      <c r="F5282" s="109">
        <f>IFERROR(D5282*E5282,0)</f>
        <v/>
      </c>
      <c r="G5282" s="106">
        <f>INDEX(SETORES!$B:$B,MATCH(A5282,SETORES!$A:$A,0))</f>
        <v/>
      </c>
      <c r="H5282" s="106" t="inlineStr">
        <is>
          <t>Janeiro/2027</t>
        </is>
      </c>
    </row>
    <row r="5283">
      <c r="A5283" s="106" t="inlineStr">
        <is>
          <t>NRC</t>
        </is>
      </c>
      <c r="B5283" s="106" t="inlineStr">
        <is>
          <t>Custo Variável</t>
        </is>
      </c>
      <c r="C5283" s="106" t="inlineStr">
        <is>
          <t>Fardamento novo</t>
        </is>
      </c>
      <c r="D5283" s="107" t="n"/>
      <c r="E5283" s="108" t="n"/>
      <c r="F5283" s="109">
        <f>IFERROR(D5283*E5283,0)</f>
        <v/>
      </c>
      <c r="G5283" s="106">
        <f>INDEX(SETORES!$B:$B,MATCH(A5283,SETORES!$A:$A,0))</f>
        <v/>
      </c>
      <c r="H5283" s="106" t="inlineStr">
        <is>
          <t>Janeiro/2027</t>
        </is>
      </c>
    </row>
    <row r="5284">
      <c r="A5284" s="106" t="inlineStr">
        <is>
          <t>NRC</t>
        </is>
      </c>
      <c r="B5284" s="106" t="inlineStr">
        <is>
          <t>Custo Variável</t>
        </is>
      </c>
      <c r="C5284" s="106" t="inlineStr">
        <is>
          <t>Fardamento substituição</t>
        </is>
      </c>
      <c r="D5284" s="107" t="n"/>
      <c r="E5284" s="108" t="n"/>
      <c r="F5284" s="109">
        <f>IFERROR(D5284*E5284,0)</f>
        <v/>
      </c>
      <c r="G5284" s="106">
        <f>INDEX(SETORES!$B:$B,MATCH(A5284,SETORES!$A:$A,0))</f>
        <v/>
      </c>
      <c r="H5284" s="106" t="inlineStr">
        <is>
          <t>Janeiro/2027</t>
        </is>
      </c>
    </row>
    <row r="5285">
      <c r="A5285" s="106" t="inlineStr">
        <is>
          <t>NRC</t>
        </is>
      </c>
      <c r="B5285" s="106" t="inlineStr">
        <is>
          <t>Custo Variável</t>
        </is>
      </c>
      <c r="C5285" s="106" t="inlineStr">
        <is>
          <t>Rescisões trabalhistas</t>
        </is>
      </c>
      <c r="D5285" s="107" t="n"/>
      <c r="E5285" s="108" t="n"/>
      <c r="F5285" s="109">
        <f>IFERROR(D5285*E5285,0)</f>
        <v/>
      </c>
      <c r="G5285" s="106">
        <f>INDEX(SETORES!$B:$B,MATCH(A5285,SETORES!$A:$A,0))</f>
        <v/>
      </c>
      <c r="H5285" s="106" t="inlineStr">
        <is>
          <t>Janeiro/2027</t>
        </is>
      </c>
    </row>
    <row r="5286">
      <c r="A5286" s="106" t="inlineStr">
        <is>
          <t>NRC</t>
        </is>
      </c>
      <c r="B5286" s="106" t="inlineStr">
        <is>
          <t>Custo Fixo</t>
        </is>
      </c>
      <c r="C5286" s="106" t="inlineStr">
        <is>
          <t>Licença de e-mail corporativo</t>
        </is>
      </c>
      <c r="D5286" s="107" t="n">
        <v>42</v>
      </c>
      <c r="E5286" s="108" t="n">
        <v>50</v>
      </c>
      <c r="F5286" s="109">
        <f>IFERROR(D5286*E5286,0)</f>
        <v/>
      </c>
      <c r="G5286" s="106">
        <f>INDEX(SETORES!$B:$B,MATCH(A5286,SETORES!$A:$A,0))</f>
        <v/>
      </c>
      <c r="H5286" s="106" t="inlineStr">
        <is>
          <t>Janeiro/2027</t>
        </is>
      </c>
    </row>
    <row r="5287">
      <c r="A5287" s="106" t="inlineStr">
        <is>
          <t>NRC</t>
        </is>
      </c>
      <c r="B5287" s="106" t="inlineStr">
        <is>
          <t>Custo Fixo</t>
        </is>
      </c>
      <c r="C5287" s="106" t="inlineStr">
        <is>
          <t>Software MATRIX (rateio equipe Relacionamento)</t>
        </is>
      </c>
      <c r="D5287" s="107" t="n"/>
      <c r="E5287" s="108" t="n"/>
      <c r="F5287" s="109">
        <f>IFERROR(D5287*E5287,0)</f>
        <v/>
      </c>
      <c r="G5287" s="106">
        <f>INDEX(SETORES!$B:$B,MATCH(A5287,SETORES!$A:$A,0))</f>
        <v/>
      </c>
      <c r="H5287" s="106" t="inlineStr">
        <is>
          <t>Janeiro/2027</t>
        </is>
      </c>
    </row>
    <row r="5288">
      <c r="A5288" s="106" t="inlineStr">
        <is>
          <t>NRC</t>
        </is>
      </c>
      <c r="B5288" s="106" t="inlineStr">
        <is>
          <t>Custo Fixo</t>
        </is>
      </c>
      <c r="C5288" s="106" t="inlineStr">
        <is>
          <t>Impressora (rateio equipe Relacionamento)</t>
        </is>
      </c>
      <c r="D5288" s="107" t="n"/>
      <c r="E5288" s="108" t="n"/>
      <c r="F5288" s="109">
        <f>IFERROR(D5288*E5288,0)</f>
        <v/>
      </c>
      <c r="G5288" s="106">
        <f>INDEX(SETORES!$B:$B,MATCH(A5288,SETORES!$A:$A,0))</f>
        <v/>
      </c>
      <c r="H5288" s="106" t="inlineStr">
        <is>
          <t>Janeiro/2027</t>
        </is>
      </c>
    </row>
    <row r="5289">
      <c r="A5289" s="106" t="inlineStr">
        <is>
          <t>NRC</t>
        </is>
      </c>
      <c r="B5289" s="106" t="inlineStr">
        <is>
          <t>Custo Fixo</t>
        </is>
      </c>
      <c r="C5289" s="106" t="inlineStr">
        <is>
          <t>Gympass</t>
        </is>
      </c>
      <c r="D5289" s="107" t="n"/>
      <c r="E5289" s="108" t="n"/>
      <c r="F5289" s="109">
        <f>IFERROR(D5289*E5289,0)</f>
        <v/>
      </c>
      <c r="G5289" s="106">
        <f>INDEX(SETORES!$B:$B,MATCH(A5289,SETORES!$A:$A,0))</f>
        <v/>
      </c>
      <c r="H5289" s="106" t="inlineStr">
        <is>
          <t>Janeiro/2027</t>
        </is>
      </c>
    </row>
    <row r="5290">
      <c r="A5290" s="106" t="inlineStr">
        <is>
          <t>NRC</t>
        </is>
      </c>
      <c r="B5290" s="106" t="inlineStr">
        <is>
          <t>Custo Fixo</t>
        </is>
      </c>
      <c r="C5290" s="106" t="inlineStr">
        <is>
          <t>Stargrid</t>
        </is>
      </c>
      <c r="D5290" s="107" t="n">
        <v>42</v>
      </c>
      <c r="E5290" s="108" t="n">
        <v>1.87</v>
      </c>
      <c r="F5290" s="109">
        <f>IFERROR(D5290*E5290,0)</f>
        <v/>
      </c>
      <c r="G5290" s="106">
        <f>INDEX(SETORES!$B:$B,MATCH(A5290,SETORES!$A:$A,0))</f>
        <v/>
      </c>
      <c r="H5290" s="106" t="inlineStr">
        <is>
          <t>Janeiro/2027</t>
        </is>
      </c>
    </row>
    <row r="5291">
      <c r="A5291" s="106" t="inlineStr">
        <is>
          <t>Obras</t>
        </is>
      </c>
      <c r="B5291" s="106" t="inlineStr">
        <is>
          <t>Custo Fixo</t>
        </is>
      </c>
      <c r="C5291" s="106" t="inlineStr">
        <is>
          <t>Telefonia móvel corporativa</t>
        </is>
      </c>
      <c r="D5291" s="107" t="n"/>
      <c r="E5291" s="108" t="n"/>
      <c r="F5291" s="109">
        <f>IFERROR(D5291*E5291,0)</f>
        <v/>
      </c>
      <c r="G5291" s="106">
        <f>INDEX(SETORES!$B:$B,MATCH(A5291,SETORES!$A:$A,0))</f>
        <v/>
      </c>
      <c r="H5291" s="106" t="inlineStr">
        <is>
          <t>Janeiro/2027</t>
        </is>
      </c>
    </row>
    <row r="5292">
      <c r="A5292" s="106" t="inlineStr">
        <is>
          <t>Obras</t>
        </is>
      </c>
      <c r="B5292" s="106" t="inlineStr">
        <is>
          <t>Custo Fixo</t>
        </is>
      </c>
      <c r="C5292" s="106" t="inlineStr">
        <is>
          <t>Folha de pagamento (salários)</t>
        </is>
      </c>
      <c r="D5292" s="107" t="n">
        <v>1</v>
      </c>
      <c r="E5292" s="108" t="n">
        <v>155833.72</v>
      </c>
      <c r="F5292" s="109">
        <f>IFERROR(D5292*E5292,0)</f>
        <v/>
      </c>
      <c r="G5292" s="106">
        <f>INDEX(SETORES!$B:$B,MATCH(A5292,SETORES!$A:$A,0))</f>
        <v/>
      </c>
      <c r="H5292" s="106" t="inlineStr">
        <is>
          <t>Janeiro/2027</t>
        </is>
      </c>
    </row>
    <row r="5293">
      <c r="A5293" s="106" t="inlineStr">
        <is>
          <t>Obras</t>
        </is>
      </c>
      <c r="B5293" s="106" t="inlineStr">
        <is>
          <t>Custo Variável</t>
        </is>
      </c>
      <c r="C5293" s="106" t="inlineStr">
        <is>
          <t>Investimento de equipamentos (não patrimoniável)</t>
        </is>
      </c>
      <c r="D5293" s="107" t="n"/>
      <c r="E5293" s="108" t="n"/>
      <c r="F5293" s="109">
        <f>IFERROR(D5293*E5293,0)</f>
        <v/>
      </c>
      <c r="G5293" s="106">
        <f>INDEX(SETORES!$B:$B,MATCH(A5293,SETORES!$A:$A,0))</f>
        <v/>
      </c>
      <c r="H5293" s="106" t="inlineStr">
        <is>
          <t>Janeiro/2027</t>
        </is>
      </c>
    </row>
    <row r="5294">
      <c r="A5294" s="106" t="inlineStr">
        <is>
          <t>Obras</t>
        </is>
      </c>
      <c r="B5294" s="106" t="inlineStr">
        <is>
          <t>Custo Variável</t>
        </is>
      </c>
      <c r="C5294" s="106" t="inlineStr">
        <is>
          <t>EPIs - Equipamento de Proteção Individual</t>
        </is>
      </c>
      <c r="D5294" s="107" t="n"/>
      <c r="E5294" s="108" t="n"/>
      <c r="F5294" s="109">
        <f>IFERROR(D5294*E5294,0)</f>
        <v/>
      </c>
      <c r="G5294" s="106">
        <f>INDEX(SETORES!$B:$B,MATCH(A5294,SETORES!$A:$A,0))</f>
        <v/>
      </c>
      <c r="H5294" s="106" t="inlineStr">
        <is>
          <t>Janeiro/2027</t>
        </is>
      </c>
    </row>
    <row r="5295">
      <c r="A5295" s="106" t="inlineStr">
        <is>
          <t>Obras</t>
        </is>
      </c>
      <c r="B5295" s="106" t="inlineStr">
        <is>
          <t>Custo Variável</t>
        </is>
      </c>
      <c r="C5295" s="106" t="inlineStr">
        <is>
          <t>Rescisões trabalhistas</t>
        </is>
      </c>
      <c r="D5295" s="107" t="n"/>
      <c r="E5295" s="108" t="n"/>
      <c r="F5295" s="109">
        <f>IFERROR(D5295*E5295,0)</f>
        <v/>
      </c>
      <c r="G5295" s="106">
        <f>INDEX(SETORES!$B:$B,MATCH(A5295,SETORES!$A:$A,0))</f>
        <v/>
      </c>
      <c r="H5295" s="106" t="inlineStr">
        <is>
          <t>Janeiro/2027</t>
        </is>
      </c>
    </row>
    <row r="5296">
      <c r="A5296" s="106" t="inlineStr">
        <is>
          <t>Obras</t>
        </is>
      </c>
      <c r="B5296" s="106" t="inlineStr">
        <is>
          <t>Custo Fixo</t>
        </is>
      </c>
      <c r="C5296" s="106" t="inlineStr">
        <is>
          <t>Licença de e-mail corporativo</t>
        </is>
      </c>
      <c r="D5296" s="107" t="n">
        <v>24</v>
      </c>
      <c r="E5296" s="108" t="n">
        <v>50</v>
      </c>
      <c r="F5296" s="109">
        <f>IFERROR(D5296*E5296,0)</f>
        <v/>
      </c>
      <c r="G5296" s="106">
        <f>INDEX(SETORES!$B:$B,MATCH(A5296,SETORES!$A:$A,0))</f>
        <v/>
      </c>
      <c r="H5296" s="106" t="inlineStr">
        <is>
          <t>Janeiro/2027</t>
        </is>
      </c>
    </row>
    <row r="5297">
      <c r="A5297" s="106" t="inlineStr">
        <is>
          <t>Obras</t>
        </is>
      </c>
      <c r="B5297" s="106" t="inlineStr">
        <is>
          <t>Custo Variável</t>
        </is>
      </c>
      <c r="C5297" s="106" t="inlineStr">
        <is>
          <t>Combustível de frota</t>
        </is>
      </c>
      <c r="D5297" s="107" t="n">
        <v>1</v>
      </c>
      <c r="E5297" s="108" t="n">
        <v>11761.57</v>
      </c>
      <c r="F5297" s="109">
        <f>IFERROR(D5297*E5297,0)</f>
        <v/>
      </c>
      <c r="G5297" s="106">
        <f>INDEX(SETORES!$B:$B,MATCH(A5297,SETORES!$A:$A,0))</f>
        <v/>
      </c>
      <c r="H5297" s="106" t="inlineStr">
        <is>
          <t>Janeiro/2027</t>
        </is>
      </c>
    </row>
    <row r="5298">
      <c r="A5298" s="106" t="inlineStr">
        <is>
          <t>Obras</t>
        </is>
      </c>
      <c r="B5298" s="106" t="inlineStr">
        <is>
          <t>Custo Fixo</t>
        </is>
      </c>
      <c r="C5298" s="106" t="inlineStr">
        <is>
          <t>Gympass</t>
        </is>
      </c>
      <c r="D5298" s="107" t="n"/>
      <c r="E5298" s="108" t="n"/>
      <c r="F5298" s="109">
        <f>IFERROR(D5298*E5298,0)</f>
        <v/>
      </c>
      <c r="G5298" s="106">
        <f>INDEX(SETORES!$B:$B,MATCH(A5298,SETORES!$A:$A,0))</f>
        <v/>
      </c>
      <c r="H5298" s="106" t="inlineStr">
        <is>
          <t>Janeiro/2027</t>
        </is>
      </c>
    </row>
    <row r="5299">
      <c r="A5299" s="106" t="inlineStr">
        <is>
          <t>Obras</t>
        </is>
      </c>
      <c r="B5299" s="106" t="inlineStr">
        <is>
          <t>Custo Fixo</t>
        </is>
      </c>
      <c r="C5299" s="106" t="inlineStr">
        <is>
          <t>Stargrid</t>
        </is>
      </c>
      <c r="D5299" s="107" t="n">
        <v>24</v>
      </c>
      <c r="E5299" s="108" t="n">
        <v>1.87</v>
      </c>
      <c r="F5299" s="109">
        <f>IFERROR(D5299*E5299,0)</f>
        <v/>
      </c>
      <c r="G5299" s="106">
        <f>INDEX(SETORES!$B:$B,MATCH(A5299,SETORES!$A:$A,0))</f>
        <v/>
      </c>
      <c r="H5299" s="106" t="inlineStr">
        <is>
          <t>Janeiro/2027</t>
        </is>
      </c>
    </row>
    <row r="5300">
      <c r="A5300" s="106" t="inlineStr">
        <is>
          <t>Oficina</t>
        </is>
      </c>
      <c r="B5300" s="106" t="inlineStr">
        <is>
          <t>Custo Fixo</t>
        </is>
      </c>
      <c r="C5300" s="106" t="inlineStr">
        <is>
          <t>Material de escritório (suprimentos de informática)</t>
        </is>
      </c>
      <c r="D5300" s="107" t="n"/>
      <c r="E5300" s="108" t="n"/>
      <c r="F5300" s="109">
        <f>IFERROR(D5300*E5300,0)</f>
        <v/>
      </c>
      <c r="G5300" s="106">
        <f>INDEX(SETORES!$B:$B,MATCH(A5300,SETORES!$A:$A,0))</f>
        <v/>
      </c>
      <c r="H5300" s="106" t="inlineStr">
        <is>
          <t>Janeiro/2027</t>
        </is>
      </c>
    </row>
    <row r="5301">
      <c r="A5301" s="106" t="inlineStr">
        <is>
          <t>Oficina</t>
        </is>
      </c>
      <c r="B5301" s="106" t="inlineStr">
        <is>
          <t>Custo Fixo</t>
        </is>
      </c>
      <c r="C5301" s="106" t="inlineStr">
        <is>
          <t>Material de uso coletivo (copa/limpeza)</t>
        </is>
      </c>
      <c r="D5301" s="107" t="n"/>
      <c r="E5301" s="108" t="n"/>
      <c r="F5301" s="109">
        <f>IFERROR(D5301*E5301,0)</f>
        <v/>
      </c>
      <c r="G5301" s="106">
        <f>INDEX(SETORES!$B:$B,MATCH(A5301,SETORES!$A:$A,0))</f>
        <v/>
      </c>
      <c r="H5301" s="106" t="inlineStr">
        <is>
          <t>Janeiro/2027</t>
        </is>
      </c>
    </row>
    <row r="5302">
      <c r="A5302" s="106" t="inlineStr">
        <is>
          <t>Oficina</t>
        </is>
      </c>
      <c r="B5302" s="106" t="inlineStr">
        <is>
          <t>Custo Fixo</t>
        </is>
      </c>
      <c r="C5302" s="106" t="inlineStr">
        <is>
          <t>Software da oficina (soutech soluções)</t>
        </is>
      </c>
      <c r="D5302" s="107" t="n">
        <v>1</v>
      </c>
      <c r="E5302" s="108" t="n">
        <v>1800</v>
      </c>
      <c r="F5302" s="109">
        <f>IFERROR(D5302*E5302,0)</f>
        <v/>
      </c>
      <c r="G5302" s="106">
        <f>INDEX(SETORES!$B:$B,MATCH(A5302,SETORES!$A:$A,0))</f>
        <v/>
      </c>
      <c r="H5302" s="106" t="inlineStr">
        <is>
          <t>Janeiro/2027</t>
        </is>
      </c>
    </row>
    <row r="5303">
      <c r="A5303" s="106" t="inlineStr">
        <is>
          <t>Oficina</t>
        </is>
      </c>
      <c r="B5303" s="106" t="inlineStr">
        <is>
          <t>Custo Fixo</t>
        </is>
      </c>
      <c r="C5303" s="106" t="inlineStr">
        <is>
          <t>Energia elétrica (rateio)</t>
        </is>
      </c>
      <c r="D5303" s="107" t="n"/>
      <c r="E5303" s="108" t="n"/>
      <c r="F5303" s="109">
        <f>IFERROR(D5303*E5303,0)</f>
        <v/>
      </c>
      <c r="G5303" s="106">
        <f>INDEX(SETORES!$B:$B,MATCH(A5303,SETORES!$A:$A,0))</f>
        <v/>
      </c>
      <c r="H5303" s="106" t="inlineStr">
        <is>
          <t>Janeiro/2027</t>
        </is>
      </c>
    </row>
    <row r="5304">
      <c r="A5304" s="106" t="inlineStr">
        <is>
          <t>Oficina</t>
        </is>
      </c>
      <c r="B5304" s="106" t="inlineStr">
        <is>
          <t>Custo Fixo</t>
        </is>
      </c>
      <c r="C5304" s="106" t="inlineStr">
        <is>
          <t>Água e esgoto (rateio)</t>
        </is>
      </c>
      <c r="D5304" s="107" t="n"/>
      <c r="E5304" s="108" t="n"/>
      <c r="F5304" s="109">
        <f>IFERROR(D5304*E5304,0)</f>
        <v/>
      </c>
      <c r="G5304" s="106">
        <f>INDEX(SETORES!$B:$B,MATCH(A5304,SETORES!$A:$A,0))</f>
        <v/>
      </c>
      <c r="H5304" s="106" t="inlineStr">
        <is>
          <t>Janeiro/2027</t>
        </is>
      </c>
    </row>
    <row r="5305">
      <c r="A5305" s="106" t="inlineStr">
        <is>
          <t>Oficina</t>
        </is>
      </c>
      <c r="B5305" s="106" t="inlineStr">
        <is>
          <t>Custo Fixo</t>
        </is>
      </c>
      <c r="C5305" s="106" t="inlineStr">
        <is>
          <t>Telefonia móvel corporativa</t>
        </is>
      </c>
      <c r="D5305" s="107" t="n"/>
      <c r="E5305" s="108" t="n"/>
      <c r="F5305" s="109">
        <f>IFERROR(D5305*E5305,0)</f>
        <v/>
      </c>
      <c r="G5305" s="106">
        <f>INDEX(SETORES!$B:$B,MATCH(A5305,SETORES!$A:$A,0))</f>
        <v/>
      </c>
      <c r="H5305" s="106" t="inlineStr">
        <is>
          <t>Janeiro/2027</t>
        </is>
      </c>
    </row>
    <row r="5306">
      <c r="A5306" s="106" t="inlineStr">
        <is>
          <t>Oficina</t>
        </is>
      </c>
      <c r="B5306" s="106" t="inlineStr">
        <is>
          <t>Custo Fixo</t>
        </is>
      </c>
      <c r="C5306" s="106" t="inlineStr">
        <is>
          <t>Folha de pagamento (salários)</t>
        </is>
      </c>
      <c r="D5306" s="107" t="n">
        <v>1</v>
      </c>
      <c r="E5306" s="108" t="n">
        <v>25793.59</v>
      </c>
      <c r="F5306" s="109">
        <f>IFERROR(D5306*E5306,0)</f>
        <v/>
      </c>
      <c r="G5306" s="106">
        <f>INDEX(SETORES!$B:$B,MATCH(A5306,SETORES!$A:$A,0))</f>
        <v/>
      </c>
      <c r="H5306" s="106" t="inlineStr">
        <is>
          <t>Janeiro/2027</t>
        </is>
      </c>
    </row>
    <row r="5307">
      <c r="A5307" s="106" t="inlineStr">
        <is>
          <t>Oficina</t>
        </is>
      </c>
      <c r="B5307" s="106" t="inlineStr">
        <is>
          <t>Custo Variável</t>
        </is>
      </c>
      <c r="C5307" s="106" t="inlineStr">
        <is>
          <t>Combustível de frota</t>
        </is>
      </c>
      <c r="D5307" s="107" t="n"/>
      <c r="E5307" s="108" t="n"/>
      <c r="F5307" s="109">
        <f>IFERROR(D5307*E5307,0)</f>
        <v/>
      </c>
      <c r="G5307" s="106">
        <f>INDEX(SETORES!$B:$B,MATCH(A5307,SETORES!$A:$A,0))</f>
        <v/>
      </c>
      <c r="H5307" s="106" t="inlineStr">
        <is>
          <t>Janeiro/2027</t>
        </is>
      </c>
    </row>
    <row r="5308">
      <c r="A5308" s="106" t="inlineStr">
        <is>
          <t>Oficina</t>
        </is>
      </c>
      <c r="B5308" s="106" t="inlineStr">
        <is>
          <t>Custo Variável</t>
        </is>
      </c>
      <c r="C5308" s="106" t="inlineStr">
        <is>
          <t>Manutenção de veículos</t>
        </is>
      </c>
      <c r="D5308" s="107" t="n"/>
      <c r="E5308" s="108" t="n"/>
      <c r="F5308" s="109">
        <f>IFERROR(D5308*E5308,0)</f>
        <v/>
      </c>
      <c r="G5308" s="106">
        <f>INDEX(SETORES!$B:$B,MATCH(A5308,SETORES!$A:$A,0))</f>
        <v/>
      </c>
      <c r="H5308" s="106" t="inlineStr">
        <is>
          <t>Janeiro/2027</t>
        </is>
      </c>
    </row>
    <row r="5309">
      <c r="A5309" s="106" t="inlineStr">
        <is>
          <t>Oficina</t>
        </is>
      </c>
      <c r="B5309" s="106" t="inlineStr">
        <is>
          <t>Custo Variável</t>
        </is>
      </c>
      <c r="C5309" s="106" t="inlineStr">
        <is>
          <t>Rateio de transporte coletivo</t>
        </is>
      </c>
      <c r="D5309" s="107" t="n"/>
      <c r="E5309" s="108" t="n"/>
      <c r="F5309" s="109">
        <f>IFERROR(D5309*E5309,0)</f>
        <v/>
      </c>
      <c r="G5309" s="106">
        <f>INDEX(SETORES!$B:$B,MATCH(A5309,SETORES!$A:$A,0))</f>
        <v/>
      </c>
      <c r="H5309" s="106" t="inlineStr">
        <is>
          <t>Janeiro/2027</t>
        </is>
      </c>
    </row>
    <row r="5310">
      <c r="A5310" s="106" t="inlineStr">
        <is>
          <t>Oficina</t>
        </is>
      </c>
      <c r="B5310" s="106" t="inlineStr">
        <is>
          <t>Custo Fixo</t>
        </is>
      </c>
      <c r="C5310" s="106" t="inlineStr">
        <is>
          <t>Gympass</t>
        </is>
      </c>
      <c r="D5310" s="107" t="n"/>
      <c r="E5310" s="108" t="n"/>
      <c r="F5310" s="109">
        <f>IFERROR(D5310*E5310,0)</f>
        <v/>
      </c>
      <c r="G5310" s="106">
        <f>INDEX(SETORES!$B:$B,MATCH(A5310,SETORES!$A:$A,0))</f>
        <v/>
      </c>
      <c r="H5310" s="106" t="inlineStr">
        <is>
          <t>Janeiro/2027</t>
        </is>
      </c>
    </row>
    <row r="5311">
      <c r="A5311" s="106" t="inlineStr">
        <is>
          <t>Oficina</t>
        </is>
      </c>
      <c r="B5311" s="106" t="inlineStr">
        <is>
          <t>Custo Fixo</t>
        </is>
      </c>
      <c r="C5311" s="106" t="inlineStr">
        <is>
          <t>Stargrid</t>
        </is>
      </c>
      <c r="D5311" s="107" t="n">
        <v>4</v>
      </c>
      <c r="E5311" s="108" t="n">
        <v>1.87</v>
      </c>
      <c r="F5311" s="109">
        <f>IFERROR(D5311*E5311,0)</f>
        <v/>
      </c>
      <c r="G5311" s="106">
        <f>INDEX(SETORES!$B:$B,MATCH(A5311,SETORES!$A:$A,0))</f>
        <v/>
      </c>
      <c r="H5311" s="106" t="inlineStr">
        <is>
          <t>Janeiro/2027</t>
        </is>
      </c>
    </row>
    <row r="5312">
      <c r="A5312" s="106" t="inlineStr">
        <is>
          <t>RH</t>
        </is>
      </c>
      <c r="B5312" s="106" t="inlineStr">
        <is>
          <t>Custo Fixo</t>
        </is>
      </c>
      <c r="C5312" s="106" t="inlineStr">
        <is>
          <t>Material de escritório (suprimentos de informática)</t>
        </is>
      </c>
      <c r="D5312" s="107" t="n">
        <v>1</v>
      </c>
      <c r="E5312" s="108" t="n">
        <v>9.85</v>
      </c>
      <c r="F5312" s="109">
        <f>IFERROR(D5312*E5312,0)</f>
        <v/>
      </c>
      <c r="G5312" s="106">
        <f>INDEX(SETORES!$B:$B,MATCH(A5312,SETORES!$A:$A,0))</f>
        <v/>
      </c>
      <c r="H5312" s="106" t="inlineStr">
        <is>
          <t>Janeiro/2027</t>
        </is>
      </c>
    </row>
    <row r="5313">
      <c r="A5313" s="106" t="inlineStr">
        <is>
          <t>RH</t>
        </is>
      </c>
      <c r="B5313" s="106" t="inlineStr">
        <is>
          <t>Custo Fixo</t>
        </is>
      </c>
      <c r="C5313" s="106" t="inlineStr">
        <is>
          <t>Material de uso coletivo (copa/limpeza)</t>
        </is>
      </c>
      <c r="D5313" s="107" t="n">
        <v>1</v>
      </c>
      <c r="E5313" s="108" t="n">
        <v>167.98</v>
      </c>
      <c r="F5313" s="109">
        <f>IFERROR(D5313*E5313,0)</f>
        <v/>
      </c>
      <c r="G5313" s="106">
        <f>INDEX(SETORES!$B:$B,MATCH(A5313,SETORES!$A:$A,0))</f>
        <v/>
      </c>
      <c r="H5313" s="106" t="inlineStr">
        <is>
          <t>Janeiro/2027</t>
        </is>
      </c>
    </row>
    <row r="5314">
      <c r="A5314" s="106" t="inlineStr">
        <is>
          <t>RH</t>
        </is>
      </c>
      <c r="B5314" s="106" t="inlineStr">
        <is>
          <t>Custo Fixo</t>
        </is>
      </c>
      <c r="C5314" s="106" t="inlineStr">
        <is>
          <t>Energia elétrica (rateio)</t>
        </is>
      </c>
      <c r="D5314" s="107" t="n"/>
      <c r="E5314" s="108" t="n"/>
      <c r="F5314" s="109">
        <f>IFERROR(D5314*E5314,0)</f>
        <v/>
      </c>
      <c r="G5314" s="106">
        <f>INDEX(SETORES!$B:$B,MATCH(A5314,SETORES!$A:$A,0))</f>
        <v/>
      </c>
      <c r="H5314" s="106" t="inlineStr">
        <is>
          <t>Janeiro/2027</t>
        </is>
      </c>
    </row>
    <row r="5315">
      <c r="A5315" s="106" t="inlineStr">
        <is>
          <t>RH</t>
        </is>
      </c>
      <c r="B5315" s="106" t="inlineStr">
        <is>
          <t>Custo Fixo</t>
        </is>
      </c>
      <c r="C5315" s="106" t="inlineStr">
        <is>
          <t>Água e esgoto (rateio)</t>
        </is>
      </c>
      <c r="D5315" s="107" t="n"/>
      <c r="E5315" s="108" t="n"/>
      <c r="F5315" s="109">
        <f>IFERROR(D5315*E5315,0)</f>
        <v/>
      </c>
      <c r="G5315" s="106">
        <f>INDEX(SETORES!$B:$B,MATCH(A5315,SETORES!$A:$A,0))</f>
        <v/>
      </c>
      <c r="H5315" s="106" t="inlineStr">
        <is>
          <t>Janeiro/2027</t>
        </is>
      </c>
    </row>
    <row r="5316">
      <c r="A5316" s="106" t="inlineStr">
        <is>
          <t>RH</t>
        </is>
      </c>
      <c r="B5316" s="106" t="inlineStr">
        <is>
          <t>Custo Fixo</t>
        </is>
      </c>
      <c r="C5316" s="106" t="inlineStr">
        <is>
          <t>Telefonia móvel corporativa</t>
        </is>
      </c>
      <c r="D5316" s="107" t="n"/>
      <c r="E5316" s="108" t="n"/>
      <c r="F5316" s="109">
        <f>IFERROR(D5316*E5316,0)</f>
        <v/>
      </c>
      <c r="G5316" s="106">
        <f>INDEX(SETORES!$B:$B,MATCH(A5316,SETORES!$A:$A,0))</f>
        <v/>
      </c>
      <c r="H5316" s="106" t="inlineStr">
        <is>
          <t>Janeiro/2027</t>
        </is>
      </c>
    </row>
    <row r="5317">
      <c r="A5317" s="106" t="inlineStr">
        <is>
          <t>RH</t>
        </is>
      </c>
      <c r="B5317" s="106" t="inlineStr">
        <is>
          <t>Custo Fixo</t>
        </is>
      </c>
      <c r="C5317" s="106" t="inlineStr">
        <is>
          <t>Folha de pagamento (salários)</t>
        </is>
      </c>
      <c r="D5317" s="107" t="n">
        <v>1</v>
      </c>
      <c r="E5317" s="108" t="n">
        <v>30326.87</v>
      </c>
      <c r="F5317" s="109">
        <f>IFERROR(D5317*E5317,0)</f>
        <v/>
      </c>
      <c r="G5317" s="106">
        <f>INDEX(SETORES!$B:$B,MATCH(A5317,SETORES!$A:$A,0))</f>
        <v/>
      </c>
      <c r="H5317" s="106" t="inlineStr">
        <is>
          <t>Janeiro/2027</t>
        </is>
      </c>
    </row>
    <row r="5318">
      <c r="A5318" s="106" t="inlineStr">
        <is>
          <t>RH</t>
        </is>
      </c>
      <c r="B5318" s="106" t="inlineStr">
        <is>
          <t>Custo Variável</t>
        </is>
      </c>
      <c r="C5318" s="106" t="inlineStr">
        <is>
          <t>Fardamento novo (compra corporativa)</t>
        </is>
      </c>
      <c r="D5318" s="107" t="n"/>
      <c r="E5318" s="108" t="n"/>
      <c r="F5318" s="109">
        <f>IFERROR(D5318*E5318,0)</f>
        <v/>
      </c>
      <c r="G5318" s="106">
        <f>INDEX(SETORES!$B:$B,MATCH(A5318,SETORES!$A:$A,0))</f>
        <v/>
      </c>
      <c r="H5318" s="106" t="inlineStr">
        <is>
          <t>Janeiro/2027</t>
        </is>
      </c>
    </row>
    <row r="5319">
      <c r="A5319" s="106" t="inlineStr">
        <is>
          <t>RH</t>
        </is>
      </c>
      <c r="B5319" s="106" t="inlineStr">
        <is>
          <t>Custo Variável</t>
        </is>
      </c>
      <c r="C5319" s="106" t="inlineStr">
        <is>
          <t>Fardamento substituição (compra corporativa)</t>
        </is>
      </c>
      <c r="D5319" s="107" t="n"/>
      <c r="E5319" s="108" t="n"/>
      <c r="F5319" s="109">
        <f>IFERROR(D5319*E5319,0)</f>
        <v/>
      </c>
      <c r="G5319" s="106">
        <f>INDEX(SETORES!$B:$B,MATCH(A5319,SETORES!$A:$A,0))</f>
        <v/>
      </c>
      <c r="H5319" s="106" t="inlineStr">
        <is>
          <t>Janeiro/2027</t>
        </is>
      </c>
    </row>
    <row r="5320">
      <c r="A5320" s="106" t="inlineStr">
        <is>
          <t>RH</t>
        </is>
      </c>
      <c r="B5320" s="106" t="inlineStr">
        <is>
          <t>Custo Fixo</t>
        </is>
      </c>
      <c r="C5320" s="106" t="inlineStr">
        <is>
          <t>Treinamento e capacitação</t>
        </is>
      </c>
      <c r="D5320" s="107" t="n"/>
      <c r="E5320" s="108" t="n"/>
      <c r="F5320" s="109">
        <f>IFERROR(D5320*E5320,0)</f>
        <v/>
      </c>
      <c r="G5320" s="106">
        <f>INDEX(SETORES!$B:$B,MATCH(A5320,SETORES!$A:$A,0))</f>
        <v/>
      </c>
      <c r="H5320" s="106" t="inlineStr">
        <is>
          <t>Janeiro/2027</t>
        </is>
      </c>
    </row>
    <row r="5321">
      <c r="A5321" s="106" t="inlineStr">
        <is>
          <t>RH</t>
        </is>
      </c>
      <c r="B5321" s="106" t="inlineStr">
        <is>
          <t>Custo Variável</t>
        </is>
      </c>
      <c r="C5321" s="106" t="inlineStr">
        <is>
          <t>Recrutamento e seleção</t>
        </is>
      </c>
      <c r="D5321" s="107" t="n"/>
      <c r="E5321" s="108" t="n"/>
      <c r="F5321" s="109">
        <f>IFERROR(D5321*E5321,0)</f>
        <v/>
      </c>
      <c r="G5321" s="106">
        <f>INDEX(SETORES!$B:$B,MATCH(A5321,SETORES!$A:$A,0))</f>
        <v/>
      </c>
      <c r="H5321" s="106" t="inlineStr">
        <is>
          <t>Janeiro/2027</t>
        </is>
      </c>
    </row>
    <row r="5322">
      <c r="A5322" s="106" t="inlineStr">
        <is>
          <t>RH</t>
        </is>
      </c>
      <c r="B5322" s="106" t="inlineStr">
        <is>
          <t>Custo Fixo</t>
        </is>
      </c>
      <c r="C5322" s="106" t="inlineStr">
        <is>
          <t>Ações de endomarketing</t>
        </is>
      </c>
      <c r="D5322" s="107" t="n"/>
      <c r="E5322" s="108" t="n"/>
      <c r="F5322" s="109">
        <f>IFERROR(D5322*E5322,0)</f>
        <v/>
      </c>
      <c r="G5322" s="106">
        <f>INDEX(SETORES!$B:$B,MATCH(A5322,SETORES!$A:$A,0))</f>
        <v/>
      </c>
      <c r="H5322" s="106" t="inlineStr">
        <is>
          <t>Janeiro/2027</t>
        </is>
      </c>
    </row>
    <row r="5323">
      <c r="A5323" s="106" t="inlineStr">
        <is>
          <t>RH</t>
        </is>
      </c>
      <c r="B5323" s="106" t="inlineStr">
        <is>
          <t>Custo Fixo</t>
        </is>
      </c>
      <c r="C5323" s="106" t="inlineStr">
        <is>
          <t>Pesquisa de clima organizacional</t>
        </is>
      </c>
      <c r="D5323" s="107" t="n"/>
      <c r="E5323" s="108" t="n"/>
      <c r="F5323" s="109">
        <f>IFERROR(D5323*E5323,0)</f>
        <v/>
      </c>
      <c r="G5323" s="106">
        <f>INDEX(SETORES!$B:$B,MATCH(A5323,SETORES!$A:$A,0))</f>
        <v/>
      </c>
      <c r="H5323" s="106" t="inlineStr">
        <is>
          <t>Janeiro/2027</t>
        </is>
      </c>
    </row>
    <row r="5324">
      <c r="A5324" s="106" t="inlineStr">
        <is>
          <t>RH</t>
        </is>
      </c>
      <c r="B5324" s="106" t="inlineStr">
        <is>
          <t>Custo Fixo</t>
        </is>
      </c>
      <c r="C5324" s="106" t="inlineStr">
        <is>
          <t>Licença de e-mail corporativo</t>
        </is>
      </c>
      <c r="D5324" s="107" t="n">
        <v>6</v>
      </c>
      <c r="E5324" s="108" t="n">
        <v>50</v>
      </c>
      <c r="F5324" s="109">
        <f>IFERROR(D5324*E5324,0)</f>
        <v/>
      </c>
      <c r="G5324" s="106">
        <f>INDEX(SETORES!$B:$B,MATCH(A5324,SETORES!$A:$A,0))</f>
        <v/>
      </c>
      <c r="H5324" s="106" t="inlineStr">
        <is>
          <t>Janeiro/2027</t>
        </is>
      </c>
    </row>
    <row r="5325">
      <c r="A5325" s="106" t="inlineStr">
        <is>
          <t>RH</t>
        </is>
      </c>
      <c r="B5325" s="106" t="inlineStr">
        <is>
          <t>Custo Fixo</t>
        </is>
      </c>
      <c r="C5325" s="106" t="inlineStr">
        <is>
          <t>Impressora</t>
        </is>
      </c>
      <c r="D5325" s="107" t="n"/>
      <c r="E5325" s="108" t="n"/>
      <c r="F5325" s="109">
        <f>IFERROR(D5325*E5325,0)</f>
        <v/>
      </c>
      <c r="G5325" s="106">
        <f>INDEX(SETORES!$B:$B,MATCH(A5325,SETORES!$A:$A,0))</f>
        <v/>
      </c>
      <c r="H5325" s="106" t="inlineStr">
        <is>
          <t>Janeiro/2027</t>
        </is>
      </c>
    </row>
    <row r="5326">
      <c r="A5326" s="106" t="inlineStr">
        <is>
          <t>RH</t>
        </is>
      </c>
      <c r="B5326" s="106" t="inlineStr">
        <is>
          <t>Custo Fixo</t>
        </is>
      </c>
      <c r="C5326" s="106" t="inlineStr">
        <is>
          <t>Gympass</t>
        </is>
      </c>
      <c r="D5326" s="107" t="n"/>
      <c r="E5326" s="108" t="n"/>
      <c r="F5326" s="109">
        <f>IFERROR(D5326*E5326,0)</f>
        <v/>
      </c>
      <c r="G5326" s="106">
        <f>INDEX(SETORES!$B:$B,MATCH(A5326,SETORES!$A:$A,0))</f>
        <v/>
      </c>
      <c r="H5326" s="106" t="inlineStr">
        <is>
          <t>Janeiro/2027</t>
        </is>
      </c>
    </row>
    <row r="5327">
      <c r="A5327" s="106" t="inlineStr">
        <is>
          <t>RH</t>
        </is>
      </c>
      <c r="B5327" s="106" t="inlineStr">
        <is>
          <t>Custo Fixo</t>
        </is>
      </c>
      <c r="C5327" s="106" t="inlineStr">
        <is>
          <t>Stargrid</t>
        </is>
      </c>
      <c r="D5327" s="107" t="n">
        <v>6</v>
      </c>
      <c r="E5327" s="108" t="n">
        <v>1.87</v>
      </c>
      <c r="F5327" s="109">
        <f>IFERROR(D5327*E5327,0)</f>
        <v/>
      </c>
      <c r="G5327" s="106">
        <f>INDEX(SETORES!$B:$B,MATCH(A5327,SETORES!$A:$A,0))</f>
        <v/>
      </c>
      <c r="H5327" s="106" t="inlineStr">
        <is>
          <t>Janeiro/2027</t>
        </is>
      </c>
    </row>
    <row r="5328">
      <c r="A5328" s="106" t="inlineStr">
        <is>
          <t>Retenção</t>
        </is>
      </c>
      <c r="B5328" s="106" t="inlineStr">
        <is>
          <t>Custo Fixo</t>
        </is>
      </c>
      <c r="C5328" s="106" t="inlineStr">
        <is>
          <t>Material de escritório (suprimentos de informática)</t>
        </is>
      </c>
      <c r="D5328" s="107" t="n">
        <v>1</v>
      </c>
      <c r="E5328" s="108" t="n">
        <v>3.45</v>
      </c>
      <c r="F5328" s="109">
        <f>IFERROR(D5328*E5328,0)</f>
        <v/>
      </c>
      <c r="G5328" s="106">
        <f>INDEX(SETORES!$B:$B,MATCH(A5328,SETORES!$A:$A,0))</f>
        <v/>
      </c>
      <c r="H5328" s="106" t="inlineStr">
        <is>
          <t>Janeiro/2027</t>
        </is>
      </c>
    </row>
    <row r="5329">
      <c r="A5329" s="106" t="inlineStr">
        <is>
          <t>Retenção</t>
        </is>
      </c>
      <c r="B5329" s="106" t="inlineStr">
        <is>
          <t>Custo Fixo</t>
        </is>
      </c>
      <c r="C5329" s="106" t="inlineStr">
        <is>
          <t>Material de uso coletivo (copa/limpeza)</t>
        </is>
      </c>
      <c r="D5329" s="107" t="n">
        <v>1</v>
      </c>
      <c r="E5329" s="108" t="n">
        <v>606.65</v>
      </c>
      <c r="F5329" s="109">
        <f>IFERROR(D5329*E5329,0)</f>
        <v/>
      </c>
      <c r="G5329" s="106">
        <f>INDEX(SETORES!$B:$B,MATCH(A5329,SETORES!$A:$A,0))</f>
        <v/>
      </c>
      <c r="H5329" s="106" t="inlineStr">
        <is>
          <t>Janeiro/2027</t>
        </is>
      </c>
    </row>
    <row r="5330">
      <c r="A5330" s="106" t="inlineStr">
        <is>
          <t>Retenção</t>
        </is>
      </c>
      <c r="B5330" s="106" t="inlineStr">
        <is>
          <t>Custo Fixo</t>
        </is>
      </c>
      <c r="C5330" s="106" t="inlineStr">
        <is>
          <t>Energia elétrica (rateio)</t>
        </is>
      </c>
      <c r="D5330" s="107" t="n"/>
      <c r="E5330" s="108" t="n"/>
      <c r="F5330" s="109">
        <f>IFERROR(D5330*E5330,0)</f>
        <v/>
      </c>
      <c r="G5330" s="106">
        <f>INDEX(SETORES!$B:$B,MATCH(A5330,SETORES!$A:$A,0))</f>
        <v/>
      </c>
      <c r="H5330" s="106" t="inlineStr">
        <is>
          <t>Janeiro/2027</t>
        </is>
      </c>
    </row>
    <row r="5331">
      <c r="A5331" s="106" t="inlineStr">
        <is>
          <t>Retenção</t>
        </is>
      </c>
      <c r="B5331" s="106" t="inlineStr">
        <is>
          <t>Custo Fixo</t>
        </is>
      </c>
      <c r="C5331" s="106" t="inlineStr">
        <is>
          <t>Água e esgoto (rateio)</t>
        </is>
      </c>
      <c r="D5331" s="107" t="n"/>
      <c r="E5331" s="108" t="n"/>
      <c r="F5331" s="109">
        <f>IFERROR(D5331*E5331,0)</f>
        <v/>
      </c>
      <c r="G5331" s="106">
        <f>INDEX(SETORES!$B:$B,MATCH(A5331,SETORES!$A:$A,0))</f>
        <v/>
      </c>
      <c r="H5331" s="106" t="inlineStr">
        <is>
          <t>Janeiro/2027</t>
        </is>
      </c>
    </row>
    <row r="5332">
      <c r="A5332" s="106" t="inlineStr">
        <is>
          <t>Retenção</t>
        </is>
      </c>
      <c r="B5332" s="106" t="inlineStr">
        <is>
          <t>Custo Fixo</t>
        </is>
      </c>
      <c r="C5332" s="106" t="inlineStr">
        <is>
          <t>Telefonia móvel corporativa</t>
        </is>
      </c>
      <c r="D5332" s="107" t="n"/>
      <c r="E5332" s="108" t="n"/>
      <c r="F5332" s="109">
        <f>IFERROR(D5332*E5332,0)</f>
        <v/>
      </c>
      <c r="G5332" s="106">
        <f>INDEX(SETORES!$B:$B,MATCH(A5332,SETORES!$A:$A,0))</f>
        <v/>
      </c>
      <c r="H5332" s="106" t="inlineStr">
        <is>
          <t>Janeiro/2027</t>
        </is>
      </c>
    </row>
    <row r="5333">
      <c r="A5333" s="106" t="inlineStr">
        <is>
          <t>Retenção</t>
        </is>
      </c>
      <c r="B5333" s="106" t="inlineStr">
        <is>
          <t>Custo Fixo</t>
        </is>
      </c>
      <c r="C5333" s="106" t="inlineStr">
        <is>
          <t>Folha de pagamento (salários)</t>
        </is>
      </c>
      <c r="D5333" s="107" t="n">
        <v>1</v>
      </c>
      <c r="E5333" s="108" t="n">
        <v>41989.1</v>
      </c>
      <c r="F5333" s="109">
        <f>IFERROR(D5333*E5333,0)</f>
        <v/>
      </c>
      <c r="G5333" s="106">
        <f>INDEX(SETORES!$B:$B,MATCH(A5333,SETORES!$A:$A,0))</f>
        <v/>
      </c>
      <c r="H5333" s="106" t="inlineStr">
        <is>
          <t>Janeiro/2027</t>
        </is>
      </c>
    </row>
    <row r="5334">
      <c r="A5334" s="106" t="inlineStr">
        <is>
          <t>Retenção</t>
        </is>
      </c>
      <c r="B5334" s="106" t="inlineStr">
        <is>
          <t>Custo Variável</t>
        </is>
      </c>
      <c r="C5334" s="106" t="inlineStr">
        <is>
          <t>Fardamento novo</t>
        </is>
      </c>
      <c r="D5334" s="107" t="n"/>
      <c r="E5334" s="108" t="n"/>
      <c r="F5334" s="109">
        <f>IFERROR(D5334*E5334,0)</f>
        <v/>
      </c>
      <c r="G5334" s="106">
        <f>INDEX(SETORES!$B:$B,MATCH(A5334,SETORES!$A:$A,0))</f>
        <v/>
      </c>
      <c r="H5334" s="106" t="inlineStr">
        <is>
          <t>Janeiro/2027</t>
        </is>
      </c>
    </row>
    <row r="5335">
      <c r="A5335" s="106" t="inlineStr">
        <is>
          <t>Retenção</t>
        </is>
      </c>
      <c r="B5335" s="106" t="inlineStr">
        <is>
          <t>Custo Variável</t>
        </is>
      </c>
      <c r="C5335" s="106" t="inlineStr">
        <is>
          <t>Fardamento substituição</t>
        </is>
      </c>
      <c r="D5335" s="107" t="n"/>
      <c r="E5335" s="108" t="n"/>
      <c r="F5335" s="109">
        <f>IFERROR(D5335*E5335,0)</f>
        <v/>
      </c>
      <c r="G5335" s="106">
        <f>INDEX(SETORES!$B:$B,MATCH(A5335,SETORES!$A:$A,0))</f>
        <v/>
      </c>
      <c r="H5335" s="106" t="inlineStr">
        <is>
          <t>Janeiro/2027</t>
        </is>
      </c>
    </row>
    <row r="5336">
      <c r="A5336" s="106" t="inlineStr">
        <is>
          <t>Retenção</t>
        </is>
      </c>
      <c r="B5336" s="106" t="inlineStr">
        <is>
          <t>Custo Variável</t>
        </is>
      </c>
      <c r="C5336" s="106" t="inlineStr">
        <is>
          <t>Rescisões trabalhistas</t>
        </is>
      </c>
      <c r="D5336" s="107" t="n"/>
      <c r="E5336" s="108" t="n"/>
      <c r="F5336" s="109">
        <f>IFERROR(D5336*E5336,0)</f>
        <v/>
      </c>
      <c r="G5336" s="106">
        <f>INDEX(SETORES!$B:$B,MATCH(A5336,SETORES!$A:$A,0))</f>
        <v/>
      </c>
      <c r="H5336" s="106" t="inlineStr">
        <is>
          <t>Janeiro/2027</t>
        </is>
      </c>
    </row>
    <row r="5337">
      <c r="A5337" s="106" t="inlineStr">
        <is>
          <t>Retenção</t>
        </is>
      </c>
      <c r="B5337" s="106" t="inlineStr">
        <is>
          <t>Custo Fixo</t>
        </is>
      </c>
      <c r="C5337" s="106" t="inlineStr">
        <is>
          <t>Licença de e-mail corporativo</t>
        </is>
      </c>
      <c r="D5337" s="107" t="n">
        <v>12</v>
      </c>
      <c r="E5337" s="108" t="n">
        <v>50</v>
      </c>
      <c r="F5337" s="109">
        <f>IFERROR(D5337*E5337,0)</f>
        <v/>
      </c>
      <c r="G5337" s="106">
        <f>INDEX(SETORES!$B:$B,MATCH(A5337,SETORES!$A:$A,0))</f>
        <v/>
      </c>
      <c r="H5337" s="106" t="inlineStr">
        <is>
          <t>Janeiro/2027</t>
        </is>
      </c>
    </row>
    <row r="5338">
      <c r="A5338" s="106" t="inlineStr">
        <is>
          <t>Retenção</t>
        </is>
      </c>
      <c r="B5338" s="106" t="inlineStr">
        <is>
          <t>Custo Fixo</t>
        </is>
      </c>
      <c r="C5338" s="106" t="inlineStr">
        <is>
          <t>Software MATRIX (rateio equipe Relacionamento)</t>
        </is>
      </c>
      <c r="D5338" s="107" t="n"/>
      <c r="E5338" s="108" t="n"/>
      <c r="F5338" s="109">
        <f>IFERROR(D5338*E5338,0)</f>
        <v/>
      </c>
      <c r="G5338" s="106">
        <f>INDEX(SETORES!$B:$B,MATCH(A5338,SETORES!$A:$A,0))</f>
        <v/>
      </c>
      <c r="H5338" s="106" t="inlineStr">
        <is>
          <t>Janeiro/2027</t>
        </is>
      </c>
    </row>
    <row r="5339">
      <c r="A5339" s="106" t="inlineStr">
        <is>
          <t>Retenção</t>
        </is>
      </c>
      <c r="B5339" s="106" t="inlineStr">
        <is>
          <t>Custo Fixo</t>
        </is>
      </c>
      <c r="C5339" s="106" t="inlineStr">
        <is>
          <t>Impressora (rateio equipe Relacionamento)</t>
        </is>
      </c>
      <c r="D5339" s="107" t="n"/>
      <c r="E5339" s="108" t="n"/>
      <c r="F5339" s="109">
        <f>IFERROR(D5339*E5339,0)</f>
        <v/>
      </c>
      <c r="G5339" s="106">
        <f>INDEX(SETORES!$B:$B,MATCH(A5339,SETORES!$A:$A,0))</f>
        <v/>
      </c>
      <c r="H5339" s="106" t="inlineStr">
        <is>
          <t>Janeiro/2027</t>
        </is>
      </c>
    </row>
    <row r="5340">
      <c r="A5340" s="106" t="inlineStr">
        <is>
          <t>Retenção</t>
        </is>
      </c>
      <c r="B5340" s="106" t="inlineStr">
        <is>
          <t>Custo Fixo</t>
        </is>
      </c>
      <c r="C5340" s="106" t="inlineStr">
        <is>
          <t>Gympass</t>
        </is>
      </c>
      <c r="D5340" s="107" t="n"/>
      <c r="E5340" s="108" t="n"/>
      <c r="F5340" s="109">
        <f>IFERROR(D5340*E5340,0)</f>
        <v/>
      </c>
      <c r="G5340" s="106">
        <f>INDEX(SETORES!$B:$B,MATCH(A5340,SETORES!$A:$A,0))</f>
        <v/>
      </c>
      <c r="H5340" s="106" t="inlineStr">
        <is>
          <t>Janeiro/2027</t>
        </is>
      </c>
    </row>
    <row r="5341">
      <c r="A5341" s="106" t="inlineStr">
        <is>
          <t>Retenção</t>
        </is>
      </c>
      <c r="B5341" s="106" t="inlineStr">
        <is>
          <t>Custo Fixo</t>
        </is>
      </c>
      <c r="C5341" s="106" t="inlineStr">
        <is>
          <t>Stargrid</t>
        </is>
      </c>
      <c r="D5341" s="107" t="n">
        <v>12</v>
      </c>
      <c r="E5341" s="108" t="n">
        <v>1.87</v>
      </c>
      <c r="F5341" s="109">
        <f>IFERROR(D5341*E5341,0)</f>
        <v/>
      </c>
      <c r="G5341" s="106">
        <f>INDEX(SETORES!$B:$B,MATCH(A5341,SETORES!$A:$A,0))</f>
        <v/>
      </c>
      <c r="H5341" s="106" t="inlineStr">
        <is>
          <t>Janeiro/2027</t>
        </is>
      </c>
    </row>
    <row r="5342">
      <c r="A5342" s="106" t="inlineStr">
        <is>
          <t>Segurança do Trabalho</t>
        </is>
      </c>
      <c r="B5342" s="106" t="inlineStr">
        <is>
          <t>Custo Fixo</t>
        </is>
      </c>
      <c r="C5342" s="106" t="inlineStr">
        <is>
          <t>Material de escritório (suprimentos de informática)</t>
        </is>
      </c>
      <c r="D5342" s="107" t="n">
        <v>1</v>
      </c>
      <c r="E5342" s="108" t="n">
        <v>56.96</v>
      </c>
      <c r="F5342" s="109">
        <f>IFERROR(D5342*E5342,0)</f>
        <v/>
      </c>
      <c r="G5342" s="106">
        <f>INDEX(SETORES!$B:$B,MATCH(A5342,SETORES!$A:$A,0))</f>
        <v/>
      </c>
      <c r="H5342" s="106" t="inlineStr">
        <is>
          <t>Janeiro/2027</t>
        </is>
      </c>
    </row>
    <row r="5343">
      <c r="A5343" s="106" t="inlineStr">
        <is>
          <t>Segurança do Trabalho</t>
        </is>
      </c>
      <c r="B5343" s="106" t="inlineStr">
        <is>
          <t>Custo Fixo</t>
        </is>
      </c>
      <c r="C5343" s="106" t="inlineStr">
        <is>
          <t>Material de uso coletivo (copa/limpeza)</t>
        </is>
      </c>
      <c r="D5343" s="107" t="n"/>
      <c r="E5343" s="108" t="n"/>
      <c r="F5343" s="109">
        <f>IFERROR(D5343*E5343,0)</f>
        <v/>
      </c>
      <c r="G5343" s="106">
        <f>INDEX(SETORES!$B:$B,MATCH(A5343,SETORES!$A:$A,0))</f>
        <v/>
      </c>
      <c r="H5343" s="106" t="inlineStr">
        <is>
          <t>Janeiro/2027</t>
        </is>
      </c>
    </row>
    <row r="5344">
      <c r="A5344" s="106" t="inlineStr">
        <is>
          <t>Segurança do Trabalho</t>
        </is>
      </c>
      <c r="B5344" s="106" t="inlineStr">
        <is>
          <t>Custo Fixo</t>
        </is>
      </c>
      <c r="C5344" s="106" t="inlineStr">
        <is>
          <t>Energia elétrica (rateio)</t>
        </is>
      </c>
      <c r="D5344" s="107" t="n"/>
      <c r="E5344" s="108" t="n"/>
      <c r="F5344" s="109">
        <f>IFERROR(D5344*E5344,0)</f>
        <v/>
      </c>
      <c r="G5344" s="106">
        <f>INDEX(SETORES!$B:$B,MATCH(A5344,SETORES!$A:$A,0))</f>
        <v/>
      </c>
      <c r="H5344" s="106" t="inlineStr">
        <is>
          <t>Janeiro/2027</t>
        </is>
      </c>
    </row>
    <row r="5345">
      <c r="A5345" s="106" t="inlineStr">
        <is>
          <t>Segurança do Trabalho</t>
        </is>
      </c>
      <c r="B5345" s="106" t="inlineStr">
        <is>
          <t>Custo Fixo</t>
        </is>
      </c>
      <c r="C5345" s="106" t="inlineStr">
        <is>
          <t>Água e esgoto (rateio)</t>
        </is>
      </c>
      <c r="D5345" s="107" t="n"/>
      <c r="E5345" s="108" t="n"/>
      <c r="F5345" s="109">
        <f>IFERROR(D5345*E5345,0)</f>
        <v/>
      </c>
      <c r="G5345" s="106">
        <f>INDEX(SETORES!$B:$B,MATCH(A5345,SETORES!$A:$A,0))</f>
        <v/>
      </c>
      <c r="H5345" s="106" t="inlineStr">
        <is>
          <t>Janeiro/2027</t>
        </is>
      </c>
    </row>
    <row r="5346">
      <c r="A5346" s="106" t="inlineStr">
        <is>
          <t>Segurança do Trabalho</t>
        </is>
      </c>
      <c r="B5346" s="106" t="inlineStr">
        <is>
          <t>Custo Fixo</t>
        </is>
      </c>
      <c r="C5346" s="106" t="inlineStr">
        <is>
          <t>Telefonia móvel corporativa</t>
        </is>
      </c>
      <c r="D5346" s="107" t="n"/>
      <c r="E5346" s="108" t="n"/>
      <c r="F5346" s="109">
        <f>IFERROR(D5346*E5346,0)</f>
        <v/>
      </c>
      <c r="G5346" s="106">
        <f>INDEX(SETORES!$B:$B,MATCH(A5346,SETORES!$A:$A,0))</f>
        <v/>
      </c>
      <c r="H5346" s="106" t="inlineStr">
        <is>
          <t>Janeiro/2027</t>
        </is>
      </c>
    </row>
    <row r="5347">
      <c r="A5347" s="106" t="inlineStr">
        <is>
          <t>Segurança do Trabalho</t>
        </is>
      </c>
      <c r="B5347" s="106" t="inlineStr">
        <is>
          <t>Custo Fixo</t>
        </is>
      </c>
      <c r="C5347" s="106" t="inlineStr">
        <is>
          <t>Folha de pagamento (salários)</t>
        </is>
      </c>
      <c r="D5347" s="107" t="n">
        <v>1</v>
      </c>
      <c r="E5347" s="108" t="n">
        <v>43760.48</v>
      </c>
      <c r="F5347" s="109">
        <f>IFERROR(D5347*E5347,0)</f>
        <v/>
      </c>
      <c r="G5347" s="106">
        <f>INDEX(SETORES!$B:$B,MATCH(A5347,SETORES!$A:$A,0))</f>
        <v/>
      </c>
      <c r="H5347" s="106" t="inlineStr">
        <is>
          <t>Janeiro/2027</t>
        </is>
      </c>
    </row>
    <row r="5348">
      <c r="A5348" s="106" t="inlineStr">
        <is>
          <t>Segurança do Trabalho</t>
        </is>
      </c>
      <c r="B5348" s="106" t="inlineStr">
        <is>
          <t>Custo Variável</t>
        </is>
      </c>
      <c r="C5348" s="106" t="inlineStr">
        <is>
          <t>EPIs - Equipamento de Proteção Individual</t>
        </is>
      </c>
      <c r="D5348" s="107" t="n"/>
      <c r="E5348" s="108" t="n"/>
      <c r="F5348" s="109">
        <f>IFERROR(D5348*E5348,0)</f>
        <v/>
      </c>
      <c r="G5348" s="106">
        <f>INDEX(SETORES!$B:$B,MATCH(A5348,SETORES!$A:$A,0))</f>
        <v/>
      </c>
      <c r="H5348" s="106" t="inlineStr">
        <is>
          <t>Janeiro/2027</t>
        </is>
      </c>
    </row>
    <row r="5349">
      <c r="A5349" s="106" t="inlineStr">
        <is>
          <t>Cobrança</t>
        </is>
      </c>
      <c r="B5349" s="106" t="inlineStr">
        <is>
          <t>Custo Variável</t>
        </is>
      </c>
      <c r="C5349" s="106" t="inlineStr">
        <is>
          <t>Exames médicos</t>
        </is>
      </c>
      <c r="D5349" s="107" t="n"/>
      <c r="E5349" s="108" t="n"/>
      <c r="F5349" s="109">
        <f>IFERROR(D5349*E5349,0)</f>
        <v/>
      </c>
      <c r="G5349" s="106">
        <f>INDEX(SETORES!$B:$B,MATCH(A5349,SETORES!$A:$A,0))</f>
        <v/>
      </c>
      <c r="H5349" s="106" t="inlineStr">
        <is>
          <t>Janeiro/2027</t>
        </is>
      </c>
    </row>
    <row r="5350">
      <c r="A5350" s="106" t="inlineStr">
        <is>
          <t>NRC</t>
        </is>
      </c>
      <c r="B5350" s="106" t="inlineStr">
        <is>
          <t>Custo Variável</t>
        </is>
      </c>
      <c r="C5350" s="106" t="inlineStr">
        <is>
          <t>Exames médicos</t>
        </is>
      </c>
      <c r="D5350" s="107" t="n"/>
      <c r="E5350" s="108" t="n"/>
      <c r="F5350" s="109">
        <f>IFERROR(D5350*E5350,0)</f>
        <v/>
      </c>
      <c r="G5350" s="106">
        <f>INDEX(SETORES!$B:$B,MATCH(A5350,SETORES!$A:$A,0))</f>
        <v/>
      </c>
      <c r="H5350" s="106" t="inlineStr">
        <is>
          <t>Janeiro/2027</t>
        </is>
      </c>
    </row>
    <row r="5351">
      <c r="A5351" s="106" t="inlineStr">
        <is>
          <t>Suporte da Central</t>
        </is>
      </c>
      <c r="B5351" s="106" t="inlineStr">
        <is>
          <t>Custo Variável</t>
        </is>
      </c>
      <c r="C5351" s="106" t="inlineStr">
        <is>
          <t>Exames médicos</t>
        </is>
      </c>
      <c r="D5351" s="107" t="n"/>
      <c r="E5351" s="108" t="n"/>
      <c r="F5351" s="109">
        <f>IFERROR(D5351*E5351,0)</f>
        <v/>
      </c>
      <c r="G5351" s="106">
        <f>INDEX(SETORES!$B:$B,MATCH(A5351,SETORES!$A:$A,0))</f>
        <v/>
      </c>
      <c r="H5351" s="106" t="inlineStr">
        <is>
          <t>Janeiro/2027</t>
        </is>
      </c>
    </row>
    <row r="5352">
      <c r="A5352" s="106" t="inlineStr">
        <is>
          <t>Manutenção Predial</t>
        </is>
      </c>
      <c r="B5352" s="106" t="inlineStr">
        <is>
          <t>Custo Variável</t>
        </is>
      </c>
      <c r="C5352" s="106" t="inlineStr">
        <is>
          <t>Exames médicos</t>
        </is>
      </c>
      <c r="D5352" s="107" t="n"/>
      <c r="E5352" s="108" t="n"/>
      <c r="F5352" s="109">
        <f>IFERROR(D5352*E5352,0)</f>
        <v/>
      </c>
      <c r="G5352" s="106">
        <f>INDEX(SETORES!$B:$B,MATCH(A5352,SETORES!$A:$A,0))</f>
        <v/>
      </c>
      <c r="H5352" s="106" t="inlineStr">
        <is>
          <t>Janeiro/2027</t>
        </is>
      </c>
    </row>
    <row r="5353">
      <c r="A5353" s="106" t="inlineStr">
        <is>
          <t>Segurança do Trabalho</t>
        </is>
      </c>
      <c r="B5353" s="106" t="inlineStr">
        <is>
          <t>Custo Variável</t>
        </is>
      </c>
      <c r="C5353" s="106" t="inlineStr">
        <is>
          <t>Exames médicos</t>
        </is>
      </c>
      <c r="D5353" s="107" t="n"/>
      <c r="E5353" s="108" t="n"/>
      <c r="F5353" s="109">
        <f>IFERROR(D5353*E5353,0)</f>
        <v/>
      </c>
      <c r="G5353" s="106">
        <f>INDEX(SETORES!$B:$B,MATCH(A5353,SETORES!$A:$A,0))</f>
        <v/>
      </c>
      <c r="H5353" s="106" t="inlineStr">
        <is>
          <t>Janeiro/2027</t>
        </is>
      </c>
    </row>
    <row r="5354">
      <c r="A5354" s="106" t="inlineStr">
        <is>
          <t>Segurança do Trabalho</t>
        </is>
      </c>
      <c r="B5354" s="106" t="inlineStr">
        <is>
          <t>Custo Variável</t>
        </is>
      </c>
      <c r="C5354" s="106" t="inlineStr">
        <is>
          <t>Fardamento novo</t>
        </is>
      </c>
      <c r="D5354" s="107" t="n"/>
      <c r="E5354" s="108" t="n"/>
      <c r="F5354" s="109">
        <f>IFERROR(D5354*E5354,0)</f>
        <v/>
      </c>
      <c r="G5354" s="106">
        <f>INDEX(SETORES!$B:$B,MATCH(A5354,SETORES!$A:$A,0))</f>
        <v/>
      </c>
      <c r="H5354" s="106" t="inlineStr">
        <is>
          <t>Janeiro/2027</t>
        </is>
      </c>
    </row>
    <row r="5355">
      <c r="A5355" s="106" t="inlineStr">
        <is>
          <t>Segurança do Trabalho</t>
        </is>
      </c>
      <c r="B5355" s="106" t="inlineStr">
        <is>
          <t>Custo Variável</t>
        </is>
      </c>
      <c r="C5355" s="106" t="inlineStr">
        <is>
          <t>Fardamento substituição</t>
        </is>
      </c>
      <c r="D5355" s="107" t="n">
        <v>1</v>
      </c>
      <c r="E5355" s="108" t="n">
        <v>204</v>
      </c>
      <c r="F5355" s="109">
        <f>IFERROR(D5355*E5355,0)</f>
        <v/>
      </c>
      <c r="G5355" s="106">
        <f>INDEX(SETORES!$B:$B,MATCH(A5355,SETORES!$A:$A,0))</f>
        <v/>
      </c>
      <c r="H5355" s="106" t="inlineStr">
        <is>
          <t>Janeiro/2027</t>
        </is>
      </c>
    </row>
    <row r="5356">
      <c r="A5356" s="106" t="inlineStr">
        <is>
          <t>Segurança do Trabalho</t>
        </is>
      </c>
      <c r="B5356" s="106" t="inlineStr">
        <is>
          <t>Custo Variável</t>
        </is>
      </c>
      <c r="C5356" s="106" t="inlineStr">
        <is>
          <t>Rateio de transporte coletivo</t>
        </is>
      </c>
      <c r="D5356" s="107" t="n"/>
      <c r="E5356" s="108" t="n"/>
      <c r="F5356" s="109">
        <f>IFERROR(D5356*E5356,0)</f>
        <v/>
      </c>
      <c r="G5356" s="106">
        <f>INDEX(SETORES!$B:$B,MATCH(A5356,SETORES!$A:$A,0))</f>
        <v/>
      </c>
      <c r="H5356" s="106" t="inlineStr">
        <is>
          <t>Janeiro/2027</t>
        </is>
      </c>
    </row>
    <row r="5357">
      <c r="A5357" s="106" t="inlineStr">
        <is>
          <t>Segurança do Trabalho</t>
        </is>
      </c>
      <c r="B5357" s="106" t="inlineStr">
        <is>
          <t>Custo Variável</t>
        </is>
      </c>
      <c r="C5357" s="106" t="inlineStr">
        <is>
          <t>Médico do trabalho</t>
        </is>
      </c>
      <c r="D5357" s="107" t="n">
        <v>1</v>
      </c>
      <c r="E5357" s="108" t="n">
        <v>7689.5</v>
      </c>
      <c r="F5357" s="109">
        <f>IFERROR(D5357*E5357,0)</f>
        <v/>
      </c>
      <c r="G5357" s="106">
        <f>INDEX(SETORES!$B:$B,MATCH(A5357,SETORES!$A:$A,0))</f>
        <v/>
      </c>
      <c r="H5357" s="106" t="inlineStr">
        <is>
          <t>Janeiro/2027</t>
        </is>
      </c>
    </row>
    <row r="5358">
      <c r="A5358" s="106" t="inlineStr">
        <is>
          <t>Segurança do Trabalho</t>
        </is>
      </c>
      <c r="B5358" s="106" t="inlineStr">
        <is>
          <t>Custo Fixo</t>
        </is>
      </c>
      <c r="C5358" s="106" t="inlineStr">
        <is>
          <t>Licença de e-mail corporativo</t>
        </is>
      </c>
      <c r="D5358" s="107" t="n">
        <v>8</v>
      </c>
      <c r="E5358" s="108" t="n">
        <v>50</v>
      </c>
      <c r="F5358" s="109">
        <f>IFERROR(D5358*E5358,0)</f>
        <v/>
      </c>
      <c r="G5358" s="106">
        <f>INDEX(SETORES!$B:$B,MATCH(A5358,SETORES!$A:$A,0))</f>
        <v/>
      </c>
      <c r="H5358" s="106" t="inlineStr">
        <is>
          <t>Janeiro/2027</t>
        </is>
      </c>
    </row>
    <row r="5359">
      <c r="A5359" s="106" t="inlineStr">
        <is>
          <t>Segurança do Trabalho</t>
        </is>
      </c>
      <c r="B5359" s="106" t="inlineStr">
        <is>
          <t>Custo Variável</t>
        </is>
      </c>
      <c r="C5359" s="106" t="inlineStr">
        <is>
          <t>Combustível de frota</t>
        </is>
      </c>
      <c r="D5359" s="107" t="n">
        <v>1</v>
      </c>
      <c r="E5359" s="108" t="n">
        <v>4175.57</v>
      </c>
      <c r="F5359" s="109">
        <f>IFERROR(D5359*E5359,0)</f>
        <v/>
      </c>
      <c r="G5359" s="106">
        <f>INDEX(SETORES!$B:$B,MATCH(A5359,SETORES!$A:$A,0))</f>
        <v/>
      </c>
      <c r="H5359" s="106" t="inlineStr">
        <is>
          <t>Janeiro/2027</t>
        </is>
      </c>
    </row>
    <row r="5360">
      <c r="A5360" s="106" t="inlineStr">
        <is>
          <t>Segurança do Trabalho</t>
        </is>
      </c>
      <c r="B5360" s="106" t="inlineStr">
        <is>
          <t>Custo Fixo</t>
        </is>
      </c>
      <c r="C5360" s="106" t="inlineStr">
        <is>
          <t>Impressora</t>
        </is>
      </c>
      <c r="D5360" s="107" t="n"/>
      <c r="E5360" s="108" t="n"/>
      <c r="F5360" s="109">
        <f>IFERROR(D5360*E5360,0)</f>
        <v/>
      </c>
      <c r="G5360" s="106">
        <f>INDEX(SETORES!$B:$B,MATCH(A5360,SETORES!$A:$A,0))</f>
        <v/>
      </c>
      <c r="H5360" s="106" t="inlineStr">
        <is>
          <t>Janeiro/2027</t>
        </is>
      </c>
    </row>
    <row r="5361">
      <c r="A5361" s="106" t="inlineStr">
        <is>
          <t>Segurança do Trabalho</t>
        </is>
      </c>
      <c r="B5361" s="106" t="inlineStr">
        <is>
          <t>Custo Fixo</t>
        </is>
      </c>
      <c r="C5361" s="106" t="inlineStr">
        <is>
          <t>Gympass</t>
        </is>
      </c>
      <c r="D5361" s="107" t="n"/>
      <c r="E5361" s="108" t="n"/>
      <c r="F5361" s="109">
        <f>IFERROR(D5361*E5361,0)</f>
        <v/>
      </c>
      <c r="G5361" s="106">
        <f>INDEX(SETORES!$B:$B,MATCH(A5361,SETORES!$A:$A,0))</f>
        <v/>
      </c>
      <c r="H5361" s="106" t="inlineStr">
        <is>
          <t>Janeiro/2027</t>
        </is>
      </c>
    </row>
    <row r="5362">
      <c r="A5362" s="106" t="inlineStr">
        <is>
          <t>Segurança do Trabalho</t>
        </is>
      </c>
      <c r="B5362" s="106" t="inlineStr">
        <is>
          <t>Custo Fixo</t>
        </is>
      </c>
      <c r="C5362" s="106" t="inlineStr">
        <is>
          <t>Stargrid</t>
        </is>
      </c>
      <c r="D5362" s="107" t="n">
        <v>8</v>
      </c>
      <c r="E5362" s="108" t="n">
        <v>1.87</v>
      </c>
      <c r="F5362" s="109">
        <f>IFERROR(D5362*E5362,0)</f>
        <v/>
      </c>
      <c r="G5362" s="106">
        <f>INDEX(SETORES!$B:$B,MATCH(A5362,SETORES!$A:$A,0))</f>
        <v/>
      </c>
      <c r="H5362" s="106" t="inlineStr">
        <is>
          <t>Janeiro/2027</t>
        </is>
      </c>
    </row>
    <row r="5363">
      <c r="A5363" s="106" t="inlineStr">
        <is>
          <t>Suporte Orbix</t>
        </is>
      </c>
      <c r="B5363" s="106" t="inlineStr">
        <is>
          <t>Custo Fixo</t>
        </is>
      </c>
      <c r="C5363" s="106" t="inlineStr">
        <is>
          <t>Material de escritório (suprimentos de informática)</t>
        </is>
      </c>
      <c r="D5363" s="107" t="n">
        <v>1</v>
      </c>
      <c r="E5363" s="108" t="n">
        <v>2.3</v>
      </c>
      <c r="F5363" s="109">
        <f>IFERROR(D5363*E5363,0)</f>
        <v/>
      </c>
      <c r="G5363" s="106">
        <f>INDEX(SETORES!$B:$B,MATCH(A5363,SETORES!$A:$A,0))</f>
        <v/>
      </c>
      <c r="H5363" s="106" t="inlineStr">
        <is>
          <t>Janeiro/2027</t>
        </is>
      </c>
    </row>
    <row r="5364">
      <c r="A5364" s="106" t="inlineStr">
        <is>
          <t>Suporte Orbix</t>
        </is>
      </c>
      <c r="B5364" s="106" t="inlineStr">
        <is>
          <t>Custo Fixo</t>
        </is>
      </c>
      <c r="C5364" s="106" t="inlineStr">
        <is>
          <t>Material de uso coletivo (copa/limpeza)</t>
        </is>
      </c>
      <c r="D5364" s="107" t="n">
        <v>1</v>
      </c>
      <c r="E5364" s="108" t="n">
        <v>404.44</v>
      </c>
      <c r="F5364" s="109">
        <f>IFERROR(D5364*E5364,0)</f>
        <v/>
      </c>
      <c r="G5364" s="106">
        <f>INDEX(SETORES!$B:$B,MATCH(A5364,SETORES!$A:$A,0))</f>
        <v/>
      </c>
      <c r="H5364" s="106" t="inlineStr">
        <is>
          <t>Janeiro/2027</t>
        </is>
      </c>
    </row>
    <row r="5365">
      <c r="A5365" s="106" t="inlineStr">
        <is>
          <t>Suporte Orbix</t>
        </is>
      </c>
      <c r="B5365" s="106" t="inlineStr">
        <is>
          <t>Custo Fixo</t>
        </is>
      </c>
      <c r="C5365" s="106" t="inlineStr">
        <is>
          <t>Energia elétrica (rateio)</t>
        </is>
      </c>
      <c r="D5365" s="107" t="n"/>
      <c r="E5365" s="108" t="n"/>
      <c r="F5365" s="109">
        <f>IFERROR(D5365*E5365,0)</f>
        <v/>
      </c>
      <c r="G5365" s="106">
        <f>INDEX(SETORES!$B:$B,MATCH(A5365,SETORES!$A:$A,0))</f>
        <v/>
      </c>
      <c r="H5365" s="106" t="inlineStr">
        <is>
          <t>Janeiro/2027</t>
        </is>
      </c>
    </row>
    <row r="5366">
      <c r="A5366" s="106" t="inlineStr">
        <is>
          <t>Suporte Orbix</t>
        </is>
      </c>
      <c r="B5366" s="106" t="inlineStr">
        <is>
          <t>Custo Fixo</t>
        </is>
      </c>
      <c r="C5366" s="106" t="inlineStr">
        <is>
          <t>Água e esgoto (rateio)</t>
        </is>
      </c>
      <c r="D5366" s="107" t="n"/>
      <c r="E5366" s="108" t="n"/>
      <c r="F5366" s="109">
        <f>IFERROR(D5366*E5366,0)</f>
        <v/>
      </c>
      <c r="G5366" s="106">
        <f>INDEX(SETORES!$B:$B,MATCH(A5366,SETORES!$A:$A,0))</f>
        <v/>
      </c>
      <c r="H5366" s="106" t="inlineStr">
        <is>
          <t>Janeiro/2027</t>
        </is>
      </c>
    </row>
    <row r="5367">
      <c r="A5367" s="106" t="inlineStr">
        <is>
          <t>Suporte Orbix</t>
        </is>
      </c>
      <c r="B5367" s="106" t="inlineStr">
        <is>
          <t>Custo Fixo</t>
        </is>
      </c>
      <c r="C5367" s="106" t="inlineStr">
        <is>
          <t>Telefonia móvel corporativa</t>
        </is>
      </c>
      <c r="D5367" s="107" t="n"/>
      <c r="E5367" s="108" t="n"/>
      <c r="F5367" s="109">
        <f>IFERROR(D5367*E5367,0)</f>
        <v/>
      </c>
      <c r="G5367" s="106">
        <f>INDEX(SETORES!$B:$B,MATCH(A5367,SETORES!$A:$A,0))</f>
        <v/>
      </c>
      <c r="H5367" s="106" t="inlineStr">
        <is>
          <t>Janeiro/2027</t>
        </is>
      </c>
    </row>
    <row r="5368">
      <c r="A5368" s="106" t="inlineStr">
        <is>
          <t>Suporte Orbix</t>
        </is>
      </c>
      <c r="B5368" s="106" t="inlineStr">
        <is>
          <t>Custo Fixo</t>
        </is>
      </c>
      <c r="C5368" s="106" t="inlineStr">
        <is>
          <t>Folha de pagamento (salários)</t>
        </is>
      </c>
      <c r="D5368" s="107" t="n">
        <v>1</v>
      </c>
      <c r="E5368" s="108" t="n">
        <v>30736.23</v>
      </c>
      <c r="F5368" s="109">
        <f>IFERROR(D5368*E5368,0)</f>
        <v/>
      </c>
      <c r="G5368" s="106">
        <f>INDEX(SETORES!$B:$B,MATCH(A5368,SETORES!$A:$A,0))</f>
        <v/>
      </c>
      <c r="H5368" s="106" t="inlineStr">
        <is>
          <t>Janeiro/2027</t>
        </is>
      </c>
    </row>
    <row r="5369">
      <c r="A5369" s="106" t="inlineStr">
        <is>
          <t>Suporte Orbix</t>
        </is>
      </c>
      <c r="B5369" s="106" t="inlineStr">
        <is>
          <t>Custo Fixo</t>
        </is>
      </c>
      <c r="C5369" s="106" t="inlineStr">
        <is>
          <t>Licença de e-mail corporativo</t>
        </is>
      </c>
      <c r="D5369" s="107" t="n">
        <v>8</v>
      </c>
      <c r="E5369" s="108" t="n">
        <v>50</v>
      </c>
      <c r="F5369" s="109">
        <f>IFERROR(D5369*E5369,0)</f>
        <v/>
      </c>
      <c r="G5369" s="106">
        <f>INDEX(SETORES!$B:$B,MATCH(A5369,SETORES!$A:$A,0))</f>
        <v/>
      </c>
      <c r="H5369" s="106" t="inlineStr">
        <is>
          <t>Janeiro/2027</t>
        </is>
      </c>
    </row>
    <row r="5370">
      <c r="A5370" s="106" t="inlineStr">
        <is>
          <t>Suporte Orbix</t>
        </is>
      </c>
      <c r="B5370" s="106" t="inlineStr">
        <is>
          <t>Custo Fixo</t>
        </is>
      </c>
      <c r="C5370" s="106" t="inlineStr">
        <is>
          <t>Software MATRIX (rateio equipe Relacionamento)</t>
        </is>
      </c>
      <c r="D5370" s="107" t="n"/>
      <c r="E5370" s="108" t="n"/>
      <c r="F5370" s="109">
        <f>IFERROR(D5370*E5370,0)</f>
        <v/>
      </c>
      <c r="G5370" s="106">
        <f>INDEX(SETORES!$B:$B,MATCH(A5370,SETORES!$A:$A,0))</f>
        <v/>
      </c>
      <c r="H5370" s="106" t="inlineStr">
        <is>
          <t>Janeiro/2027</t>
        </is>
      </c>
    </row>
    <row r="5371">
      <c r="A5371" s="106" t="inlineStr">
        <is>
          <t>Suporte Orbix</t>
        </is>
      </c>
      <c r="B5371" s="106" t="inlineStr">
        <is>
          <t>Custo Fixo</t>
        </is>
      </c>
      <c r="C5371" s="106" t="inlineStr">
        <is>
          <t>Impressora (rateio equipe Relacionamento)</t>
        </is>
      </c>
      <c r="D5371" s="107" t="n"/>
      <c r="E5371" s="108" t="n"/>
      <c r="F5371" s="109">
        <f>IFERROR(D5371*E5371,0)</f>
        <v/>
      </c>
      <c r="G5371" s="106">
        <f>INDEX(SETORES!$B:$B,MATCH(A5371,SETORES!$A:$A,0))</f>
        <v/>
      </c>
      <c r="H5371" s="106" t="inlineStr">
        <is>
          <t>Janeiro/2027</t>
        </is>
      </c>
    </row>
    <row r="5372">
      <c r="A5372" s="106" t="inlineStr">
        <is>
          <t>Suporte Orbix</t>
        </is>
      </c>
      <c r="B5372" s="106" t="inlineStr">
        <is>
          <t>Custo Fixo</t>
        </is>
      </c>
      <c r="C5372" s="106" t="inlineStr">
        <is>
          <t>Gympass</t>
        </is>
      </c>
      <c r="D5372" s="107" t="n"/>
      <c r="E5372" s="108" t="n"/>
      <c r="F5372" s="109">
        <f>IFERROR(D5372*E5372,0)</f>
        <v/>
      </c>
      <c r="G5372" s="106">
        <f>INDEX(SETORES!$B:$B,MATCH(A5372,SETORES!$A:$A,0))</f>
        <v/>
      </c>
      <c r="H5372" s="106" t="inlineStr">
        <is>
          <t>Janeiro/2027</t>
        </is>
      </c>
    </row>
    <row r="5373">
      <c r="A5373" s="106" t="inlineStr">
        <is>
          <t>Suporte Orbix</t>
        </is>
      </c>
      <c r="B5373" s="106" t="inlineStr">
        <is>
          <t>Custo Fixo</t>
        </is>
      </c>
      <c r="C5373" s="106" t="inlineStr">
        <is>
          <t>Stargrid</t>
        </is>
      </c>
      <c r="D5373" s="107" t="n">
        <v>8</v>
      </c>
      <c r="E5373" s="108" t="n">
        <v>1.87</v>
      </c>
      <c r="F5373" s="109">
        <f>IFERROR(D5373*E5373,0)</f>
        <v/>
      </c>
      <c r="G5373" s="106">
        <f>INDEX(SETORES!$B:$B,MATCH(A5373,SETORES!$A:$A,0))</f>
        <v/>
      </c>
      <c r="H5373" s="106" t="inlineStr">
        <is>
          <t>Janeiro/2027</t>
        </is>
      </c>
    </row>
    <row r="5374">
      <c r="A5374" s="106" t="inlineStr">
        <is>
          <t>Suporte da Central</t>
        </is>
      </c>
      <c r="B5374" s="106" t="inlineStr">
        <is>
          <t>Custo Fixo</t>
        </is>
      </c>
      <c r="C5374" s="106" t="inlineStr">
        <is>
          <t>Material de escritório (suprimentos de informática)</t>
        </is>
      </c>
      <c r="D5374" s="107" t="n">
        <v>1</v>
      </c>
      <c r="E5374" s="108" t="n">
        <v>9.5</v>
      </c>
      <c r="F5374" s="109">
        <f>IFERROR(D5374*E5374,0)</f>
        <v/>
      </c>
      <c r="G5374" s="106">
        <f>INDEX(SETORES!$B:$B,MATCH(A5374,SETORES!$A:$A,0))</f>
        <v/>
      </c>
      <c r="H5374" s="106" t="inlineStr">
        <is>
          <t>Janeiro/2027</t>
        </is>
      </c>
    </row>
    <row r="5375">
      <c r="A5375" s="106" t="inlineStr">
        <is>
          <t>Suporte da Central</t>
        </is>
      </c>
      <c r="B5375" s="106" t="inlineStr">
        <is>
          <t>Custo Fixo</t>
        </is>
      </c>
      <c r="C5375" s="106" t="inlineStr">
        <is>
          <t>Material de uso coletivo (copa/limpeza)</t>
        </is>
      </c>
      <c r="D5375" s="107" t="n">
        <v>1</v>
      </c>
      <c r="E5375" s="108" t="n">
        <v>1668.3</v>
      </c>
      <c r="F5375" s="109">
        <f>IFERROR(D5375*E5375,0)</f>
        <v/>
      </c>
      <c r="G5375" s="106">
        <f>INDEX(SETORES!$B:$B,MATCH(A5375,SETORES!$A:$A,0))</f>
        <v/>
      </c>
      <c r="H5375" s="106" t="inlineStr">
        <is>
          <t>Janeiro/2027</t>
        </is>
      </c>
    </row>
    <row r="5376">
      <c r="A5376" s="106" t="inlineStr">
        <is>
          <t>Suporte da Central</t>
        </is>
      </c>
      <c r="B5376" s="106" t="inlineStr">
        <is>
          <t>Custo Fixo</t>
        </is>
      </c>
      <c r="C5376" s="106" t="inlineStr">
        <is>
          <t>Energia elétrica (rateio)</t>
        </is>
      </c>
      <c r="D5376" s="107" t="n"/>
      <c r="E5376" s="108" t="n"/>
      <c r="F5376" s="109">
        <f>IFERROR(D5376*E5376,0)</f>
        <v/>
      </c>
      <c r="G5376" s="106">
        <f>INDEX(SETORES!$B:$B,MATCH(A5376,SETORES!$A:$A,0))</f>
        <v/>
      </c>
      <c r="H5376" s="106" t="inlineStr">
        <is>
          <t>Janeiro/2027</t>
        </is>
      </c>
    </row>
    <row r="5377">
      <c r="A5377" s="106" t="inlineStr">
        <is>
          <t>Suporte da Central</t>
        </is>
      </c>
      <c r="B5377" s="106" t="inlineStr">
        <is>
          <t>Custo Fixo</t>
        </is>
      </c>
      <c r="C5377" s="106" t="inlineStr">
        <is>
          <t>Água e esgoto (rateio)</t>
        </is>
      </c>
      <c r="D5377" s="107" t="n"/>
      <c r="E5377" s="108" t="n"/>
      <c r="F5377" s="109">
        <f>IFERROR(D5377*E5377,0)</f>
        <v/>
      </c>
      <c r="G5377" s="106">
        <f>INDEX(SETORES!$B:$B,MATCH(A5377,SETORES!$A:$A,0))</f>
        <v/>
      </c>
      <c r="H5377" s="106" t="inlineStr">
        <is>
          <t>Janeiro/2027</t>
        </is>
      </c>
    </row>
    <row r="5378">
      <c r="A5378" s="106" t="inlineStr">
        <is>
          <t>Suporte da Central</t>
        </is>
      </c>
      <c r="B5378" s="106" t="inlineStr">
        <is>
          <t>Custo Fixo</t>
        </is>
      </c>
      <c r="C5378" s="106" t="inlineStr">
        <is>
          <t>Telefonia móvel corporativa</t>
        </is>
      </c>
      <c r="D5378" s="107" t="n"/>
      <c r="E5378" s="108" t="n"/>
      <c r="F5378" s="109">
        <f>IFERROR(D5378*E5378,0)</f>
        <v/>
      </c>
      <c r="G5378" s="106">
        <f>INDEX(SETORES!$B:$B,MATCH(A5378,SETORES!$A:$A,0))</f>
        <v/>
      </c>
      <c r="H5378" s="106" t="inlineStr">
        <is>
          <t>Janeiro/2027</t>
        </is>
      </c>
    </row>
    <row r="5379">
      <c r="A5379" s="106" t="inlineStr">
        <is>
          <t>Suporte da Central</t>
        </is>
      </c>
      <c r="B5379" s="106" t="inlineStr">
        <is>
          <t>Custo Fixo</t>
        </is>
      </c>
      <c r="C5379" s="106" t="inlineStr">
        <is>
          <t>Folha de pagamento (salários)</t>
        </is>
      </c>
      <c r="D5379" s="107" t="n">
        <v>1</v>
      </c>
      <c r="E5379" s="108" t="n">
        <v>106886.23</v>
      </c>
      <c r="F5379" s="109">
        <f>IFERROR(D5379*E5379,0)</f>
        <v/>
      </c>
      <c r="G5379" s="106">
        <f>INDEX(SETORES!$B:$B,MATCH(A5379,SETORES!$A:$A,0))</f>
        <v/>
      </c>
      <c r="H5379" s="106" t="inlineStr">
        <is>
          <t>Janeiro/2027</t>
        </is>
      </c>
    </row>
    <row r="5380">
      <c r="A5380" s="106" t="inlineStr">
        <is>
          <t>Suporte da Central</t>
        </is>
      </c>
      <c r="B5380" s="106" t="inlineStr">
        <is>
          <t>Custo Fixo</t>
        </is>
      </c>
      <c r="C5380" s="106" t="inlineStr">
        <is>
          <t>Licença de e-mail corporativo</t>
        </is>
      </c>
      <c r="D5380" s="107" t="n">
        <v>33</v>
      </c>
      <c r="E5380" s="108" t="n">
        <v>50</v>
      </c>
      <c r="F5380" s="109">
        <f>IFERROR(D5380*E5380,0)</f>
        <v/>
      </c>
      <c r="G5380" s="106">
        <f>INDEX(SETORES!$B:$B,MATCH(A5380,SETORES!$A:$A,0))</f>
        <v/>
      </c>
      <c r="H5380" s="106" t="inlineStr">
        <is>
          <t>Janeiro/2027</t>
        </is>
      </c>
    </row>
    <row r="5381">
      <c r="A5381" s="106" t="inlineStr">
        <is>
          <t>Suporte da Central</t>
        </is>
      </c>
      <c r="B5381" s="106" t="inlineStr">
        <is>
          <t>Custo Fixo</t>
        </is>
      </c>
      <c r="C5381" s="106" t="inlineStr">
        <is>
          <t>Software MATRIX (rateio equipe Relacionamento)</t>
        </is>
      </c>
      <c r="D5381" s="107" t="n"/>
      <c r="E5381" s="108" t="n"/>
      <c r="F5381" s="109">
        <f>IFERROR(D5381*E5381,0)</f>
        <v/>
      </c>
      <c r="G5381" s="106">
        <f>INDEX(SETORES!$B:$B,MATCH(A5381,SETORES!$A:$A,0))</f>
        <v/>
      </c>
      <c r="H5381" s="106" t="inlineStr">
        <is>
          <t>Janeiro/2027</t>
        </is>
      </c>
    </row>
    <row r="5382">
      <c r="A5382" s="106" t="inlineStr">
        <is>
          <t>Suporte da Central</t>
        </is>
      </c>
      <c r="B5382" s="106" t="inlineStr">
        <is>
          <t>Custo Fixo</t>
        </is>
      </c>
      <c r="C5382" s="106" t="inlineStr">
        <is>
          <t>Impressora (rateio equipe Relacionamento)</t>
        </is>
      </c>
      <c r="D5382" s="107" t="n"/>
      <c r="E5382" s="108" t="n"/>
      <c r="F5382" s="109">
        <f>IFERROR(D5382*E5382,0)</f>
        <v/>
      </c>
      <c r="G5382" s="106">
        <f>INDEX(SETORES!$B:$B,MATCH(A5382,SETORES!$A:$A,0))</f>
        <v/>
      </c>
      <c r="H5382" s="106" t="inlineStr">
        <is>
          <t>Janeiro/2027</t>
        </is>
      </c>
    </row>
    <row r="5383">
      <c r="A5383" s="106" t="inlineStr">
        <is>
          <t>Suporte da Central</t>
        </is>
      </c>
      <c r="B5383" s="106" t="inlineStr">
        <is>
          <t>Custo Fixo</t>
        </is>
      </c>
      <c r="C5383" s="106" t="inlineStr">
        <is>
          <t>Gympass</t>
        </is>
      </c>
      <c r="D5383" s="107" t="n"/>
      <c r="E5383" s="108" t="n"/>
      <c r="F5383" s="109">
        <f>IFERROR(D5383*E5383,0)</f>
        <v/>
      </c>
      <c r="G5383" s="106">
        <f>INDEX(SETORES!$B:$B,MATCH(A5383,SETORES!$A:$A,0))</f>
        <v/>
      </c>
      <c r="H5383" s="106" t="inlineStr">
        <is>
          <t>Janeiro/2027</t>
        </is>
      </c>
    </row>
    <row r="5384">
      <c r="A5384" s="106" t="inlineStr">
        <is>
          <t>Suporte da Central</t>
        </is>
      </c>
      <c r="B5384" s="106" t="inlineStr">
        <is>
          <t>Custo Fixo</t>
        </is>
      </c>
      <c r="C5384" s="106" t="inlineStr">
        <is>
          <t>Stargrid</t>
        </is>
      </c>
      <c r="D5384" s="107" t="n">
        <v>33</v>
      </c>
      <c r="E5384" s="108" t="n">
        <v>1.87</v>
      </c>
      <c r="F5384" s="109">
        <f>IFERROR(D5384*E5384,0)</f>
        <v/>
      </c>
      <c r="G5384" s="106">
        <f>INDEX(SETORES!$B:$B,MATCH(A5384,SETORES!$A:$A,0))</f>
        <v/>
      </c>
      <c r="H5384" s="106" t="inlineStr">
        <is>
          <t>Janeiro/2027</t>
        </is>
      </c>
    </row>
    <row r="5385">
      <c r="A5385" s="106" t="inlineStr">
        <is>
          <t>Televendas</t>
        </is>
      </c>
      <c r="B5385" s="106" t="inlineStr">
        <is>
          <t>Custo Fixo</t>
        </is>
      </c>
      <c r="C5385" s="106" t="inlineStr">
        <is>
          <t>Material de escritório (suprimentos de informática)</t>
        </is>
      </c>
      <c r="D5385" s="107" t="n">
        <v>1</v>
      </c>
      <c r="E5385" s="108" t="n">
        <v>3.17</v>
      </c>
      <c r="F5385" s="109">
        <f>IFERROR(D5385*E5385,0)</f>
        <v/>
      </c>
      <c r="G5385" s="106">
        <f>INDEX(SETORES!$B:$B,MATCH(A5385,SETORES!$A:$A,0))</f>
        <v/>
      </c>
      <c r="H5385" s="106" t="inlineStr">
        <is>
          <t>Janeiro/2027</t>
        </is>
      </c>
    </row>
    <row r="5386">
      <c r="A5386" s="106" t="inlineStr">
        <is>
          <t>Televendas</t>
        </is>
      </c>
      <c r="B5386" s="106" t="inlineStr">
        <is>
          <t>Custo Fixo</t>
        </is>
      </c>
      <c r="C5386" s="106" t="inlineStr">
        <is>
          <t>Material de uso coletivo (copa/limpeza)</t>
        </is>
      </c>
      <c r="D5386" s="107" t="n">
        <v>1</v>
      </c>
      <c r="E5386" s="108" t="n">
        <v>556.1</v>
      </c>
      <c r="F5386" s="109">
        <f>IFERROR(D5386*E5386,0)</f>
        <v/>
      </c>
      <c r="G5386" s="106">
        <f>INDEX(SETORES!$B:$B,MATCH(A5386,SETORES!$A:$A,0))</f>
        <v/>
      </c>
      <c r="H5386" s="106" t="inlineStr">
        <is>
          <t>Janeiro/2027</t>
        </is>
      </c>
    </row>
    <row r="5387">
      <c r="A5387" s="106" t="inlineStr">
        <is>
          <t>Televendas</t>
        </is>
      </c>
      <c r="B5387" s="106" t="inlineStr">
        <is>
          <t>Custo Fixo</t>
        </is>
      </c>
      <c r="C5387" s="106" t="inlineStr">
        <is>
          <t>Energia elétrica (rateio)</t>
        </is>
      </c>
      <c r="D5387" s="107" t="n"/>
      <c r="E5387" s="108" t="n"/>
      <c r="F5387" s="109">
        <f>IFERROR(D5387*E5387,0)</f>
        <v/>
      </c>
      <c r="G5387" s="106">
        <f>INDEX(SETORES!$B:$B,MATCH(A5387,SETORES!$A:$A,0))</f>
        <v/>
      </c>
      <c r="H5387" s="106" t="inlineStr">
        <is>
          <t>Janeiro/2027</t>
        </is>
      </c>
    </row>
    <row r="5388">
      <c r="A5388" s="106" t="inlineStr">
        <is>
          <t>Televendas</t>
        </is>
      </c>
      <c r="B5388" s="106" t="inlineStr">
        <is>
          <t>Custo Fixo</t>
        </is>
      </c>
      <c r="C5388" s="106" t="inlineStr">
        <is>
          <t>Água e esgoto (rateio)</t>
        </is>
      </c>
      <c r="D5388" s="107" t="n"/>
      <c r="E5388" s="108" t="n"/>
      <c r="F5388" s="109">
        <f>IFERROR(D5388*E5388,0)</f>
        <v/>
      </c>
      <c r="G5388" s="106">
        <f>INDEX(SETORES!$B:$B,MATCH(A5388,SETORES!$A:$A,0))</f>
        <v/>
      </c>
      <c r="H5388" s="106" t="inlineStr">
        <is>
          <t>Janeiro/2027</t>
        </is>
      </c>
    </row>
    <row r="5389">
      <c r="A5389" s="106" t="inlineStr">
        <is>
          <t>Televendas</t>
        </is>
      </c>
      <c r="B5389" s="106" t="inlineStr">
        <is>
          <t>Custo Fixo</t>
        </is>
      </c>
      <c r="C5389" s="106" t="inlineStr">
        <is>
          <t>Telefonia móvel corporativa</t>
        </is>
      </c>
      <c r="D5389" s="107" t="n"/>
      <c r="E5389" s="108" t="n"/>
      <c r="F5389" s="109">
        <f>IFERROR(D5389*E5389,0)</f>
        <v/>
      </c>
      <c r="G5389" s="106">
        <f>INDEX(SETORES!$B:$B,MATCH(A5389,SETORES!$A:$A,0))</f>
        <v/>
      </c>
      <c r="H5389" s="106" t="inlineStr">
        <is>
          <t>Janeiro/2027</t>
        </is>
      </c>
    </row>
    <row r="5390">
      <c r="A5390" s="106" t="inlineStr">
        <is>
          <t>Televendas</t>
        </is>
      </c>
      <c r="B5390" s="106" t="inlineStr">
        <is>
          <t>Custo Fixo</t>
        </is>
      </c>
      <c r="C5390" s="106" t="inlineStr">
        <is>
          <t>Folha de pagamento (salários)</t>
        </is>
      </c>
      <c r="D5390" s="107" t="n">
        <v>1</v>
      </c>
      <c r="E5390" s="108" t="n">
        <v>128483.01</v>
      </c>
      <c r="F5390" s="109">
        <f>IFERROR(D5390*E5390,0)</f>
        <v/>
      </c>
      <c r="G5390" s="106">
        <f>INDEX(SETORES!$B:$B,MATCH(A5390,SETORES!$A:$A,0))</f>
        <v/>
      </c>
      <c r="H5390" s="106" t="inlineStr">
        <is>
          <t>Janeiro/2027</t>
        </is>
      </c>
    </row>
    <row r="5391">
      <c r="A5391" s="106" t="inlineStr">
        <is>
          <t>Televendas</t>
        </is>
      </c>
      <c r="B5391" s="106" t="inlineStr">
        <is>
          <t>Custo Fixo</t>
        </is>
      </c>
      <c r="C5391" s="106" t="inlineStr">
        <is>
          <t>Licença de e-mail corporativo</t>
        </is>
      </c>
      <c r="D5391" s="107" t="n">
        <v>11</v>
      </c>
      <c r="E5391" s="108" t="n">
        <v>50</v>
      </c>
      <c r="F5391" s="109">
        <f>IFERROR(D5391*E5391,0)</f>
        <v/>
      </c>
      <c r="G5391" s="106">
        <f>INDEX(SETORES!$B:$B,MATCH(A5391,SETORES!$A:$A,0))</f>
        <v/>
      </c>
      <c r="H5391" s="106" t="inlineStr">
        <is>
          <t>Janeiro/2027</t>
        </is>
      </c>
    </row>
    <row r="5392">
      <c r="A5392" s="106" t="inlineStr">
        <is>
          <t>Televendas</t>
        </is>
      </c>
      <c r="B5392" s="106" t="inlineStr">
        <is>
          <t>Custo Fixo</t>
        </is>
      </c>
      <c r="C5392" s="106" t="inlineStr">
        <is>
          <t>Gympass</t>
        </is>
      </c>
      <c r="D5392" s="107" t="n"/>
      <c r="E5392" s="108" t="n"/>
      <c r="F5392" s="109">
        <f>IFERROR(D5392*E5392,0)</f>
        <v/>
      </c>
      <c r="G5392" s="106">
        <f>INDEX(SETORES!$B:$B,MATCH(A5392,SETORES!$A:$A,0))</f>
        <v/>
      </c>
      <c r="H5392" s="106" t="inlineStr">
        <is>
          <t>Janeiro/2027</t>
        </is>
      </c>
    </row>
    <row r="5393">
      <c r="A5393" s="106" t="inlineStr">
        <is>
          <t>Televendas</t>
        </is>
      </c>
      <c r="B5393" s="106" t="inlineStr">
        <is>
          <t>Custo Fixo</t>
        </is>
      </c>
      <c r="C5393" s="106" t="inlineStr">
        <is>
          <t>Stargrid</t>
        </is>
      </c>
      <c r="D5393" s="107" t="n">
        <v>11</v>
      </c>
      <c r="E5393" s="108" t="n">
        <v>1.87</v>
      </c>
      <c r="F5393" s="109">
        <f>IFERROR(D5393*E5393,0)</f>
        <v/>
      </c>
      <c r="G5393" s="106">
        <f>INDEX(SETORES!$B:$B,MATCH(A5393,SETORES!$A:$A,0))</f>
        <v/>
      </c>
      <c r="H5393" s="106" t="inlineStr">
        <is>
          <t>Janeiro/2027</t>
        </is>
      </c>
    </row>
    <row r="5394">
      <c r="A5394" s="106" t="inlineStr">
        <is>
          <t>Administrativo</t>
        </is>
      </c>
      <c r="B5394" s="106" t="inlineStr">
        <is>
          <t>Custo Fixo</t>
        </is>
      </c>
      <c r="C5394" s="106" t="inlineStr">
        <is>
          <t>Licença Google Workspace</t>
        </is>
      </c>
      <c r="D5394" s="107" t="n">
        <v>1</v>
      </c>
      <c r="E5394" s="108" t="n">
        <v>21454</v>
      </c>
      <c r="F5394" s="109">
        <f>IFERROR(D5394*E5394,0)</f>
        <v/>
      </c>
      <c r="G5394" s="106">
        <f>INDEX(SETORES!$B:$B,MATCH(A5394,SETORES!$A:$A,0))</f>
        <v/>
      </c>
      <c r="H5394" s="106" t="inlineStr">
        <is>
          <t>Janeiro/2027</t>
        </is>
      </c>
    </row>
    <row r="5395">
      <c r="A5395" s="106" t="inlineStr">
        <is>
          <t>Gestão de Atendimento</t>
        </is>
      </c>
      <c r="B5395" s="106" t="inlineStr">
        <is>
          <t>Custo Fixo</t>
        </is>
      </c>
      <c r="C5395" s="106" t="inlineStr">
        <is>
          <t>Despesas com RH</t>
        </is>
      </c>
      <c r="D5395" s="107" t="n">
        <v>17</v>
      </c>
      <c r="E5395" s="108" t="n">
        <v>32.55</v>
      </c>
      <c r="F5395" s="109">
        <f>IFERROR(D5395*E5395,0)</f>
        <v/>
      </c>
      <c r="G5395" s="106">
        <f>INDEX(SETORES!$B:$B,MATCH(A5395,SETORES!$A:$A,0))</f>
        <v/>
      </c>
      <c r="H5395" s="106" t="inlineStr">
        <is>
          <t>Janeiro/2027</t>
        </is>
      </c>
    </row>
    <row r="5396">
      <c r="A5396" s="106" t="inlineStr">
        <is>
          <t>Gestão de Atendimento</t>
        </is>
      </c>
      <c r="B5396" s="106" t="inlineStr">
        <is>
          <t>Custo Fixo</t>
        </is>
      </c>
      <c r="C5396" s="106" t="inlineStr">
        <is>
          <t>Despesas com DP</t>
        </is>
      </c>
      <c r="D5396" s="107" t="n">
        <v>17</v>
      </c>
      <c r="E5396" s="108" t="n">
        <v>52.09</v>
      </c>
      <c r="F5396" s="109">
        <f>IFERROR(D5396*E5396,0)</f>
        <v/>
      </c>
      <c r="G5396" s="106">
        <f>INDEX(SETORES!$B:$B,MATCH(A5396,SETORES!$A:$A,0))</f>
        <v/>
      </c>
      <c r="H5396" s="106" t="inlineStr">
        <is>
          <t>Janeiro/2027</t>
        </is>
      </c>
    </row>
    <row r="5397">
      <c r="A5397" s="106" t="inlineStr">
        <is>
          <t>Gestão de Atendimento</t>
        </is>
      </c>
      <c r="B5397" s="106" t="inlineStr">
        <is>
          <t>Custo Fixo</t>
        </is>
      </c>
      <c r="C5397" s="106" t="inlineStr">
        <is>
          <t>Despesas com SST</t>
        </is>
      </c>
      <c r="D5397" s="107" t="n">
        <v>17</v>
      </c>
      <c r="E5397" s="108" t="n">
        <v>52.35</v>
      </c>
      <c r="F5397" s="109">
        <f>IFERROR(D5397*E5397,0)</f>
        <v/>
      </c>
      <c r="G5397" s="106">
        <f>INDEX(SETORES!$B:$B,MATCH(A5397,SETORES!$A:$A,0))</f>
        <v/>
      </c>
      <c r="H5397" s="106" t="inlineStr">
        <is>
          <t>Janeiro/2027</t>
        </is>
      </c>
    </row>
    <row r="5398">
      <c r="A5398" s="106" t="inlineStr">
        <is>
          <t>CAC</t>
        </is>
      </c>
      <c r="B5398" s="106" t="inlineStr">
        <is>
          <t>Custo Fixo</t>
        </is>
      </c>
      <c r="C5398" s="106" t="inlineStr">
        <is>
          <t>Despesas com RH</t>
        </is>
      </c>
      <c r="D5398" s="107" t="n">
        <v>5</v>
      </c>
      <c r="E5398" s="108" t="n">
        <v>32.55</v>
      </c>
      <c r="F5398" s="109">
        <f>IFERROR(D5398*E5398,0)</f>
        <v/>
      </c>
      <c r="G5398" s="106">
        <f>INDEX(SETORES!$B:$B,MATCH(A5398,SETORES!$A:$A,0))</f>
        <v/>
      </c>
      <c r="H5398" s="106" t="inlineStr">
        <is>
          <t>Janeiro/2027</t>
        </is>
      </c>
    </row>
    <row r="5399">
      <c r="A5399" s="106" t="inlineStr">
        <is>
          <t>CAC</t>
        </is>
      </c>
      <c r="B5399" s="106" t="inlineStr">
        <is>
          <t>Custo Fixo</t>
        </is>
      </c>
      <c r="C5399" s="106" t="inlineStr">
        <is>
          <t>Despesas com DP</t>
        </is>
      </c>
      <c r="D5399" s="107" t="n">
        <v>5</v>
      </c>
      <c r="E5399" s="108" t="n">
        <v>52.09</v>
      </c>
      <c r="F5399" s="109">
        <f>IFERROR(D5399*E5399,0)</f>
        <v/>
      </c>
      <c r="G5399" s="106">
        <f>INDEX(SETORES!$B:$B,MATCH(A5399,SETORES!$A:$A,0))</f>
        <v/>
      </c>
      <c r="H5399" s="106" t="inlineStr">
        <is>
          <t>Janeiro/2027</t>
        </is>
      </c>
    </row>
    <row r="5400">
      <c r="A5400" s="106" t="inlineStr">
        <is>
          <t>CAC</t>
        </is>
      </c>
      <c r="B5400" s="106" t="inlineStr">
        <is>
          <t>Custo Fixo</t>
        </is>
      </c>
      <c r="C5400" s="106" t="inlineStr">
        <is>
          <t>Despesas com SST</t>
        </is>
      </c>
      <c r="D5400" s="107" t="n">
        <v>5</v>
      </c>
      <c r="E5400" s="108" t="n">
        <v>52.35</v>
      </c>
      <c r="F5400" s="109">
        <f>IFERROR(D5400*E5400,0)</f>
        <v/>
      </c>
      <c r="G5400" s="106">
        <f>INDEX(SETORES!$B:$B,MATCH(A5400,SETORES!$A:$A,0))</f>
        <v/>
      </c>
      <c r="H5400" s="106" t="inlineStr">
        <is>
          <t>Janeiro/2027</t>
        </is>
      </c>
    </row>
    <row r="5401">
      <c r="A5401" s="106" t="inlineStr">
        <is>
          <t>Cobrança</t>
        </is>
      </c>
      <c r="B5401" s="106" t="inlineStr">
        <is>
          <t>Custo Fixo</t>
        </is>
      </c>
      <c r="C5401" s="106" t="inlineStr">
        <is>
          <t>Despesas com RH</t>
        </is>
      </c>
      <c r="D5401" s="107" t="n">
        <v>13</v>
      </c>
      <c r="E5401" s="108" t="n">
        <v>32.55</v>
      </c>
      <c r="F5401" s="109">
        <f>IFERROR(D5401*E5401,0)</f>
        <v/>
      </c>
      <c r="G5401" s="106">
        <f>INDEX(SETORES!$B:$B,MATCH(A5401,SETORES!$A:$A,0))</f>
        <v/>
      </c>
      <c r="H5401" s="106" t="inlineStr">
        <is>
          <t>Janeiro/2027</t>
        </is>
      </c>
    </row>
    <row r="5402">
      <c r="A5402" s="106" t="inlineStr">
        <is>
          <t>Cobrança</t>
        </is>
      </c>
      <c r="B5402" s="106" t="inlineStr">
        <is>
          <t>Custo Fixo</t>
        </is>
      </c>
      <c r="C5402" s="106" t="inlineStr">
        <is>
          <t>Despesas com DP</t>
        </is>
      </c>
      <c r="D5402" s="107" t="n">
        <v>13</v>
      </c>
      <c r="E5402" s="108" t="n">
        <v>52.09</v>
      </c>
      <c r="F5402" s="109">
        <f>IFERROR(D5402*E5402,0)</f>
        <v/>
      </c>
      <c r="G5402" s="106">
        <f>INDEX(SETORES!$B:$B,MATCH(A5402,SETORES!$A:$A,0))</f>
        <v/>
      </c>
      <c r="H5402" s="106" t="inlineStr">
        <is>
          <t>Janeiro/2027</t>
        </is>
      </c>
    </row>
    <row r="5403">
      <c r="A5403" s="106" t="inlineStr">
        <is>
          <t>Cobrança</t>
        </is>
      </c>
      <c r="B5403" s="106" t="inlineStr">
        <is>
          <t>Custo Fixo</t>
        </is>
      </c>
      <c r="C5403" s="106" t="inlineStr">
        <is>
          <t>Despesas com SST</t>
        </is>
      </c>
      <c r="D5403" s="107" t="n">
        <v>13</v>
      </c>
      <c r="E5403" s="108" t="n">
        <v>52.35</v>
      </c>
      <c r="F5403" s="109">
        <f>IFERROR(D5403*E5403,0)</f>
        <v/>
      </c>
      <c r="G5403" s="106">
        <f>INDEX(SETORES!$B:$B,MATCH(A5403,SETORES!$A:$A,0))</f>
        <v/>
      </c>
      <c r="H5403" s="106" t="inlineStr">
        <is>
          <t>Janeiro/2027</t>
        </is>
      </c>
    </row>
    <row r="5404">
      <c r="A5404" s="106" t="inlineStr">
        <is>
          <t>Compras</t>
        </is>
      </c>
      <c r="B5404" s="106" t="inlineStr">
        <is>
          <t>Custo Fixo</t>
        </is>
      </c>
      <c r="C5404" s="106" t="inlineStr">
        <is>
          <t>Despesas com RH</t>
        </is>
      </c>
      <c r="D5404" s="107" t="n">
        <v>5</v>
      </c>
      <c r="E5404" s="108" t="n">
        <v>32.55</v>
      </c>
      <c r="F5404" s="109">
        <f>IFERROR(D5404*E5404,0)</f>
        <v/>
      </c>
      <c r="G5404" s="106">
        <f>INDEX(SETORES!$B:$B,MATCH(A5404,SETORES!$A:$A,0))</f>
        <v/>
      </c>
      <c r="H5404" s="106" t="inlineStr">
        <is>
          <t>Janeiro/2027</t>
        </is>
      </c>
    </row>
    <row r="5405">
      <c r="A5405" s="106" t="inlineStr">
        <is>
          <t>Compras</t>
        </is>
      </c>
      <c r="B5405" s="106" t="inlineStr">
        <is>
          <t>Custo Fixo</t>
        </is>
      </c>
      <c r="C5405" s="106" t="inlineStr">
        <is>
          <t>Despesas com DP</t>
        </is>
      </c>
      <c r="D5405" s="107" t="n">
        <v>5</v>
      </c>
      <c r="E5405" s="108" t="n">
        <v>52.09</v>
      </c>
      <c r="F5405" s="109">
        <f>IFERROR(D5405*E5405,0)</f>
        <v/>
      </c>
      <c r="G5405" s="106">
        <f>INDEX(SETORES!$B:$B,MATCH(A5405,SETORES!$A:$A,0))</f>
        <v/>
      </c>
      <c r="H5405" s="106" t="inlineStr">
        <is>
          <t>Janeiro/2027</t>
        </is>
      </c>
    </row>
    <row r="5406">
      <c r="A5406" s="106" t="inlineStr">
        <is>
          <t>Compras</t>
        </is>
      </c>
      <c r="B5406" s="106" t="inlineStr">
        <is>
          <t>Custo Fixo</t>
        </is>
      </c>
      <c r="C5406" s="106" t="inlineStr">
        <is>
          <t>Despesas com SST</t>
        </is>
      </c>
      <c r="D5406" s="107" t="n">
        <v>5</v>
      </c>
      <c r="E5406" s="108" t="n">
        <v>52.35</v>
      </c>
      <c r="F5406" s="109">
        <f>IFERROR(D5406*E5406,0)</f>
        <v/>
      </c>
      <c r="G5406" s="106">
        <f>INDEX(SETORES!$B:$B,MATCH(A5406,SETORES!$A:$A,0))</f>
        <v/>
      </c>
      <c r="H5406" s="106" t="inlineStr">
        <is>
          <t>Janeiro/2027</t>
        </is>
      </c>
    </row>
    <row r="5407">
      <c r="A5407" s="106" t="inlineStr">
        <is>
          <t>Contabilidade</t>
        </is>
      </c>
      <c r="B5407" s="106" t="inlineStr">
        <is>
          <t>Custo Fixo</t>
        </is>
      </c>
      <c r="C5407" s="106" t="inlineStr">
        <is>
          <t>Despesas com RH</t>
        </is>
      </c>
      <c r="D5407" s="107" t="n">
        <v>6</v>
      </c>
      <c r="E5407" s="108" t="n">
        <v>32.55</v>
      </c>
      <c r="F5407" s="109">
        <f>IFERROR(D5407*E5407,0)</f>
        <v/>
      </c>
      <c r="G5407" s="106">
        <f>INDEX(SETORES!$B:$B,MATCH(A5407,SETORES!$A:$A,0))</f>
        <v/>
      </c>
      <c r="H5407" s="106" t="inlineStr">
        <is>
          <t>Janeiro/2027</t>
        </is>
      </c>
    </row>
    <row r="5408">
      <c r="A5408" s="106" t="inlineStr">
        <is>
          <t>Contabilidade</t>
        </is>
      </c>
      <c r="B5408" s="106" t="inlineStr">
        <is>
          <t>Custo Fixo</t>
        </is>
      </c>
      <c r="C5408" s="106" t="inlineStr">
        <is>
          <t>Despesas com DP</t>
        </is>
      </c>
      <c r="D5408" s="107" t="n">
        <v>6</v>
      </c>
      <c r="E5408" s="108" t="n">
        <v>52.09</v>
      </c>
      <c r="F5408" s="109">
        <f>IFERROR(D5408*E5408,0)</f>
        <v/>
      </c>
      <c r="G5408" s="106">
        <f>INDEX(SETORES!$B:$B,MATCH(A5408,SETORES!$A:$A,0))</f>
        <v/>
      </c>
      <c r="H5408" s="106" t="inlineStr">
        <is>
          <t>Janeiro/2027</t>
        </is>
      </c>
    </row>
    <row r="5409">
      <c r="A5409" s="106" t="inlineStr">
        <is>
          <t>Contabilidade</t>
        </is>
      </c>
      <c r="B5409" s="106" t="inlineStr">
        <is>
          <t>Custo Fixo</t>
        </is>
      </c>
      <c r="C5409" s="106" t="inlineStr">
        <is>
          <t>Despesas com SST</t>
        </is>
      </c>
      <c r="D5409" s="107" t="n">
        <v>6</v>
      </c>
      <c r="E5409" s="108" t="n">
        <v>52.35</v>
      </c>
      <c r="F5409" s="109">
        <f>IFERROR(D5409*E5409,0)</f>
        <v/>
      </c>
      <c r="G5409" s="106">
        <f>INDEX(SETORES!$B:$B,MATCH(A5409,SETORES!$A:$A,0))</f>
        <v/>
      </c>
      <c r="H5409" s="106" t="inlineStr">
        <is>
          <t>Janeiro/2027</t>
        </is>
      </c>
    </row>
    <row r="5410">
      <c r="A5410" s="106" t="inlineStr">
        <is>
          <t>Controladoria</t>
        </is>
      </c>
      <c r="B5410" s="106" t="inlineStr">
        <is>
          <t>Custo Fixo</t>
        </is>
      </c>
      <c r="C5410" s="106" t="inlineStr">
        <is>
          <t>Despesas com RH</t>
        </is>
      </c>
      <c r="D5410" s="107" t="n">
        <v>1</v>
      </c>
      <c r="E5410" s="108" t="n">
        <v>32.55</v>
      </c>
      <c r="F5410" s="109">
        <f>IFERROR(D5410*E5410,0)</f>
        <v/>
      </c>
      <c r="G5410" s="106">
        <f>INDEX(SETORES!$B:$B,MATCH(A5410,SETORES!$A:$A,0))</f>
        <v/>
      </c>
      <c r="H5410" s="106" t="inlineStr">
        <is>
          <t>Janeiro/2027</t>
        </is>
      </c>
    </row>
    <row r="5411">
      <c r="A5411" s="106" t="inlineStr">
        <is>
          <t>Controladoria</t>
        </is>
      </c>
      <c r="B5411" s="106" t="inlineStr">
        <is>
          <t>Custo Fixo</t>
        </is>
      </c>
      <c r="C5411" s="106" t="inlineStr">
        <is>
          <t>Despesas com DP</t>
        </is>
      </c>
      <c r="D5411" s="107" t="n">
        <v>1</v>
      </c>
      <c r="E5411" s="108" t="n">
        <v>52.09</v>
      </c>
      <c r="F5411" s="109">
        <f>IFERROR(D5411*E5411,0)</f>
        <v/>
      </c>
      <c r="G5411" s="106">
        <f>INDEX(SETORES!$B:$B,MATCH(A5411,SETORES!$A:$A,0))</f>
        <v/>
      </c>
      <c r="H5411" s="106" t="inlineStr">
        <is>
          <t>Janeiro/2027</t>
        </is>
      </c>
    </row>
    <row r="5412">
      <c r="A5412" s="106" t="inlineStr">
        <is>
          <t>Controladoria</t>
        </is>
      </c>
      <c r="B5412" s="106" t="inlineStr">
        <is>
          <t>Custo Fixo</t>
        </is>
      </c>
      <c r="C5412" s="106" t="inlineStr">
        <is>
          <t>Despesas com SST</t>
        </is>
      </c>
      <c r="D5412" s="107" t="n">
        <v>1</v>
      </c>
      <c r="E5412" s="108" t="n">
        <v>52.35</v>
      </c>
      <c r="F5412" s="109">
        <f>IFERROR(D5412*E5412,0)</f>
        <v/>
      </c>
      <c r="G5412" s="106">
        <f>INDEX(SETORES!$B:$B,MATCH(A5412,SETORES!$A:$A,0))</f>
        <v/>
      </c>
      <c r="H5412" s="106" t="inlineStr">
        <is>
          <t>Janeiro/2027</t>
        </is>
      </c>
    </row>
    <row r="5413">
      <c r="A5413" s="106" t="inlineStr">
        <is>
          <t>DP</t>
        </is>
      </c>
      <c r="B5413" s="106" t="inlineStr">
        <is>
          <t>Custo Fixo</t>
        </is>
      </c>
      <c r="C5413" s="106" t="inlineStr">
        <is>
          <t>Despesas com RH</t>
        </is>
      </c>
      <c r="D5413" s="107" t="n">
        <v>9</v>
      </c>
      <c r="E5413" s="108" t="n">
        <v>32.55</v>
      </c>
      <c r="F5413" s="109">
        <f>IFERROR(D5413*E5413,0)</f>
        <v/>
      </c>
      <c r="G5413" s="106">
        <f>INDEX(SETORES!$B:$B,MATCH(A5413,SETORES!$A:$A,0))</f>
        <v/>
      </c>
      <c r="H5413" s="106" t="inlineStr">
        <is>
          <t>Janeiro/2027</t>
        </is>
      </c>
    </row>
    <row r="5414">
      <c r="A5414" s="106" t="inlineStr">
        <is>
          <t>DP</t>
        </is>
      </c>
      <c r="B5414" s="106" t="inlineStr">
        <is>
          <t>Custo Fixo</t>
        </is>
      </c>
      <c r="C5414" s="106" t="inlineStr">
        <is>
          <t>Despesas com DP</t>
        </is>
      </c>
      <c r="D5414" s="107" t="n">
        <v>9</v>
      </c>
      <c r="E5414" s="108" t="n">
        <v>52.09</v>
      </c>
      <c r="F5414" s="109">
        <f>IFERROR(D5414*E5414,0)</f>
        <v/>
      </c>
      <c r="G5414" s="106">
        <f>INDEX(SETORES!$B:$B,MATCH(A5414,SETORES!$A:$A,0))</f>
        <v/>
      </c>
      <c r="H5414" s="106" t="inlineStr">
        <is>
          <t>Janeiro/2027</t>
        </is>
      </c>
    </row>
    <row r="5415">
      <c r="A5415" s="106" t="inlineStr">
        <is>
          <t>DP</t>
        </is>
      </c>
      <c r="B5415" s="106" t="inlineStr">
        <is>
          <t>Custo Fixo</t>
        </is>
      </c>
      <c r="C5415" s="106" t="inlineStr">
        <is>
          <t>Despesas com SST</t>
        </is>
      </c>
      <c r="D5415" s="107" t="n">
        <v>9</v>
      </c>
      <c r="E5415" s="108" t="n">
        <v>52.35</v>
      </c>
      <c r="F5415" s="109">
        <f>IFERROR(D5415*E5415,0)</f>
        <v/>
      </c>
      <c r="G5415" s="106">
        <f>INDEX(SETORES!$B:$B,MATCH(A5415,SETORES!$A:$A,0))</f>
        <v/>
      </c>
      <c r="H5415" s="106" t="inlineStr">
        <is>
          <t>Janeiro/2027</t>
        </is>
      </c>
    </row>
    <row r="5416">
      <c r="A5416" s="106" t="inlineStr">
        <is>
          <t>Diretoria Operacional</t>
        </is>
      </c>
      <c r="B5416" s="106" t="inlineStr">
        <is>
          <t>Custo Fixo</t>
        </is>
      </c>
      <c r="C5416" s="106" t="inlineStr">
        <is>
          <t>Despesas com RH</t>
        </is>
      </c>
      <c r="D5416" s="107" t="n">
        <v>2</v>
      </c>
      <c r="E5416" s="108" t="n">
        <v>32.55</v>
      </c>
      <c r="F5416" s="109">
        <f>IFERROR(D5416*E5416,0)</f>
        <v/>
      </c>
      <c r="G5416" s="106">
        <f>INDEX(SETORES!$B:$B,MATCH(A5416,SETORES!$A:$A,0))</f>
        <v/>
      </c>
      <c r="H5416" s="106" t="inlineStr">
        <is>
          <t>Janeiro/2027</t>
        </is>
      </c>
    </row>
    <row r="5417">
      <c r="A5417" s="106" t="inlineStr">
        <is>
          <t>Diretoria Operacional</t>
        </is>
      </c>
      <c r="B5417" s="106" t="inlineStr">
        <is>
          <t>Custo Fixo</t>
        </is>
      </c>
      <c r="C5417" s="106" t="inlineStr">
        <is>
          <t>Despesas com DP</t>
        </is>
      </c>
      <c r="D5417" s="107" t="n">
        <v>2</v>
      </c>
      <c r="E5417" s="108" t="n">
        <v>52.09</v>
      </c>
      <c r="F5417" s="109">
        <f>IFERROR(D5417*E5417,0)</f>
        <v/>
      </c>
      <c r="G5417" s="106">
        <f>INDEX(SETORES!$B:$B,MATCH(A5417,SETORES!$A:$A,0))</f>
        <v/>
      </c>
      <c r="H5417" s="106" t="inlineStr">
        <is>
          <t>Janeiro/2027</t>
        </is>
      </c>
    </row>
    <row r="5418">
      <c r="A5418" s="106" t="inlineStr">
        <is>
          <t>Diretoria Operacional</t>
        </is>
      </c>
      <c r="B5418" s="106" t="inlineStr">
        <is>
          <t>Custo Fixo</t>
        </is>
      </c>
      <c r="C5418" s="106" t="inlineStr">
        <is>
          <t>Despesas com SST</t>
        </is>
      </c>
      <c r="D5418" s="107" t="n">
        <v>2</v>
      </c>
      <c r="E5418" s="108" t="n">
        <v>52.35</v>
      </c>
      <c r="F5418" s="109">
        <f>IFERROR(D5418*E5418,0)</f>
        <v/>
      </c>
      <c r="G5418" s="106">
        <f>INDEX(SETORES!$B:$B,MATCH(A5418,SETORES!$A:$A,0))</f>
        <v/>
      </c>
      <c r="H5418" s="106" t="inlineStr">
        <is>
          <t>Janeiro/2027</t>
        </is>
      </c>
    </row>
    <row r="5419">
      <c r="A5419" s="106" t="inlineStr">
        <is>
          <t>Engenharia</t>
        </is>
      </c>
      <c r="B5419" s="106" t="inlineStr">
        <is>
          <t>Custo Fixo</t>
        </is>
      </c>
      <c r="C5419" s="106" t="inlineStr">
        <is>
          <t>Despesas com RH</t>
        </is>
      </c>
      <c r="D5419" s="107" t="n">
        <v>9</v>
      </c>
      <c r="E5419" s="108" t="n">
        <v>32.55</v>
      </c>
      <c r="F5419" s="109">
        <f>IFERROR(D5419*E5419,0)</f>
        <v/>
      </c>
      <c r="G5419" s="106">
        <f>INDEX(SETORES!$B:$B,MATCH(A5419,SETORES!$A:$A,0))</f>
        <v/>
      </c>
      <c r="H5419" s="106" t="inlineStr">
        <is>
          <t>Janeiro/2027</t>
        </is>
      </c>
    </row>
    <row r="5420">
      <c r="A5420" s="106" t="inlineStr">
        <is>
          <t>Engenharia</t>
        </is>
      </c>
      <c r="B5420" s="106" t="inlineStr">
        <is>
          <t>Custo Fixo</t>
        </is>
      </c>
      <c r="C5420" s="106" t="inlineStr">
        <is>
          <t>Despesas com DP</t>
        </is>
      </c>
      <c r="D5420" s="107" t="n">
        <v>9</v>
      </c>
      <c r="E5420" s="108" t="n">
        <v>52.09</v>
      </c>
      <c r="F5420" s="109">
        <f>IFERROR(D5420*E5420,0)</f>
        <v/>
      </c>
      <c r="G5420" s="106">
        <f>INDEX(SETORES!$B:$B,MATCH(A5420,SETORES!$A:$A,0))</f>
        <v/>
      </c>
      <c r="H5420" s="106" t="inlineStr">
        <is>
          <t>Janeiro/2027</t>
        </is>
      </c>
    </row>
    <row r="5421">
      <c r="A5421" s="106" t="inlineStr">
        <is>
          <t>Engenharia</t>
        </is>
      </c>
      <c r="B5421" s="106" t="inlineStr">
        <is>
          <t>Custo Fixo</t>
        </is>
      </c>
      <c r="C5421" s="106" t="inlineStr">
        <is>
          <t>Despesas com SST</t>
        </is>
      </c>
      <c r="D5421" s="107" t="n">
        <v>9</v>
      </c>
      <c r="E5421" s="108" t="n">
        <v>52.35</v>
      </c>
      <c r="F5421" s="109">
        <f>IFERROR(D5421*E5421,0)</f>
        <v/>
      </c>
      <c r="G5421" s="106">
        <f>INDEX(SETORES!$B:$B,MATCH(A5421,SETORES!$A:$A,0))</f>
        <v/>
      </c>
      <c r="H5421" s="106" t="inlineStr">
        <is>
          <t>Janeiro/2027</t>
        </is>
      </c>
    </row>
    <row r="5422">
      <c r="A5422" s="106" t="inlineStr">
        <is>
          <t>Estoque</t>
        </is>
      </c>
      <c r="B5422" s="106" t="inlineStr">
        <is>
          <t>Custo Fixo</t>
        </is>
      </c>
      <c r="C5422" s="106" t="inlineStr">
        <is>
          <t>Despesas com RH</t>
        </is>
      </c>
      <c r="D5422" s="107" t="n">
        <v>16</v>
      </c>
      <c r="E5422" s="108" t="n">
        <v>32.55</v>
      </c>
      <c r="F5422" s="109">
        <f>IFERROR(D5422*E5422,0)</f>
        <v/>
      </c>
      <c r="G5422" s="106">
        <f>INDEX(SETORES!$B:$B,MATCH(A5422,SETORES!$A:$A,0))</f>
        <v/>
      </c>
      <c r="H5422" s="106" t="inlineStr">
        <is>
          <t>Janeiro/2027</t>
        </is>
      </c>
    </row>
    <row r="5423">
      <c r="A5423" s="106" t="inlineStr">
        <is>
          <t>Estoque</t>
        </is>
      </c>
      <c r="B5423" s="106" t="inlineStr">
        <is>
          <t>Custo Fixo</t>
        </is>
      </c>
      <c r="C5423" s="106" t="inlineStr">
        <is>
          <t>Despesas com DP</t>
        </is>
      </c>
      <c r="D5423" s="107" t="n">
        <v>16</v>
      </c>
      <c r="E5423" s="108" t="n">
        <v>52.09</v>
      </c>
      <c r="F5423" s="109">
        <f>IFERROR(D5423*E5423,0)</f>
        <v/>
      </c>
      <c r="G5423" s="106">
        <f>INDEX(SETORES!$B:$B,MATCH(A5423,SETORES!$A:$A,0))</f>
        <v/>
      </c>
      <c r="H5423" s="106" t="inlineStr">
        <is>
          <t>Janeiro/2027</t>
        </is>
      </c>
    </row>
    <row r="5424">
      <c r="A5424" s="106" t="inlineStr">
        <is>
          <t>Estoque</t>
        </is>
      </c>
      <c r="B5424" s="106" t="inlineStr">
        <is>
          <t>Custo Fixo</t>
        </is>
      </c>
      <c r="C5424" s="106" t="inlineStr">
        <is>
          <t>Despesas com SST</t>
        </is>
      </c>
      <c r="D5424" s="107" t="n">
        <v>16</v>
      </c>
      <c r="E5424" s="108" t="n">
        <v>52.35</v>
      </c>
      <c r="F5424" s="109">
        <f>IFERROR(D5424*E5424,0)</f>
        <v/>
      </c>
      <c r="G5424" s="106">
        <f>INDEX(SETORES!$B:$B,MATCH(A5424,SETORES!$A:$A,0))</f>
        <v/>
      </c>
      <c r="H5424" s="106" t="inlineStr">
        <is>
          <t>Janeiro/2027</t>
        </is>
      </c>
    </row>
    <row r="5425">
      <c r="A5425" s="106" t="inlineStr">
        <is>
          <t>Financeiro</t>
        </is>
      </c>
      <c r="B5425" s="106" t="inlineStr">
        <is>
          <t>Custo Fixo</t>
        </is>
      </c>
      <c r="C5425" s="106" t="inlineStr">
        <is>
          <t>Despesas com RH</t>
        </is>
      </c>
      <c r="D5425" s="107" t="n">
        <v>8</v>
      </c>
      <c r="E5425" s="108" t="n">
        <v>32.55</v>
      </c>
      <c r="F5425" s="109">
        <f>IFERROR(D5425*E5425,0)</f>
        <v/>
      </c>
      <c r="G5425" s="106">
        <f>INDEX(SETORES!$B:$B,MATCH(A5425,SETORES!$A:$A,0))</f>
        <v/>
      </c>
      <c r="H5425" s="106" t="inlineStr">
        <is>
          <t>Janeiro/2027</t>
        </is>
      </c>
    </row>
    <row r="5426">
      <c r="A5426" s="106" t="inlineStr">
        <is>
          <t>Financeiro</t>
        </is>
      </c>
      <c r="B5426" s="106" t="inlineStr">
        <is>
          <t>Custo Fixo</t>
        </is>
      </c>
      <c r="C5426" s="106" t="inlineStr">
        <is>
          <t>Despesas com DP</t>
        </is>
      </c>
      <c r="D5426" s="107" t="n">
        <v>8</v>
      </c>
      <c r="E5426" s="108" t="n">
        <v>52.09</v>
      </c>
      <c r="F5426" s="109">
        <f>IFERROR(D5426*E5426,0)</f>
        <v/>
      </c>
      <c r="G5426" s="106">
        <f>INDEX(SETORES!$B:$B,MATCH(A5426,SETORES!$A:$A,0))</f>
        <v/>
      </c>
      <c r="H5426" s="106" t="inlineStr">
        <is>
          <t>Janeiro/2027</t>
        </is>
      </c>
    </row>
    <row r="5427">
      <c r="A5427" s="106" t="inlineStr">
        <is>
          <t>Financeiro</t>
        </is>
      </c>
      <c r="B5427" s="106" t="inlineStr">
        <is>
          <t>Custo Fixo</t>
        </is>
      </c>
      <c r="C5427" s="106" t="inlineStr">
        <is>
          <t>Despesas com SST</t>
        </is>
      </c>
      <c r="D5427" s="107" t="n">
        <v>8</v>
      </c>
      <c r="E5427" s="108" t="n">
        <v>52.35</v>
      </c>
      <c r="F5427" s="109">
        <f>IFERROR(D5427*E5427,0)</f>
        <v/>
      </c>
      <c r="G5427" s="106">
        <f>INDEX(SETORES!$B:$B,MATCH(A5427,SETORES!$A:$A,0))</f>
        <v/>
      </c>
      <c r="H5427" s="106" t="inlineStr">
        <is>
          <t>Janeiro/2027</t>
        </is>
      </c>
    </row>
    <row r="5428">
      <c r="A5428" s="106" t="inlineStr">
        <is>
          <t>Logística</t>
        </is>
      </c>
      <c r="B5428" s="106" t="inlineStr">
        <is>
          <t>Custo Fixo</t>
        </is>
      </c>
      <c r="C5428" s="106" t="inlineStr">
        <is>
          <t>Despesas com RH</t>
        </is>
      </c>
      <c r="D5428" s="107" t="n">
        <v>16</v>
      </c>
      <c r="E5428" s="108" t="n">
        <v>32.55</v>
      </c>
      <c r="F5428" s="109">
        <f>IFERROR(D5428*E5428,0)</f>
        <v/>
      </c>
      <c r="G5428" s="106">
        <f>INDEX(SETORES!$B:$B,MATCH(A5428,SETORES!$A:$A,0))</f>
        <v/>
      </c>
      <c r="H5428" s="106" t="inlineStr">
        <is>
          <t>Janeiro/2027</t>
        </is>
      </c>
    </row>
    <row r="5429">
      <c r="A5429" s="106" t="inlineStr">
        <is>
          <t>Logística</t>
        </is>
      </c>
      <c r="B5429" s="106" t="inlineStr">
        <is>
          <t>Custo Fixo</t>
        </is>
      </c>
      <c r="C5429" s="106" t="inlineStr">
        <is>
          <t>Despesas com DP</t>
        </is>
      </c>
      <c r="D5429" s="107" t="n">
        <v>16</v>
      </c>
      <c r="E5429" s="108" t="n">
        <v>52.09</v>
      </c>
      <c r="F5429" s="109">
        <f>IFERROR(D5429*E5429,0)</f>
        <v/>
      </c>
      <c r="G5429" s="106">
        <f>INDEX(SETORES!$B:$B,MATCH(A5429,SETORES!$A:$A,0))</f>
        <v/>
      </c>
      <c r="H5429" s="106" t="inlineStr">
        <is>
          <t>Janeiro/2027</t>
        </is>
      </c>
    </row>
    <row r="5430">
      <c r="A5430" s="106" t="inlineStr">
        <is>
          <t>Logística</t>
        </is>
      </c>
      <c r="B5430" s="106" t="inlineStr">
        <is>
          <t>Custo Fixo</t>
        </is>
      </c>
      <c r="C5430" s="106" t="inlineStr">
        <is>
          <t>Despesas com SST</t>
        </is>
      </c>
      <c r="D5430" s="107" t="n">
        <v>16</v>
      </c>
      <c r="E5430" s="108" t="n">
        <v>52.35</v>
      </c>
      <c r="F5430" s="109">
        <f>IFERROR(D5430*E5430,0)</f>
        <v/>
      </c>
      <c r="G5430" s="106">
        <f>INDEX(SETORES!$B:$B,MATCH(A5430,SETORES!$A:$A,0))</f>
        <v/>
      </c>
      <c r="H5430" s="106" t="inlineStr">
        <is>
          <t>Janeiro/2027</t>
        </is>
      </c>
    </row>
    <row r="5431">
      <c r="A5431" s="106" t="inlineStr">
        <is>
          <t>Manutenção Predial</t>
        </is>
      </c>
      <c r="B5431" s="106" t="inlineStr">
        <is>
          <t>Custo Fixo</t>
        </is>
      </c>
      <c r="C5431" s="106" t="inlineStr">
        <is>
          <t>Despesas com RH</t>
        </is>
      </c>
      <c r="D5431" s="107" t="n">
        <v>15</v>
      </c>
      <c r="E5431" s="108" t="n">
        <v>32.55</v>
      </c>
      <c r="F5431" s="109">
        <f>IFERROR(D5431*E5431,0)</f>
        <v/>
      </c>
      <c r="G5431" s="106">
        <f>INDEX(SETORES!$B:$B,MATCH(A5431,SETORES!$A:$A,0))</f>
        <v/>
      </c>
      <c r="H5431" s="106" t="inlineStr">
        <is>
          <t>Janeiro/2027</t>
        </is>
      </c>
    </row>
    <row r="5432">
      <c r="A5432" s="106" t="inlineStr">
        <is>
          <t>Manutenção Predial</t>
        </is>
      </c>
      <c r="B5432" s="106" t="inlineStr">
        <is>
          <t>Custo Fixo</t>
        </is>
      </c>
      <c r="C5432" s="106" t="inlineStr">
        <is>
          <t>Despesas com DP</t>
        </is>
      </c>
      <c r="D5432" s="107" t="n">
        <v>15</v>
      </c>
      <c r="E5432" s="108" t="n">
        <v>52.09</v>
      </c>
      <c r="F5432" s="109">
        <f>IFERROR(D5432*E5432,0)</f>
        <v/>
      </c>
      <c r="G5432" s="106">
        <f>INDEX(SETORES!$B:$B,MATCH(A5432,SETORES!$A:$A,0))</f>
        <v/>
      </c>
      <c r="H5432" s="106" t="inlineStr">
        <is>
          <t>Janeiro/2027</t>
        </is>
      </c>
    </row>
    <row r="5433">
      <c r="A5433" s="106" t="inlineStr">
        <is>
          <t>Manutenção Predial</t>
        </is>
      </c>
      <c r="B5433" s="106" t="inlineStr">
        <is>
          <t>Custo Fixo</t>
        </is>
      </c>
      <c r="C5433" s="106" t="inlineStr">
        <is>
          <t>Despesas com SST</t>
        </is>
      </c>
      <c r="D5433" s="107" t="n">
        <v>15</v>
      </c>
      <c r="E5433" s="108" t="n">
        <v>52.35</v>
      </c>
      <c r="F5433" s="109">
        <f>IFERROR(D5433*E5433,0)</f>
        <v/>
      </c>
      <c r="G5433" s="106">
        <f>INDEX(SETORES!$B:$B,MATCH(A5433,SETORES!$A:$A,0))</f>
        <v/>
      </c>
      <c r="H5433" s="106" t="inlineStr">
        <is>
          <t>Janeiro/2027</t>
        </is>
      </c>
    </row>
    <row r="5434">
      <c r="A5434" s="106" t="inlineStr">
        <is>
          <t>NOC</t>
        </is>
      </c>
      <c r="B5434" s="106" t="inlineStr">
        <is>
          <t>Custo Fixo</t>
        </is>
      </c>
      <c r="C5434" s="106" t="inlineStr">
        <is>
          <t>Despesas com RH</t>
        </is>
      </c>
      <c r="D5434" s="107" t="n">
        <v>3</v>
      </c>
      <c r="E5434" s="108" t="n">
        <v>32.55</v>
      </c>
      <c r="F5434" s="109">
        <f>IFERROR(D5434*E5434,0)</f>
        <v/>
      </c>
      <c r="G5434" s="106">
        <f>INDEX(SETORES!$B:$B,MATCH(A5434,SETORES!$A:$A,0))</f>
        <v/>
      </c>
      <c r="H5434" s="106" t="inlineStr">
        <is>
          <t>Janeiro/2027</t>
        </is>
      </c>
    </row>
    <row r="5435">
      <c r="A5435" s="106" t="inlineStr">
        <is>
          <t>NOC</t>
        </is>
      </c>
      <c r="B5435" s="106" t="inlineStr">
        <is>
          <t>Custo Fixo</t>
        </is>
      </c>
      <c r="C5435" s="106" t="inlineStr">
        <is>
          <t>Despesas com DP</t>
        </is>
      </c>
      <c r="D5435" s="107" t="n">
        <v>3</v>
      </c>
      <c r="E5435" s="108" t="n">
        <v>52.09</v>
      </c>
      <c r="F5435" s="109">
        <f>IFERROR(D5435*E5435,0)</f>
        <v/>
      </c>
      <c r="G5435" s="106">
        <f>INDEX(SETORES!$B:$B,MATCH(A5435,SETORES!$A:$A,0))</f>
        <v/>
      </c>
      <c r="H5435" s="106" t="inlineStr">
        <is>
          <t>Janeiro/2027</t>
        </is>
      </c>
    </row>
    <row r="5436">
      <c r="A5436" s="106" t="inlineStr">
        <is>
          <t>NOC</t>
        </is>
      </c>
      <c r="B5436" s="106" t="inlineStr">
        <is>
          <t>Custo Fixo</t>
        </is>
      </c>
      <c r="C5436" s="106" t="inlineStr">
        <is>
          <t>Despesas com SST</t>
        </is>
      </c>
      <c r="D5436" s="107" t="n">
        <v>3</v>
      </c>
      <c r="E5436" s="108" t="n">
        <v>52.35</v>
      </c>
      <c r="F5436" s="109">
        <f>IFERROR(D5436*E5436,0)</f>
        <v/>
      </c>
      <c r="G5436" s="106">
        <f>INDEX(SETORES!$B:$B,MATCH(A5436,SETORES!$A:$A,0))</f>
        <v/>
      </c>
      <c r="H5436" s="106" t="inlineStr">
        <is>
          <t>Janeiro/2027</t>
        </is>
      </c>
    </row>
    <row r="5437">
      <c r="A5437" s="106" t="inlineStr">
        <is>
          <t>NRC</t>
        </is>
      </c>
      <c r="B5437" s="106" t="inlineStr">
        <is>
          <t>Custo Fixo</t>
        </is>
      </c>
      <c r="C5437" s="106" t="inlineStr">
        <is>
          <t>Despesas com RH</t>
        </is>
      </c>
      <c r="D5437" s="107" t="n">
        <v>42</v>
      </c>
      <c r="E5437" s="108" t="n">
        <v>32.55</v>
      </c>
      <c r="F5437" s="109">
        <f>IFERROR(D5437*E5437,0)</f>
        <v/>
      </c>
      <c r="G5437" s="106">
        <f>INDEX(SETORES!$B:$B,MATCH(A5437,SETORES!$A:$A,0))</f>
        <v/>
      </c>
      <c r="H5437" s="106" t="inlineStr">
        <is>
          <t>Janeiro/2027</t>
        </is>
      </c>
    </row>
    <row r="5438">
      <c r="A5438" s="106" t="inlineStr">
        <is>
          <t>NRC</t>
        </is>
      </c>
      <c r="B5438" s="106" t="inlineStr">
        <is>
          <t>Custo Fixo</t>
        </is>
      </c>
      <c r="C5438" s="106" t="inlineStr">
        <is>
          <t>Despesas com DP</t>
        </is>
      </c>
      <c r="D5438" s="107" t="n">
        <v>42</v>
      </c>
      <c r="E5438" s="108" t="n">
        <v>52.09</v>
      </c>
      <c r="F5438" s="109">
        <f>IFERROR(D5438*E5438,0)</f>
        <v/>
      </c>
      <c r="G5438" s="106">
        <f>INDEX(SETORES!$B:$B,MATCH(A5438,SETORES!$A:$A,0))</f>
        <v/>
      </c>
      <c r="H5438" s="106" t="inlineStr">
        <is>
          <t>Janeiro/2027</t>
        </is>
      </c>
    </row>
    <row r="5439">
      <c r="A5439" s="106" t="inlineStr">
        <is>
          <t>NRC</t>
        </is>
      </c>
      <c r="B5439" s="106" t="inlineStr">
        <is>
          <t>Custo Fixo</t>
        </is>
      </c>
      <c r="C5439" s="106" t="inlineStr">
        <is>
          <t>Despesas com SST</t>
        </is>
      </c>
      <c r="D5439" s="107" t="n">
        <v>42</v>
      </c>
      <c r="E5439" s="108" t="n">
        <v>52.35</v>
      </c>
      <c r="F5439" s="109">
        <f>IFERROR(D5439*E5439,0)</f>
        <v/>
      </c>
      <c r="G5439" s="106">
        <f>INDEX(SETORES!$B:$B,MATCH(A5439,SETORES!$A:$A,0))</f>
        <v/>
      </c>
      <c r="H5439" s="106" t="inlineStr">
        <is>
          <t>Janeiro/2027</t>
        </is>
      </c>
    </row>
    <row r="5440">
      <c r="A5440" s="106" t="inlineStr">
        <is>
          <t>Obras</t>
        </is>
      </c>
      <c r="B5440" s="106" t="inlineStr">
        <is>
          <t>Custo Fixo</t>
        </is>
      </c>
      <c r="C5440" s="106" t="inlineStr">
        <is>
          <t>Despesas com RH</t>
        </is>
      </c>
      <c r="D5440" s="107" t="n">
        <v>24</v>
      </c>
      <c r="E5440" s="108" t="n">
        <v>32.55</v>
      </c>
      <c r="F5440" s="109">
        <f>IFERROR(D5440*E5440,0)</f>
        <v/>
      </c>
      <c r="G5440" s="106">
        <f>INDEX(SETORES!$B:$B,MATCH(A5440,SETORES!$A:$A,0))</f>
        <v/>
      </c>
      <c r="H5440" s="106" t="inlineStr">
        <is>
          <t>Janeiro/2027</t>
        </is>
      </c>
    </row>
    <row r="5441">
      <c r="A5441" s="106" t="inlineStr">
        <is>
          <t>Obras</t>
        </is>
      </c>
      <c r="B5441" s="106" t="inlineStr">
        <is>
          <t>Custo Fixo</t>
        </is>
      </c>
      <c r="C5441" s="106" t="inlineStr">
        <is>
          <t>Despesas com DP</t>
        </is>
      </c>
      <c r="D5441" s="107" t="n">
        <v>24</v>
      </c>
      <c r="E5441" s="108" t="n">
        <v>52.09</v>
      </c>
      <c r="F5441" s="109">
        <f>IFERROR(D5441*E5441,0)</f>
        <v/>
      </c>
      <c r="G5441" s="106">
        <f>INDEX(SETORES!$B:$B,MATCH(A5441,SETORES!$A:$A,0))</f>
        <v/>
      </c>
      <c r="H5441" s="106" t="inlineStr">
        <is>
          <t>Janeiro/2027</t>
        </is>
      </c>
    </row>
    <row r="5442">
      <c r="A5442" s="106" t="inlineStr">
        <is>
          <t>Obras</t>
        </is>
      </c>
      <c r="B5442" s="106" t="inlineStr">
        <is>
          <t>Custo Fixo</t>
        </is>
      </c>
      <c r="C5442" s="106" t="inlineStr">
        <is>
          <t>Despesas com SST</t>
        </is>
      </c>
      <c r="D5442" s="107" t="n">
        <v>24</v>
      </c>
      <c r="E5442" s="108" t="n">
        <v>52.35</v>
      </c>
      <c r="F5442" s="109">
        <f>IFERROR(D5442*E5442,0)</f>
        <v/>
      </c>
      <c r="G5442" s="106">
        <f>INDEX(SETORES!$B:$B,MATCH(A5442,SETORES!$A:$A,0))</f>
        <v/>
      </c>
      <c r="H5442" s="106" t="inlineStr">
        <is>
          <t>Janeiro/2027</t>
        </is>
      </c>
    </row>
    <row r="5443">
      <c r="A5443" s="106" t="inlineStr">
        <is>
          <t>Oficina</t>
        </is>
      </c>
      <c r="B5443" s="106" t="inlineStr">
        <is>
          <t>Custo Fixo</t>
        </is>
      </c>
      <c r="C5443" s="106" t="inlineStr">
        <is>
          <t>Despesas com RH</t>
        </is>
      </c>
      <c r="D5443" s="107" t="n">
        <v>4</v>
      </c>
      <c r="E5443" s="108" t="n">
        <v>32.55</v>
      </c>
      <c r="F5443" s="109">
        <f>IFERROR(D5443*E5443,0)</f>
        <v/>
      </c>
      <c r="G5443" s="106">
        <f>INDEX(SETORES!$B:$B,MATCH(A5443,SETORES!$A:$A,0))</f>
        <v/>
      </c>
      <c r="H5443" s="106" t="inlineStr">
        <is>
          <t>Janeiro/2027</t>
        </is>
      </c>
    </row>
    <row r="5444">
      <c r="A5444" s="106" t="inlineStr">
        <is>
          <t>Oficina</t>
        </is>
      </c>
      <c r="B5444" s="106" t="inlineStr">
        <is>
          <t>Custo Fixo</t>
        </is>
      </c>
      <c r="C5444" s="106" t="inlineStr">
        <is>
          <t>Despesas com DP</t>
        </is>
      </c>
      <c r="D5444" s="107" t="n">
        <v>4</v>
      </c>
      <c r="E5444" s="108" t="n">
        <v>52.09</v>
      </c>
      <c r="F5444" s="109">
        <f>IFERROR(D5444*E5444,0)</f>
        <v/>
      </c>
      <c r="G5444" s="106">
        <f>INDEX(SETORES!$B:$B,MATCH(A5444,SETORES!$A:$A,0))</f>
        <v/>
      </c>
      <c r="H5444" s="106" t="inlineStr">
        <is>
          <t>Janeiro/2027</t>
        </is>
      </c>
    </row>
    <row r="5445">
      <c r="A5445" s="106" t="inlineStr">
        <is>
          <t>Oficina</t>
        </is>
      </c>
      <c r="B5445" s="106" t="inlineStr">
        <is>
          <t>Custo Fixo</t>
        </is>
      </c>
      <c r="C5445" s="106" t="inlineStr">
        <is>
          <t>Despesas com SST</t>
        </is>
      </c>
      <c r="D5445" s="107" t="n">
        <v>4</v>
      </c>
      <c r="E5445" s="108" t="n">
        <v>52.35</v>
      </c>
      <c r="F5445" s="109">
        <f>IFERROR(D5445*E5445,0)</f>
        <v/>
      </c>
      <c r="G5445" s="106">
        <f>INDEX(SETORES!$B:$B,MATCH(A5445,SETORES!$A:$A,0))</f>
        <v/>
      </c>
      <c r="H5445" s="106" t="inlineStr">
        <is>
          <t>Janeiro/2027</t>
        </is>
      </c>
    </row>
    <row r="5446">
      <c r="A5446" s="106" t="inlineStr">
        <is>
          <t>RH</t>
        </is>
      </c>
      <c r="B5446" s="106" t="inlineStr">
        <is>
          <t>Custo Fixo</t>
        </is>
      </c>
      <c r="C5446" s="106" t="inlineStr">
        <is>
          <t>Despesas com RH</t>
        </is>
      </c>
      <c r="D5446" s="107" t="n">
        <v>6</v>
      </c>
      <c r="E5446" s="108" t="n">
        <v>32.55</v>
      </c>
      <c r="F5446" s="109">
        <f>IFERROR(D5446*E5446,0)</f>
        <v/>
      </c>
      <c r="G5446" s="106">
        <f>INDEX(SETORES!$B:$B,MATCH(A5446,SETORES!$A:$A,0))</f>
        <v/>
      </c>
      <c r="H5446" s="106" t="inlineStr">
        <is>
          <t>Janeiro/2027</t>
        </is>
      </c>
    </row>
    <row r="5447">
      <c r="A5447" s="106" t="inlineStr">
        <is>
          <t>RH</t>
        </is>
      </c>
      <c r="B5447" s="106" t="inlineStr">
        <is>
          <t>Custo Fixo</t>
        </is>
      </c>
      <c r="C5447" s="106" t="inlineStr">
        <is>
          <t>Despesas com DP</t>
        </is>
      </c>
      <c r="D5447" s="107" t="n">
        <v>6</v>
      </c>
      <c r="E5447" s="108" t="n">
        <v>52.09</v>
      </c>
      <c r="F5447" s="109">
        <f>IFERROR(D5447*E5447,0)</f>
        <v/>
      </c>
      <c r="G5447" s="106">
        <f>INDEX(SETORES!$B:$B,MATCH(A5447,SETORES!$A:$A,0))</f>
        <v/>
      </c>
      <c r="H5447" s="106" t="inlineStr">
        <is>
          <t>Janeiro/2027</t>
        </is>
      </c>
    </row>
    <row r="5448">
      <c r="A5448" s="106" t="inlineStr">
        <is>
          <t>RH</t>
        </is>
      </c>
      <c r="B5448" s="106" t="inlineStr">
        <is>
          <t>Custo Fixo</t>
        </is>
      </c>
      <c r="C5448" s="106" t="inlineStr">
        <is>
          <t>Despesas com SST</t>
        </is>
      </c>
      <c r="D5448" s="107" t="n">
        <v>6</v>
      </c>
      <c r="E5448" s="108" t="n">
        <v>52.35</v>
      </c>
      <c r="F5448" s="109">
        <f>IFERROR(D5448*E5448,0)</f>
        <v/>
      </c>
      <c r="G5448" s="106">
        <f>INDEX(SETORES!$B:$B,MATCH(A5448,SETORES!$A:$A,0))</f>
        <v/>
      </c>
      <c r="H5448" s="106" t="inlineStr">
        <is>
          <t>Janeiro/2027</t>
        </is>
      </c>
    </row>
    <row r="5449">
      <c r="A5449" s="106" t="inlineStr">
        <is>
          <t>Retenção</t>
        </is>
      </c>
      <c r="B5449" s="106" t="inlineStr">
        <is>
          <t>Custo Fixo</t>
        </is>
      </c>
      <c r="C5449" s="106" t="inlineStr">
        <is>
          <t>Despesas com RH</t>
        </is>
      </c>
      <c r="D5449" s="107" t="n">
        <v>12</v>
      </c>
      <c r="E5449" s="108" t="n">
        <v>32.55</v>
      </c>
      <c r="F5449" s="109">
        <f>IFERROR(D5449*E5449,0)</f>
        <v/>
      </c>
      <c r="G5449" s="106">
        <f>INDEX(SETORES!$B:$B,MATCH(A5449,SETORES!$A:$A,0))</f>
        <v/>
      </c>
      <c r="H5449" s="106" t="inlineStr">
        <is>
          <t>Janeiro/2027</t>
        </is>
      </c>
    </row>
    <row r="5450">
      <c r="A5450" s="106" t="inlineStr">
        <is>
          <t>Retenção</t>
        </is>
      </c>
      <c r="B5450" s="106" t="inlineStr">
        <is>
          <t>Custo Fixo</t>
        </is>
      </c>
      <c r="C5450" s="106" t="inlineStr">
        <is>
          <t>Despesas com DP</t>
        </is>
      </c>
      <c r="D5450" s="107" t="n">
        <v>12</v>
      </c>
      <c r="E5450" s="108" t="n">
        <v>52.09</v>
      </c>
      <c r="F5450" s="109">
        <f>IFERROR(D5450*E5450,0)</f>
        <v/>
      </c>
      <c r="G5450" s="106">
        <f>INDEX(SETORES!$B:$B,MATCH(A5450,SETORES!$A:$A,0))</f>
        <v/>
      </c>
      <c r="H5450" s="106" t="inlineStr">
        <is>
          <t>Janeiro/2027</t>
        </is>
      </c>
    </row>
    <row r="5451">
      <c r="A5451" s="106" t="inlineStr">
        <is>
          <t>Retenção</t>
        </is>
      </c>
      <c r="B5451" s="106" t="inlineStr">
        <is>
          <t>Custo Fixo</t>
        </is>
      </c>
      <c r="C5451" s="106" t="inlineStr">
        <is>
          <t>Despesas com SST</t>
        </is>
      </c>
      <c r="D5451" s="107" t="n">
        <v>12</v>
      </c>
      <c r="E5451" s="108" t="n">
        <v>52.35</v>
      </c>
      <c r="F5451" s="109">
        <f>IFERROR(D5451*E5451,0)</f>
        <v/>
      </c>
      <c r="G5451" s="106">
        <f>INDEX(SETORES!$B:$B,MATCH(A5451,SETORES!$A:$A,0))</f>
        <v/>
      </c>
      <c r="H5451" s="106" t="inlineStr">
        <is>
          <t>Janeiro/2027</t>
        </is>
      </c>
    </row>
    <row r="5452">
      <c r="A5452" s="106" t="inlineStr">
        <is>
          <t>Segurança do Trabalho</t>
        </is>
      </c>
      <c r="B5452" s="106" t="inlineStr">
        <is>
          <t>Custo Fixo</t>
        </is>
      </c>
      <c r="C5452" s="106" t="inlineStr">
        <is>
          <t>Despesas com RH</t>
        </is>
      </c>
      <c r="D5452" s="107" t="n">
        <v>8</v>
      </c>
      <c r="E5452" s="108" t="n">
        <v>32.55</v>
      </c>
      <c r="F5452" s="109">
        <f>IFERROR(D5452*E5452,0)</f>
        <v/>
      </c>
      <c r="G5452" s="106">
        <f>INDEX(SETORES!$B:$B,MATCH(A5452,SETORES!$A:$A,0))</f>
        <v/>
      </c>
      <c r="H5452" s="106" t="inlineStr">
        <is>
          <t>Janeiro/2027</t>
        </is>
      </c>
    </row>
    <row r="5453">
      <c r="A5453" s="106" t="inlineStr">
        <is>
          <t>Segurança do Trabalho</t>
        </is>
      </c>
      <c r="B5453" s="106" t="inlineStr">
        <is>
          <t>Custo Fixo</t>
        </is>
      </c>
      <c r="C5453" s="106" t="inlineStr">
        <is>
          <t>Despesas com DP</t>
        </is>
      </c>
      <c r="D5453" s="107" t="n">
        <v>8</v>
      </c>
      <c r="E5453" s="108" t="n">
        <v>52.09</v>
      </c>
      <c r="F5453" s="109">
        <f>IFERROR(D5453*E5453,0)</f>
        <v/>
      </c>
      <c r="G5453" s="106">
        <f>INDEX(SETORES!$B:$B,MATCH(A5453,SETORES!$A:$A,0))</f>
        <v/>
      </c>
      <c r="H5453" s="106" t="inlineStr">
        <is>
          <t>Janeiro/2027</t>
        </is>
      </c>
    </row>
    <row r="5454">
      <c r="A5454" s="106" t="inlineStr">
        <is>
          <t>Segurança do Trabalho</t>
        </is>
      </c>
      <c r="B5454" s="106" t="inlineStr">
        <is>
          <t>Custo Fixo</t>
        </is>
      </c>
      <c r="C5454" s="106" t="inlineStr">
        <is>
          <t>Despesas com SST</t>
        </is>
      </c>
      <c r="D5454" s="107" t="n">
        <v>8</v>
      </c>
      <c r="E5454" s="108" t="n">
        <v>52.35</v>
      </c>
      <c r="F5454" s="109">
        <f>IFERROR(D5454*E5454,0)</f>
        <v/>
      </c>
      <c r="G5454" s="106">
        <f>INDEX(SETORES!$B:$B,MATCH(A5454,SETORES!$A:$A,0))</f>
        <v/>
      </c>
      <c r="H5454" s="106" t="inlineStr">
        <is>
          <t>Janeiro/2027</t>
        </is>
      </c>
    </row>
    <row r="5455">
      <c r="A5455" s="106" t="inlineStr">
        <is>
          <t>Suporte Orbix</t>
        </is>
      </c>
      <c r="B5455" s="106" t="inlineStr">
        <is>
          <t>Custo Fixo</t>
        </is>
      </c>
      <c r="C5455" s="106" t="inlineStr">
        <is>
          <t>Despesas com RH</t>
        </is>
      </c>
      <c r="D5455" s="107" t="n">
        <v>8</v>
      </c>
      <c r="E5455" s="108" t="n">
        <v>32.55</v>
      </c>
      <c r="F5455" s="109">
        <f>IFERROR(D5455*E5455,0)</f>
        <v/>
      </c>
      <c r="G5455" s="106">
        <f>INDEX(SETORES!$B:$B,MATCH(A5455,SETORES!$A:$A,0))</f>
        <v/>
      </c>
      <c r="H5455" s="106" t="inlineStr">
        <is>
          <t>Janeiro/2027</t>
        </is>
      </c>
    </row>
    <row r="5456">
      <c r="A5456" s="106" t="inlineStr">
        <is>
          <t>Suporte Orbix</t>
        </is>
      </c>
      <c r="B5456" s="106" t="inlineStr">
        <is>
          <t>Custo Fixo</t>
        </is>
      </c>
      <c r="C5456" s="106" t="inlineStr">
        <is>
          <t>Despesas com DP</t>
        </is>
      </c>
      <c r="D5456" s="107" t="n">
        <v>8</v>
      </c>
      <c r="E5456" s="108" t="n">
        <v>52.09</v>
      </c>
      <c r="F5456" s="109">
        <f>IFERROR(D5456*E5456,0)</f>
        <v/>
      </c>
      <c r="G5456" s="106">
        <f>INDEX(SETORES!$B:$B,MATCH(A5456,SETORES!$A:$A,0))</f>
        <v/>
      </c>
      <c r="H5456" s="106" t="inlineStr">
        <is>
          <t>Janeiro/2027</t>
        </is>
      </c>
    </row>
    <row r="5457">
      <c r="A5457" s="106" t="inlineStr">
        <is>
          <t>Suporte Orbix</t>
        </is>
      </c>
      <c r="B5457" s="106" t="inlineStr">
        <is>
          <t>Custo Fixo</t>
        </is>
      </c>
      <c r="C5457" s="106" t="inlineStr">
        <is>
          <t>Despesas com SST</t>
        </is>
      </c>
      <c r="D5457" s="107" t="n">
        <v>8</v>
      </c>
      <c r="E5457" s="108" t="n">
        <v>52.35</v>
      </c>
      <c r="F5457" s="109">
        <f>IFERROR(D5457*E5457,0)</f>
        <v/>
      </c>
      <c r="G5457" s="106">
        <f>INDEX(SETORES!$B:$B,MATCH(A5457,SETORES!$A:$A,0))</f>
        <v/>
      </c>
      <c r="H5457" s="106" t="inlineStr">
        <is>
          <t>Janeiro/2027</t>
        </is>
      </c>
    </row>
    <row r="5458">
      <c r="A5458" s="106" t="inlineStr">
        <is>
          <t>Suporte da Central</t>
        </is>
      </c>
      <c r="B5458" s="106" t="inlineStr">
        <is>
          <t>Custo Fixo</t>
        </is>
      </c>
      <c r="C5458" s="106" t="inlineStr">
        <is>
          <t>Despesas com RH</t>
        </is>
      </c>
      <c r="D5458" s="107" t="n">
        <v>33</v>
      </c>
      <c r="E5458" s="108" t="n">
        <v>32.55</v>
      </c>
      <c r="F5458" s="109">
        <f>IFERROR(D5458*E5458,0)</f>
        <v/>
      </c>
      <c r="G5458" s="106">
        <f>INDEX(SETORES!$B:$B,MATCH(A5458,SETORES!$A:$A,0))</f>
        <v/>
      </c>
      <c r="H5458" s="106" t="inlineStr">
        <is>
          <t>Janeiro/2027</t>
        </is>
      </c>
    </row>
    <row r="5459">
      <c r="A5459" s="106" t="inlineStr">
        <is>
          <t>Suporte da Central</t>
        </is>
      </c>
      <c r="B5459" s="106" t="inlineStr">
        <is>
          <t>Custo Fixo</t>
        </is>
      </c>
      <c r="C5459" s="106" t="inlineStr">
        <is>
          <t>Despesas com DP</t>
        </is>
      </c>
      <c r="D5459" s="107" t="n">
        <v>33</v>
      </c>
      <c r="E5459" s="108" t="n">
        <v>52.09</v>
      </c>
      <c r="F5459" s="109">
        <f>IFERROR(D5459*E5459,0)</f>
        <v/>
      </c>
      <c r="G5459" s="106">
        <f>INDEX(SETORES!$B:$B,MATCH(A5459,SETORES!$A:$A,0))</f>
        <v/>
      </c>
      <c r="H5459" s="106" t="inlineStr">
        <is>
          <t>Janeiro/2027</t>
        </is>
      </c>
    </row>
    <row r="5460">
      <c r="A5460" s="106" t="inlineStr">
        <is>
          <t>Suporte da Central</t>
        </is>
      </c>
      <c r="B5460" s="106" t="inlineStr">
        <is>
          <t>Custo Fixo</t>
        </is>
      </c>
      <c r="C5460" s="106" t="inlineStr">
        <is>
          <t>Despesas com SST</t>
        </is>
      </c>
      <c r="D5460" s="107" t="n">
        <v>33</v>
      </c>
      <c r="E5460" s="108" t="n">
        <v>52.35</v>
      </c>
      <c r="F5460" s="109">
        <f>IFERROR(D5460*E5460,0)</f>
        <v/>
      </c>
      <c r="G5460" s="106">
        <f>INDEX(SETORES!$B:$B,MATCH(A5460,SETORES!$A:$A,0))</f>
        <v/>
      </c>
      <c r="H5460" s="106" t="inlineStr">
        <is>
          <t>Janeiro/2027</t>
        </is>
      </c>
    </row>
    <row r="5461">
      <c r="A5461" s="106" t="inlineStr">
        <is>
          <t>Televendas</t>
        </is>
      </c>
      <c r="B5461" s="106" t="inlineStr">
        <is>
          <t>Custo Fixo</t>
        </is>
      </c>
      <c r="C5461" s="106" t="inlineStr">
        <is>
          <t>Despesas com RH</t>
        </is>
      </c>
      <c r="D5461" s="107" t="n">
        <v>11</v>
      </c>
      <c r="E5461" s="108" t="n">
        <v>32.55</v>
      </c>
      <c r="F5461" s="109">
        <f>IFERROR(D5461*E5461,0)</f>
        <v/>
      </c>
      <c r="G5461" s="106">
        <f>INDEX(SETORES!$B:$B,MATCH(A5461,SETORES!$A:$A,0))</f>
        <v/>
      </c>
      <c r="H5461" s="106" t="inlineStr">
        <is>
          <t>Janeiro/2027</t>
        </is>
      </c>
    </row>
    <row r="5462">
      <c r="A5462" s="106" t="inlineStr">
        <is>
          <t>Televendas</t>
        </is>
      </c>
      <c r="B5462" s="106" t="inlineStr">
        <is>
          <t>Custo Fixo</t>
        </is>
      </c>
      <c r="C5462" s="106" t="inlineStr">
        <is>
          <t>Despesas com DP</t>
        </is>
      </c>
      <c r="D5462" s="107" t="n">
        <v>11</v>
      </c>
      <c r="E5462" s="108" t="n">
        <v>52.09</v>
      </c>
      <c r="F5462" s="109">
        <f>IFERROR(D5462*E5462,0)</f>
        <v/>
      </c>
      <c r="G5462" s="106">
        <f>INDEX(SETORES!$B:$B,MATCH(A5462,SETORES!$A:$A,0))</f>
        <v/>
      </c>
      <c r="H5462" s="106" t="inlineStr">
        <is>
          <t>Janeiro/2027</t>
        </is>
      </c>
    </row>
    <row r="5463">
      <c r="A5463" s="106" t="inlineStr">
        <is>
          <t>Televendas</t>
        </is>
      </c>
      <c r="B5463" s="106" t="inlineStr">
        <is>
          <t>Custo Fixo</t>
        </is>
      </c>
      <c r="C5463" s="106" t="inlineStr">
        <is>
          <t>Despesas com SST</t>
        </is>
      </c>
      <c r="D5463" s="107" t="n">
        <v>11</v>
      </c>
      <c r="E5463" s="108" t="n">
        <v>52.35</v>
      </c>
      <c r="F5463" s="109">
        <f>IFERROR(D5463*E5463,0)</f>
        <v/>
      </c>
      <c r="G5463" s="106">
        <f>INDEX(SETORES!$B:$B,MATCH(A5463,SETORES!$A:$A,0))</f>
        <v/>
      </c>
      <c r="H5463" s="106" t="inlineStr">
        <is>
          <t>Janeiro/2027</t>
        </is>
      </c>
    </row>
    <row r="5464">
      <c r="A5464" s="106" t="inlineStr">
        <is>
          <t>Comercial Corporativo</t>
        </is>
      </c>
      <c r="B5464" s="106" t="inlineStr">
        <is>
          <t>Custo Fixo</t>
        </is>
      </c>
      <c r="C5464" s="106" t="inlineStr">
        <is>
          <t>Plataforma de licitações (pago anual em julho, ref. 12 meses)</t>
        </is>
      </c>
      <c r="D5464" s="107" t="n"/>
      <c r="E5464" s="108" t="n"/>
      <c r="F5464" s="109">
        <f>IFERROR(D5464*E5464,0)</f>
        <v/>
      </c>
      <c r="G5464" s="106">
        <f>INDEX(SETORES!$B:$B,MATCH(A5464,SETORES!$A:$A,0))</f>
        <v/>
      </c>
      <c r="H5464" s="106" t="inlineStr">
        <is>
          <t>Janeiro/2027</t>
        </is>
      </c>
    </row>
    <row r="5465">
      <c r="A5465" s="106" t="inlineStr">
        <is>
          <t>Televendas</t>
        </is>
      </c>
      <c r="B5465" s="106" t="inlineStr">
        <is>
          <t>Custo Fixo</t>
        </is>
      </c>
      <c r="C5465" s="106" t="inlineStr">
        <is>
          <t>Impressora (rateio equipe Relacionamento)</t>
        </is>
      </c>
      <c r="D5465" s="107" t="n"/>
      <c r="E5465" s="108" t="n"/>
      <c r="F5465" s="109">
        <f>IFERROR(D5465*E5465,0)</f>
        <v/>
      </c>
      <c r="G5465" s="106">
        <f>INDEX(SETORES!$B:$B,MATCH(A5465,SETORES!$A:$A,0))</f>
        <v/>
      </c>
      <c r="H5465" s="106" t="inlineStr">
        <is>
          <t>Janeiro/2027</t>
        </is>
      </c>
    </row>
    <row r="5466">
      <c r="A5466" s="106" t="inlineStr">
        <is>
          <t>Compras</t>
        </is>
      </c>
      <c r="B5466" s="106" t="inlineStr">
        <is>
          <t>Custo Variável</t>
        </is>
      </c>
      <c r="C5466" s="106" t="inlineStr">
        <is>
          <t>Combustível de frota</t>
        </is>
      </c>
      <c r="D5466" s="107" t="n">
        <v>1</v>
      </c>
      <c r="E5466" s="108" t="n">
        <v>0</v>
      </c>
      <c r="F5466" s="109">
        <f>IFERROR(D5466*E5466,0)</f>
        <v/>
      </c>
      <c r="G5466" s="106">
        <f>INDEX(SETORES!$B:$B,MATCH(A5466,SETORES!$A:$A,0))</f>
        <v/>
      </c>
      <c r="H5466" s="106" t="inlineStr">
        <is>
          <t>Janeiro/2027</t>
        </is>
      </c>
    </row>
    <row r="5467">
      <c r="A5467" s="106" t="inlineStr">
        <is>
          <t>Contabilidade</t>
        </is>
      </c>
      <c r="B5467" s="106" t="inlineStr">
        <is>
          <t>Custo Variável</t>
        </is>
      </c>
      <c r="C5467" s="106" t="inlineStr">
        <is>
          <t>Exames médicos</t>
        </is>
      </c>
      <c r="D5467" s="107" t="n"/>
      <c r="E5467" s="108" t="n"/>
      <c r="F5467" s="109">
        <f>IFERROR(D5467*E5467,0)</f>
        <v/>
      </c>
      <c r="G5467" s="106">
        <f>INDEX(SETORES!$B:$B,MATCH(A5467,SETORES!$A:$A,0))</f>
        <v/>
      </c>
      <c r="H5467" s="106" t="inlineStr">
        <is>
          <t>Janeiro/2027</t>
        </is>
      </c>
    </row>
    <row r="5468">
      <c r="A5468" s="106" t="inlineStr">
        <is>
          <t>Suporte da Central</t>
        </is>
      </c>
      <c r="B5468" s="106" t="inlineStr">
        <is>
          <t>Custo Variável</t>
        </is>
      </c>
      <c r="C5468" s="106" t="inlineStr">
        <is>
          <t>Rescisões trabalhistas</t>
        </is>
      </c>
      <c r="D5468" s="107" t="n"/>
      <c r="E5468" s="108" t="n"/>
      <c r="F5468" s="109">
        <f>IFERROR(D5468*E5468,0)</f>
        <v/>
      </c>
      <c r="G5468" s="106">
        <f>INDEX(SETORES!$B:$B,MATCH(A5468,SETORES!$A:$A,0))</f>
        <v/>
      </c>
      <c r="H5468" s="106" t="inlineStr">
        <is>
          <t>Janeiro/2027</t>
        </is>
      </c>
    </row>
    <row r="5469">
      <c r="A5469" s="106" t="inlineStr">
        <is>
          <t>Televendas</t>
        </is>
      </c>
      <c r="B5469" s="106" t="inlineStr">
        <is>
          <t>Custo Variável</t>
        </is>
      </c>
      <c r="C5469" s="106" t="inlineStr">
        <is>
          <t>Rescisões trabalhistas</t>
        </is>
      </c>
      <c r="D5469" s="107" t="n"/>
      <c r="E5469" s="108" t="n"/>
      <c r="F5469" s="109">
        <f>IFERROR(D5469*E5469,0)</f>
        <v/>
      </c>
      <c r="G5469" s="106">
        <f>INDEX(SETORES!$B:$B,MATCH(A5469,SETORES!$A:$A,0))</f>
        <v/>
      </c>
      <c r="H5469" s="106" t="inlineStr">
        <is>
          <t>Janeiro/2027</t>
        </is>
      </c>
    </row>
    <row r="5470">
      <c r="A5470" s="106" t="inlineStr">
        <is>
          <t>CAC</t>
        </is>
      </c>
      <c r="B5470" s="106" t="inlineStr">
        <is>
          <t>Custo Variável</t>
        </is>
      </c>
      <c r="C5470" s="106" t="inlineStr">
        <is>
          <t>Rescisões trabalhistas</t>
        </is>
      </c>
      <c r="D5470" s="107" t="n"/>
      <c r="E5470" s="108" t="n"/>
      <c r="F5470" s="109">
        <f>IFERROR(D5470*E5470,0)</f>
        <v/>
      </c>
      <c r="G5470" s="106">
        <f>INDEX(SETORES!$B:$B,MATCH(A5470,SETORES!$A:$A,0))</f>
        <v/>
      </c>
      <c r="H5470" s="106" t="inlineStr">
        <is>
          <t>Janeiro/2027</t>
        </is>
      </c>
    </row>
    <row r="5471">
      <c r="A5471" s="106" t="inlineStr">
        <is>
          <t>NOC</t>
        </is>
      </c>
      <c r="B5471" s="106" t="inlineStr">
        <is>
          <t>Custo Variável</t>
        </is>
      </c>
      <c r="C5471" s="106" t="inlineStr">
        <is>
          <t>Rescisões trabalhistas</t>
        </is>
      </c>
      <c r="D5471" s="107" t="n"/>
      <c r="E5471" s="108" t="n"/>
      <c r="F5471" s="109">
        <f>IFERROR(D5471*E5471,0)</f>
        <v/>
      </c>
      <c r="G5471" s="106">
        <f>INDEX(SETORES!$B:$B,MATCH(A5471,SETORES!$A:$A,0))</f>
        <v/>
      </c>
      <c r="H5471" s="106" t="inlineStr">
        <is>
          <t>Janeiro/2027</t>
        </is>
      </c>
    </row>
    <row r="5472">
      <c r="A5472" s="106" t="inlineStr">
        <is>
          <t>Segurança do Trabalho</t>
        </is>
      </c>
      <c r="B5472" s="106" t="inlineStr">
        <is>
          <t>Custo Variável</t>
        </is>
      </c>
      <c r="C5472" s="106" t="inlineStr">
        <is>
          <t>Rescisões trabalhistas</t>
        </is>
      </c>
      <c r="D5472" s="107" t="n"/>
      <c r="E5472" s="108" t="n"/>
      <c r="F5472" s="109">
        <f>IFERROR(D5472*E5472,0)</f>
        <v/>
      </c>
      <c r="G5472" s="106">
        <f>INDEX(SETORES!$B:$B,MATCH(A5472,SETORES!$A:$A,0))</f>
        <v/>
      </c>
      <c r="H5472" s="106" t="inlineStr">
        <is>
          <t>Janeiro/2027</t>
        </is>
      </c>
    </row>
    <row r="5473">
      <c r="A5473" s="106" t="inlineStr">
        <is>
          <t>Administrativo</t>
        </is>
      </c>
      <c r="B5473" s="106" t="inlineStr">
        <is>
          <t>Custo Variável</t>
        </is>
      </c>
      <c r="C5473" s="106" t="inlineStr">
        <is>
          <t>Rescisões trabalhistas</t>
        </is>
      </c>
      <c r="D5473" s="107" t="n"/>
      <c r="E5473" s="108" t="n"/>
      <c r="F5473" s="109">
        <f>IFERROR(D5473*E5473,0)</f>
        <v/>
      </c>
      <c r="G5473" s="106">
        <f>INDEX(SETORES!$B:$B,MATCH(A5473,SETORES!$A:$A,0))</f>
        <v/>
      </c>
      <c r="H5473" s="106" t="inlineStr">
        <is>
          <t>Janeiro/2027</t>
        </is>
      </c>
    </row>
    <row r="5474">
      <c r="A5474" s="106" t="inlineStr">
        <is>
          <t>Suporte Orbix</t>
        </is>
      </c>
      <c r="B5474" s="106" t="inlineStr">
        <is>
          <t>Custo Variável</t>
        </is>
      </c>
      <c r="C5474" s="106" t="inlineStr">
        <is>
          <t>Rescisões trabalhistas</t>
        </is>
      </c>
      <c r="D5474" s="107" t="n"/>
      <c r="E5474" s="108" t="n"/>
      <c r="F5474" s="109">
        <f>IFERROR(D5474*E5474,0)</f>
        <v/>
      </c>
      <c r="G5474" s="106">
        <f>INDEX(SETORES!$B:$B,MATCH(A5474,SETORES!$A:$A,0))</f>
        <v/>
      </c>
      <c r="H5474" s="106" t="inlineStr">
        <is>
          <t>Janeiro/2027</t>
        </is>
      </c>
    </row>
    <row r="5475">
      <c r="A5475" s="106" t="inlineStr">
        <is>
          <t>Controladoria</t>
        </is>
      </c>
      <c r="B5475" s="106" t="inlineStr">
        <is>
          <t>Custo Variável</t>
        </is>
      </c>
      <c r="C5475" s="106" t="inlineStr">
        <is>
          <t>Combustível de frota</t>
        </is>
      </c>
      <c r="D5475" s="107" t="n">
        <v>1</v>
      </c>
      <c r="E5475" s="108" t="n">
        <v>1581.98</v>
      </c>
      <c r="F5475" s="109">
        <f>IFERROR(D5475*E5475,0)</f>
        <v/>
      </c>
      <c r="G5475" s="106">
        <f>INDEX(SETORES!$B:$B,MATCH(A5475,SETORES!$A:$A,0))</f>
        <v/>
      </c>
      <c r="H5475" s="106" t="inlineStr">
        <is>
          <t>Janeiro/2027</t>
        </is>
      </c>
    </row>
    <row r="5476">
      <c r="A5476" s="106" t="inlineStr">
        <is>
          <t>Logística</t>
        </is>
      </c>
      <c r="B5476" s="106" t="inlineStr">
        <is>
          <t>Custo Variável</t>
        </is>
      </c>
      <c r="C5476" s="106" t="inlineStr">
        <is>
          <t>Combustível de frota (gerador e veículos sem condutor identificado)</t>
        </is>
      </c>
      <c r="D5476" s="107" t="n"/>
      <c r="E5476" s="108" t="n"/>
      <c r="F5476" s="109">
        <f>IFERROR(D5476*E5476,0)</f>
        <v/>
      </c>
      <c r="G5476" s="106">
        <f>INDEX(SETORES!$B:$B,MATCH(A5476,SETORES!$A:$A,0))</f>
        <v/>
      </c>
      <c r="H5476" s="106" t="inlineStr">
        <is>
          <t>Janeiro/2027</t>
        </is>
      </c>
    </row>
    <row r="5477">
      <c r="A5477" s="106" t="inlineStr">
        <is>
          <t>Qualidade</t>
        </is>
      </c>
      <c r="B5477" s="106" t="inlineStr">
        <is>
          <t>Custo Fixo</t>
        </is>
      </c>
      <c r="C5477" s="106" t="inlineStr">
        <is>
          <t>Folha de pagamento (salários)</t>
        </is>
      </c>
      <c r="D5477" s="107" t="n">
        <v>1</v>
      </c>
      <c r="E5477" s="108" t="n">
        <v>42206.73</v>
      </c>
      <c r="F5477" s="109">
        <f>IFERROR(D5477*E5477,0)</f>
        <v/>
      </c>
      <c r="G5477" s="106">
        <f>INDEX(SETORES!$B:$B,MATCH(A5477,SETORES!$A:$A,0))</f>
        <v/>
      </c>
      <c r="H5477" s="106" t="inlineStr">
        <is>
          <t>Janeiro/2027</t>
        </is>
      </c>
    </row>
    <row r="5478">
      <c r="A5478" s="106" t="inlineStr">
        <is>
          <t>Qualidade</t>
        </is>
      </c>
      <c r="B5478" s="106" t="inlineStr">
        <is>
          <t>Custo Fixo</t>
        </is>
      </c>
      <c r="C5478" s="106" t="inlineStr">
        <is>
          <t>Material de uso coletivo (copa/limpeza)</t>
        </is>
      </c>
      <c r="D5478" s="107" t="n">
        <v>1</v>
      </c>
      <c r="E5478" s="108" t="n">
        <v>350.54</v>
      </c>
      <c r="F5478" s="109">
        <f>IFERROR(D5478*E5478,0)</f>
        <v/>
      </c>
      <c r="G5478" s="106">
        <f>INDEX(SETORES!$B:$B,MATCH(A5478,SETORES!$A:$A,0))</f>
        <v/>
      </c>
      <c r="H5478" s="106" t="inlineStr">
        <is>
          <t>Janeiro/2027</t>
        </is>
      </c>
    </row>
    <row r="5479">
      <c r="A5479" s="106" t="inlineStr">
        <is>
          <t>Qualidade</t>
        </is>
      </c>
      <c r="B5479" s="106" t="inlineStr">
        <is>
          <t>Custo Variável</t>
        </is>
      </c>
      <c r="C5479" s="106" t="inlineStr">
        <is>
          <t>Exames médicos</t>
        </is>
      </c>
      <c r="D5479" s="107" t="n"/>
      <c r="E5479" s="108" t="n"/>
      <c r="F5479" s="109">
        <f>IFERROR(D5479*E5479,0)</f>
        <v/>
      </c>
      <c r="G5479" s="106">
        <f>INDEX(SETORES!$B:$B,MATCH(A5479,SETORES!$A:$A,0))</f>
        <v/>
      </c>
      <c r="H5479" s="106" t="inlineStr">
        <is>
          <t>Janeiro/2027</t>
        </is>
      </c>
    </row>
    <row r="5480">
      <c r="A5480" s="106" t="inlineStr">
        <is>
          <t>Jurídico</t>
        </is>
      </c>
      <c r="B5480" s="106" t="inlineStr">
        <is>
          <t>Custo Fixo</t>
        </is>
      </c>
      <c r="C5480" s="106" t="inlineStr">
        <is>
          <t>Folha de pagamento (salários)</t>
        </is>
      </c>
      <c r="D5480" s="107" t="n">
        <v>1</v>
      </c>
      <c r="E5480" s="108" t="n">
        <v>7846.31</v>
      </c>
      <c r="F5480" s="109">
        <f>IFERROR(D5480*E5480,0)</f>
        <v/>
      </c>
      <c r="G5480" s="106">
        <f>INDEX(SETORES!$B:$B,MATCH(A5480,SETORES!$A:$A,0))</f>
        <v/>
      </c>
      <c r="H5480" s="106" t="inlineStr">
        <is>
          <t>Janeiro/2027</t>
        </is>
      </c>
    </row>
    <row r="5481">
      <c r="A5481" s="106" t="inlineStr">
        <is>
          <t>Jurídico</t>
        </is>
      </c>
      <c r="B5481" s="106" t="inlineStr">
        <is>
          <t>Custo Fixo</t>
        </is>
      </c>
      <c r="C5481" s="106" t="inlineStr">
        <is>
          <t>Material de uso coletivo (copa/limpeza)</t>
        </is>
      </c>
      <c r="D5481" s="107" t="n">
        <v>1</v>
      </c>
      <c r="E5481" s="108" t="n">
        <v>150.42</v>
      </c>
      <c r="F5481" s="109">
        <f>IFERROR(D5481*E5481,0)</f>
        <v/>
      </c>
      <c r="G5481" s="106">
        <f>INDEX(SETORES!$B:$B,MATCH(A5481,SETORES!$A:$A,0))</f>
        <v/>
      </c>
      <c r="H5481" s="106" t="inlineStr">
        <is>
          <t>Janeiro/2027</t>
        </is>
      </c>
    </row>
    <row r="5482">
      <c r="A5482" s="106" t="inlineStr">
        <is>
          <t>Jurídico</t>
        </is>
      </c>
      <c r="B5482" s="106" t="inlineStr">
        <is>
          <t>Custo Variável</t>
        </is>
      </c>
      <c r="C5482" s="106" t="inlineStr">
        <is>
          <t>Combustível de frota</t>
        </is>
      </c>
      <c r="D5482" s="107" t="n">
        <v>1</v>
      </c>
      <c r="E5482" s="108" t="n">
        <v>1280.1</v>
      </c>
      <c r="F5482" s="109">
        <f>IFERROR(D5482*E5482,0)</f>
        <v/>
      </c>
      <c r="G5482" s="106">
        <f>INDEX(SETORES!$B:$B,MATCH(A5482,SETORES!$A:$A,0))</f>
        <v/>
      </c>
      <c r="H5482" s="106" t="inlineStr">
        <is>
          <t>Janeiro/2027</t>
        </is>
      </c>
    </row>
    <row r="5483">
      <c r="A5483" s="106" t="inlineStr">
        <is>
          <t>Marketing</t>
        </is>
      </c>
      <c r="B5483" s="106" t="inlineStr">
        <is>
          <t>Custo Fixo</t>
        </is>
      </c>
      <c r="C5483" s="106" t="inlineStr">
        <is>
          <t>Folha de pagamento (salários)</t>
        </is>
      </c>
      <c r="D5483" s="107" t="n">
        <v>1</v>
      </c>
      <c r="E5483" s="108" t="n">
        <v>62265.7</v>
      </c>
      <c r="F5483" s="109">
        <f>IFERROR(D5483*E5483,0)</f>
        <v/>
      </c>
      <c r="G5483" s="106">
        <f>INDEX(SETORES!$B:$B,MATCH(A5483,SETORES!$A:$A,0))</f>
        <v/>
      </c>
      <c r="H5483" s="106" t="inlineStr">
        <is>
          <t>Janeiro/2027</t>
        </is>
      </c>
    </row>
    <row r="5484">
      <c r="A5484" s="106" t="inlineStr">
        <is>
          <t>Marketing</t>
        </is>
      </c>
      <c r="B5484" s="106" t="inlineStr">
        <is>
          <t>Custo Fixo</t>
        </is>
      </c>
      <c r="C5484" s="106" t="inlineStr">
        <is>
          <t>Material de uso coletivo (copa/limpeza)</t>
        </is>
      </c>
      <c r="D5484" s="107" t="n">
        <v>1</v>
      </c>
      <c r="E5484" s="108" t="n">
        <v>507.51</v>
      </c>
      <c r="F5484" s="109">
        <f>IFERROR(D5484*E5484,0)</f>
        <v/>
      </c>
      <c r="G5484" s="106">
        <f>INDEX(SETORES!$B:$B,MATCH(A5484,SETORES!$A:$A,0))</f>
        <v/>
      </c>
      <c r="H5484" s="106" t="inlineStr">
        <is>
          <t>Janeiro/2027</t>
        </is>
      </c>
    </row>
    <row r="5485">
      <c r="A5485" s="106" t="inlineStr">
        <is>
          <t>Marketing</t>
        </is>
      </c>
      <c r="B5485" s="106" t="inlineStr">
        <is>
          <t>Custo Variável</t>
        </is>
      </c>
      <c r="C5485" s="106" t="inlineStr">
        <is>
          <t>Combustível de frota</t>
        </is>
      </c>
      <c r="D5485" s="107" t="n">
        <v>1</v>
      </c>
      <c r="E5485" s="108" t="n">
        <v>1514.08</v>
      </c>
      <c r="F5485" s="109">
        <f>IFERROR(D5485*E5485,0)</f>
        <v/>
      </c>
      <c r="G5485" s="106">
        <f>INDEX(SETORES!$B:$B,MATCH(A5485,SETORES!$A:$A,0))</f>
        <v/>
      </c>
      <c r="H5485" s="106" t="inlineStr">
        <is>
          <t>Janeiro/2027</t>
        </is>
      </c>
    </row>
    <row r="5486">
      <c r="A5486" s="106" t="inlineStr">
        <is>
          <t>Marketing</t>
        </is>
      </c>
      <c r="B5486" s="106" t="inlineStr">
        <is>
          <t>Custo Variável</t>
        </is>
      </c>
      <c r="C5486" s="106" t="inlineStr">
        <is>
          <t>Exames médicos</t>
        </is>
      </c>
      <c r="D5486" s="107" t="n"/>
      <c r="E5486" s="108" t="n"/>
      <c r="F5486" s="109">
        <f>IFERROR(D5486*E5486,0)</f>
        <v/>
      </c>
      <c r="G5486" s="106">
        <f>INDEX(SETORES!$B:$B,MATCH(A5486,SETORES!$A:$A,0))</f>
        <v/>
      </c>
      <c r="H5486" s="106" t="inlineStr">
        <is>
          <t>Janeiro/2027</t>
        </is>
      </c>
    </row>
    <row r="5487">
      <c r="A5487" s="106" t="inlineStr">
        <is>
          <t>TIC</t>
        </is>
      </c>
      <c r="B5487" s="106" t="inlineStr">
        <is>
          <t>Custo Fixo</t>
        </is>
      </c>
      <c r="C5487" s="106" t="inlineStr">
        <is>
          <t>Folha de pagamento (salários)</t>
        </is>
      </c>
      <c r="D5487" s="107" t="n">
        <v>1</v>
      </c>
      <c r="E5487" s="108" t="n">
        <v>35073.9</v>
      </c>
      <c r="F5487" s="109">
        <f>IFERROR(D5487*E5487,0)</f>
        <v/>
      </c>
      <c r="G5487" s="106">
        <f>INDEX(SETORES!$B:$B,MATCH(A5487,SETORES!$A:$A,0))</f>
        <v/>
      </c>
      <c r="H5487" s="106" t="inlineStr">
        <is>
          <t>Janeiro/2027</t>
        </is>
      </c>
    </row>
    <row r="5488">
      <c r="A5488" s="106" t="inlineStr">
        <is>
          <t>TIC</t>
        </is>
      </c>
      <c r="B5488" s="106" t="inlineStr">
        <is>
          <t>Custo Fixo</t>
        </is>
      </c>
      <c r="C5488" s="106" t="inlineStr">
        <is>
          <t>Material de uso coletivo (copa/limpeza)</t>
        </is>
      </c>
      <c r="D5488" s="107" t="n">
        <v>1</v>
      </c>
      <c r="E5488" s="108" t="n">
        <v>107.14</v>
      </c>
      <c r="F5488" s="109">
        <f>IFERROR(D5488*E5488,0)</f>
        <v/>
      </c>
      <c r="G5488" s="106">
        <f>INDEX(SETORES!$B:$B,MATCH(A5488,SETORES!$A:$A,0))</f>
        <v/>
      </c>
      <c r="H5488" s="106" t="inlineStr">
        <is>
          <t>Janeiro/2027</t>
        </is>
      </c>
    </row>
    <row r="5489">
      <c r="A5489" s="106" t="inlineStr">
        <is>
          <t>COE</t>
        </is>
      </c>
      <c r="B5489" s="106" t="inlineStr">
        <is>
          <t>Custo Fixo</t>
        </is>
      </c>
      <c r="C5489" s="106" t="inlineStr">
        <is>
          <t>Folha de pagamento (salários)</t>
        </is>
      </c>
      <c r="D5489" s="107" t="n">
        <v>1</v>
      </c>
      <c r="E5489" s="108" t="n">
        <v>71692.57000000001</v>
      </c>
      <c r="F5489" s="109">
        <f>IFERROR(D5489*E5489,0)</f>
        <v/>
      </c>
      <c r="G5489" s="106">
        <f>INDEX(SETORES!$B:$B,MATCH(A5489,SETORES!$A:$A,0))</f>
        <v/>
      </c>
      <c r="H5489" s="106" t="inlineStr">
        <is>
          <t>Janeiro/2027</t>
        </is>
      </c>
    </row>
    <row r="5490">
      <c r="A5490" s="106" t="inlineStr">
        <is>
          <t>Fique Móvel</t>
        </is>
      </c>
      <c r="B5490" s="106" t="inlineStr">
        <is>
          <t>Custo Fixo</t>
        </is>
      </c>
      <c r="C5490" s="106" t="inlineStr">
        <is>
          <t>Folha de pagamento (salários)</t>
        </is>
      </c>
      <c r="D5490" s="107" t="n">
        <v>1</v>
      </c>
      <c r="E5490" s="108" t="n">
        <v>13644.85</v>
      </c>
      <c r="F5490" s="109">
        <f>IFERROR(D5490*E5490,0)</f>
        <v/>
      </c>
      <c r="G5490" s="106">
        <f>INDEX(SETORES!$B:$B,MATCH(A5490,SETORES!$A:$A,0))</f>
        <v/>
      </c>
      <c r="H5490" s="106" t="inlineStr">
        <is>
          <t>Janeiro/2027</t>
        </is>
      </c>
    </row>
    <row r="5491">
      <c r="A5491" s="106" t="inlineStr">
        <is>
          <t>Lançamento</t>
        </is>
      </c>
      <c r="B5491" s="106" t="inlineStr">
        <is>
          <t>Custo Fixo</t>
        </is>
      </c>
      <c r="C5491" s="106" t="inlineStr">
        <is>
          <t>Folha de pagamento (salários)</t>
        </is>
      </c>
      <c r="D5491" s="107" t="n">
        <v>1</v>
      </c>
      <c r="E5491" s="108" t="n">
        <v>184970.83</v>
      </c>
      <c r="F5491" s="109">
        <f>IFERROR(D5491*E5491,0)</f>
        <v/>
      </c>
      <c r="G5491" s="106">
        <f>INDEX(SETORES!$B:$B,MATCH(A5491,SETORES!$A:$A,0))</f>
        <v/>
      </c>
      <c r="H5491" s="106" t="inlineStr">
        <is>
          <t>Janeiro/2027</t>
        </is>
      </c>
    </row>
    <row r="5492">
      <c r="A5492" s="106" t="inlineStr">
        <is>
          <t>Lançamento</t>
        </is>
      </c>
      <c r="B5492" s="106" t="inlineStr">
        <is>
          <t>Custo Variável</t>
        </is>
      </c>
      <c r="C5492" s="106" t="inlineStr">
        <is>
          <t>Combustível de frota</t>
        </is>
      </c>
      <c r="D5492" s="107" t="n">
        <v>1</v>
      </c>
      <c r="E5492" s="108" t="n">
        <v>12181.5</v>
      </c>
      <c r="F5492" s="109">
        <f>IFERROR(D5492*E5492,0)</f>
        <v/>
      </c>
      <c r="G5492" s="106">
        <f>INDEX(SETORES!$B:$B,MATCH(A5492,SETORES!$A:$A,0))</f>
        <v/>
      </c>
      <c r="H5492" s="106" t="inlineStr">
        <is>
          <t>Janeiro/2027</t>
        </is>
      </c>
    </row>
    <row r="5493">
      <c r="A5493" s="106" t="inlineStr">
        <is>
          <t>Lançamento</t>
        </is>
      </c>
      <c r="B5493" s="106" t="inlineStr">
        <is>
          <t>Custo Variável</t>
        </is>
      </c>
      <c r="C5493" s="106" t="inlineStr">
        <is>
          <t>EPIs - Equipamento de Proteção Individual</t>
        </is>
      </c>
      <c r="D5493" s="107" t="n"/>
      <c r="E5493" s="108" t="n"/>
      <c r="F5493" s="109">
        <f>IFERROR(D5493*E5493,0)</f>
        <v/>
      </c>
      <c r="G5493" s="106">
        <f>INDEX(SETORES!$B:$B,MATCH(A5493,SETORES!$A:$A,0))</f>
        <v/>
      </c>
      <c r="H5493" s="106" t="inlineStr">
        <is>
          <t>Janeiro/2027</t>
        </is>
      </c>
    </row>
    <row r="5494">
      <c r="A5494" s="106" t="inlineStr">
        <is>
          <t>Fusão</t>
        </is>
      </c>
      <c r="B5494" s="106" t="inlineStr">
        <is>
          <t>Custo Fixo</t>
        </is>
      </c>
      <c r="C5494" s="106" t="inlineStr">
        <is>
          <t>Folha de pagamento (salários)</t>
        </is>
      </c>
      <c r="D5494" s="107" t="n">
        <v>1</v>
      </c>
      <c r="E5494" s="108" t="n">
        <v>108616.1</v>
      </c>
      <c r="F5494" s="109">
        <f>IFERROR(D5494*E5494,0)</f>
        <v/>
      </c>
      <c r="G5494" s="106">
        <f>INDEX(SETORES!$B:$B,MATCH(A5494,SETORES!$A:$A,0))</f>
        <v/>
      </c>
      <c r="H5494" s="106" t="inlineStr">
        <is>
          <t>Janeiro/2027</t>
        </is>
      </c>
    </row>
    <row r="5495">
      <c r="A5495" s="106" t="inlineStr">
        <is>
          <t>Fusão</t>
        </is>
      </c>
      <c r="B5495" s="106" t="inlineStr">
        <is>
          <t>Custo Variável</t>
        </is>
      </c>
      <c r="C5495" s="106" t="inlineStr">
        <is>
          <t>Combustível de frota</t>
        </is>
      </c>
      <c r="D5495" s="107" t="n">
        <v>1</v>
      </c>
      <c r="E5495" s="108" t="n">
        <v>19762.11</v>
      </c>
      <c r="F5495" s="109">
        <f>IFERROR(D5495*E5495,0)</f>
        <v/>
      </c>
      <c r="G5495" s="106">
        <f>INDEX(SETORES!$B:$B,MATCH(A5495,SETORES!$A:$A,0))</f>
        <v/>
      </c>
      <c r="H5495" s="106" t="inlineStr">
        <is>
          <t>Janeiro/2027</t>
        </is>
      </c>
    </row>
    <row r="5496">
      <c r="A5496" s="106" t="inlineStr">
        <is>
          <t>Fusão</t>
        </is>
      </c>
      <c r="B5496" s="106" t="inlineStr">
        <is>
          <t>Custo Variável</t>
        </is>
      </c>
      <c r="C5496" s="106" t="inlineStr">
        <is>
          <t>EPIs - Equipamento de Proteção Individual</t>
        </is>
      </c>
      <c r="D5496" s="107" t="n"/>
      <c r="E5496" s="108" t="n"/>
      <c r="F5496" s="109">
        <f>IFERROR(D5496*E5496,0)</f>
        <v/>
      </c>
      <c r="G5496" s="106">
        <f>INDEX(SETORES!$B:$B,MATCH(A5496,SETORES!$A:$A,0))</f>
        <v/>
      </c>
      <c r="H5496" s="106" t="inlineStr">
        <is>
          <t>Janeiro/2027</t>
        </is>
      </c>
    </row>
    <row r="5497">
      <c r="A5497" s="106" t="inlineStr">
        <is>
          <t>Diretoria Adm</t>
        </is>
      </c>
      <c r="B5497" s="106" t="inlineStr">
        <is>
          <t>Custo Fixo</t>
        </is>
      </c>
      <c r="C5497" s="106" t="inlineStr">
        <is>
          <t>Folha de pagamento (salários)</t>
        </is>
      </c>
      <c r="D5497" s="107" t="n">
        <v>1</v>
      </c>
      <c r="E5497" s="108" t="n">
        <v>11133.4</v>
      </c>
      <c r="F5497" s="109">
        <f>IFERROR(D5497*E5497,0)</f>
        <v/>
      </c>
      <c r="G5497" s="106">
        <f>INDEX(SETORES!$B:$B,MATCH(A5497,SETORES!$A:$A,0))</f>
        <v/>
      </c>
      <c r="H5497" s="106" t="inlineStr">
        <is>
          <t>Janeiro/2027</t>
        </is>
      </c>
    </row>
    <row r="5498">
      <c r="A5498" s="106" t="inlineStr">
        <is>
          <t>Diretoria Adm</t>
        </is>
      </c>
      <c r="B5498" s="106" t="inlineStr">
        <is>
          <t>Custo Fixo</t>
        </is>
      </c>
      <c r="C5498" s="106" t="inlineStr">
        <is>
          <t>Material de escritório (suprimentos de informática)</t>
        </is>
      </c>
      <c r="D5498" s="107" t="n"/>
      <c r="E5498" s="108" t="n"/>
      <c r="F5498" s="109">
        <f>IFERROR(D5498*E5498,0)</f>
        <v/>
      </c>
      <c r="G5498" s="106">
        <f>INDEX(SETORES!$B:$B,MATCH(A5498,SETORES!$A:$A,0))</f>
        <v/>
      </c>
      <c r="H5498" s="106" t="inlineStr">
        <is>
          <t>Janeiro/2027</t>
        </is>
      </c>
    </row>
    <row r="5499">
      <c r="A5499" s="106" t="inlineStr">
        <is>
          <t>Diretoria Adm</t>
        </is>
      </c>
      <c r="B5499" s="106" t="inlineStr">
        <is>
          <t>Custo Fixo</t>
        </is>
      </c>
      <c r="C5499" s="106" t="inlineStr">
        <is>
          <t>Material de uso coletivo (copa/limpeza)</t>
        </is>
      </c>
      <c r="D5499" s="107" t="n"/>
      <c r="E5499" s="108" t="n"/>
      <c r="F5499" s="109">
        <f>IFERROR(D5499*E5499,0)</f>
        <v/>
      </c>
      <c r="G5499" s="106">
        <f>INDEX(SETORES!$B:$B,MATCH(A5499,SETORES!$A:$A,0))</f>
        <v/>
      </c>
      <c r="H5499" s="106" t="inlineStr">
        <is>
          <t>Janeiro/2027</t>
        </is>
      </c>
    </row>
    <row r="5500">
      <c r="A5500" s="106" t="inlineStr">
        <is>
          <t>Comercial Corporativo</t>
        </is>
      </c>
      <c r="B5500" s="106" t="inlineStr">
        <is>
          <t>Custo Fixo</t>
        </is>
      </c>
      <c r="C5500" s="106" t="inlineStr">
        <is>
          <t>Material de uso coletivo (copa/limpeza)</t>
        </is>
      </c>
      <c r="D5500" s="107" t="n"/>
      <c r="E5500" s="108" t="n"/>
      <c r="F5500" s="109">
        <f>IFERROR(D5500*E5500,0)</f>
        <v/>
      </c>
      <c r="G5500" s="106">
        <f>INDEX(SETORES!$B:$B,MATCH(A5500,SETORES!$A:$A,0))</f>
        <v/>
      </c>
      <c r="H5500" s="106" t="inlineStr">
        <is>
          <t>Janeiro/2027</t>
        </is>
      </c>
    </row>
    <row r="5501">
      <c r="A5501" s="106" t="inlineStr">
        <is>
          <t>Fique Móvel</t>
        </is>
      </c>
      <c r="B5501" s="106" t="inlineStr">
        <is>
          <t>Custo Fixo</t>
        </is>
      </c>
      <c r="C5501" s="106" t="inlineStr">
        <is>
          <t>Material de uso coletivo (copa/limpeza)</t>
        </is>
      </c>
      <c r="D5501" s="107" t="n">
        <v>1</v>
      </c>
      <c r="E5501" s="108" t="n">
        <v>175.81</v>
      </c>
      <c r="F5501" s="109">
        <f>IFERROR(D5501*E5501,0)</f>
        <v/>
      </c>
      <c r="G5501" s="106">
        <f>INDEX(SETORES!$B:$B,MATCH(A5501,SETORES!$A:$A,0))</f>
        <v/>
      </c>
      <c r="H5501" s="106" t="inlineStr">
        <is>
          <t>Janeiro/2027</t>
        </is>
      </c>
    </row>
    <row r="5502">
      <c r="A5502" s="106" t="inlineStr">
        <is>
          <t>Qualidade</t>
        </is>
      </c>
      <c r="B5502" s="106" t="inlineStr">
        <is>
          <t>Custo Fixo</t>
        </is>
      </c>
      <c r="C5502" s="106" t="inlineStr">
        <is>
          <t>Gympass</t>
        </is>
      </c>
      <c r="D5502" s="107" t="n"/>
      <c r="E5502" s="108" t="n"/>
      <c r="F5502" s="109">
        <f>IFERROR(D5502*E5502,0)</f>
        <v/>
      </c>
      <c r="G5502" s="106">
        <f>INDEX(SETORES!$B:$B,MATCH(A5502,SETORES!$A:$A,0))</f>
        <v/>
      </c>
      <c r="H5502" s="106" t="inlineStr">
        <is>
          <t>Janeiro/2027</t>
        </is>
      </c>
    </row>
    <row r="5503">
      <c r="A5503" s="106" t="inlineStr">
        <is>
          <t>Qualidade</t>
        </is>
      </c>
      <c r="B5503" s="106" t="inlineStr">
        <is>
          <t>Custo Fixo</t>
        </is>
      </c>
      <c r="C5503" s="106" t="inlineStr">
        <is>
          <t>Stargrid</t>
        </is>
      </c>
      <c r="D5503" s="107" t="n">
        <v>11</v>
      </c>
      <c r="E5503" s="108" t="n">
        <v>1.87</v>
      </c>
      <c r="F5503" s="109">
        <f>IFERROR(D5503*E5503,0)</f>
        <v/>
      </c>
      <c r="G5503" s="106">
        <f>INDEX(SETORES!$B:$B,MATCH(A5503,SETORES!$A:$A,0))</f>
        <v/>
      </c>
      <c r="H5503" s="106" t="inlineStr">
        <is>
          <t>Janeiro/2027</t>
        </is>
      </c>
    </row>
    <row r="5504">
      <c r="A5504" s="106" t="inlineStr">
        <is>
          <t>Qualidade</t>
        </is>
      </c>
      <c r="B5504" s="106" t="inlineStr">
        <is>
          <t>Custo Fixo</t>
        </is>
      </c>
      <c r="C5504" s="106" t="inlineStr">
        <is>
          <t>Licença de e-mail corporativo</t>
        </is>
      </c>
      <c r="D5504" s="107" t="n">
        <v>11</v>
      </c>
      <c r="E5504" s="108" t="n">
        <v>50</v>
      </c>
      <c r="F5504" s="109">
        <f>IFERROR(D5504*E5504,0)</f>
        <v/>
      </c>
      <c r="G5504" s="106">
        <f>INDEX(SETORES!$B:$B,MATCH(A5504,SETORES!$A:$A,0))</f>
        <v/>
      </c>
      <c r="H5504" s="106" t="inlineStr">
        <is>
          <t>Janeiro/2027</t>
        </is>
      </c>
    </row>
    <row r="5505">
      <c r="A5505" s="106" t="inlineStr">
        <is>
          <t>Qualidade</t>
        </is>
      </c>
      <c r="B5505" s="106" t="inlineStr">
        <is>
          <t>Custo Fixo</t>
        </is>
      </c>
      <c r="C5505" s="106" t="inlineStr">
        <is>
          <t>Despesas com RH</t>
        </is>
      </c>
      <c r="D5505" s="107" t="n">
        <v>11</v>
      </c>
      <c r="E5505" s="108" t="n">
        <v>32.55</v>
      </c>
      <c r="F5505" s="109">
        <f>IFERROR(D5505*E5505,0)</f>
        <v/>
      </c>
      <c r="G5505" s="106">
        <f>INDEX(SETORES!$B:$B,MATCH(A5505,SETORES!$A:$A,0))</f>
        <v/>
      </c>
      <c r="H5505" s="106" t="inlineStr">
        <is>
          <t>Janeiro/2027</t>
        </is>
      </c>
    </row>
    <row r="5506">
      <c r="A5506" s="106" t="inlineStr">
        <is>
          <t>Qualidade</t>
        </is>
      </c>
      <c r="B5506" s="106" t="inlineStr">
        <is>
          <t>Custo Fixo</t>
        </is>
      </c>
      <c r="C5506" s="106" t="inlineStr">
        <is>
          <t>Despesas com DP</t>
        </is>
      </c>
      <c r="D5506" s="107" t="n">
        <v>11</v>
      </c>
      <c r="E5506" s="108" t="n">
        <v>52.09</v>
      </c>
      <c r="F5506" s="109">
        <f>IFERROR(D5506*E5506,0)</f>
        <v/>
      </c>
      <c r="G5506" s="106">
        <f>INDEX(SETORES!$B:$B,MATCH(A5506,SETORES!$A:$A,0))</f>
        <v/>
      </c>
      <c r="H5506" s="106" t="inlineStr">
        <is>
          <t>Janeiro/2027</t>
        </is>
      </c>
    </row>
    <row r="5507">
      <c r="A5507" s="106" t="inlineStr">
        <is>
          <t>Qualidade</t>
        </is>
      </c>
      <c r="B5507" s="106" t="inlineStr">
        <is>
          <t>Custo Fixo</t>
        </is>
      </c>
      <c r="C5507" s="106" t="inlineStr">
        <is>
          <t>Despesas com SST</t>
        </is>
      </c>
      <c r="D5507" s="107" t="n">
        <v>11</v>
      </c>
      <c r="E5507" s="108" t="n">
        <v>52.35</v>
      </c>
      <c r="F5507" s="109">
        <f>IFERROR(D5507*E5507,0)</f>
        <v/>
      </c>
      <c r="G5507" s="106">
        <f>INDEX(SETORES!$B:$B,MATCH(A5507,SETORES!$A:$A,0))</f>
        <v/>
      </c>
      <c r="H5507" s="106" t="inlineStr">
        <is>
          <t>Janeiro/2027</t>
        </is>
      </c>
    </row>
    <row r="5508">
      <c r="A5508" s="106" t="inlineStr">
        <is>
          <t>Jurídico</t>
        </is>
      </c>
      <c r="B5508" s="106" t="inlineStr">
        <is>
          <t>Custo Fixo</t>
        </is>
      </c>
      <c r="C5508" s="106" t="inlineStr">
        <is>
          <t>Gympass</t>
        </is>
      </c>
      <c r="D5508" s="107" t="n"/>
      <c r="E5508" s="108" t="n"/>
      <c r="F5508" s="109">
        <f>IFERROR(D5508*E5508,0)</f>
        <v/>
      </c>
      <c r="G5508" s="106">
        <f>INDEX(SETORES!$B:$B,MATCH(A5508,SETORES!$A:$A,0))</f>
        <v/>
      </c>
      <c r="H5508" s="106" t="inlineStr">
        <is>
          <t>Janeiro/2027</t>
        </is>
      </c>
    </row>
    <row r="5509">
      <c r="A5509" s="106" t="inlineStr">
        <is>
          <t>Jurídico</t>
        </is>
      </c>
      <c r="B5509" s="106" t="inlineStr">
        <is>
          <t>Custo Fixo</t>
        </is>
      </c>
      <c r="C5509" s="106" t="inlineStr">
        <is>
          <t>Stargrid</t>
        </is>
      </c>
      <c r="D5509" s="107" t="n">
        <v>2</v>
      </c>
      <c r="E5509" s="108" t="n">
        <v>1.87</v>
      </c>
      <c r="F5509" s="109">
        <f>IFERROR(D5509*E5509,0)</f>
        <v/>
      </c>
      <c r="G5509" s="106">
        <f>INDEX(SETORES!$B:$B,MATCH(A5509,SETORES!$A:$A,0))</f>
        <v/>
      </c>
      <c r="H5509" s="106" t="inlineStr">
        <is>
          <t>Janeiro/2027</t>
        </is>
      </c>
    </row>
    <row r="5510">
      <c r="A5510" s="106" t="inlineStr">
        <is>
          <t>Jurídico</t>
        </is>
      </c>
      <c r="B5510" s="106" t="inlineStr">
        <is>
          <t>Custo Fixo</t>
        </is>
      </c>
      <c r="C5510" s="106" t="inlineStr">
        <is>
          <t>Licença de e-mail corporativo</t>
        </is>
      </c>
      <c r="D5510" s="107" t="n">
        <v>2</v>
      </c>
      <c r="E5510" s="108" t="n">
        <v>50</v>
      </c>
      <c r="F5510" s="109">
        <f>IFERROR(D5510*E5510,0)</f>
        <v/>
      </c>
      <c r="G5510" s="106">
        <f>INDEX(SETORES!$B:$B,MATCH(A5510,SETORES!$A:$A,0))</f>
        <v/>
      </c>
      <c r="H5510" s="106" t="inlineStr">
        <is>
          <t>Janeiro/2027</t>
        </is>
      </c>
    </row>
    <row r="5511">
      <c r="A5511" s="106" t="inlineStr">
        <is>
          <t>Jurídico</t>
        </is>
      </c>
      <c r="B5511" s="106" t="inlineStr">
        <is>
          <t>Custo Fixo</t>
        </is>
      </c>
      <c r="C5511" s="106" t="inlineStr">
        <is>
          <t>Despesas com RH</t>
        </is>
      </c>
      <c r="D5511" s="107" t="n">
        <v>2</v>
      </c>
      <c r="E5511" s="108" t="n">
        <v>32.55</v>
      </c>
      <c r="F5511" s="109">
        <f>IFERROR(D5511*E5511,0)</f>
        <v/>
      </c>
      <c r="G5511" s="106">
        <f>INDEX(SETORES!$B:$B,MATCH(A5511,SETORES!$A:$A,0))</f>
        <v/>
      </c>
      <c r="H5511" s="106" t="inlineStr">
        <is>
          <t>Janeiro/2027</t>
        </is>
      </c>
    </row>
    <row r="5512">
      <c r="A5512" s="106" t="inlineStr">
        <is>
          <t>Jurídico</t>
        </is>
      </c>
      <c r="B5512" s="106" t="inlineStr">
        <is>
          <t>Custo Fixo</t>
        </is>
      </c>
      <c r="C5512" s="106" t="inlineStr">
        <is>
          <t>Despesas com DP</t>
        </is>
      </c>
      <c r="D5512" s="107" t="n">
        <v>2</v>
      </c>
      <c r="E5512" s="108" t="n">
        <v>52.09</v>
      </c>
      <c r="F5512" s="109">
        <f>IFERROR(D5512*E5512,0)</f>
        <v/>
      </c>
      <c r="G5512" s="106">
        <f>INDEX(SETORES!$B:$B,MATCH(A5512,SETORES!$A:$A,0))</f>
        <v/>
      </c>
      <c r="H5512" s="106" t="inlineStr">
        <is>
          <t>Janeiro/2027</t>
        </is>
      </c>
    </row>
    <row r="5513">
      <c r="A5513" s="106" t="inlineStr">
        <is>
          <t>Jurídico</t>
        </is>
      </c>
      <c r="B5513" s="106" t="inlineStr">
        <is>
          <t>Custo Fixo</t>
        </is>
      </c>
      <c r="C5513" s="106" t="inlineStr">
        <is>
          <t>Despesas com SST</t>
        </is>
      </c>
      <c r="D5513" s="107" t="n">
        <v>2</v>
      </c>
      <c r="E5513" s="108" t="n">
        <v>52.35</v>
      </c>
      <c r="F5513" s="109">
        <f>IFERROR(D5513*E5513,0)</f>
        <v/>
      </c>
      <c r="G5513" s="106">
        <f>INDEX(SETORES!$B:$B,MATCH(A5513,SETORES!$A:$A,0))</f>
        <v/>
      </c>
      <c r="H5513" s="106" t="inlineStr">
        <is>
          <t>Janeiro/2027</t>
        </is>
      </c>
    </row>
    <row r="5514">
      <c r="A5514" s="106" t="inlineStr">
        <is>
          <t>Marketing</t>
        </is>
      </c>
      <c r="B5514" s="106" t="inlineStr">
        <is>
          <t>Custo Fixo</t>
        </is>
      </c>
      <c r="C5514" s="106" t="inlineStr">
        <is>
          <t>Gympass</t>
        </is>
      </c>
      <c r="D5514" s="107" t="n"/>
      <c r="E5514" s="108" t="n"/>
      <c r="F5514" s="109">
        <f>IFERROR(D5514*E5514,0)</f>
        <v/>
      </c>
      <c r="G5514" s="106">
        <f>INDEX(SETORES!$B:$B,MATCH(A5514,SETORES!$A:$A,0))</f>
        <v/>
      </c>
      <c r="H5514" s="106" t="inlineStr">
        <is>
          <t>Janeiro/2027</t>
        </is>
      </c>
    </row>
    <row r="5515">
      <c r="A5515" s="106" t="inlineStr">
        <is>
          <t>Marketing</t>
        </is>
      </c>
      <c r="B5515" s="106" t="inlineStr">
        <is>
          <t>Custo Fixo</t>
        </is>
      </c>
      <c r="C5515" s="106" t="inlineStr">
        <is>
          <t>Stargrid</t>
        </is>
      </c>
      <c r="D5515" s="107" t="n">
        <v>17</v>
      </c>
      <c r="E5515" s="108" t="n">
        <v>1.87</v>
      </c>
      <c r="F5515" s="109">
        <f>IFERROR(D5515*E5515,0)</f>
        <v/>
      </c>
      <c r="G5515" s="106">
        <f>INDEX(SETORES!$B:$B,MATCH(A5515,SETORES!$A:$A,0))</f>
        <v/>
      </c>
      <c r="H5515" s="106" t="inlineStr">
        <is>
          <t>Janeiro/2027</t>
        </is>
      </c>
    </row>
    <row r="5516">
      <c r="A5516" s="106" t="inlineStr">
        <is>
          <t>Marketing</t>
        </is>
      </c>
      <c r="B5516" s="106" t="inlineStr">
        <is>
          <t>Custo Fixo</t>
        </is>
      </c>
      <c r="C5516" s="106" t="inlineStr">
        <is>
          <t>Licença de e-mail corporativo</t>
        </is>
      </c>
      <c r="D5516" s="107" t="n">
        <v>17</v>
      </c>
      <c r="E5516" s="108" t="n">
        <v>50</v>
      </c>
      <c r="F5516" s="109">
        <f>IFERROR(D5516*E5516,0)</f>
        <v/>
      </c>
      <c r="G5516" s="106">
        <f>INDEX(SETORES!$B:$B,MATCH(A5516,SETORES!$A:$A,0))</f>
        <v/>
      </c>
      <c r="H5516" s="106" t="inlineStr">
        <is>
          <t>Janeiro/2027</t>
        </is>
      </c>
    </row>
    <row r="5517">
      <c r="A5517" s="106" t="inlineStr">
        <is>
          <t>Marketing</t>
        </is>
      </c>
      <c r="B5517" s="106" t="inlineStr">
        <is>
          <t>Custo Fixo</t>
        </is>
      </c>
      <c r="C5517" s="106" t="inlineStr">
        <is>
          <t>Despesas com RH</t>
        </is>
      </c>
      <c r="D5517" s="107" t="n">
        <v>17</v>
      </c>
      <c r="E5517" s="108" t="n">
        <v>32.55</v>
      </c>
      <c r="F5517" s="109">
        <f>IFERROR(D5517*E5517,0)</f>
        <v/>
      </c>
      <c r="G5517" s="106">
        <f>INDEX(SETORES!$B:$B,MATCH(A5517,SETORES!$A:$A,0))</f>
        <v/>
      </c>
      <c r="H5517" s="106" t="inlineStr">
        <is>
          <t>Janeiro/2027</t>
        </is>
      </c>
    </row>
    <row r="5518">
      <c r="A5518" s="106" t="inlineStr">
        <is>
          <t>Marketing</t>
        </is>
      </c>
      <c r="B5518" s="106" t="inlineStr">
        <is>
          <t>Custo Fixo</t>
        </is>
      </c>
      <c r="C5518" s="106" t="inlineStr">
        <is>
          <t>Despesas com DP</t>
        </is>
      </c>
      <c r="D5518" s="107" t="n">
        <v>17</v>
      </c>
      <c r="E5518" s="108" t="n">
        <v>52.09</v>
      </c>
      <c r="F5518" s="109">
        <f>IFERROR(D5518*E5518,0)</f>
        <v/>
      </c>
      <c r="G5518" s="106">
        <f>INDEX(SETORES!$B:$B,MATCH(A5518,SETORES!$A:$A,0))</f>
        <v/>
      </c>
      <c r="H5518" s="106" t="inlineStr">
        <is>
          <t>Janeiro/2027</t>
        </is>
      </c>
    </row>
    <row r="5519">
      <c r="A5519" s="106" t="inlineStr">
        <is>
          <t>Marketing</t>
        </is>
      </c>
      <c r="B5519" s="106" t="inlineStr">
        <is>
          <t>Custo Fixo</t>
        </is>
      </c>
      <c r="C5519" s="106" t="inlineStr">
        <is>
          <t>Despesas com SST</t>
        </is>
      </c>
      <c r="D5519" s="107" t="n">
        <v>17</v>
      </c>
      <c r="E5519" s="108" t="n">
        <v>52.35</v>
      </c>
      <c r="F5519" s="109">
        <f>IFERROR(D5519*E5519,0)</f>
        <v/>
      </c>
      <c r="G5519" s="106">
        <f>INDEX(SETORES!$B:$B,MATCH(A5519,SETORES!$A:$A,0))</f>
        <v/>
      </c>
      <c r="H5519" s="106" t="inlineStr">
        <is>
          <t>Janeiro/2027</t>
        </is>
      </c>
    </row>
    <row r="5520">
      <c r="A5520" s="106" t="inlineStr">
        <is>
          <t>TIC</t>
        </is>
      </c>
      <c r="B5520" s="106" t="inlineStr">
        <is>
          <t>Custo Fixo</t>
        </is>
      </c>
      <c r="C5520" s="106" t="inlineStr">
        <is>
          <t>Gympass</t>
        </is>
      </c>
      <c r="D5520" s="107" t="n"/>
      <c r="E5520" s="108" t="n"/>
      <c r="F5520" s="109">
        <f>IFERROR(D5520*E5520,0)</f>
        <v/>
      </c>
      <c r="G5520" s="106">
        <f>INDEX(SETORES!$B:$B,MATCH(A5520,SETORES!$A:$A,0))</f>
        <v/>
      </c>
      <c r="H5520" s="106" t="inlineStr">
        <is>
          <t>Janeiro/2027</t>
        </is>
      </c>
    </row>
    <row r="5521">
      <c r="A5521" s="106" t="inlineStr">
        <is>
          <t>TIC</t>
        </is>
      </c>
      <c r="B5521" s="106" t="inlineStr">
        <is>
          <t>Custo Fixo</t>
        </is>
      </c>
      <c r="C5521" s="106" t="inlineStr">
        <is>
          <t>Stargrid</t>
        </is>
      </c>
      <c r="D5521" s="107" t="n">
        <v>7</v>
      </c>
      <c r="E5521" s="108" t="n">
        <v>1.87</v>
      </c>
      <c r="F5521" s="109">
        <f>IFERROR(D5521*E5521,0)</f>
        <v/>
      </c>
      <c r="G5521" s="106">
        <f>INDEX(SETORES!$B:$B,MATCH(A5521,SETORES!$A:$A,0))</f>
        <v/>
      </c>
      <c r="H5521" s="106" t="inlineStr">
        <is>
          <t>Janeiro/2027</t>
        </is>
      </c>
    </row>
    <row r="5522">
      <c r="A5522" s="106" t="inlineStr">
        <is>
          <t>TIC</t>
        </is>
      </c>
      <c r="B5522" s="106" t="inlineStr">
        <is>
          <t>Custo Fixo</t>
        </is>
      </c>
      <c r="C5522" s="106" t="inlineStr">
        <is>
          <t>Licença de e-mail corporativo</t>
        </is>
      </c>
      <c r="D5522" s="107" t="n">
        <v>7</v>
      </c>
      <c r="E5522" s="108" t="n">
        <v>50</v>
      </c>
      <c r="F5522" s="109">
        <f>IFERROR(D5522*E5522,0)</f>
        <v/>
      </c>
      <c r="G5522" s="106">
        <f>INDEX(SETORES!$B:$B,MATCH(A5522,SETORES!$A:$A,0))</f>
        <v/>
      </c>
      <c r="H5522" s="106" t="inlineStr">
        <is>
          <t>Janeiro/2027</t>
        </is>
      </c>
    </row>
    <row r="5523">
      <c r="A5523" s="106" t="inlineStr">
        <is>
          <t>TIC</t>
        </is>
      </c>
      <c r="B5523" s="106" t="inlineStr">
        <is>
          <t>Custo Fixo</t>
        </is>
      </c>
      <c r="C5523" s="106" t="inlineStr">
        <is>
          <t>Despesas com RH</t>
        </is>
      </c>
      <c r="D5523" s="107" t="n">
        <v>7</v>
      </c>
      <c r="E5523" s="108" t="n">
        <v>32.55</v>
      </c>
      <c r="F5523" s="109">
        <f>IFERROR(D5523*E5523,0)</f>
        <v/>
      </c>
      <c r="G5523" s="106">
        <f>INDEX(SETORES!$B:$B,MATCH(A5523,SETORES!$A:$A,0))</f>
        <v/>
      </c>
      <c r="H5523" s="106" t="inlineStr">
        <is>
          <t>Janeiro/2027</t>
        </is>
      </c>
    </row>
    <row r="5524">
      <c r="A5524" s="106" t="inlineStr">
        <is>
          <t>TIC</t>
        </is>
      </c>
      <c r="B5524" s="106" t="inlineStr">
        <is>
          <t>Custo Fixo</t>
        </is>
      </c>
      <c r="C5524" s="106" t="inlineStr">
        <is>
          <t>Despesas com DP</t>
        </is>
      </c>
      <c r="D5524" s="107" t="n">
        <v>7</v>
      </c>
      <c r="E5524" s="108" t="n">
        <v>52.09</v>
      </c>
      <c r="F5524" s="109">
        <f>IFERROR(D5524*E5524,0)</f>
        <v/>
      </c>
      <c r="G5524" s="106">
        <f>INDEX(SETORES!$B:$B,MATCH(A5524,SETORES!$A:$A,0))</f>
        <v/>
      </c>
      <c r="H5524" s="106" t="inlineStr">
        <is>
          <t>Janeiro/2027</t>
        </is>
      </c>
    </row>
    <row r="5525">
      <c r="A5525" s="106" t="inlineStr">
        <is>
          <t>TIC</t>
        </is>
      </c>
      <c r="B5525" s="106" t="inlineStr">
        <is>
          <t>Custo Fixo</t>
        </is>
      </c>
      <c r="C5525" s="106" t="inlineStr">
        <is>
          <t>Despesas com SST</t>
        </is>
      </c>
      <c r="D5525" s="107" t="n">
        <v>7</v>
      </c>
      <c r="E5525" s="108" t="n">
        <v>52.35</v>
      </c>
      <c r="F5525" s="109">
        <f>IFERROR(D5525*E5525,0)</f>
        <v/>
      </c>
      <c r="G5525" s="106">
        <f>INDEX(SETORES!$B:$B,MATCH(A5525,SETORES!$A:$A,0))</f>
        <v/>
      </c>
      <c r="H5525" s="106" t="inlineStr">
        <is>
          <t>Janeiro/2027</t>
        </is>
      </c>
    </row>
    <row r="5526">
      <c r="A5526" s="106" t="inlineStr">
        <is>
          <t>COE</t>
        </is>
      </c>
      <c r="B5526" s="106" t="inlineStr">
        <is>
          <t>Custo Fixo</t>
        </is>
      </c>
      <c r="C5526" s="106" t="inlineStr">
        <is>
          <t>Gympass</t>
        </is>
      </c>
      <c r="D5526" s="107" t="n"/>
      <c r="E5526" s="108" t="n"/>
      <c r="F5526" s="109">
        <f>IFERROR(D5526*E5526,0)</f>
        <v/>
      </c>
      <c r="G5526" s="106">
        <f>INDEX(SETORES!$B:$B,MATCH(A5526,SETORES!$A:$A,0))</f>
        <v/>
      </c>
      <c r="H5526" s="106" t="inlineStr">
        <is>
          <t>Janeiro/2027</t>
        </is>
      </c>
    </row>
    <row r="5527">
      <c r="A5527" s="106" t="inlineStr">
        <is>
          <t>COE</t>
        </is>
      </c>
      <c r="B5527" s="106" t="inlineStr">
        <is>
          <t>Custo Fixo</t>
        </is>
      </c>
      <c r="C5527" s="106" t="inlineStr">
        <is>
          <t>Stargrid</t>
        </is>
      </c>
      <c r="D5527" s="107" t="n">
        <v>11</v>
      </c>
      <c r="E5527" s="108" t="n">
        <v>1.87</v>
      </c>
      <c r="F5527" s="109">
        <f>IFERROR(D5527*E5527,0)</f>
        <v/>
      </c>
      <c r="G5527" s="106">
        <f>INDEX(SETORES!$B:$B,MATCH(A5527,SETORES!$A:$A,0))</f>
        <v/>
      </c>
      <c r="H5527" s="106" t="inlineStr">
        <is>
          <t>Janeiro/2027</t>
        </is>
      </c>
    </row>
    <row r="5528">
      <c r="A5528" s="106" t="inlineStr">
        <is>
          <t>COE</t>
        </is>
      </c>
      <c r="B5528" s="106" t="inlineStr">
        <is>
          <t>Custo Fixo</t>
        </is>
      </c>
      <c r="C5528" s="106" t="inlineStr">
        <is>
          <t>Licença de e-mail corporativo</t>
        </is>
      </c>
      <c r="D5528" s="107" t="n">
        <v>11</v>
      </c>
      <c r="E5528" s="108" t="n">
        <v>50</v>
      </c>
      <c r="F5528" s="109">
        <f>IFERROR(D5528*E5528,0)</f>
        <v/>
      </c>
      <c r="G5528" s="106">
        <f>INDEX(SETORES!$B:$B,MATCH(A5528,SETORES!$A:$A,0))</f>
        <v/>
      </c>
      <c r="H5528" s="106" t="inlineStr">
        <is>
          <t>Janeiro/2027</t>
        </is>
      </c>
    </row>
    <row r="5529">
      <c r="A5529" s="106" t="inlineStr">
        <is>
          <t>COE</t>
        </is>
      </c>
      <c r="B5529" s="106" t="inlineStr">
        <is>
          <t>Custo Fixo</t>
        </is>
      </c>
      <c r="C5529" s="106" t="inlineStr">
        <is>
          <t>Despesas com RH</t>
        </is>
      </c>
      <c r="D5529" s="107" t="n">
        <v>11</v>
      </c>
      <c r="E5529" s="108" t="n">
        <v>32.55</v>
      </c>
      <c r="F5529" s="109">
        <f>IFERROR(D5529*E5529,0)</f>
        <v/>
      </c>
      <c r="G5529" s="106">
        <f>INDEX(SETORES!$B:$B,MATCH(A5529,SETORES!$A:$A,0))</f>
        <v/>
      </c>
      <c r="H5529" s="106" t="inlineStr">
        <is>
          <t>Janeiro/2027</t>
        </is>
      </c>
    </row>
    <row r="5530">
      <c r="A5530" s="106" t="inlineStr">
        <is>
          <t>COE</t>
        </is>
      </c>
      <c r="B5530" s="106" t="inlineStr">
        <is>
          <t>Custo Fixo</t>
        </is>
      </c>
      <c r="C5530" s="106" t="inlineStr">
        <is>
          <t>Despesas com DP</t>
        </is>
      </c>
      <c r="D5530" s="107" t="n">
        <v>11</v>
      </c>
      <c r="E5530" s="108" t="n">
        <v>52.09</v>
      </c>
      <c r="F5530" s="109">
        <f>IFERROR(D5530*E5530,0)</f>
        <v/>
      </c>
      <c r="G5530" s="106">
        <f>INDEX(SETORES!$B:$B,MATCH(A5530,SETORES!$A:$A,0))</f>
        <v/>
      </c>
      <c r="H5530" s="106" t="inlineStr">
        <is>
          <t>Janeiro/2027</t>
        </is>
      </c>
    </row>
    <row r="5531">
      <c r="A5531" s="106" t="inlineStr">
        <is>
          <t>COE</t>
        </is>
      </c>
      <c r="B5531" s="106" t="inlineStr">
        <is>
          <t>Custo Fixo</t>
        </is>
      </c>
      <c r="C5531" s="106" t="inlineStr">
        <is>
          <t>Despesas com SST</t>
        </is>
      </c>
      <c r="D5531" s="107" t="n">
        <v>11</v>
      </c>
      <c r="E5531" s="108" t="n">
        <v>52.35</v>
      </c>
      <c r="F5531" s="109">
        <f>IFERROR(D5531*E5531,0)</f>
        <v/>
      </c>
      <c r="G5531" s="106">
        <f>INDEX(SETORES!$B:$B,MATCH(A5531,SETORES!$A:$A,0))</f>
        <v/>
      </c>
      <c r="H5531" s="106" t="inlineStr">
        <is>
          <t>Janeiro/2027</t>
        </is>
      </c>
    </row>
    <row r="5532">
      <c r="A5532" s="106" t="inlineStr">
        <is>
          <t>Fique Móvel</t>
        </is>
      </c>
      <c r="B5532" s="106" t="inlineStr">
        <is>
          <t>Custo Fixo</t>
        </is>
      </c>
      <c r="C5532" s="106" t="inlineStr">
        <is>
          <t>Gympass</t>
        </is>
      </c>
      <c r="D5532" s="107" t="n"/>
      <c r="E5532" s="108" t="n"/>
      <c r="F5532" s="109">
        <f>IFERROR(D5532*E5532,0)</f>
        <v/>
      </c>
      <c r="G5532" s="106">
        <f>INDEX(SETORES!$B:$B,MATCH(A5532,SETORES!$A:$A,0))</f>
        <v/>
      </c>
      <c r="H5532" s="106" t="inlineStr">
        <is>
          <t>Janeiro/2027</t>
        </is>
      </c>
    </row>
    <row r="5533">
      <c r="A5533" s="106" t="inlineStr">
        <is>
          <t>Fique Móvel</t>
        </is>
      </c>
      <c r="B5533" s="106" t="inlineStr">
        <is>
          <t>Custo Fixo</t>
        </is>
      </c>
      <c r="C5533" s="106" t="inlineStr">
        <is>
          <t>Stargrid</t>
        </is>
      </c>
      <c r="D5533" s="107" t="n">
        <v>3</v>
      </c>
      <c r="E5533" s="108" t="n">
        <v>1.87</v>
      </c>
      <c r="F5533" s="109">
        <f>IFERROR(D5533*E5533,0)</f>
        <v/>
      </c>
      <c r="G5533" s="106">
        <f>INDEX(SETORES!$B:$B,MATCH(A5533,SETORES!$A:$A,0))</f>
        <v/>
      </c>
      <c r="H5533" s="106" t="inlineStr">
        <is>
          <t>Janeiro/2027</t>
        </is>
      </c>
    </row>
    <row r="5534">
      <c r="A5534" s="106" t="inlineStr">
        <is>
          <t>Fique Móvel</t>
        </is>
      </c>
      <c r="B5534" s="106" t="inlineStr">
        <is>
          <t>Custo Fixo</t>
        </is>
      </c>
      <c r="C5534" s="106" t="inlineStr">
        <is>
          <t>Licença de e-mail corporativo</t>
        </is>
      </c>
      <c r="D5534" s="107" t="n">
        <v>3</v>
      </c>
      <c r="E5534" s="108" t="n">
        <v>50</v>
      </c>
      <c r="F5534" s="109">
        <f>IFERROR(D5534*E5534,0)</f>
        <v/>
      </c>
      <c r="G5534" s="106">
        <f>INDEX(SETORES!$B:$B,MATCH(A5534,SETORES!$A:$A,0))</f>
        <v/>
      </c>
      <c r="H5534" s="106" t="inlineStr">
        <is>
          <t>Janeiro/2027</t>
        </is>
      </c>
    </row>
    <row r="5535">
      <c r="A5535" s="106" t="inlineStr">
        <is>
          <t>Fique Móvel</t>
        </is>
      </c>
      <c r="B5535" s="106" t="inlineStr">
        <is>
          <t>Custo Fixo</t>
        </is>
      </c>
      <c r="C5535" s="106" t="inlineStr">
        <is>
          <t>Despesas com RH</t>
        </is>
      </c>
      <c r="D5535" s="107" t="n">
        <v>3</v>
      </c>
      <c r="E5535" s="108" t="n">
        <v>32.55</v>
      </c>
      <c r="F5535" s="109">
        <f>IFERROR(D5535*E5535,0)</f>
        <v/>
      </c>
      <c r="G5535" s="106">
        <f>INDEX(SETORES!$B:$B,MATCH(A5535,SETORES!$A:$A,0))</f>
        <v/>
      </c>
      <c r="H5535" s="106" t="inlineStr">
        <is>
          <t>Janeiro/2027</t>
        </is>
      </c>
    </row>
    <row r="5536">
      <c r="A5536" s="106" t="inlineStr">
        <is>
          <t>Fique Móvel</t>
        </is>
      </c>
      <c r="B5536" s="106" t="inlineStr">
        <is>
          <t>Custo Fixo</t>
        </is>
      </c>
      <c r="C5536" s="106" t="inlineStr">
        <is>
          <t>Despesas com DP</t>
        </is>
      </c>
      <c r="D5536" s="107" t="n">
        <v>3</v>
      </c>
      <c r="E5536" s="108" t="n">
        <v>52.09</v>
      </c>
      <c r="F5536" s="109">
        <f>IFERROR(D5536*E5536,0)</f>
        <v/>
      </c>
      <c r="G5536" s="106">
        <f>INDEX(SETORES!$B:$B,MATCH(A5536,SETORES!$A:$A,0))</f>
        <v/>
      </c>
      <c r="H5536" s="106" t="inlineStr">
        <is>
          <t>Janeiro/2027</t>
        </is>
      </c>
    </row>
    <row r="5537">
      <c r="A5537" s="106" t="inlineStr">
        <is>
          <t>Fique Móvel</t>
        </is>
      </c>
      <c r="B5537" s="106" t="inlineStr">
        <is>
          <t>Custo Fixo</t>
        </is>
      </c>
      <c r="C5537" s="106" t="inlineStr">
        <is>
          <t>Despesas com SST</t>
        </is>
      </c>
      <c r="D5537" s="107" t="n">
        <v>3</v>
      </c>
      <c r="E5537" s="108" t="n">
        <v>52.35</v>
      </c>
      <c r="F5537" s="109">
        <f>IFERROR(D5537*E5537,0)</f>
        <v/>
      </c>
      <c r="G5537" s="106">
        <f>INDEX(SETORES!$B:$B,MATCH(A5537,SETORES!$A:$A,0))</f>
        <v/>
      </c>
      <c r="H5537" s="106" t="inlineStr">
        <is>
          <t>Janeiro/2027</t>
        </is>
      </c>
    </row>
    <row r="5538">
      <c r="A5538" s="106" t="inlineStr">
        <is>
          <t>Lançamento</t>
        </is>
      </c>
      <c r="B5538" s="106" t="inlineStr">
        <is>
          <t>Custo Fixo</t>
        </is>
      </c>
      <c r="C5538" s="106" t="inlineStr">
        <is>
          <t>Gympass</t>
        </is>
      </c>
      <c r="D5538" s="107" t="n"/>
      <c r="E5538" s="108" t="n"/>
      <c r="F5538" s="109">
        <f>IFERROR(D5538*E5538,0)</f>
        <v/>
      </c>
      <c r="G5538" s="106">
        <f>INDEX(SETORES!$B:$B,MATCH(A5538,SETORES!$A:$A,0))</f>
        <v/>
      </c>
      <c r="H5538" s="106" t="inlineStr">
        <is>
          <t>Janeiro/2027</t>
        </is>
      </c>
    </row>
    <row r="5539">
      <c r="A5539" s="106" t="inlineStr">
        <is>
          <t>Lançamento</t>
        </is>
      </c>
      <c r="B5539" s="106" t="inlineStr">
        <is>
          <t>Custo Fixo</t>
        </is>
      </c>
      <c r="C5539" s="106" t="inlineStr">
        <is>
          <t>Stargrid</t>
        </is>
      </c>
      <c r="D5539" s="107" t="n">
        <v>24</v>
      </c>
      <c r="E5539" s="108" t="n">
        <v>1.87</v>
      </c>
      <c r="F5539" s="109">
        <f>IFERROR(D5539*E5539,0)</f>
        <v/>
      </c>
      <c r="G5539" s="106">
        <f>INDEX(SETORES!$B:$B,MATCH(A5539,SETORES!$A:$A,0))</f>
        <v/>
      </c>
      <c r="H5539" s="106" t="inlineStr">
        <is>
          <t>Janeiro/2027</t>
        </is>
      </c>
    </row>
    <row r="5540">
      <c r="A5540" s="106" t="inlineStr">
        <is>
          <t>Lançamento</t>
        </is>
      </c>
      <c r="B5540" s="106" t="inlineStr">
        <is>
          <t>Custo Fixo</t>
        </is>
      </c>
      <c r="C5540" s="106" t="inlineStr">
        <is>
          <t>Licença de e-mail corporativo</t>
        </is>
      </c>
      <c r="D5540" s="107" t="n">
        <v>24</v>
      </c>
      <c r="E5540" s="108" t="n">
        <v>50</v>
      </c>
      <c r="F5540" s="109">
        <f>IFERROR(D5540*E5540,0)</f>
        <v/>
      </c>
      <c r="G5540" s="106">
        <f>INDEX(SETORES!$B:$B,MATCH(A5540,SETORES!$A:$A,0))</f>
        <v/>
      </c>
      <c r="H5540" s="106" t="inlineStr">
        <is>
          <t>Janeiro/2027</t>
        </is>
      </c>
    </row>
    <row r="5541">
      <c r="A5541" s="106" t="inlineStr">
        <is>
          <t>Lançamento</t>
        </is>
      </c>
      <c r="B5541" s="106" t="inlineStr">
        <is>
          <t>Custo Fixo</t>
        </is>
      </c>
      <c r="C5541" s="106" t="inlineStr">
        <is>
          <t>Despesas com RH</t>
        </is>
      </c>
      <c r="D5541" s="107" t="n">
        <v>24</v>
      </c>
      <c r="E5541" s="108" t="n">
        <v>32.55</v>
      </c>
      <c r="F5541" s="109">
        <f>IFERROR(D5541*E5541,0)</f>
        <v/>
      </c>
      <c r="G5541" s="106">
        <f>INDEX(SETORES!$B:$B,MATCH(A5541,SETORES!$A:$A,0))</f>
        <v/>
      </c>
      <c r="H5541" s="106" t="inlineStr">
        <is>
          <t>Janeiro/2027</t>
        </is>
      </c>
    </row>
    <row r="5542">
      <c r="A5542" s="106" t="inlineStr">
        <is>
          <t>Lançamento</t>
        </is>
      </c>
      <c r="B5542" s="106" t="inlineStr">
        <is>
          <t>Custo Fixo</t>
        </is>
      </c>
      <c r="C5542" s="106" t="inlineStr">
        <is>
          <t>Despesas com DP</t>
        </is>
      </c>
      <c r="D5542" s="107" t="n">
        <v>24</v>
      </c>
      <c r="E5542" s="108" t="n">
        <v>52.09</v>
      </c>
      <c r="F5542" s="109">
        <f>IFERROR(D5542*E5542,0)</f>
        <v/>
      </c>
      <c r="G5542" s="106">
        <f>INDEX(SETORES!$B:$B,MATCH(A5542,SETORES!$A:$A,0))</f>
        <v/>
      </c>
      <c r="H5542" s="106" t="inlineStr">
        <is>
          <t>Janeiro/2027</t>
        </is>
      </c>
    </row>
    <row r="5543">
      <c r="A5543" s="106" t="inlineStr">
        <is>
          <t>Lançamento</t>
        </is>
      </c>
      <c r="B5543" s="106" t="inlineStr">
        <is>
          <t>Custo Fixo</t>
        </is>
      </c>
      <c r="C5543" s="106" t="inlineStr">
        <is>
          <t>Despesas com SST</t>
        </is>
      </c>
      <c r="D5543" s="107" t="n">
        <v>24</v>
      </c>
      <c r="E5543" s="108" t="n">
        <v>52.35</v>
      </c>
      <c r="F5543" s="109">
        <f>IFERROR(D5543*E5543,0)</f>
        <v/>
      </c>
      <c r="G5543" s="106">
        <f>INDEX(SETORES!$B:$B,MATCH(A5543,SETORES!$A:$A,0))</f>
        <v/>
      </c>
      <c r="H5543" s="106" t="inlineStr">
        <is>
          <t>Janeiro/2027</t>
        </is>
      </c>
    </row>
    <row r="5544">
      <c r="A5544" s="106" t="inlineStr">
        <is>
          <t>Fusão</t>
        </is>
      </c>
      <c r="B5544" s="106" t="inlineStr">
        <is>
          <t>Custo Fixo</t>
        </is>
      </c>
      <c r="C5544" s="106" t="inlineStr">
        <is>
          <t>Gympass</t>
        </is>
      </c>
      <c r="D5544" s="107" t="n"/>
      <c r="E5544" s="108" t="n"/>
      <c r="F5544" s="109">
        <f>IFERROR(D5544*E5544,0)</f>
        <v/>
      </c>
      <c r="G5544" s="106">
        <f>INDEX(SETORES!$B:$B,MATCH(A5544,SETORES!$A:$A,0))</f>
        <v/>
      </c>
      <c r="H5544" s="106" t="inlineStr">
        <is>
          <t>Janeiro/2027</t>
        </is>
      </c>
    </row>
    <row r="5545">
      <c r="A5545" s="106" t="inlineStr">
        <is>
          <t>Fusão</t>
        </is>
      </c>
      <c r="B5545" s="106" t="inlineStr">
        <is>
          <t>Custo Fixo</t>
        </is>
      </c>
      <c r="C5545" s="106" t="inlineStr">
        <is>
          <t>Stargrid</t>
        </is>
      </c>
      <c r="D5545" s="107" t="n">
        <v>10</v>
      </c>
      <c r="E5545" s="108" t="n">
        <v>1.87</v>
      </c>
      <c r="F5545" s="109">
        <f>IFERROR(D5545*E5545,0)</f>
        <v/>
      </c>
      <c r="G5545" s="106">
        <f>INDEX(SETORES!$B:$B,MATCH(A5545,SETORES!$A:$A,0))</f>
        <v/>
      </c>
      <c r="H5545" s="106" t="inlineStr">
        <is>
          <t>Janeiro/2027</t>
        </is>
      </c>
    </row>
    <row r="5546">
      <c r="A5546" s="106" t="inlineStr">
        <is>
          <t>Fusão</t>
        </is>
      </c>
      <c r="B5546" s="106" t="inlineStr">
        <is>
          <t>Custo Fixo</t>
        </is>
      </c>
      <c r="C5546" s="106" t="inlineStr">
        <is>
          <t>Licença de e-mail corporativo</t>
        </is>
      </c>
      <c r="D5546" s="107" t="n">
        <v>10</v>
      </c>
      <c r="E5546" s="108" t="n">
        <v>50</v>
      </c>
      <c r="F5546" s="109">
        <f>IFERROR(D5546*E5546,0)</f>
        <v/>
      </c>
      <c r="G5546" s="106">
        <f>INDEX(SETORES!$B:$B,MATCH(A5546,SETORES!$A:$A,0))</f>
        <v/>
      </c>
      <c r="H5546" s="106" t="inlineStr">
        <is>
          <t>Janeiro/2027</t>
        </is>
      </c>
    </row>
    <row r="5547">
      <c r="A5547" s="106" t="inlineStr">
        <is>
          <t>Fusão</t>
        </is>
      </c>
      <c r="B5547" s="106" t="inlineStr">
        <is>
          <t>Custo Fixo</t>
        </is>
      </c>
      <c r="C5547" s="106" t="inlineStr">
        <is>
          <t>Despesas com RH</t>
        </is>
      </c>
      <c r="D5547" s="107" t="n">
        <v>10</v>
      </c>
      <c r="E5547" s="108" t="n">
        <v>32.55</v>
      </c>
      <c r="F5547" s="109">
        <f>IFERROR(D5547*E5547,0)</f>
        <v/>
      </c>
      <c r="G5547" s="106">
        <f>INDEX(SETORES!$B:$B,MATCH(A5547,SETORES!$A:$A,0))</f>
        <v/>
      </c>
      <c r="H5547" s="106" t="inlineStr">
        <is>
          <t>Janeiro/2027</t>
        </is>
      </c>
    </row>
    <row r="5548">
      <c r="A5548" s="106" t="inlineStr">
        <is>
          <t>Fusão</t>
        </is>
      </c>
      <c r="B5548" s="106" t="inlineStr">
        <is>
          <t>Custo Fixo</t>
        </is>
      </c>
      <c r="C5548" s="106" t="inlineStr">
        <is>
          <t>Despesas com DP</t>
        </is>
      </c>
      <c r="D5548" s="107" t="n">
        <v>10</v>
      </c>
      <c r="E5548" s="108" t="n">
        <v>52.09</v>
      </c>
      <c r="F5548" s="109">
        <f>IFERROR(D5548*E5548,0)</f>
        <v/>
      </c>
      <c r="G5548" s="106">
        <f>INDEX(SETORES!$B:$B,MATCH(A5548,SETORES!$A:$A,0))</f>
        <v/>
      </c>
      <c r="H5548" s="106" t="inlineStr">
        <is>
          <t>Janeiro/2027</t>
        </is>
      </c>
    </row>
    <row r="5549">
      <c r="A5549" s="106" t="inlineStr">
        <is>
          <t>Fusão</t>
        </is>
      </c>
      <c r="B5549" s="106" t="inlineStr">
        <is>
          <t>Custo Fixo</t>
        </is>
      </c>
      <c r="C5549" s="106" t="inlineStr">
        <is>
          <t>Despesas com SST</t>
        </is>
      </c>
      <c r="D5549" s="107" t="n">
        <v>10</v>
      </c>
      <c r="E5549" s="108" t="n">
        <v>52.35</v>
      </c>
      <c r="F5549" s="109">
        <f>IFERROR(D5549*E5549,0)</f>
        <v/>
      </c>
      <c r="G5549" s="106">
        <f>INDEX(SETORES!$B:$B,MATCH(A5549,SETORES!$A:$A,0))</f>
        <v/>
      </c>
      <c r="H5549" s="106" t="inlineStr">
        <is>
          <t>Janeiro/2027</t>
        </is>
      </c>
    </row>
    <row r="5550">
      <c r="A5550" s="106" t="inlineStr">
        <is>
          <t>Diretoria Adm</t>
        </is>
      </c>
      <c r="B5550" s="106" t="inlineStr">
        <is>
          <t>Custo Fixo</t>
        </is>
      </c>
      <c r="C5550" s="106" t="inlineStr">
        <is>
          <t>Gympass</t>
        </is>
      </c>
      <c r="D5550" s="107" t="n"/>
      <c r="E5550" s="108" t="n"/>
      <c r="F5550" s="109">
        <f>IFERROR(D5550*E5550,0)</f>
        <v/>
      </c>
      <c r="G5550" s="106">
        <f>INDEX(SETORES!$B:$B,MATCH(A5550,SETORES!$A:$A,0))</f>
        <v/>
      </c>
      <c r="H5550" s="106" t="inlineStr">
        <is>
          <t>Janeiro/2027</t>
        </is>
      </c>
    </row>
    <row r="5551">
      <c r="A5551" s="106" t="inlineStr">
        <is>
          <t>Diretoria Adm</t>
        </is>
      </c>
      <c r="B5551" s="106" t="inlineStr">
        <is>
          <t>Custo Fixo</t>
        </is>
      </c>
      <c r="C5551" s="106" t="inlineStr">
        <is>
          <t>Stargrid</t>
        </is>
      </c>
      <c r="D5551" s="107" t="n">
        <v>2</v>
      </c>
      <c r="E5551" s="108" t="n">
        <v>1.87</v>
      </c>
      <c r="F5551" s="109">
        <f>IFERROR(D5551*E5551,0)</f>
        <v/>
      </c>
      <c r="G5551" s="106">
        <f>INDEX(SETORES!$B:$B,MATCH(A5551,SETORES!$A:$A,0))</f>
        <v/>
      </c>
      <c r="H5551" s="106" t="inlineStr">
        <is>
          <t>Janeiro/2027</t>
        </is>
      </c>
    </row>
    <row r="5552">
      <c r="A5552" s="106" t="inlineStr">
        <is>
          <t>Diretoria Adm</t>
        </is>
      </c>
      <c r="B5552" s="106" t="inlineStr">
        <is>
          <t>Custo Fixo</t>
        </is>
      </c>
      <c r="C5552" s="106" t="inlineStr">
        <is>
          <t>Licença de e-mail corporativo</t>
        </is>
      </c>
      <c r="D5552" s="107" t="n">
        <v>2</v>
      </c>
      <c r="E5552" s="108" t="n">
        <v>50</v>
      </c>
      <c r="F5552" s="109">
        <f>IFERROR(D5552*E5552,0)</f>
        <v/>
      </c>
      <c r="G5552" s="106">
        <f>INDEX(SETORES!$B:$B,MATCH(A5552,SETORES!$A:$A,0))</f>
        <v/>
      </c>
      <c r="H5552" s="106" t="inlineStr">
        <is>
          <t>Janeiro/2027</t>
        </is>
      </c>
    </row>
    <row r="5553">
      <c r="A5553" s="106" t="inlineStr">
        <is>
          <t>Diretoria Adm</t>
        </is>
      </c>
      <c r="B5553" s="106" t="inlineStr">
        <is>
          <t>Custo Fixo</t>
        </is>
      </c>
      <c r="C5553" s="106" t="inlineStr">
        <is>
          <t>Despesas com RH</t>
        </is>
      </c>
      <c r="D5553" s="107" t="n">
        <v>2</v>
      </c>
      <c r="E5553" s="108" t="n">
        <v>32.55</v>
      </c>
      <c r="F5553" s="109">
        <f>IFERROR(D5553*E5553,0)</f>
        <v/>
      </c>
      <c r="G5553" s="106">
        <f>INDEX(SETORES!$B:$B,MATCH(A5553,SETORES!$A:$A,0))</f>
        <v/>
      </c>
      <c r="H5553" s="106" t="inlineStr">
        <is>
          <t>Janeiro/2027</t>
        </is>
      </c>
    </row>
    <row r="5554">
      <c r="A5554" s="106" t="inlineStr">
        <is>
          <t>Diretoria Adm</t>
        </is>
      </c>
      <c r="B5554" s="106" t="inlineStr">
        <is>
          <t>Custo Fixo</t>
        </is>
      </c>
      <c r="C5554" s="106" t="inlineStr">
        <is>
          <t>Despesas com DP</t>
        </is>
      </c>
      <c r="D5554" s="107" t="n">
        <v>2</v>
      </c>
      <c r="E5554" s="108" t="n">
        <v>52.09</v>
      </c>
      <c r="F5554" s="109">
        <f>IFERROR(D5554*E5554,0)</f>
        <v/>
      </c>
      <c r="G5554" s="106">
        <f>INDEX(SETORES!$B:$B,MATCH(A5554,SETORES!$A:$A,0))</f>
        <v/>
      </c>
      <c r="H5554" s="106" t="inlineStr">
        <is>
          <t>Janeiro/2027</t>
        </is>
      </c>
    </row>
    <row r="5555">
      <c r="A5555" s="106" t="inlineStr">
        <is>
          <t>Diretoria Adm</t>
        </is>
      </c>
      <c r="B5555" s="106" t="inlineStr">
        <is>
          <t>Custo Fixo</t>
        </is>
      </c>
      <c r="C5555" s="106" t="inlineStr">
        <is>
          <t>Despesas com SST</t>
        </is>
      </c>
      <c r="D5555" s="107" t="n">
        <v>2</v>
      </c>
      <c r="E5555" s="108" t="n">
        <v>52.35</v>
      </c>
      <c r="F5555" s="109">
        <f>IFERROR(D5555*E5555,0)</f>
        <v/>
      </c>
      <c r="G5555" s="106">
        <f>INDEX(SETORES!$B:$B,MATCH(A5555,SETORES!$A:$A,0))</f>
        <v/>
      </c>
      <c r="H5555" s="106" t="inlineStr">
        <is>
          <t>Janeiro/2027</t>
        </is>
      </c>
    </row>
    <row r="5556">
      <c r="A5556" s="106" t="inlineStr">
        <is>
          <t>TIC</t>
        </is>
      </c>
      <c r="B5556" s="106" t="inlineStr">
        <is>
          <t>Custo Fixo</t>
        </is>
      </c>
      <c r="C5556" s="106" t="inlineStr">
        <is>
          <t>Impressora</t>
        </is>
      </c>
      <c r="D5556" s="107" t="n"/>
      <c r="E5556" s="108" t="n"/>
      <c r="F5556" s="109">
        <f>IFERROR(D5556*E5556,0)</f>
        <v/>
      </c>
      <c r="G5556" s="106">
        <f>INDEX(SETORES!$B:$B,MATCH(A5556,SETORES!$A:$A,0))</f>
        <v/>
      </c>
      <c r="H5556" s="106" t="inlineStr">
        <is>
          <t>Janeiro/2027</t>
        </is>
      </c>
    </row>
    <row r="5557">
      <c r="A5557" s="106" t="inlineStr">
        <is>
          <t>Marketing</t>
        </is>
      </c>
      <c r="B5557" s="106" t="inlineStr">
        <is>
          <t>Custo Fixo</t>
        </is>
      </c>
      <c r="C5557" s="106" t="inlineStr">
        <is>
          <t>Impressora</t>
        </is>
      </c>
      <c r="D5557" s="107" t="n"/>
      <c r="E5557" s="108" t="n"/>
      <c r="F5557" s="109">
        <f>IFERROR(D5557*E5557,0)</f>
        <v/>
      </c>
      <c r="G5557" s="106">
        <f>INDEX(SETORES!$B:$B,MATCH(A5557,SETORES!$A:$A,0))</f>
        <v/>
      </c>
      <c r="H5557" s="106" t="inlineStr">
        <is>
          <t>Janeiro/2027</t>
        </is>
      </c>
    </row>
    <row r="5558">
      <c r="A5558" s="106" t="inlineStr">
        <is>
          <t>NOC</t>
        </is>
      </c>
      <c r="B5558" s="106" t="inlineStr">
        <is>
          <t>Custo Fixo</t>
        </is>
      </c>
      <c r="C5558" s="106" t="inlineStr">
        <is>
          <t>Impressora</t>
        </is>
      </c>
      <c r="D5558" s="107" t="n"/>
      <c r="E5558" s="108" t="n"/>
      <c r="F5558" s="109">
        <f>IFERROR(D5558*E5558,0)</f>
        <v/>
      </c>
      <c r="G5558" s="106">
        <f>INDEX(SETORES!$B:$B,MATCH(A5558,SETORES!$A:$A,0))</f>
        <v/>
      </c>
      <c r="H5558" s="106" t="inlineStr">
        <is>
          <t>Janeiro/2027</t>
        </is>
      </c>
    </row>
    <row r="5559">
      <c r="A5559" s="106" t="inlineStr">
        <is>
          <t>COE</t>
        </is>
      </c>
      <c r="B5559" s="106" t="inlineStr">
        <is>
          <t>Custo Fixo</t>
        </is>
      </c>
      <c r="C5559" s="106" t="inlineStr">
        <is>
          <t>Impressora</t>
        </is>
      </c>
      <c r="D5559" s="107" t="n"/>
      <c r="E5559" s="108" t="n"/>
      <c r="F5559" s="109">
        <f>IFERROR(D5559*E5559,0)</f>
        <v/>
      </c>
      <c r="G5559" s="106">
        <f>INDEX(SETORES!$B:$B,MATCH(A5559,SETORES!$A:$A,0))</f>
        <v/>
      </c>
      <c r="H5559" s="106" t="inlineStr">
        <is>
          <t>Janeiro/2027</t>
        </is>
      </c>
    </row>
    <row r="5560">
      <c r="A5560" s="106" t="inlineStr">
        <is>
          <t>Oficina</t>
        </is>
      </c>
      <c r="B5560" s="106" t="inlineStr">
        <is>
          <t>Custo Fixo</t>
        </is>
      </c>
      <c r="C5560" s="106" t="inlineStr">
        <is>
          <t>Impressora</t>
        </is>
      </c>
      <c r="D5560" s="107" t="n"/>
      <c r="E5560" s="108" t="n"/>
      <c r="F5560" s="109">
        <f>IFERROR(D5560*E5560,0)</f>
        <v/>
      </c>
      <c r="G5560" s="106">
        <f>INDEX(SETORES!$B:$B,MATCH(A5560,SETORES!$A:$A,0))</f>
        <v/>
      </c>
      <c r="H5560" s="106" t="inlineStr">
        <is>
          <t>Janeiro/2027</t>
        </is>
      </c>
    </row>
    <row r="5561">
      <c r="A5561" s="106" t="inlineStr">
        <is>
          <t>Jurídico</t>
        </is>
      </c>
      <c r="B5561" s="106" t="inlineStr">
        <is>
          <t>Custo Fixo</t>
        </is>
      </c>
      <c r="C5561" s="106" t="inlineStr">
        <is>
          <t>Impressora</t>
        </is>
      </c>
      <c r="D5561" s="107" t="n"/>
      <c r="E5561" s="108" t="n"/>
      <c r="F5561" s="109">
        <f>IFERROR(D5561*E5561,0)</f>
        <v/>
      </c>
      <c r="G5561" s="106">
        <f>INDEX(SETORES!$B:$B,MATCH(A5561,SETORES!$A:$A,0))</f>
        <v/>
      </c>
      <c r="H5561" s="106" t="inlineStr">
        <is>
          <t>Janeiro/2027</t>
        </is>
      </c>
    </row>
    <row r="5562">
      <c r="A5562" s="106" t="inlineStr">
        <is>
          <t>Controladoria</t>
        </is>
      </c>
      <c r="B5562" s="106" t="inlineStr">
        <is>
          <t>Custo Fixo</t>
        </is>
      </c>
      <c r="C5562" s="106" t="inlineStr">
        <is>
          <t>Licença de e-mail corporativo</t>
        </is>
      </c>
      <c r="D5562" s="107" t="n"/>
      <c r="E5562" s="108" t="n"/>
      <c r="F5562" s="109">
        <f>IFERROR(D5562*E5562,0)</f>
        <v/>
      </c>
      <c r="G5562" s="106">
        <f>INDEX(SETORES!$B:$B,MATCH(A5562,SETORES!$A:$A,0))</f>
        <v/>
      </c>
      <c r="H5562" s="106" t="inlineStr">
        <is>
          <t>Janeiro/2027</t>
        </is>
      </c>
    </row>
    <row r="5563">
      <c r="A5563" s="106" t="inlineStr">
        <is>
          <t>Jurídico</t>
        </is>
      </c>
      <c r="B5563" s="106" t="inlineStr">
        <is>
          <t>Custo Fixo</t>
        </is>
      </c>
      <c r="C5563" s="106" t="inlineStr">
        <is>
          <t>Consultoria Jurídica</t>
        </is>
      </c>
      <c r="D5563" s="107" t="n">
        <v>1</v>
      </c>
      <c r="E5563" s="108" t="n">
        <v>7500</v>
      </c>
      <c r="F5563" s="109">
        <f>IFERROR(D5563*E5563,0)</f>
        <v/>
      </c>
      <c r="G5563" s="106">
        <f>INDEX(SETORES!$B:$B,MATCH(A5563,SETORES!$A:$A,0))</f>
        <v/>
      </c>
      <c r="H5563" s="106" t="inlineStr">
        <is>
          <t>Janeiro/2027</t>
        </is>
      </c>
    </row>
    <row r="5564">
      <c r="A5564" s="106" t="inlineStr">
        <is>
          <t>Cozinha</t>
        </is>
      </c>
      <c r="B5564" s="106" t="inlineStr">
        <is>
          <t>Custo Fixo</t>
        </is>
      </c>
      <c r="C5564" s="106" t="inlineStr">
        <is>
          <t>Folha de pagamento (salários)</t>
        </is>
      </c>
      <c r="D5564" s="107" t="n">
        <v>1</v>
      </c>
      <c r="E5564" s="108" t="n">
        <v>23971.48</v>
      </c>
      <c r="F5564" s="109">
        <f>IFERROR(D5564*E5564,0)</f>
        <v/>
      </c>
      <c r="G5564" s="106">
        <f>INDEX(SETORES!$B:$B,MATCH(A5564,SETORES!$A:$A,0))</f>
        <v/>
      </c>
      <c r="H5564" s="106" t="inlineStr">
        <is>
          <t>Janeiro/2027</t>
        </is>
      </c>
    </row>
    <row r="5565">
      <c r="A5565" s="106" t="inlineStr">
        <is>
          <t>Cozinha</t>
        </is>
      </c>
      <c r="B5565" s="106" t="inlineStr">
        <is>
          <t>Custo Fixo</t>
        </is>
      </c>
      <c r="C5565" s="106" t="inlineStr">
        <is>
          <t>Licença de e-mail corporativo</t>
        </is>
      </c>
      <c r="D5565" s="107" t="n">
        <v>4</v>
      </c>
      <c r="E5565" s="108" t="n">
        <v>50</v>
      </c>
      <c r="F5565" s="109">
        <f>IFERROR(D5565*E5565,0)</f>
        <v/>
      </c>
      <c r="G5565" s="106">
        <f>INDEX(SETORES!$B:$B,MATCH(A5565,SETORES!$A:$A,0))</f>
        <v/>
      </c>
      <c r="H5565" s="106" t="inlineStr">
        <is>
          <t>Janeiro/2027</t>
        </is>
      </c>
    </row>
    <row r="5566">
      <c r="A5566" s="106" t="inlineStr">
        <is>
          <t>COE</t>
        </is>
      </c>
      <c r="B5566" s="106" t="inlineStr">
        <is>
          <t>Custo Variável</t>
        </is>
      </c>
      <c r="C5566" s="106" t="inlineStr">
        <is>
          <t>Rateio de transporte coletivo</t>
        </is>
      </c>
      <c r="D5566" s="107" t="n"/>
      <c r="E5566" s="108" t="n"/>
      <c r="F5566" s="109">
        <f>IFERROR(D5566*E5566,0)</f>
        <v/>
      </c>
      <c r="G5566" s="106">
        <f>INDEX(SETORES!$B:$B,MATCH(A5566,SETORES!$A:$A,0))</f>
        <v/>
      </c>
      <c r="H5566" s="106" t="inlineStr">
        <is>
          <t>Janeiro/2027</t>
        </is>
      </c>
    </row>
    <row r="5567">
      <c r="A5567" s="106" t="inlineStr">
        <is>
          <t>Cozinha</t>
        </is>
      </c>
      <c r="B5567" s="106" t="inlineStr">
        <is>
          <t>Custo Variável</t>
        </is>
      </c>
      <c r="C5567" s="106" t="inlineStr">
        <is>
          <t>Rateio de transporte coletivo</t>
        </is>
      </c>
      <c r="D5567" s="107" t="n"/>
      <c r="E5567" s="108" t="n"/>
      <c r="F5567" s="109">
        <f>IFERROR(D5567*E5567,0)</f>
        <v/>
      </c>
      <c r="G5567" s="106">
        <f>INDEX(SETORES!$B:$B,MATCH(A5567,SETORES!$A:$A,0))</f>
        <v/>
      </c>
      <c r="H5567" s="106" t="inlineStr">
        <is>
          <t>Janeiro/2027</t>
        </is>
      </c>
    </row>
    <row r="5568">
      <c r="A5568" s="106" t="inlineStr">
        <is>
          <t>COE</t>
        </is>
      </c>
      <c r="B5568" s="106" t="inlineStr">
        <is>
          <t>Custo Fixo</t>
        </is>
      </c>
      <c r="C5568" s="106" t="inlineStr">
        <is>
          <t>Energia elétrica (rateio)</t>
        </is>
      </c>
      <c r="D5568" s="107" t="n"/>
      <c r="E5568" s="108" t="n"/>
      <c r="F5568" s="109">
        <f>IFERROR(D5568*E5568,0)</f>
        <v/>
      </c>
      <c r="G5568" s="106">
        <f>INDEX(SETORES!$B:$B,MATCH(A5568,SETORES!$A:$A,0))</f>
        <v/>
      </c>
      <c r="H5568" s="106" t="inlineStr">
        <is>
          <t>Janeiro/2027</t>
        </is>
      </c>
    </row>
    <row r="5569">
      <c r="A5569" s="106" t="inlineStr">
        <is>
          <t>COE</t>
        </is>
      </c>
      <c r="B5569" s="106" t="inlineStr">
        <is>
          <t>Custo Fixo</t>
        </is>
      </c>
      <c r="C5569" s="106" t="inlineStr">
        <is>
          <t>Água e esgoto (rateio)</t>
        </is>
      </c>
      <c r="D5569" s="107" t="n"/>
      <c r="E5569" s="108" t="n"/>
      <c r="F5569" s="109">
        <f>IFERROR(D5569*E5569,0)</f>
        <v/>
      </c>
      <c r="G5569" s="106">
        <f>INDEX(SETORES!$B:$B,MATCH(A5569,SETORES!$A:$A,0))</f>
        <v/>
      </c>
      <c r="H5569" s="106" t="inlineStr">
        <is>
          <t>Janeiro/2027</t>
        </is>
      </c>
    </row>
    <row r="5570">
      <c r="A5570" s="106" t="inlineStr">
        <is>
          <t>Cozinha</t>
        </is>
      </c>
      <c r="B5570" s="106" t="inlineStr">
        <is>
          <t>Custo Fixo</t>
        </is>
      </c>
      <c r="C5570" s="106" t="inlineStr">
        <is>
          <t>Energia elétrica (rateio)</t>
        </is>
      </c>
      <c r="D5570" s="107" t="n"/>
      <c r="E5570" s="108" t="n"/>
      <c r="F5570" s="109">
        <f>IFERROR(D5570*E5570,0)</f>
        <v/>
      </c>
      <c r="G5570" s="106">
        <f>INDEX(SETORES!$B:$B,MATCH(A5570,SETORES!$A:$A,0))</f>
        <v/>
      </c>
      <c r="H5570" s="106" t="inlineStr">
        <is>
          <t>Janeiro/2027</t>
        </is>
      </c>
    </row>
    <row r="5571">
      <c r="A5571" s="106" t="inlineStr">
        <is>
          <t>Cozinha</t>
        </is>
      </c>
      <c r="B5571" s="106" t="inlineStr">
        <is>
          <t>Custo Fixo</t>
        </is>
      </c>
      <c r="C5571" s="106" t="inlineStr">
        <is>
          <t>Água e esgoto (rateio)</t>
        </is>
      </c>
      <c r="D5571" s="107" t="n"/>
      <c r="E5571" s="108" t="n"/>
      <c r="F5571" s="109">
        <f>IFERROR(D5571*E5571,0)</f>
        <v/>
      </c>
      <c r="G5571" s="106">
        <f>INDEX(SETORES!$B:$B,MATCH(A5571,SETORES!$A:$A,0))</f>
        <v/>
      </c>
      <c r="H5571" s="106" t="inlineStr">
        <is>
          <t>Janeiro/2027</t>
        </is>
      </c>
    </row>
    <row r="5572">
      <c r="A5572" s="106" t="inlineStr">
        <is>
          <t>COE</t>
        </is>
      </c>
      <c r="B5572" s="106" t="inlineStr">
        <is>
          <t>Custo Variável</t>
        </is>
      </c>
      <c r="C5572" s="106" t="inlineStr">
        <is>
          <t>Rescisões trabalhistas</t>
        </is>
      </c>
      <c r="D5572" s="107" t="n"/>
      <c r="E5572" s="108" t="n"/>
      <c r="F5572" s="109">
        <f>IFERROR(D5572*E5572,0)</f>
        <v/>
      </c>
      <c r="G5572" s="106">
        <f>INDEX(SETORES!$B:$B,MATCH(A5572,SETORES!$A:$A,0))</f>
        <v/>
      </c>
      <c r="H5572" s="106" t="inlineStr">
        <is>
          <t>Janeiro/2027</t>
        </is>
      </c>
    </row>
    <row r="5573">
      <c r="A5573" s="106" t="inlineStr">
        <is>
          <t>Compras</t>
        </is>
      </c>
      <c r="B5573" s="106" t="inlineStr">
        <is>
          <t>Custo Variável</t>
        </is>
      </c>
      <c r="C5573" s="106" t="inlineStr">
        <is>
          <t>Rescisões trabalhistas</t>
        </is>
      </c>
      <c r="D5573" s="107" t="n"/>
      <c r="E5573" s="108" t="n"/>
      <c r="F5573" s="109">
        <f>IFERROR(D5573*E5573,0)</f>
        <v/>
      </c>
      <c r="G5573" s="106">
        <f>INDEX(SETORES!$B:$B,MATCH(A5573,SETORES!$A:$A,0))</f>
        <v/>
      </c>
      <c r="H5573" s="106" t="inlineStr">
        <is>
          <t>Janeiro/2027</t>
        </is>
      </c>
    </row>
    <row r="5574">
      <c r="A5574" s="106" t="inlineStr">
        <is>
          <t>Controladoria</t>
        </is>
      </c>
      <c r="B5574" s="106" t="inlineStr">
        <is>
          <t>Custo Variável</t>
        </is>
      </c>
      <c r="C5574" s="106" t="inlineStr">
        <is>
          <t>Rescisões trabalhistas</t>
        </is>
      </c>
      <c r="D5574" s="107" t="n"/>
      <c r="E5574" s="108" t="n"/>
      <c r="F5574" s="109">
        <f>IFERROR(D5574*E5574,0)</f>
        <v/>
      </c>
      <c r="G5574" s="106">
        <f>INDEX(SETORES!$B:$B,MATCH(A5574,SETORES!$A:$A,0))</f>
        <v/>
      </c>
      <c r="H5574" s="106" t="inlineStr">
        <is>
          <t>Janeiro/2027</t>
        </is>
      </c>
    </row>
    <row r="5575">
      <c r="A5575" s="106" t="inlineStr">
        <is>
          <t>Cozinha</t>
        </is>
      </c>
      <c r="B5575" s="106" t="inlineStr">
        <is>
          <t>Custo Variável</t>
        </is>
      </c>
      <c r="C5575" s="106" t="inlineStr">
        <is>
          <t>Rescisões trabalhistas</t>
        </is>
      </c>
      <c r="D5575" s="107" t="n"/>
      <c r="E5575" s="108" t="n"/>
      <c r="F5575" s="109">
        <f>IFERROR(D5575*E5575,0)</f>
        <v/>
      </c>
      <c r="G5575" s="106">
        <f>INDEX(SETORES!$B:$B,MATCH(A5575,SETORES!$A:$A,0))</f>
        <v/>
      </c>
      <c r="H5575" s="106" t="inlineStr">
        <is>
          <t>Janeiro/2027</t>
        </is>
      </c>
    </row>
    <row r="5576">
      <c r="A5576" s="106" t="inlineStr">
        <is>
          <t>Diretoria Adm</t>
        </is>
      </c>
      <c r="B5576" s="106" t="inlineStr">
        <is>
          <t>Custo Variável</t>
        </is>
      </c>
      <c r="C5576" s="106" t="inlineStr">
        <is>
          <t>Rescisões trabalhistas</t>
        </is>
      </c>
      <c r="D5576" s="107" t="n"/>
      <c r="E5576" s="108" t="n"/>
      <c r="F5576" s="109">
        <f>IFERROR(D5576*E5576,0)</f>
        <v/>
      </c>
      <c r="G5576" s="106">
        <f>INDEX(SETORES!$B:$B,MATCH(A5576,SETORES!$A:$A,0))</f>
        <v/>
      </c>
      <c r="H5576" s="106" t="inlineStr">
        <is>
          <t>Janeiro/2027</t>
        </is>
      </c>
    </row>
    <row r="5577">
      <c r="A5577" s="106" t="inlineStr">
        <is>
          <t>Diretoria Operacional</t>
        </is>
      </c>
      <c r="B5577" s="106" t="inlineStr">
        <is>
          <t>Custo Variável</t>
        </is>
      </c>
      <c r="C5577" s="106" t="inlineStr">
        <is>
          <t>Rescisões trabalhistas</t>
        </is>
      </c>
      <c r="D5577" s="107" t="n"/>
      <c r="E5577" s="108" t="n"/>
      <c r="F5577" s="109">
        <f>IFERROR(D5577*E5577,0)</f>
        <v/>
      </c>
      <c r="G5577" s="106">
        <f>INDEX(SETORES!$B:$B,MATCH(A5577,SETORES!$A:$A,0))</f>
        <v/>
      </c>
      <c r="H5577" s="106" t="inlineStr">
        <is>
          <t>Janeiro/2027</t>
        </is>
      </c>
    </row>
    <row r="5578">
      <c r="A5578" s="106" t="inlineStr">
        <is>
          <t>Financeiro</t>
        </is>
      </c>
      <c r="B5578" s="106" t="inlineStr">
        <is>
          <t>Custo Variável</t>
        </is>
      </c>
      <c r="C5578" s="106" t="inlineStr">
        <is>
          <t>Rescisões trabalhistas</t>
        </is>
      </c>
      <c r="D5578" s="107" t="n"/>
      <c r="E5578" s="108" t="n"/>
      <c r="F5578" s="109">
        <f>IFERROR(D5578*E5578,0)</f>
        <v/>
      </c>
      <c r="G5578" s="106">
        <f>INDEX(SETORES!$B:$B,MATCH(A5578,SETORES!$A:$A,0))</f>
        <v/>
      </c>
      <c r="H5578" s="106" t="inlineStr">
        <is>
          <t>Janeiro/2027</t>
        </is>
      </c>
    </row>
    <row r="5579">
      <c r="A5579" s="106" t="inlineStr">
        <is>
          <t>Fique Móvel</t>
        </is>
      </c>
      <c r="B5579" s="106" t="inlineStr">
        <is>
          <t>Custo Variável</t>
        </is>
      </c>
      <c r="C5579" s="106" t="inlineStr">
        <is>
          <t>Rescisões trabalhistas</t>
        </is>
      </c>
      <c r="D5579" s="107" t="n"/>
      <c r="E5579" s="108" t="n"/>
      <c r="F5579" s="109">
        <f>IFERROR(D5579*E5579,0)</f>
        <v/>
      </c>
      <c r="G5579" s="106">
        <f>INDEX(SETORES!$B:$B,MATCH(A5579,SETORES!$A:$A,0))</f>
        <v/>
      </c>
      <c r="H5579" s="106" t="inlineStr">
        <is>
          <t>Janeiro/2027</t>
        </is>
      </c>
    </row>
    <row r="5580">
      <c r="A5580" s="106" t="inlineStr">
        <is>
          <t>Fusão</t>
        </is>
      </c>
      <c r="B5580" s="106" t="inlineStr">
        <is>
          <t>Custo Variável</t>
        </is>
      </c>
      <c r="C5580" s="106" t="inlineStr">
        <is>
          <t>Rescisões trabalhistas</t>
        </is>
      </c>
      <c r="D5580" s="107" t="n"/>
      <c r="E5580" s="108" t="n"/>
      <c r="F5580" s="109">
        <f>IFERROR(D5580*E5580,0)</f>
        <v/>
      </c>
      <c r="G5580" s="106">
        <f>INDEX(SETORES!$B:$B,MATCH(A5580,SETORES!$A:$A,0))</f>
        <v/>
      </c>
      <c r="H5580" s="106" t="inlineStr">
        <is>
          <t>Janeiro/2027</t>
        </is>
      </c>
    </row>
    <row r="5581">
      <c r="A5581" s="106" t="inlineStr">
        <is>
          <t>Gestão de Atendimento</t>
        </is>
      </c>
      <c r="B5581" s="106" t="inlineStr">
        <is>
          <t>Custo Variável</t>
        </is>
      </c>
      <c r="C5581" s="106" t="inlineStr">
        <is>
          <t>Rescisões trabalhistas</t>
        </is>
      </c>
      <c r="D5581" s="107" t="n"/>
      <c r="E5581" s="108" t="n"/>
      <c r="F5581" s="109">
        <f>IFERROR(D5581*E5581,0)</f>
        <v/>
      </c>
      <c r="G5581" s="106">
        <f>INDEX(SETORES!$B:$B,MATCH(A5581,SETORES!$A:$A,0))</f>
        <v/>
      </c>
      <c r="H5581" s="106" t="inlineStr">
        <is>
          <t>Janeiro/2027</t>
        </is>
      </c>
    </row>
    <row r="5582">
      <c r="A5582" s="106" t="inlineStr">
        <is>
          <t>Jurídico</t>
        </is>
      </c>
      <c r="B5582" s="106" t="inlineStr">
        <is>
          <t>Custo Variável</t>
        </is>
      </c>
      <c r="C5582" s="106" t="inlineStr">
        <is>
          <t>Rescisões trabalhistas</t>
        </is>
      </c>
      <c r="D5582" s="107" t="n"/>
      <c r="E5582" s="108" t="n"/>
      <c r="F5582" s="109">
        <f>IFERROR(D5582*E5582,0)</f>
        <v/>
      </c>
      <c r="G5582" s="106">
        <f>INDEX(SETORES!$B:$B,MATCH(A5582,SETORES!$A:$A,0))</f>
        <v/>
      </c>
      <c r="H5582" s="106" t="inlineStr">
        <is>
          <t>Janeiro/2027</t>
        </is>
      </c>
    </row>
    <row r="5583">
      <c r="A5583" s="106" t="inlineStr">
        <is>
          <t>Logística</t>
        </is>
      </c>
      <c r="B5583" s="106" t="inlineStr">
        <is>
          <t>Custo Variável</t>
        </is>
      </c>
      <c r="C5583" s="106" t="inlineStr">
        <is>
          <t>Rescisões trabalhistas</t>
        </is>
      </c>
      <c r="D5583" s="107" t="n"/>
      <c r="E5583" s="108" t="n"/>
      <c r="F5583" s="109">
        <f>IFERROR(D5583*E5583,0)</f>
        <v/>
      </c>
      <c r="G5583" s="106">
        <f>INDEX(SETORES!$B:$B,MATCH(A5583,SETORES!$A:$A,0))</f>
        <v/>
      </c>
      <c r="H5583" s="106" t="inlineStr">
        <is>
          <t>Janeiro/2027</t>
        </is>
      </c>
    </row>
    <row r="5584">
      <c r="A5584" s="106" t="inlineStr">
        <is>
          <t>Marketing</t>
        </is>
      </c>
      <c r="B5584" s="106" t="inlineStr">
        <is>
          <t>Custo Variável</t>
        </is>
      </c>
      <c r="C5584" s="106" t="inlineStr">
        <is>
          <t>Rescisões trabalhistas</t>
        </is>
      </c>
      <c r="D5584" s="107" t="n"/>
      <c r="E5584" s="108" t="n"/>
      <c r="F5584" s="109">
        <f>IFERROR(D5584*E5584,0)</f>
        <v/>
      </c>
      <c r="G5584" s="106">
        <f>INDEX(SETORES!$B:$B,MATCH(A5584,SETORES!$A:$A,0))</f>
        <v/>
      </c>
      <c r="H5584" s="106" t="inlineStr">
        <is>
          <t>Janeiro/2027</t>
        </is>
      </c>
    </row>
    <row r="5585">
      <c r="A5585" s="106" t="inlineStr">
        <is>
          <t>Oficina</t>
        </is>
      </c>
      <c r="B5585" s="106" t="inlineStr">
        <is>
          <t>Custo Variável</t>
        </is>
      </c>
      <c r="C5585" s="106" t="inlineStr">
        <is>
          <t>Rescisões trabalhistas</t>
        </is>
      </c>
      <c r="D5585" s="107" t="n"/>
      <c r="E5585" s="108" t="n"/>
      <c r="F5585" s="109">
        <f>IFERROR(D5585*E5585,0)</f>
        <v/>
      </c>
      <c r="G5585" s="106">
        <f>INDEX(SETORES!$B:$B,MATCH(A5585,SETORES!$A:$A,0))</f>
        <v/>
      </c>
      <c r="H5585" s="106" t="inlineStr">
        <is>
          <t>Janeiro/2027</t>
        </is>
      </c>
    </row>
    <row r="5586">
      <c r="A5586" s="106" t="inlineStr">
        <is>
          <t>Qualidade</t>
        </is>
      </c>
      <c r="B5586" s="106" t="inlineStr">
        <is>
          <t>Custo Variável</t>
        </is>
      </c>
      <c r="C5586" s="106" t="inlineStr">
        <is>
          <t>Rescisões trabalhistas</t>
        </is>
      </c>
      <c r="D5586" s="107" t="n"/>
      <c r="E5586" s="108" t="n"/>
      <c r="F5586" s="109">
        <f>IFERROR(D5586*E5586,0)</f>
        <v/>
      </c>
      <c r="G5586" s="106">
        <f>INDEX(SETORES!$B:$B,MATCH(A5586,SETORES!$A:$A,0))</f>
        <v/>
      </c>
      <c r="H5586" s="106" t="inlineStr">
        <is>
          <t>Janeiro/2027</t>
        </is>
      </c>
    </row>
    <row r="5587">
      <c r="A5587" s="106" t="inlineStr">
        <is>
          <t>RH</t>
        </is>
      </c>
      <c r="B5587" s="106" t="inlineStr">
        <is>
          <t>Custo Variável</t>
        </is>
      </c>
      <c r="C5587" s="106" t="inlineStr">
        <is>
          <t>Rescisões trabalhistas</t>
        </is>
      </c>
      <c r="D5587" s="107" t="n"/>
      <c r="E5587" s="108" t="n"/>
      <c r="F5587" s="109">
        <f>IFERROR(D5587*E5587,0)</f>
        <v/>
      </c>
      <c r="G5587" s="106">
        <f>INDEX(SETORES!$B:$B,MATCH(A5587,SETORES!$A:$A,0))</f>
        <v/>
      </c>
      <c r="H5587" s="106" t="inlineStr">
        <is>
          <t>Janeiro/2027</t>
        </is>
      </c>
    </row>
    <row r="5588">
      <c r="A5588" s="106" t="inlineStr">
        <is>
          <t>Fique Móvel</t>
        </is>
      </c>
      <c r="B5588" s="106" t="inlineStr">
        <is>
          <t>Custo Fixo</t>
        </is>
      </c>
      <c r="C5588" s="106" t="inlineStr">
        <is>
          <t>Impressora</t>
        </is>
      </c>
      <c r="D5588" s="107" t="n"/>
      <c r="E5588" s="108" t="n"/>
      <c r="F5588" s="109">
        <f>IFERROR(D5588*E5588,0)</f>
        <v/>
      </c>
      <c r="G5588" s="106">
        <f>INDEX(SETORES!$B:$B,MATCH(A5588,SETORES!$A:$A,0))</f>
        <v/>
      </c>
      <c r="H5588" s="106" t="inlineStr">
        <is>
          <t>Janeiro/2027</t>
        </is>
      </c>
    </row>
    <row r="5589">
      <c r="A5589" s="106" t="inlineStr">
        <is>
          <t>Comercial Corporativo</t>
        </is>
      </c>
      <c r="B5589" s="106" t="inlineStr">
        <is>
          <t>Custo Fixo</t>
        </is>
      </c>
      <c r="C5589" s="106" t="inlineStr">
        <is>
          <t>Impressora</t>
        </is>
      </c>
      <c r="D5589" s="107" t="n"/>
      <c r="E5589" s="108" t="n"/>
      <c r="F5589" s="109">
        <f>IFERROR(D5589*E5589,0)</f>
        <v/>
      </c>
      <c r="G5589" s="106">
        <f>INDEX(SETORES!$B:$B,MATCH(A5589,SETORES!$A:$A,0))</f>
        <v/>
      </c>
      <c r="H5589" s="106" t="inlineStr">
        <is>
          <t>Janeiro/2027</t>
        </is>
      </c>
    </row>
    <row r="5590">
      <c r="A5590" s="106" t="inlineStr">
        <is>
          <t>Contabilidade</t>
        </is>
      </c>
      <c r="B5590" s="106" t="inlineStr">
        <is>
          <t>Custo Fixo</t>
        </is>
      </c>
      <c r="C5590" s="106" t="inlineStr">
        <is>
          <t>Impressora</t>
        </is>
      </c>
      <c r="D5590" s="107" t="n"/>
      <c r="E5590" s="108" t="n"/>
      <c r="F5590" s="109">
        <f>IFERROR(D5590*E5590,0)</f>
        <v/>
      </c>
      <c r="G5590" s="106">
        <f>INDEX(SETORES!$B:$B,MATCH(A5590,SETORES!$A:$A,0))</f>
        <v/>
      </c>
      <c r="H5590" s="106" t="inlineStr">
        <is>
          <t>Janeiro/2027</t>
        </is>
      </c>
    </row>
    <row r="5591">
      <c r="A5591" s="106" t="inlineStr">
        <is>
          <t>Qualidade</t>
        </is>
      </c>
      <c r="B5591" s="106" t="inlineStr">
        <is>
          <t>Custo Fixo</t>
        </is>
      </c>
      <c r="C5591" s="106" t="inlineStr">
        <is>
          <t>Impressora</t>
        </is>
      </c>
      <c r="D5591" s="107" t="n"/>
      <c r="E5591" s="108" t="n"/>
      <c r="F5591" s="109">
        <f>IFERROR(D5591*E5591,0)</f>
        <v/>
      </c>
      <c r="G5591" s="106">
        <f>INDEX(SETORES!$B:$B,MATCH(A5591,SETORES!$A:$A,0))</f>
        <v/>
      </c>
      <c r="H5591" s="106" t="inlineStr">
        <is>
          <t>Janeiro/2027</t>
        </is>
      </c>
    </row>
    <row r="5592">
      <c r="A5592" s="106" t="inlineStr">
        <is>
          <t>Diretoria Adm</t>
        </is>
      </c>
      <c r="B5592" s="106" t="inlineStr">
        <is>
          <t>Custo Fixo</t>
        </is>
      </c>
      <c r="C5592" s="106" t="inlineStr">
        <is>
          <t>Impressora</t>
        </is>
      </c>
      <c r="D5592" s="107" t="n"/>
      <c r="E5592" s="108" t="n"/>
      <c r="F5592" s="109">
        <f>IFERROR(D5592*E5592,0)</f>
        <v/>
      </c>
      <c r="G5592" s="106">
        <f>INDEX(SETORES!$B:$B,MATCH(A5592,SETORES!$A:$A,0))</f>
        <v/>
      </c>
      <c r="H5592" s="106" t="inlineStr">
        <is>
          <t>Janeiro/2027</t>
        </is>
      </c>
    </row>
    <row r="5593">
      <c r="A5593" s="106" t="inlineStr">
        <is>
          <t>Diretoria Operacional</t>
        </is>
      </c>
      <c r="B5593" s="106" t="inlineStr">
        <is>
          <t>Custo Fixo</t>
        </is>
      </c>
      <c r="C5593" s="106" t="inlineStr">
        <is>
          <t>Impressora</t>
        </is>
      </c>
      <c r="D5593" s="107" t="n"/>
      <c r="E5593" s="108" t="n"/>
      <c r="F5593" s="109">
        <f>IFERROR(D5593*E5593,0)</f>
        <v/>
      </c>
      <c r="G5593" s="106">
        <f>INDEX(SETORES!$B:$B,MATCH(A5593,SETORES!$A:$A,0))</f>
        <v/>
      </c>
      <c r="H5593" s="106" t="inlineStr">
        <is>
          <t>Janeiro/2027</t>
        </is>
      </c>
    </row>
    <row r="5594">
      <c r="A5594" s="106" t="inlineStr">
        <is>
          <t>Gestão de Atendimento</t>
        </is>
      </c>
      <c r="B5594" s="106" t="inlineStr">
        <is>
          <t>Custo Fixo</t>
        </is>
      </c>
      <c r="C5594" s="106" t="inlineStr">
        <is>
          <t>Impressora</t>
        </is>
      </c>
      <c r="D5594" s="107" t="n"/>
      <c r="E5594" s="108" t="n"/>
      <c r="F5594" s="109">
        <f>IFERROR(D5594*E5594,0)</f>
        <v/>
      </c>
      <c r="G5594" s="106">
        <f>INDEX(SETORES!$B:$B,MATCH(A5594,SETORES!$A:$A,0))</f>
        <v/>
      </c>
      <c r="H5594" s="106" t="inlineStr">
        <is>
          <t>Janeiro/2027</t>
        </is>
      </c>
    </row>
    <row r="5595">
      <c r="A5595" s="106" t="inlineStr">
        <is>
          <t>Controladoria</t>
        </is>
      </c>
      <c r="B5595" s="106" t="inlineStr">
        <is>
          <t>Custo Fixo</t>
        </is>
      </c>
      <c r="C5595" s="106" t="inlineStr">
        <is>
          <t>Impressora</t>
        </is>
      </c>
      <c r="D5595" s="107" t="n"/>
      <c r="E5595" s="108" t="n"/>
      <c r="F5595" s="109">
        <f>IFERROR(D5595*E5595,0)</f>
        <v/>
      </c>
      <c r="G5595" s="106">
        <f>INDEX(SETORES!$B:$B,MATCH(A5595,SETORES!$A:$A,0))</f>
        <v/>
      </c>
      <c r="H5595" s="106" t="inlineStr">
        <is>
          <t>Janeiro/2027</t>
        </is>
      </c>
    </row>
    <row r="5596">
      <c r="A5596" s="106" t="inlineStr">
        <is>
          <t>CAC</t>
        </is>
      </c>
      <c r="B5596" s="106" t="inlineStr">
        <is>
          <t>Custo Fixo</t>
        </is>
      </c>
      <c r="C5596" s="106" t="inlineStr">
        <is>
          <t>Chip móvel corporativo</t>
        </is>
      </c>
      <c r="D5596" s="107" t="n">
        <v>1</v>
      </c>
      <c r="E5596" s="108" t="n">
        <v>30</v>
      </c>
      <c r="F5596" s="109">
        <f>IFERROR(D5596*E5596,0)</f>
        <v/>
      </c>
      <c r="G5596" s="106">
        <f>INDEX(SETORES!$B:$B,MATCH(A5596,SETORES!$A:$A,0))</f>
        <v/>
      </c>
      <c r="H5596" s="106" t="inlineStr">
        <is>
          <t>Janeiro/2027</t>
        </is>
      </c>
    </row>
    <row r="5597">
      <c r="A5597" s="106" t="inlineStr">
        <is>
          <t>COE</t>
        </is>
      </c>
      <c r="B5597" s="106" t="inlineStr">
        <is>
          <t>Custo Fixo</t>
        </is>
      </c>
      <c r="C5597" s="106" t="inlineStr">
        <is>
          <t>Chip móvel corporativo</t>
        </is>
      </c>
      <c r="D5597" s="107" t="n">
        <v>12</v>
      </c>
      <c r="E5597" s="108" t="n">
        <v>30</v>
      </c>
      <c r="F5597" s="109">
        <f>IFERROR(D5597*E5597,0)</f>
        <v/>
      </c>
      <c r="G5597" s="106">
        <f>INDEX(SETORES!$B:$B,MATCH(A5597,SETORES!$A:$A,0))</f>
        <v/>
      </c>
      <c r="H5597" s="106" t="inlineStr">
        <is>
          <t>Janeiro/2027</t>
        </is>
      </c>
    </row>
    <row r="5598">
      <c r="A5598" s="106" t="inlineStr">
        <is>
          <t>Compras</t>
        </is>
      </c>
      <c r="B5598" s="106" t="inlineStr">
        <is>
          <t>Custo Fixo</t>
        </is>
      </c>
      <c r="C5598" s="106" t="inlineStr">
        <is>
          <t>Chip móvel corporativo</t>
        </is>
      </c>
      <c r="D5598" s="107" t="n">
        <v>2</v>
      </c>
      <c r="E5598" s="108" t="n">
        <v>30</v>
      </c>
      <c r="F5598" s="109">
        <f>IFERROR(D5598*E5598,0)</f>
        <v/>
      </c>
      <c r="G5598" s="106">
        <f>INDEX(SETORES!$B:$B,MATCH(A5598,SETORES!$A:$A,0))</f>
        <v/>
      </c>
      <c r="H5598" s="106" t="inlineStr">
        <is>
          <t>Janeiro/2027</t>
        </is>
      </c>
    </row>
    <row r="5599">
      <c r="A5599" s="106" t="inlineStr">
        <is>
          <t>Contabilidade</t>
        </is>
      </c>
      <c r="B5599" s="106" t="inlineStr">
        <is>
          <t>Custo Fixo</t>
        </is>
      </c>
      <c r="C5599" s="106" t="inlineStr">
        <is>
          <t>Chip móvel corporativo</t>
        </is>
      </c>
      <c r="D5599" s="107" t="n">
        <v>2</v>
      </c>
      <c r="E5599" s="108" t="n">
        <v>30</v>
      </c>
      <c r="F5599" s="109">
        <f>IFERROR(D5599*E5599,0)</f>
        <v/>
      </c>
      <c r="G5599" s="106">
        <f>INDEX(SETORES!$B:$B,MATCH(A5599,SETORES!$A:$A,0))</f>
        <v/>
      </c>
      <c r="H5599" s="106" t="inlineStr">
        <is>
          <t>Janeiro/2027</t>
        </is>
      </c>
    </row>
    <row r="5600">
      <c r="A5600" s="106" t="inlineStr">
        <is>
          <t>DP</t>
        </is>
      </c>
      <c r="B5600" s="106" t="inlineStr">
        <is>
          <t>Custo Fixo</t>
        </is>
      </c>
      <c r="C5600" s="106" t="inlineStr">
        <is>
          <t>Chip móvel corporativo</t>
        </is>
      </c>
      <c r="D5600" s="107" t="n">
        <v>2</v>
      </c>
      <c r="E5600" s="108" t="n">
        <v>30</v>
      </c>
      <c r="F5600" s="109">
        <f>IFERROR(D5600*E5600,0)</f>
        <v/>
      </c>
      <c r="G5600" s="106">
        <f>INDEX(SETORES!$B:$B,MATCH(A5600,SETORES!$A:$A,0))</f>
        <v/>
      </c>
      <c r="H5600" s="106" t="inlineStr">
        <is>
          <t>Janeiro/2027</t>
        </is>
      </c>
    </row>
    <row r="5601">
      <c r="A5601" s="106" t="inlineStr">
        <is>
          <t>Engenharia</t>
        </is>
      </c>
      <c r="B5601" s="106" t="inlineStr">
        <is>
          <t>Custo Fixo</t>
        </is>
      </c>
      <c r="C5601" s="106" t="inlineStr">
        <is>
          <t>Chip móvel corporativo</t>
        </is>
      </c>
      <c r="D5601" s="107" t="n">
        <v>8</v>
      </c>
      <c r="E5601" s="108" t="n">
        <v>30</v>
      </c>
      <c r="F5601" s="109">
        <f>IFERROR(D5601*E5601,0)</f>
        <v/>
      </c>
      <c r="G5601" s="106">
        <f>INDEX(SETORES!$B:$B,MATCH(A5601,SETORES!$A:$A,0))</f>
        <v/>
      </c>
      <c r="H5601" s="106" t="inlineStr">
        <is>
          <t>Janeiro/2027</t>
        </is>
      </c>
    </row>
    <row r="5602">
      <c r="A5602" s="106" t="inlineStr">
        <is>
          <t>Financeiro</t>
        </is>
      </c>
      <c r="B5602" s="106" t="inlineStr">
        <is>
          <t>Custo Fixo</t>
        </is>
      </c>
      <c r="C5602" s="106" t="inlineStr">
        <is>
          <t>Chip móvel corporativo</t>
        </is>
      </c>
      <c r="D5602" s="107" t="n">
        <v>2</v>
      </c>
      <c r="E5602" s="108" t="n">
        <v>30</v>
      </c>
      <c r="F5602" s="109">
        <f>IFERROR(D5602*E5602,0)</f>
        <v/>
      </c>
      <c r="G5602" s="106">
        <f>INDEX(SETORES!$B:$B,MATCH(A5602,SETORES!$A:$A,0))</f>
        <v/>
      </c>
      <c r="H5602" s="106" t="inlineStr">
        <is>
          <t>Janeiro/2027</t>
        </is>
      </c>
    </row>
    <row r="5603">
      <c r="A5603" s="106" t="inlineStr">
        <is>
          <t>Fique Móvel</t>
        </is>
      </c>
      <c r="B5603" s="106" t="inlineStr">
        <is>
          <t>Custo Fixo</t>
        </is>
      </c>
      <c r="C5603" s="106" t="inlineStr">
        <is>
          <t>Chip móvel corporativo</t>
        </is>
      </c>
      <c r="D5603" s="107" t="n">
        <v>2</v>
      </c>
      <c r="E5603" s="108" t="n">
        <v>30</v>
      </c>
      <c r="F5603" s="109">
        <f>IFERROR(D5603*E5603,0)</f>
        <v/>
      </c>
      <c r="G5603" s="106">
        <f>INDEX(SETORES!$B:$B,MATCH(A5603,SETORES!$A:$A,0))</f>
        <v/>
      </c>
      <c r="H5603" s="106" t="inlineStr">
        <is>
          <t>Janeiro/2027</t>
        </is>
      </c>
    </row>
    <row r="5604">
      <c r="A5604" s="106" t="inlineStr">
        <is>
          <t>Gestão de Atendimento</t>
        </is>
      </c>
      <c r="B5604" s="106" t="inlineStr">
        <is>
          <t>Custo Fixo</t>
        </is>
      </c>
      <c r="C5604" s="106" t="inlineStr">
        <is>
          <t>Chip móvel corporativo</t>
        </is>
      </c>
      <c r="D5604" s="107" t="n">
        <v>2</v>
      </c>
      <c r="E5604" s="108" t="n">
        <v>30</v>
      </c>
      <c r="F5604" s="109">
        <f>IFERROR(D5604*E5604,0)</f>
        <v/>
      </c>
      <c r="G5604" s="106">
        <f>INDEX(SETORES!$B:$B,MATCH(A5604,SETORES!$A:$A,0))</f>
        <v/>
      </c>
      <c r="H5604" s="106" t="inlineStr">
        <is>
          <t>Janeiro/2027</t>
        </is>
      </c>
    </row>
    <row r="5605">
      <c r="A5605" s="106" t="inlineStr">
        <is>
          <t>Jurídico</t>
        </is>
      </c>
      <c r="B5605" s="106" t="inlineStr">
        <is>
          <t>Custo Fixo</t>
        </is>
      </c>
      <c r="C5605" s="106" t="inlineStr">
        <is>
          <t>Chip móvel corporativo</t>
        </is>
      </c>
      <c r="D5605" s="107" t="n">
        <v>2</v>
      </c>
      <c r="E5605" s="108" t="n">
        <v>30</v>
      </c>
      <c r="F5605" s="109">
        <f>IFERROR(D5605*E5605,0)</f>
        <v/>
      </c>
      <c r="G5605" s="106">
        <f>INDEX(SETORES!$B:$B,MATCH(A5605,SETORES!$A:$A,0))</f>
        <v/>
      </c>
      <c r="H5605" s="106" t="inlineStr">
        <is>
          <t>Janeiro/2027</t>
        </is>
      </c>
    </row>
    <row r="5606">
      <c r="A5606" s="106" t="inlineStr">
        <is>
          <t>Logística</t>
        </is>
      </c>
      <c r="B5606" s="106" t="inlineStr">
        <is>
          <t>Custo Fixo</t>
        </is>
      </c>
      <c r="C5606" s="106" t="inlineStr">
        <is>
          <t>Chip móvel corporativo</t>
        </is>
      </c>
      <c r="D5606" s="107" t="n">
        <v>7</v>
      </c>
      <c r="E5606" s="108" t="n">
        <v>30</v>
      </c>
      <c r="F5606" s="109">
        <f>IFERROR(D5606*E5606,0)</f>
        <v/>
      </c>
      <c r="G5606" s="106">
        <f>INDEX(SETORES!$B:$B,MATCH(A5606,SETORES!$A:$A,0))</f>
        <v/>
      </c>
      <c r="H5606" s="106" t="inlineStr">
        <is>
          <t>Janeiro/2027</t>
        </is>
      </c>
    </row>
    <row r="5607">
      <c r="A5607" s="106" t="inlineStr">
        <is>
          <t>Manutenção Predial</t>
        </is>
      </c>
      <c r="B5607" s="106" t="inlineStr">
        <is>
          <t>Custo Fixo</t>
        </is>
      </c>
      <c r="C5607" s="106" t="inlineStr">
        <is>
          <t>Chip móvel corporativo</t>
        </is>
      </c>
      <c r="D5607" s="107" t="n">
        <v>7</v>
      </c>
      <c r="E5607" s="108" t="n">
        <v>30</v>
      </c>
      <c r="F5607" s="109">
        <f>IFERROR(D5607*E5607,0)</f>
        <v/>
      </c>
      <c r="G5607" s="106">
        <f>INDEX(SETORES!$B:$B,MATCH(A5607,SETORES!$A:$A,0))</f>
        <v/>
      </c>
      <c r="H5607" s="106" t="inlineStr">
        <is>
          <t>Janeiro/2027</t>
        </is>
      </c>
    </row>
    <row r="5608">
      <c r="A5608" s="106" t="inlineStr">
        <is>
          <t>Marketing</t>
        </is>
      </c>
      <c r="B5608" s="106" t="inlineStr">
        <is>
          <t>Custo Fixo</t>
        </is>
      </c>
      <c r="C5608" s="106" t="inlineStr">
        <is>
          <t>Chip móvel corporativo</t>
        </is>
      </c>
      <c r="D5608" s="107" t="n">
        <v>10</v>
      </c>
      <c r="E5608" s="108" t="n">
        <v>30</v>
      </c>
      <c r="F5608" s="109">
        <f>IFERROR(D5608*E5608,0)</f>
        <v/>
      </c>
      <c r="G5608" s="106">
        <f>INDEX(SETORES!$B:$B,MATCH(A5608,SETORES!$A:$A,0))</f>
        <v/>
      </c>
      <c r="H5608" s="106" t="inlineStr">
        <is>
          <t>Janeiro/2027</t>
        </is>
      </c>
    </row>
    <row r="5609">
      <c r="A5609" s="106" t="inlineStr">
        <is>
          <t>NOC</t>
        </is>
      </c>
      <c r="B5609" s="106" t="inlineStr">
        <is>
          <t>Custo Fixo</t>
        </is>
      </c>
      <c r="C5609" s="106" t="inlineStr">
        <is>
          <t>Chip móvel corporativo</t>
        </is>
      </c>
      <c r="D5609" s="107" t="n">
        <v>3</v>
      </c>
      <c r="E5609" s="108" t="n">
        <v>30</v>
      </c>
      <c r="F5609" s="109">
        <f>IFERROR(D5609*E5609,0)</f>
        <v/>
      </c>
      <c r="G5609" s="106">
        <f>INDEX(SETORES!$B:$B,MATCH(A5609,SETORES!$A:$A,0))</f>
        <v/>
      </c>
      <c r="H5609" s="106" t="inlineStr">
        <is>
          <t>Janeiro/2027</t>
        </is>
      </c>
    </row>
    <row r="5610">
      <c r="A5610" s="106" t="inlineStr">
        <is>
          <t>Obras</t>
        </is>
      </c>
      <c r="B5610" s="106" t="inlineStr">
        <is>
          <t>Custo Fixo</t>
        </is>
      </c>
      <c r="C5610" s="106" t="inlineStr">
        <is>
          <t>Chip móvel corporativo</t>
        </is>
      </c>
      <c r="D5610" s="107" t="n">
        <v>5</v>
      </c>
      <c r="E5610" s="108" t="n">
        <v>30</v>
      </c>
      <c r="F5610" s="109">
        <f>IFERROR(D5610*E5610,0)</f>
        <v/>
      </c>
      <c r="G5610" s="106">
        <f>INDEX(SETORES!$B:$B,MATCH(A5610,SETORES!$A:$A,0))</f>
        <v/>
      </c>
      <c r="H5610" s="106" t="inlineStr">
        <is>
          <t>Janeiro/2027</t>
        </is>
      </c>
    </row>
    <row r="5611">
      <c r="A5611" s="106" t="inlineStr">
        <is>
          <t>Qualidade</t>
        </is>
      </c>
      <c r="B5611" s="106" t="inlineStr">
        <is>
          <t>Custo Fixo</t>
        </is>
      </c>
      <c r="C5611" s="106" t="inlineStr">
        <is>
          <t>Chip móvel corporativo</t>
        </is>
      </c>
      <c r="D5611" s="107" t="n">
        <v>4</v>
      </c>
      <c r="E5611" s="108" t="n">
        <v>30</v>
      </c>
      <c r="F5611" s="109">
        <f>IFERROR(D5611*E5611,0)</f>
        <v/>
      </c>
      <c r="G5611" s="106">
        <f>INDEX(SETORES!$B:$B,MATCH(A5611,SETORES!$A:$A,0))</f>
        <v/>
      </c>
      <c r="H5611" s="106" t="inlineStr">
        <is>
          <t>Janeiro/2027</t>
        </is>
      </c>
    </row>
    <row r="5612">
      <c r="A5612" s="106" t="inlineStr">
        <is>
          <t>RH</t>
        </is>
      </c>
      <c r="B5612" s="106" t="inlineStr">
        <is>
          <t>Custo Fixo</t>
        </is>
      </c>
      <c r="C5612" s="106" t="inlineStr">
        <is>
          <t>Chip móvel corporativo</t>
        </is>
      </c>
      <c r="D5612" s="107" t="n">
        <v>3</v>
      </c>
      <c r="E5612" s="108" t="n">
        <v>30</v>
      </c>
      <c r="F5612" s="109">
        <f>IFERROR(D5612*E5612,0)</f>
        <v/>
      </c>
      <c r="G5612" s="106">
        <f>INDEX(SETORES!$B:$B,MATCH(A5612,SETORES!$A:$A,0))</f>
        <v/>
      </c>
      <c r="H5612" s="106" t="inlineStr">
        <is>
          <t>Janeiro/2027</t>
        </is>
      </c>
    </row>
    <row r="5613">
      <c r="A5613" s="106" t="inlineStr">
        <is>
          <t>Segurança do Trabalho</t>
        </is>
      </c>
      <c r="B5613" s="106" t="inlineStr">
        <is>
          <t>Custo Fixo</t>
        </is>
      </c>
      <c r="C5613" s="106" t="inlineStr">
        <is>
          <t>Chip móvel corporativo</t>
        </is>
      </c>
      <c r="D5613" s="107" t="n">
        <v>3</v>
      </c>
      <c r="E5613" s="108" t="n">
        <v>30</v>
      </c>
      <c r="F5613" s="109">
        <f>IFERROR(D5613*E5613,0)</f>
        <v/>
      </c>
      <c r="G5613" s="106">
        <f>INDEX(SETORES!$B:$B,MATCH(A5613,SETORES!$A:$A,0))</f>
        <v/>
      </c>
      <c r="H5613" s="106" t="inlineStr">
        <is>
          <t>Janeiro/2027</t>
        </is>
      </c>
    </row>
    <row r="5614">
      <c r="A5614" s="106" t="inlineStr">
        <is>
          <t>TIC</t>
        </is>
      </c>
      <c r="B5614" s="106" t="inlineStr">
        <is>
          <t>Custo Fixo</t>
        </is>
      </c>
      <c r="C5614" s="106" t="inlineStr">
        <is>
          <t>Chip móvel corporativo</t>
        </is>
      </c>
      <c r="D5614" s="107" t="n">
        <v>5</v>
      </c>
      <c r="E5614" s="108" t="n">
        <v>30</v>
      </c>
      <c r="F5614" s="109">
        <f>IFERROR(D5614*E5614,0)</f>
        <v/>
      </c>
      <c r="G5614" s="106">
        <f>INDEX(SETORES!$B:$B,MATCH(A5614,SETORES!$A:$A,0))</f>
        <v/>
      </c>
      <c r="H5614" s="106" t="inlineStr">
        <is>
          <t>Janeiro/2027</t>
        </is>
      </c>
    </row>
    <row r="5615">
      <c r="A5615" s="106" t="inlineStr">
        <is>
          <t>Backoffice Comercial Varejo</t>
        </is>
      </c>
      <c r="B5615" s="106" t="inlineStr">
        <is>
          <t>Custo Fixo</t>
        </is>
      </c>
      <c r="C5615" s="106" t="inlineStr">
        <is>
          <t>Folha de pagamento (salários)</t>
        </is>
      </c>
      <c r="D5615" s="107" t="n">
        <v>1</v>
      </c>
      <c r="E5615" s="108" t="n">
        <v>7220.72</v>
      </c>
      <c r="F5615" s="109">
        <f>IFERROR(D5615*E5615,0)</f>
        <v/>
      </c>
      <c r="G5615" s="106">
        <f>INDEX(SETORES!$B:$B,MATCH(A5615,SETORES!$A:$A,0))</f>
        <v/>
      </c>
      <c r="H5615" s="106" t="inlineStr">
        <is>
          <t>Janeiro/2027</t>
        </is>
      </c>
    </row>
    <row r="5616">
      <c r="A5616" s="106" t="inlineStr">
        <is>
          <t>Serviços Gerais</t>
        </is>
      </c>
      <c r="B5616" s="106" t="inlineStr">
        <is>
          <t>Custo Fixo</t>
        </is>
      </c>
      <c r="C5616" s="106" t="inlineStr">
        <is>
          <t>Folha de pagamento (salários)</t>
        </is>
      </c>
      <c r="D5616" s="107" t="n">
        <v>1</v>
      </c>
      <c r="E5616" s="108" t="n">
        <v>27256.45</v>
      </c>
      <c r="F5616" s="109">
        <f>IFERROR(D5616*E5616,0)</f>
        <v/>
      </c>
      <c r="G5616" s="106">
        <f>INDEX(SETORES!$B:$B,MATCH(A5616,SETORES!$A:$A,0))</f>
        <v/>
      </c>
      <c r="H5616" s="106" t="inlineStr">
        <is>
          <t>Janeiro/2027</t>
        </is>
      </c>
    </row>
    <row r="5617">
      <c r="A5617" s="106" t="inlineStr">
        <is>
          <t>Gestão de Atendimento</t>
        </is>
      </c>
      <c r="B5617" s="106" t="inlineStr">
        <is>
          <t>Custo Fixo</t>
        </is>
      </c>
      <c r="C5617" s="106" t="inlineStr">
        <is>
          <t>Custo de gestão administrativa (rateado — Renata Thaysa dos Santos Cunha)</t>
        </is>
      </c>
      <c r="D5617" s="107" t="n">
        <v>1</v>
      </c>
      <c r="E5617" s="108" t="n">
        <v>4947.47</v>
      </c>
      <c r="F5617" s="109">
        <f>IFERROR(D5617*E5617,0)</f>
        <v/>
      </c>
      <c r="G5617" s="106">
        <f>INDEX(SETORES!$B:$B,MATCH(A5617,SETORES!$A:$A,0))</f>
        <v/>
      </c>
      <c r="H5617" s="106" t="inlineStr">
        <is>
          <t>Janeiro/2027</t>
        </is>
      </c>
    </row>
    <row r="5618">
      <c r="A5618" s="106" t="inlineStr">
        <is>
          <t>CAC</t>
        </is>
      </c>
      <c r="B5618" s="106" t="inlineStr">
        <is>
          <t>Custo Fixo</t>
        </is>
      </c>
      <c r="C5618" s="106" t="inlineStr">
        <is>
          <t>Custo de gestão administrativa (rateado — Renata Thaysa dos Santos Cunha)</t>
        </is>
      </c>
      <c r="D5618" s="107" t="n">
        <v>1</v>
      </c>
      <c r="E5618" s="108" t="n">
        <v>1455.14</v>
      </c>
      <c r="F5618" s="109">
        <f>IFERROR(D5618*E5618,0)</f>
        <v/>
      </c>
      <c r="G5618" s="106">
        <f>INDEX(SETORES!$B:$B,MATCH(A5618,SETORES!$A:$A,0))</f>
        <v/>
      </c>
      <c r="H5618" s="106" t="inlineStr">
        <is>
          <t>Janeiro/2027</t>
        </is>
      </c>
    </row>
    <row r="5619">
      <c r="A5619" s="106" t="inlineStr">
        <is>
          <t>Backoffice Comercial Varejo</t>
        </is>
      </c>
      <c r="B5619" s="106" t="inlineStr">
        <is>
          <t>Custo Fixo</t>
        </is>
      </c>
      <c r="C5619" s="106" t="inlineStr">
        <is>
          <t>Custo de gestão administrativa (rateado — Renata Thaysa dos Santos Cunha)</t>
        </is>
      </c>
      <c r="D5619" s="107" t="n">
        <v>1</v>
      </c>
      <c r="E5619" s="108" t="n">
        <v>582.0599999999999</v>
      </c>
      <c r="F5619" s="109">
        <f>IFERROR(D5619*E5619,0)</f>
        <v/>
      </c>
      <c r="G5619" s="106">
        <f>INDEX(SETORES!$B:$B,MATCH(A5619,SETORES!$A:$A,0))</f>
        <v/>
      </c>
      <c r="H5619" s="106" t="inlineStr">
        <is>
          <t>Janeiro/2027</t>
        </is>
      </c>
    </row>
    <row r="5620">
      <c r="A5620" s="106" t="inlineStr">
        <is>
          <t>NRC</t>
        </is>
      </c>
      <c r="B5620" s="106" t="inlineStr">
        <is>
          <t>Custo Fixo</t>
        </is>
      </c>
      <c r="C5620" s="106" t="inlineStr">
        <is>
          <t>Custo de gestão administrativa (rateado — Ayrton da Silva Lima)</t>
        </is>
      </c>
      <c r="D5620" s="107" t="n">
        <v>1</v>
      </c>
      <c r="E5620" s="108" t="n">
        <v>3272.78</v>
      </c>
      <c r="F5620" s="109">
        <f>IFERROR(D5620*E5620,0)</f>
        <v/>
      </c>
      <c r="G5620" s="106">
        <f>INDEX(SETORES!$B:$B,MATCH(A5620,SETORES!$A:$A,0))</f>
        <v/>
      </c>
      <c r="H5620" s="106" t="inlineStr">
        <is>
          <t>Janeiro/2027</t>
        </is>
      </c>
    </row>
    <row r="5621">
      <c r="A5621" s="106" t="inlineStr">
        <is>
          <t>Cobrança</t>
        </is>
      </c>
      <c r="B5621" s="106" t="inlineStr">
        <is>
          <t>Custo Fixo</t>
        </is>
      </c>
      <c r="C5621" s="106" t="inlineStr">
        <is>
          <t>Custo de gestão administrativa (rateado — Ayrton da Silva Lima)</t>
        </is>
      </c>
      <c r="D5621" s="107" t="n">
        <v>1</v>
      </c>
      <c r="E5621" s="108" t="n">
        <v>1013</v>
      </c>
      <c r="F5621" s="109">
        <f>IFERROR(D5621*E5621,0)</f>
        <v/>
      </c>
      <c r="G5621" s="106">
        <f>INDEX(SETORES!$B:$B,MATCH(A5621,SETORES!$A:$A,0))</f>
        <v/>
      </c>
      <c r="H5621" s="106" t="inlineStr">
        <is>
          <t>Janeiro/2027</t>
        </is>
      </c>
    </row>
    <row r="5622">
      <c r="A5622" s="106" t="inlineStr">
        <is>
          <t>Retenção</t>
        </is>
      </c>
      <c r="B5622" s="106" t="inlineStr">
        <is>
          <t>Custo Fixo</t>
        </is>
      </c>
      <c r="C5622" s="106" t="inlineStr">
        <is>
          <t>Custo de gestão administrativa (rateado — Ayrton da Silva Lima)</t>
        </is>
      </c>
      <c r="D5622" s="107" t="n">
        <v>1</v>
      </c>
      <c r="E5622" s="108" t="n">
        <v>935.08</v>
      </c>
      <c r="F5622" s="109">
        <f>IFERROR(D5622*E5622,0)</f>
        <v/>
      </c>
      <c r="G5622" s="106">
        <f>INDEX(SETORES!$B:$B,MATCH(A5622,SETORES!$A:$A,0))</f>
        <v/>
      </c>
      <c r="H5622" s="106" t="inlineStr">
        <is>
          <t>Janeiro/2027</t>
        </is>
      </c>
    </row>
    <row r="5623">
      <c r="A5623" s="106" t="inlineStr">
        <is>
          <t>Televendas</t>
        </is>
      </c>
      <c r="B5623" s="106" t="inlineStr">
        <is>
          <t>Custo Fixo</t>
        </is>
      </c>
      <c r="C5623" s="106" t="inlineStr">
        <is>
          <t>Custo de gestão administrativa (rateado — Ayrton da Silva Lima)</t>
        </is>
      </c>
      <c r="D5623" s="107" t="n">
        <v>1</v>
      </c>
      <c r="E5623" s="108" t="n">
        <v>857.16</v>
      </c>
      <c r="F5623" s="109">
        <f>IFERROR(D5623*E5623,0)</f>
        <v/>
      </c>
      <c r="G5623" s="106">
        <f>INDEX(SETORES!$B:$B,MATCH(A5623,SETORES!$A:$A,0))</f>
        <v/>
      </c>
      <c r="H5623" s="106" t="inlineStr">
        <is>
          <t>Janeiro/2027</t>
        </is>
      </c>
    </row>
    <row r="5624">
      <c r="A5624" s="106" t="inlineStr">
        <is>
          <t>Suporte da Central</t>
        </is>
      </c>
      <c r="B5624" s="106" t="inlineStr">
        <is>
          <t>Custo Fixo</t>
        </is>
      </c>
      <c r="C5624" s="106" t="inlineStr">
        <is>
          <t>Custo de gestão administrativa (rateado — Ayrton da Silva Lima)</t>
        </is>
      </c>
      <c r="D5624" s="107" t="n">
        <v>1</v>
      </c>
      <c r="E5624" s="108" t="n">
        <v>2571.47</v>
      </c>
      <c r="F5624" s="109">
        <f>IFERROR(D5624*E5624,0)</f>
        <v/>
      </c>
      <c r="G5624" s="106">
        <f>INDEX(SETORES!$B:$B,MATCH(A5624,SETORES!$A:$A,0))</f>
        <v/>
      </c>
      <c r="H5624" s="106" t="inlineStr">
        <is>
          <t>Janeiro/2027</t>
        </is>
      </c>
    </row>
    <row r="5625">
      <c r="A5625" s="106" t="inlineStr">
        <is>
          <t>Suporte Orbix</t>
        </is>
      </c>
      <c r="B5625" s="106" t="inlineStr">
        <is>
          <t>Custo Fixo</t>
        </is>
      </c>
      <c r="C5625" s="106" t="inlineStr">
        <is>
          <t>Custo de gestão administrativa (rateado — Ayrton da Silva Lima)</t>
        </is>
      </c>
      <c r="D5625" s="107" t="n">
        <v>1</v>
      </c>
      <c r="E5625" s="108" t="n">
        <v>623.39</v>
      </c>
      <c r="F5625" s="109">
        <f>IFERROR(D5625*E5625,0)</f>
        <v/>
      </c>
      <c r="G5625" s="106">
        <f>INDEX(SETORES!$B:$B,MATCH(A5625,SETORES!$A:$A,0))</f>
        <v/>
      </c>
      <c r="H5625" s="106" t="inlineStr">
        <is>
          <t>Janeiro/2027</t>
        </is>
      </c>
    </row>
    <row r="5626">
      <c r="A5626" s="106" t="inlineStr">
        <is>
          <t>Engenharia</t>
        </is>
      </c>
      <c r="B5626" s="106" t="inlineStr">
        <is>
          <t>Custo Fixo</t>
        </is>
      </c>
      <c r="C5626" s="106" t="inlineStr">
        <is>
          <t>Custo de gestão administrativa (rateado — Cryslaine Fonseca Rosal)</t>
        </is>
      </c>
      <c r="D5626" s="107" t="n">
        <v>1</v>
      </c>
      <c r="E5626" s="108" t="n">
        <v>1574.51</v>
      </c>
      <c r="F5626" s="109">
        <f>IFERROR(D5626*E5626,0)</f>
        <v/>
      </c>
      <c r="G5626" s="106">
        <f>INDEX(SETORES!$B:$B,MATCH(A5626,SETORES!$A:$A,0))</f>
        <v/>
      </c>
      <c r="H5626" s="106" t="inlineStr">
        <is>
          <t>Janeiro/2027</t>
        </is>
      </c>
    </row>
    <row r="5627">
      <c r="A5627" s="106" t="inlineStr">
        <is>
          <t>Obras</t>
        </is>
      </c>
      <c r="B5627" s="106" t="inlineStr">
        <is>
          <t>Custo Fixo</t>
        </is>
      </c>
      <c r="C5627" s="106" t="inlineStr">
        <is>
          <t>Custo de gestão administrativa (rateado — Cryslaine Fonseca Rosal)</t>
        </is>
      </c>
      <c r="D5627" s="107" t="n">
        <v>1</v>
      </c>
      <c r="E5627" s="108" t="n">
        <v>4198.71</v>
      </c>
      <c r="F5627" s="109">
        <f>IFERROR(D5627*E5627,0)</f>
        <v/>
      </c>
      <c r="G5627" s="106">
        <f>INDEX(SETORES!$B:$B,MATCH(A5627,SETORES!$A:$A,0))</f>
        <v/>
      </c>
      <c r="H5627" s="106" t="inlineStr">
        <is>
          <t>Janeiro/2027</t>
        </is>
      </c>
    </row>
    <row r="5628">
      <c r="A5628" s="106" t="inlineStr">
        <is>
          <t>Manutenção Predial</t>
        </is>
      </c>
      <c r="B5628" s="106" t="inlineStr">
        <is>
          <t>Custo Fixo</t>
        </is>
      </c>
      <c r="C5628" s="106" t="inlineStr">
        <is>
          <t>Custo de gestão administrativa (rateado — Cryslaine Fonseca Rosal)</t>
        </is>
      </c>
      <c r="D5628" s="107" t="n">
        <v>1</v>
      </c>
      <c r="E5628" s="108" t="n">
        <v>2624.19</v>
      </c>
      <c r="F5628" s="109">
        <f>IFERROR(D5628*E5628,0)</f>
        <v/>
      </c>
      <c r="G5628" s="106">
        <f>INDEX(SETORES!$B:$B,MATCH(A5628,SETORES!$A:$A,0))</f>
        <v/>
      </c>
      <c r="H5628" s="106" t="inlineStr">
        <is>
          <t>Janeiro/2027</t>
        </is>
      </c>
    </row>
    <row r="5629">
      <c r="A5629" s="106" t="inlineStr">
        <is>
          <t>Lançamento</t>
        </is>
      </c>
      <c r="B5629" s="106" t="inlineStr">
        <is>
          <t>Custo Fixo</t>
        </is>
      </c>
      <c r="C5629" s="106" t="inlineStr">
        <is>
          <t>Custo de gestão administrativa (rateado — Cryslaine Fonseca Rosal)</t>
        </is>
      </c>
      <c r="D5629" s="107" t="n">
        <v>1</v>
      </c>
      <c r="E5629" s="108" t="n">
        <v>4198.71</v>
      </c>
      <c r="F5629" s="109">
        <f>IFERROR(D5629*E5629,0)</f>
        <v/>
      </c>
      <c r="G5629" s="106">
        <f>INDEX(SETORES!$B:$B,MATCH(A5629,SETORES!$A:$A,0))</f>
        <v/>
      </c>
      <c r="H5629" s="106" t="inlineStr">
        <is>
          <t>Janeiro/2027</t>
        </is>
      </c>
    </row>
    <row r="5630">
      <c r="A5630" s="106" t="inlineStr">
        <is>
          <t>Fusão</t>
        </is>
      </c>
      <c r="B5630" s="106" t="inlineStr">
        <is>
          <t>Custo Fixo</t>
        </is>
      </c>
      <c r="C5630" s="106" t="inlineStr">
        <is>
          <t>Custo de gestão administrativa (rateado — Cryslaine Fonseca Rosal)</t>
        </is>
      </c>
      <c r="D5630" s="107" t="n">
        <v>1</v>
      </c>
      <c r="E5630" s="108" t="n">
        <v>1749.46</v>
      </c>
      <c r="F5630" s="109">
        <f>IFERROR(D5630*E5630,0)</f>
        <v/>
      </c>
      <c r="G5630" s="106">
        <f>INDEX(SETORES!$B:$B,MATCH(A5630,SETORES!$A:$A,0))</f>
        <v/>
      </c>
      <c r="H5630" s="106" t="inlineStr">
        <is>
          <t>Janeiro/2027</t>
        </is>
      </c>
    </row>
    <row r="5631">
      <c r="A5631" s="106" t="inlineStr">
        <is>
          <t>Serviços Gerais</t>
        </is>
      </c>
      <c r="B5631" s="106" t="inlineStr">
        <is>
          <t>Custo Fixo</t>
        </is>
      </c>
      <c r="C5631" s="106" t="inlineStr">
        <is>
          <t>Custo de gestão administrativa (rateado — Cryslaine Fonseca Rosal)</t>
        </is>
      </c>
      <c r="D5631" s="107" t="n">
        <v>1</v>
      </c>
      <c r="E5631" s="108" t="n">
        <v>1049.68</v>
      </c>
      <c r="F5631" s="109">
        <f>IFERROR(D5631*E5631,0)</f>
        <v/>
      </c>
      <c r="G5631" s="106">
        <f>INDEX(SETORES!$B:$B,MATCH(A5631,SETORES!$A:$A,0))</f>
        <v/>
      </c>
      <c r="H5631" s="106" t="inlineStr">
        <is>
          <t>Janeiro/2027</t>
        </is>
      </c>
    </row>
    <row r="5632">
      <c r="A5632" s="106" t="inlineStr">
        <is>
          <t>Backoffice Comercial Varejo</t>
        </is>
      </c>
      <c r="B5632" s="106" t="inlineStr">
        <is>
          <t>Custo Fixo</t>
        </is>
      </c>
      <c r="C5632" s="106" t="inlineStr">
        <is>
          <t>Energia elétrica (rateio)</t>
        </is>
      </c>
      <c r="D5632" s="107" t="n"/>
      <c r="E5632" s="108" t="n"/>
      <c r="F5632" s="109">
        <f>IFERROR(D5632*E5632,0)</f>
        <v/>
      </c>
      <c r="G5632" s="106">
        <f>INDEX(SETORES!$B:$B,MATCH(A5632,SETORES!$A:$A,0))</f>
        <v/>
      </c>
      <c r="H5632" s="106" t="inlineStr">
        <is>
          <t>Janeiro/2027</t>
        </is>
      </c>
    </row>
    <row r="5633">
      <c r="A5633" s="106" t="inlineStr">
        <is>
          <t>Backoffice Comercial Varejo</t>
        </is>
      </c>
      <c r="B5633" s="106" t="inlineStr">
        <is>
          <t>Custo Fixo</t>
        </is>
      </c>
      <c r="C5633" s="106" t="inlineStr">
        <is>
          <t>Água e esgoto (rateio)</t>
        </is>
      </c>
      <c r="D5633" s="107" t="n"/>
      <c r="E5633" s="108" t="n"/>
      <c r="F5633" s="109">
        <f>IFERROR(D5633*E5633,0)</f>
        <v/>
      </c>
      <c r="G5633" s="106">
        <f>INDEX(SETORES!$B:$B,MATCH(A5633,SETORES!$A:$A,0))</f>
        <v/>
      </c>
      <c r="H5633" s="106" t="inlineStr">
        <is>
          <t>Janeiro/2027</t>
        </is>
      </c>
    </row>
    <row r="5634">
      <c r="A5634" s="106" t="inlineStr">
        <is>
          <t>Marketing</t>
        </is>
      </c>
      <c r="B5634" s="106" t="inlineStr">
        <is>
          <t>Custo Fixo</t>
        </is>
      </c>
      <c r="C5634" s="106" t="inlineStr">
        <is>
          <t>Energia elétrica (rateio)</t>
        </is>
      </c>
      <c r="D5634" s="107" t="n"/>
      <c r="E5634" s="108" t="n"/>
      <c r="F5634" s="109">
        <f>IFERROR(D5634*E5634,0)</f>
        <v/>
      </c>
      <c r="G5634" s="106">
        <f>INDEX(SETORES!$B:$B,MATCH(A5634,SETORES!$A:$A,0))</f>
        <v/>
      </c>
      <c r="H5634" s="106" t="inlineStr">
        <is>
          <t>Janeiro/2027</t>
        </is>
      </c>
    </row>
    <row r="5635">
      <c r="A5635" s="106" t="inlineStr">
        <is>
          <t>Marketing</t>
        </is>
      </c>
      <c r="B5635" s="106" t="inlineStr">
        <is>
          <t>Custo Fixo</t>
        </is>
      </c>
      <c r="C5635" s="106" t="inlineStr">
        <is>
          <t>Água e esgoto (rateio)</t>
        </is>
      </c>
      <c r="D5635" s="107" t="n"/>
      <c r="E5635" s="108" t="n"/>
      <c r="F5635" s="109">
        <f>IFERROR(D5635*E5635,0)</f>
        <v/>
      </c>
      <c r="G5635" s="106">
        <f>INDEX(SETORES!$B:$B,MATCH(A5635,SETORES!$A:$A,0))</f>
        <v/>
      </c>
      <c r="H5635" s="106" t="inlineStr">
        <is>
          <t>Janeiro/2027</t>
        </is>
      </c>
    </row>
    <row r="5636">
      <c r="A5636" s="106" t="inlineStr">
        <is>
          <t>Comercial Corporativo</t>
        </is>
      </c>
      <c r="B5636" s="106" t="inlineStr">
        <is>
          <t>Custo Fixo</t>
        </is>
      </c>
      <c r="C5636" s="106" t="inlineStr">
        <is>
          <t>Energia elétrica (rateio)</t>
        </is>
      </c>
      <c r="D5636" s="107" t="n"/>
      <c r="E5636" s="108" t="n"/>
      <c r="F5636" s="109">
        <f>IFERROR(D5636*E5636,0)</f>
        <v/>
      </c>
      <c r="G5636" s="106">
        <f>INDEX(SETORES!$B:$B,MATCH(A5636,SETORES!$A:$A,0))</f>
        <v/>
      </c>
      <c r="H5636" s="106" t="inlineStr">
        <is>
          <t>Janeiro/2027</t>
        </is>
      </c>
    </row>
    <row r="5637">
      <c r="A5637" s="106" t="inlineStr">
        <is>
          <t>Comercial Corporativo</t>
        </is>
      </c>
      <c r="B5637" s="106" t="inlineStr">
        <is>
          <t>Custo Fixo</t>
        </is>
      </c>
      <c r="C5637" s="106" t="inlineStr">
        <is>
          <t>Água e esgoto (rateio)</t>
        </is>
      </c>
      <c r="D5637" s="107" t="n"/>
      <c r="E5637" s="108" t="n"/>
      <c r="F5637" s="109">
        <f>IFERROR(D5637*E5637,0)</f>
        <v/>
      </c>
      <c r="G5637" s="106">
        <f>INDEX(SETORES!$B:$B,MATCH(A5637,SETORES!$A:$A,0))</f>
        <v/>
      </c>
      <c r="H5637" s="106" t="inlineStr">
        <is>
          <t>Janeiro/2027</t>
        </is>
      </c>
    </row>
    <row r="5638">
      <c r="A5638" s="106" t="inlineStr">
        <is>
          <t>TIC</t>
        </is>
      </c>
      <c r="B5638" s="106" t="inlineStr">
        <is>
          <t>Custo Fixo</t>
        </is>
      </c>
      <c r="C5638" s="106" t="inlineStr">
        <is>
          <t>Energia elétrica (rateio)</t>
        </is>
      </c>
      <c r="D5638" s="107" t="n"/>
      <c r="E5638" s="108" t="n"/>
      <c r="F5638" s="109">
        <f>IFERROR(D5638*E5638,0)</f>
        <v/>
      </c>
      <c r="G5638" s="106">
        <f>INDEX(SETORES!$B:$B,MATCH(A5638,SETORES!$A:$A,0))</f>
        <v/>
      </c>
      <c r="H5638" s="106" t="inlineStr">
        <is>
          <t>Janeiro/2027</t>
        </is>
      </c>
    </row>
    <row r="5639">
      <c r="A5639" s="106" t="inlineStr">
        <is>
          <t>TIC</t>
        </is>
      </c>
      <c r="B5639" s="106" t="inlineStr">
        <is>
          <t>Custo Fixo</t>
        </is>
      </c>
      <c r="C5639" s="106" t="inlineStr">
        <is>
          <t>Água e esgoto (rateio)</t>
        </is>
      </c>
      <c r="D5639" s="107" t="n"/>
      <c r="E5639" s="108" t="n"/>
      <c r="F5639" s="109">
        <f>IFERROR(D5639*E5639,0)</f>
        <v/>
      </c>
      <c r="G5639" s="106">
        <f>INDEX(SETORES!$B:$B,MATCH(A5639,SETORES!$A:$A,0))</f>
        <v/>
      </c>
      <c r="H5639" s="106" t="inlineStr">
        <is>
          <t>Janeiro/2027</t>
        </is>
      </c>
    </row>
    <row r="5640">
      <c r="A5640" s="106" t="inlineStr">
        <is>
          <t>Diretoria Adm</t>
        </is>
      </c>
      <c r="B5640" s="106" t="inlineStr">
        <is>
          <t>Custo Fixo</t>
        </is>
      </c>
      <c r="C5640" s="106" t="inlineStr">
        <is>
          <t>Energia elétrica (rateio)</t>
        </is>
      </c>
      <c r="D5640" s="107" t="n"/>
      <c r="E5640" s="108" t="n"/>
      <c r="F5640" s="109">
        <f>IFERROR(D5640*E5640,0)</f>
        <v/>
      </c>
      <c r="G5640" s="106">
        <f>INDEX(SETORES!$B:$B,MATCH(A5640,SETORES!$A:$A,0))</f>
        <v/>
      </c>
      <c r="H5640" s="106" t="inlineStr">
        <is>
          <t>Janeiro/2027</t>
        </is>
      </c>
    </row>
    <row r="5641">
      <c r="A5641" s="106" t="inlineStr">
        <is>
          <t>Diretoria Adm</t>
        </is>
      </c>
      <c r="B5641" s="106" t="inlineStr">
        <is>
          <t>Custo Fixo</t>
        </is>
      </c>
      <c r="C5641" s="106" t="inlineStr">
        <is>
          <t>Água e esgoto (rateio)</t>
        </is>
      </c>
      <c r="D5641" s="107" t="n"/>
      <c r="E5641" s="108" t="n"/>
      <c r="F5641" s="109">
        <f>IFERROR(D5641*E5641,0)</f>
        <v/>
      </c>
      <c r="G5641" s="106">
        <f>INDEX(SETORES!$B:$B,MATCH(A5641,SETORES!$A:$A,0))</f>
        <v/>
      </c>
      <c r="H5641" s="106" t="inlineStr">
        <is>
          <t>Janeiro/2027</t>
        </is>
      </c>
    </row>
    <row r="5642">
      <c r="A5642" s="106" t="inlineStr">
        <is>
          <t>Backoffice Comercial Varejo</t>
        </is>
      </c>
      <c r="B5642" s="106" t="inlineStr">
        <is>
          <t>Custo Fixo</t>
        </is>
      </c>
      <c r="C5642" s="106" t="inlineStr">
        <is>
          <t>Gympass</t>
        </is>
      </c>
      <c r="D5642" s="107" t="n"/>
      <c r="E5642" s="108" t="n"/>
      <c r="F5642" s="109">
        <f>IFERROR(D5642*E5642,0)</f>
        <v/>
      </c>
      <c r="G5642" s="106">
        <f>INDEX(SETORES!$B:$B,MATCH(A5642,SETORES!$A:$A,0))</f>
        <v/>
      </c>
      <c r="H5642" s="106" t="inlineStr">
        <is>
          <t>Janeiro/2027</t>
        </is>
      </c>
    </row>
    <row r="5643">
      <c r="A5643" s="106" t="inlineStr">
        <is>
          <t>Backoffice Comercial Varejo</t>
        </is>
      </c>
      <c r="B5643" s="106" t="inlineStr">
        <is>
          <t>Custo Fixo</t>
        </is>
      </c>
      <c r="C5643" s="106" t="inlineStr">
        <is>
          <t>Stargrid</t>
        </is>
      </c>
      <c r="D5643" s="107" t="n">
        <v>2</v>
      </c>
      <c r="E5643" s="108" t="n">
        <v>1.87</v>
      </c>
      <c r="F5643" s="109">
        <f>IFERROR(D5643*E5643,0)</f>
        <v/>
      </c>
      <c r="G5643" s="106">
        <f>INDEX(SETORES!$B:$B,MATCH(A5643,SETORES!$A:$A,0))</f>
        <v/>
      </c>
      <c r="H5643" s="106" t="inlineStr">
        <is>
          <t>Janeiro/2027</t>
        </is>
      </c>
    </row>
    <row r="5644">
      <c r="A5644" s="106" t="inlineStr">
        <is>
          <t>Backoffice Comercial Varejo</t>
        </is>
      </c>
      <c r="B5644" s="106" t="inlineStr">
        <is>
          <t>Custo Fixo</t>
        </is>
      </c>
      <c r="C5644" s="106" t="inlineStr">
        <is>
          <t>Despesas com RH</t>
        </is>
      </c>
      <c r="D5644" s="107" t="n">
        <v>2</v>
      </c>
      <c r="E5644" s="108" t="n">
        <v>32.55</v>
      </c>
      <c r="F5644" s="109">
        <f>IFERROR(D5644*E5644,0)</f>
        <v/>
      </c>
      <c r="G5644" s="106">
        <f>INDEX(SETORES!$B:$B,MATCH(A5644,SETORES!$A:$A,0))</f>
        <v/>
      </c>
      <c r="H5644" s="106" t="inlineStr">
        <is>
          <t>Janeiro/2027</t>
        </is>
      </c>
    </row>
    <row r="5645">
      <c r="A5645" s="106" t="inlineStr">
        <is>
          <t>Backoffice Comercial Varejo</t>
        </is>
      </c>
      <c r="B5645" s="106" t="inlineStr">
        <is>
          <t>Custo Fixo</t>
        </is>
      </c>
      <c r="C5645" s="106" t="inlineStr">
        <is>
          <t>Despesas com DP</t>
        </is>
      </c>
      <c r="D5645" s="107" t="n">
        <v>2</v>
      </c>
      <c r="E5645" s="108" t="n">
        <v>52.09</v>
      </c>
      <c r="F5645" s="109">
        <f>IFERROR(D5645*E5645,0)</f>
        <v/>
      </c>
      <c r="G5645" s="106">
        <f>INDEX(SETORES!$B:$B,MATCH(A5645,SETORES!$A:$A,0))</f>
        <v/>
      </c>
      <c r="H5645" s="106" t="inlineStr">
        <is>
          <t>Janeiro/2027</t>
        </is>
      </c>
    </row>
    <row r="5646">
      <c r="A5646" s="106" t="inlineStr">
        <is>
          <t>Backoffice Comercial Varejo</t>
        </is>
      </c>
      <c r="B5646" s="106" t="inlineStr">
        <is>
          <t>Custo Fixo</t>
        </is>
      </c>
      <c r="C5646" s="106" t="inlineStr">
        <is>
          <t>Despesas com SST</t>
        </is>
      </c>
      <c r="D5646" s="107" t="n">
        <v>2</v>
      </c>
      <c r="E5646" s="108" t="n">
        <v>52.35</v>
      </c>
      <c r="F5646" s="109">
        <f>IFERROR(D5646*E5646,0)</f>
        <v/>
      </c>
      <c r="G5646" s="106">
        <f>INDEX(SETORES!$B:$B,MATCH(A5646,SETORES!$A:$A,0))</f>
        <v/>
      </c>
      <c r="H5646" s="106" t="inlineStr">
        <is>
          <t>Janeiro/2027</t>
        </is>
      </c>
    </row>
    <row r="5647">
      <c r="A5647" s="106" t="inlineStr">
        <is>
          <t>Backoffice Comercial Varejo</t>
        </is>
      </c>
      <c r="B5647" s="106" t="inlineStr">
        <is>
          <t>Custo Fixo</t>
        </is>
      </c>
      <c r="C5647" s="106" t="inlineStr">
        <is>
          <t>Licença de e-mail corporativo</t>
        </is>
      </c>
      <c r="D5647" s="107" t="n">
        <v>2</v>
      </c>
      <c r="E5647" s="108" t="n">
        <v>50</v>
      </c>
      <c r="F5647" s="109">
        <f>IFERROR(D5647*E5647,0)</f>
        <v/>
      </c>
      <c r="G5647" s="106">
        <f>INDEX(SETORES!$B:$B,MATCH(A5647,SETORES!$A:$A,0))</f>
        <v/>
      </c>
      <c r="H5647" s="106" t="inlineStr">
        <is>
          <t>Janeiro/2027</t>
        </is>
      </c>
    </row>
    <row r="5648">
      <c r="A5648" s="106" t="inlineStr">
        <is>
          <t>Backoffice Comercial Varejo</t>
        </is>
      </c>
      <c r="B5648" s="106" t="inlineStr">
        <is>
          <t>Custo Fixo</t>
        </is>
      </c>
      <c r="C5648" s="106" t="inlineStr">
        <is>
          <t>Chip móvel corporativo</t>
        </is>
      </c>
      <c r="D5648" s="107" t="n">
        <v>1</v>
      </c>
      <c r="E5648" s="108" t="n">
        <v>30</v>
      </c>
      <c r="F5648" s="109">
        <f>IFERROR(D5648*E5648,0)</f>
        <v/>
      </c>
      <c r="G5648" s="106">
        <f>INDEX(SETORES!$B:$B,MATCH(A5648,SETORES!$A:$A,0))</f>
        <v/>
      </c>
      <c r="H5648" s="106" t="inlineStr">
        <is>
          <t>Janeiro/2027</t>
        </is>
      </c>
    </row>
    <row r="5649">
      <c r="A5649" s="106" t="inlineStr">
        <is>
          <t>Serviços Gerais</t>
        </is>
      </c>
      <c r="B5649" s="106" t="inlineStr">
        <is>
          <t>Custo Fixo</t>
        </is>
      </c>
      <c r="C5649" s="106" t="inlineStr">
        <is>
          <t>Gympass</t>
        </is>
      </c>
      <c r="D5649" s="107" t="n"/>
      <c r="E5649" s="108" t="n"/>
      <c r="F5649" s="109">
        <f>IFERROR(D5649*E5649,0)</f>
        <v/>
      </c>
      <c r="G5649" s="106">
        <f>INDEX(SETORES!$B:$B,MATCH(A5649,SETORES!$A:$A,0))</f>
        <v/>
      </c>
      <c r="H5649" s="106" t="inlineStr">
        <is>
          <t>Janeiro/2027</t>
        </is>
      </c>
    </row>
    <row r="5650">
      <c r="A5650" s="106" t="inlineStr">
        <is>
          <t>Serviços Gerais</t>
        </is>
      </c>
      <c r="B5650" s="106" t="inlineStr">
        <is>
          <t>Custo Fixo</t>
        </is>
      </c>
      <c r="C5650" s="106" t="inlineStr">
        <is>
          <t>Stargrid</t>
        </is>
      </c>
      <c r="D5650" s="107" t="n">
        <v>6</v>
      </c>
      <c r="E5650" s="108" t="n">
        <v>1.87</v>
      </c>
      <c r="F5650" s="109">
        <f>IFERROR(D5650*E5650,0)</f>
        <v/>
      </c>
      <c r="G5650" s="106">
        <f>INDEX(SETORES!$B:$B,MATCH(A5650,SETORES!$A:$A,0))</f>
        <v/>
      </c>
      <c r="H5650" s="106" t="inlineStr">
        <is>
          <t>Janeiro/2027</t>
        </is>
      </c>
    </row>
    <row r="5651">
      <c r="A5651" s="106" t="inlineStr">
        <is>
          <t>Serviços Gerais</t>
        </is>
      </c>
      <c r="B5651" s="106" t="inlineStr">
        <is>
          <t>Custo Fixo</t>
        </is>
      </c>
      <c r="C5651" s="106" t="inlineStr">
        <is>
          <t>Despesas com RH</t>
        </is>
      </c>
      <c r="D5651" s="107" t="n">
        <v>6</v>
      </c>
      <c r="E5651" s="108" t="n">
        <v>32.55</v>
      </c>
      <c r="F5651" s="109">
        <f>IFERROR(D5651*E5651,0)</f>
        <v/>
      </c>
      <c r="G5651" s="106">
        <f>INDEX(SETORES!$B:$B,MATCH(A5651,SETORES!$A:$A,0))</f>
        <v/>
      </c>
      <c r="H5651" s="106" t="inlineStr">
        <is>
          <t>Janeiro/2027</t>
        </is>
      </c>
    </row>
    <row r="5652">
      <c r="A5652" s="106" t="inlineStr">
        <is>
          <t>Serviços Gerais</t>
        </is>
      </c>
      <c r="B5652" s="106" t="inlineStr">
        <is>
          <t>Custo Fixo</t>
        </is>
      </c>
      <c r="C5652" s="106" t="inlineStr">
        <is>
          <t>Despesas com DP</t>
        </is>
      </c>
      <c r="D5652" s="107" t="n">
        <v>6</v>
      </c>
      <c r="E5652" s="108" t="n">
        <v>52.09</v>
      </c>
      <c r="F5652" s="109">
        <f>IFERROR(D5652*E5652,0)</f>
        <v/>
      </c>
      <c r="G5652" s="106">
        <f>INDEX(SETORES!$B:$B,MATCH(A5652,SETORES!$A:$A,0))</f>
        <v/>
      </c>
      <c r="H5652" s="106" t="inlineStr">
        <is>
          <t>Janeiro/2027</t>
        </is>
      </c>
    </row>
    <row r="5653">
      <c r="A5653" s="106" t="inlineStr">
        <is>
          <t>Serviços Gerais</t>
        </is>
      </c>
      <c r="B5653" s="106" t="inlineStr">
        <is>
          <t>Custo Fixo</t>
        </is>
      </c>
      <c r="C5653" s="106" t="inlineStr">
        <is>
          <t>Despesas com SST</t>
        </is>
      </c>
      <c r="D5653" s="107" t="n">
        <v>6</v>
      </c>
      <c r="E5653" s="108" t="n">
        <v>52.35</v>
      </c>
      <c r="F5653" s="109">
        <f>IFERROR(D5653*E5653,0)</f>
        <v/>
      </c>
      <c r="G5653" s="106">
        <f>INDEX(SETORES!$B:$B,MATCH(A5653,SETORES!$A:$A,0))</f>
        <v/>
      </c>
      <c r="H5653" s="106" t="inlineStr">
        <is>
          <t>Janeiro/2027</t>
        </is>
      </c>
    </row>
    <row r="5654">
      <c r="A5654" s="106" t="inlineStr">
        <is>
          <t>Compras</t>
        </is>
      </c>
      <c r="B5654" s="106" t="inlineStr">
        <is>
          <t>Custo Variável</t>
        </is>
      </c>
      <c r="C5654" s="106" t="inlineStr">
        <is>
          <t>Fardamento novo</t>
        </is>
      </c>
      <c r="D5654" s="107" t="n"/>
      <c r="E5654" s="108" t="n"/>
      <c r="F5654" s="109">
        <f>IFERROR(D5654*E5654,0)</f>
        <v/>
      </c>
      <c r="G5654" s="106">
        <f>INDEX(SETORES!$B:$B,MATCH(A5654,SETORES!$A:$A,0))</f>
        <v/>
      </c>
      <c r="H5654" s="106" t="inlineStr">
        <is>
          <t>Janeiro/2027</t>
        </is>
      </c>
    </row>
    <row r="5655">
      <c r="A5655" s="106" t="inlineStr">
        <is>
          <t>Fique Móvel</t>
        </is>
      </c>
      <c r="B5655" s="106" t="inlineStr">
        <is>
          <t>Custo Variável</t>
        </is>
      </c>
      <c r="C5655" s="106" t="inlineStr">
        <is>
          <t>Fardamento novo</t>
        </is>
      </c>
      <c r="D5655" s="107" t="n"/>
      <c r="E5655" s="108" t="n"/>
      <c r="F5655" s="109">
        <f>IFERROR(D5655*E5655,0)</f>
        <v/>
      </c>
      <c r="G5655" s="106">
        <f>INDEX(SETORES!$B:$B,MATCH(A5655,SETORES!$A:$A,0))</f>
        <v/>
      </c>
      <c r="H5655" s="106" t="inlineStr">
        <is>
          <t>Janeiro/2027</t>
        </is>
      </c>
    </row>
    <row r="5656">
      <c r="A5656" s="106" t="inlineStr">
        <is>
          <t>Manutenção Predial</t>
        </is>
      </c>
      <c r="B5656" s="106" t="inlineStr">
        <is>
          <t>Custo Variável</t>
        </is>
      </c>
      <c r="C5656" s="106" t="inlineStr">
        <is>
          <t>Fardamento novo</t>
        </is>
      </c>
      <c r="D5656" s="107" t="n"/>
      <c r="E5656" s="108" t="n"/>
      <c r="F5656" s="109">
        <f>IFERROR(D5656*E5656,0)</f>
        <v/>
      </c>
      <c r="G5656" s="106">
        <f>INDEX(SETORES!$B:$B,MATCH(A5656,SETORES!$A:$A,0))</f>
        <v/>
      </c>
      <c r="H5656" s="106" t="inlineStr">
        <is>
          <t>Janeiro/2027</t>
        </is>
      </c>
    </row>
    <row r="5657">
      <c r="A5657" s="106" t="inlineStr">
        <is>
          <t>Manutenção Predial</t>
        </is>
      </c>
      <c r="B5657" s="106" t="inlineStr">
        <is>
          <t>Custo Variável</t>
        </is>
      </c>
      <c r="C5657" s="106" t="inlineStr">
        <is>
          <t>Fardamento substituição</t>
        </is>
      </c>
      <c r="D5657" s="107" t="n"/>
      <c r="E5657" s="108" t="n"/>
      <c r="F5657" s="109">
        <f>IFERROR(D5657*E5657,0)</f>
        <v/>
      </c>
      <c r="G5657" s="106">
        <f>INDEX(SETORES!$B:$B,MATCH(A5657,SETORES!$A:$A,0))</f>
        <v/>
      </c>
      <c r="H5657" s="106" t="inlineStr">
        <is>
          <t>Janeiro/2027</t>
        </is>
      </c>
    </row>
    <row r="5658">
      <c r="A5658" s="106" t="inlineStr">
        <is>
          <t>Marketing</t>
        </is>
      </c>
      <c r="B5658" s="106" t="inlineStr">
        <is>
          <t>Custo Variável</t>
        </is>
      </c>
      <c r="C5658" s="106" t="inlineStr">
        <is>
          <t>Fardamento novo</t>
        </is>
      </c>
      <c r="D5658" s="107" t="n">
        <v>1</v>
      </c>
      <c r="E5658" s="108" t="n">
        <v>360</v>
      </c>
      <c r="F5658" s="109">
        <f>IFERROR(D5658*E5658,0)</f>
        <v/>
      </c>
      <c r="G5658" s="106">
        <f>INDEX(SETORES!$B:$B,MATCH(A5658,SETORES!$A:$A,0))</f>
        <v/>
      </c>
      <c r="H5658" s="106" t="inlineStr">
        <is>
          <t>Janeiro/2027</t>
        </is>
      </c>
    </row>
    <row r="5659">
      <c r="A5659" s="106" t="inlineStr">
        <is>
          <t>Serviços Gerais</t>
        </is>
      </c>
      <c r="B5659" s="106" t="inlineStr">
        <is>
          <t>Custo Variável</t>
        </is>
      </c>
      <c r="C5659" s="106" t="inlineStr">
        <is>
          <t>Fardamento substituição</t>
        </is>
      </c>
      <c r="D5659" s="107" t="n"/>
      <c r="E5659" s="108" t="n"/>
      <c r="F5659" s="109">
        <f>IFERROR(D5659*E5659,0)</f>
        <v/>
      </c>
      <c r="G5659" s="106">
        <f>INDEX(SETORES!$B:$B,MATCH(A5659,SETORES!$A:$A,0))</f>
        <v/>
      </c>
      <c r="H5659" s="106" t="inlineStr">
        <is>
          <t>Janeiro/2027</t>
        </is>
      </c>
    </row>
    <row r="5660">
      <c r="A5660" s="106" t="inlineStr">
        <is>
          <t>Suporte da Central</t>
        </is>
      </c>
      <c r="B5660" s="106" t="inlineStr">
        <is>
          <t>Custo Variável</t>
        </is>
      </c>
      <c r="C5660" s="106" t="inlineStr">
        <is>
          <t>Fardamento novo</t>
        </is>
      </c>
      <c r="D5660" s="107" t="n"/>
      <c r="E5660" s="108" t="n"/>
      <c r="F5660" s="109">
        <f>IFERROR(D5660*E5660,0)</f>
        <v/>
      </c>
      <c r="G5660" s="106">
        <f>INDEX(SETORES!$B:$B,MATCH(A5660,SETORES!$A:$A,0))</f>
        <v/>
      </c>
      <c r="H5660" s="106" t="inlineStr">
        <is>
          <t>Janeiro/2027</t>
        </is>
      </c>
    </row>
    <row r="5661">
      <c r="A5661" s="106" t="inlineStr">
        <is>
          <t>Suporte Orbix</t>
        </is>
      </c>
      <c r="B5661" s="106" t="inlineStr">
        <is>
          <t>Custo Variável</t>
        </is>
      </c>
      <c r="C5661" s="106" t="inlineStr">
        <is>
          <t>Fardamento substituição</t>
        </is>
      </c>
      <c r="D5661" s="107" t="n"/>
      <c r="E5661" s="108" t="n"/>
      <c r="F5661" s="109">
        <f>IFERROR(D5661*E5661,0)</f>
        <v/>
      </c>
      <c r="G5661" s="106">
        <f>INDEX(SETORES!$B:$B,MATCH(A5661,SETORES!$A:$A,0))</f>
        <v/>
      </c>
      <c r="H5661" s="106" t="inlineStr">
        <is>
          <t>Janeiro/2027</t>
        </is>
      </c>
    </row>
    <row r="5662">
      <c r="A5662" s="106" t="inlineStr">
        <is>
          <t>Televendas</t>
        </is>
      </c>
      <c r="B5662" s="106" t="inlineStr">
        <is>
          <t>Custo Variável</t>
        </is>
      </c>
      <c r="C5662" s="106" t="inlineStr">
        <is>
          <t>Fardamento novo</t>
        </is>
      </c>
      <c r="D5662" s="107" t="n"/>
      <c r="E5662" s="108" t="n"/>
      <c r="F5662" s="109">
        <f>IFERROR(D5662*E5662,0)</f>
        <v/>
      </c>
      <c r="G5662" s="106">
        <f>INDEX(SETORES!$B:$B,MATCH(A5662,SETORES!$A:$A,0))</f>
        <v/>
      </c>
      <c r="H5662" s="106" t="inlineStr">
        <is>
          <t>Janeiro/2027</t>
        </is>
      </c>
    </row>
    <row r="5663">
      <c r="A5663" s="106" t="inlineStr">
        <is>
          <t>TIC</t>
        </is>
      </c>
      <c r="B5663" s="106" t="inlineStr">
        <is>
          <t>Custo Variável</t>
        </is>
      </c>
      <c r="C5663" s="106" t="inlineStr">
        <is>
          <t>Fardamento novo</t>
        </is>
      </c>
      <c r="D5663" s="107" t="n"/>
      <c r="E5663" s="108" t="n"/>
      <c r="F5663" s="109">
        <f>IFERROR(D5663*E5663,0)</f>
        <v/>
      </c>
      <c r="G5663" s="106">
        <f>INDEX(SETORES!$B:$B,MATCH(A5663,SETORES!$A:$A,0))</f>
        <v/>
      </c>
      <c r="H5663" s="106" t="inlineStr">
        <is>
          <t>Janeiro/2027</t>
        </is>
      </c>
    </row>
    <row r="5664">
      <c r="A5664" s="106" t="inlineStr">
        <is>
          <t>Televendas</t>
        </is>
      </c>
      <c r="B5664" s="106" t="inlineStr">
        <is>
          <t>Custo Fixo</t>
        </is>
      </c>
      <c r="C5664" s="106" t="inlineStr">
        <is>
          <t>Software MATRIX (rateio equipe Relacionamento)</t>
        </is>
      </c>
      <c r="D5664" s="107" t="n"/>
      <c r="E5664" s="108" t="n"/>
      <c r="F5664" s="109">
        <f>IFERROR(D5664*E5664,0)</f>
        <v/>
      </c>
      <c r="G5664" s="106">
        <f>INDEX(SETORES!$B:$B,MATCH(A5664,SETORES!$A:$A,0))</f>
        <v/>
      </c>
      <c r="H5664" s="106" t="inlineStr">
        <is>
          <t>Janeiro/2027</t>
        </is>
      </c>
    </row>
    <row r="5665">
      <c r="A5665" s="106" t="inlineStr">
        <is>
          <t>Cozinha</t>
        </is>
      </c>
      <c r="B5665" s="106" t="inlineStr">
        <is>
          <t>Custo Fixo</t>
        </is>
      </c>
      <c r="C5665" s="106" t="inlineStr">
        <is>
          <t>Custo de gestão administrativa (rateado — Cryslaine Fonseca Rosal)</t>
        </is>
      </c>
      <c r="D5665" s="107" t="n">
        <v>1</v>
      </c>
      <c r="E5665" s="108" t="n">
        <v>699.78</v>
      </c>
      <c r="F5665" s="109">
        <f>IFERROR(D5665*E5665,0)</f>
        <v/>
      </c>
      <c r="G5665" s="106">
        <f>INDEX(SETORES!$B:$B,MATCH(A5665,SETORES!$A:$A,0))</f>
        <v/>
      </c>
      <c r="H5665" s="106" t="inlineStr">
        <is>
          <t>Janeiro/2027</t>
        </is>
      </c>
    </row>
    <row r="5666">
      <c r="A5666" s="106" t="inlineStr">
        <is>
          <t>Cozinha</t>
        </is>
      </c>
      <c r="B5666" s="106" t="inlineStr">
        <is>
          <t>Custo Fixo</t>
        </is>
      </c>
      <c r="C5666" s="106" t="inlineStr">
        <is>
          <t>Gympass</t>
        </is>
      </c>
      <c r="D5666" s="107" t="n"/>
      <c r="E5666" s="108" t="n"/>
      <c r="F5666" s="109">
        <f>IFERROR(D5666*E5666,0)</f>
        <v/>
      </c>
      <c r="G5666" s="106">
        <f>INDEX(SETORES!$B:$B,MATCH(A5666,SETORES!$A:$A,0))</f>
        <v/>
      </c>
      <c r="H5666" s="106" t="inlineStr">
        <is>
          <t>Janeiro/2027</t>
        </is>
      </c>
    </row>
    <row r="5667">
      <c r="A5667" s="106" t="inlineStr">
        <is>
          <t>Cozinha</t>
        </is>
      </c>
      <c r="B5667" s="106" t="inlineStr">
        <is>
          <t>Custo Fixo</t>
        </is>
      </c>
      <c r="C5667" s="106" t="inlineStr">
        <is>
          <t>Stargrid</t>
        </is>
      </c>
      <c r="D5667" s="107" t="n">
        <v>4</v>
      </c>
      <c r="E5667" s="108" t="n">
        <v>1.87</v>
      </c>
      <c r="F5667" s="109">
        <f>IFERROR(D5667*E5667,0)</f>
        <v/>
      </c>
      <c r="G5667" s="106">
        <f>INDEX(SETORES!$B:$B,MATCH(A5667,SETORES!$A:$A,0))</f>
        <v/>
      </c>
      <c r="H5667" s="106" t="inlineStr">
        <is>
          <t>Janeiro/2027</t>
        </is>
      </c>
    </row>
    <row r="5668">
      <c r="A5668" s="106" t="inlineStr">
        <is>
          <t>Cozinha</t>
        </is>
      </c>
      <c r="B5668" s="106" t="inlineStr">
        <is>
          <t>Custo Fixo</t>
        </is>
      </c>
      <c r="C5668" s="106" t="inlineStr">
        <is>
          <t>Despesas com RH</t>
        </is>
      </c>
      <c r="D5668" s="107" t="n">
        <v>4</v>
      </c>
      <c r="E5668" s="108" t="n">
        <v>32.55</v>
      </c>
      <c r="F5668" s="109">
        <f>IFERROR(D5668*E5668,0)</f>
        <v/>
      </c>
      <c r="G5668" s="106">
        <f>INDEX(SETORES!$B:$B,MATCH(A5668,SETORES!$A:$A,0))</f>
        <v/>
      </c>
      <c r="H5668" s="106" t="inlineStr">
        <is>
          <t>Janeiro/2027</t>
        </is>
      </c>
    </row>
    <row r="5669">
      <c r="A5669" s="106" t="inlineStr">
        <is>
          <t>Cozinha</t>
        </is>
      </c>
      <c r="B5669" s="106" t="inlineStr">
        <is>
          <t>Custo Fixo</t>
        </is>
      </c>
      <c r="C5669" s="106" t="inlineStr">
        <is>
          <t>Despesas com DP</t>
        </is>
      </c>
      <c r="D5669" s="107" t="n">
        <v>4</v>
      </c>
      <c r="E5669" s="108" t="n">
        <v>52.09</v>
      </c>
      <c r="F5669" s="109">
        <f>IFERROR(D5669*E5669,0)</f>
        <v/>
      </c>
      <c r="G5669" s="106">
        <f>INDEX(SETORES!$B:$B,MATCH(A5669,SETORES!$A:$A,0))</f>
        <v/>
      </c>
      <c r="H5669" s="106" t="inlineStr">
        <is>
          <t>Janeiro/2027</t>
        </is>
      </c>
    </row>
    <row r="5670">
      <c r="A5670" s="106" t="inlineStr">
        <is>
          <t>Cozinha</t>
        </is>
      </c>
      <c r="B5670" s="106" t="inlineStr">
        <is>
          <t>Custo Fixo</t>
        </is>
      </c>
      <c r="C5670" s="106" t="inlineStr">
        <is>
          <t>Despesas com SST</t>
        </is>
      </c>
      <c r="D5670" s="107" t="n">
        <v>4</v>
      </c>
      <c r="E5670" s="108" t="n">
        <v>52.35</v>
      </c>
      <c r="F5670" s="109">
        <f>IFERROR(D5670*E5670,0)</f>
        <v/>
      </c>
      <c r="G5670" s="106">
        <f>INDEX(SETORES!$B:$B,MATCH(A5670,SETORES!$A:$A,0))</f>
        <v/>
      </c>
      <c r="H5670" s="106" t="inlineStr">
        <is>
          <t>Janeiro/2027</t>
        </is>
      </c>
    </row>
    <row r="5671">
      <c r="A5671" s="106" t="inlineStr">
        <is>
          <t>Cozinha</t>
        </is>
      </c>
      <c r="B5671" s="106" t="inlineStr">
        <is>
          <t>Custo Variável</t>
        </is>
      </c>
      <c r="C5671" s="106" t="inlineStr">
        <is>
          <t>Alimentação (compras semanais para a cozinha)</t>
        </is>
      </c>
      <c r="D5671" s="107" t="n"/>
      <c r="E5671" s="108" t="n"/>
      <c r="F5671" s="109">
        <f>IFERROR(D5671*E5671,0)</f>
        <v/>
      </c>
      <c r="G5671" s="106">
        <f>INDEX(SETORES!$B:$B,MATCH(A5671,SETORES!$A:$A,0))</f>
        <v/>
      </c>
      <c r="H5671" s="106" t="inlineStr">
        <is>
          <t>Janeiro/2027</t>
        </is>
      </c>
    </row>
    <row r="5672">
      <c r="A5672" s="106" t="inlineStr">
        <is>
          <t>Cozinha</t>
        </is>
      </c>
      <c r="B5672" s="106" t="inlineStr">
        <is>
          <t>Custo Variável</t>
        </is>
      </c>
      <c r="C5672" s="106" t="inlineStr">
        <is>
          <t>Material de limpeza (compras mensais para distribuição — Cozinha)</t>
        </is>
      </c>
      <c r="D5672" s="107" t="n"/>
      <c r="E5672" s="108" t="n"/>
      <c r="F5672" s="109">
        <f>IFERROR(D5672*E5672,0)</f>
        <v/>
      </c>
      <c r="G5672" s="106">
        <f>INDEX(SETORES!$B:$B,MATCH(A5672,SETORES!$A:$A,0))</f>
        <v/>
      </c>
      <c r="H5672" s="106" t="inlineStr">
        <is>
          <t>Janeiro/2027</t>
        </is>
      </c>
    </row>
    <row r="5673">
      <c r="A5673" s="106" t="inlineStr">
        <is>
          <t>Cozinha</t>
        </is>
      </c>
      <c r="B5673" s="106" t="inlineStr">
        <is>
          <t>Custo Variável</t>
        </is>
      </c>
      <c r="C5673" s="106" t="inlineStr">
        <is>
          <t>Gás de cozinha (compras mensais para a cozinha)</t>
        </is>
      </c>
      <c r="D5673" s="107" t="n"/>
      <c r="E5673" s="108" t="n"/>
      <c r="F5673" s="109">
        <f>IFERROR(D5673*E5673,0)</f>
        <v/>
      </c>
      <c r="G5673" s="106">
        <f>INDEX(SETORES!$B:$B,MATCH(A5673,SETORES!$A:$A,0))</f>
        <v/>
      </c>
      <c r="H5673" s="106" t="inlineStr">
        <is>
          <t>Janeiro/2027</t>
        </is>
      </c>
    </row>
    <row r="5674">
      <c r="A5674" s="106" t="inlineStr">
        <is>
          <t>Cozinha</t>
        </is>
      </c>
      <c r="B5674" s="106" t="inlineStr">
        <is>
          <t>Custo Variável</t>
        </is>
      </c>
      <c r="C5674" s="106" t="inlineStr">
        <is>
          <t>Crédito — Refeições pagas pelos colaboradores (valor simbólico, Refeitório)</t>
        </is>
      </c>
      <c r="D5674" s="107" t="n"/>
      <c r="E5674" s="108" t="n"/>
      <c r="F5674" s="109">
        <f>IFERROR(D5674*E5674,0)</f>
        <v/>
      </c>
      <c r="G5674" s="106">
        <f>INDEX(SETORES!$B:$B,MATCH(A5674,SETORES!$A:$A,0))</f>
        <v/>
      </c>
      <c r="H5674" s="106" t="inlineStr">
        <is>
          <t>Janeiro/2027</t>
        </is>
      </c>
    </row>
    <row r="5675">
      <c r="A5675" s="106" t="inlineStr">
        <is>
          <t>Desenvolvimento</t>
        </is>
      </c>
      <c r="B5675" s="106" t="inlineStr">
        <is>
          <t>Custo Fixo</t>
        </is>
      </c>
      <c r="C5675" s="106" t="inlineStr">
        <is>
          <t>Folha de pagamento (salários)</t>
        </is>
      </c>
      <c r="D5675" s="107" t="n">
        <v>1</v>
      </c>
      <c r="E5675" s="108" t="n">
        <v>24325.69</v>
      </c>
      <c r="F5675" s="109">
        <f>IFERROR(D5675*E5675,0)</f>
        <v/>
      </c>
      <c r="G5675" s="106">
        <f>INDEX(SETORES!$B:$B,MATCH(A5675,SETORES!$A:$A,0))</f>
        <v/>
      </c>
      <c r="H5675" s="106" t="inlineStr">
        <is>
          <t>Janeiro/2027</t>
        </is>
      </c>
    </row>
    <row r="5676">
      <c r="A5676" s="106" t="inlineStr">
        <is>
          <t>Logística</t>
        </is>
      </c>
      <c r="B5676" s="106" t="inlineStr">
        <is>
          <t>Custo Fixo</t>
        </is>
      </c>
      <c r="C5676" s="106" t="inlineStr">
        <is>
          <t>Custo de gestão administrativa (rateado — Demetrius Ribeiro de Aquino)</t>
        </is>
      </c>
      <c r="D5676" s="107" t="n">
        <v>1</v>
      </c>
      <c r="E5676" s="108" t="n">
        <v>11599.66</v>
      </c>
      <c r="F5676" s="109">
        <f>IFERROR(D5676*E5676,0)</f>
        <v/>
      </c>
      <c r="G5676" s="106">
        <f>INDEX(SETORES!$B:$B,MATCH(A5676,SETORES!$A:$A,0))</f>
        <v/>
      </c>
      <c r="H5676" s="106" t="inlineStr">
        <is>
          <t>Janeiro/2027</t>
        </is>
      </c>
    </row>
    <row r="5677">
      <c r="A5677" s="106" t="inlineStr">
        <is>
          <t>Oficina</t>
        </is>
      </c>
      <c r="B5677" s="106" t="inlineStr">
        <is>
          <t>Custo Fixo</t>
        </is>
      </c>
      <c r="C5677" s="106" t="inlineStr">
        <is>
          <t>Custo de gestão administrativa (rateado — Demetrius Ribeiro de Aquino)</t>
        </is>
      </c>
      <c r="D5677" s="107" t="n">
        <v>1</v>
      </c>
      <c r="E5677" s="108" t="n">
        <v>2899.91</v>
      </c>
      <c r="F5677" s="109">
        <f>IFERROR(D5677*E5677,0)</f>
        <v/>
      </c>
      <c r="G5677" s="106">
        <f>INDEX(SETORES!$B:$B,MATCH(A5677,SETORES!$A:$A,0))</f>
        <v/>
      </c>
      <c r="H5677" s="106" t="inlineStr">
        <is>
          <t>Janeiro/2027</t>
        </is>
      </c>
    </row>
    <row r="5678">
      <c r="A5678" s="106" t="inlineStr">
        <is>
          <t>Configuração</t>
        </is>
      </c>
      <c r="B5678" s="106" t="inlineStr">
        <is>
          <t>Custo Fixo</t>
        </is>
      </c>
      <c r="C5678" s="106" t="inlineStr">
        <is>
          <t>Folha de pagamento (salários)</t>
        </is>
      </c>
      <c r="D5678" s="107" t="n">
        <v>1</v>
      </c>
      <c r="E5678" s="108" t="n">
        <v>46351.21</v>
      </c>
      <c r="F5678" s="109">
        <f>IFERROR(D5678*E5678,0)</f>
        <v/>
      </c>
      <c r="G5678" s="106">
        <f>INDEX(SETORES!$B:$B,MATCH(A5678,SETORES!$A:$A,0))</f>
        <v/>
      </c>
      <c r="H5678" s="106" t="inlineStr">
        <is>
          <t>Janeiro/2027</t>
        </is>
      </c>
    </row>
    <row r="5679">
      <c r="A5679" s="106" t="inlineStr">
        <is>
          <t>Cozinha</t>
        </is>
      </c>
      <c r="B5679" s="106" t="inlineStr">
        <is>
          <t>Custo Variável</t>
        </is>
      </c>
      <c r="C5679" s="106" t="inlineStr">
        <is>
          <t>Rescisões trabalhistas</t>
        </is>
      </c>
      <c r="D5679" s="107" t="n"/>
      <c r="E5679" s="108" t="n"/>
      <c r="F5679" s="109">
        <f>IFERROR(D5679*E5679,0)</f>
        <v/>
      </c>
      <c r="G5679" s="106">
        <f>INDEX(SETORES!$B:$B,MATCH(A5679,SETORES!$A:$A,0))</f>
        <v/>
      </c>
      <c r="H5679" s="106" t="inlineStr">
        <is>
          <t>Janeiro/2027</t>
        </is>
      </c>
    </row>
    <row r="5680">
      <c r="A5680" s="106" t="inlineStr">
        <is>
          <t>Marketing</t>
        </is>
      </c>
      <c r="B5680" s="106" t="inlineStr">
        <is>
          <t>Custo Variável</t>
        </is>
      </c>
      <c r="C5680" s="106" t="inlineStr">
        <is>
          <t>Rescisões trabalhistas</t>
        </is>
      </c>
      <c r="D5680" s="107" t="n"/>
      <c r="E5680" s="108" t="n"/>
      <c r="F5680" s="109">
        <f>IFERROR(D5680*E5680,0)</f>
        <v/>
      </c>
      <c r="G5680" s="106">
        <f>INDEX(SETORES!$B:$B,MATCH(A5680,SETORES!$A:$A,0))</f>
        <v/>
      </c>
      <c r="H5680" s="106" t="inlineStr">
        <is>
          <t>Janeiro/2027</t>
        </is>
      </c>
    </row>
    <row r="5681">
      <c r="A5681" s="106" t="inlineStr">
        <is>
          <t>Configuração</t>
        </is>
      </c>
      <c r="B5681" s="106" t="inlineStr">
        <is>
          <t>Custo Variável</t>
        </is>
      </c>
      <c r="C5681" s="106" t="inlineStr">
        <is>
          <t>Rescisões trabalhistas</t>
        </is>
      </c>
      <c r="D5681" s="107" t="n"/>
      <c r="E5681" s="108" t="n"/>
      <c r="F5681" s="109">
        <f>IFERROR(D5681*E5681,0)</f>
        <v/>
      </c>
      <c r="G5681" s="106">
        <f>INDEX(SETORES!$B:$B,MATCH(A5681,SETORES!$A:$A,0))</f>
        <v/>
      </c>
      <c r="H5681" s="106" t="inlineStr">
        <is>
          <t>Janeiro/2027</t>
        </is>
      </c>
    </row>
    <row r="5682">
      <c r="A5682" s="106" t="inlineStr">
        <is>
          <t>Qualidade</t>
        </is>
      </c>
      <c r="B5682" s="106" t="inlineStr">
        <is>
          <t>Custo Variável</t>
        </is>
      </c>
      <c r="C5682" s="106" t="inlineStr">
        <is>
          <t>Fardamento novo</t>
        </is>
      </c>
      <c r="D5682" s="107" t="n">
        <v>1</v>
      </c>
      <c r="E5682" s="108" t="n">
        <v>270</v>
      </c>
      <c r="F5682" s="109">
        <f>IFERROR(D5682*E5682,0)</f>
        <v/>
      </c>
      <c r="G5682" s="106">
        <f>INDEX(SETORES!$B:$B,MATCH(A5682,SETORES!$A:$A,0))</f>
        <v/>
      </c>
      <c r="H5682" s="106" t="inlineStr">
        <is>
          <t>Janeiro/2027</t>
        </is>
      </c>
    </row>
    <row r="5683">
      <c r="A5683" s="106" t="inlineStr">
        <is>
          <t>Qualidade</t>
        </is>
      </c>
      <c r="B5683" s="106" t="inlineStr">
        <is>
          <t>Custo Variável</t>
        </is>
      </c>
      <c r="C5683" s="106" t="inlineStr">
        <is>
          <t>Material de escritório (suprimentos de informática)</t>
        </is>
      </c>
      <c r="D5683" s="107" t="n">
        <v>1</v>
      </c>
      <c r="E5683" s="108" t="n">
        <v>69.45</v>
      </c>
      <c r="F5683" s="109">
        <f>IFERROR(D5683*E5683,0)</f>
        <v/>
      </c>
      <c r="G5683" s="106">
        <f>INDEX(SETORES!$B:$B,MATCH(A5683,SETORES!$A:$A,0))</f>
        <v/>
      </c>
      <c r="H5683" s="106" t="inlineStr">
        <is>
          <t>Janeiro/2027</t>
        </is>
      </c>
    </row>
    <row r="5684">
      <c r="A5684" s="106" t="inlineStr">
        <is>
          <t>TIC</t>
        </is>
      </c>
      <c r="B5684" s="106" t="inlineStr">
        <is>
          <t>Custo Variável</t>
        </is>
      </c>
      <c r="C5684" s="106" t="inlineStr">
        <is>
          <t>Material de escritório (suprimentos de informática)</t>
        </is>
      </c>
      <c r="D5684" s="107" t="n">
        <v>1</v>
      </c>
      <c r="E5684" s="108" t="n">
        <v>52.84</v>
      </c>
      <c r="F5684" s="109">
        <f>IFERROR(D5684*E5684,0)</f>
        <v/>
      </c>
      <c r="G5684" s="106">
        <f>INDEX(SETORES!$B:$B,MATCH(A5684,SETORES!$A:$A,0))</f>
        <v/>
      </c>
      <c r="H5684" s="106" t="inlineStr">
        <is>
          <t>Janeiro/2027</t>
        </is>
      </c>
    </row>
    <row r="5685">
      <c r="A5685" s="106" t="inlineStr">
        <is>
          <t>Comercial Corporativo</t>
        </is>
      </c>
      <c r="B5685" s="106" t="inlineStr">
        <is>
          <t>Custo Variável</t>
        </is>
      </c>
      <c r="C5685" s="106" t="inlineStr">
        <is>
          <t>Material de escritório (suprimentos de informática)</t>
        </is>
      </c>
      <c r="D5685" s="107" t="n">
        <v>1</v>
      </c>
      <c r="E5685" s="108" t="n">
        <v>9.640000000000001</v>
      </c>
      <c r="F5685" s="109">
        <f>IFERROR(D5685*E5685,0)</f>
        <v/>
      </c>
      <c r="G5685" s="106">
        <f>INDEX(SETORES!$B:$B,MATCH(A5685,SETORES!$A:$A,0))</f>
        <v/>
      </c>
      <c r="H5685" s="106" t="inlineStr">
        <is>
          <t>Janeiro/2027</t>
        </is>
      </c>
    </row>
    <row r="5686">
      <c r="A5686" s="106" t="inlineStr">
        <is>
          <t>Cozinha</t>
        </is>
      </c>
      <c r="B5686" s="106" t="inlineStr">
        <is>
          <t>Custo Variável</t>
        </is>
      </c>
      <c r="C5686" s="106" t="inlineStr">
        <is>
          <t>Material de uso coletivo (copa/limpeza)</t>
        </is>
      </c>
      <c r="D5686" s="107" t="n">
        <v>1</v>
      </c>
      <c r="E5686" s="108" t="n">
        <v>124.05</v>
      </c>
      <c r="F5686" s="109">
        <f>IFERROR(D5686*E5686,0)</f>
        <v/>
      </c>
      <c r="G5686" s="106">
        <f>INDEX(SETORES!$B:$B,MATCH(A5686,SETORES!$A:$A,0))</f>
        <v/>
      </c>
      <c r="H5686" s="106" t="inlineStr">
        <is>
          <t>Janeiro/2027</t>
        </is>
      </c>
    </row>
    <row r="5687">
      <c r="A5687" s="106" t="inlineStr">
        <is>
          <t>Fique Móvel</t>
        </is>
      </c>
      <c r="B5687" s="106" t="inlineStr">
        <is>
          <t>Custo Variável</t>
        </is>
      </c>
      <c r="C5687" s="106" t="inlineStr">
        <is>
          <t>Material de escritório (suprimentos de informática)</t>
        </is>
      </c>
      <c r="D5687" s="107" t="n">
        <v>1</v>
      </c>
      <c r="E5687" s="108" t="n">
        <v>528.1</v>
      </c>
      <c r="F5687" s="109">
        <f>IFERROR(D5687*E5687,0)</f>
        <v/>
      </c>
      <c r="G5687" s="106">
        <f>INDEX(SETORES!$B:$B,MATCH(A5687,SETORES!$A:$A,0))</f>
        <v/>
      </c>
      <c r="H5687" s="106" t="inlineStr">
        <is>
          <t>Janeiro/2027</t>
        </is>
      </c>
    </row>
    <row r="5688">
      <c r="A5688" s="106" t="inlineStr">
        <is>
          <t>Gestão de Atendimento</t>
        </is>
      </c>
      <c r="B5688" s="106" t="inlineStr">
        <is>
          <t>Custo Fixo</t>
        </is>
      </c>
      <c r="C5688" s="106" t="inlineStr">
        <is>
          <t>Instalações - corredores e alojamentos (rateio)</t>
        </is>
      </c>
      <c r="D5688" s="107" t="n">
        <v>1</v>
      </c>
      <c r="E5688" s="108" t="n">
        <v>329.56</v>
      </c>
      <c r="F5688" s="109">
        <f>IFERROR(D5688*E5688,0)</f>
        <v/>
      </c>
      <c r="G5688" s="106">
        <f>INDEX(SETORES!$B:$B,MATCH(A5688,SETORES!$A:$A,0))</f>
        <v/>
      </c>
      <c r="H5688" s="106" t="inlineStr">
        <is>
          <t>Janeiro/2027</t>
        </is>
      </c>
    </row>
    <row r="5689">
      <c r="A5689" s="106" t="inlineStr">
        <is>
          <t>CAC</t>
        </is>
      </c>
      <c r="B5689" s="106" t="inlineStr">
        <is>
          <t>Custo Fixo</t>
        </is>
      </c>
      <c r="C5689" s="106" t="inlineStr">
        <is>
          <t>Instalações - corredores e alojamentos (rateio)</t>
        </is>
      </c>
      <c r="D5689" s="107" t="n">
        <v>1</v>
      </c>
      <c r="E5689" s="108" t="n">
        <v>96.93000000000001</v>
      </c>
      <c r="F5689" s="109">
        <f>IFERROR(D5689*E5689,0)</f>
        <v/>
      </c>
      <c r="G5689" s="106">
        <f>INDEX(SETORES!$B:$B,MATCH(A5689,SETORES!$A:$A,0))</f>
        <v/>
      </c>
      <c r="H5689" s="106" t="inlineStr">
        <is>
          <t>Janeiro/2027</t>
        </is>
      </c>
    </row>
    <row r="5690">
      <c r="A5690" s="106" t="inlineStr">
        <is>
          <t>Cobrança</t>
        </is>
      </c>
      <c r="B5690" s="106" t="inlineStr">
        <is>
          <t>Custo Fixo</t>
        </is>
      </c>
      <c r="C5690" s="106" t="inlineStr">
        <is>
          <t>Instalações - corredores e alojamentos (rateio)</t>
        </is>
      </c>
      <c r="D5690" s="107" t="n">
        <v>1</v>
      </c>
      <c r="E5690" s="108" t="n">
        <v>252.02</v>
      </c>
      <c r="F5690" s="109">
        <f>IFERROR(D5690*E5690,0)</f>
        <v/>
      </c>
      <c r="G5690" s="106">
        <f>INDEX(SETORES!$B:$B,MATCH(A5690,SETORES!$A:$A,0))</f>
        <v/>
      </c>
      <c r="H5690" s="106" t="inlineStr">
        <is>
          <t>Janeiro/2027</t>
        </is>
      </c>
    </row>
    <row r="5691">
      <c r="A5691" s="106" t="inlineStr">
        <is>
          <t>Compras</t>
        </is>
      </c>
      <c r="B5691" s="106" t="inlineStr">
        <is>
          <t>Custo Fixo</t>
        </is>
      </c>
      <c r="C5691" s="106" t="inlineStr">
        <is>
          <t>Instalações - corredores e alojamentos (rateio)</t>
        </is>
      </c>
      <c r="D5691" s="107" t="n">
        <v>1</v>
      </c>
      <c r="E5691" s="108" t="n">
        <v>96.93000000000001</v>
      </c>
      <c r="F5691" s="109">
        <f>IFERROR(D5691*E5691,0)</f>
        <v/>
      </c>
      <c r="G5691" s="106">
        <f>INDEX(SETORES!$B:$B,MATCH(A5691,SETORES!$A:$A,0))</f>
        <v/>
      </c>
      <c r="H5691" s="106" t="inlineStr">
        <is>
          <t>Janeiro/2027</t>
        </is>
      </c>
    </row>
    <row r="5692">
      <c r="A5692" s="106" t="inlineStr">
        <is>
          <t>Contabilidade</t>
        </is>
      </c>
      <c r="B5692" s="106" t="inlineStr">
        <is>
          <t>Custo Fixo</t>
        </is>
      </c>
      <c r="C5692" s="106" t="inlineStr">
        <is>
          <t>Instalações - corredores e alojamentos (rateio)</t>
        </is>
      </c>
      <c r="D5692" s="107" t="n">
        <v>1</v>
      </c>
      <c r="E5692" s="108" t="n">
        <v>116.32</v>
      </c>
      <c r="F5692" s="109">
        <f>IFERROR(D5692*E5692,0)</f>
        <v/>
      </c>
      <c r="G5692" s="106">
        <f>INDEX(SETORES!$B:$B,MATCH(A5692,SETORES!$A:$A,0))</f>
        <v/>
      </c>
      <c r="H5692" s="106" t="inlineStr">
        <is>
          <t>Janeiro/2027</t>
        </is>
      </c>
    </row>
    <row r="5693">
      <c r="A5693" s="106" t="inlineStr">
        <is>
          <t>DP</t>
        </is>
      </c>
      <c r="B5693" s="106" t="inlineStr">
        <is>
          <t>Custo Fixo</t>
        </is>
      </c>
      <c r="C5693" s="106" t="inlineStr">
        <is>
          <t>Instalações - corredores e alojamentos (rateio)</t>
        </is>
      </c>
      <c r="D5693" s="107" t="n">
        <v>1</v>
      </c>
      <c r="E5693" s="108" t="n">
        <v>174.47</v>
      </c>
      <c r="F5693" s="109">
        <f>IFERROR(D5693*E5693,0)</f>
        <v/>
      </c>
      <c r="G5693" s="106">
        <f>INDEX(SETORES!$B:$B,MATCH(A5693,SETORES!$A:$A,0))</f>
        <v/>
      </c>
      <c r="H5693" s="106" t="inlineStr">
        <is>
          <t>Janeiro/2027</t>
        </is>
      </c>
    </row>
    <row r="5694">
      <c r="A5694" s="106" t="inlineStr">
        <is>
          <t>Diretoria Operacional</t>
        </is>
      </c>
      <c r="B5694" s="106" t="inlineStr">
        <is>
          <t>Custo Fixo</t>
        </is>
      </c>
      <c r="C5694" s="106" t="inlineStr">
        <is>
          <t>Instalações - corredores e alojamentos (rateio)</t>
        </is>
      </c>
      <c r="D5694" s="107" t="n">
        <v>1</v>
      </c>
      <c r="E5694" s="108" t="n">
        <v>38.77</v>
      </c>
      <c r="F5694" s="109">
        <f>IFERROR(D5694*E5694,0)</f>
        <v/>
      </c>
      <c r="G5694" s="106">
        <f>INDEX(SETORES!$B:$B,MATCH(A5694,SETORES!$A:$A,0))</f>
        <v/>
      </c>
      <c r="H5694" s="106" t="inlineStr">
        <is>
          <t>Janeiro/2027</t>
        </is>
      </c>
    </row>
    <row r="5695">
      <c r="A5695" s="106" t="inlineStr">
        <is>
          <t>Engenharia</t>
        </is>
      </c>
      <c r="B5695" s="106" t="inlineStr">
        <is>
          <t>Custo Fixo</t>
        </is>
      </c>
      <c r="C5695" s="106" t="inlineStr">
        <is>
          <t>Instalações - corredores e alojamentos (rateio)</t>
        </is>
      </c>
      <c r="D5695" s="107" t="n">
        <v>1</v>
      </c>
      <c r="E5695" s="108" t="n">
        <v>174.47</v>
      </c>
      <c r="F5695" s="109">
        <f>IFERROR(D5695*E5695,0)</f>
        <v/>
      </c>
      <c r="G5695" s="106">
        <f>INDEX(SETORES!$B:$B,MATCH(A5695,SETORES!$A:$A,0))</f>
        <v/>
      </c>
      <c r="H5695" s="106" t="inlineStr">
        <is>
          <t>Janeiro/2027</t>
        </is>
      </c>
    </row>
    <row r="5696">
      <c r="A5696" s="106" t="inlineStr">
        <is>
          <t>Estoque</t>
        </is>
      </c>
      <c r="B5696" s="106" t="inlineStr">
        <is>
          <t>Custo Fixo</t>
        </is>
      </c>
      <c r="C5696" s="106" t="inlineStr">
        <is>
          <t>Instalações - corredores e alojamentos (rateio)</t>
        </is>
      </c>
      <c r="D5696" s="107" t="n">
        <v>1</v>
      </c>
      <c r="E5696" s="108" t="n">
        <v>310.17</v>
      </c>
      <c r="F5696" s="109">
        <f>IFERROR(D5696*E5696,0)</f>
        <v/>
      </c>
      <c r="G5696" s="106">
        <f>INDEX(SETORES!$B:$B,MATCH(A5696,SETORES!$A:$A,0))</f>
        <v/>
      </c>
      <c r="H5696" s="106" t="inlineStr">
        <is>
          <t>Janeiro/2027</t>
        </is>
      </c>
    </row>
    <row r="5697">
      <c r="A5697" s="106" t="inlineStr">
        <is>
          <t>Financeiro</t>
        </is>
      </c>
      <c r="B5697" s="106" t="inlineStr">
        <is>
          <t>Custo Fixo</t>
        </is>
      </c>
      <c r="C5697" s="106" t="inlineStr">
        <is>
          <t>Instalações - corredores e alojamentos (rateio)</t>
        </is>
      </c>
      <c r="D5697" s="107" t="n">
        <v>1</v>
      </c>
      <c r="E5697" s="108" t="n">
        <v>155.09</v>
      </c>
      <c r="F5697" s="109">
        <f>IFERROR(D5697*E5697,0)</f>
        <v/>
      </c>
      <c r="G5697" s="106">
        <f>INDEX(SETORES!$B:$B,MATCH(A5697,SETORES!$A:$A,0))</f>
        <v/>
      </c>
      <c r="H5697" s="106" t="inlineStr">
        <is>
          <t>Janeiro/2027</t>
        </is>
      </c>
    </row>
    <row r="5698">
      <c r="A5698" s="106" t="inlineStr">
        <is>
          <t>Logística</t>
        </is>
      </c>
      <c r="B5698" s="106" t="inlineStr">
        <is>
          <t>Custo Fixo</t>
        </is>
      </c>
      <c r="C5698" s="106" t="inlineStr">
        <is>
          <t>Instalações - corredores e alojamentos (rateio)</t>
        </is>
      </c>
      <c r="D5698" s="107" t="n">
        <v>1</v>
      </c>
      <c r="E5698" s="108" t="n">
        <v>310.17</v>
      </c>
      <c r="F5698" s="109">
        <f>IFERROR(D5698*E5698,0)</f>
        <v/>
      </c>
      <c r="G5698" s="106">
        <f>INDEX(SETORES!$B:$B,MATCH(A5698,SETORES!$A:$A,0))</f>
        <v/>
      </c>
      <c r="H5698" s="106" t="inlineStr">
        <is>
          <t>Janeiro/2027</t>
        </is>
      </c>
    </row>
    <row r="5699">
      <c r="A5699" s="106" t="inlineStr">
        <is>
          <t>NOC</t>
        </is>
      </c>
      <c r="B5699" s="106" t="inlineStr">
        <is>
          <t>Custo Fixo</t>
        </is>
      </c>
      <c r="C5699" s="106" t="inlineStr">
        <is>
          <t>Instalações - corredores e alojamentos (rateio)</t>
        </is>
      </c>
      <c r="D5699" s="107" t="n">
        <v>1</v>
      </c>
      <c r="E5699" s="108" t="n">
        <v>58.16</v>
      </c>
      <c r="F5699" s="109">
        <f>IFERROR(D5699*E5699,0)</f>
        <v/>
      </c>
      <c r="G5699" s="106">
        <f>INDEX(SETORES!$B:$B,MATCH(A5699,SETORES!$A:$A,0))</f>
        <v/>
      </c>
      <c r="H5699" s="106" t="inlineStr">
        <is>
          <t>Janeiro/2027</t>
        </is>
      </c>
    </row>
    <row r="5700">
      <c r="A5700" s="106" t="inlineStr">
        <is>
          <t>NRC</t>
        </is>
      </c>
      <c r="B5700" s="106" t="inlineStr">
        <is>
          <t>Custo Fixo</t>
        </is>
      </c>
      <c r="C5700" s="106" t="inlineStr">
        <is>
          <t>Instalações - corredores e alojamentos (rateio)</t>
        </is>
      </c>
      <c r="D5700" s="107" t="n">
        <v>1</v>
      </c>
      <c r="E5700" s="108" t="n">
        <v>814.21</v>
      </c>
      <c r="F5700" s="109">
        <f>IFERROR(D5700*E5700,0)</f>
        <v/>
      </c>
      <c r="G5700" s="106">
        <f>INDEX(SETORES!$B:$B,MATCH(A5700,SETORES!$A:$A,0))</f>
        <v/>
      </c>
      <c r="H5700" s="106" t="inlineStr">
        <is>
          <t>Janeiro/2027</t>
        </is>
      </c>
    </row>
    <row r="5701">
      <c r="A5701" s="106" t="inlineStr">
        <is>
          <t>Oficina</t>
        </is>
      </c>
      <c r="B5701" s="106" t="inlineStr">
        <is>
          <t>Custo Fixo</t>
        </is>
      </c>
      <c r="C5701" s="106" t="inlineStr">
        <is>
          <t>Instalações - corredores e alojamentos (rateio)</t>
        </is>
      </c>
      <c r="D5701" s="107" t="n">
        <v>1</v>
      </c>
      <c r="E5701" s="108" t="n">
        <v>77.54000000000001</v>
      </c>
      <c r="F5701" s="109">
        <f>IFERROR(D5701*E5701,0)</f>
        <v/>
      </c>
      <c r="G5701" s="106">
        <f>INDEX(SETORES!$B:$B,MATCH(A5701,SETORES!$A:$A,0))</f>
        <v/>
      </c>
      <c r="H5701" s="106" t="inlineStr">
        <is>
          <t>Janeiro/2027</t>
        </is>
      </c>
    </row>
    <row r="5702">
      <c r="A5702" s="106" t="inlineStr">
        <is>
          <t>RH</t>
        </is>
      </c>
      <c r="B5702" s="106" t="inlineStr">
        <is>
          <t>Custo Fixo</t>
        </is>
      </c>
      <c r="C5702" s="106" t="inlineStr">
        <is>
          <t>Instalações - corredores e alojamentos (rateio)</t>
        </is>
      </c>
      <c r="D5702" s="107" t="n">
        <v>1</v>
      </c>
      <c r="E5702" s="108" t="n">
        <v>116.32</v>
      </c>
      <c r="F5702" s="109">
        <f>IFERROR(D5702*E5702,0)</f>
        <v/>
      </c>
      <c r="G5702" s="106">
        <f>INDEX(SETORES!$B:$B,MATCH(A5702,SETORES!$A:$A,0))</f>
        <v/>
      </c>
      <c r="H5702" s="106" t="inlineStr">
        <is>
          <t>Janeiro/2027</t>
        </is>
      </c>
    </row>
    <row r="5703">
      <c r="A5703" s="106" t="inlineStr">
        <is>
          <t>Retenção</t>
        </is>
      </c>
      <c r="B5703" s="106" t="inlineStr">
        <is>
          <t>Custo Fixo</t>
        </is>
      </c>
      <c r="C5703" s="106" t="inlineStr">
        <is>
          <t>Instalações - corredores e alojamentos (rateio)</t>
        </is>
      </c>
      <c r="D5703" s="107" t="n">
        <v>1</v>
      </c>
      <c r="E5703" s="108" t="n">
        <v>232.63</v>
      </c>
      <c r="F5703" s="109">
        <f>IFERROR(D5703*E5703,0)</f>
        <v/>
      </c>
      <c r="G5703" s="106">
        <f>INDEX(SETORES!$B:$B,MATCH(A5703,SETORES!$A:$A,0))</f>
        <v/>
      </c>
      <c r="H5703" s="106" t="inlineStr">
        <is>
          <t>Janeiro/2027</t>
        </is>
      </c>
    </row>
    <row r="5704">
      <c r="A5704" s="106" t="inlineStr">
        <is>
          <t>Segurança do Trabalho</t>
        </is>
      </c>
      <c r="B5704" s="106" t="inlineStr">
        <is>
          <t>Custo Fixo</t>
        </is>
      </c>
      <c r="C5704" s="106" t="inlineStr">
        <is>
          <t>Instalações - corredores e alojamentos (rateio)</t>
        </is>
      </c>
      <c r="D5704" s="107" t="n">
        <v>1</v>
      </c>
      <c r="E5704" s="108" t="n">
        <v>155.09</v>
      </c>
      <c r="F5704" s="109">
        <f>IFERROR(D5704*E5704,0)</f>
        <v/>
      </c>
      <c r="G5704" s="106">
        <f>INDEX(SETORES!$B:$B,MATCH(A5704,SETORES!$A:$A,0))</f>
        <v/>
      </c>
      <c r="H5704" s="106" t="inlineStr">
        <is>
          <t>Janeiro/2027</t>
        </is>
      </c>
    </row>
    <row r="5705">
      <c r="A5705" s="106" t="inlineStr">
        <is>
          <t>Suporte Orbix</t>
        </is>
      </c>
      <c r="B5705" s="106" t="inlineStr">
        <is>
          <t>Custo Fixo</t>
        </is>
      </c>
      <c r="C5705" s="106" t="inlineStr">
        <is>
          <t>Instalações - corredores e alojamentos (rateio)</t>
        </is>
      </c>
      <c r="D5705" s="107" t="n">
        <v>1</v>
      </c>
      <c r="E5705" s="108" t="n">
        <v>155.09</v>
      </c>
      <c r="F5705" s="109">
        <f>IFERROR(D5705*E5705,0)</f>
        <v/>
      </c>
      <c r="G5705" s="106">
        <f>INDEX(SETORES!$B:$B,MATCH(A5705,SETORES!$A:$A,0))</f>
        <v/>
      </c>
      <c r="H5705" s="106" t="inlineStr">
        <is>
          <t>Janeiro/2027</t>
        </is>
      </c>
    </row>
    <row r="5706">
      <c r="A5706" s="106" t="inlineStr">
        <is>
          <t>Suporte da Central</t>
        </is>
      </c>
      <c r="B5706" s="106" t="inlineStr">
        <is>
          <t>Custo Fixo</t>
        </is>
      </c>
      <c r="C5706" s="106" t="inlineStr">
        <is>
          <t>Instalações - corredores e alojamentos (rateio)</t>
        </is>
      </c>
      <c r="D5706" s="107" t="n">
        <v>1</v>
      </c>
      <c r="E5706" s="108" t="n">
        <v>639.74</v>
      </c>
      <c r="F5706" s="109">
        <f>IFERROR(D5706*E5706,0)</f>
        <v/>
      </c>
      <c r="G5706" s="106">
        <f>INDEX(SETORES!$B:$B,MATCH(A5706,SETORES!$A:$A,0))</f>
        <v/>
      </c>
      <c r="H5706" s="106" t="inlineStr">
        <is>
          <t>Janeiro/2027</t>
        </is>
      </c>
    </row>
    <row r="5707">
      <c r="A5707" s="106" t="inlineStr">
        <is>
          <t>Televendas</t>
        </is>
      </c>
      <c r="B5707" s="106" t="inlineStr">
        <is>
          <t>Custo Fixo</t>
        </is>
      </c>
      <c r="C5707" s="106" t="inlineStr">
        <is>
          <t>Instalações - corredores e alojamentos (rateio)</t>
        </is>
      </c>
      <c r="D5707" s="107" t="n">
        <v>1</v>
      </c>
      <c r="E5707" s="108" t="n">
        <v>213.25</v>
      </c>
      <c r="F5707" s="109">
        <f>IFERROR(D5707*E5707,0)</f>
        <v/>
      </c>
      <c r="G5707" s="106">
        <f>INDEX(SETORES!$B:$B,MATCH(A5707,SETORES!$A:$A,0))</f>
        <v/>
      </c>
      <c r="H5707" s="106" t="inlineStr">
        <is>
          <t>Janeiro/2027</t>
        </is>
      </c>
    </row>
    <row r="5708">
      <c r="A5708" s="106" t="inlineStr">
        <is>
          <t>COE</t>
        </is>
      </c>
      <c r="B5708" s="106" t="inlineStr">
        <is>
          <t>Custo Fixo</t>
        </is>
      </c>
      <c r="C5708" s="106" t="inlineStr">
        <is>
          <t>Instalações - corredores e alojamentos (rateio)</t>
        </is>
      </c>
      <c r="D5708" s="107" t="n">
        <v>1</v>
      </c>
      <c r="E5708" s="108" t="n">
        <v>213.25</v>
      </c>
      <c r="F5708" s="109">
        <f>IFERROR(D5708*E5708,0)</f>
        <v/>
      </c>
      <c r="G5708" s="106">
        <f>INDEX(SETORES!$B:$B,MATCH(A5708,SETORES!$A:$A,0))</f>
        <v/>
      </c>
      <c r="H5708" s="106" t="inlineStr">
        <is>
          <t>Janeiro/2027</t>
        </is>
      </c>
    </row>
    <row r="5709">
      <c r="A5709" s="106" t="inlineStr">
        <is>
          <t>Cozinha</t>
        </is>
      </c>
      <c r="B5709" s="106" t="inlineStr">
        <is>
          <t>Custo Fixo</t>
        </is>
      </c>
      <c r="C5709" s="106" t="inlineStr">
        <is>
          <t>Instalações - corredores e alojamentos (rateio)</t>
        </is>
      </c>
      <c r="D5709" s="107" t="n">
        <v>1</v>
      </c>
      <c r="E5709" s="108" t="n">
        <v>77.54000000000001</v>
      </c>
      <c r="F5709" s="109">
        <f>IFERROR(D5709*E5709,0)</f>
        <v/>
      </c>
      <c r="G5709" s="106">
        <f>INDEX(SETORES!$B:$B,MATCH(A5709,SETORES!$A:$A,0))</f>
        <v/>
      </c>
      <c r="H5709" s="106" t="inlineStr">
        <is>
          <t>Janeiro/2027</t>
        </is>
      </c>
    </row>
    <row r="5710">
      <c r="A5710" s="106" t="inlineStr">
        <is>
          <t>Backoffice Comercial Varejo</t>
        </is>
      </c>
      <c r="B5710" s="106" t="inlineStr">
        <is>
          <t>Custo Fixo</t>
        </is>
      </c>
      <c r="C5710" s="106" t="inlineStr">
        <is>
          <t>Instalações - corredores e alojamentos (rateio)</t>
        </is>
      </c>
      <c r="D5710" s="107" t="n">
        <v>1</v>
      </c>
      <c r="E5710" s="108" t="n">
        <v>38.77</v>
      </c>
      <c r="F5710" s="109">
        <f>IFERROR(D5710*E5710,0)</f>
        <v/>
      </c>
      <c r="G5710" s="106">
        <f>INDEX(SETORES!$B:$B,MATCH(A5710,SETORES!$A:$A,0))</f>
        <v/>
      </c>
      <c r="H5710" s="106" t="inlineStr">
        <is>
          <t>Janeiro/2027</t>
        </is>
      </c>
    </row>
    <row r="5711">
      <c r="A5711" s="106" t="inlineStr">
        <is>
          <t>Marketing</t>
        </is>
      </c>
      <c r="B5711" s="106" t="inlineStr">
        <is>
          <t>Custo Fixo</t>
        </is>
      </c>
      <c r="C5711" s="106" t="inlineStr">
        <is>
          <t>Instalações - corredores e alojamentos (rateio)</t>
        </is>
      </c>
      <c r="D5711" s="107" t="n">
        <v>1</v>
      </c>
      <c r="E5711" s="108" t="n">
        <v>329.56</v>
      </c>
      <c r="F5711" s="109">
        <f>IFERROR(D5711*E5711,0)</f>
        <v/>
      </c>
      <c r="G5711" s="106">
        <f>INDEX(SETORES!$B:$B,MATCH(A5711,SETORES!$A:$A,0))</f>
        <v/>
      </c>
      <c r="H5711" s="106" t="inlineStr">
        <is>
          <t>Janeiro/2027</t>
        </is>
      </c>
    </row>
    <row r="5712">
      <c r="A5712" s="106" t="inlineStr">
        <is>
          <t>Comercial Corporativo</t>
        </is>
      </c>
      <c r="B5712" s="106" t="inlineStr">
        <is>
          <t>Custo Fixo</t>
        </is>
      </c>
      <c r="C5712" s="106" t="inlineStr">
        <is>
          <t>Instalações - corredores e alojamentos (rateio)</t>
        </is>
      </c>
      <c r="D5712" s="107" t="n">
        <v>1</v>
      </c>
      <c r="E5712" s="108" t="n">
        <v>232.63</v>
      </c>
      <c r="F5712" s="109">
        <f>IFERROR(D5712*E5712,0)</f>
        <v/>
      </c>
      <c r="G5712" s="106">
        <f>INDEX(SETORES!$B:$B,MATCH(A5712,SETORES!$A:$A,0))</f>
        <v/>
      </c>
      <c r="H5712" s="106" t="inlineStr">
        <is>
          <t>Janeiro/2027</t>
        </is>
      </c>
    </row>
    <row r="5713">
      <c r="A5713" s="106" t="inlineStr">
        <is>
          <t>TIC</t>
        </is>
      </c>
      <c r="B5713" s="106" t="inlineStr">
        <is>
          <t>Custo Fixo</t>
        </is>
      </c>
      <c r="C5713" s="106" t="inlineStr">
        <is>
          <t>Instalações - corredores e alojamentos (rateio)</t>
        </is>
      </c>
      <c r="D5713" s="107" t="n">
        <v>1</v>
      </c>
      <c r="E5713" s="108" t="n">
        <v>135.7</v>
      </c>
      <c r="F5713" s="109">
        <f>IFERROR(D5713*E5713,0)</f>
        <v/>
      </c>
      <c r="G5713" s="106">
        <f>INDEX(SETORES!$B:$B,MATCH(A5713,SETORES!$A:$A,0))</f>
        <v/>
      </c>
      <c r="H5713" s="106" t="inlineStr">
        <is>
          <t>Janeiro/2027</t>
        </is>
      </c>
    </row>
    <row r="5714">
      <c r="A5714" s="106" t="inlineStr">
        <is>
          <t>Diretoria Adm</t>
        </is>
      </c>
      <c r="B5714" s="106" t="inlineStr">
        <is>
          <t>Custo Fixo</t>
        </is>
      </c>
      <c r="C5714" s="106" t="inlineStr">
        <is>
          <t>Instalações - corredores e alojamentos (rateio)</t>
        </is>
      </c>
      <c r="D5714" s="107" t="n">
        <v>1</v>
      </c>
      <c r="E5714" s="108" t="n">
        <v>38.77</v>
      </c>
      <c r="F5714" s="109">
        <f>IFERROR(D5714*E5714,0)</f>
        <v/>
      </c>
      <c r="G5714" s="106">
        <f>INDEX(SETORES!$B:$B,MATCH(A5714,SETORES!$A:$A,0))</f>
        <v/>
      </c>
      <c r="H5714" s="106" t="inlineStr">
        <is>
          <t>Janeiro/2027</t>
        </is>
      </c>
    </row>
    <row r="5715">
      <c r="A5715" s="106" t="inlineStr">
        <is>
          <t>Controladoria</t>
        </is>
      </c>
      <c r="B5715" s="106" t="inlineStr">
        <is>
          <t>Custo Fixo</t>
        </is>
      </c>
      <c r="C5715" s="106" t="inlineStr">
        <is>
          <t>Instalações - corredores e alojamentos (rateio)</t>
        </is>
      </c>
      <c r="D5715" s="107" t="n">
        <v>1</v>
      </c>
      <c r="E5715" s="108" t="n">
        <v>19.39</v>
      </c>
      <c r="F5715" s="109">
        <f>IFERROR(D5715*E5715,0)</f>
        <v/>
      </c>
      <c r="G5715" s="106">
        <f>INDEX(SETORES!$B:$B,MATCH(A5715,SETORES!$A:$A,0))</f>
        <v/>
      </c>
      <c r="H5715" s="106" t="inlineStr">
        <is>
          <t>Janeiro/2027</t>
        </is>
      </c>
    </row>
    <row r="5716">
      <c r="A5716" s="106" t="inlineStr">
        <is>
          <t>Configuração</t>
        </is>
      </c>
      <c r="B5716" s="106" t="inlineStr">
        <is>
          <t>Custo Fixo</t>
        </is>
      </c>
      <c r="C5716" s="106" t="inlineStr">
        <is>
          <t>Stargrid</t>
        </is>
      </c>
      <c r="D5716" s="107" t="n">
        <v>10</v>
      </c>
      <c r="E5716" s="108" t="n">
        <v>1.87</v>
      </c>
      <c r="F5716" s="109">
        <f>IFERROR(D5716*E5716,0)</f>
        <v/>
      </c>
      <c r="G5716" s="106">
        <f>INDEX(SETORES!$B:$B,MATCH(A5716,SETORES!$A:$A,0))</f>
        <v/>
      </c>
      <c r="H5716" s="106" t="inlineStr">
        <is>
          <t>Janeiro/2027</t>
        </is>
      </c>
    </row>
    <row r="5717">
      <c r="A5717" s="106" t="inlineStr">
        <is>
          <t>Configuração</t>
        </is>
      </c>
      <c r="B5717" s="106" t="inlineStr">
        <is>
          <t>Custo Fixo</t>
        </is>
      </c>
      <c r="C5717" s="106" t="inlineStr">
        <is>
          <t>Licença de e-mail corporativo</t>
        </is>
      </c>
      <c r="D5717" s="107" t="n">
        <v>10</v>
      </c>
      <c r="E5717" s="108" t="n">
        <v>50</v>
      </c>
      <c r="F5717" s="109">
        <f>IFERROR(D5717*E5717,0)</f>
        <v/>
      </c>
      <c r="G5717" s="106">
        <f>INDEX(SETORES!$B:$B,MATCH(A5717,SETORES!$A:$A,0))</f>
        <v/>
      </c>
      <c r="H5717" s="106" t="inlineStr">
        <is>
          <t>Janeiro/2027</t>
        </is>
      </c>
    </row>
    <row r="5718">
      <c r="A5718" s="106" t="inlineStr">
        <is>
          <t>Desenvolvimento</t>
        </is>
      </c>
      <c r="B5718" s="106" t="inlineStr">
        <is>
          <t>Custo Fixo</t>
        </is>
      </c>
      <c r="C5718" s="106" t="inlineStr">
        <is>
          <t>Stargrid</t>
        </is>
      </c>
      <c r="D5718" s="107" t="n">
        <v>6</v>
      </c>
      <c r="E5718" s="108" t="n">
        <v>1.87</v>
      </c>
      <c r="F5718" s="109">
        <f>IFERROR(D5718*E5718,0)</f>
        <v/>
      </c>
      <c r="G5718" s="106">
        <f>INDEX(SETORES!$B:$B,MATCH(A5718,SETORES!$A:$A,0))</f>
        <v/>
      </c>
      <c r="H5718" s="106" t="inlineStr">
        <is>
          <t>Janeiro/2027</t>
        </is>
      </c>
    </row>
    <row r="5719">
      <c r="A5719" s="106" t="inlineStr">
        <is>
          <t>Desenvolvimento</t>
        </is>
      </c>
      <c r="B5719" s="106" t="inlineStr">
        <is>
          <t>Custo Fixo</t>
        </is>
      </c>
      <c r="C5719" s="106" t="inlineStr">
        <is>
          <t>Licença de e-mail corporativo</t>
        </is>
      </c>
      <c r="D5719" s="107" t="n">
        <v>6</v>
      </c>
      <c r="E5719" s="108" t="n">
        <v>50</v>
      </c>
      <c r="F5719" s="109">
        <f>IFERROR(D5719*E5719,0)</f>
        <v/>
      </c>
      <c r="G5719" s="106">
        <f>INDEX(SETORES!$B:$B,MATCH(A5719,SETORES!$A:$A,0))</f>
        <v/>
      </c>
      <c r="H5719" s="106" t="inlineStr">
        <is>
          <t>Janeiro/2027</t>
        </is>
      </c>
    </row>
    <row r="5720">
      <c r="A5720" s="110" t="inlineStr">
        <is>
          <t>Projetista</t>
        </is>
      </c>
      <c r="B5720" s="110" t="inlineStr">
        <is>
          <t>Custo Fixo</t>
        </is>
      </c>
      <c r="C5720" s="110" t="inlineStr">
        <is>
          <t>Folha de pagamento (salários)</t>
        </is>
      </c>
      <c r="D5720" s="110" t="n">
        <v>1</v>
      </c>
      <c r="E5720" s="110" t="n">
        <v>25653.46</v>
      </c>
      <c r="F5720" s="110">
        <f>IFERROR(D5720*E5720,0)</f>
        <v/>
      </c>
      <c r="G5720" s="110">
        <f>INDEX(SETORES!$B:$B,MATCH(A5720,SETORES!$A:$A,0))</f>
        <v/>
      </c>
      <c r="H5720" s="110" t="inlineStr">
        <is>
          <t>Janeiro/2027</t>
        </is>
      </c>
    </row>
    <row r="5721">
      <c r="A5721" s="110" t="inlineStr">
        <is>
          <t>Suporte da Central</t>
        </is>
      </c>
      <c r="B5721" s="110" t="inlineStr">
        <is>
          <t>Custo Variável</t>
        </is>
      </c>
      <c r="C5721" s="110" t="inlineStr">
        <is>
          <t>Fardamento substituição</t>
        </is>
      </c>
      <c r="D5721" s="110" t="n">
        <v>1</v>
      </c>
      <c r="E5721" s="110" t="n">
        <v>272</v>
      </c>
      <c r="F5721" s="110">
        <f>IFERROR(D5721*E5721,0)</f>
        <v/>
      </c>
      <c r="G5721" s="110">
        <f>INDEX(SETORES!$B:$B,MATCH(A5721,SETORES!$A:$A,0))</f>
        <v/>
      </c>
      <c r="H5721" s="110" t="inlineStr">
        <is>
          <t>Janeiro/2027</t>
        </is>
      </c>
    </row>
    <row r="5722">
      <c r="A5722" s="110" t="inlineStr">
        <is>
          <t>Configuração</t>
        </is>
      </c>
      <c r="B5722" s="110" t="inlineStr">
        <is>
          <t>Custo Variável</t>
        </is>
      </c>
      <c r="C5722" s="110" t="inlineStr">
        <is>
          <t>Fardamento novo</t>
        </is>
      </c>
      <c r="D5722" s="110" t="n">
        <v>1</v>
      </c>
      <c r="E5722" s="110" t="n">
        <v>90</v>
      </c>
      <c r="F5722" s="110">
        <f>IFERROR(D5722*E5722,0)</f>
        <v/>
      </c>
      <c r="G5722" s="110">
        <f>INDEX(SETORES!$B:$B,MATCH(A5722,SETORES!$A:$A,0))</f>
        <v/>
      </c>
      <c r="H5722" s="110" t="inlineStr">
        <is>
          <t>Janeiro/2027</t>
        </is>
      </c>
    </row>
    <row r="1048576" ht="14.25" customHeight="1" s="64"/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0" showRowColHeaders="1" showZeros="1" rightToLeft="0" tabSelected="0" showOutlineSymbols="1" defaultGridColor="1" view="normal" topLeftCell="A26" colorId="64" zoomScale="100" zoomScaleNormal="100" zoomScalePageLayoutView="100" workbookViewId="0">
      <selection pane="topLeft" activeCell="B4" activeCellId="0" sqref="B4"/>
    </sheetView>
  </sheetViews>
  <sheetFormatPr baseColWidth="8" defaultColWidth="8.66796875" defaultRowHeight="14.25" zeroHeight="0" outlineLevelRow="0"/>
  <cols>
    <col width="33.88" customWidth="1" style="110" min="1" max="1"/>
    <col width="20" customWidth="1" style="110" min="2" max="2"/>
    <col width="17" customWidth="1" style="110" min="3" max="3"/>
    <col width="18" customWidth="1" style="110" min="4" max="5"/>
    <col width="13" customWidth="1" style="110" min="6" max="7"/>
  </cols>
  <sheetData>
    <row r="1" ht="25.5" customHeight="1" s="64">
      <c r="A1" s="65" t="inlineStr">
        <is>
          <t>RESUMO — REEMBOLSO POR EMPRESA</t>
        </is>
      </c>
    </row>
    <row r="3" ht="27.75" customHeight="1" s="64">
      <c r="A3" s="69" t="inlineStr">
        <is>
          <t>Empresa</t>
        </is>
      </c>
      <c r="B3" s="69" t="inlineStr">
        <is>
          <t>Total de Custo Rateado (R$)</t>
        </is>
      </c>
      <c r="C3" s="69" t="inlineStr">
        <is>
          <t>Total de Royalty (R$)</t>
        </is>
      </c>
      <c r="D3" s="69" t="inlineStr">
        <is>
          <t>Custos Comerciais Diretos (R$)</t>
        </is>
      </c>
      <c r="E3" s="69" t="inlineStr">
        <is>
          <t>Total Geral a Cobrar (R$)</t>
        </is>
      </c>
      <c r="F3" s="69" t="inlineStr">
        <is>
          <t>% do Total Geral (custo)</t>
        </is>
      </c>
      <c r="G3" s="110" t="inlineStr">
        <is>
          <t>Mês</t>
        </is>
      </c>
    </row>
    <row r="4" ht="15" customHeight="1" s="64">
      <c r="A4" s="74" t="inlineStr">
        <is>
          <t>Empresa Licenciada DX2</t>
        </is>
      </c>
      <c r="B4" s="84">
        <f>SUMIFS(PARÂMETROS!$F:$F,PARÂMETROS!$C:$C,A4,PARÂMETROS!$J:$J,G4)</f>
        <v/>
      </c>
      <c r="C4" s="84">
        <f>SUMIFS(PARÂMETROS!$H:$H,PARÂMETROS!$C:$C,A4,PARÂMETROS!$J:$J,G4)</f>
        <v/>
      </c>
      <c r="D4" s="84">
        <f>SUMIFS('COMERCIAL VAREJO'!$H:$H,'COMERCIAL VAREJO'!$B:$B,A4,'COMERCIAL VAREJO'!$A:$A,G4,'COMERCIAL VAREJO'!$C:$C,"&lt;&gt;")</f>
        <v/>
      </c>
      <c r="E4" s="84">
        <f>B4+C4+D4</f>
        <v/>
      </c>
      <c r="F4" s="74">
        <f>IFERROR(B4/B$12,0)</f>
        <v/>
      </c>
      <c r="G4" s="111" t="inlineStr">
        <is>
          <t>Junho/2026</t>
        </is>
      </c>
    </row>
    <row r="5" ht="15" customHeight="1" s="64">
      <c r="A5" s="106" t="inlineStr">
        <is>
          <t>Empresa Licenciada H&amp;A</t>
        </is>
      </c>
      <c r="B5" s="109">
        <f>SUMIFS(PARÂMETROS!$F:$F,PARÂMETROS!$C:$C,A5,PARÂMETROS!$J:$J,G5)</f>
        <v/>
      </c>
      <c r="C5" s="109">
        <f>SUMIFS(PARÂMETROS!$H:$H,PARÂMETROS!$C:$C,A5,PARÂMETROS!$J:$J,G5)</f>
        <v/>
      </c>
      <c r="D5" s="109">
        <f>SUMIFS('COMERCIAL VAREJO'!$H:$H,'COMERCIAL VAREJO'!$B:$B,A5,'COMERCIAL VAREJO'!$A:$A,G5,'COMERCIAL VAREJO'!$C:$C,"&lt;&gt;")</f>
        <v/>
      </c>
      <c r="E5" s="109">
        <f>B5+C5+D5</f>
        <v/>
      </c>
      <c r="F5" s="106">
        <f>IFERROR(B5/B$12,0)</f>
        <v/>
      </c>
      <c r="G5" s="112" t="inlineStr">
        <is>
          <t>Junho/2026</t>
        </is>
      </c>
    </row>
    <row r="6" ht="15" customHeight="1" s="64">
      <c r="A6" s="74" t="inlineStr">
        <is>
          <t>Empresa Licenciada SOLON ARAUJO</t>
        </is>
      </c>
      <c r="B6" s="84">
        <f>SUMIFS(PARÂMETROS!$F:$F,PARÂMETROS!$C:$C,A6,PARÂMETROS!$J:$J,G6)</f>
        <v/>
      </c>
      <c r="C6" s="84">
        <f>SUMIFS(PARÂMETROS!$H:$H,PARÂMETROS!$C:$C,A6,PARÂMETROS!$J:$J,G6)</f>
        <v/>
      </c>
      <c r="D6" s="84">
        <f>SUMIFS('COMERCIAL VAREJO'!$H:$H,'COMERCIAL VAREJO'!$B:$B,A6,'COMERCIAL VAREJO'!$A:$A,G6,'COMERCIAL VAREJO'!$C:$C,"&lt;&gt;")</f>
        <v/>
      </c>
      <c r="E6" s="84">
        <f>B6+C6+D6</f>
        <v/>
      </c>
      <c r="F6" s="74">
        <f>IFERROR(B6/B$12,0)</f>
        <v/>
      </c>
      <c r="G6" s="111" t="inlineStr">
        <is>
          <t>Junho/2026</t>
        </is>
      </c>
    </row>
    <row r="7" ht="15" customHeight="1" s="64">
      <c r="A7" s="106" t="inlineStr">
        <is>
          <t>Empresa Licenciada SOARES E LINS</t>
        </is>
      </c>
      <c r="B7" s="109">
        <f>SUMIFS(PARÂMETROS!$F:$F,PARÂMETROS!$C:$C,A7,PARÂMETROS!$J:$J,G7)</f>
        <v/>
      </c>
      <c r="C7" s="109">
        <f>SUMIFS(PARÂMETROS!$H:$H,PARÂMETROS!$C:$C,A7,PARÂMETROS!$J:$J,G7)</f>
        <v/>
      </c>
      <c r="D7" s="109">
        <f>SUMIFS('COMERCIAL VAREJO'!$H:$H,'COMERCIAL VAREJO'!$B:$B,A7,'COMERCIAL VAREJO'!$A:$A,G7,'COMERCIAL VAREJO'!$C:$C,"&lt;&gt;")</f>
        <v/>
      </c>
      <c r="E7" s="109">
        <f>B7+C7+D7</f>
        <v/>
      </c>
      <c r="F7" s="106">
        <f>IFERROR(B7/B$12,0)</f>
        <v/>
      </c>
      <c r="G7" s="112" t="inlineStr">
        <is>
          <t>Junho/2026</t>
        </is>
      </c>
    </row>
    <row r="8" ht="15" customHeight="1" s="64">
      <c r="A8" s="74" t="inlineStr">
        <is>
          <t>Empresa Licenciada SOARES E SILVA</t>
        </is>
      </c>
      <c r="B8" s="84">
        <f>SUMIFS(PARÂMETROS!$F:$F,PARÂMETROS!$C:$C,A8,PARÂMETROS!$J:$J,G8)</f>
        <v/>
      </c>
      <c r="C8" s="84">
        <f>SUMIFS(PARÂMETROS!$H:$H,PARÂMETROS!$C:$C,A8,PARÂMETROS!$J:$J,G8)</f>
        <v/>
      </c>
      <c r="D8" s="84">
        <f>SUMIFS('COMERCIAL VAREJO'!$H:$H,'COMERCIAL VAREJO'!$B:$B,A8,'COMERCIAL VAREJO'!$A:$A,G8,'COMERCIAL VAREJO'!$C:$C,"&lt;&gt;")</f>
        <v/>
      </c>
      <c r="E8" s="84">
        <f>B8+C8+D8</f>
        <v/>
      </c>
      <c r="F8" s="74">
        <f>IFERROR(B8/B$12,0)</f>
        <v/>
      </c>
      <c r="G8" s="111" t="inlineStr">
        <is>
          <t>Junho/2026</t>
        </is>
      </c>
    </row>
    <row r="9" ht="15" customHeight="1" s="64">
      <c r="A9" s="106" t="inlineStr">
        <is>
          <t>Empresa Licenciada SOUZA E SILVA</t>
        </is>
      </c>
      <c r="B9" s="109">
        <f>SUMIFS(PARÂMETROS!$F:$F,PARÂMETROS!$C:$C,A9,PARÂMETROS!$J:$J,G9)</f>
        <v/>
      </c>
      <c r="C9" s="109">
        <f>SUMIFS(PARÂMETROS!$H:$H,PARÂMETROS!$C:$C,A9,PARÂMETROS!$J:$J,G9)</f>
        <v/>
      </c>
      <c r="D9" s="109">
        <f>SUMIFS('COMERCIAL VAREJO'!$H:$H,'COMERCIAL VAREJO'!$B:$B,A9,'COMERCIAL VAREJO'!$A:$A,G9,'COMERCIAL VAREJO'!$C:$C,"&lt;&gt;")</f>
        <v/>
      </c>
      <c r="E9" s="109">
        <f>B9+C9+D9</f>
        <v/>
      </c>
      <c r="F9" s="106">
        <f>IFERROR(B9/B$12,0)</f>
        <v/>
      </c>
      <c r="G9" s="112" t="inlineStr">
        <is>
          <t>Junho/2026</t>
        </is>
      </c>
    </row>
    <row r="10" ht="15" customHeight="1" s="64">
      <c r="A10" s="74" t="inlineStr">
        <is>
          <t>Empresa Licenciada VOICENET</t>
        </is>
      </c>
      <c r="B10" s="84">
        <f>SUMIFS(PARÂMETROS!$F:$F,PARÂMETROS!$C:$C,A10,PARÂMETROS!$J:$J,G10)</f>
        <v/>
      </c>
      <c r="C10" s="84">
        <f>SUMIFS(PARÂMETROS!$H:$H,PARÂMETROS!$C:$C,A10,PARÂMETROS!$J:$J,G10)</f>
        <v/>
      </c>
      <c r="D10" s="84">
        <f>SUMIFS('COMERCIAL VAREJO'!$H:$H,'COMERCIAL VAREJO'!$B:$B,A10,'COMERCIAL VAREJO'!$A:$A,G10,'COMERCIAL VAREJO'!$C:$C,"&lt;&gt;")</f>
        <v/>
      </c>
      <c r="E10" s="84">
        <f>B10+C10+D10</f>
        <v/>
      </c>
      <c r="F10" s="74">
        <f>IFERROR(B10/B$12,0)</f>
        <v/>
      </c>
      <c r="G10" s="111" t="inlineStr">
        <is>
          <t>Junho/2026</t>
        </is>
      </c>
    </row>
    <row r="11" ht="15" customHeight="1" s="64">
      <c r="A11" s="106" t="inlineStr">
        <is>
          <t>DTEL (uso próprio)</t>
        </is>
      </c>
      <c r="B11" s="109">
        <f>SUMIFS(PARÂMETROS!$F:$F,PARÂMETROS!$C:$C,A11,PARÂMETROS!$J:$J,G11)</f>
        <v/>
      </c>
      <c r="C11" s="109">
        <f>SUMIFS(PARÂMETROS!$H:$H,PARÂMETROS!$C:$C,A11,PARÂMETROS!$J:$J,G11)</f>
        <v/>
      </c>
      <c r="D11" s="109">
        <f>SUMIFS('COMERCIAL VAREJO'!$H:$H,'COMERCIAL VAREJO'!$B:$B,A11,'COMERCIAL VAREJO'!$A:$A,G11,'COMERCIAL VAREJO'!$C:$C,"&lt;&gt;")</f>
        <v/>
      </c>
      <c r="E11" s="109">
        <f>B11+C11+D11</f>
        <v/>
      </c>
      <c r="F11" s="106">
        <f>IFERROR(B11/B$12,0)</f>
        <v/>
      </c>
      <c r="G11" s="112" t="inlineStr">
        <is>
          <t>Junho/2026</t>
        </is>
      </c>
    </row>
    <row r="12" ht="15" customHeight="1" s="64">
      <c r="A12" s="95" t="inlineStr">
        <is>
          <t>TOTAL GERAL — Junho/2026</t>
        </is>
      </c>
      <c r="B12" s="97">
        <f>SUM(B4:B11)</f>
        <v/>
      </c>
      <c r="C12" s="97">
        <f>SUM(C4:C11)</f>
        <v/>
      </c>
      <c r="D12" s="97">
        <f>SUM(D4:D11)</f>
        <v/>
      </c>
      <c r="E12" s="97">
        <f>SUM(E4:E11)</f>
        <v/>
      </c>
      <c r="F12" s="95" t="n"/>
      <c r="G12" s="82" t="n"/>
    </row>
    <row r="14" ht="15" customHeight="1" s="64">
      <c r="A14" s="74" t="inlineStr">
        <is>
          <t>Empresa Licenciada DX2</t>
        </is>
      </c>
      <c r="B14" s="84">
        <f>SUMIFS(PARÂMETROS!$F:$F,PARÂMETROS!$C:$C,A14,PARÂMETROS!$J:$J,G14)</f>
        <v/>
      </c>
      <c r="C14" s="84">
        <f>SUMIFS(PARÂMETROS!$H:$H,PARÂMETROS!$C:$C,A14,PARÂMETROS!$J:$J,G14)</f>
        <v/>
      </c>
      <c r="D14" s="84">
        <f>SUMIFS('COMERCIAL VAREJO'!$H:$H,'COMERCIAL VAREJO'!$B:$B,A14,'COMERCIAL VAREJO'!$A:$A,G14,'COMERCIAL VAREJO'!$C:$C,"&lt;&gt;")</f>
        <v/>
      </c>
      <c r="E14" s="84">
        <f>B14+C14+D14</f>
        <v/>
      </c>
      <c r="F14" s="74">
        <f>IFERROR(B14/B$22,0)</f>
        <v/>
      </c>
      <c r="G14" s="111" t="inlineStr">
        <is>
          <t>Maio/2026</t>
        </is>
      </c>
    </row>
    <row r="15" ht="15" customHeight="1" s="64">
      <c r="A15" s="106" t="inlineStr">
        <is>
          <t>Empresa Licenciada H&amp;A</t>
        </is>
      </c>
      <c r="B15" s="109">
        <f>SUMIFS(PARÂMETROS!$F:$F,PARÂMETROS!$C:$C,A15,PARÂMETROS!$J:$J,G15)</f>
        <v/>
      </c>
      <c r="C15" s="109">
        <f>SUMIFS(PARÂMETROS!$H:$H,PARÂMETROS!$C:$C,A15,PARÂMETROS!$J:$J,G15)</f>
        <v/>
      </c>
      <c r="D15" s="109">
        <f>SUMIFS('COMERCIAL VAREJO'!$H:$H,'COMERCIAL VAREJO'!$B:$B,A15,'COMERCIAL VAREJO'!$A:$A,G15,'COMERCIAL VAREJO'!$C:$C,"&lt;&gt;")</f>
        <v/>
      </c>
      <c r="E15" s="109">
        <f>B15+C15+D15</f>
        <v/>
      </c>
      <c r="F15" s="106">
        <f>IFERROR(B15/B$22,0)</f>
        <v/>
      </c>
      <c r="G15" s="112" t="inlineStr">
        <is>
          <t>Maio/2026</t>
        </is>
      </c>
    </row>
    <row r="16" ht="15" customHeight="1" s="64">
      <c r="A16" s="74" t="inlineStr">
        <is>
          <t>Empresa Licenciada SOLON ARAUJO</t>
        </is>
      </c>
      <c r="B16" s="84">
        <f>SUMIFS(PARÂMETROS!$F:$F,PARÂMETROS!$C:$C,A16,PARÂMETROS!$J:$J,G16)</f>
        <v/>
      </c>
      <c r="C16" s="84">
        <f>SUMIFS(PARÂMETROS!$H:$H,PARÂMETROS!$C:$C,A16,PARÂMETROS!$J:$J,G16)</f>
        <v/>
      </c>
      <c r="D16" s="84">
        <f>SUMIFS('COMERCIAL VAREJO'!$H:$H,'COMERCIAL VAREJO'!$B:$B,A16,'COMERCIAL VAREJO'!$A:$A,G16,'COMERCIAL VAREJO'!$C:$C,"&lt;&gt;")</f>
        <v/>
      </c>
      <c r="E16" s="84">
        <f>B16+C16+D16</f>
        <v/>
      </c>
      <c r="F16" s="74">
        <f>IFERROR(B16/B$22,0)</f>
        <v/>
      </c>
      <c r="G16" s="111" t="inlineStr">
        <is>
          <t>Maio/2026</t>
        </is>
      </c>
    </row>
    <row r="17" ht="15" customHeight="1" s="64">
      <c r="A17" s="106" t="inlineStr">
        <is>
          <t>Empresa Licenciada SOARES E LINS</t>
        </is>
      </c>
      <c r="B17" s="109">
        <f>SUMIFS(PARÂMETROS!$F:$F,PARÂMETROS!$C:$C,A17,PARÂMETROS!$J:$J,G17)</f>
        <v/>
      </c>
      <c r="C17" s="109">
        <f>SUMIFS(PARÂMETROS!$H:$H,PARÂMETROS!$C:$C,A17,PARÂMETROS!$J:$J,G17)</f>
        <v/>
      </c>
      <c r="D17" s="109">
        <f>SUMIFS('COMERCIAL VAREJO'!$H:$H,'COMERCIAL VAREJO'!$B:$B,A17,'COMERCIAL VAREJO'!$A:$A,G17,'COMERCIAL VAREJO'!$C:$C,"&lt;&gt;")</f>
        <v/>
      </c>
      <c r="E17" s="109">
        <f>B17+C17+D17</f>
        <v/>
      </c>
      <c r="F17" s="106">
        <f>IFERROR(B17/B$22,0)</f>
        <v/>
      </c>
      <c r="G17" s="112" t="inlineStr">
        <is>
          <t>Maio/2026</t>
        </is>
      </c>
    </row>
    <row r="18" ht="15" customHeight="1" s="64">
      <c r="A18" s="74" t="inlineStr">
        <is>
          <t>Empresa Licenciada SOARES E SILVA</t>
        </is>
      </c>
      <c r="B18" s="84">
        <f>SUMIFS(PARÂMETROS!$F:$F,PARÂMETROS!$C:$C,A18,PARÂMETROS!$J:$J,G18)</f>
        <v/>
      </c>
      <c r="C18" s="84">
        <f>SUMIFS(PARÂMETROS!$H:$H,PARÂMETROS!$C:$C,A18,PARÂMETROS!$J:$J,G18)</f>
        <v/>
      </c>
      <c r="D18" s="84">
        <f>SUMIFS('COMERCIAL VAREJO'!$H:$H,'COMERCIAL VAREJO'!$B:$B,A18,'COMERCIAL VAREJO'!$A:$A,G18,'COMERCIAL VAREJO'!$C:$C,"&lt;&gt;")</f>
        <v/>
      </c>
      <c r="E18" s="84">
        <f>B18+C18+D18</f>
        <v/>
      </c>
      <c r="F18" s="74">
        <f>IFERROR(B18/B$22,0)</f>
        <v/>
      </c>
      <c r="G18" s="111" t="inlineStr">
        <is>
          <t>Maio/2026</t>
        </is>
      </c>
    </row>
    <row r="19" ht="15" customHeight="1" s="64">
      <c r="A19" s="106" t="inlineStr">
        <is>
          <t>Empresa Licenciada SOUZA E SILVA</t>
        </is>
      </c>
      <c r="B19" s="109">
        <f>SUMIFS(PARÂMETROS!$F:$F,PARÂMETROS!$C:$C,A19,PARÂMETROS!$J:$J,G19)</f>
        <v/>
      </c>
      <c r="C19" s="109">
        <f>SUMIFS(PARÂMETROS!$H:$H,PARÂMETROS!$C:$C,A19,PARÂMETROS!$J:$J,G19)</f>
        <v/>
      </c>
      <c r="D19" s="109">
        <f>SUMIFS('COMERCIAL VAREJO'!$H:$H,'COMERCIAL VAREJO'!$B:$B,A19,'COMERCIAL VAREJO'!$A:$A,G19,'COMERCIAL VAREJO'!$C:$C,"&lt;&gt;")</f>
        <v/>
      </c>
      <c r="E19" s="109">
        <f>B19+C19+D19</f>
        <v/>
      </c>
      <c r="F19" s="106">
        <f>IFERROR(B19/B$22,0)</f>
        <v/>
      </c>
      <c r="G19" s="112" t="inlineStr">
        <is>
          <t>Maio/2026</t>
        </is>
      </c>
    </row>
    <row r="20" ht="15" customHeight="1" s="64">
      <c r="A20" s="74" t="inlineStr">
        <is>
          <t>Empresa Licenciada VOICENET</t>
        </is>
      </c>
      <c r="B20" s="84">
        <f>SUMIFS(PARÂMETROS!$F:$F,PARÂMETROS!$C:$C,A20,PARÂMETROS!$J:$J,G20)</f>
        <v/>
      </c>
      <c r="C20" s="84">
        <f>SUMIFS(PARÂMETROS!$H:$H,PARÂMETROS!$C:$C,A20,PARÂMETROS!$J:$J,G20)</f>
        <v/>
      </c>
      <c r="D20" s="84">
        <f>SUMIFS('COMERCIAL VAREJO'!$H:$H,'COMERCIAL VAREJO'!$B:$B,A20,'COMERCIAL VAREJO'!$A:$A,G20,'COMERCIAL VAREJO'!$C:$C,"&lt;&gt;")</f>
        <v/>
      </c>
      <c r="E20" s="84">
        <f>B20+C20+D20</f>
        <v/>
      </c>
      <c r="F20" s="74">
        <f>IFERROR(B20/B$22,0)</f>
        <v/>
      </c>
      <c r="G20" s="111" t="inlineStr">
        <is>
          <t>Maio/2026</t>
        </is>
      </c>
    </row>
    <row r="21" ht="15" customHeight="1" s="64">
      <c r="A21" s="106" t="inlineStr">
        <is>
          <t>DTEL (uso próprio)</t>
        </is>
      </c>
      <c r="B21" s="109">
        <f>SUMIFS(PARÂMETROS!$F:$F,PARÂMETROS!$C:$C,A21,PARÂMETROS!$J:$J,G21)</f>
        <v/>
      </c>
      <c r="C21" s="109">
        <f>SUMIFS(PARÂMETROS!$H:$H,PARÂMETROS!$C:$C,A21,PARÂMETROS!$J:$J,G21)</f>
        <v/>
      </c>
      <c r="D21" s="109">
        <f>SUMIFS('COMERCIAL VAREJO'!$H:$H,'COMERCIAL VAREJO'!$B:$B,A21,'COMERCIAL VAREJO'!$A:$A,G21,'COMERCIAL VAREJO'!$C:$C,"&lt;&gt;")</f>
        <v/>
      </c>
      <c r="E21" s="109">
        <f>B21+C21+D21</f>
        <v/>
      </c>
      <c r="F21" s="106">
        <f>IFERROR(B21/B$22,0)</f>
        <v/>
      </c>
      <c r="G21" s="112" t="inlineStr">
        <is>
          <t>Maio/2026</t>
        </is>
      </c>
    </row>
    <row r="22" ht="15" customHeight="1" s="64">
      <c r="A22" s="95" t="inlineStr">
        <is>
          <t>TOTAL GERAL — Maio/2026</t>
        </is>
      </c>
      <c r="B22" s="97">
        <f>SUM(B14:B21)</f>
        <v/>
      </c>
      <c r="C22" s="97">
        <f>SUM(C14:C21)</f>
        <v/>
      </c>
      <c r="D22" s="97">
        <f>SUM(D14:D21)</f>
        <v/>
      </c>
      <c r="E22" s="97">
        <f>SUM(E14:E21)</f>
        <v/>
      </c>
      <c r="F22" s="95" t="n"/>
      <c r="G22" s="82" t="n"/>
    </row>
    <row r="24" ht="15" customHeight="1" s="64">
      <c r="A24" s="74" t="inlineStr">
        <is>
          <t>Empresa Licenciada DX2</t>
        </is>
      </c>
      <c r="B24" s="84">
        <f>SUMIFS(PARÂMETROS!$F:$F,PARÂMETROS!$C:$C,A24,PARÂMETROS!$J:$J,G24)</f>
        <v/>
      </c>
      <c r="C24" s="84">
        <f>SUMIFS(PARÂMETROS!$H:$H,PARÂMETROS!$C:$C,A24,PARÂMETROS!$J:$J,G24)</f>
        <v/>
      </c>
      <c r="D24" s="84">
        <f>SUMIFS('COMERCIAL VAREJO'!$H:$H,'COMERCIAL VAREJO'!$B:$B,A24,'COMERCIAL VAREJO'!$A:$A,G24,'COMERCIAL VAREJO'!$C:$C,"&lt;&gt;")</f>
        <v/>
      </c>
      <c r="E24" s="84">
        <f>B24+C24+D24</f>
        <v/>
      </c>
      <c r="F24" s="74">
        <f>IFERROR(B24/B$32,0)</f>
        <v/>
      </c>
      <c r="G24" s="111" t="inlineStr">
        <is>
          <t>Julho/2026</t>
        </is>
      </c>
    </row>
    <row r="25" ht="15" customHeight="1" s="64">
      <c r="A25" s="106" t="inlineStr">
        <is>
          <t>Empresa Licenciada H&amp;A</t>
        </is>
      </c>
      <c r="B25" s="109">
        <f>SUMIFS(PARÂMETROS!$F:$F,PARÂMETROS!$C:$C,A25,PARÂMETROS!$J:$J,G25)</f>
        <v/>
      </c>
      <c r="C25" s="109">
        <f>SUMIFS(PARÂMETROS!$H:$H,PARÂMETROS!$C:$C,A25,PARÂMETROS!$J:$J,G25)</f>
        <v/>
      </c>
      <c r="D25" s="109">
        <f>SUMIFS('COMERCIAL VAREJO'!$H:$H,'COMERCIAL VAREJO'!$B:$B,A25,'COMERCIAL VAREJO'!$A:$A,G25,'COMERCIAL VAREJO'!$C:$C,"&lt;&gt;")</f>
        <v/>
      </c>
      <c r="E25" s="109">
        <f>B25+C25+D25</f>
        <v/>
      </c>
      <c r="F25" s="106">
        <f>IFERROR(B25/B$32,0)</f>
        <v/>
      </c>
      <c r="G25" s="112" t="inlineStr">
        <is>
          <t>Julho/2026</t>
        </is>
      </c>
    </row>
    <row r="26" ht="15" customHeight="1" s="64">
      <c r="A26" s="74" t="inlineStr">
        <is>
          <t>Empresa Licenciada SOLON ARAUJO</t>
        </is>
      </c>
      <c r="B26" s="84">
        <f>SUMIFS(PARÂMETROS!$F:$F,PARÂMETROS!$C:$C,A26,PARÂMETROS!$J:$J,G26)</f>
        <v/>
      </c>
      <c r="C26" s="84">
        <f>SUMIFS(PARÂMETROS!$H:$H,PARÂMETROS!$C:$C,A26,PARÂMETROS!$J:$J,G26)</f>
        <v/>
      </c>
      <c r="D26" s="84">
        <f>SUMIFS('COMERCIAL VAREJO'!$H:$H,'COMERCIAL VAREJO'!$B:$B,A26,'COMERCIAL VAREJO'!$A:$A,G26,'COMERCIAL VAREJO'!$C:$C,"&lt;&gt;")</f>
        <v/>
      </c>
      <c r="E26" s="84">
        <f>B26+C26+D26</f>
        <v/>
      </c>
      <c r="F26" s="74">
        <f>IFERROR(B26/B$32,0)</f>
        <v/>
      </c>
      <c r="G26" s="111" t="inlineStr">
        <is>
          <t>Julho/2026</t>
        </is>
      </c>
    </row>
    <row r="27" ht="15" customHeight="1" s="64">
      <c r="A27" s="106" t="inlineStr">
        <is>
          <t>Empresa Licenciada SOARES E LINS</t>
        </is>
      </c>
      <c r="B27" s="109">
        <f>SUMIFS(PARÂMETROS!$F:$F,PARÂMETROS!$C:$C,A27,PARÂMETROS!$J:$J,G27)</f>
        <v/>
      </c>
      <c r="C27" s="109">
        <f>SUMIFS(PARÂMETROS!$H:$H,PARÂMETROS!$C:$C,A27,PARÂMETROS!$J:$J,G27)</f>
        <v/>
      </c>
      <c r="D27" s="109">
        <f>SUMIFS('COMERCIAL VAREJO'!$H:$H,'COMERCIAL VAREJO'!$B:$B,A27,'COMERCIAL VAREJO'!$A:$A,G27,'COMERCIAL VAREJO'!$C:$C,"&lt;&gt;")</f>
        <v/>
      </c>
      <c r="E27" s="109">
        <f>B27+C27+D27</f>
        <v/>
      </c>
      <c r="F27" s="106">
        <f>IFERROR(B27/B$32,0)</f>
        <v/>
      </c>
      <c r="G27" s="112" t="inlineStr">
        <is>
          <t>Julho/2026</t>
        </is>
      </c>
    </row>
    <row r="28" ht="15" customHeight="1" s="64">
      <c r="A28" s="74" t="inlineStr">
        <is>
          <t>Empresa Licenciada SOARES E SILVA</t>
        </is>
      </c>
      <c r="B28" s="84">
        <f>SUMIFS(PARÂMETROS!$F:$F,PARÂMETROS!$C:$C,A28,PARÂMETROS!$J:$J,G28)</f>
        <v/>
      </c>
      <c r="C28" s="84">
        <f>SUMIFS(PARÂMETROS!$H:$H,PARÂMETROS!$C:$C,A28,PARÂMETROS!$J:$J,G28)</f>
        <v/>
      </c>
      <c r="D28" s="84">
        <f>SUMIFS('COMERCIAL VAREJO'!$H:$H,'COMERCIAL VAREJO'!$B:$B,A28,'COMERCIAL VAREJO'!$A:$A,G28,'COMERCIAL VAREJO'!$C:$C,"&lt;&gt;")</f>
        <v/>
      </c>
      <c r="E28" s="84">
        <f>B28+C28+D28</f>
        <v/>
      </c>
      <c r="F28" s="74">
        <f>IFERROR(B28/B$32,0)</f>
        <v/>
      </c>
      <c r="G28" s="111" t="inlineStr">
        <is>
          <t>Julho/2026</t>
        </is>
      </c>
    </row>
    <row r="29" ht="15" customHeight="1" s="64">
      <c r="A29" s="106" t="inlineStr">
        <is>
          <t>Empresa Licenciada SOUZA E SILVA</t>
        </is>
      </c>
      <c r="B29" s="109">
        <f>SUMIFS(PARÂMETROS!$F:$F,PARÂMETROS!$C:$C,A29,PARÂMETROS!$J:$J,G29)</f>
        <v/>
      </c>
      <c r="C29" s="109">
        <f>SUMIFS(PARÂMETROS!$H:$H,PARÂMETROS!$C:$C,A29,PARÂMETROS!$J:$J,G29)</f>
        <v/>
      </c>
      <c r="D29" s="109">
        <f>SUMIFS('COMERCIAL VAREJO'!$H:$H,'COMERCIAL VAREJO'!$B:$B,A29,'COMERCIAL VAREJO'!$A:$A,G29,'COMERCIAL VAREJO'!$C:$C,"&lt;&gt;")</f>
        <v/>
      </c>
      <c r="E29" s="109">
        <f>B29+C29+D29</f>
        <v/>
      </c>
      <c r="F29" s="106">
        <f>IFERROR(B29/B$32,0)</f>
        <v/>
      </c>
      <c r="G29" s="112" t="inlineStr">
        <is>
          <t>Julho/2026</t>
        </is>
      </c>
    </row>
    <row r="30" ht="15" customHeight="1" s="64">
      <c r="A30" s="74" t="inlineStr">
        <is>
          <t>Empresa Licenciada VOICENET</t>
        </is>
      </c>
      <c r="B30" s="84">
        <f>SUMIFS(PARÂMETROS!$F:$F,PARÂMETROS!$C:$C,A30,PARÂMETROS!$J:$J,G30)</f>
        <v/>
      </c>
      <c r="C30" s="84">
        <f>SUMIFS(PARÂMETROS!$H:$H,PARÂMETROS!$C:$C,A30,PARÂMETROS!$J:$J,G30)</f>
        <v/>
      </c>
      <c r="D30" s="84">
        <f>SUMIFS('COMERCIAL VAREJO'!$H:$H,'COMERCIAL VAREJO'!$B:$B,A30,'COMERCIAL VAREJO'!$A:$A,G30,'COMERCIAL VAREJO'!$C:$C,"&lt;&gt;")</f>
        <v/>
      </c>
      <c r="E30" s="84">
        <f>B30+C30+D30</f>
        <v/>
      </c>
      <c r="F30" s="74">
        <f>IFERROR(B30/B$32,0)</f>
        <v/>
      </c>
      <c r="G30" s="111" t="inlineStr">
        <is>
          <t>Julho/2026</t>
        </is>
      </c>
    </row>
    <row r="31" ht="15" customHeight="1" s="64">
      <c r="A31" s="106" t="inlineStr">
        <is>
          <t>DTEL (uso próprio)</t>
        </is>
      </c>
      <c r="B31" s="109">
        <f>SUMIFS(PARÂMETROS!$F:$F,PARÂMETROS!$C:$C,A31,PARÂMETROS!$J:$J,G31)</f>
        <v/>
      </c>
      <c r="C31" s="109">
        <f>SUMIFS(PARÂMETROS!$H:$H,PARÂMETROS!$C:$C,A31,PARÂMETROS!$J:$J,G31)</f>
        <v/>
      </c>
      <c r="D31" s="109">
        <f>SUMIFS('COMERCIAL VAREJO'!$H:$H,'COMERCIAL VAREJO'!$B:$B,A31,'COMERCIAL VAREJO'!$A:$A,G31,'COMERCIAL VAREJO'!$C:$C,"&lt;&gt;")</f>
        <v/>
      </c>
      <c r="E31" s="109">
        <f>B31+C31+D31</f>
        <v/>
      </c>
      <c r="F31" s="106">
        <f>IFERROR(B31/B$32,0)</f>
        <v/>
      </c>
      <c r="G31" s="112" t="inlineStr">
        <is>
          <t>Julho/2026</t>
        </is>
      </c>
    </row>
    <row r="32" ht="15" customHeight="1" s="64">
      <c r="A32" s="95" t="inlineStr">
        <is>
          <t>TOTAL GERAL — Julho/2026</t>
        </is>
      </c>
      <c r="B32" s="97">
        <f>SUM(B24:B31)</f>
        <v/>
      </c>
      <c r="C32" s="97">
        <f>SUM(C24:C31)</f>
        <v/>
      </c>
      <c r="D32" s="97">
        <f>SUM(D24:D31)</f>
        <v/>
      </c>
      <c r="E32" s="97">
        <f>SUM(E24:E31)</f>
        <v/>
      </c>
      <c r="F32" s="95" t="n"/>
      <c r="G32" s="82" t="n"/>
    </row>
    <row r="33" ht="14.25" customHeight="1" s="64">
      <c r="A33" s="74" t="inlineStr">
        <is>
          <t>Empresa Licenciada DX2</t>
        </is>
      </c>
      <c r="B33" s="84">
        <f>SUMIFS(PARÂMETROS!$F:$F,PARÂMETROS!$C:$C,A33,PARÂMETROS!$J:$J,G33)</f>
        <v/>
      </c>
      <c r="C33" s="84">
        <f>SUMIFS(PARÂMETROS!$H:$H,PARÂMETROS!$C:$C,A33,PARÂMETROS!$J:$J,G33)</f>
        <v/>
      </c>
      <c r="D33" s="84">
        <f>SUMIFS('COMERCIAL VAREJO'!$H:$H,'COMERCIAL VAREJO'!$B:$B,A33,'COMERCIAL VAREJO'!$A:$A,G33,'COMERCIAL VAREJO'!$C:$C,"&lt;&gt;")</f>
        <v/>
      </c>
      <c r="E33" s="84">
        <f>B33+C33+D33</f>
        <v/>
      </c>
      <c r="F33" s="74">
        <f>IFERROR(B33/B$32,0)</f>
        <v/>
      </c>
      <c r="G33" s="111" t="inlineStr">
        <is>
          <t>Agosto/2026</t>
        </is>
      </c>
    </row>
    <row r="34" ht="14.25" customHeight="1" s="64">
      <c r="A34" s="106" t="inlineStr">
        <is>
          <t>Empresa Licenciada H&amp;A</t>
        </is>
      </c>
      <c r="B34" s="113" t="n"/>
      <c r="C34" s="113" t="n"/>
      <c r="D34" s="113" t="n"/>
      <c r="E34" s="113" t="n"/>
      <c r="F34" s="114" t="n"/>
      <c r="G34" s="112" t="inlineStr">
        <is>
          <t>Agosto/2026</t>
        </is>
      </c>
    </row>
    <row r="35" ht="14.25" customHeight="1" s="64">
      <c r="A35" s="74" t="inlineStr">
        <is>
          <t>Empresa Licenciada SOLON ARAUJO</t>
        </is>
      </c>
      <c r="B35" s="84">
        <f>SUMIFS(PARÂMETROS!$F:$F,PARÂMETROS!$C:$C,A35,PARÂMETROS!$J:$J,G35)</f>
        <v/>
      </c>
      <c r="C35" s="84">
        <f>SUMIFS(PARÂMETROS!$H:$H,PARÂMETROS!$C:$C,A35,PARÂMETROS!$J:$J,G35)</f>
        <v/>
      </c>
      <c r="D35" s="84">
        <f>SUMIFS('COMERCIAL VAREJO'!$H:$H,'COMERCIAL VAREJO'!$B:$B,A35,'COMERCIAL VAREJO'!$A:$A,G35,'COMERCIAL VAREJO'!$C:$C,"&lt;&gt;")</f>
        <v/>
      </c>
      <c r="E35" s="84">
        <f>B35+C35+D35</f>
        <v/>
      </c>
      <c r="F35" s="74">
        <f>IFERROR(B35/B$32,0)</f>
        <v/>
      </c>
      <c r="G35" s="111" t="inlineStr">
        <is>
          <t>Agosto/2026</t>
        </is>
      </c>
    </row>
    <row r="36" ht="14.25" customHeight="1" s="64">
      <c r="A36" s="106" t="inlineStr">
        <is>
          <t>Empresa Licenciada SOARES E LINS</t>
        </is>
      </c>
      <c r="B36" s="109">
        <f>SUMIFS(PARÂMETROS!$F:$F,PARÂMETROS!$C:$C,A36,PARÂMETROS!$J:$J,G36)</f>
        <v/>
      </c>
      <c r="C36" s="109">
        <f>SUMIFS(PARÂMETROS!$H:$H,PARÂMETROS!$C:$C,A36,PARÂMETROS!$J:$J,G36)</f>
        <v/>
      </c>
      <c r="D36" s="109">
        <f>SUMIFS('COMERCIAL VAREJO'!$H:$H,'COMERCIAL VAREJO'!$B:$B,A36,'COMERCIAL VAREJO'!$A:$A,G36,'COMERCIAL VAREJO'!$C:$C,"&lt;&gt;")</f>
        <v/>
      </c>
      <c r="E36" s="109">
        <f>B36+C36+D36</f>
        <v/>
      </c>
      <c r="F36" s="106">
        <f>IFERROR(B36/B$32,0)</f>
        <v/>
      </c>
      <c r="G36" s="112" t="inlineStr">
        <is>
          <t>Agosto/2026</t>
        </is>
      </c>
    </row>
    <row r="37" ht="14.25" customHeight="1" s="64">
      <c r="A37" s="74" t="inlineStr">
        <is>
          <t>Empresa Licenciada SOARES E SILVA</t>
        </is>
      </c>
      <c r="B37" s="84">
        <f>SUMIFS(PARÂMETROS!$F:$F,PARÂMETROS!$C:$C,A37,PARÂMETROS!$J:$J,G37)</f>
        <v/>
      </c>
      <c r="C37" s="84">
        <f>SUMIFS(PARÂMETROS!$H:$H,PARÂMETROS!$C:$C,A37,PARÂMETROS!$J:$J,G37)</f>
        <v/>
      </c>
      <c r="D37" s="84">
        <f>SUMIFS('COMERCIAL VAREJO'!$H:$H,'COMERCIAL VAREJO'!$B:$B,A37,'COMERCIAL VAREJO'!$A:$A,G37,'COMERCIAL VAREJO'!$C:$C,"&lt;&gt;")</f>
        <v/>
      </c>
      <c r="E37" s="84">
        <f>B37+C37+D37</f>
        <v/>
      </c>
      <c r="F37" s="74">
        <f>IFERROR(B37/B$32,0)</f>
        <v/>
      </c>
      <c r="G37" s="111" t="inlineStr">
        <is>
          <t>Agosto/2026</t>
        </is>
      </c>
    </row>
    <row r="38" ht="14.25" customHeight="1" s="64">
      <c r="A38" s="106" t="inlineStr">
        <is>
          <t>Empresa Licenciada SOUZA E SILVA</t>
        </is>
      </c>
      <c r="B38" s="109">
        <f>SUMIFS(PARÂMETROS!$F:$F,PARÂMETROS!$C:$C,A38,PARÂMETROS!$J:$J,G38)</f>
        <v/>
      </c>
      <c r="C38" s="109">
        <f>SUMIFS(PARÂMETROS!$H:$H,PARÂMETROS!$C:$C,A38,PARÂMETROS!$J:$J,G38)</f>
        <v/>
      </c>
      <c r="D38" s="109">
        <f>SUMIFS('COMERCIAL VAREJO'!$H:$H,'COMERCIAL VAREJO'!$B:$B,A38,'COMERCIAL VAREJO'!$A:$A,G38,'COMERCIAL VAREJO'!$C:$C,"&lt;&gt;")</f>
        <v/>
      </c>
      <c r="E38" s="109">
        <f>B38+C38+D38</f>
        <v/>
      </c>
      <c r="F38" s="106">
        <f>IFERROR(B38/B$32,0)</f>
        <v/>
      </c>
      <c r="G38" s="112" t="inlineStr">
        <is>
          <t>Agosto/2026</t>
        </is>
      </c>
    </row>
    <row r="39" ht="14.25" customHeight="1" s="64">
      <c r="A39" s="74" t="inlineStr">
        <is>
          <t>Empresa Licenciada VOICENET</t>
        </is>
      </c>
      <c r="B39" s="84">
        <f>SUMIFS(PARÂMETROS!$F:$F,PARÂMETROS!$C:$C,A39,PARÂMETROS!$J:$J,G39)</f>
        <v/>
      </c>
      <c r="C39" s="84">
        <f>SUMIFS(PARÂMETROS!$H:$H,PARÂMETROS!$C:$C,A39,PARÂMETROS!$J:$J,G39)</f>
        <v/>
      </c>
      <c r="D39" s="84">
        <f>SUMIFS('COMERCIAL VAREJO'!$H:$H,'COMERCIAL VAREJO'!$B:$B,A39,'COMERCIAL VAREJO'!$A:$A,G39,'COMERCIAL VAREJO'!$C:$C,"&lt;&gt;")</f>
        <v/>
      </c>
      <c r="E39" s="84">
        <f>B39+C39+D39</f>
        <v/>
      </c>
      <c r="F39" s="74">
        <f>IFERROR(B39/B$32,0)</f>
        <v/>
      </c>
      <c r="G39" s="111" t="inlineStr">
        <is>
          <t>Agosto/2026</t>
        </is>
      </c>
    </row>
    <row r="40" ht="14.25" customHeight="1" s="64">
      <c r="A40" s="106" t="inlineStr">
        <is>
          <t>DTEL (uso próprio)</t>
        </is>
      </c>
      <c r="B40" s="109">
        <f>SUMIFS(PARÂMETROS!$F:$F,PARÂMETROS!$C:$C,A40,PARÂMETROS!$J:$J,G40)</f>
        <v/>
      </c>
      <c r="C40" s="109">
        <f>SUMIFS(PARÂMETROS!$H:$H,PARÂMETROS!$C:$C,A40,PARÂMETROS!$J:$J,G40)</f>
        <v/>
      </c>
      <c r="D40" s="109">
        <f>SUMIFS('COMERCIAL VAREJO'!$H:$H,'COMERCIAL VAREJO'!$B:$B,A40,'COMERCIAL VAREJO'!$A:$A,G40,'COMERCIAL VAREJO'!$C:$C,"&lt;&gt;")</f>
        <v/>
      </c>
      <c r="E40" s="109">
        <f>B40+C40+D40</f>
        <v/>
      </c>
      <c r="F40" s="106">
        <f>IFERROR(B40/B$32,0)</f>
        <v/>
      </c>
      <c r="G40" s="112" t="inlineStr">
        <is>
          <t>Agosto/2026</t>
        </is>
      </c>
    </row>
    <row r="41" ht="14.25" customHeight="1" s="64">
      <c r="A41" s="95" t="inlineStr">
        <is>
          <t>TOTAL GERAL — Agosto/2026</t>
        </is>
      </c>
      <c r="B41" s="97">
        <f>SUM(B33:B40)</f>
        <v/>
      </c>
      <c r="C41" s="97">
        <f>SUM(C33:C40)</f>
        <v/>
      </c>
      <c r="D41" s="97">
        <f>SUM(D33:D40)</f>
        <v/>
      </c>
      <c r="E41" s="97">
        <f>SUM(E33:E40)</f>
        <v/>
      </c>
      <c r="F41" s="95" t="n"/>
      <c r="G41" s="82" t="n"/>
    </row>
    <row r="44" ht="14.25" customHeight="1" s="64">
      <c r="A44" s="110" t="inlineStr">
        <is>
      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      </is>
      </c>
    </row>
  </sheetData>
  <mergeCells count="2">
    <mergeCell ref="A1:D1"/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7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baseColWidth="8" defaultColWidth="8.66796875" defaultRowHeight="14.25" zeroHeight="0" outlineLevelRow="0"/>
  <cols>
    <col width="30" customWidth="1" style="110" min="1" max="1"/>
    <col width="33.21" customWidth="1" style="110" min="2" max="2"/>
    <col width="36.76" customWidth="1" style="110" min="3" max="3"/>
    <col width="39.33" customWidth="1" style="110" min="4" max="4"/>
    <col width="25.22" customWidth="1" style="110" min="5" max="5"/>
    <col width="11.77" customWidth="1" style="110" min="6" max="6"/>
    <col width="20" customWidth="1" style="110" min="7" max="11"/>
    <col width="12" customWidth="1" style="110" min="12" max="12"/>
    <col width="14" customWidth="1" style="110" min="13" max="13"/>
  </cols>
  <sheetData>
    <row r="1" ht="15" customHeight="1" s="64">
      <c r="A1" s="115" t="inlineStr">
        <is>
          <t>COMERCIAL VAREJO — CUSTOS DIRETOS POR COORDENADOR/EQUIPE (equipe de vendas externas)</t>
        </is>
      </c>
      <c r="J1" s="116" t="n"/>
      <c r="K1" s="116" t="n"/>
      <c r="L1" s="116" t="n"/>
      <c r="M1" s="116" t="n"/>
      <c r="N1" s="116" t="n"/>
      <c r="O1" s="116" t="n"/>
    </row>
    <row r="2" ht="60" customHeight="1" s="64">
      <c r="A2" s="117" t="inlineStr">
        <is>
      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      </is>
      </c>
      <c r="J2" s="116" t="n"/>
      <c r="K2" s="116" t="n"/>
      <c r="L2" s="116" t="n"/>
      <c r="M2" s="116" t="n"/>
      <c r="N2" s="116" t="n"/>
      <c r="O2" s="116" t="n"/>
    </row>
    <row r="3" ht="15" customHeight="1" s="64">
      <c r="A3" s="116" t="n"/>
      <c r="B3" s="116" t="n"/>
      <c r="C3" s="116" t="n"/>
      <c r="D3" s="116" t="n"/>
      <c r="E3" s="116" t="n"/>
      <c r="F3" s="116" t="n"/>
      <c r="G3" s="116" t="n"/>
      <c r="H3" s="116" t="n"/>
      <c r="I3" s="116" t="n"/>
      <c r="J3" s="116" t="n"/>
      <c r="K3" s="116" t="n"/>
      <c r="L3" s="116" t="n"/>
      <c r="M3" s="116" t="n"/>
      <c r="N3" s="116" t="n"/>
      <c r="O3" s="116" t="n"/>
    </row>
    <row r="4" ht="15" customHeight="1" s="64">
      <c r="A4" s="118" t="inlineStr">
        <is>
          <t>COMPOSIÇÃO DAS EQUIPES</t>
        </is>
      </c>
      <c r="J4" s="116" t="n"/>
      <c r="K4" s="116" t="n"/>
      <c r="L4" s="116" t="n"/>
      <c r="M4" s="116" t="n"/>
      <c r="N4" s="116" t="n"/>
      <c r="O4" s="116" t="n"/>
    </row>
    <row r="5" ht="15" customHeight="1" s="64">
      <c r="A5" s="119" t="inlineStr">
        <is>
          <t>Coordenador/Equipe</t>
        </is>
      </c>
      <c r="B5" s="119" t="inlineStr">
        <is>
          <t>Empresa</t>
        </is>
      </c>
      <c r="C5" s="119" t="inlineStr">
        <is>
          <t>Total Ativos</t>
        </is>
      </c>
      <c r="D5" s="119" t="inlineStr">
        <is>
          <t>Vendedores Fixos (PAP)</t>
        </is>
      </c>
      <c r="E5" s="119" t="inlineStr">
        <is>
          <t>Executivos</t>
        </is>
      </c>
      <c r="F5" s="119" t="inlineStr">
        <is>
          <t>Outros cargos</t>
        </is>
      </c>
      <c r="G5" s="116" t="n"/>
      <c r="H5" s="116" t="n"/>
      <c r="I5" s="116" t="n"/>
      <c r="J5" s="116" t="n"/>
      <c r="K5" s="116" t="n"/>
      <c r="L5" s="116" t="n"/>
      <c r="M5" s="116" t="n"/>
      <c r="N5" s="116" t="n"/>
      <c r="O5" s="116" t="n"/>
    </row>
    <row r="6" ht="15" customHeight="1" s="64">
      <c r="A6" s="120" t="inlineStr">
        <is>
          <t>ELTHON MENEZES</t>
        </is>
      </c>
      <c r="B6" s="120" t="inlineStr">
        <is>
          <t>DTEL</t>
        </is>
      </c>
      <c r="C6" s="120" t="n">
        <v>39</v>
      </c>
      <c r="D6" s="120" t="n">
        <v>33</v>
      </c>
      <c r="E6" s="120" t="n">
        <v>2</v>
      </c>
      <c r="F6" s="120" t="inlineStr">
        <is>
          <t>MOTORISTA: 2, SUPERVISOR: 2</t>
        </is>
      </c>
      <c r="G6" s="116" t="n"/>
      <c r="H6" s="116" t="n"/>
      <c r="I6" s="116" t="n"/>
      <c r="J6" s="116" t="n"/>
      <c r="K6" s="116" t="n"/>
      <c r="L6" s="116" t="n"/>
      <c r="M6" s="116" t="n"/>
      <c r="N6" s="116" t="n"/>
      <c r="O6" s="116" t="n"/>
    </row>
    <row r="7" ht="15" customHeight="1" s="64">
      <c r="A7" s="120" t="inlineStr">
        <is>
          <t>GABRIEL LIMA</t>
        </is>
      </c>
      <c r="B7" s="120" t="inlineStr">
        <is>
          <t>DTEL</t>
        </is>
      </c>
      <c r="C7" s="120" t="n">
        <v>9</v>
      </c>
      <c r="D7" s="120" t="n">
        <v>9</v>
      </c>
      <c r="E7" s="120" t="n">
        <v>0</v>
      </c>
      <c r="F7" s="120" t="inlineStr">
        <is>
          <t>—</t>
        </is>
      </c>
      <c r="G7" s="116" t="n"/>
      <c r="H7" s="116" t="n"/>
      <c r="I7" s="116" t="n"/>
      <c r="J7" s="116" t="n"/>
      <c r="K7" s="116" t="n"/>
      <c r="L7" s="116" t="n"/>
      <c r="M7" s="116" t="n"/>
      <c r="N7" s="116" t="n"/>
      <c r="O7" s="116" t="n"/>
    </row>
    <row r="8" ht="15" customHeight="1" s="64">
      <c r="A8" s="120" t="inlineStr">
        <is>
          <t>LUCAS BONIFÁCIO</t>
        </is>
      </c>
      <c r="B8" s="120" t="inlineStr">
        <is>
          <t>DTEL</t>
        </is>
      </c>
      <c r="C8" s="120" t="n">
        <v>7</v>
      </c>
      <c r="D8" s="120" t="n">
        <v>6</v>
      </c>
      <c r="E8" s="120" t="n">
        <v>1</v>
      </c>
      <c r="F8" s="120" t="inlineStr">
        <is>
          <t>—</t>
        </is>
      </c>
      <c r="G8" s="116" t="n"/>
      <c r="H8" s="116" t="n"/>
      <c r="I8" s="116" t="n"/>
      <c r="J8" s="116" t="n"/>
      <c r="K8" s="116" t="n"/>
      <c r="L8" s="116" t="n"/>
      <c r="M8" s="116" t="n"/>
      <c r="N8" s="116" t="n"/>
      <c r="O8" s="116" t="n"/>
    </row>
    <row r="9" ht="15" customHeight="1" s="64">
      <c r="A9" s="120" t="inlineStr">
        <is>
          <t>MICHELANGELO</t>
        </is>
      </c>
      <c r="B9" s="120" t="inlineStr">
        <is>
          <t>DTEL</t>
        </is>
      </c>
      <c r="C9" s="120" t="n">
        <v>11</v>
      </c>
      <c r="D9" s="120" t="n">
        <v>8</v>
      </c>
      <c r="E9" s="120" t="n">
        <v>1</v>
      </c>
      <c r="F9" s="120" t="inlineStr">
        <is>
          <t>MOTORISTA: 1, SUPERVISOR: 1</t>
        </is>
      </c>
      <c r="G9" s="116" t="n"/>
      <c r="H9" s="116" t="n"/>
      <c r="I9" s="116" t="n"/>
      <c r="J9" s="116" t="n"/>
      <c r="K9" s="116" t="n"/>
      <c r="L9" s="116" t="n"/>
      <c r="M9" s="116" t="n"/>
      <c r="N9" s="116" t="n"/>
      <c r="O9" s="116" t="n"/>
    </row>
    <row r="10" ht="15" customHeight="1" s="64">
      <c r="A10" s="120" t="inlineStr">
        <is>
          <t>MICHELANGELO</t>
        </is>
      </c>
      <c r="B10" s="120" t="inlineStr">
        <is>
          <t>Voicenet</t>
        </is>
      </c>
      <c r="C10" s="120" t="n">
        <v>2</v>
      </c>
      <c r="D10" s="120" t="n">
        <v>1</v>
      </c>
      <c r="E10" s="120" t="n">
        <v>1</v>
      </c>
      <c r="F10" s="120" t="inlineStr">
        <is>
          <t>—</t>
        </is>
      </c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</row>
    <row r="11" ht="15" customHeight="1" s="64">
      <c r="A11" s="120" t="inlineStr">
        <is>
          <t>TARCIZIO MEIRELES</t>
        </is>
      </c>
      <c r="B11" s="120" t="inlineStr">
        <is>
          <t>DTEL</t>
        </is>
      </c>
      <c r="C11" s="120" t="n">
        <v>18</v>
      </c>
      <c r="D11" s="120" t="n">
        <v>14</v>
      </c>
      <c r="E11" s="120" t="n">
        <v>2</v>
      </c>
      <c r="F11" s="120" t="inlineStr">
        <is>
          <t>MOTORISTA: 1, SUPERVISOR: 1</t>
        </is>
      </c>
      <c r="G11" s="116" t="n"/>
      <c r="H11" s="116" t="n"/>
      <c r="I11" s="116" t="n"/>
      <c r="J11" s="116" t="n"/>
      <c r="K11" s="116" t="n"/>
      <c r="L11" s="116" t="n"/>
      <c r="M11" s="116" t="n"/>
      <c r="N11" s="116" t="n"/>
      <c r="O11" s="116" t="n"/>
    </row>
    <row r="12" ht="15" customHeight="1" s="64">
      <c r="A12" s="120" t="inlineStr">
        <is>
          <t>TARCIZIO MEIRELES</t>
        </is>
      </c>
      <c r="B12" s="120" t="inlineStr">
        <is>
          <t>Solon Araújo</t>
        </is>
      </c>
      <c r="C12" s="120" t="n">
        <v>2</v>
      </c>
      <c r="D12" s="120" t="n">
        <v>1</v>
      </c>
      <c r="E12" s="120" t="n">
        <v>1</v>
      </c>
      <c r="F12" s="120" t="inlineStr">
        <is>
          <t>—</t>
        </is>
      </c>
      <c r="G12" s="116" t="n"/>
      <c r="H12" s="116" t="n"/>
      <c r="I12" s="116" t="n"/>
      <c r="J12" s="116" t="n"/>
      <c r="K12" s="116" t="n"/>
      <c r="L12" s="116" t="n"/>
      <c r="M12" s="116" t="n"/>
      <c r="N12" s="116" t="n"/>
      <c r="O12" s="116" t="n"/>
    </row>
    <row r="13" ht="15" customHeight="1" s="64">
      <c r="A13" s="120" t="inlineStr">
        <is>
          <t>TARCIZIO MEIRELES</t>
        </is>
      </c>
      <c r="B13" s="120" t="inlineStr">
        <is>
          <t>Souza e Silva</t>
        </is>
      </c>
      <c r="C13" s="120" t="n">
        <v>5</v>
      </c>
      <c r="D13" s="120" t="n">
        <v>5</v>
      </c>
      <c r="E13" s="120" t="n">
        <v>0</v>
      </c>
      <c r="F13" s="120" t="inlineStr">
        <is>
          <t>—</t>
        </is>
      </c>
      <c r="G13" s="116" t="n"/>
      <c r="H13" s="116" t="n"/>
      <c r="I13" s="116" t="n"/>
      <c r="J13" s="116" t="n"/>
      <c r="K13" s="116" t="n"/>
      <c r="L13" s="116" t="n"/>
      <c r="M13" s="116" t="n"/>
      <c r="N13" s="116" t="n"/>
      <c r="O13" s="116" t="n"/>
    </row>
    <row r="14" ht="15" customHeight="1" s="64">
      <c r="A14" s="120" t="inlineStr">
        <is>
          <t>TIAGO</t>
        </is>
      </c>
      <c r="B14" s="120" t="inlineStr">
        <is>
          <t>DX2</t>
        </is>
      </c>
      <c r="C14" s="120" t="n">
        <v>8</v>
      </c>
      <c r="D14" s="120" t="n">
        <v>7</v>
      </c>
      <c r="E14" s="120" t="n">
        <v>0</v>
      </c>
      <c r="F14" s="120" t="inlineStr">
        <is>
          <t>LÍDER: 1</t>
        </is>
      </c>
      <c r="G14" s="116" t="n"/>
      <c r="H14" s="116" t="n"/>
      <c r="I14" s="116" t="n"/>
      <c r="J14" s="116" t="n"/>
      <c r="K14" s="116" t="n"/>
      <c r="L14" s="116" t="n"/>
      <c r="M14" s="116" t="n"/>
      <c r="N14" s="116" t="n"/>
      <c r="O14" s="116" t="n"/>
    </row>
    <row r="15" ht="15" customHeight="1" s="64">
      <c r="A15" s="120" t="inlineStr">
        <is>
          <t>TIAGO</t>
        </is>
      </c>
      <c r="B15" s="120" t="inlineStr">
        <is>
          <t>H&amp;A</t>
        </is>
      </c>
      <c r="C15" s="120" t="n">
        <v>2</v>
      </c>
      <c r="D15" s="120" t="n">
        <v>1</v>
      </c>
      <c r="E15" s="120" t="n">
        <v>0</v>
      </c>
      <c r="F15" s="120" t="inlineStr">
        <is>
          <t>LÍDER: 1</t>
        </is>
      </c>
      <c r="G15" s="116" t="n"/>
      <c r="H15" s="116" t="n"/>
      <c r="I15" s="116" t="n"/>
      <c r="J15" s="116" t="n"/>
      <c r="K15" s="116" t="n"/>
      <c r="L15" s="116" t="n"/>
      <c r="M15" s="116" t="n"/>
      <c r="N15" s="116" t="n"/>
      <c r="O15" s="116" t="n"/>
    </row>
    <row r="16" ht="15" customHeight="1" s="64">
      <c r="A16" s="120" t="inlineStr">
        <is>
          <t>TIAGO</t>
        </is>
      </c>
      <c r="B16" s="120" t="inlineStr">
        <is>
          <t>Soares e Silva</t>
        </is>
      </c>
      <c r="C16" s="120" t="n">
        <v>11</v>
      </c>
      <c r="D16" s="120" t="n">
        <v>9</v>
      </c>
      <c r="E16" s="120" t="n">
        <v>1</v>
      </c>
      <c r="F16" s="120" t="inlineStr">
        <is>
          <t>SUPERVISOR: 1</t>
        </is>
      </c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</row>
    <row r="17" ht="15" customHeight="1" s="64">
      <c r="A17" s="120" t="inlineStr">
        <is>
          <t>VITOR LINS</t>
        </is>
      </c>
      <c r="B17" s="120" t="inlineStr">
        <is>
          <t>Soares e Lins</t>
        </is>
      </c>
      <c r="C17" s="120" t="n">
        <v>1</v>
      </c>
      <c r="D17" s="120" t="n">
        <v>0</v>
      </c>
      <c r="E17" s="120" t="n">
        <v>0</v>
      </c>
      <c r="F17" s="120" t="inlineStr">
        <is>
          <t>LÍDER: 1</t>
        </is>
      </c>
      <c r="G17" s="116" t="n"/>
      <c r="H17" s="116" t="n"/>
      <c r="I17" s="116" t="n"/>
      <c r="J17" s="116" t="n"/>
      <c r="K17" s="116" t="n"/>
      <c r="L17" s="116" t="n"/>
      <c r="M17" s="116" t="n"/>
      <c r="N17" s="116" t="n"/>
      <c r="O17" s="116" t="n"/>
    </row>
    <row r="18" ht="15" customHeight="1" s="64">
      <c r="A18" s="116" t="n"/>
      <c r="B18" s="116" t="n"/>
      <c r="C18" s="116" t="n"/>
      <c r="D18" s="116" t="n"/>
      <c r="E18" s="116" t="n"/>
      <c r="F18" s="116" t="n"/>
      <c r="G18" s="116" t="n"/>
      <c r="H18" s="116" t="n"/>
      <c r="I18" s="116" t="n"/>
      <c r="J18" s="116" t="n"/>
      <c r="K18" s="116" t="n"/>
      <c r="L18" s="116" t="n"/>
      <c r="M18" s="116" t="n"/>
      <c r="N18" s="116" t="n"/>
      <c r="O18" s="116" t="n"/>
    </row>
    <row r="19" ht="15" customHeight="1" s="64">
      <c r="A19" s="118" t="inlineStr">
        <is>
          <t>CUSTOS DIRETOS — RATEADOS/REAIS POR COORDENADOR/EQUIPE</t>
        </is>
      </c>
      <c r="J19" s="116" t="n"/>
      <c r="K19" s="116" t="n"/>
      <c r="L19" s="116" t="n"/>
      <c r="M19" s="116" t="n"/>
      <c r="N19" s="116" t="n"/>
      <c r="O19" s="116" t="n"/>
    </row>
    <row r="20" ht="15" customHeight="1" s="64">
      <c r="A20" s="119" t="inlineStr">
        <is>
          <t>Mês</t>
        </is>
      </c>
      <c r="B20" s="119" t="inlineStr">
        <is>
          <t>Empresa</t>
        </is>
      </c>
      <c r="C20" s="119" t="inlineStr">
        <is>
          <t>Categoria</t>
        </is>
      </c>
      <c r="D20" s="119" t="inlineStr">
        <is>
          <t>Despesa</t>
        </is>
      </c>
      <c r="E20" s="119" t="inlineStr">
        <is>
          <t>Coordenador/Equipe</t>
        </is>
      </c>
      <c r="F20" s="119" t="inlineStr">
        <is>
          <t>Quantidade</t>
        </is>
      </c>
      <c r="G20" s="119" t="inlineStr">
        <is>
          <t>Valor Unitário (R$)</t>
        </is>
      </c>
      <c r="H20" s="119" t="inlineStr">
        <is>
          <t>Valor (R$)</t>
        </is>
      </c>
      <c r="I20" s="119" t="inlineStr">
        <is>
          <t>Origem</t>
        </is>
      </c>
      <c r="J20" s="116" t="n"/>
      <c r="K20" s="116" t="n"/>
      <c r="L20" s="116" t="n"/>
      <c r="M20" s="116" t="n"/>
      <c r="N20" s="116" t="n"/>
      <c r="O20" s="116" t="n"/>
    </row>
    <row r="21" ht="15" customHeight="1" s="64">
      <c r="A21" s="120" t="inlineStr">
        <is>
          <t>Junho/2026</t>
        </is>
      </c>
      <c r="B21" s="120" t="inlineStr">
        <is>
          <t>DTEL</t>
        </is>
      </c>
      <c r="C21" s="120" t="inlineStr">
        <is>
          <t>Pessoal</t>
        </is>
      </c>
      <c r="D21" s="120" t="inlineStr">
        <is>
          <t>Folha Trabalhista com impostos do mês</t>
        </is>
      </c>
      <c r="E21" s="120" t="inlineStr">
        <is>
          <t>ELTHON MENEZES</t>
        </is>
      </c>
      <c r="F21" s="120" t="n">
        <v>1</v>
      </c>
      <c r="G21" s="121" t="n">
        <v>59982.0585470518</v>
      </c>
      <c r="H21" s="121" t="n">
        <v>59982.0585470518</v>
      </c>
      <c r="I21" s="120" t="inlineStr">
        <is>
      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      </is>
      </c>
      <c r="J21" s="116" t="n"/>
      <c r="K21" s="116" t="n"/>
      <c r="L21" s="116" t="n"/>
      <c r="M21" s="116" t="n"/>
      <c r="N21" s="116" t="n"/>
      <c r="O21" s="116" t="n"/>
    </row>
    <row r="22" ht="15" customHeight="1" s="64">
      <c r="A22" s="120" t="inlineStr">
        <is>
          <t>Junho/2026</t>
        </is>
      </c>
      <c r="B22" s="120" t="inlineStr">
        <is>
          <t>DTEL</t>
        </is>
      </c>
      <c r="C22" s="120" t="inlineStr">
        <is>
          <t>Pessoal</t>
        </is>
      </c>
      <c r="D22" s="120" t="inlineStr">
        <is>
          <t>Vale Transporte</t>
        </is>
      </c>
      <c r="E22" s="120" t="inlineStr">
        <is>
          <t>ELTHON MENEZES</t>
        </is>
      </c>
      <c r="F22" s="120" t="n">
        <v>1</v>
      </c>
      <c r="G22" s="121" t="n">
        <v>1236.86</v>
      </c>
      <c r="H22" s="121" t="n">
        <v>1236.86</v>
      </c>
      <c r="I22" s="120" t="inlineStr">
        <is>
          <t>Estimado (fatia proporcional ao nº de colaboradores da equipe, sem taxa fixa por pessoa), fatia de 39 colaboradores da equipe</t>
        </is>
      </c>
      <c r="J22" s="116" t="n"/>
      <c r="K22" s="116" t="n"/>
      <c r="L22" s="116" t="n"/>
      <c r="M22" s="116" t="n"/>
      <c r="N22" s="116" t="n"/>
      <c r="O22" s="116" t="n"/>
    </row>
    <row r="23" ht="15" customHeight="1" s="64">
      <c r="A23" s="120" t="inlineStr">
        <is>
          <t>Junho/2026</t>
        </is>
      </c>
      <c r="B23" s="120" t="inlineStr">
        <is>
          <t>DTEL</t>
        </is>
      </c>
      <c r="C23" s="120" t="inlineStr">
        <is>
          <t>Pessoal</t>
        </is>
      </c>
      <c r="D23" s="120" t="inlineStr">
        <is>
          <t>Despesas com RH</t>
        </is>
      </c>
      <c r="E23" s="120" t="inlineStr">
        <is>
          <t>ELTHON MENEZES</t>
        </is>
      </c>
      <c r="F23" s="120" t="n">
        <v>39</v>
      </c>
      <c r="G23" s="121" t="n">
        <v>28.31</v>
      </c>
      <c r="H23" s="121" t="n">
        <v>1104.09</v>
      </c>
      <c r="I23" s="120" t="inlineStr">
        <is>
          <t>Real (taxa fixa por colaborador, confirmada em todas as empresas)</t>
        </is>
      </c>
      <c r="J23" s="116" t="n"/>
      <c r="K23" s="116" t="n"/>
      <c r="L23" s="116" t="n"/>
      <c r="M23" s="116" t="n"/>
      <c r="N23" s="116" t="n"/>
      <c r="O23" s="116" t="n"/>
    </row>
    <row r="24" ht="15" customHeight="1" s="64">
      <c r="A24" s="120" t="inlineStr">
        <is>
          <t>Junho/2026</t>
        </is>
      </c>
      <c r="B24" s="120" t="inlineStr">
        <is>
          <t>DTEL</t>
        </is>
      </c>
      <c r="C24" s="120" t="inlineStr">
        <is>
          <t>Pessoal</t>
        </is>
      </c>
      <c r="D24" s="120" t="inlineStr">
        <is>
          <t>Despesas com DP</t>
        </is>
      </c>
      <c r="E24" s="120" t="inlineStr">
        <is>
          <t>ELTHON MENEZES</t>
        </is>
      </c>
      <c r="F24" s="120" t="n">
        <v>39</v>
      </c>
      <c r="G24" s="121" t="n">
        <v>47.79</v>
      </c>
      <c r="H24" s="121" t="n">
        <v>1863.81</v>
      </c>
      <c r="I24" s="120" t="inlineStr">
        <is>
          <t>Real (taxa fixa por colaborador, confirmada em todas as empresas)</t>
        </is>
      </c>
      <c r="J24" s="116" t="n"/>
      <c r="K24" s="116" t="n"/>
      <c r="L24" s="116" t="n"/>
      <c r="M24" s="116" t="n"/>
      <c r="N24" s="116" t="n"/>
      <c r="O24" s="116" t="n"/>
    </row>
    <row r="25" ht="15" customHeight="1" s="64">
      <c r="A25" s="120" t="inlineStr">
        <is>
          <t>Junho/2026</t>
        </is>
      </c>
      <c r="B25" s="120" t="inlineStr">
        <is>
          <t>DTEL</t>
        </is>
      </c>
      <c r="C25" s="120" t="inlineStr">
        <is>
          <t>Segurança do Trabalho</t>
        </is>
      </c>
      <c r="D25" s="120" t="inlineStr">
        <is>
          <t>Despesas com SST</t>
        </is>
      </c>
      <c r="E25" s="120" t="inlineStr">
        <is>
          <t>ELTHON MENEZES</t>
        </is>
      </c>
      <c r="F25" s="120" t="n">
        <v>39</v>
      </c>
      <c r="G25" s="121" t="n">
        <v>64.54000000000001</v>
      </c>
      <c r="H25" s="121" t="n">
        <v>2517.06</v>
      </c>
      <c r="I25" s="120" t="inlineStr">
        <is>
          <t>Real (taxa fixa por colaborador, confirmada em todas as empresas)</t>
        </is>
      </c>
      <c r="J25" s="116" t="n"/>
      <c r="K25" s="116" t="n"/>
      <c r="L25" s="116" t="n"/>
      <c r="M25" s="116" t="n"/>
      <c r="N25" s="116" t="n"/>
      <c r="O25" s="116" t="n"/>
    </row>
    <row r="26" ht="15" customHeight="1" s="64">
      <c r="A26" s="120" t="inlineStr">
        <is>
          <t>Junho/2026</t>
        </is>
      </c>
      <c r="B26" s="120" t="inlineStr">
        <is>
          <t>DTEL</t>
        </is>
      </c>
      <c r="C26" s="120" t="inlineStr">
        <is>
          <t>Segurança do Trabalho</t>
        </is>
      </c>
      <c r="D26" s="120" t="inlineStr">
        <is>
          <t>Despesas SST exames</t>
        </is>
      </c>
      <c r="E26" s="120" t="inlineStr">
        <is>
          <t>ELTHON MENEZES</t>
        </is>
      </c>
      <c r="F26" s="120" t="n">
        <v>1</v>
      </c>
      <c r="G26" s="121" t="n">
        <v>142.07</v>
      </c>
      <c r="H26" s="121" t="n">
        <v>142.07</v>
      </c>
      <c r="I26" s="120" t="inlineStr">
        <is>
          <t>Estimado (fatia proporcional ao nº de colaboradores da equipe, sem taxa fixa por pessoa), fatia de 39 colaboradores da equipe</t>
        </is>
      </c>
      <c r="J26" s="116" t="n"/>
      <c r="K26" s="116" t="n"/>
      <c r="L26" s="116" t="n"/>
      <c r="M26" s="116" t="n"/>
      <c r="N26" s="116" t="n"/>
      <c r="O26" s="116" t="n"/>
    </row>
    <row r="27" ht="15" customHeight="1" s="64">
      <c r="A27" s="120" t="inlineStr">
        <is>
          <t>Junho/2026</t>
        </is>
      </c>
      <c r="B27" s="120" t="inlineStr">
        <is>
          <t>DTEL</t>
        </is>
      </c>
      <c r="C27" s="120" t="inlineStr">
        <is>
          <t>Benefícios</t>
        </is>
      </c>
      <c r="D27" s="120" t="inlineStr">
        <is>
          <t>Gympass</t>
        </is>
      </c>
      <c r="E27" s="120" t="inlineStr">
        <is>
          <t>ELTHON MENEZES</t>
        </is>
      </c>
      <c r="F27" s="120" t="n">
        <v>39</v>
      </c>
      <c r="G27" s="121" t="n">
        <v>10.05</v>
      </c>
      <c r="H27" s="121" t="n">
        <v>391.95</v>
      </c>
      <c r="I27" s="120" t="inlineStr">
        <is>
          <t>Real (taxa fixa por colaborador, confirmada em todas as empresas)</t>
        </is>
      </c>
      <c r="J27" s="116" t="n"/>
      <c r="K27" s="116" t="n"/>
      <c r="L27" s="116" t="n"/>
      <c r="M27" s="116" t="n"/>
      <c r="N27" s="116" t="n"/>
      <c r="O27" s="116" t="n"/>
    </row>
    <row r="28" ht="15" customHeight="1" s="64">
      <c r="A28" s="120" t="inlineStr">
        <is>
          <t>Junho/2026</t>
        </is>
      </c>
      <c r="B28" s="120" t="inlineStr">
        <is>
          <t>DTEL</t>
        </is>
      </c>
      <c r="C28" s="120" t="inlineStr">
        <is>
          <t>Benefícios</t>
        </is>
      </c>
      <c r="D28" s="120" t="inlineStr">
        <is>
          <t>Stargrid</t>
        </is>
      </c>
      <c r="E28" s="120" t="inlineStr">
        <is>
          <t>ELTHON MENEZES</t>
        </is>
      </c>
      <c r="F28" s="120" t="n">
        <v>39</v>
      </c>
      <c r="G28" s="121" t="n">
        <v>2.07</v>
      </c>
      <c r="H28" s="121" t="n">
        <v>80.73</v>
      </c>
      <c r="I28" s="120" t="inlineStr">
        <is>
          <t>Real (taxa fixa por colaborador, confirmada em todas as empresas)</t>
        </is>
      </c>
      <c r="J28" s="116" t="n"/>
      <c r="K28" s="116" t="n"/>
      <c r="L28" s="116" t="n"/>
      <c r="M28" s="116" t="n"/>
      <c r="N28" s="116" t="n"/>
      <c r="O28" s="116" t="n"/>
    </row>
    <row r="29" ht="15" customHeight="1" s="64">
      <c r="A29" s="120" t="inlineStr">
        <is>
          <t>Junho/2026</t>
        </is>
      </c>
      <c r="B29" s="120" t="inlineStr">
        <is>
          <t>DTEL</t>
        </is>
      </c>
      <c r="C29" s="120" t="inlineStr">
        <is>
          <t>Fardamento</t>
        </is>
      </c>
      <c r="D29" s="120" t="inlineStr">
        <is>
          <t>Novo Fardamento</t>
        </is>
      </c>
      <c r="E29" s="120" t="inlineStr">
        <is>
          <t>ELTHON MENEZES</t>
        </is>
      </c>
      <c r="F29" s="120" t="n">
        <v>1</v>
      </c>
      <c r="G29" s="121" t="n">
        <v>764.48</v>
      </c>
      <c r="H29" s="121" t="n">
        <v>764.48</v>
      </c>
      <c r="I29" s="120" t="inlineStr">
        <is>
          <t>Estimado (fatia proporcional ao nº de colaboradores da equipe, sem taxa fixa por pessoa), fatia de 39 colaboradores da equipe</t>
        </is>
      </c>
      <c r="J29" s="116" t="n"/>
      <c r="K29" s="116" t="n"/>
      <c r="L29" s="116" t="n"/>
      <c r="M29" s="116" t="n"/>
      <c r="N29" s="116" t="n"/>
      <c r="O29" s="116" t="n"/>
    </row>
    <row r="30" ht="15" customHeight="1" s="64">
      <c r="A30" s="120" t="inlineStr">
        <is>
          <t>Junho/2026</t>
        </is>
      </c>
      <c r="B30" s="120" t="inlineStr">
        <is>
          <t>DTEL</t>
        </is>
      </c>
      <c r="C30" s="120" t="inlineStr">
        <is>
          <t>Fardamento</t>
        </is>
      </c>
      <c r="D30" s="120" t="inlineStr">
        <is>
          <t>Substituição extra de Fardamento</t>
        </is>
      </c>
      <c r="E30" s="120" t="inlineStr">
        <is>
          <t>ELTHON MENEZES</t>
        </is>
      </c>
      <c r="F30" s="120" t="n">
        <v>1</v>
      </c>
      <c r="G30" s="121" t="n">
        <v>1150.7</v>
      </c>
      <c r="H30" s="121" t="n">
        <v>1150.7</v>
      </c>
      <c r="I30" s="120" t="inlineStr">
        <is>
          <t>Estimado (fatia proporcional ao nº de colaboradores da equipe, sem taxa fixa por pessoa), fatia de 39 colaboradores da equipe</t>
        </is>
      </c>
      <c r="J30" s="116" t="n"/>
      <c r="K30" s="116" t="n"/>
      <c r="L30" s="116" t="n"/>
      <c r="M30" s="116" t="n"/>
      <c r="N30" s="116" t="n"/>
      <c r="O30" s="116" t="n"/>
    </row>
    <row r="31" ht="15" customHeight="1" s="64">
      <c r="A31" s="120" t="inlineStr">
        <is>
          <t>Junho/2026</t>
        </is>
      </c>
      <c r="B31" s="120" t="inlineStr">
        <is>
          <t>DTEL</t>
        </is>
      </c>
      <c r="C31" s="120" t="inlineStr">
        <is>
          <t>Estrutura/Infra</t>
        </is>
      </c>
      <c r="D31" s="120" t="inlineStr">
        <is>
          <t>Linhas moveis (FIQUE MÓVEL)</t>
        </is>
      </c>
      <c r="E31" s="120" t="inlineStr">
        <is>
          <t>ELTHON MENEZES</t>
        </is>
      </c>
      <c r="F31" s="120" t="n">
        <v>42</v>
      </c>
      <c r="G31" s="121" t="n">
        <v>30</v>
      </c>
      <c r="H31" s="121">
        <f>F31*G31</f>
        <v/>
      </c>
      <c r="I31" s="120" t="inlineStr">
        <is>
          <t>Real (taxa fixa por colaborador, confirmada em todas as empresas)</t>
        </is>
      </c>
      <c r="J31" s="116" t="n"/>
      <c r="K31" s="116" t="n"/>
      <c r="L31" s="116" t="n"/>
      <c r="M31" s="116" t="n"/>
      <c r="N31" s="116" t="n"/>
      <c r="O31" s="116" t="n"/>
    </row>
    <row r="32" ht="15" customHeight="1" s="64">
      <c r="A32" s="120" t="inlineStr">
        <is>
          <t>Junho/2026</t>
        </is>
      </c>
      <c r="B32" s="120" t="inlineStr">
        <is>
          <t>DTEL</t>
        </is>
      </c>
      <c r="C32" s="120" t="inlineStr">
        <is>
          <t>Frota/Combustível</t>
        </is>
      </c>
      <c r="D32" s="120" t="inlineStr">
        <is>
          <t>Consumo de combustível</t>
        </is>
      </c>
      <c r="E32" s="120" t="inlineStr">
        <is>
          <t>ELTHON MENEZES</t>
        </is>
      </c>
      <c r="F32" s="120" t="n">
        <v>1</v>
      </c>
      <c r="G32" s="121" t="n">
        <v>370.8</v>
      </c>
      <c r="H32" s="121">
        <f>F32*G32</f>
        <v/>
      </c>
      <c r="I32" s="120" t="inlineStr">
        <is>
      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      </is>
      </c>
      <c r="J32" s="116" t="n"/>
      <c r="K32" s="116" t="n"/>
      <c r="L32" s="116" t="n"/>
      <c r="M32" s="116" t="n"/>
      <c r="N32" s="116" t="n"/>
      <c r="O32" s="116" t="n"/>
    </row>
    <row r="33" ht="15" customHeight="1" s="64">
      <c r="A33" s="120" t="inlineStr">
        <is>
          <t>Junho/2026</t>
        </is>
      </c>
      <c r="B33" s="120" t="inlineStr">
        <is>
          <t>DTEL</t>
        </is>
      </c>
      <c r="C33" s="120" t="inlineStr">
        <is>
          <t>Pessoal</t>
        </is>
      </c>
      <c r="D33" s="120" t="inlineStr">
        <is>
          <t>Folha Trabalhista com impostos do mês</t>
        </is>
      </c>
      <c r="E33" s="120" t="inlineStr">
        <is>
          <t>GABRIEL LIMA</t>
        </is>
      </c>
      <c r="F33" s="120" t="n">
        <v>1</v>
      </c>
      <c r="G33" s="121" t="n">
        <v>7035.95</v>
      </c>
      <c r="H33" s="121">
        <f>F33*G33</f>
        <v/>
      </c>
      <c r="I33" s="120" t="inlineStr">
        <is>
          <t>Real (cruzado por nome, 3/9 encontrados)</t>
        </is>
      </c>
      <c r="J33" s="116" t="n"/>
      <c r="K33" s="116" t="n"/>
      <c r="L33" s="116" t="n"/>
      <c r="M33" s="116" t="n"/>
      <c r="N33" s="116" t="n"/>
      <c r="O33" s="116" t="n"/>
    </row>
    <row r="34" ht="15" customHeight="1" s="64">
      <c r="A34" s="120" t="inlineStr">
        <is>
          <t>Junho/2026</t>
        </is>
      </c>
      <c r="B34" s="120" t="inlineStr">
        <is>
          <t>DTEL</t>
        </is>
      </c>
      <c r="C34" s="120" t="inlineStr">
        <is>
          <t>Pessoal</t>
        </is>
      </c>
      <c r="D34" s="120" t="inlineStr">
        <is>
          <t>Vale Transporte</t>
        </is>
      </c>
      <c r="E34" s="120" t="inlineStr">
        <is>
          <t>GABRIEL LIMA</t>
        </is>
      </c>
      <c r="F34" s="120" t="n">
        <v>1</v>
      </c>
      <c r="G34" s="121" t="n">
        <v>285.43</v>
      </c>
      <c r="H34" s="121" t="n">
        <v>285.43</v>
      </c>
      <c r="I34" s="120" t="inlineStr">
        <is>
          <t>Estimado (fatia proporcional ao nº de colaboradores da equipe, sem taxa fixa por pessoa), fatia de 9 colaboradores da equipe</t>
        </is>
      </c>
      <c r="J34" s="116" t="n"/>
      <c r="K34" s="116" t="n"/>
      <c r="L34" s="116" t="n"/>
      <c r="M34" s="116" t="n"/>
      <c r="N34" s="116" t="n"/>
      <c r="O34" s="116" t="n"/>
    </row>
    <row r="35" ht="15" customHeight="1" s="64">
      <c r="A35" s="120" t="inlineStr">
        <is>
          <t>Junho/2026</t>
        </is>
      </c>
      <c r="B35" s="120" t="inlineStr">
        <is>
          <t>DTEL</t>
        </is>
      </c>
      <c r="C35" s="120" t="inlineStr">
        <is>
          <t>Pessoal</t>
        </is>
      </c>
      <c r="D35" s="120" t="inlineStr">
        <is>
          <t>Despesas com RH</t>
        </is>
      </c>
      <c r="E35" s="120" t="inlineStr">
        <is>
          <t>GABRIEL LIMA</t>
        </is>
      </c>
      <c r="F35" s="120" t="n">
        <v>9</v>
      </c>
      <c r="G35" s="121" t="n">
        <v>28.31</v>
      </c>
      <c r="H35" s="121">
        <f>F35*G35</f>
        <v/>
      </c>
      <c r="I35" s="120" t="inlineStr">
        <is>
          <t>Real (taxa fixa por colaborador, confirmada em todas as empresas)</t>
        </is>
      </c>
      <c r="J35" s="116" t="n"/>
      <c r="K35" s="116" t="n"/>
      <c r="L35" s="116" t="n"/>
      <c r="M35" s="116" t="n"/>
      <c r="N35" s="116" t="n"/>
      <c r="O35" s="116" t="n"/>
    </row>
    <row r="36" ht="15" customHeight="1" s="64">
      <c r="A36" s="120" t="inlineStr">
        <is>
          <t>Junho/2026</t>
        </is>
      </c>
      <c r="B36" s="120" t="inlineStr">
        <is>
          <t>DTEL</t>
        </is>
      </c>
      <c r="C36" s="120" t="inlineStr">
        <is>
          <t>Pessoal</t>
        </is>
      </c>
      <c r="D36" s="120" t="inlineStr">
        <is>
          <t>Despesas com DP</t>
        </is>
      </c>
      <c r="E36" s="120" t="inlineStr">
        <is>
          <t>GABRIEL LIMA</t>
        </is>
      </c>
      <c r="F36" s="120" t="n">
        <v>9</v>
      </c>
      <c r="G36" s="121" t="n">
        <v>47.79</v>
      </c>
      <c r="H36" s="121">
        <f>F36*G36</f>
        <v/>
      </c>
      <c r="I36" s="120" t="inlineStr">
        <is>
          <t>Real (taxa fixa por colaborador, confirmada em todas as empresas)</t>
        </is>
      </c>
      <c r="J36" s="116" t="n"/>
      <c r="K36" s="116" t="n"/>
      <c r="L36" s="116" t="n"/>
      <c r="M36" s="116" t="n"/>
      <c r="N36" s="116" t="n"/>
      <c r="O36" s="116" t="n"/>
    </row>
    <row r="37" ht="15" customHeight="1" s="64">
      <c r="A37" s="120" t="inlineStr">
        <is>
          <t>Junho/2026</t>
        </is>
      </c>
      <c r="B37" s="120" t="inlineStr">
        <is>
          <t>DTEL</t>
        </is>
      </c>
      <c r="C37" s="120" t="inlineStr">
        <is>
          <t>Segurança do Trabalho</t>
        </is>
      </c>
      <c r="D37" s="120" t="inlineStr">
        <is>
          <t>Despesas com SST</t>
        </is>
      </c>
      <c r="E37" s="120" t="inlineStr">
        <is>
          <t>GABRIEL LIMA</t>
        </is>
      </c>
      <c r="F37" s="120" t="n">
        <v>9</v>
      </c>
      <c r="G37" s="121" t="n">
        <v>64.54000000000001</v>
      </c>
      <c r="H37" s="121">
        <f>F37*G37</f>
        <v/>
      </c>
      <c r="I37" s="120" t="inlineStr">
        <is>
          <t>Real (taxa fixa por colaborador, confirmada em todas as empresas)</t>
        </is>
      </c>
      <c r="J37" s="116" t="n"/>
      <c r="K37" s="116" t="n"/>
      <c r="L37" s="116" t="n"/>
      <c r="M37" s="116" t="n"/>
      <c r="N37" s="116" t="n"/>
      <c r="O37" s="116" t="n"/>
    </row>
    <row r="38" ht="15" customHeight="1" s="64">
      <c r="A38" s="120" t="inlineStr">
        <is>
          <t>Junho/2026</t>
        </is>
      </c>
      <c r="B38" s="120" t="inlineStr">
        <is>
          <t>DTEL</t>
        </is>
      </c>
      <c r="C38" s="120" t="inlineStr">
        <is>
          <t>Segurança do Trabalho</t>
        </is>
      </c>
      <c r="D38" s="120" t="inlineStr">
        <is>
          <t>Despesas SST exames</t>
        </is>
      </c>
      <c r="E38" s="120" t="inlineStr">
        <is>
          <t>GABRIEL LIMA</t>
        </is>
      </c>
      <c r="F38" s="120" t="n">
        <v>1</v>
      </c>
      <c r="G38" s="121" t="n">
        <v>32.79</v>
      </c>
      <c r="H38" s="121" t="n">
        <v>32.79</v>
      </c>
      <c r="I38" s="120" t="inlineStr">
        <is>
          <t>Estimado (fatia proporcional ao nº de colaboradores da equipe, sem taxa fixa por pessoa), fatia de 9 colaboradores da equipe</t>
        </is>
      </c>
      <c r="J38" s="116" t="n"/>
      <c r="K38" s="116" t="n"/>
      <c r="L38" s="116" t="n"/>
      <c r="M38" s="116" t="n"/>
      <c r="N38" s="116" t="n"/>
      <c r="O38" s="116" t="n"/>
    </row>
    <row r="39" ht="15" customHeight="1" s="64">
      <c r="A39" s="120" t="inlineStr">
        <is>
          <t>Junho/2026</t>
        </is>
      </c>
      <c r="B39" s="120" t="inlineStr">
        <is>
          <t>DTEL</t>
        </is>
      </c>
      <c r="C39" s="120" t="inlineStr">
        <is>
          <t>Benefícios</t>
        </is>
      </c>
      <c r="D39" s="120" t="inlineStr">
        <is>
          <t>Gympass</t>
        </is>
      </c>
      <c r="E39" s="120" t="inlineStr">
        <is>
          <t>GABRIEL LIMA</t>
        </is>
      </c>
      <c r="F39" s="120" t="n">
        <v>9</v>
      </c>
      <c r="G39" s="121" t="n">
        <v>10.05</v>
      </c>
      <c r="H39" s="121">
        <f>F39*G39</f>
        <v/>
      </c>
      <c r="I39" s="120" t="inlineStr">
        <is>
          <t>Real (taxa fixa por colaborador, confirmada em todas as empresas)</t>
        </is>
      </c>
      <c r="J39" s="116" t="n"/>
      <c r="K39" s="116" t="n"/>
      <c r="L39" s="116" t="n"/>
      <c r="M39" s="116" t="n"/>
      <c r="N39" s="116" t="n"/>
      <c r="O39" s="116" t="n"/>
    </row>
    <row r="40" ht="15" customHeight="1" s="64">
      <c r="A40" s="120" t="inlineStr">
        <is>
          <t>Junho/2026</t>
        </is>
      </c>
      <c r="B40" s="120" t="inlineStr">
        <is>
          <t>DTEL</t>
        </is>
      </c>
      <c r="C40" s="120" t="inlineStr">
        <is>
          <t>Benefícios</t>
        </is>
      </c>
      <c r="D40" s="120" t="inlineStr">
        <is>
          <t>Stargrid</t>
        </is>
      </c>
      <c r="E40" s="120" t="inlineStr">
        <is>
          <t>GABRIEL LIMA</t>
        </is>
      </c>
      <c r="F40" s="120" t="n">
        <v>9</v>
      </c>
      <c r="G40" s="121" t="n">
        <v>2.07</v>
      </c>
      <c r="H40" s="121">
        <f>F40*G40</f>
        <v/>
      </c>
      <c r="I40" s="120" t="inlineStr">
        <is>
          <t>Real (taxa fixa por colaborador, confirmada em todas as empresas)</t>
        </is>
      </c>
      <c r="J40" s="116" t="n"/>
      <c r="K40" s="116" t="n"/>
      <c r="L40" s="116" t="n"/>
      <c r="M40" s="116" t="n"/>
      <c r="N40" s="116" t="n"/>
      <c r="O40" s="116" t="n"/>
    </row>
    <row r="41" ht="15" customHeight="1" s="64">
      <c r="A41" s="120" t="inlineStr">
        <is>
          <t>Junho/2026</t>
        </is>
      </c>
      <c r="B41" s="120" t="inlineStr">
        <is>
          <t>DTEL</t>
        </is>
      </c>
      <c r="C41" s="120" t="inlineStr">
        <is>
          <t>Fardamento</t>
        </is>
      </c>
      <c r="D41" s="120" t="inlineStr">
        <is>
          <t>Novo Fardamento</t>
        </is>
      </c>
      <c r="E41" s="120" t="inlineStr">
        <is>
          <t>GABRIEL LIMA</t>
        </is>
      </c>
      <c r="F41" s="120" t="n">
        <v>1</v>
      </c>
      <c r="G41" s="121" t="n">
        <v>176.42</v>
      </c>
      <c r="H41" s="121" t="n">
        <v>176.42</v>
      </c>
      <c r="I41" s="120" t="inlineStr">
        <is>
          <t>Estimado (fatia proporcional ao nº de colaboradores da equipe, sem taxa fixa por pessoa), fatia de 9 colaboradores da equipe</t>
        </is>
      </c>
      <c r="J41" s="116" t="n"/>
      <c r="K41" s="116" t="n"/>
      <c r="L41" s="116" t="n"/>
      <c r="M41" s="116" t="n"/>
      <c r="N41" s="116" t="n"/>
      <c r="O41" s="116" t="n"/>
    </row>
    <row r="42" ht="15" customHeight="1" s="64">
      <c r="A42" s="120" t="inlineStr">
        <is>
          <t>Junho/2026</t>
        </is>
      </c>
      <c r="B42" s="120" t="inlineStr">
        <is>
          <t>DTEL</t>
        </is>
      </c>
      <c r="C42" s="120" t="inlineStr">
        <is>
          <t>Fardamento</t>
        </is>
      </c>
      <c r="D42" s="120" t="inlineStr">
        <is>
          <t>Substituição extra de Fardamento</t>
        </is>
      </c>
      <c r="E42" s="120" t="inlineStr">
        <is>
          <t>GABRIEL LIMA</t>
        </is>
      </c>
      <c r="F42" s="120" t="n">
        <v>1</v>
      </c>
      <c r="G42" s="121" t="n">
        <v>265.55</v>
      </c>
      <c r="H42" s="121" t="n">
        <v>265.55</v>
      </c>
      <c r="I42" s="120" t="inlineStr">
        <is>
          <t>Estimado (fatia proporcional ao nº de colaboradores da equipe, sem taxa fixa por pessoa), fatia de 9 colaboradores da equipe</t>
        </is>
      </c>
      <c r="J42" s="116" t="n"/>
      <c r="K42" s="116" t="n"/>
      <c r="L42" s="116" t="n"/>
      <c r="M42" s="116" t="n"/>
      <c r="N42" s="116" t="n"/>
      <c r="O42" s="116" t="n"/>
    </row>
    <row r="43" ht="15" customHeight="1" s="64">
      <c r="A43" s="120" t="inlineStr">
        <is>
          <t>Junho/2026</t>
        </is>
      </c>
      <c r="B43" s="120" t="inlineStr">
        <is>
          <t>DTEL</t>
        </is>
      </c>
      <c r="C43" s="120" t="inlineStr">
        <is>
          <t>Estrutura/Infra</t>
        </is>
      </c>
      <c r="D43" s="120" t="inlineStr">
        <is>
          <t>Linhas moveis (FIQUE MÓVEL)</t>
        </is>
      </c>
      <c r="E43" s="120" t="inlineStr">
        <is>
          <t>GABRIEL LIMA</t>
        </is>
      </c>
      <c r="F43" s="120" t="n">
        <v>9</v>
      </c>
      <c r="G43" s="121" t="n">
        <v>30</v>
      </c>
      <c r="H43" s="121">
        <f>F43*G43</f>
        <v/>
      </c>
      <c r="I43" s="120" t="inlineStr">
        <is>
          <t>Real (taxa fixa por colaborador, confirmada em todas as empresas)</t>
        </is>
      </c>
      <c r="J43" s="116" t="n"/>
      <c r="K43" s="116" t="n"/>
      <c r="L43" s="116" t="n"/>
      <c r="M43" s="116" t="n"/>
      <c r="N43" s="116" t="n"/>
      <c r="O43" s="116" t="n"/>
    </row>
    <row r="44" ht="15" customHeight="1" s="64">
      <c r="A44" s="120" t="inlineStr">
        <is>
          <t>Junho/2026</t>
        </is>
      </c>
      <c r="B44" s="120" t="inlineStr">
        <is>
          <t>DTEL</t>
        </is>
      </c>
      <c r="C44" s="120" t="inlineStr">
        <is>
          <t>Pessoal</t>
        </is>
      </c>
      <c r="D44" s="120" t="inlineStr">
        <is>
          <t>Folha Trabalhista com impostos do mês</t>
        </is>
      </c>
      <c r="E44" s="120" t="inlineStr">
        <is>
          <t>LUCAS BONIFÁCIO</t>
        </is>
      </c>
      <c r="F44" s="120" t="n">
        <v>1</v>
      </c>
      <c r="G44" s="121" t="n">
        <v>31149.92</v>
      </c>
      <c r="H44" s="121">
        <f>F44*G44</f>
        <v/>
      </c>
      <c r="I44" s="120" t="inlineStr">
        <is>
          <t>Real (cruzado por nome, 7/7 encontrados)</t>
        </is>
      </c>
      <c r="J44" s="116" t="n"/>
      <c r="K44" s="116" t="n"/>
      <c r="L44" s="116" t="n"/>
      <c r="M44" s="116" t="n"/>
      <c r="N44" s="116" t="n"/>
      <c r="O44" s="116" t="n"/>
    </row>
    <row r="45" ht="15" customHeight="1" s="64">
      <c r="A45" s="120" t="inlineStr">
        <is>
          <t>Junho/2026</t>
        </is>
      </c>
      <c r="B45" s="120" t="inlineStr">
        <is>
          <t>DTEL</t>
        </is>
      </c>
      <c r="C45" s="120" t="inlineStr">
        <is>
          <t>Pessoal</t>
        </is>
      </c>
      <c r="D45" s="120" t="inlineStr">
        <is>
          <t>Vale Transporte</t>
        </is>
      </c>
      <c r="E45" s="120" t="inlineStr">
        <is>
          <t>LUCAS BONIFÁCIO</t>
        </is>
      </c>
      <c r="F45" s="120" t="n">
        <v>1</v>
      </c>
      <c r="G45" s="121" t="n">
        <v>222</v>
      </c>
      <c r="H45" s="121" t="n">
        <v>222</v>
      </c>
      <c r="I45" s="120" t="inlineStr">
        <is>
          <t>Estimado (fatia proporcional ao nº de colaboradores da equipe, sem taxa fixa por pessoa), fatia de 7 colaboradores da equipe</t>
        </is>
      </c>
      <c r="J45" s="116" t="n"/>
      <c r="K45" s="116" t="n"/>
      <c r="L45" s="116" t="n"/>
      <c r="M45" s="116" t="n"/>
      <c r="N45" s="116" t="n"/>
      <c r="O45" s="116" t="n"/>
    </row>
    <row r="46" ht="15" customHeight="1" s="64">
      <c r="A46" s="120" t="inlineStr">
        <is>
          <t>Junho/2026</t>
        </is>
      </c>
      <c r="B46" s="120" t="inlineStr">
        <is>
          <t>DTEL</t>
        </is>
      </c>
      <c r="C46" s="120" t="inlineStr">
        <is>
          <t>Pessoal</t>
        </is>
      </c>
      <c r="D46" s="120" t="inlineStr">
        <is>
          <t>Despesas com RH</t>
        </is>
      </c>
      <c r="E46" s="120" t="inlineStr">
        <is>
          <t>LUCAS BONIFÁCIO</t>
        </is>
      </c>
      <c r="F46" s="120" t="n">
        <v>7</v>
      </c>
      <c r="G46" s="121" t="n">
        <v>28.31</v>
      </c>
      <c r="H46" s="121">
        <f>F46*G46</f>
        <v/>
      </c>
      <c r="I46" s="120" t="inlineStr">
        <is>
          <t>Real (taxa fixa por colaborador, confirmada em todas as empresas)</t>
        </is>
      </c>
      <c r="J46" s="116" t="n"/>
      <c r="K46" s="116" t="n"/>
      <c r="L46" s="116" t="n"/>
      <c r="M46" s="116" t="n"/>
      <c r="N46" s="116" t="n"/>
      <c r="O46" s="116" t="n"/>
    </row>
    <row r="47" ht="15" customHeight="1" s="64">
      <c r="A47" s="120" t="inlineStr">
        <is>
          <t>Junho/2026</t>
        </is>
      </c>
      <c r="B47" s="120" t="inlineStr">
        <is>
          <t>DTEL</t>
        </is>
      </c>
      <c r="C47" s="120" t="inlineStr">
        <is>
          <t>Pessoal</t>
        </is>
      </c>
      <c r="D47" s="120" t="inlineStr">
        <is>
          <t>Despesas com DP</t>
        </is>
      </c>
      <c r="E47" s="120" t="inlineStr">
        <is>
          <t>LUCAS BONIFÁCIO</t>
        </is>
      </c>
      <c r="F47" s="120" t="n">
        <v>7</v>
      </c>
      <c r="G47" s="121" t="n">
        <v>47.79</v>
      </c>
      <c r="H47" s="121">
        <f>F47*G47</f>
        <v/>
      </c>
      <c r="I47" s="120" t="inlineStr">
        <is>
          <t>Real (taxa fixa por colaborador, confirmada em todas as empresas)</t>
        </is>
      </c>
      <c r="J47" s="116" t="n"/>
      <c r="K47" s="116" t="n"/>
      <c r="L47" s="116" t="n"/>
      <c r="M47" s="116" t="n"/>
      <c r="N47" s="116" t="n"/>
      <c r="O47" s="116" t="n"/>
    </row>
    <row r="48" ht="15" customHeight="1" s="64">
      <c r="A48" s="120" t="inlineStr">
        <is>
          <t>Junho/2026</t>
        </is>
      </c>
      <c r="B48" s="120" t="inlineStr">
        <is>
          <t>DTEL</t>
        </is>
      </c>
      <c r="C48" s="120" t="inlineStr">
        <is>
          <t>Segurança do Trabalho</t>
        </is>
      </c>
      <c r="D48" s="120" t="inlineStr">
        <is>
          <t>Despesas com SST</t>
        </is>
      </c>
      <c r="E48" s="120" t="inlineStr">
        <is>
          <t>LUCAS BONIFÁCIO</t>
        </is>
      </c>
      <c r="F48" s="120" t="n">
        <v>7</v>
      </c>
      <c r="G48" s="121" t="n">
        <v>64.54000000000001</v>
      </c>
      <c r="H48" s="121">
        <f>F48*G48</f>
        <v/>
      </c>
      <c r="I48" s="120" t="inlineStr">
        <is>
          <t>Real (taxa fixa por colaborador, confirmada em todas as empresas)</t>
        </is>
      </c>
      <c r="J48" s="116" t="n"/>
      <c r="K48" s="116" t="n"/>
      <c r="L48" s="116" t="n"/>
      <c r="M48" s="116" t="n"/>
      <c r="N48" s="116" t="n"/>
      <c r="O48" s="116" t="n"/>
    </row>
    <row r="49" ht="15" customHeight="1" s="64">
      <c r="A49" s="120" t="inlineStr">
        <is>
          <t>Junho/2026</t>
        </is>
      </c>
      <c r="B49" s="120" t="inlineStr">
        <is>
          <t>DTEL</t>
        </is>
      </c>
      <c r="C49" s="120" t="inlineStr">
        <is>
          <t>Segurança do Trabalho</t>
        </is>
      </c>
      <c r="D49" s="120" t="inlineStr">
        <is>
          <t>Despesas SST exames</t>
        </is>
      </c>
      <c r="E49" s="120" t="inlineStr">
        <is>
          <t>LUCAS BONIFÁCIO</t>
        </is>
      </c>
      <c r="F49" s="120" t="n">
        <v>1</v>
      </c>
      <c r="G49" s="121" t="n">
        <v>25.5</v>
      </c>
      <c r="H49" s="121" t="n">
        <v>25.5</v>
      </c>
      <c r="I49" s="120" t="inlineStr">
        <is>
          <t>Estimado (fatia proporcional ao nº de colaboradores da equipe, sem taxa fixa por pessoa), fatia de 7 colaboradores da equipe</t>
        </is>
      </c>
      <c r="J49" s="116" t="n"/>
      <c r="K49" s="116" t="n"/>
      <c r="L49" s="116" t="n"/>
      <c r="M49" s="116" t="n"/>
      <c r="N49" s="116" t="n"/>
      <c r="O49" s="116" t="n"/>
    </row>
    <row r="50" ht="15" customHeight="1" s="64">
      <c r="A50" s="120" t="inlineStr">
        <is>
          <t>Junho/2026</t>
        </is>
      </c>
      <c r="B50" s="120" t="inlineStr">
        <is>
          <t>DTEL</t>
        </is>
      </c>
      <c r="C50" s="120" t="inlineStr">
        <is>
          <t>Benefícios</t>
        </is>
      </c>
      <c r="D50" s="120" t="inlineStr">
        <is>
          <t>Gympass</t>
        </is>
      </c>
      <c r="E50" s="120" t="inlineStr">
        <is>
          <t>LUCAS BONIFÁCIO</t>
        </is>
      </c>
      <c r="F50" s="120" t="n">
        <v>7</v>
      </c>
      <c r="G50" s="121" t="n">
        <v>10.05</v>
      </c>
      <c r="H50" s="121">
        <f>F50*G50</f>
        <v/>
      </c>
      <c r="I50" s="120" t="inlineStr">
        <is>
          <t>Real (taxa fixa por colaborador, confirmada em todas as empresas)</t>
        </is>
      </c>
      <c r="J50" s="116" t="n"/>
      <c r="K50" s="116" t="n"/>
      <c r="L50" s="116" t="n"/>
      <c r="M50" s="116" t="n"/>
      <c r="N50" s="116" t="n"/>
      <c r="O50" s="116" t="n"/>
    </row>
    <row r="51" ht="15" customHeight="1" s="64">
      <c r="A51" s="120" t="inlineStr">
        <is>
          <t>Junho/2026</t>
        </is>
      </c>
      <c r="B51" s="120" t="inlineStr">
        <is>
          <t>DTEL</t>
        </is>
      </c>
      <c r="C51" s="120" t="inlineStr">
        <is>
          <t>Benefícios</t>
        </is>
      </c>
      <c r="D51" s="120" t="inlineStr">
        <is>
          <t>Stargrid</t>
        </is>
      </c>
      <c r="E51" s="120" t="inlineStr">
        <is>
          <t>LUCAS BONIFÁCIO</t>
        </is>
      </c>
      <c r="F51" s="120" t="n">
        <v>7</v>
      </c>
      <c r="G51" s="121" t="n">
        <v>2.07</v>
      </c>
      <c r="H51" s="121">
        <f>F51*G51</f>
        <v/>
      </c>
      <c r="I51" s="120" t="inlineStr">
        <is>
          <t>Real (taxa fixa por colaborador, confirmada em todas as empresas)</t>
        </is>
      </c>
      <c r="J51" s="116" t="n"/>
      <c r="K51" s="116" t="n"/>
      <c r="L51" s="116" t="n"/>
      <c r="M51" s="116" t="n"/>
      <c r="N51" s="116" t="n"/>
      <c r="O51" s="116" t="n"/>
    </row>
    <row r="52" ht="15" customHeight="1" s="64">
      <c r="A52" s="120" t="inlineStr">
        <is>
          <t>Junho/2026</t>
        </is>
      </c>
      <c r="B52" s="120" t="inlineStr">
        <is>
          <t>DTEL</t>
        </is>
      </c>
      <c r="C52" s="120" t="inlineStr">
        <is>
          <t>Fardamento</t>
        </is>
      </c>
      <c r="D52" s="120" t="inlineStr">
        <is>
          <t>Novo Fardamento</t>
        </is>
      </c>
      <c r="E52" s="120" t="inlineStr">
        <is>
          <t>LUCAS BONIFÁCIO</t>
        </is>
      </c>
      <c r="F52" s="120" t="n">
        <v>1</v>
      </c>
      <c r="G52" s="121" t="n">
        <v>137.22</v>
      </c>
      <c r="H52" s="121" t="n">
        <v>137.22</v>
      </c>
      <c r="I52" s="120" t="inlineStr">
        <is>
          <t>Estimado (fatia proporcional ao nº de colaboradores da equipe, sem taxa fixa por pessoa), fatia de 7 colaboradores da equipe</t>
        </is>
      </c>
      <c r="J52" s="116" t="n"/>
      <c r="K52" s="116" t="n"/>
      <c r="L52" s="116" t="n"/>
      <c r="M52" s="116" t="n"/>
      <c r="N52" s="116" t="n"/>
      <c r="O52" s="116" t="n"/>
    </row>
    <row r="53" ht="15" customHeight="1" s="64">
      <c r="A53" s="120" t="inlineStr">
        <is>
          <t>Junho/2026</t>
        </is>
      </c>
      <c r="B53" s="120" t="inlineStr">
        <is>
          <t>DTEL</t>
        </is>
      </c>
      <c r="C53" s="120" t="inlineStr">
        <is>
          <t>Fardamento</t>
        </is>
      </c>
      <c r="D53" s="120" t="inlineStr">
        <is>
          <t>Substituição extra de Fardamento</t>
        </is>
      </c>
      <c r="E53" s="120" t="inlineStr">
        <is>
          <t>LUCAS BONIFÁCIO</t>
        </is>
      </c>
      <c r="F53" s="120" t="n">
        <v>1</v>
      </c>
      <c r="G53" s="121" t="n">
        <v>206.54</v>
      </c>
      <c r="H53" s="121" t="n">
        <v>206.54</v>
      </c>
      <c r="I53" s="120" t="inlineStr">
        <is>
          <t>Estimado (fatia proporcional ao nº de colaboradores da equipe, sem taxa fixa por pessoa), fatia de 7 colaboradores da equipe</t>
        </is>
      </c>
      <c r="J53" s="116" t="n"/>
      <c r="K53" s="116" t="n"/>
      <c r="L53" s="116" t="n"/>
      <c r="M53" s="116" t="n"/>
      <c r="N53" s="116" t="n"/>
      <c r="O53" s="116" t="n"/>
    </row>
    <row r="54" ht="15" customHeight="1" s="64">
      <c r="A54" s="120" t="inlineStr">
        <is>
          <t>Junho/2026</t>
        </is>
      </c>
      <c r="B54" s="120" t="inlineStr">
        <is>
          <t>DTEL</t>
        </is>
      </c>
      <c r="C54" s="120" t="inlineStr">
        <is>
          <t>Estrutura/Infra</t>
        </is>
      </c>
      <c r="D54" s="120" t="inlineStr">
        <is>
          <t>Linhas moveis (FIQUE MÓVEL)</t>
        </is>
      </c>
      <c r="E54" s="120" t="inlineStr">
        <is>
          <t>LUCAS BONIFÁCIO</t>
        </is>
      </c>
      <c r="F54" s="120" t="n">
        <v>7</v>
      </c>
      <c r="G54" s="121" t="n">
        <v>30</v>
      </c>
      <c r="H54" s="121">
        <f>F54*G54</f>
        <v/>
      </c>
      <c r="I54" s="120" t="inlineStr">
        <is>
          <t>Real (taxa fixa por colaborador, confirmada em todas as empresas)</t>
        </is>
      </c>
      <c r="J54" s="116" t="n"/>
      <c r="K54" s="116" t="n"/>
      <c r="L54" s="116" t="n"/>
      <c r="M54" s="116" t="n"/>
      <c r="N54" s="116" t="n"/>
      <c r="O54" s="116" t="n"/>
    </row>
    <row r="55" ht="15" customHeight="1" s="64">
      <c r="A55" s="120" t="inlineStr">
        <is>
          <t>Junho/2026</t>
        </is>
      </c>
      <c r="B55" s="120" t="inlineStr">
        <is>
          <t>DTEL</t>
        </is>
      </c>
      <c r="C55" s="120" t="inlineStr">
        <is>
          <t>Frota/Combustível</t>
        </is>
      </c>
      <c r="D55" s="120" t="inlineStr">
        <is>
          <t>Consumo de combustível</t>
        </is>
      </c>
      <c r="E55" s="120" t="inlineStr">
        <is>
          <t>LUCAS BONIFÁCIO</t>
        </is>
      </c>
      <c r="F55" s="120" t="n">
        <v>1</v>
      </c>
      <c r="G55" s="121" t="n">
        <v>1081.14</v>
      </c>
      <c r="H55" s="121">
        <f>F55*G55</f>
        <v/>
      </c>
      <c r="I55" s="120" t="inlineStr">
        <is>
          <t>Real (cruzado por nome, planilha de combustível)</t>
        </is>
      </c>
      <c r="J55" s="116" t="n"/>
      <c r="K55" s="116" t="n"/>
      <c r="L55" s="116" t="n"/>
      <c r="M55" s="116" t="n"/>
      <c r="N55" s="116" t="n"/>
      <c r="O55" s="116" t="n"/>
    </row>
    <row r="56" ht="15" customHeight="1" s="64">
      <c r="A56" s="120" t="inlineStr">
        <is>
          <t>Junho/2026</t>
        </is>
      </c>
      <c r="B56" s="120" t="inlineStr">
        <is>
          <t>DTEL</t>
        </is>
      </c>
      <c r="C56" s="120" t="inlineStr">
        <is>
          <t>Pessoal</t>
        </is>
      </c>
      <c r="D56" s="120" t="inlineStr">
        <is>
          <t>Folha Trabalhista com impostos do mês</t>
        </is>
      </c>
      <c r="E56" s="120" t="inlineStr">
        <is>
          <t>MICHELANGELO</t>
        </is>
      </c>
      <c r="F56" s="120" t="n">
        <v>1</v>
      </c>
      <c r="G56" s="121" t="n">
        <v>30187.4191733333</v>
      </c>
      <c r="H56" s="121">
        <f>F56*G56</f>
        <v/>
      </c>
      <c r="I56" s="120" t="inlineStr">
        <is>
          <t>Real (cruzado por nome, 11/11 encontrados) | Ajustado 24/08/2026: subtraído o custo de folha de Clovis Mendes da Silva (R$ 4741.11), que passou a ter linha própria de van/kombi, para não contar 2x.</t>
        </is>
      </c>
      <c r="J56" s="116" t="n"/>
      <c r="K56" s="116" t="n"/>
      <c r="L56" s="116" t="n"/>
      <c r="M56" s="116" t="n"/>
      <c r="N56" s="116" t="n"/>
      <c r="O56" s="116" t="n"/>
    </row>
    <row r="57" ht="15" customHeight="1" s="64">
      <c r="A57" s="120" t="inlineStr">
        <is>
          <t>Junho/2026</t>
        </is>
      </c>
      <c r="B57" s="120" t="inlineStr">
        <is>
          <t>DTEL</t>
        </is>
      </c>
      <c r="C57" s="120" t="inlineStr">
        <is>
          <t>Pessoal</t>
        </is>
      </c>
      <c r="D57" s="120" t="inlineStr">
        <is>
          <t>Vale Transporte</t>
        </is>
      </c>
      <c r="E57" s="120" t="inlineStr">
        <is>
          <t>MICHELANGELO</t>
        </is>
      </c>
      <c r="F57" s="120" t="n">
        <v>1</v>
      </c>
      <c r="G57" s="121" t="n">
        <v>348.86</v>
      </c>
      <c r="H57" s="121" t="n">
        <v>348.86</v>
      </c>
      <c r="I57" s="120" t="inlineStr">
        <is>
          <t>Estimado (fatia proporcional ao nº de colaboradores da equipe, sem taxa fixa por pessoa), fatia de 11 colaboradores da equipe</t>
        </is>
      </c>
      <c r="J57" s="116" t="n"/>
      <c r="K57" s="116" t="n"/>
      <c r="L57" s="116" t="n"/>
      <c r="M57" s="116" t="n"/>
      <c r="N57" s="116" t="n"/>
      <c r="O57" s="116" t="n"/>
    </row>
    <row r="58" ht="15" customHeight="1" s="64">
      <c r="A58" s="120" t="inlineStr">
        <is>
          <t>Junho/2026</t>
        </is>
      </c>
      <c r="B58" s="120" t="inlineStr">
        <is>
          <t>DTEL</t>
        </is>
      </c>
      <c r="C58" s="120" t="inlineStr">
        <is>
          <t>Pessoal</t>
        </is>
      </c>
      <c r="D58" s="120" t="inlineStr">
        <is>
          <t>Despesas com RH</t>
        </is>
      </c>
      <c r="E58" s="120" t="inlineStr">
        <is>
          <t>MICHELANGELO</t>
        </is>
      </c>
      <c r="F58" s="120" t="n">
        <v>11</v>
      </c>
      <c r="G58" s="121" t="n">
        <v>28.31</v>
      </c>
      <c r="H58" s="121">
        <f>F58*G58</f>
        <v/>
      </c>
      <c r="I58" s="120" t="inlineStr">
        <is>
          <t>Real (taxa fixa por colaborador, confirmada em todas as empresas)</t>
        </is>
      </c>
      <c r="J58" s="116" t="n"/>
      <c r="K58" s="116" t="n"/>
      <c r="L58" s="116" t="n"/>
      <c r="M58" s="116" t="n"/>
      <c r="N58" s="116" t="n"/>
      <c r="O58" s="116" t="n"/>
    </row>
    <row r="59" ht="15" customHeight="1" s="64">
      <c r="A59" s="120" t="inlineStr">
        <is>
          <t>Junho/2026</t>
        </is>
      </c>
      <c r="B59" s="120" t="inlineStr">
        <is>
          <t>DTEL</t>
        </is>
      </c>
      <c r="C59" s="120" t="inlineStr">
        <is>
          <t>Pessoal</t>
        </is>
      </c>
      <c r="D59" s="120" t="inlineStr">
        <is>
          <t>Despesas com DP</t>
        </is>
      </c>
      <c r="E59" s="120" t="inlineStr">
        <is>
          <t>MICHELANGELO</t>
        </is>
      </c>
      <c r="F59" s="120" t="n">
        <v>11</v>
      </c>
      <c r="G59" s="121" t="n">
        <v>47.79</v>
      </c>
      <c r="H59" s="121">
        <f>F59*G59</f>
        <v/>
      </c>
      <c r="I59" s="120" t="inlineStr">
        <is>
          <t>Real (taxa fixa por colaborador, confirmada em todas as empresas)</t>
        </is>
      </c>
      <c r="J59" s="116" t="n"/>
      <c r="K59" s="116" t="n"/>
      <c r="L59" s="116" t="n"/>
      <c r="M59" s="116" t="n"/>
      <c r="N59" s="116" t="n"/>
      <c r="O59" s="116" t="n"/>
    </row>
    <row r="60" ht="15" customHeight="1" s="64">
      <c r="A60" s="120" t="inlineStr">
        <is>
          <t>Junho/2026</t>
        </is>
      </c>
      <c r="B60" s="120" t="inlineStr">
        <is>
          <t>DTEL</t>
        </is>
      </c>
      <c r="C60" s="120" t="inlineStr">
        <is>
          <t>Segurança do Trabalho</t>
        </is>
      </c>
      <c r="D60" s="120" t="inlineStr">
        <is>
          <t>Despesas com SST</t>
        </is>
      </c>
      <c r="E60" s="120" t="inlineStr">
        <is>
          <t>MICHELANGELO</t>
        </is>
      </c>
      <c r="F60" s="120" t="n">
        <v>11</v>
      </c>
      <c r="G60" s="121" t="n">
        <v>64.54000000000001</v>
      </c>
      <c r="H60" s="121">
        <f>F60*G60</f>
        <v/>
      </c>
      <c r="I60" s="120" t="inlineStr">
        <is>
          <t>Real (taxa fixa por colaborador, confirmada em todas as empresas)</t>
        </is>
      </c>
      <c r="J60" s="116" t="n"/>
      <c r="K60" s="116" t="n"/>
      <c r="L60" s="116" t="n"/>
      <c r="M60" s="116" t="n"/>
      <c r="N60" s="116" t="n"/>
      <c r="O60" s="116" t="n"/>
    </row>
    <row r="61" ht="15" customHeight="1" s="64">
      <c r="A61" s="120" t="inlineStr">
        <is>
          <t>Junho/2026</t>
        </is>
      </c>
      <c r="B61" s="120" t="inlineStr">
        <is>
          <t>DTEL</t>
        </is>
      </c>
      <c r="C61" s="120" t="inlineStr">
        <is>
          <t>Segurança do Trabalho</t>
        </is>
      </c>
      <c r="D61" s="120" t="inlineStr">
        <is>
          <t>Despesas SST exames</t>
        </is>
      </c>
      <c r="E61" s="120" t="inlineStr">
        <is>
          <t>MICHELANGELO</t>
        </is>
      </c>
      <c r="F61" s="120" t="n">
        <v>1</v>
      </c>
      <c r="G61" s="121" t="n">
        <v>40.07</v>
      </c>
      <c r="H61" s="121" t="n">
        <v>40.07</v>
      </c>
      <c r="I61" s="120" t="inlineStr">
        <is>
          <t>Estimado (fatia proporcional ao nº de colaboradores da equipe, sem taxa fixa por pessoa), fatia de 11 colaboradores da equipe</t>
        </is>
      </c>
      <c r="J61" s="116" t="n"/>
      <c r="K61" s="116" t="n"/>
      <c r="L61" s="116" t="n"/>
      <c r="M61" s="116" t="n"/>
      <c r="N61" s="116" t="n"/>
      <c r="O61" s="116" t="n"/>
    </row>
    <row r="62" ht="15" customHeight="1" s="64">
      <c r="A62" s="120" t="inlineStr">
        <is>
          <t>Junho/2026</t>
        </is>
      </c>
      <c r="B62" s="120" t="inlineStr">
        <is>
          <t>DTEL</t>
        </is>
      </c>
      <c r="C62" s="120" t="inlineStr">
        <is>
          <t>Benefícios</t>
        </is>
      </c>
      <c r="D62" s="120" t="inlineStr">
        <is>
          <t>Gympass</t>
        </is>
      </c>
      <c r="E62" s="120" t="inlineStr">
        <is>
          <t>MICHELANGELO</t>
        </is>
      </c>
      <c r="F62" s="120" t="n">
        <v>11</v>
      </c>
      <c r="G62" s="121" t="n">
        <v>10.05</v>
      </c>
      <c r="H62" s="121">
        <f>F62*G62</f>
        <v/>
      </c>
      <c r="I62" s="120" t="inlineStr">
        <is>
          <t>Real (taxa fixa por colaborador, confirmada em todas as empresas)</t>
        </is>
      </c>
      <c r="J62" s="116" t="n"/>
      <c r="K62" s="116" t="n"/>
      <c r="L62" s="116" t="n"/>
      <c r="M62" s="116" t="n"/>
      <c r="N62" s="116" t="n"/>
      <c r="O62" s="116" t="n"/>
    </row>
    <row r="63" ht="15" customHeight="1" s="64">
      <c r="A63" s="120" t="inlineStr">
        <is>
          <t>Junho/2026</t>
        </is>
      </c>
      <c r="B63" s="120" t="inlineStr">
        <is>
          <t>DTEL</t>
        </is>
      </c>
      <c r="C63" s="120" t="inlineStr">
        <is>
          <t>Benefícios</t>
        </is>
      </c>
      <c r="D63" s="120" t="inlineStr">
        <is>
          <t>Stargrid</t>
        </is>
      </c>
      <c r="E63" s="120" t="inlineStr">
        <is>
          <t>MICHELANGELO</t>
        </is>
      </c>
      <c r="F63" s="120" t="n">
        <v>11</v>
      </c>
      <c r="G63" s="121" t="n">
        <v>2.07</v>
      </c>
      <c r="H63" s="121">
        <f>F63*G63</f>
        <v/>
      </c>
      <c r="I63" s="120" t="inlineStr">
        <is>
          <t>Real (taxa fixa por colaborador, confirmada em todas as empresas)</t>
        </is>
      </c>
      <c r="J63" s="116" t="n"/>
      <c r="K63" s="116" t="n"/>
      <c r="L63" s="116" t="n"/>
      <c r="M63" s="116" t="n"/>
      <c r="N63" s="116" t="n"/>
      <c r="O63" s="116" t="n"/>
    </row>
    <row r="64" ht="15" customHeight="1" s="64">
      <c r="A64" s="120" t="inlineStr">
        <is>
          <t>Junho/2026</t>
        </is>
      </c>
      <c r="B64" s="120" t="inlineStr">
        <is>
          <t>DTEL</t>
        </is>
      </c>
      <c r="C64" s="120" t="inlineStr">
        <is>
          <t>Fardamento</t>
        </is>
      </c>
      <c r="D64" s="120" t="inlineStr">
        <is>
          <t>Novo Fardamento</t>
        </is>
      </c>
      <c r="E64" s="120" t="inlineStr">
        <is>
          <t>MICHELANGELO</t>
        </is>
      </c>
      <c r="F64" s="120" t="n">
        <v>1</v>
      </c>
      <c r="G64" s="121" t="n">
        <v>215.62</v>
      </c>
      <c r="H64" s="121" t="n">
        <v>215.62</v>
      </c>
      <c r="I64" s="120" t="inlineStr">
        <is>
          <t>Estimado (fatia proporcional ao nº de colaboradores da equipe, sem taxa fixa por pessoa), fatia de 11 colaboradores da equipe</t>
        </is>
      </c>
      <c r="J64" s="116" t="n"/>
      <c r="K64" s="116" t="n"/>
      <c r="L64" s="116" t="n"/>
      <c r="M64" s="116" t="n"/>
      <c r="N64" s="116" t="n"/>
      <c r="O64" s="116" t="n"/>
    </row>
    <row r="65" ht="15" customHeight="1" s="64">
      <c r="A65" s="120" t="inlineStr">
        <is>
          <t>Junho/2026</t>
        </is>
      </c>
      <c r="B65" s="120" t="inlineStr">
        <is>
          <t>DTEL</t>
        </is>
      </c>
      <c r="C65" s="120" t="inlineStr">
        <is>
          <t>Fardamento</t>
        </is>
      </c>
      <c r="D65" s="120" t="inlineStr">
        <is>
          <t>Substituição extra de Fardamento</t>
        </is>
      </c>
      <c r="E65" s="120" t="inlineStr">
        <is>
          <t>MICHELANGELO</t>
        </is>
      </c>
      <c r="F65" s="120" t="n">
        <v>1</v>
      </c>
      <c r="G65" s="121" t="n">
        <v>324.56</v>
      </c>
      <c r="H65" s="121" t="n">
        <v>324.56</v>
      </c>
      <c r="I65" s="120" t="inlineStr">
        <is>
          <t>Estimado (fatia proporcional ao nº de colaboradores da equipe, sem taxa fixa por pessoa), fatia de 11 colaboradores da equipe</t>
        </is>
      </c>
      <c r="J65" s="116" t="n"/>
      <c r="K65" s="116" t="n"/>
      <c r="L65" s="116" t="n"/>
      <c r="M65" s="116" t="n"/>
      <c r="N65" s="116" t="n"/>
      <c r="O65" s="116" t="n"/>
    </row>
    <row r="66" ht="15" customHeight="1" s="64">
      <c r="A66" s="120" t="inlineStr">
        <is>
          <t>Junho/2026</t>
        </is>
      </c>
      <c r="B66" s="120" t="inlineStr">
        <is>
          <t>DTEL</t>
        </is>
      </c>
      <c r="C66" s="120" t="inlineStr">
        <is>
          <t>Estrutura/Infra</t>
        </is>
      </c>
      <c r="D66" s="120" t="inlineStr">
        <is>
          <t>Linhas moveis (FIQUE MÓVEL)</t>
        </is>
      </c>
      <c r="E66" s="120" t="inlineStr">
        <is>
          <t>MICHELANGELO</t>
        </is>
      </c>
      <c r="F66" s="120" t="n">
        <v>11</v>
      </c>
      <c r="G66" s="121" t="n">
        <v>30</v>
      </c>
      <c r="H66" s="121">
        <f>F66*G66</f>
        <v/>
      </c>
      <c r="I66" s="120" t="inlineStr">
        <is>
          <t>Real (taxa fixa por colaborador, confirmada em todas as empresas)</t>
        </is>
      </c>
      <c r="J66" s="116" t="n"/>
      <c r="K66" s="116" t="n"/>
      <c r="L66" s="116" t="n"/>
      <c r="M66" s="116" t="n"/>
      <c r="N66" s="116" t="n"/>
      <c r="O66" s="116" t="n"/>
    </row>
    <row r="67" ht="15" customHeight="1" s="64">
      <c r="A67" s="120" t="inlineStr">
        <is>
          <t>Junho/2026</t>
        </is>
      </c>
      <c r="B67" s="120" t="inlineStr">
        <is>
          <t>DTEL</t>
        </is>
      </c>
      <c r="C67" s="120" t="inlineStr">
        <is>
          <t>Frota/Combustível</t>
        </is>
      </c>
      <c r="D67" s="120" t="inlineStr">
        <is>
          <t>Consumo de combustível</t>
        </is>
      </c>
      <c r="E67" s="120" t="inlineStr">
        <is>
          <t>MICHELANGELO</t>
        </is>
      </c>
      <c r="F67" s="120" t="n">
        <v>1</v>
      </c>
      <c r="G67" s="121" t="n">
        <v>0</v>
      </c>
      <c r="H67" s="121">
        <f>F67*G67</f>
        <v/>
      </c>
      <c r="I67" s="120" t="inlineStr">
        <is>
          <t>Real (cruzado por nome, planilha de combustível) | Ajustado 24/08/2026: subtraído o combustível de Clovis Mendes da Silva (R$ 3878.58), que passou a ter linha própria de van/kombi, para não contar 2x.</t>
        </is>
      </c>
      <c r="J67" s="116" t="n"/>
      <c r="K67" s="116" t="n"/>
      <c r="L67" s="116" t="n"/>
      <c r="M67" s="116" t="n"/>
      <c r="N67" s="116" t="n"/>
      <c r="O67" s="116" t="n"/>
    </row>
    <row r="68" ht="15" customHeight="1" s="64">
      <c r="A68" s="120" t="inlineStr">
        <is>
          <t>Junho/2026</t>
        </is>
      </c>
      <c r="B68" s="120" t="inlineStr">
        <is>
          <t>Voicenet</t>
        </is>
      </c>
      <c r="C68" s="120" t="inlineStr">
        <is>
          <t>Pessoal</t>
        </is>
      </c>
      <c r="D68" s="120" t="inlineStr">
        <is>
          <t>Folha Trabalhista com impostos do mês</t>
        </is>
      </c>
      <c r="E68" s="120" t="inlineStr">
        <is>
          <t>MICHELANGELO</t>
        </is>
      </c>
      <c r="F68" s="120" t="n">
        <v>1</v>
      </c>
      <c r="G68" s="121" t="n">
        <v>2763.14</v>
      </c>
      <c r="H68" s="121">
        <f>F68*G68</f>
        <v/>
      </c>
      <c r="I68" s="120" t="inlineStr">
        <is>
          <t>Real (cruzado por nome, 1/2 encontrados)</t>
        </is>
      </c>
      <c r="J68" s="116" t="n"/>
      <c r="K68" s="116" t="n"/>
      <c r="L68" s="116" t="n"/>
      <c r="M68" s="116" t="n"/>
      <c r="N68" s="116" t="n"/>
      <c r="O68" s="116" t="n"/>
    </row>
    <row r="69" ht="15" customHeight="1" s="64">
      <c r="A69" s="120" t="inlineStr">
        <is>
          <t>Junho/2026</t>
        </is>
      </c>
      <c r="B69" s="120" t="inlineStr">
        <is>
          <t>Voicenet</t>
        </is>
      </c>
      <c r="C69" s="120" t="inlineStr">
        <is>
          <t>Pessoal</t>
        </is>
      </c>
      <c r="D69" s="120" t="inlineStr">
        <is>
          <t>Despesas com RH</t>
        </is>
      </c>
      <c r="E69" s="120" t="inlineStr">
        <is>
          <t>MICHELANGELO</t>
        </is>
      </c>
      <c r="F69" s="120" t="n">
        <v>2</v>
      </c>
      <c r="G69" s="121" t="n">
        <v>28.31</v>
      </c>
      <c r="H69" s="121">
        <f>F69*G69</f>
        <v/>
      </c>
      <c r="I69" s="120" t="inlineStr">
        <is>
          <t>Real (taxa fixa por colaborador, confirmada em todas as empresas)</t>
        </is>
      </c>
      <c r="J69" s="116" t="n"/>
      <c r="K69" s="116" t="n"/>
      <c r="L69" s="116" t="n"/>
      <c r="M69" s="116" t="n"/>
      <c r="N69" s="116" t="n"/>
      <c r="O69" s="116" t="n"/>
    </row>
    <row r="70" ht="15" customHeight="1" s="64">
      <c r="A70" s="120" t="inlineStr">
        <is>
          <t>Junho/2026</t>
        </is>
      </c>
      <c r="B70" s="120" t="inlineStr">
        <is>
          <t>Voicenet</t>
        </is>
      </c>
      <c r="C70" s="120" t="inlineStr">
        <is>
          <t>Pessoal</t>
        </is>
      </c>
      <c r="D70" s="120" t="inlineStr">
        <is>
          <t>Despesas com DP</t>
        </is>
      </c>
      <c r="E70" s="120" t="inlineStr">
        <is>
          <t>MICHELANGELO</t>
        </is>
      </c>
      <c r="F70" s="120" t="n">
        <v>2</v>
      </c>
      <c r="G70" s="121" t="n">
        <v>47.79</v>
      </c>
      <c r="H70" s="121">
        <f>F70*G70</f>
        <v/>
      </c>
      <c r="I70" s="120" t="inlineStr">
        <is>
          <t>Real (taxa fixa por colaborador, confirmada em todas as empresas)</t>
        </is>
      </c>
      <c r="J70" s="116" t="n"/>
      <c r="K70" s="116" t="n"/>
      <c r="L70" s="116" t="n"/>
      <c r="M70" s="116" t="n"/>
      <c r="N70" s="116" t="n"/>
      <c r="O70" s="116" t="n"/>
    </row>
    <row r="71" ht="15" customHeight="1" s="64">
      <c r="A71" s="120" t="inlineStr">
        <is>
          <t>Junho/2026</t>
        </is>
      </c>
      <c r="B71" s="120" t="inlineStr">
        <is>
          <t>Voicenet</t>
        </is>
      </c>
      <c r="C71" s="120" t="inlineStr">
        <is>
          <t>Segurança do Trabalho</t>
        </is>
      </c>
      <c r="D71" s="120" t="inlineStr">
        <is>
          <t>Despesas com SST</t>
        </is>
      </c>
      <c r="E71" s="120" t="inlineStr">
        <is>
          <t>MICHELANGELO</t>
        </is>
      </c>
      <c r="F71" s="120" t="n">
        <v>2</v>
      </c>
      <c r="G71" s="121" t="n">
        <v>64.54000000000001</v>
      </c>
      <c r="H71" s="121">
        <f>F71*G71</f>
        <v/>
      </c>
      <c r="I71" s="120" t="inlineStr">
        <is>
          <t>Real (taxa fixa por colaborador, confirmada em todas as empresas)</t>
        </is>
      </c>
      <c r="J71" s="116" t="n"/>
      <c r="K71" s="116" t="n"/>
      <c r="L71" s="116" t="n"/>
      <c r="M71" s="116" t="n"/>
      <c r="N71" s="116" t="n"/>
      <c r="O71" s="116" t="n"/>
    </row>
    <row r="72" ht="15" customHeight="1" s="64">
      <c r="A72" s="120" t="inlineStr">
        <is>
          <t>Junho/2026</t>
        </is>
      </c>
      <c r="B72" s="120" t="inlineStr">
        <is>
          <t>Voicenet</t>
        </is>
      </c>
      <c r="C72" s="120" t="inlineStr">
        <is>
          <t>Benefícios</t>
        </is>
      </c>
      <c r="D72" s="120" t="inlineStr">
        <is>
          <t>Gympass</t>
        </is>
      </c>
      <c r="E72" s="120" t="inlineStr">
        <is>
          <t>MICHELANGELO</t>
        </is>
      </c>
      <c r="F72" s="120" t="n">
        <v>2</v>
      </c>
      <c r="G72" s="121" t="n">
        <v>10.05</v>
      </c>
      <c r="H72" s="121">
        <f>F72*G72</f>
        <v/>
      </c>
      <c r="I72" s="120" t="inlineStr">
        <is>
          <t>Real (taxa fixa por colaborador, confirmada em todas as empresas)</t>
        </is>
      </c>
      <c r="J72" s="116" t="n"/>
      <c r="K72" s="116" t="n"/>
      <c r="L72" s="116" t="n"/>
      <c r="M72" s="116" t="n"/>
      <c r="N72" s="116" t="n"/>
      <c r="O72" s="116" t="n"/>
    </row>
    <row r="73" ht="15" customHeight="1" s="64">
      <c r="A73" s="120" t="inlineStr">
        <is>
          <t>Junho/2026</t>
        </is>
      </c>
      <c r="B73" s="120" t="inlineStr">
        <is>
          <t>Voicenet</t>
        </is>
      </c>
      <c r="C73" s="120" t="inlineStr">
        <is>
          <t>Benefícios</t>
        </is>
      </c>
      <c r="D73" s="120" t="inlineStr">
        <is>
          <t>Stargrid</t>
        </is>
      </c>
      <c r="E73" s="120" t="inlineStr">
        <is>
          <t>MICHELANGELO</t>
        </is>
      </c>
      <c r="F73" s="120" t="n">
        <v>2</v>
      </c>
      <c r="G73" s="121" t="n">
        <v>2.07</v>
      </c>
      <c r="H73" s="121">
        <f>F73*G73</f>
        <v/>
      </c>
      <c r="I73" s="120" t="inlineStr">
        <is>
          <t>Real (taxa fixa por colaborador, confirmada em todas as empresas)</t>
        </is>
      </c>
      <c r="J73" s="116" t="n"/>
      <c r="K73" s="116" t="n"/>
      <c r="L73" s="116" t="n"/>
      <c r="M73" s="116" t="n"/>
      <c r="N73" s="116" t="n"/>
      <c r="O73" s="116" t="n"/>
    </row>
    <row r="74" ht="15" customHeight="1" s="64">
      <c r="A74" s="120" t="inlineStr">
        <is>
          <t>Junho/2026</t>
        </is>
      </c>
      <c r="B74" s="120" t="inlineStr">
        <is>
          <t>Voicenet</t>
        </is>
      </c>
      <c r="C74" s="120" t="inlineStr">
        <is>
          <t>Estrutura/Infra</t>
        </is>
      </c>
      <c r="D74" s="120" t="inlineStr">
        <is>
          <t>Linhas moveis (FIQUE MÓVEL)</t>
        </is>
      </c>
      <c r="E74" s="120" t="inlineStr">
        <is>
          <t>MICHELANGELO</t>
        </is>
      </c>
      <c r="F74" s="120" t="n">
        <v>2</v>
      </c>
      <c r="G74" s="121" t="n">
        <v>30</v>
      </c>
      <c r="H74" s="121">
        <f>F74*G74</f>
        <v/>
      </c>
      <c r="I74" s="120" t="inlineStr">
        <is>
          <t>Real (taxa fixa por colaborador, confirmada em todas as empresas)</t>
        </is>
      </c>
      <c r="J74" s="116" t="n"/>
      <c r="K74" s="116" t="n"/>
      <c r="L74" s="116" t="n"/>
      <c r="M74" s="116" t="n"/>
      <c r="N74" s="116" t="n"/>
      <c r="O74" s="116" t="n"/>
    </row>
    <row r="75" ht="15" customHeight="1" s="64">
      <c r="A75" s="120" t="inlineStr">
        <is>
          <t>Junho/2026</t>
        </is>
      </c>
      <c r="B75" s="120" t="inlineStr">
        <is>
          <t>Voicenet</t>
        </is>
      </c>
      <c r="C75" s="120" t="inlineStr">
        <is>
          <t>Frota/Combustível</t>
        </is>
      </c>
      <c r="D75" s="120" t="inlineStr">
        <is>
          <t>Consumo de combustível</t>
        </is>
      </c>
      <c r="E75" s="120" t="inlineStr">
        <is>
          <t>MICHELANGELO</t>
        </is>
      </c>
      <c r="F75" s="120" t="n">
        <v>1</v>
      </c>
      <c r="G75" s="121" t="n">
        <v>696.8</v>
      </c>
      <c r="H75" s="121">
        <f>F75*G75</f>
        <v/>
      </c>
      <c r="I75" s="120" t="inlineStr">
        <is>
          <t>Real (cruzado por nome, planilha de combustível)</t>
        </is>
      </c>
      <c r="J75" s="116" t="n"/>
      <c r="K75" s="116" t="n"/>
      <c r="L75" s="116" t="n"/>
      <c r="M75" s="116" t="n"/>
      <c r="N75" s="116" t="n"/>
      <c r="O75" s="116" t="n"/>
    </row>
    <row r="76" ht="15" customHeight="1" s="64">
      <c r="A76" s="120" t="inlineStr">
        <is>
          <t>Junho/2026</t>
        </is>
      </c>
      <c r="B76" s="120" t="inlineStr">
        <is>
          <t>DTEL</t>
        </is>
      </c>
      <c r="C76" s="120" t="inlineStr">
        <is>
          <t>Pessoal</t>
        </is>
      </c>
      <c r="D76" s="120" t="inlineStr">
        <is>
          <t>Folha Trabalhista com impostos do mês</t>
        </is>
      </c>
      <c r="E76" s="120" t="inlineStr">
        <is>
          <t>TARCIZIO MEIRELES</t>
        </is>
      </c>
      <c r="F76" s="120" t="n">
        <v>1</v>
      </c>
      <c r="G76" s="121" t="n">
        <v>57354.9353136</v>
      </c>
      <c r="H76" s="121">
        <f>F76*G76</f>
        <v/>
      </c>
      <c r="I76" s="120" t="inlineStr">
        <is>
          <t>Real (cruzado por nome, 18/18 encontrados) | Ajustado 24/08/2026: subtraído o custo de folha de Jose Zenildo da Silva (R$ 5227.07), que passou a ter linha própria de van/kombi, para não contar 2x.</t>
        </is>
      </c>
      <c r="J76" s="116" t="n"/>
      <c r="K76" s="116" t="n"/>
      <c r="L76" s="116" t="n"/>
      <c r="M76" s="116" t="n"/>
      <c r="N76" s="116" t="n"/>
      <c r="O76" s="116" t="n"/>
    </row>
    <row r="77" ht="15" customHeight="1" s="64">
      <c r="A77" s="120" t="inlineStr">
        <is>
          <t>Junho/2026</t>
        </is>
      </c>
      <c r="B77" s="120" t="inlineStr">
        <is>
          <t>DTEL</t>
        </is>
      </c>
      <c r="C77" s="120" t="inlineStr">
        <is>
          <t>Pessoal</t>
        </is>
      </c>
      <c r="D77" s="120" t="inlineStr">
        <is>
          <t>Vale Transporte</t>
        </is>
      </c>
      <c r="E77" s="120" t="inlineStr">
        <is>
          <t>TARCIZIO MEIRELES</t>
        </is>
      </c>
      <c r="F77" s="120" t="n">
        <v>1</v>
      </c>
      <c r="G77" s="121" t="n">
        <v>570.86</v>
      </c>
      <c r="H77" s="121" t="n">
        <v>570.86</v>
      </c>
      <c r="I77" s="120" t="inlineStr">
        <is>
          <t>Estimado (fatia proporcional ao nº de colaboradores da equipe, sem taxa fixa por pessoa), fatia de 18 colaboradores da equipe</t>
        </is>
      </c>
      <c r="J77" s="116" t="n"/>
      <c r="K77" s="116" t="n"/>
      <c r="L77" s="116" t="n"/>
      <c r="M77" s="116" t="n"/>
      <c r="N77" s="116" t="n"/>
      <c r="O77" s="116" t="n"/>
    </row>
    <row r="78" ht="15" customHeight="1" s="64">
      <c r="A78" s="120" t="inlineStr">
        <is>
          <t>Junho/2026</t>
        </is>
      </c>
      <c r="B78" s="120" t="inlineStr">
        <is>
          <t>DTEL</t>
        </is>
      </c>
      <c r="C78" s="120" t="inlineStr">
        <is>
          <t>Pessoal</t>
        </is>
      </c>
      <c r="D78" s="120" t="inlineStr">
        <is>
          <t>Despesas com RH</t>
        </is>
      </c>
      <c r="E78" s="120" t="inlineStr">
        <is>
          <t>TARCIZIO MEIRELES</t>
        </is>
      </c>
      <c r="F78" s="120" t="n">
        <v>18</v>
      </c>
      <c r="G78" s="121" t="n">
        <v>28.31</v>
      </c>
      <c r="H78" s="121">
        <f>F78*G78</f>
        <v/>
      </c>
      <c r="I78" s="120" t="inlineStr">
        <is>
          <t>Real (taxa fixa por colaborador, confirmada em todas as empresas)</t>
        </is>
      </c>
      <c r="J78" s="116" t="n"/>
      <c r="K78" s="116" t="n"/>
      <c r="L78" s="116" t="n"/>
      <c r="M78" s="116" t="n"/>
      <c r="N78" s="116" t="n"/>
      <c r="O78" s="116" t="n"/>
    </row>
    <row r="79" ht="15" customHeight="1" s="64">
      <c r="A79" s="120" t="inlineStr">
        <is>
          <t>Junho/2026</t>
        </is>
      </c>
      <c r="B79" s="120" t="inlineStr">
        <is>
          <t>DTEL</t>
        </is>
      </c>
      <c r="C79" s="120" t="inlineStr">
        <is>
          <t>Pessoal</t>
        </is>
      </c>
      <c r="D79" s="120" t="inlineStr">
        <is>
          <t>Despesas com DP</t>
        </is>
      </c>
      <c r="E79" s="120" t="inlineStr">
        <is>
          <t>TARCIZIO MEIRELES</t>
        </is>
      </c>
      <c r="F79" s="120" t="n">
        <v>18</v>
      </c>
      <c r="G79" s="121" t="n">
        <v>47.79</v>
      </c>
      <c r="H79" s="121">
        <f>F79*G79</f>
        <v/>
      </c>
      <c r="I79" s="120" t="inlineStr">
        <is>
          <t>Real (taxa fixa por colaborador, confirmada em todas as empresas)</t>
        </is>
      </c>
      <c r="J79" s="116" t="n"/>
      <c r="K79" s="116" t="n"/>
      <c r="L79" s="116" t="n"/>
      <c r="M79" s="116" t="n"/>
      <c r="N79" s="116" t="n"/>
      <c r="O79" s="116" t="n"/>
    </row>
    <row r="80" ht="15" customHeight="1" s="64">
      <c r="A80" s="120" t="inlineStr">
        <is>
          <t>Junho/2026</t>
        </is>
      </c>
      <c r="B80" s="120" t="inlineStr">
        <is>
          <t>DTEL</t>
        </is>
      </c>
      <c r="C80" s="120" t="inlineStr">
        <is>
          <t>Segurança do Trabalho</t>
        </is>
      </c>
      <c r="D80" s="120" t="inlineStr">
        <is>
          <t>Despesas com SST</t>
        </is>
      </c>
      <c r="E80" s="120" t="inlineStr">
        <is>
          <t>TARCIZIO MEIRELES</t>
        </is>
      </c>
      <c r="F80" s="120" t="n">
        <v>18</v>
      </c>
      <c r="G80" s="121" t="n">
        <v>64.54000000000001</v>
      </c>
      <c r="H80" s="121">
        <f>F80*G80</f>
        <v/>
      </c>
      <c r="I80" s="120" t="inlineStr">
        <is>
          <t>Real (taxa fixa por colaborador, confirmada em todas as empresas)</t>
        </is>
      </c>
      <c r="J80" s="116" t="n"/>
      <c r="K80" s="116" t="n"/>
      <c r="L80" s="116" t="n"/>
      <c r="M80" s="116" t="n"/>
      <c r="N80" s="116" t="n"/>
      <c r="O80" s="116" t="n"/>
    </row>
    <row r="81" ht="15" customHeight="1" s="64">
      <c r="A81" s="120" t="inlineStr">
        <is>
          <t>Junho/2026</t>
        </is>
      </c>
      <c r="B81" s="120" t="inlineStr">
        <is>
          <t>DTEL</t>
        </is>
      </c>
      <c r="C81" s="120" t="inlineStr">
        <is>
          <t>Segurança do Trabalho</t>
        </is>
      </c>
      <c r="D81" s="120" t="inlineStr">
        <is>
          <t>Despesas SST exames</t>
        </is>
      </c>
      <c r="E81" s="120" t="inlineStr">
        <is>
          <t>TARCIZIO MEIRELES</t>
        </is>
      </c>
      <c r="F81" s="120" t="n">
        <v>1</v>
      </c>
      <c r="G81" s="121" t="n">
        <v>65.56999999999999</v>
      </c>
      <c r="H81" s="121" t="n">
        <v>65.56999999999999</v>
      </c>
      <c r="I81" s="120" t="inlineStr">
        <is>
          <t>Estimado (fatia proporcional ao nº de colaboradores da equipe, sem taxa fixa por pessoa), fatia de 18 colaboradores da equipe</t>
        </is>
      </c>
      <c r="J81" s="116" t="n"/>
      <c r="K81" s="116" t="n"/>
      <c r="L81" s="116" t="n"/>
      <c r="M81" s="116" t="n"/>
      <c r="N81" s="116" t="n"/>
      <c r="O81" s="116" t="n"/>
    </row>
    <row r="82" ht="15" customHeight="1" s="64">
      <c r="A82" s="120" t="inlineStr">
        <is>
          <t>Junho/2026</t>
        </is>
      </c>
      <c r="B82" s="120" t="inlineStr">
        <is>
          <t>DTEL</t>
        </is>
      </c>
      <c r="C82" s="120" t="inlineStr">
        <is>
          <t>Benefícios</t>
        </is>
      </c>
      <c r="D82" s="120" t="inlineStr">
        <is>
          <t>Gympass</t>
        </is>
      </c>
      <c r="E82" s="120" t="inlineStr">
        <is>
          <t>TARCIZIO MEIRELES</t>
        </is>
      </c>
      <c r="F82" s="120" t="n">
        <v>18</v>
      </c>
      <c r="G82" s="121" t="n">
        <v>10.05</v>
      </c>
      <c r="H82" s="121">
        <f>F82*G82</f>
        <v/>
      </c>
      <c r="I82" s="120" t="inlineStr">
        <is>
          <t>Real (taxa fixa por colaborador, confirmada em todas as empresas)</t>
        </is>
      </c>
      <c r="J82" s="116" t="n"/>
      <c r="K82" s="116" t="n"/>
      <c r="L82" s="116" t="n"/>
      <c r="M82" s="116" t="n"/>
      <c r="N82" s="116" t="n"/>
      <c r="O82" s="116" t="n"/>
    </row>
    <row r="83" ht="15" customHeight="1" s="64">
      <c r="A83" s="120" t="inlineStr">
        <is>
          <t>Junho/2026</t>
        </is>
      </c>
      <c r="B83" s="120" t="inlineStr">
        <is>
          <t>DTEL</t>
        </is>
      </c>
      <c r="C83" s="120" t="inlineStr">
        <is>
          <t>Benefícios</t>
        </is>
      </c>
      <c r="D83" s="120" t="inlineStr">
        <is>
          <t>Stargrid</t>
        </is>
      </c>
      <c r="E83" s="120" t="inlineStr">
        <is>
          <t>TARCIZIO MEIRELES</t>
        </is>
      </c>
      <c r="F83" s="120" t="n">
        <v>18</v>
      </c>
      <c r="G83" s="121" t="n">
        <v>2.07</v>
      </c>
      <c r="H83" s="121">
        <f>F83*G83</f>
        <v/>
      </c>
      <c r="I83" s="120" t="inlineStr">
        <is>
          <t>Real (taxa fixa por colaborador, confirmada em todas as empresas)</t>
        </is>
      </c>
      <c r="J83" s="116" t="n"/>
      <c r="K83" s="116" t="n"/>
      <c r="L83" s="116" t="n"/>
      <c r="M83" s="116" t="n"/>
      <c r="N83" s="116" t="n"/>
      <c r="O83" s="116" t="n"/>
    </row>
    <row r="84" ht="15" customHeight="1" s="64">
      <c r="A84" s="120" t="inlineStr">
        <is>
          <t>Junho/2026</t>
        </is>
      </c>
      <c r="B84" s="120" t="inlineStr">
        <is>
          <t>DTEL</t>
        </is>
      </c>
      <c r="C84" s="120" t="inlineStr">
        <is>
          <t>Fardamento</t>
        </is>
      </c>
      <c r="D84" s="120" t="inlineStr">
        <is>
          <t>Novo Fardamento</t>
        </is>
      </c>
      <c r="E84" s="120" t="inlineStr">
        <is>
          <t>TARCIZIO MEIRELES</t>
        </is>
      </c>
      <c r="F84" s="120" t="n">
        <v>1</v>
      </c>
      <c r="G84" s="121" t="n">
        <v>352.84</v>
      </c>
      <c r="H84" s="121" t="n">
        <v>352.84</v>
      </c>
      <c r="I84" s="120" t="inlineStr">
        <is>
          <t>Estimado (fatia proporcional ao nº de colaboradores da equipe, sem taxa fixa por pessoa), fatia de 18 colaboradores da equipe</t>
        </is>
      </c>
      <c r="J84" s="116" t="n"/>
      <c r="K84" s="116" t="n"/>
      <c r="L84" s="116" t="n"/>
      <c r="M84" s="116" t="n"/>
      <c r="N84" s="116" t="n"/>
      <c r="O84" s="116" t="n"/>
    </row>
    <row r="85" ht="15" customHeight="1" s="64">
      <c r="A85" s="120" t="inlineStr">
        <is>
          <t>Junho/2026</t>
        </is>
      </c>
      <c r="B85" s="120" t="inlineStr">
        <is>
          <t>DTEL</t>
        </is>
      </c>
      <c r="C85" s="120" t="inlineStr">
        <is>
          <t>Fardamento</t>
        </is>
      </c>
      <c r="D85" s="120" t="inlineStr">
        <is>
          <t>Substituição extra de Fardamento</t>
        </is>
      </c>
      <c r="E85" s="120" t="inlineStr">
        <is>
          <t>TARCIZIO MEIRELES</t>
        </is>
      </c>
      <c r="F85" s="120" t="n">
        <v>1</v>
      </c>
      <c r="G85" s="121" t="n">
        <v>531.09</v>
      </c>
      <c r="H85" s="121" t="n">
        <v>531.09</v>
      </c>
      <c r="I85" s="120" t="inlineStr">
        <is>
          <t>Estimado (fatia proporcional ao nº de colaboradores da equipe, sem taxa fixa por pessoa), fatia de 18 colaboradores da equipe</t>
        </is>
      </c>
      <c r="J85" s="116" t="n"/>
      <c r="K85" s="116" t="n"/>
      <c r="L85" s="116" t="n"/>
      <c r="M85" s="116" t="n"/>
      <c r="N85" s="116" t="n"/>
      <c r="O85" s="116" t="n"/>
    </row>
    <row r="86" ht="15" customHeight="1" s="64">
      <c r="A86" s="120" t="inlineStr">
        <is>
          <t>Junho/2026</t>
        </is>
      </c>
      <c r="B86" s="120" t="inlineStr">
        <is>
          <t>DTEL</t>
        </is>
      </c>
      <c r="C86" s="120" t="inlineStr">
        <is>
          <t>Estrutura/Infra</t>
        </is>
      </c>
      <c r="D86" s="120" t="inlineStr">
        <is>
          <t>Linhas moveis (FIQUE MÓVEL)</t>
        </is>
      </c>
      <c r="E86" s="120" t="inlineStr">
        <is>
          <t>TARCIZIO MEIRELES</t>
        </is>
      </c>
      <c r="F86" s="120" t="n">
        <v>18</v>
      </c>
      <c r="G86" s="121" t="n">
        <v>30</v>
      </c>
      <c r="H86" s="121">
        <f>F86*G86</f>
        <v/>
      </c>
      <c r="I86" s="120" t="inlineStr">
        <is>
          <t>Real (taxa fixa por colaborador, confirmada em todas as empresas)</t>
        </is>
      </c>
      <c r="J86" s="116" t="n"/>
      <c r="K86" s="116" t="n"/>
      <c r="L86" s="116" t="n"/>
      <c r="M86" s="116" t="n"/>
      <c r="N86" s="116" t="n"/>
      <c r="O86" s="116" t="n"/>
    </row>
    <row r="87" ht="15" customHeight="1" s="64">
      <c r="A87" s="120" t="inlineStr">
        <is>
          <t>Junho/2026</t>
        </is>
      </c>
      <c r="B87" s="120" t="inlineStr">
        <is>
          <t>DTEL</t>
        </is>
      </c>
      <c r="C87" s="120" t="inlineStr">
        <is>
          <t>Frota/Combustível</t>
        </is>
      </c>
      <c r="D87" s="120" t="inlineStr">
        <is>
          <t>Consumo de combustível</t>
        </is>
      </c>
      <c r="E87" s="120" t="inlineStr">
        <is>
          <t>TARCIZIO MEIRELES</t>
        </is>
      </c>
      <c r="F87" s="120" t="n">
        <v>1</v>
      </c>
      <c r="G87" s="121" t="n">
        <v>2345.27</v>
      </c>
      <c r="H87" s="121">
        <f>F87*G87</f>
        <v/>
      </c>
      <c r="I87" s="120" t="inlineStr">
        <is>
          <t>Real (cruzado por nome, planilha de combustível) | Ajustado 24/08/2026: subtraído o combustível de Jose Zenildo da Silva (R$ 2688.78), que passou a ter linha própria de van/kombi, para não contar 2x.</t>
        </is>
      </c>
      <c r="J87" s="116" t="n"/>
      <c r="K87" s="116" t="n"/>
      <c r="L87" s="116" t="n"/>
      <c r="M87" s="116" t="n"/>
      <c r="N87" s="116" t="n"/>
      <c r="O87" s="116" t="n"/>
    </row>
    <row r="88" ht="15" customHeight="1" s="64">
      <c r="A88" s="120" t="inlineStr">
        <is>
          <t>Junho/2026</t>
        </is>
      </c>
      <c r="B88" s="120" t="inlineStr">
        <is>
          <t>Solon Araújo</t>
        </is>
      </c>
      <c r="C88" s="120" t="inlineStr">
        <is>
          <t>Pessoal</t>
        </is>
      </c>
      <c r="D88" s="120" t="inlineStr">
        <is>
          <t>Folha Trabalhista com impostos do mês</t>
        </is>
      </c>
      <c r="E88" s="120" t="inlineStr">
        <is>
          <t>TARCIZIO MEIRELES</t>
        </is>
      </c>
      <c r="F88" s="120" t="n">
        <v>1</v>
      </c>
      <c r="G88" s="121" t="n">
        <v>2755.29</v>
      </c>
      <c r="H88" s="121">
        <f>F88*G88</f>
        <v/>
      </c>
      <c r="I88" s="120" t="inlineStr">
        <is>
          <t>Real (cruzado por nome, 1/2 encontrados)</t>
        </is>
      </c>
      <c r="J88" s="116" t="n"/>
      <c r="K88" s="116" t="n"/>
      <c r="L88" s="116" t="n"/>
      <c r="M88" s="116" t="n"/>
      <c r="N88" s="116" t="n"/>
      <c r="O88" s="116" t="n"/>
    </row>
    <row r="89" ht="15" customHeight="1" s="64">
      <c r="A89" s="120" t="inlineStr">
        <is>
          <t>Junho/2026</t>
        </is>
      </c>
      <c r="B89" s="120" t="inlineStr">
        <is>
          <t>Solon Araújo</t>
        </is>
      </c>
      <c r="C89" s="120" t="inlineStr">
        <is>
          <t>Pessoal</t>
        </is>
      </c>
      <c r="D89" s="120" t="inlineStr">
        <is>
          <t>Despesas com RH</t>
        </is>
      </c>
      <c r="E89" s="120" t="inlineStr">
        <is>
          <t>TARCIZIO MEIRELES</t>
        </is>
      </c>
      <c r="F89" s="120" t="n">
        <v>2</v>
      </c>
      <c r="G89" s="121" t="n">
        <v>28.31</v>
      </c>
      <c r="H89" s="121">
        <f>F89*G89</f>
        <v/>
      </c>
      <c r="I89" s="120" t="inlineStr">
        <is>
          <t>Real (taxa fixa por colaborador, confirmada em todas as empresas)</t>
        </is>
      </c>
      <c r="J89" s="116" t="n"/>
      <c r="K89" s="116" t="n"/>
      <c r="L89" s="116" t="n"/>
      <c r="M89" s="116" t="n"/>
      <c r="N89" s="116" t="n"/>
      <c r="O89" s="116" t="n"/>
    </row>
    <row r="90" ht="15" customHeight="1" s="64">
      <c r="A90" s="120" t="inlineStr">
        <is>
          <t>Junho/2026</t>
        </is>
      </c>
      <c r="B90" s="120" t="inlineStr">
        <is>
          <t>Solon Araújo</t>
        </is>
      </c>
      <c r="C90" s="120" t="inlineStr">
        <is>
          <t>Pessoal</t>
        </is>
      </c>
      <c r="D90" s="120" t="inlineStr">
        <is>
          <t>Despesas com DP</t>
        </is>
      </c>
      <c r="E90" s="120" t="inlineStr">
        <is>
          <t>TARCIZIO MEIRELES</t>
        </is>
      </c>
      <c r="F90" s="120" t="n">
        <v>2</v>
      </c>
      <c r="G90" s="121" t="n">
        <v>47.79</v>
      </c>
      <c r="H90" s="121">
        <f>F90*G90</f>
        <v/>
      </c>
      <c r="I90" s="120" t="inlineStr">
        <is>
          <t>Real (taxa fixa por colaborador, confirmada em todas as empresas)</t>
        </is>
      </c>
      <c r="J90" s="116" t="n"/>
      <c r="K90" s="116" t="n"/>
      <c r="L90" s="116" t="n"/>
      <c r="M90" s="116" t="n"/>
      <c r="N90" s="116" t="n"/>
      <c r="O90" s="116" t="n"/>
    </row>
    <row r="91" ht="15" customHeight="1" s="64">
      <c r="A91" s="120" t="inlineStr">
        <is>
          <t>Junho/2026</t>
        </is>
      </c>
      <c r="B91" s="120" t="inlineStr">
        <is>
          <t>Solon Araújo</t>
        </is>
      </c>
      <c r="C91" s="120" t="inlineStr">
        <is>
          <t>Segurança do Trabalho</t>
        </is>
      </c>
      <c r="D91" s="120" t="inlineStr">
        <is>
          <t>Despesas com SST</t>
        </is>
      </c>
      <c r="E91" s="120" t="inlineStr">
        <is>
          <t>TARCIZIO MEIRELES</t>
        </is>
      </c>
      <c r="F91" s="120" t="n">
        <v>2</v>
      </c>
      <c r="G91" s="121" t="n">
        <v>64.54000000000001</v>
      </c>
      <c r="H91" s="121">
        <f>F91*G91</f>
        <v/>
      </c>
      <c r="I91" s="120" t="inlineStr">
        <is>
          <t>Real (taxa fixa por colaborador, confirmada em todas as empresas)</t>
        </is>
      </c>
      <c r="J91" s="116" t="n"/>
      <c r="K91" s="116" t="n"/>
      <c r="L91" s="116" t="n"/>
      <c r="M91" s="116" t="n"/>
      <c r="N91" s="116" t="n"/>
      <c r="O91" s="116" t="n"/>
    </row>
    <row r="92" ht="15" customHeight="1" s="64">
      <c r="A92" s="120" t="inlineStr">
        <is>
          <t>Junho/2026</t>
        </is>
      </c>
      <c r="B92" s="120" t="inlineStr">
        <is>
          <t>Solon Araújo</t>
        </is>
      </c>
      <c r="C92" s="120" t="inlineStr">
        <is>
          <t>Benefícios</t>
        </is>
      </c>
      <c r="D92" s="120" t="inlineStr">
        <is>
          <t>Gympass</t>
        </is>
      </c>
      <c r="E92" s="120" t="inlineStr">
        <is>
          <t>TARCIZIO MEIRELES</t>
        </is>
      </c>
      <c r="F92" s="120" t="n">
        <v>2</v>
      </c>
      <c r="G92" s="121" t="n">
        <v>10.05</v>
      </c>
      <c r="H92" s="121">
        <f>F92*G92</f>
        <v/>
      </c>
      <c r="I92" s="120" t="inlineStr">
        <is>
          <t>Real (taxa fixa por colaborador, confirmada em todas as empresas)</t>
        </is>
      </c>
      <c r="J92" s="116" t="n"/>
      <c r="K92" s="116" t="n"/>
      <c r="L92" s="116" t="n"/>
      <c r="M92" s="116" t="n"/>
      <c r="N92" s="116" t="n"/>
      <c r="O92" s="116" t="n"/>
    </row>
    <row r="93" ht="15" customHeight="1" s="64">
      <c r="A93" s="120" t="inlineStr">
        <is>
          <t>Junho/2026</t>
        </is>
      </c>
      <c r="B93" s="120" t="inlineStr">
        <is>
          <t>Solon Araújo</t>
        </is>
      </c>
      <c r="C93" s="120" t="inlineStr">
        <is>
          <t>Benefícios</t>
        </is>
      </c>
      <c r="D93" s="120" t="inlineStr">
        <is>
          <t>Stargrid</t>
        </is>
      </c>
      <c r="E93" s="120" t="inlineStr">
        <is>
          <t>TARCIZIO MEIRELES</t>
        </is>
      </c>
      <c r="F93" s="120" t="n">
        <v>2</v>
      </c>
      <c r="G93" s="121" t="n">
        <v>2.07</v>
      </c>
      <c r="H93" s="121">
        <f>F93*G93</f>
        <v/>
      </c>
      <c r="I93" s="120" t="inlineStr">
        <is>
          <t>Real (taxa fixa por colaborador, confirmada em todas as empresas)</t>
        </is>
      </c>
      <c r="J93" s="116" t="n"/>
      <c r="K93" s="116" t="n"/>
      <c r="L93" s="116" t="n"/>
      <c r="M93" s="116" t="n"/>
      <c r="N93" s="116" t="n"/>
      <c r="O93" s="116" t="n"/>
    </row>
    <row r="94" ht="15" customHeight="1" s="64">
      <c r="A94" s="120" t="inlineStr">
        <is>
          <t>Junho/2026</t>
        </is>
      </c>
      <c r="B94" s="120" t="inlineStr">
        <is>
          <t>Solon Araújo</t>
        </is>
      </c>
      <c r="C94" s="120" t="inlineStr">
        <is>
          <t>Estrutura/Infra</t>
        </is>
      </c>
      <c r="D94" s="120" t="inlineStr">
        <is>
          <t>Linhas moveis (FIQUE MÓVEL)</t>
        </is>
      </c>
      <c r="E94" s="120" t="inlineStr">
        <is>
          <t>TARCIZIO MEIRELES</t>
        </is>
      </c>
      <c r="F94" s="120" t="n">
        <v>2</v>
      </c>
      <c r="G94" s="121" t="n">
        <v>30</v>
      </c>
      <c r="H94" s="121">
        <f>F94*G94</f>
        <v/>
      </c>
      <c r="I94" s="120" t="inlineStr">
        <is>
          <t>Real (taxa fixa por colaborador, confirmada em todas as empresas)</t>
        </is>
      </c>
      <c r="J94" s="116" t="n"/>
      <c r="K94" s="116" t="n"/>
      <c r="L94" s="116" t="n"/>
      <c r="M94" s="116" t="n"/>
      <c r="N94" s="116" t="n"/>
      <c r="O94" s="116" t="n"/>
    </row>
    <row r="95" ht="15" customHeight="1" s="64">
      <c r="A95" s="120" t="inlineStr">
        <is>
          <t>Junho/2026</t>
        </is>
      </c>
      <c r="B95" s="120" t="inlineStr">
        <is>
          <t>Solon Araújo</t>
        </is>
      </c>
      <c r="C95" s="120" t="inlineStr">
        <is>
          <t>Frota/Combustível</t>
        </is>
      </c>
      <c r="D95" s="120" t="inlineStr">
        <is>
          <t>Consumo de combustível</t>
        </is>
      </c>
      <c r="E95" s="120" t="inlineStr">
        <is>
          <t>TARCIZIO MEIRELES</t>
        </is>
      </c>
      <c r="F95" s="120" t="n">
        <v>1</v>
      </c>
      <c r="G95" s="121" t="n">
        <v>1447.18</v>
      </c>
      <c r="H95" s="121">
        <f>F95*G95</f>
        <v/>
      </c>
      <c r="I95" s="120" t="inlineStr">
        <is>
          <t>Real (cruzado por nome, planilha de combustível)</t>
        </is>
      </c>
      <c r="J95" s="116" t="n"/>
      <c r="K95" s="116" t="n"/>
      <c r="L95" s="116" t="n"/>
      <c r="M95" s="116" t="n"/>
      <c r="N95" s="116" t="n"/>
      <c r="O95" s="116" t="n"/>
    </row>
    <row r="96" ht="15" customHeight="1" s="64">
      <c r="A96" s="120" t="inlineStr">
        <is>
          <t>Junho/2026</t>
        </is>
      </c>
      <c r="B96" s="120" t="inlineStr">
        <is>
          <t>Souza e Silva</t>
        </is>
      </c>
      <c r="C96" s="120" t="inlineStr">
        <is>
          <t>Pessoal</t>
        </is>
      </c>
      <c r="D96" s="120" t="inlineStr">
        <is>
          <t>Folha Trabalhista com impostos do mês</t>
        </is>
      </c>
      <c r="E96" s="120" t="inlineStr">
        <is>
          <t>TARCIZIO MEIRELES</t>
        </is>
      </c>
      <c r="F96" s="120" t="n">
        <v>1</v>
      </c>
      <c r="G96" s="121" t="n">
        <v>11931.77</v>
      </c>
      <c r="H96" s="121">
        <f>F96*G96</f>
        <v/>
      </c>
      <c r="I96" s="120" t="inlineStr">
        <is>
          <t>Real (cruzado por nome, 5/5 encontrados)</t>
        </is>
      </c>
      <c r="J96" s="116" t="n"/>
      <c r="K96" s="116" t="n"/>
      <c r="L96" s="116" t="n"/>
      <c r="M96" s="116" t="n"/>
      <c r="N96" s="116" t="n"/>
      <c r="O96" s="116" t="n"/>
    </row>
    <row r="97" ht="15" customHeight="1" s="64">
      <c r="A97" s="120" t="inlineStr">
        <is>
          <t>Junho/2026</t>
        </is>
      </c>
      <c r="B97" s="120" t="inlineStr">
        <is>
          <t>Souza e Silva</t>
        </is>
      </c>
      <c r="C97" s="120" t="inlineStr">
        <is>
          <t>Pessoal</t>
        </is>
      </c>
      <c r="D97" s="120" t="inlineStr">
        <is>
          <t>Despesas com RH</t>
        </is>
      </c>
      <c r="E97" s="120" t="inlineStr">
        <is>
          <t>TARCIZIO MEIRELES</t>
        </is>
      </c>
      <c r="F97" s="120" t="n">
        <v>5</v>
      </c>
      <c r="G97" s="121" t="n">
        <v>28.31</v>
      </c>
      <c r="H97" s="121">
        <f>F97*G97</f>
        <v/>
      </c>
      <c r="I97" s="120" t="inlineStr">
        <is>
          <t>Real (taxa fixa por colaborador, confirmada em todas as empresas)</t>
        </is>
      </c>
      <c r="J97" s="116" t="n"/>
      <c r="K97" s="116" t="n"/>
      <c r="L97" s="116" t="n"/>
      <c r="M97" s="116" t="n"/>
      <c r="N97" s="116" t="n"/>
      <c r="O97" s="116" t="n"/>
    </row>
    <row r="98" ht="15" customHeight="1" s="64">
      <c r="A98" s="120" t="inlineStr">
        <is>
          <t>Junho/2026</t>
        </is>
      </c>
      <c r="B98" s="120" t="inlineStr">
        <is>
          <t>Souza e Silva</t>
        </is>
      </c>
      <c r="C98" s="120" t="inlineStr">
        <is>
          <t>Pessoal</t>
        </is>
      </c>
      <c r="D98" s="120" t="inlineStr">
        <is>
          <t>Despesas com DP</t>
        </is>
      </c>
      <c r="E98" s="120" t="inlineStr">
        <is>
          <t>TARCIZIO MEIRELES</t>
        </is>
      </c>
      <c r="F98" s="120" t="n">
        <v>5</v>
      </c>
      <c r="G98" s="121" t="n">
        <v>47.79</v>
      </c>
      <c r="H98" s="121">
        <f>F98*G98</f>
        <v/>
      </c>
      <c r="I98" s="120" t="inlineStr">
        <is>
          <t>Real (taxa fixa por colaborador, confirmada em todas as empresas)</t>
        </is>
      </c>
      <c r="J98" s="116" t="n"/>
      <c r="K98" s="116" t="n"/>
      <c r="L98" s="116" t="n"/>
      <c r="M98" s="116" t="n"/>
      <c r="N98" s="116" t="n"/>
      <c r="O98" s="116" t="n"/>
    </row>
    <row r="99" ht="15" customHeight="1" s="64">
      <c r="A99" s="120" t="inlineStr">
        <is>
          <t>Junho/2026</t>
        </is>
      </c>
      <c r="B99" s="120" t="inlineStr">
        <is>
          <t>Souza e Silva</t>
        </is>
      </c>
      <c r="C99" s="120" t="inlineStr">
        <is>
          <t>Segurança do Trabalho</t>
        </is>
      </c>
      <c r="D99" s="120" t="inlineStr">
        <is>
          <t>Despesas com SST</t>
        </is>
      </c>
      <c r="E99" s="120" t="inlineStr">
        <is>
          <t>TARCIZIO MEIRELES</t>
        </is>
      </c>
      <c r="F99" s="120" t="n">
        <v>5</v>
      </c>
      <c r="G99" s="121" t="n">
        <v>64.54000000000001</v>
      </c>
      <c r="H99" s="121">
        <f>F99*G99</f>
        <v/>
      </c>
      <c r="I99" s="120" t="inlineStr">
        <is>
          <t>Real (taxa fixa por colaborador, confirmada em todas as empresas)</t>
        </is>
      </c>
      <c r="J99" s="116" t="n"/>
      <c r="K99" s="116" t="n"/>
      <c r="L99" s="116" t="n"/>
      <c r="M99" s="116" t="n"/>
      <c r="N99" s="116" t="n"/>
      <c r="O99" s="116" t="n"/>
    </row>
    <row r="100" ht="15" customHeight="1" s="64">
      <c r="A100" s="120" t="inlineStr">
        <is>
          <t>Junho/2026</t>
        </is>
      </c>
      <c r="B100" s="120" t="inlineStr">
        <is>
          <t>Souza e Silva</t>
        </is>
      </c>
      <c r="C100" s="120" t="inlineStr">
        <is>
          <t>Benefícios</t>
        </is>
      </c>
      <c r="D100" s="120" t="inlineStr">
        <is>
          <t>Gympass</t>
        </is>
      </c>
      <c r="E100" s="120" t="inlineStr">
        <is>
          <t>TARCIZIO MEIRELES</t>
        </is>
      </c>
      <c r="F100" s="120" t="n">
        <v>5</v>
      </c>
      <c r="G100" s="121" t="n">
        <v>10.05</v>
      </c>
      <c r="H100" s="121">
        <f>F100*G100</f>
        <v/>
      </c>
      <c r="I100" s="120" t="inlineStr">
        <is>
          <t>Real (taxa fixa por colaborador, confirmada em todas as empresas)</t>
        </is>
      </c>
      <c r="J100" s="116" t="n"/>
      <c r="K100" s="116" t="n"/>
      <c r="L100" s="116" t="n"/>
      <c r="M100" s="116" t="n"/>
      <c r="N100" s="116" t="n"/>
      <c r="O100" s="116" t="n"/>
    </row>
    <row r="101" ht="15" customHeight="1" s="64">
      <c r="A101" s="120" t="inlineStr">
        <is>
          <t>Junho/2026</t>
        </is>
      </c>
      <c r="B101" s="120" t="inlineStr">
        <is>
          <t>Souza e Silva</t>
        </is>
      </c>
      <c r="C101" s="120" t="inlineStr">
        <is>
          <t>Benefícios</t>
        </is>
      </c>
      <c r="D101" s="120" t="inlineStr">
        <is>
          <t>Stargrid</t>
        </is>
      </c>
      <c r="E101" s="120" t="inlineStr">
        <is>
          <t>TARCIZIO MEIRELES</t>
        </is>
      </c>
      <c r="F101" s="120" t="n">
        <v>5</v>
      </c>
      <c r="G101" s="121" t="n">
        <v>2.07</v>
      </c>
      <c r="H101" s="121">
        <f>F101*G101</f>
        <v/>
      </c>
      <c r="I101" s="120" t="inlineStr">
        <is>
          <t>Real (taxa fixa por colaborador, confirmada em todas as empresas)</t>
        </is>
      </c>
      <c r="J101" s="116" t="n"/>
      <c r="K101" s="116" t="n"/>
      <c r="L101" s="116" t="n"/>
      <c r="M101" s="116" t="n"/>
      <c r="N101" s="116" t="n"/>
      <c r="O101" s="116" t="n"/>
    </row>
    <row r="102" ht="15" customHeight="1" s="64">
      <c r="A102" s="120" t="inlineStr">
        <is>
          <t>Junho/2026</t>
        </is>
      </c>
      <c r="B102" s="120" t="inlineStr">
        <is>
          <t>Souza e Silva</t>
        </is>
      </c>
      <c r="C102" s="120" t="inlineStr">
        <is>
          <t>Fardamento</t>
        </is>
      </c>
      <c r="D102" s="120" t="inlineStr">
        <is>
          <t>Substituição extra de Fardamento</t>
        </is>
      </c>
      <c r="E102" s="120" t="inlineStr">
        <is>
          <t>TARCIZIO MEIRELES</t>
        </is>
      </c>
      <c r="F102" s="120" t="n">
        <v>1</v>
      </c>
      <c r="G102" s="121" t="n">
        <v>111.44</v>
      </c>
      <c r="H102" s="121">
        <f>F102*G102</f>
        <v/>
      </c>
      <c r="I102" s="120" t="inlineStr">
        <is>
          <t>Estimado (fatia proporcional ao nº de colaboradores da equipe, sem taxa fixa por pessoa), fatia de 5 colaboradores da equipe</t>
        </is>
      </c>
      <c r="J102" s="116" t="n"/>
      <c r="K102" s="116" t="n"/>
      <c r="L102" s="116" t="n"/>
      <c r="M102" s="116" t="n"/>
      <c r="N102" s="116" t="n"/>
      <c r="O102" s="116" t="n"/>
    </row>
    <row r="103" ht="15" customHeight="1" s="64">
      <c r="A103" s="120" t="inlineStr">
        <is>
          <t>Junho/2026</t>
        </is>
      </c>
      <c r="B103" s="120" t="inlineStr">
        <is>
          <t>Souza e Silva</t>
        </is>
      </c>
      <c r="C103" s="120" t="inlineStr">
        <is>
          <t>Estrutura/Infra</t>
        </is>
      </c>
      <c r="D103" s="120" t="inlineStr">
        <is>
          <t>Linhas moveis (FIQUE MÓVEL)</t>
        </is>
      </c>
      <c r="E103" s="120" t="inlineStr">
        <is>
          <t>TARCIZIO MEIRELES</t>
        </is>
      </c>
      <c r="F103" s="120" t="n">
        <v>5</v>
      </c>
      <c r="G103" s="121" t="n">
        <v>30</v>
      </c>
      <c r="H103" s="121">
        <f>F103*G103</f>
        <v/>
      </c>
      <c r="I103" s="120" t="inlineStr">
        <is>
          <t>Real (taxa fixa por colaborador, confirmada em todas as empresas)</t>
        </is>
      </c>
      <c r="J103" s="116" t="n"/>
      <c r="K103" s="116" t="n"/>
      <c r="L103" s="116" t="n"/>
      <c r="M103" s="116" t="n"/>
      <c r="N103" s="116" t="n"/>
      <c r="O103" s="116" t="n"/>
    </row>
    <row r="104" ht="15" customHeight="1" s="64">
      <c r="A104" s="120" t="inlineStr">
        <is>
          <t>Junho/2026</t>
        </is>
      </c>
      <c r="B104" s="120" t="inlineStr">
        <is>
          <t>Souza e Silva</t>
        </is>
      </c>
      <c r="C104" s="120" t="inlineStr">
        <is>
          <t>Frota/Combustível</t>
        </is>
      </c>
      <c r="D104" s="120" t="inlineStr">
        <is>
          <t>Consumo de combustível</t>
        </is>
      </c>
      <c r="E104" s="120" t="inlineStr">
        <is>
          <t>TARCIZIO MEIRELES</t>
        </is>
      </c>
      <c r="F104" s="120" t="n">
        <v>1</v>
      </c>
      <c r="G104" s="121" t="n">
        <v>977.05</v>
      </c>
      <c r="H104" s="121">
        <f>F104*G104</f>
        <v/>
      </c>
      <c r="I104" s="120" t="inlineStr">
        <is>
          <t>Real (cruzado por nome, planilha de combustível)</t>
        </is>
      </c>
      <c r="J104" s="116" t="n"/>
      <c r="K104" s="116" t="n"/>
      <c r="L104" s="116" t="n"/>
      <c r="M104" s="116" t="n"/>
      <c r="N104" s="116" t="n"/>
      <c r="O104" s="116" t="n"/>
    </row>
    <row r="105" ht="15" customHeight="1" s="64">
      <c r="A105" s="120" t="inlineStr">
        <is>
          <t>Junho/2026</t>
        </is>
      </c>
      <c r="B105" s="120" t="inlineStr">
        <is>
          <t>DX2</t>
        </is>
      </c>
      <c r="C105" s="120" t="inlineStr">
        <is>
          <t>Pessoal</t>
        </is>
      </c>
      <c r="D105" s="120" t="inlineStr">
        <is>
          <t>Folha Trabalhista com impostos do mês</t>
        </is>
      </c>
      <c r="E105" s="120" t="inlineStr">
        <is>
          <t>TIAGO</t>
        </is>
      </c>
      <c r="F105" s="120" t="n">
        <v>1</v>
      </c>
      <c r="G105" s="121" t="n">
        <v>18416.45</v>
      </c>
      <c r="H105" s="121">
        <f>F105*G105</f>
        <v/>
      </c>
      <c r="I105" s="120" t="inlineStr">
        <is>
          <t>Real (cruzado por nome, 7/8 encontrados)</t>
        </is>
      </c>
      <c r="J105" s="116" t="n"/>
      <c r="K105" s="116" t="n"/>
      <c r="L105" s="116" t="n"/>
      <c r="M105" s="116" t="n"/>
      <c r="N105" s="116" t="n"/>
      <c r="O105" s="116" t="n"/>
    </row>
    <row r="106" ht="15" customHeight="1" s="64">
      <c r="A106" s="120" t="inlineStr">
        <is>
          <t>Junho/2026</t>
        </is>
      </c>
      <c r="B106" s="120" t="inlineStr">
        <is>
          <t>DX2</t>
        </is>
      </c>
      <c r="C106" s="120" t="inlineStr">
        <is>
          <t>Pessoal</t>
        </is>
      </c>
      <c r="D106" s="120" t="inlineStr">
        <is>
          <t>Despesas com RH</t>
        </is>
      </c>
      <c r="E106" s="120" t="inlineStr">
        <is>
          <t>TIAGO</t>
        </is>
      </c>
      <c r="F106" s="120" t="n">
        <v>8</v>
      </c>
      <c r="G106" s="121" t="n">
        <v>28.31</v>
      </c>
      <c r="H106" s="121">
        <f>F106*G106</f>
        <v/>
      </c>
      <c r="I106" s="120" t="inlineStr">
        <is>
          <t>Real (taxa fixa por colaborador, confirmada em todas as empresas)</t>
        </is>
      </c>
      <c r="J106" s="116" t="n"/>
      <c r="K106" s="116" t="n"/>
      <c r="L106" s="116" t="n"/>
      <c r="M106" s="116" t="n"/>
      <c r="N106" s="116" t="n"/>
      <c r="O106" s="116" t="n"/>
    </row>
    <row r="107" ht="15" customHeight="1" s="64">
      <c r="A107" s="120" t="inlineStr">
        <is>
          <t>Junho/2026</t>
        </is>
      </c>
      <c r="B107" s="120" t="inlineStr">
        <is>
          <t>DX2</t>
        </is>
      </c>
      <c r="C107" s="120" t="inlineStr">
        <is>
          <t>Pessoal</t>
        </is>
      </c>
      <c r="D107" s="120" t="inlineStr">
        <is>
          <t>Despesas com DP</t>
        </is>
      </c>
      <c r="E107" s="120" t="inlineStr">
        <is>
          <t>TIAGO</t>
        </is>
      </c>
      <c r="F107" s="120" t="n">
        <v>8</v>
      </c>
      <c r="G107" s="121" t="n">
        <v>47.79</v>
      </c>
      <c r="H107" s="121">
        <f>F107*G107</f>
        <v/>
      </c>
      <c r="I107" s="120" t="inlineStr">
        <is>
          <t>Real (taxa fixa por colaborador, confirmada em todas as empresas)</t>
        </is>
      </c>
      <c r="J107" s="116" t="n"/>
      <c r="K107" s="116" t="n"/>
      <c r="L107" s="116" t="n"/>
      <c r="M107" s="116" t="n"/>
      <c r="N107" s="116" t="n"/>
      <c r="O107" s="116" t="n"/>
    </row>
    <row r="108" ht="15" customHeight="1" s="64">
      <c r="A108" s="120" t="inlineStr">
        <is>
          <t>Junho/2026</t>
        </is>
      </c>
      <c r="B108" s="120" t="inlineStr">
        <is>
          <t>DX2</t>
        </is>
      </c>
      <c r="C108" s="120" t="inlineStr">
        <is>
          <t>Segurança do Trabalho</t>
        </is>
      </c>
      <c r="D108" s="120" t="inlineStr">
        <is>
          <t>Despesas com SST</t>
        </is>
      </c>
      <c r="E108" s="120" t="inlineStr">
        <is>
          <t>TIAGO</t>
        </is>
      </c>
      <c r="F108" s="120" t="n">
        <v>8</v>
      </c>
      <c r="G108" s="121" t="n">
        <v>64.54000000000001</v>
      </c>
      <c r="H108" s="121">
        <f>F108*G108</f>
        <v/>
      </c>
      <c r="I108" s="120" t="inlineStr">
        <is>
          <t>Real (taxa fixa por colaborador, confirmada em todas as empresas)</t>
        </is>
      </c>
      <c r="J108" s="116" t="n"/>
      <c r="K108" s="116" t="n"/>
      <c r="L108" s="116" t="n"/>
      <c r="M108" s="116" t="n"/>
      <c r="N108" s="116" t="n"/>
      <c r="O108" s="116" t="n"/>
    </row>
    <row r="109" ht="15" customHeight="1" s="64">
      <c r="A109" s="120" t="inlineStr">
        <is>
          <t>Junho/2026</t>
        </is>
      </c>
      <c r="B109" s="120" t="inlineStr">
        <is>
          <t>DX2</t>
        </is>
      </c>
      <c r="C109" s="120" t="inlineStr">
        <is>
          <t>Segurança do Trabalho</t>
        </is>
      </c>
      <c r="D109" s="120" t="inlineStr">
        <is>
          <t>Despesas SST exames</t>
        </is>
      </c>
      <c r="E109" s="120" t="inlineStr">
        <is>
          <t>TIAGO</t>
        </is>
      </c>
      <c r="F109" s="120" t="n">
        <v>1</v>
      </c>
      <c r="G109" s="121" t="n">
        <v>140</v>
      </c>
      <c r="H109" s="121">
        <f>F109*G109</f>
        <v/>
      </c>
      <c r="I109" s="120" t="inlineStr">
        <is>
          <t>Estimado (fatia proporcional ao nº de colaboradores da equipe, sem taxa fixa por pessoa), fatia de 8 colaboradores da equipe</t>
        </is>
      </c>
      <c r="J109" s="116" t="n"/>
      <c r="K109" s="116" t="n"/>
      <c r="L109" s="116" t="n"/>
      <c r="M109" s="116" t="n"/>
      <c r="N109" s="116" t="n"/>
      <c r="O109" s="116" t="n"/>
    </row>
    <row r="110" ht="15" customHeight="1" s="64">
      <c r="A110" s="120" t="inlineStr">
        <is>
          <t>Junho/2026</t>
        </is>
      </c>
      <c r="B110" s="120" t="inlineStr">
        <is>
          <t>DX2</t>
        </is>
      </c>
      <c r="C110" s="120" t="inlineStr">
        <is>
          <t>Benefícios</t>
        </is>
      </c>
      <c r="D110" s="120" t="inlineStr">
        <is>
          <t>Gympass</t>
        </is>
      </c>
      <c r="E110" s="120" t="inlineStr">
        <is>
          <t>TIAGO</t>
        </is>
      </c>
      <c r="F110" s="120" t="n">
        <v>8</v>
      </c>
      <c r="G110" s="121" t="n">
        <v>10.05</v>
      </c>
      <c r="H110" s="121">
        <f>F110*G110</f>
        <v/>
      </c>
      <c r="I110" s="120" t="inlineStr">
        <is>
          <t>Real (taxa fixa por colaborador, confirmada em todas as empresas)</t>
        </is>
      </c>
      <c r="J110" s="116" t="n"/>
      <c r="K110" s="116" t="n"/>
      <c r="L110" s="116" t="n"/>
      <c r="M110" s="116" t="n"/>
      <c r="N110" s="116" t="n"/>
      <c r="O110" s="116" t="n"/>
    </row>
    <row r="111" ht="15" customHeight="1" s="64">
      <c r="A111" s="120" t="inlineStr">
        <is>
          <t>Junho/2026</t>
        </is>
      </c>
      <c r="B111" s="120" t="inlineStr">
        <is>
          <t>DX2</t>
        </is>
      </c>
      <c r="C111" s="120" t="inlineStr">
        <is>
          <t>Benefícios</t>
        </is>
      </c>
      <c r="D111" s="120" t="inlineStr">
        <is>
          <t>Stargrid</t>
        </is>
      </c>
      <c r="E111" s="120" t="inlineStr">
        <is>
          <t>TIAGO</t>
        </is>
      </c>
      <c r="F111" s="120" t="n">
        <v>8</v>
      </c>
      <c r="G111" s="121" t="n">
        <v>2.07</v>
      </c>
      <c r="H111" s="121">
        <f>F111*G111</f>
        <v/>
      </c>
      <c r="I111" s="120" t="inlineStr">
        <is>
          <t>Real (taxa fixa por colaborador, confirmada em todas as empresas)</t>
        </is>
      </c>
      <c r="J111" s="116" t="n"/>
      <c r="K111" s="116" t="n"/>
      <c r="L111" s="116" t="n"/>
      <c r="M111" s="116" t="n"/>
      <c r="N111" s="116" t="n"/>
      <c r="O111" s="116" t="n"/>
    </row>
    <row r="112" ht="15" customHeight="1" s="64">
      <c r="A112" s="120" t="inlineStr">
        <is>
          <t>Junho/2026</t>
        </is>
      </c>
      <c r="B112" s="120" t="inlineStr">
        <is>
          <t>DX2</t>
        </is>
      </c>
      <c r="C112" s="120" t="inlineStr">
        <is>
          <t>Fardamento</t>
        </is>
      </c>
      <c r="D112" s="120" t="inlineStr">
        <is>
          <t>Novo Fardamento</t>
        </is>
      </c>
      <c r="E112" s="120" t="inlineStr">
        <is>
          <t>TIAGO</t>
        </is>
      </c>
      <c r="F112" s="120" t="n">
        <v>1</v>
      </c>
      <c r="G112" s="121" t="n">
        <v>798.12</v>
      </c>
      <c r="H112" s="121">
        <f>F112*G112</f>
        <v/>
      </c>
      <c r="I112" s="120" t="inlineStr">
        <is>
          <t>Estimado (fatia proporcional ao nº de colaboradores da equipe, sem taxa fixa por pessoa), fatia de 8 colaboradores da equipe</t>
        </is>
      </c>
      <c r="J112" s="116" t="n"/>
      <c r="K112" s="116" t="n"/>
      <c r="L112" s="116" t="n"/>
      <c r="M112" s="116" t="n"/>
      <c r="N112" s="116" t="n"/>
      <c r="O112" s="116" t="n"/>
    </row>
    <row r="113" ht="15" customHeight="1" s="64">
      <c r="A113" s="120" t="inlineStr">
        <is>
          <t>Junho/2026</t>
        </is>
      </c>
      <c r="B113" s="120" t="inlineStr">
        <is>
          <t>DX2</t>
        </is>
      </c>
      <c r="C113" s="120" t="inlineStr">
        <is>
          <t>Fardamento</t>
        </is>
      </c>
      <c r="D113" s="120" t="inlineStr">
        <is>
          <t>Substituição extra de Fardamento</t>
        </is>
      </c>
      <c r="E113" s="120" t="inlineStr">
        <is>
          <t>TIAGO</t>
        </is>
      </c>
      <c r="F113" s="120" t="n">
        <v>1</v>
      </c>
      <c r="G113" s="121" t="n">
        <v>222.88</v>
      </c>
      <c r="H113" s="121">
        <f>F113*G113</f>
        <v/>
      </c>
      <c r="I113" s="120" t="inlineStr">
        <is>
          <t>Estimado (fatia proporcional ao nº de colaboradores da equipe, sem taxa fixa por pessoa), fatia de 8 colaboradores da equipe</t>
        </is>
      </c>
      <c r="J113" s="116" t="n"/>
      <c r="K113" s="116" t="n"/>
      <c r="L113" s="116" t="n"/>
      <c r="M113" s="116" t="n"/>
      <c r="N113" s="116" t="n"/>
      <c r="O113" s="116" t="n"/>
    </row>
    <row r="114" ht="15" customHeight="1" s="64">
      <c r="A114" s="120" t="inlineStr">
        <is>
          <t>Junho/2026</t>
        </is>
      </c>
      <c r="B114" s="120" t="inlineStr">
        <is>
          <t>DX2</t>
        </is>
      </c>
      <c r="C114" s="120" t="inlineStr">
        <is>
          <t>Estrutura/Infra</t>
        </is>
      </c>
      <c r="D114" s="120" t="inlineStr">
        <is>
          <t>Linhas moveis (FIQUE MÓVEL)</t>
        </is>
      </c>
      <c r="E114" s="120" t="inlineStr">
        <is>
          <t>TIAGO</t>
        </is>
      </c>
      <c r="F114" s="120" t="n">
        <v>8</v>
      </c>
      <c r="G114" s="121" t="n">
        <v>30</v>
      </c>
      <c r="H114" s="121">
        <f>F114*G114</f>
        <v/>
      </c>
      <c r="I114" s="120" t="inlineStr">
        <is>
          <t>Real (taxa fixa por colaborador, confirmada em todas as empresas)</t>
        </is>
      </c>
      <c r="J114" s="116" t="n"/>
      <c r="K114" s="116" t="n"/>
      <c r="L114" s="116" t="n"/>
      <c r="M114" s="116" t="n"/>
      <c r="N114" s="116" t="n"/>
      <c r="O114" s="116" t="n"/>
    </row>
    <row r="115" ht="15" customHeight="1" s="64">
      <c r="A115" s="120" t="inlineStr">
        <is>
          <t>Junho/2026</t>
        </is>
      </c>
      <c r="B115" s="120" t="inlineStr">
        <is>
          <t>Soares e Silva</t>
        </is>
      </c>
      <c r="C115" s="120" t="inlineStr">
        <is>
          <t>Pessoal</t>
        </is>
      </c>
      <c r="D115" s="120" t="inlineStr">
        <is>
          <t>Folha Trabalhista com impostos do mês</t>
        </is>
      </c>
      <c r="E115" s="120" t="inlineStr">
        <is>
          <t>TIAGO</t>
        </is>
      </c>
      <c r="F115" s="120" t="n">
        <v>1</v>
      </c>
      <c r="G115" s="121" t="n">
        <v>17518.73</v>
      </c>
      <c r="H115" s="121">
        <f>F115*G115</f>
        <v/>
      </c>
      <c r="I115" s="120" t="inlineStr">
        <is>
          <t>Real (cruzado por nome, 5/11 encontrados)</t>
        </is>
      </c>
      <c r="J115" s="116" t="n"/>
      <c r="K115" s="116" t="n"/>
      <c r="L115" s="116" t="n"/>
      <c r="M115" s="116" t="n"/>
      <c r="N115" s="116" t="n"/>
      <c r="O115" s="116" t="n"/>
    </row>
    <row r="116" ht="15" customHeight="1" s="64">
      <c r="A116" s="120" t="inlineStr">
        <is>
          <t>Junho/2026</t>
        </is>
      </c>
      <c r="B116" s="120" t="inlineStr">
        <is>
          <t>Soares e Silva</t>
        </is>
      </c>
      <c r="C116" s="120" t="inlineStr">
        <is>
          <t>Pessoal</t>
        </is>
      </c>
      <c r="D116" s="120" t="inlineStr">
        <is>
          <t>Vale Transporte</t>
        </is>
      </c>
      <c r="E116" s="120" t="inlineStr">
        <is>
          <t>TIAGO</t>
        </is>
      </c>
      <c r="F116" s="120" t="n">
        <v>1</v>
      </c>
      <c r="G116" s="121" t="n">
        <v>2075</v>
      </c>
      <c r="H116" s="121">
        <f>F116*G116</f>
        <v/>
      </c>
      <c r="I116" s="120" t="inlineStr">
        <is>
          <t>Estimado (fatia proporcional ao nº de colaboradores da equipe, sem taxa fixa por pessoa), fatia de 11 colaboradores da equipe</t>
        </is>
      </c>
      <c r="J116" s="116" t="n"/>
      <c r="K116" s="116" t="n"/>
      <c r="L116" s="116" t="n"/>
      <c r="M116" s="116" t="n"/>
      <c r="N116" s="116" t="n"/>
      <c r="O116" s="116" t="n"/>
    </row>
    <row r="117" ht="15" customHeight="1" s="64">
      <c r="A117" s="120" t="inlineStr">
        <is>
          <t>Junho/2026</t>
        </is>
      </c>
      <c r="B117" s="120" t="inlineStr">
        <is>
          <t>Soares e Silva</t>
        </is>
      </c>
      <c r="C117" s="120" t="inlineStr">
        <is>
          <t>Pessoal</t>
        </is>
      </c>
      <c r="D117" s="120" t="inlineStr">
        <is>
          <t>Despesas com RH</t>
        </is>
      </c>
      <c r="E117" s="120" t="inlineStr">
        <is>
          <t>TIAGO</t>
        </is>
      </c>
      <c r="F117" s="120" t="n">
        <v>11</v>
      </c>
      <c r="G117" s="121" t="n">
        <v>28.31</v>
      </c>
      <c r="H117" s="121">
        <f>F117*G117</f>
        <v/>
      </c>
      <c r="I117" s="120" t="inlineStr">
        <is>
          <t>Real (taxa fixa por colaborador, confirmada em todas as empresas)</t>
        </is>
      </c>
      <c r="J117" s="116" t="n"/>
      <c r="K117" s="116" t="n"/>
      <c r="L117" s="116" t="n"/>
      <c r="M117" s="116" t="n"/>
      <c r="N117" s="116" t="n"/>
      <c r="O117" s="116" t="n"/>
    </row>
    <row r="118" ht="15" customHeight="1" s="64">
      <c r="A118" s="120" t="inlineStr">
        <is>
          <t>Junho/2026</t>
        </is>
      </c>
      <c r="B118" s="120" t="inlineStr">
        <is>
          <t>Soares e Silva</t>
        </is>
      </c>
      <c r="C118" s="120" t="inlineStr">
        <is>
          <t>Pessoal</t>
        </is>
      </c>
      <c r="D118" s="120" t="inlineStr">
        <is>
          <t>Despesas com DP</t>
        </is>
      </c>
      <c r="E118" s="120" t="inlineStr">
        <is>
          <t>TIAGO</t>
        </is>
      </c>
      <c r="F118" s="120" t="n">
        <v>11</v>
      </c>
      <c r="G118" s="121" t="n">
        <v>47.79</v>
      </c>
      <c r="H118" s="121">
        <f>F118*G118</f>
        <v/>
      </c>
      <c r="I118" s="120" t="inlineStr">
        <is>
          <t>Real (taxa fixa por colaborador, confirmada em todas as empresas)</t>
        </is>
      </c>
      <c r="J118" s="116" t="n"/>
      <c r="K118" s="116" t="n"/>
      <c r="L118" s="116" t="n"/>
      <c r="M118" s="116" t="n"/>
      <c r="N118" s="116" t="n"/>
      <c r="O118" s="116" t="n"/>
    </row>
    <row r="119" ht="15" customHeight="1" s="64">
      <c r="A119" s="120" t="inlineStr">
        <is>
          <t>Junho/2026</t>
        </is>
      </c>
      <c r="B119" s="120" t="inlineStr">
        <is>
          <t>Soares e Silva</t>
        </is>
      </c>
      <c r="C119" s="120" t="inlineStr">
        <is>
          <t>Segurança do Trabalho</t>
        </is>
      </c>
      <c r="D119" s="120" t="inlineStr">
        <is>
          <t>Despesas com SST</t>
        </is>
      </c>
      <c r="E119" s="120" t="inlineStr">
        <is>
          <t>TIAGO</t>
        </is>
      </c>
      <c r="F119" s="120" t="n">
        <v>11</v>
      </c>
      <c r="G119" s="121" t="n">
        <v>64.54000000000001</v>
      </c>
      <c r="H119" s="121">
        <f>F119*G119</f>
        <v/>
      </c>
      <c r="I119" s="120" t="inlineStr">
        <is>
          <t>Real (taxa fixa por colaborador, confirmada em todas as empresas)</t>
        </is>
      </c>
      <c r="J119" s="116" t="n"/>
      <c r="K119" s="116" t="n"/>
      <c r="L119" s="116" t="n"/>
      <c r="M119" s="116" t="n"/>
      <c r="N119" s="116" t="n"/>
      <c r="O119" s="116" t="n"/>
    </row>
    <row r="120" ht="15" customHeight="1" s="64">
      <c r="A120" s="120" t="inlineStr">
        <is>
          <t>Junho/2026</t>
        </is>
      </c>
      <c r="B120" s="120" t="inlineStr">
        <is>
          <t>Soares e Silva</t>
        </is>
      </c>
      <c r="C120" s="120" t="inlineStr">
        <is>
          <t>Segurança do Trabalho</t>
        </is>
      </c>
      <c r="D120" s="120" t="inlineStr">
        <is>
          <t>Despesas SST exames</t>
        </is>
      </c>
      <c r="E120" s="120" t="inlineStr">
        <is>
          <t>TIAGO</t>
        </is>
      </c>
      <c r="F120" s="120" t="n">
        <v>1</v>
      </c>
      <c r="G120" s="121" t="n">
        <v>140</v>
      </c>
      <c r="H120" s="121">
        <f>F120*G120</f>
        <v/>
      </c>
      <c r="I120" s="120" t="inlineStr">
        <is>
          <t>Estimado (fatia proporcional ao nº de colaboradores da equipe, sem taxa fixa por pessoa), fatia de 11 colaboradores da equipe</t>
        </is>
      </c>
      <c r="J120" s="116" t="n"/>
      <c r="K120" s="116" t="n"/>
      <c r="L120" s="116" t="n"/>
      <c r="M120" s="116" t="n"/>
      <c r="N120" s="116" t="n"/>
      <c r="O120" s="116" t="n"/>
    </row>
    <row r="121" ht="15" customHeight="1" s="64">
      <c r="A121" s="120" t="inlineStr">
        <is>
          <t>Junho/2026</t>
        </is>
      </c>
      <c r="B121" s="120" t="inlineStr">
        <is>
          <t>Soares e Silva</t>
        </is>
      </c>
      <c r="C121" s="120" t="inlineStr">
        <is>
          <t>Benefícios</t>
        </is>
      </c>
      <c r="D121" s="120" t="inlineStr">
        <is>
          <t>Gympass</t>
        </is>
      </c>
      <c r="E121" s="120" t="inlineStr">
        <is>
          <t>TIAGO</t>
        </is>
      </c>
      <c r="F121" s="120" t="n">
        <v>11</v>
      </c>
      <c r="G121" s="121" t="n">
        <v>10.05</v>
      </c>
      <c r="H121" s="121">
        <f>F121*G121</f>
        <v/>
      </c>
      <c r="I121" s="120" t="inlineStr">
        <is>
          <t>Real (taxa fixa por colaborador, confirmada em todas as empresas)</t>
        </is>
      </c>
      <c r="J121" s="116" t="n"/>
      <c r="K121" s="116" t="n"/>
      <c r="L121" s="116" t="n"/>
      <c r="M121" s="116" t="n"/>
      <c r="N121" s="116" t="n"/>
      <c r="O121" s="116" t="n"/>
    </row>
    <row r="122" ht="15" customHeight="1" s="64">
      <c r="A122" s="120" t="inlineStr">
        <is>
          <t>Junho/2026</t>
        </is>
      </c>
      <c r="B122" s="120" t="inlineStr">
        <is>
          <t>Soares e Silva</t>
        </is>
      </c>
      <c r="C122" s="120" t="inlineStr">
        <is>
          <t>Benefícios</t>
        </is>
      </c>
      <c r="D122" s="120" t="inlineStr">
        <is>
          <t>Stargrid</t>
        </is>
      </c>
      <c r="E122" s="120" t="inlineStr">
        <is>
          <t>TIAGO</t>
        </is>
      </c>
      <c r="F122" s="120" t="n">
        <v>11</v>
      </c>
      <c r="G122" s="121" t="n">
        <v>2.07</v>
      </c>
      <c r="H122" s="121">
        <f>F122*G122</f>
        <v/>
      </c>
      <c r="I122" s="120" t="inlineStr">
        <is>
          <t>Real (taxa fixa por colaborador, confirmada em todas as empresas)</t>
        </is>
      </c>
      <c r="J122" s="116" t="n"/>
      <c r="K122" s="116" t="n"/>
      <c r="L122" s="116" t="n"/>
      <c r="M122" s="116" t="n"/>
      <c r="N122" s="116" t="n"/>
      <c r="O122" s="116" t="n"/>
    </row>
    <row r="123" ht="15" customHeight="1" s="64">
      <c r="A123" s="120" t="inlineStr">
        <is>
          <t>Junho/2026</t>
        </is>
      </c>
      <c r="B123" s="120" t="inlineStr">
        <is>
          <t>Soares e Silva</t>
        </is>
      </c>
      <c r="C123" s="120" t="inlineStr">
        <is>
          <t>Estrutura/Infra</t>
        </is>
      </c>
      <c r="D123" s="120" t="inlineStr">
        <is>
          <t>Linhas moveis (FIQUE MÓVEL)</t>
        </is>
      </c>
      <c r="E123" s="120" t="inlineStr">
        <is>
          <t>TIAGO</t>
        </is>
      </c>
      <c r="F123" s="120" t="n">
        <v>11</v>
      </c>
      <c r="G123" s="121" t="n">
        <v>30</v>
      </c>
      <c r="H123" s="121">
        <f>F123*G123</f>
        <v/>
      </c>
      <c r="I123" s="120" t="inlineStr">
        <is>
          <t>Real (taxa fixa por colaborador, confirmada em todas as empresas)</t>
        </is>
      </c>
      <c r="J123" s="116" t="n"/>
      <c r="K123" s="116" t="n"/>
      <c r="L123" s="116" t="n"/>
      <c r="M123" s="116" t="n"/>
      <c r="N123" s="116" t="n"/>
      <c r="O123" s="116" t="n"/>
    </row>
    <row r="124" ht="15" customHeight="1" s="64">
      <c r="A124" s="120" t="inlineStr">
        <is>
          <t>Junho/2026</t>
        </is>
      </c>
      <c r="B124" s="120" t="inlineStr">
        <is>
          <t>Soares e Silva</t>
        </is>
      </c>
      <c r="C124" s="120" t="inlineStr">
        <is>
          <t>Frota/Combustível</t>
        </is>
      </c>
      <c r="D124" s="120" t="inlineStr">
        <is>
          <t>Consumo de combustível</t>
        </is>
      </c>
      <c r="E124" s="120" t="inlineStr">
        <is>
          <t>TIAGO</t>
        </is>
      </c>
      <c r="F124" s="120" t="n">
        <v>1</v>
      </c>
      <c r="G124" s="121" t="n">
        <v>2642.33</v>
      </c>
      <c r="H124" s="121">
        <f>F124*G124</f>
        <v/>
      </c>
      <c r="I124" s="120" t="inlineStr">
        <is>
          <t>Real (cruzado por nome, planilha de combustível)</t>
        </is>
      </c>
      <c r="J124" s="116" t="n"/>
      <c r="K124" s="116" t="n"/>
      <c r="L124" s="116" t="n"/>
      <c r="M124" s="116" t="n"/>
      <c r="N124" s="116" t="n"/>
      <c r="O124" s="116" t="n"/>
    </row>
    <row r="125" ht="15" customHeight="1" s="64">
      <c r="A125" s="120" t="inlineStr">
        <is>
          <t>Junho/2026</t>
        </is>
      </c>
      <c r="B125" s="120" t="inlineStr">
        <is>
          <t>Soares e Lins</t>
        </is>
      </c>
      <c r="C125" s="120" t="inlineStr">
        <is>
          <t>Pessoal</t>
        </is>
      </c>
      <c r="D125" s="120" t="inlineStr">
        <is>
          <t>Folha Trabalhista com impostos do mês</t>
        </is>
      </c>
      <c r="E125" s="120" t="inlineStr">
        <is>
          <t>VITOR LINS</t>
        </is>
      </c>
      <c r="F125" s="120" t="n">
        <v>1</v>
      </c>
      <c r="G125" s="121" t="n">
        <v>3520.86</v>
      </c>
      <c r="H125" s="121">
        <f>F125*G125</f>
        <v/>
      </c>
      <c r="I125" s="120" t="inlineStr">
        <is>
          <t>Real (cruzado por nome, 1/1 encontrados)</t>
        </is>
      </c>
      <c r="J125" s="116" t="n"/>
      <c r="K125" s="116" t="n"/>
      <c r="L125" s="116" t="n"/>
      <c r="M125" s="116" t="n"/>
      <c r="N125" s="116" t="n"/>
      <c r="O125" s="116" t="n"/>
    </row>
    <row r="126" ht="15" customHeight="1" s="64">
      <c r="A126" s="120" t="inlineStr">
        <is>
          <t>Junho/2026</t>
        </is>
      </c>
      <c r="B126" s="120" t="inlineStr">
        <is>
          <t>Soares e Lins</t>
        </is>
      </c>
      <c r="C126" s="120" t="inlineStr">
        <is>
          <t>Pessoal</t>
        </is>
      </c>
      <c r="D126" s="120" t="inlineStr">
        <is>
          <t>Despesas com RH</t>
        </is>
      </c>
      <c r="E126" s="120" t="inlineStr">
        <is>
          <t>VITOR LINS</t>
        </is>
      </c>
      <c r="F126" s="120" t="n">
        <v>1</v>
      </c>
      <c r="G126" s="121" t="n">
        <v>28.31</v>
      </c>
      <c r="H126" s="121">
        <f>F126*G126</f>
        <v/>
      </c>
      <c r="I126" s="120" t="inlineStr">
        <is>
          <t>Real (taxa fixa por colaborador, confirmada em todas as empresas)</t>
        </is>
      </c>
      <c r="J126" s="116" t="n"/>
      <c r="K126" s="116" t="n"/>
      <c r="L126" s="116" t="n"/>
      <c r="M126" s="116" t="n"/>
      <c r="N126" s="116" t="n"/>
      <c r="O126" s="116" t="n"/>
    </row>
    <row r="127" ht="15" customHeight="1" s="64">
      <c r="A127" s="120" t="inlineStr">
        <is>
          <t>Junho/2026</t>
        </is>
      </c>
      <c r="B127" s="120" t="inlineStr">
        <is>
          <t>Soares e Lins</t>
        </is>
      </c>
      <c r="C127" s="120" t="inlineStr">
        <is>
          <t>Pessoal</t>
        </is>
      </c>
      <c r="D127" s="120" t="inlineStr">
        <is>
          <t>Despesas com DP</t>
        </is>
      </c>
      <c r="E127" s="120" t="inlineStr">
        <is>
          <t>VITOR LINS</t>
        </is>
      </c>
      <c r="F127" s="120" t="n">
        <v>1</v>
      </c>
      <c r="G127" s="121" t="n">
        <v>47.79</v>
      </c>
      <c r="H127" s="121">
        <f>F127*G127</f>
        <v/>
      </c>
      <c r="I127" s="120" t="inlineStr">
        <is>
          <t>Real (taxa fixa por colaborador, confirmada em todas as empresas)</t>
        </is>
      </c>
      <c r="J127" s="116" t="n"/>
      <c r="K127" s="116" t="n"/>
      <c r="L127" s="116" t="n"/>
      <c r="M127" s="116" t="n"/>
      <c r="N127" s="116" t="n"/>
      <c r="O127" s="116" t="n"/>
    </row>
    <row r="128" ht="15" customHeight="1" s="64">
      <c r="A128" s="120" t="inlineStr">
        <is>
          <t>Junho/2026</t>
        </is>
      </c>
      <c r="B128" s="120" t="inlineStr">
        <is>
          <t>Soares e Lins</t>
        </is>
      </c>
      <c r="C128" s="120" t="inlineStr">
        <is>
          <t>Segurança do Trabalho</t>
        </is>
      </c>
      <c r="D128" s="120" t="inlineStr">
        <is>
          <t>Despesas com SST</t>
        </is>
      </c>
      <c r="E128" s="120" t="inlineStr">
        <is>
          <t>VITOR LINS</t>
        </is>
      </c>
      <c r="F128" s="120" t="n">
        <v>1</v>
      </c>
      <c r="G128" s="121" t="n">
        <v>64.54000000000001</v>
      </c>
      <c r="H128" s="121">
        <f>F128*G128</f>
        <v/>
      </c>
      <c r="I128" s="120" t="inlineStr">
        <is>
          <t>Real (taxa fixa por colaborador, confirmada em todas as empresas)</t>
        </is>
      </c>
      <c r="J128" s="116" t="n"/>
      <c r="K128" s="116" t="n"/>
      <c r="L128" s="116" t="n"/>
      <c r="M128" s="116" t="n"/>
      <c r="N128" s="116" t="n"/>
      <c r="O128" s="116" t="n"/>
    </row>
    <row r="129" ht="15" customHeight="1" s="64">
      <c r="A129" s="120" t="inlineStr">
        <is>
          <t>Junho/2026</t>
        </is>
      </c>
      <c r="B129" s="120" t="inlineStr">
        <is>
          <t>Soares e Lins</t>
        </is>
      </c>
      <c r="C129" s="120" t="inlineStr">
        <is>
          <t>Benefícios</t>
        </is>
      </c>
      <c r="D129" s="120" t="inlineStr">
        <is>
          <t>Gympass</t>
        </is>
      </c>
      <c r="E129" s="120" t="inlineStr">
        <is>
          <t>VITOR LINS</t>
        </is>
      </c>
      <c r="F129" s="120" t="n">
        <v>1</v>
      </c>
      <c r="G129" s="121" t="n">
        <v>10.05</v>
      </c>
      <c r="H129" s="121">
        <f>F129*G129</f>
        <v/>
      </c>
      <c r="I129" s="120" t="inlineStr">
        <is>
          <t>Real (taxa fixa por colaborador, confirmada em todas as empresas)</t>
        </is>
      </c>
      <c r="J129" s="116" t="n"/>
      <c r="K129" s="116" t="n"/>
      <c r="L129" s="116" t="n"/>
      <c r="M129" s="116" t="n"/>
      <c r="N129" s="116" t="n"/>
      <c r="O129" s="116" t="n"/>
    </row>
    <row r="130" ht="15" customHeight="1" s="64">
      <c r="A130" s="120" t="inlineStr">
        <is>
          <t>Junho/2026</t>
        </is>
      </c>
      <c r="B130" s="120" t="inlineStr">
        <is>
          <t>Soares e Lins</t>
        </is>
      </c>
      <c r="C130" s="120" t="inlineStr">
        <is>
          <t>Benefícios</t>
        </is>
      </c>
      <c r="D130" s="120" t="inlineStr">
        <is>
          <t>Stargrid</t>
        </is>
      </c>
      <c r="E130" s="120" t="inlineStr">
        <is>
          <t>VITOR LINS</t>
        </is>
      </c>
      <c r="F130" s="120" t="n">
        <v>1</v>
      </c>
      <c r="G130" s="121" t="n">
        <v>2.07</v>
      </c>
      <c r="H130" s="121">
        <f>F130*G130</f>
        <v/>
      </c>
      <c r="I130" s="120" t="inlineStr">
        <is>
          <t>Real (taxa fixa por colaborador, confirmada em todas as empresas)</t>
        </is>
      </c>
      <c r="J130" s="116" t="n"/>
      <c r="K130" s="116" t="n"/>
      <c r="L130" s="116" t="n"/>
      <c r="M130" s="116" t="n"/>
      <c r="N130" s="116" t="n"/>
      <c r="O130" s="116" t="n"/>
    </row>
    <row r="131" ht="15" customHeight="1" s="64">
      <c r="A131" s="120" t="inlineStr">
        <is>
          <t>Junho/2026</t>
        </is>
      </c>
      <c r="B131" s="120" t="inlineStr">
        <is>
          <t>Soares e Lins</t>
        </is>
      </c>
      <c r="C131" s="120" t="inlineStr">
        <is>
          <t>Estrutura/Infra</t>
        </is>
      </c>
      <c r="D131" s="120" t="inlineStr">
        <is>
          <t>Linhas moveis (FIQUE MÓVEL)</t>
        </is>
      </c>
      <c r="E131" s="120" t="inlineStr">
        <is>
          <t>VITOR LINS</t>
        </is>
      </c>
      <c r="F131" s="120" t="n">
        <v>1</v>
      </c>
      <c r="G131" s="121" t="n">
        <v>30</v>
      </c>
      <c r="H131" s="121">
        <f>F131*G131</f>
        <v/>
      </c>
      <c r="I131" s="120" t="inlineStr">
        <is>
          <t>Real (taxa fixa por colaborador, confirmada em todas as empresas)</t>
        </is>
      </c>
      <c r="J131" s="116" t="n"/>
      <c r="K131" s="116" t="n"/>
      <c r="L131" s="116" t="n"/>
      <c r="M131" s="116" t="n"/>
      <c r="N131" s="116" t="n"/>
      <c r="O131" s="116" t="n"/>
    </row>
    <row r="132" ht="15" customHeight="1" s="64">
      <c r="A132" s="120" t="inlineStr">
        <is>
          <t>Maio/2026</t>
        </is>
      </c>
      <c r="B132" s="120" t="inlineStr">
        <is>
          <t>DTEL</t>
        </is>
      </c>
      <c r="C132" s="120" t="inlineStr">
        <is>
          <t>Pessoal</t>
        </is>
      </c>
      <c r="D132" s="120" t="inlineStr">
        <is>
          <t>Folha Trabalhista com impostos do mês</t>
        </is>
      </c>
      <c r="E132" s="120" t="inlineStr">
        <is>
          <t>ELTHON MENEZES</t>
        </is>
      </c>
      <c r="F132" s="120" t="n">
        <v>1</v>
      </c>
      <c r="G132" s="121" t="n">
        <v>70601.08017777769</v>
      </c>
      <c r="H132" s="121" t="n">
        <v>70601.08017777769</v>
      </c>
      <c r="I132" s="120" t="inlineStr">
        <is>
      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      </is>
      </c>
      <c r="J132" s="116" t="n"/>
      <c r="K132" s="116" t="n"/>
      <c r="L132" s="116" t="n"/>
      <c r="M132" s="116" t="n"/>
      <c r="N132" s="116" t="n"/>
      <c r="O132" s="116" t="n"/>
    </row>
    <row r="133" ht="15" customHeight="1" s="64">
      <c r="A133" s="120" t="inlineStr">
        <is>
          <t>Maio/2026</t>
        </is>
      </c>
      <c r="B133" s="120" t="inlineStr">
        <is>
          <t>DTEL</t>
        </is>
      </c>
      <c r="C133" s="120" t="inlineStr">
        <is>
          <t>Pessoal</t>
        </is>
      </c>
      <c r="D133" s="120" t="inlineStr">
        <is>
          <t>Vale Transporte</t>
        </is>
      </c>
      <c r="E133" s="120" t="inlineStr">
        <is>
          <t>ELTHON MENEZES</t>
        </is>
      </c>
      <c r="F133" s="120" t="n">
        <v>1</v>
      </c>
      <c r="G133" s="121" t="n">
        <v>2724.43</v>
      </c>
      <c r="H133" s="121" t="n">
        <v>2724.43</v>
      </c>
      <c r="I133" s="120" t="inlineStr">
        <is>
          <t>Estimado (fatia proporcional ao nº de colaboradores da equipe, sem taxa fixa por pessoa), fatia de 39 colaboradores da equipe</t>
        </is>
      </c>
      <c r="J133" s="116" t="n"/>
      <c r="K133" s="116" t="n"/>
      <c r="L133" s="116" t="n"/>
      <c r="M133" s="116" t="n"/>
      <c r="N133" s="116" t="n"/>
      <c r="O133" s="116" t="n"/>
    </row>
    <row r="134" ht="15" customHeight="1" s="64">
      <c r="A134" s="120" t="inlineStr">
        <is>
          <t>Maio/2026</t>
        </is>
      </c>
      <c r="B134" s="120" t="inlineStr">
        <is>
          <t>DTEL</t>
        </is>
      </c>
      <c r="C134" s="120" t="inlineStr">
        <is>
          <t>Pessoal</t>
        </is>
      </c>
      <c r="D134" s="120" t="inlineStr">
        <is>
          <t>Despesas com RH</t>
        </is>
      </c>
      <c r="E134" s="120" t="inlineStr">
        <is>
          <t>ELTHON MENEZES</t>
        </is>
      </c>
      <c r="F134" s="120" t="n">
        <v>39</v>
      </c>
      <c r="G134" s="121" t="n">
        <v>28.31</v>
      </c>
      <c r="H134" s="121" t="n">
        <v>1104.09</v>
      </c>
      <c r="I134" s="120" t="inlineStr">
        <is>
          <t>Real (taxa fixa por colaborador, confirmada em todas as empresas)</t>
        </is>
      </c>
      <c r="J134" s="116" t="n"/>
      <c r="K134" s="116" t="n"/>
      <c r="L134" s="116" t="n"/>
      <c r="M134" s="116" t="n"/>
      <c r="N134" s="116" t="n"/>
      <c r="O134" s="116" t="n"/>
    </row>
    <row r="135" ht="15" customHeight="1" s="64">
      <c r="A135" s="120" t="inlineStr">
        <is>
          <t>Maio/2026</t>
        </is>
      </c>
      <c r="B135" s="120" t="inlineStr">
        <is>
          <t>DTEL</t>
        </is>
      </c>
      <c r="C135" s="120" t="inlineStr">
        <is>
          <t>Pessoal</t>
        </is>
      </c>
      <c r="D135" s="120" t="inlineStr">
        <is>
          <t>Despesas com DP</t>
        </is>
      </c>
      <c r="E135" s="120" t="inlineStr">
        <is>
          <t>ELTHON MENEZES</t>
        </is>
      </c>
      <c r="F135" s="120" t="n">
        <v>39</v>
      </c>
      <c r="G135" s="121" t="n">
        <v>47.79</v>
      </c>
      <c r="H135" s="121" t="n">
        <v>1863.81</v>
      </c>
      <c r="I135" s="120" t="inlineStr">
        <is>
          <t>Real (taxa fixa por colaborador, confirmada em todas as empresas)</t>
        </is>
      </c>
      <c r="J135" s="116" t="n"/>
      <c r="K135" s="116" t="n"/>
      <c r="L135" s="116" t="n"/>
      <c r="M135" s="116" t="n"/>
      <c r="N135" s="116" t="n"/>
      <c r="O135" s="116" t="n"/>
    </row>
    <row r="136" ht="15" customHeight="1" s="64">
      <c r="A136" s="120" t="inlineStr">
        <is>
          <t>Maio/2026</t>
        </is>
      </c>
      <c r="B136" s="120" t="inlineStr">
        <is>
          <t>DTEL</t>
        </is>
      </c>
      <c r="C136" s="120" t="inlineStr">
        <is>
          <t>Segurança do Trabalho</t>
        </is>
      </c>
      <c r="D136" s="120" t="inlineStr">
        <is>
          <t>Despesas SST exames</t>
        </is>
      </c>
      <c r="E136" s="120" t="inlineStr">
        <is>
          <t>ELTHON MENEZES</t>
        </is>
      </c>
      <c r="F136" s="120" t="n">
        <v>1</v>
      </c>
      <c r="G136" s="121" t="n">
        <v>373.29</v>
      </c>
      <c r="H136" s="121" t="n">
        <v>373.29</v>
      </c>
      <c r="I136" s="120" t="inlineStr">
        <is>
          <t>Estimado (fatia proporcional ao nº de colaboradores da equipe, sem taxa fixa por pessoa), fatia de 39 colaboradores da equipe</t>
        </is>
      </c>
      <c r="J136" s="116" t="n"/>
      <c r="K136" s="116" t="n"/>
      <c r="L136" s="116" t="n"/>
      <c r="M136" s="116" t="n"/>
      <c r="N136" s="116" t="n"/>
      <c r="O136" s="116" t="n"/>
    </row>
    <row r="137" ht="15" customHeight="1" s="64">
      <c r="A137" s="120" t="inlineStr">
        <is>
          <t>Maio/2026</t>
        </is>
      </c>
      <c r="B137" s="120" t="inlineStr">
        <is>
          <t>DTEL</t>
        </is>
      </c>
      <c r="C137" s="120" t="inlineStr">
        <is>
          <t>Segurança do Trabalho</t>
        </is>
      </c>
      <c r="D137" s="120" t="inlineStr">
        <is>
          <t>Despesas com SST</t>
        </is>
      </c>
      <c r="E137" s="120" t="inlineStr">
        <is>
          <t>ELTHON MENEZES</t>
        </is>
      </c>
      <c r="F137" s="120" t="n">
        <v>39</v>
      </c>
      <c r="G137" s="121" t="n">
        <v>64.56999999999999</v>
      </c>
      <c r="H137" s="121" t="n">
        <v>2518.23</v>
      </c>
      <c r="I137" s="120" t="inlineStr">
        <is>
          <t>Real (taxa fixa por colaborador, confirmada em todas as empresas)</t>
        </is>
      </c>
      <c r="J137" s="116" t="n"/>
      <c r="K137" s="116" t="n"/>
      <c r="L137" s="116" t="n"/>
      <c r="M137" s="116" t="n"/>
      <c r="N137" s="116" t="n"/>
      <c r="O137" s="116" t="n"/>
    </row>
    <row r="138" ht="15" customHeight="1" s="64">
      <c r="A138" s="120" t="inlineStr">
        <is>
          <t>Maio/2026</t>
        </is>
      </c>
      <c r="B138" s="120" t="inlineStr">
        <is>
          <t>DTEL</t>
        </is>
      </c>
      <c r="C138" s="120" t="inlineStr">
        <is>
          <t>Benefícios</t>
        </is>
      </c>
      <c r="D138" s="120" t="inlineStr">
        <is>
          <t>Gympass</t>
        </is>
      </c>
      <c r="E138" s="120" t="inlineStr">
        <is>
          <t>ELTHON MENEZES</t>
        </is>
      </c>
      <c r="F138" s="120" t="n">
        <v>39</v>
      </c>
      <c r="G138" s="121" t="n">
        <v>10.05</v>
      </c>
      <c r="H138" s="121" t="n">
        <v>391.95</v>
      </c>
      <c r="I138" s="120" t="inlineStr">
        <is>
          <t>Real (taxa fixa por colaborador, confirmada em todas as empresas)</t>
        </is>
      </c>
      <c r="J138" s="116" t="n"/>
      <c r="K138" s="116" t="n"/>
      <c r="L138" s="116" t="n"/>
      <c r="M138" s="116" t="n"/>
      <c r="N138" s="116" t="n"/>
      <c r="O138" s="116" t="n"/>
    </row>
    <row r="139" ht="15" customHeight="1" s="64">
      <c r="A139" s="120" t="inlineStr">
        <is>
          <t>Maio/2026</t>
        </is>
      </c>
      <c r="B139" s="120" t="inlineStr">
        <is>
          <t>DTEL</t>
        </is>
      </c>
      <c r="C139" s="120" t="inlineStr">
        <is>
          <t>Benefícios</t>
        </is>
      </c>
      <c r="D139" s="120" t="inlineStr">
        <is>
          <t>Stargrid</t>
        </is>
      </c>
      <c r="E139" s="120" t="inlineStr">
        <is>
          <t>ELTHON MENEZES</t>
        </is>
      </c>
      <c r="F139" s="120" t="n">
        <v>39</v>
      </c>
      <c r="G139" s="121" t="n">
        <v>2.07</v>
      </c>
      <c r="H139" s="121" t="n">
        <v>80.73</v>
      </c>
      <c r="I139" s="120" t="inlineStr">
        <is>
          <t>Real (taxa fixa por colaborador, confirmada em todas as empresas)</t>
        </is>
      </c>
      <c r="J139" s="116" t="n"/>
      <c r="K139" s="116" t="n"/>
      <c r="L139" s="116" t="n"/>
      <c r="M139" s="116" t="n"/>
      <c r="N139" s="116" t="n"/>
      <c r="O139" s="116" t="n"/>
    </row>
    <row r="140" ht="15" customHeight="1" s="64">
      <c r="A140" s="120" t="inlineStr">
        <is>
          <t>Maio/2026</t>
        </is>
      </c>
      <c r="B140" s="120" t="inlineStr">
        <is>
          <t>DTEL</t>
        </is>
      </c>
      <c r="C140" s="120" t="inlineStr">
        <is>
          <t>Fardamento</t>
        </is>
      </c>
      <c r="D140" s="120" t="inlineStr">
        <is>
          <t>Novo Fardamento</t>
        </is>
      </c>
      <c r="E140" s="120" t="inlineStr">
        <is>
          <t>ELTHON MENEZES</t>
        </is>
      </c>
      <c r="F140" s="120" t="n">
        <v>1</v>
      </c>
      <c r="G140" s="121" t="n">
        <v>71.78</v>
      </c>
      <c r="H140" s="121" t="n">
        <v>71.78</v>
      </c>
      <c r="I140" s="120" t="inlineStr">
        <is>
          <t>Estimado (fatia proporcional ao nº de colaboradores da equipe, sem taxa fixa por pessoa), fatia de 39 colaboradores da equipe</t>
        </is>
      </c>
      <c r="J140" s="116" t="n"/>
      <c r="K140" s="116" t="n"/>
      <c r="L140" s="116" t="n"/>
      <c r="M140" s="116" t="n"/>
      <c r="N140" s="116" t="n"/>
      <c r="O140" s="116" t="n"/>
    </row>
    <row r="141" ht="15" customHeight="1" s="64">
      <c r="A141" s="120" t="inlineStr">
        <is>
          <t>Maio/2026</t>
        </is>
      </c>
      <c r="B141" s="120" t="inlineStr">
        <is>
          <t>DTEL</t>
        </is>
      </c>
      <c r="C141" s="120" t="inlineStr">
        <is>
          <t>Fardamento</t>
        </is>
      </c>
      <c r="D141" s="120" t="inlineStr">
        <is>
          <t>Devolução de fardamento</t>
        </is>
      </c>
      <c r="E141" s="120" t="inlineStr">
        <is>
          <t>ELTHON MENEZES</t>
        </is>
      </c>
      <c r="F141" s="120" t="n">
        <v>1</v>
      </c>
      <c r="G141" s="121" t="n">
        <v>-105.55</v>
      </c>
      <c r="H141" s="121" t="n">
        <v>-105.55</v>
      </c>
      <c r="I141" s="120" t="inlineStr">
        <is>
          <t>Estimado (fatia proporcional ao nº de colaboradores da equipe, sem taxa fixa por pessoa), fatia de 39 colaboradores da equipe</t>
        </is>
      </c>
      <c r="J141" s="116" t="n"/>
      <c r="K141" s="116" t="n"/>
      <c r="L141" s="116" t="n"/>
      <c r="M141" s="116" t="n"/>
      <c r="N141" s="116" t="n"/>
      <c r="O141" s="116" t="n"/>
    </row>
    <row r="142" ht="15" customHeight="1" s="64">
      <c r="A142" s="120" t="inlineStr">
        <is>
          <t>Maio/2026</t>
        </is>
      </c>
      <c r="B142" s="120" t="inlineStr">
        <is>
          <t>DTEL</t>
        </is>
      </c>
      <c r="C142" s="120" t="inlineStr">
        <is>
          <t>Fardamento</t>
        </is>
      </c>
      <c r="D142" s="120" t="inlineStr">
        <is>
          <t>Substituição extra de Fardamento</t>
        </is>
      </c>
      <c r="E142" s="120" t="inlineStr">
        <is>
          <t>ELTHON MENEZES</t>
        </is>
      </c>
      <c r="F142" s="120" t="n">
        <v>1</v>
      </c>
      <c r="G142" s="121" t="n">
        <v>111.85</v>
      </c>
      <c r="H142" s="121" t="n">
        <v>111.85</v>
      </c>
      <c r="I142" s="120" t="inlineStr">
        <is>
          <t>Estimado (fatia proporcional ao nº de colaboradores da equipe, sem taxa fixa por pessoa), fatia de 39 colaboradores da equipe</t>
        </is>
      </c>
      <c r="J142" s="116" t="n"/>
      <c r="K142" s="116" t="n"/>
      <c r="L142" s="116" t="n"/>
      <c r="M142" s="116" t="n"/>
      <c r="N142" s="116" t="n"/>
      <c r="O142" s="116" t="n"/>
    </row>
    <row r="143" ht="15" customHeight="1" s="64">
      <c r="A143" s="120" t="inlineStr">
        <is>
          <t>Maio/2026</t>
        </is>
      </c>
      <c r="B143" s="120" t="inlineStr">
        <is>
          <t>DTEL</t>
        </is>
      </c>
      <c r="C143" s="120" t="inlineStr">
        <is>
          <t>Estrutura/Infra</t>
        </is>
      </c>
      <c r="D143" s="120" t="inlineStr">
        <is>
          <t>Linhas moveis (FIQUE MÓVEL)</t>
        </is>
      </c>
      <c r="E143" s="120" t="inlineStr">
        <is>
          <t>ELTHON MENEZES</t>
        </is>
      </c>
      <c r="F143" s="120" t="n">
        <v>42</v>
      </c>
      <c r="G143" s="121" t="n">
        <v>30</v>
      </c>
      <c r="H143" s="121">
        <f>F143*G143</f>
        <v/>
      </c>
      <c r="I143" s="120" t="inlineStr">
        <is>
          <t>Real (taxa fixa por colaborador, confirmada em todas as empresas)</t>
        </is>
      </c>
      <c r="J143" s="116" t="n"/>
      <c r="K143" s="116" t="n"/>
      <c r="L143" s="116" t="n"/>
      <c r="M143" s="116" t="n"/>
      <c r="N143" s="116" t="n"/>
      <c r="O143" s="116" t="n"/>
    </row>
    <row r="144" ht="15" customHeight="1" s="64">
      <c r="A144" s="120" t="inlineStr">
        <is>
          <t>Maio/2026</t>
        </is>
      </c>
      <c r="B144" s="120" t="inlineStr">
        <is>
          <t>DTEL</t>
        </is>
      </c>
      <c r="C144" s="120" t="inlineStr">
        <is>
          <t>TI</t>
        </is>
      </c>
      <c r="D144" s="120" t="inlineStr">
        <is>
          <t>E-mail do departamento (11 emails)</t>
        </is>
      </c>
      <c r="E144" s="120" t="inlineStr">
        <is>
          <t>ELTHON MENEZES</t>
        </is>
      </c>
      <c r="F144" s="120" t="n">
        <v>4</v>
      </c>
      <c r="G144" s="121" t="n">
        <v>50</v>
      </c>
      <c r="H144" s="121">
        <f>F144*G144</f>
        <v/>
      </c>
      <c r="I144" s="120" t="inlineStr">
        <is>
          <t>Real (taxa fixa de R$50,00 por conta, só executivo/supervisor/coordenador)</t>
        </is>
      </c>
      <c r="J144" s="116" t="n"/>
      <c r="K144" s="116" t="n"/>
      <c r="L144" s="116" t="n"/>
      <c r="M144" s="116" t="n"/>
      <c r="N144" s="116" t="n"/>
      <c r="O144" s="116" t="n"/>
    </row>
    <row r="145" ht="15" customHeight="1" s="64">
      <c r="A145" s="120" t="inlineStr">
        <is>
          <t>Maio/2026</t>
        </is>
      </c>
      <c r="B145" s="120" t="inlineStr">
        <is>
          <t>DTEL</t>
        </is>
      </c>
      <c r="C145" s="120" t="inlineStr">
        <is>
          <t>Frota/Combustível</t>
        </is>
      </c>
      <c r="D145" s="120" t="inlineStr">
        <is>
          <t>Consumo de combustível</t>
        </is>
      </c>
      <c r="E145" s="120" t="inlineStr">
        <is>
          <t>ELTHON MENEZES</t>
        </is>
      </c>
      <c r="F145" s="120" t="n">
        <v>1</v>
      </c>
      <c r="G145" s="121" t="n">
        <v>476.27</v>
      </c>
      <c r="H145" s="121">
        <f>F145*G145</f>
        <v/>
      </c>
      <c r="I145" s="120" t="inlineStr">
        <is>
      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      </is>
      </c>
      <c r="J145" s="116" t="n"/>
      <c r="K145" s="116" t="n"/>
      <c r="L145" s="116" t="n"/>
      <c r="M145" s="116" t="n"/>
      <c r="N145" s="116" t="n"/>
      <c r="O145" s="116" t="n"/>
    </row>
    <row r="146" ht="15" customHeight="1" s="64">
      <c r="A146" s="120" t="inlineStr">
        <is>
          <t>Maio/2026</t>
        </is>
      </c>
      <c r="B146" s="120" t="inlineStr">
        <is>
          <t>DTEL</t>
        </is>
      </c>
      <c r="C146" s="120" t="inlineStr">
        <is>
          <t>Pessoal</t>
        </is>
      </c>
      <c r="D146" s="120" t="inlineStr">
        <is>
          <t>Folha Trabalhista com impostos do mês</t>
        </is>
      </c>
      <c r="E146" s="120" t="inlineStr">
        <is>
          <t>GABRIEL LIMA</t>
        </is>
      </c>
      <c r="F146" s="120" t="n">
        <v>1</v>
      </c>
      <c r="G146" s="121" t="n">
        <v>5015.22</v>
      </c>
      <c r="H146" s="121">
        <f>F146*G146</f>
        <v/>
      </c>
      <c r="I146" s="120" t="inlineStr">
        <is>
          <t>Real (cruzado por nome, 3/9 encontrados)</t>
        </is>
      </c>
      <c r="J146" s="116" t="n"/>
      <c r="K146" s="116" t="n"/>
      <c r="L146" s="116" t="n"/>
      <c r="M146" s="116" t="n"/>
      <c r="N146" s="116" t="n"/>
      <c r="O146" s="116" t="n"/>
    </row>
    <row r="147" ht="15" customHeight="1" s="64">
      <c r="A147" s="120" t="inlineStr">
        <is>
          <t>Maio/2026</t>
        </is>
      </c>
      <c r="B147" s="120" t="inlineStr">
        <is>
          <t>DTEL</t>
        </is>
      </c>
      <c r="C147" s="120" t="inlineStr">
        <is>
          <t>Pessoal</t>
        </is>
      </c>
      <c r="D147" s="120" t="inlineStr">
        <is>
          <t>Vale Transporte</t>
        </is>
      </c>
      <c r="E147" s="120" t="inlineStr">
        <is>
          <t>GABRIEL LIMA</t>
        </is>
      </c>
      <c r="F147" s="120" t="n">
        <v>1</v>
      </c>
      <c r="G147" s="121" t="n">
        <v>628.71</v>
      </c>
      <c r="H147" s="121" t="n">
        <v>628.71</v>
      </c>
      <c r="I147" s="120" t="inlineStr">
        <is>
          <t>Estimado (fatia proporcional ao nº de colaboradores da equipe, sem taxa fixa por pessoa), fatia de 9 colaboradores da equipe</t>
        </is>
      </c>
      <c r="J147" s="116" t="n"/>
      <c r="K147" s="116" t="n"/>
      <c r="L147" s="116" t="n"/>
      <c r="M147" s="116" t="n"/>
      <c r="N147" s="116" t="n"/>
      <c r="O147" s="116" t="n"/>
    </row>
    <row r="148" ht="15" customHeight="1" s="64">
      <c r="A148" s="120" t="inlineStr">
        <is>
          <t>Maio/2026</t>
        </is>
      </c>
      <c r="B148" s="120" t="inlineStr">
        <is>
          <t>DTEL</t>
        </is>
      </c>
      <c r="C148" s="120" t="inlineStr">
        <is>
          <t>Pessoal</t>
        </is>
      </c>
      <c r="D148" s="120" t="inlineStr">
        <is>
          <t>Despesas com RH</t>
        </is>
      </c>
      <c r="E148" s="120" t="inlineStr">
        <is>
          <t>GABRIEL LIMA</t>
        </is>
      </c>
      <c r="F148" s="120" t="n">
        <v>9</v>
      </c>
      <c r="G148" s="121" t="n">
        <v>28.31</v>
      </c>
      <c r="H148" s="121">
        <f>F148*G148</f>
        <v/>
      </c>
      <c r="I148" s="120" t="inlineStr">
        <is>
          <t>Real (taxa fixa por colaborador, confirmada em todas as empresas)</t>
        </is>
      </c>
      <c r="J148" s="116" t="n"/>
      <c r="K148" s="116" t="n"/>
      <c r="L148" s="116" t="n"/>
      <c r="M148" s="116" t="n"/>
      <c r="N148" s="116" t="n"/>
      <c r="O148" s="116" t="n"/>
    </row>
    <row r="149" ht="15" customHeight="1" s="64">
      <c r="A149" s="120" t="inlineStr">
        <is>
          <t>Maio/2026</t>
        </is>
      </c>
      <c r="B149" s="120" t="inlineStr">
        <is>
          <t>DTEL</t>
        </is>
      </c>
      <c r="C149" s="120" t="inlineStr">
        <is>
          <t>Pessoal</t>
        </is>
      </c>
      <c r="D149" s="120" t="inlineStr">
        <is>
          <t>Despesas com DP</t>
        </is>
      </c>
      <c r="E149" s="120" t="inlineStr">
        <is>
          <t>GABRIEL LIMA</t>
        </is>
      </c>
      <c r="F149" s="120" t="n">
        <v>9</v>
      </c>
      <c r="G149" s="121" t="n">
        <v>47.79</v>
      </c>
      <c r="H149" s="121">
        <f>F149*G149</f>
        <v/>
      </c>
      <c r="I149" s="120" t="inlineStr">
        <is>
          <t>Real (taxa fixa por colaborador, confirmada em todas as empresas)</t>
        </is>
      </c>
      <c r="J149" s="116" t="n"/>
      <c r="K149" s="116" t="n"/>
      <c r="L149" s="116" t="n"/>
      <c r="M149" s="116" t="n"/>
      <c r="N149" s="116" t="n"/>
      <c r="O149" s="116" t="n"/>
    </row>
    <row r="150" ht="15" customHeight="1" s="64">
      <c r="A150" s="120" t="inlineStr">
        <is>
          <t>Maio/2026</t>
        </is>
      </c>
      <c r="B150" s="120" t="inlineStr">
        <is>
          <t>DTEL</t>
        </is>
      </c>
      <c r="C150" s="120" t="inlineStr">
        <is>
          <t>Segurança do Trabalho</t>
        </is>
      </c>
      <c r="D150" s="120" t="inlineStr">
        <is>
          <t>Despesas SST exames</t>
        </is>
      </c>
      <c r="E150" s="120" t="inlineStr">
        <is>
          <t>GABRIEL LIMA</t>
        </is>
      </c>
      <c r="F150" s="120" t="n">
        <v>1</v>
      </c>
      <c r="G150" s="121" t="n">
        <v>86.14</v>
      </c>
      <c r="H150" s="121" t="n">
        <v>86.14</v>
      </c>
      <c r="I150" s="120" t="inlineStr">
        <is>
          <t>Estimado (fatia proporcional ao nº de colaboradores da equipe, sem taxa fixa por pessoa), fatia de 9 colaboradores da equipe</t>
        </is>
      </c>
      <c r="J150" s="116" t="n"/>
      <c r="K150" s="116" t="n"/>
      <c r="L150" s="116" t="n"/>
      <c r="M150" s="116" t="n"/>
      <c r="N150" s="116" t="n"/>
      <c r="O150" s="116" t="n"/>
    </row>
    <row r="151" ht="15" customHeight="1" s="64">
      <c r="A151" s="120" t="inlineStr">
        <is>
          <t>Maio/2026</t>
        </is>
      </c>
      <c r="B151" s="120" t="inlineStr">
        <is>
          <t>DTEL</t>
        </is>
      </c>
      <c r="C151" s="120" t="inlineStr">
        <is>
          <t>Segurança do Trabalho</t>
        </is>
      </c>
      <c r="D151" s="120" t="inlineStr">
        <is>
          <t>Despesas com SST</t>
        </is>
      </c>
      <c r="E151" s="120" t="inlineStr">
        <is>
          <t>GABRIEL LIMA</t>
        </is>
      </c>
      <c r="F151" s="120" t="n">
        <v>9</v>
      </c>
      <c r="G151" s="121" t="n">
        <v>64.56999999999999</v>
      </c>
      <c r="H151" s="121">
        <f>F151*G151</f>
        <v/>
      </c>
      <c r="I151" s="120" t="inlineStr">
        <is>
          <t>Real (taxa fixa por colaborador, confirmada em todas as empresas)</t>
        </is>
      </c>
      <c r="J151" s="116" t="n"/>
      <c r="K151" s="116" t="n"/>
      <c r="L151" s="116" t="n"/>
      <c r="M151" s="116" t="n"/>
      <c r="N151" s="116" t="n"/>
      <c r="O151" s="116" t="n"/>
    </row>
    <row r="152" ht="15" customHeight="1" s="64">
      <c r="A152" s="120" t="inlineStr">
        <is>
          <t>Maio/2026</t>
        </is>
      </c>
      <c r="B152" s="120" t="inlineStr">
        <is>
          <t>DTEL</t>
        </is>
      </c>
      <c r="C152" s="120" t="inlineStr">
        <is>
          <t>Benefícios</t>
        </is>
      </c>
      <c r="D152" s="120" t="inlineStr">
        <is>
          <t>Gympass</t>
        </is>
      </c>
      <c r="E152" s="120" t="inlineStr">
        <is>
          <t>GABRIEL LIMA</t>
        </is>
      </c>
      <c r="F152" s="120" t="n">
        <v>9</v>
      </c>
      <c r="G152" s="121" t="n">
        <v>10.05</v>
      </c>
      <c r="H152" s="121">
        <f>F152*G152</f>
        <v/>
      </c>
      <c r="I152" s="120" t="inlineStr">
        <is>
          <t>Real (taxa fixa por colaborador, confirmada em todas as empresas)</t>
        </is>
      </c>
      <c r="J152" s="116" t="n"/>
      <c r="K152" s="116" t="n"/>
      <c r="L152" s="116" t="n"/>
      <c r="M152" s="116" t="n"/>
      <c r="N152" s="116" t="n"/>
      <c r="O152" s="116" t="n"/>
    </row>
    <row r="153" ht="15" customHeight="1" s="64">
      <c r="A153" s="120" t="inlineStr">
        <is>
          <t>Maio/2026</t>
        </is>
      </c>
      <c r="B153" s="120" t="inlineStr">
        <is>
          <t>DTEL</t>
        </is>
      </c>
      <c r="C153" s="120" t="inlineStr">
        <is>
          <t>Benefícios</t>
        </is>
      </c>
      <c r="D153" s="120" t="inlineStr">
        <is>
          <t>Stargrid</t>
        </is>
      </c>
      <c r="E153" s="120" t="inlineStr">
        <is>
          <t>GABRIEL LIMA</t>
        </is>
      </c>
      <c r="F153" s="120" t="n">
        <v>9</v>
      </c>
      <c r="G153" s="121" t="n">
        <v>2.07</v>
      </c>
      <c r="H153" s="121">
        <f>F153*G153</f>
        <v/>
      </c>
      <c r="I153" s="120" t="inlineStr">
        <is>
          <t>Real (taxa fixa por colaborador, confirmada em todas as empresas)</t>
        </is>
      </c>
      <c r="J153" s="116" t="n"/>
      <c r="K153" s="116" t="n"/>
      <c r="L153" s="116" t="n"/>
      <c r="M153" s="116" t="n"/>
      <c r="N153" s="116" t="n"/>
      <c r="O153" s="116" t="n"/>
    </row>
    <row r="154" ht="15" customHeight="1" s="64">
      <c r="A154" s="120" t="inlineStr">
        <is>
          <t>Maio/2026</t>
        </is>
      </c>
      <c r="B154" s="120" t="inlineStr">
        <is>
          <t>DTEL</t>
        </is>
      </c>
      <c r="C154" s="120" t="inlineStr">
        <is>
          <t>Fardamento</t>
        </is>
      </c>
      <c r="D154" s="120" t="inlineStr">
        <is>
          <t>Novo Fardamento</t>
        </is>
      </c>
      <c r="E154" s="120" t="inlineStr">
        <is>
          <t>GABRIEL LIMA</t>
        </is>
      </c>
      <c r="F154" s="120" t="n">
        <v>1</v>
      </c>
      <c r="G154" s="121" t="n">
        <v>16.56</v>
      </c>
      <c r="H154" s="121" t="n">
        <v>16.56</v>
      </c>
      <c r="I154" s="120" t="inlineStr">
        <is>
          <t>Estimado (fatia proporcional ao nº de colaboradores da equipe, sem taxa fixa por pessoa), fatia de 9 colaboradores da equipe</t>
        </is>
      </c>
      <c r="J154" s="116" t="n"/>
      <c r="K154" s="116" t="n"/>
      <c r="L154" s="116" t="n"/>
      <c r="M154" s="116" t="n"/>
      <c r="N154" s="116" t="n"/>
      <c r="O154" s="116" t="n"/>
    </row>
    <row r="155" ht="15" customHeight="1" s="64">
      <c r="A155" s="120" t="inlineStr">
        <is>
          <t>Maio/2026</t>
        </is>
      </c>
      <c r="B155" s="120" t="inlineStr">
        <is>
          <t>DTEL</t>
        </is>
      </c>
      <c r="C155" s="120" t="inlineStr">
        <is>
          <t>Fardamento</t>
        </is>
      </c>
      <c r="D155" s="120" t="inlineStr">
        <is>
          <t>Devolução de fardamento</t>
        </is>
      </c>
      <c r="E155" s="120" t="inlineStr">
        <is>
          <t>GABRIEL LIMA</t>
        </is>
      </c>
      <c r="F155" s="120" t="n">
        <v>1</v>
      </c>
      <c r="G155" s="121" t="n">
        <v>-24.36</v>
      </c>
      <c r="H155" s="121" t="n">
        <v>-24.36</v>
      </c>
      <c r="I155" s="120" t="inlineStr">
        <is>
          <t>Estimado (fatia proporcional ao nº de colaboradores da equipe, sem taxa fixa por pessoa), fatia de 9 colaboradores da equipe</t>
        </is>
      </c>
      <c r="J155" s="116" t="n"/>
      <c r="K155" s="116" t="n"/>
      <c r="L155" s="116" t="n"/>
      <c r="M155" s="116" t="n"/>
      <c r="N155" s="116" t="n"/>
      <c r="O155" s="116" t="n"/>
    </row>
    <row r="156" ht="15" customHeight="1" s="64">
      <c r="A156" s="120" t="inlineStr">
        <is>
          <t>Maio/2026</t>
        </is>
      </c>
      <c r="B156" s="120" t="inlineStr">
        <is>
          <t>DTEL</t>
        </is>
      </c>
      <c r="C156" s="120" t="inlineStr">
        <is>
          <t>Fardamento</t>
        </is>
      </c>
      <c r="D156" s="120" t="inlineStr">
        <is>
          <t>Substituição extra de Fardamento</t>
        </is>
      </c>
      <c r="E156" s="120" t="inlineStr">
        <is>
          <t>GABRIEL LIMA</t>
        </is>
      </c>
      <c r="F156" s="120" t="n">
        <v>1</v>
      </c>
      <c r="G156" s="121" t="n">
        <v>25.81</v>
      </c>
      <c r="H156" s="121" t="n">
        <v>25.81</v>
      </c>
      <c r="I156" s="120" t="inlineStr">
        <is>
          <t>Estimado (fatia proporcional ao nº de colaboradores da equipe, sem taxa fixa por pessoa), fatia de 9 colaboradores da equipe</t>
        </is>
      </c>
      <c r="J156" s="116" t="n"/>
      <c r="K156" s="116" t="n"/>
      <c r="L156" s="116" t="n"/>
      <c r="M156" s="116" t="n"/>
      <c r="N156" s="116" t="n"/>
      <c r="O156" s="116" t="n"/>
    </row>
    <row r="157" ht="15" customHeight="1" s="64">
      <c r="A157" s="120" t="inlineStr">
        <is>
          <t>Maio/2026</t>
        </is>
      </c>
      <c r="B157" s="120" t="inlineStr">
        <is>
          <t>DTEL</t>
        </is>
      </c>
      <c r="C157" s="120" t="inlineStr">
        <is>
          <t>Estrutura/Infra</t>
        </is>
      </c>
      <c r="D157" s="120" t="inlineStr">
        <is>
          <t>Linhas moveis (FIQUE MÓVEL)</t>
        </is>
      </c>
      <c r="E157" s="120" t="inlineStr">
        <is>
          <t>GABRIEL LIMA</t>
        </is>
      </c>
      <c r="F157" s="120" t="n">
        <v>9</v>
      </c>
      <c r="G157" s="121" t="n">
        <v>30</v>
      </c>
      <c r="H157" s="121">
        <f>F157*G157</f>
        <v/>
      </c>
      <c r="I157" s="120" t="inlineStr">
        <is>
          <t>Real (taxa fixa por colaborador, confirmada em todas as empresas)</t>
        </is>
      </c>
      <c r="J157" s="116" t="n"/>
      <c r="K157" s="116" t="n"/>
      <c r="L157" s="116" t="n"/>
      <c r="M157" s="116" t="n"/>
      <c r="N157" s="116" t="n"/>
      <c r="O157" s="116" t="n"/>
    </row>
    <row r="158" ht="15" customHeight="1" s="64">
      <c r="A158" s="120" t="inlineStr">
        <is>
          <t>Maio/2026</t>
        </is>
      </c>
      <c r="B158" s="120" t="inlineStr">
        <is>
          <t>DTEL</t>
        </is>
      </c>
      <c r="C158" s="120" t="inlineStr">
        <is>
          <t>Pessoal</t>
        </is>
      </c>
      <c r="D158" s="120" t="inlineStr">
        <is>
          <t>Folha Trabalhista com impostos do mês</t>
        </is>
      </c>
      <c r="E158" s="120" t="inlineStr">
        <is>
          <t>LUCAS BONIFÁCIO</t>
        </is>
      </c>
      <c r="F158" s="120" t="n">
        <v>1</v>
      </c>
      <c r="G158" s="121" t="n">
        <v>22457.37</v>
      </c>
      <c r="H158" s="121">
        <f>F158*G158</f>
        <v/>
      </c>
      <c r="I158" s="120" t="inlineStr">
        <is>
          <t>Real (cruzado por nome, 7/7 encontrados)</t>
        </is>
      </c>
      <c r="J158" s="116" t="n"/>
      <c r="K158" s="116" t="n"/>
      <c r="L158" s="116" t="n"/>
      <c r="M158" s="116" t="n"/>
      <c r="N158" s="116" t="n"/>
      <c r="O158" s="116" t="n"/>
    </row>
    <row r="159" ht="15" customHeight="1" s="64">
      <c r="A159" s="120" t="inlineStr">
        <is>
          <t>Maio/2026</t>
        </is>
      </c>
      <c r="B159" s="120" t="inlineStr">
        <is>
          <t>DTEL</t>
        </is>
      </c>
      <c r="C159" s="120" t="inlineStr">
        <is>
          <t>Pessoal</t>
        </is>
      </c>
      <c r="D159" s="120" t="inlineStr">
        <is>
          <t>Rescisões</t>
        </is>
      </c>
      <c r="E159" s="120" t="inlineStr">
        <is>
          <t>LUCAS BONIFÁCIO</t>
        </is>
      </c>
      <c r="F159" s="120" t="n">
        <v>1</v>
      </c>
      <c r="G159" s="121" t="n">
        <v>8440.129999999999</v>
      </c>
      <c r="H159" s="121">
        <f>F159*G159</f>
        <v/>
      </c>
      <c r="I159" s="120" t="inlineStr">
        <is>
          <t>Real (cruzado por nome, tabela de rescisões — lançado em Maio/2026, mesma defasagem de um mês usada nos outros custos do comercial)</t>
        </is>
      </c>
      <c r="J159" s="116" t="n"/>
      <c r="K159" s="116" t="n"/>
      <c r="L159" s="116" t="n"/>
      <c r="M159" s="116" t="n"/>
      <c r="N159" s="116" t="n"/>
      <c r="O159" s="116" t="n"/>
    </row>
    <row r="160" ht="15" customHeight="1" s="64">
      <c r="A160" s="120" t="inlineStr">
        <is>
          <t>Maio/2026</t>
        </is>
      </c>
      <c r="B160" s="120" t="inlineStr">
        <is>
          <t>DTEL</t>
        </is>
      </c>
      <c r="C160" s="120" t="inlineStr">
        <is>
          <t>Pessoal</t>
        </is>
      </c>
      <c r="D160" s="120" t="inlineStr">
        <is>
          <t>Vale Transporte</t>
        </is>
      </c>
      <c r="E160" s="120" t="inlineStr">
        <is>
          <t>LUCAS BONIFÁCIO</t>
        </is>
      </c>
      <c r="F160" s="120" t="n">
        <v>1</v>
      </c>
      <c r="G160" s="121" t="n">
        <v>489</v>
      </c>
      <c r="H160" s="121" t="n">
        <v>489</v>
      </c>
      <c r="I160" s="120" t="inlineStr">
        <is>
          <t>Estimado (fatia proporcional ao nº de colaboradores da equipe, sem taxa fixa por pessoa), fatia de 7 colaboradores da equipe</t>
        </is>
      </c>
      <c r="J160" s="116" t="n"/>
      <c r="K160" s="116" t="n"/>
      <c r="L160" s="116" t="n"/>
      <c r="M160" s="116" t="n"/>
      <c r="N160" s="116" t="n"/>
      <c r="O160" s="116" t="n"/>
    </row>
    <row r="161" ht="15" customHeight="1" s="64">
      <c r="A161" s="120" t="inlineStr">
        <is>
          <t>Maio/2026</t>
        </is>
      </c>
      <c r="B161" s="120" t="inlineStr">
        <is>
          <t>DTEL</t>
        </is>
      </c>
      <c r="C161" s="120" t="inlineStr">
        <is>
          <t>Pessoal</t>
        </is>
      </c>
      <c r="D161" s="120" t="inlineStr">
        <is>
          <t>Despesas com RH</t>
        </is>
      </c>
      <c r="E161" s="120" t="inlineStr">
        <is>
          <t>LUCAS BONIFÁCIO</t>
        </is>
      </c>
      <c r="F161" s="120" t="n">
        <v>7</v>
      </c>
      <c r="G161" s="121" t="n">
        <v>28.31</v>
      </c>
      <c r="H161" s="121">
        <f>F161*G161</f>
        <v/>
      </c>
      <c r="I161" s="120" t="inlineStr">
        <is>
          <t>Real (taxa fixa por colaborador, confirmada em todas as empresas)</t>
        </is>
      </c>
      <c r="J161" s="116" t="n"/>
      <c r="K161" s="116" t="n"/>
      <c r="L161" s="116" t="n"/>
      <c r="M161" s="116" t="n"/>
      <c r="N161" s="116" t="n"/>
      <c r="O161" s="116" t="n"/>
    </row>
    <row r="162" ht="15" customHeight="1" s="64">
      <c r="A162" s="120" t="inlineStr">
        <is>
          <t>Maio/2026</t>
        </is>
      </c>
      <c r="B162" s="120" t="inlineStr">
        <is>
          <t>DTEL</t>
        </is>
      </c>
      <c r="C162" s="120" t="inlineStr">
        <is>
          <t>Pessoal</t>
        </is>
      </c>
      <c r="D162" s="120" t="inlineStr">
        <is>
          <t>Despesas com DP</t>
        </is>
      </c>
      <c r="E162" s="120" t="inlineStr">
        <is>
          <t>LUCAS BONIFÁCIO</t>
        </is>
      </c>
      <c r="F162" s="120" t="n">
        <v>7</v>
      </c>
      <c r="G162" s="121" t="n">
        <v>47.79</v>
      </c>
      <c r="H162" s="121">
        <f>F162*G162</f>
        <v/>
      </c>
      <c r="I162" s="120" t="inlineStr">
        <is>
          <t>Real (taxa fixa por colaborador, confirmada em todas as empresas)</t>
        </is>
      </c>
      <c r="J162" s="116" t="n"/>
      <c r="K162" s="116" t="n"/>
      <c r="L162" s="116" t="n"/>
      <c r="M162" s="116" t="n"/>
      <c r="N162" s="116" t="n"/>
      <c r="O162" s="116" t="n"/>
    </row>
    <row r="163" ht="15" customHeight="1" s="64">
      <c r="A163" s="120" t="inlineStr">
        <is>
          <t>Maio/2026</t>
        </is>
      </c>
      <c r="B163" s="120" t="inlineStr">
        <is>
          <t>DTEL</t>
        </is>
      </c>
      <c r="C163" s="120" t="inlineStr">
        <is>
          <t>Segurança do Trabalho</t>
        </is>
      </c>
      <c r="D163" s="120" t="inlineStr">
        <is>
          <t>Despesas SST exames</t>
        </is>
      </c>
      <c r="E163" s="120" t="inlineStr">
        <is>
          <t>LUCAS BONIFÁCIO</t>
        </is>
      </c>
      <c r="F163" s="120" t="n">
        <v>1</v>
      </c>
      <c r="G163" s="121" t="n">
        <v>67</v>
      </c>
      <c r="H163" s="121" t="n">
        <v>67</v>
      </c>
      <c r="I163" s="120" t="inlineStr">
        <is>
          <t>Estimado (fatia proporcional ao nº de colaboradores da equipe, sem taxa fixa por pessoa), fatia de 7 colaboradores da equipe</t>
        </is>
      </c>
      <c r="J163" s="116" t="n"/>
      <c r="K163" s="116" t="n"/>
      <c r="L163" s="116" t="n"/>
      <c r="M163" s="116" t="n"/>
      <c r="N163" s="116" t="n"/>
      <c r="O163" s="116" t="n"/>
    </row>
    <row r="164" ht="15" customHeight="1" s="64">
      <c r="A164" s="120" t="inlineStr">
        <is>
          <t>Maio/2026</t>
        </is>
      </c>
      <c r="B164" s="120" t="inlineStr">
        <is>
          <t>DTEL</t>
        </is>
      </c>
      <c r="C164" s="120" t="inlineStr">
        <is>
          <t>Segurança do Trabalho</t>
        </is>
      </c>
      <c r="D164" s="120" t="inlineStr">
        <is>
          <t>Despesas com SST</t>
        </is>
      </c>
      <c r="E164" s="120" t="inlineStr">
        <is>
          <t>LUCAS BONIFÁCIO</t>
        </is>
      </c>
      <c r="F164" s="120" t="n">
        <v>7</v>
      </c>
      <c r="G164" s="121" t="n">
        <v>64.56999999999999</v>
      </c>
      <c r="H164" s="121">
        <f>F164*G164</f>
        <v/>
      </c>
      <c r="I164" s="120" t="inlineStr">
        <is>
          <t>Real (taxa fixa por colaborador, confirmada em todas as empresas)</t>
        </is>
      </c>
      <c r="J164" s="116" t="n"/>
      <c r="K164" s="116" t="n"/>
      <c r="L164" s="116" t="n"/>
      <c r="M164" s="116" t="n"/>
      <c r="N164" s="116" t="n"/>
      <c r="O164" s="116" t="n"/>
    </row>
    <row r="165" ht="15" customHeight="1" s="64">
      <c r="A165" s="120" t="inlineStr">
        <is>
          <t>Maio/2026</t>
        </is>
      </c>
      <c r="B165" s="120" t="inlineStr">
        <is>
          <t>DTEL</t>
        </is>
      </c>
      <c r="C165" s="120" t="inlineStr">
        <is>
          <t>Benefícios</t>
        </is>
      </c>
      <c r="D165" s="120" t="inlineStr">
        <is>
          <t>Gympass</t>
        </is>
      </c>
      <c r="E165" s="120" t="inlineStr">
        <is>
          <t>LUCAS BONIFÁCIO</t>
        </is>
      </c>
      <c r="F165" s="120" t="n">
        <v>7</v>
      </c>
      <c r="G165" s="121" t="n">
        <v>10.05</v>
      </c>
      <c r="H165" s="121">
        <f>F165*G165</f>
        <v/>
      </c>
      <c r="I165" s="120" t="inlineStr">
        <is>
          <t>Real (taxa fixa por colaborador, confirmada em todas as empresas)</t>
        </is>
      </c>
      <c r="J165" s="116" t="n"/>
      <c r="K165" s="116" t="n"/>
      <c r="L165" s="116" t="n"/>
      <c r="M165" s="116" t="n"/>
      <c r="N165" s="116" t="n"/>
      <c r="O165" s="116" t="n"/>
    </row>
    <row r="166" ht="15" customHeight="1" s="64">
      <c r="A166" s="120" t="inlineStr">
        <is>
          <t>Maio/2026</t>
        </is>
      </c>
      <c r="B166" s="120" t="inlineStr">
        <is>
          <t>DTEL</t>
        </is>
      </c>
      <c r="C166" s="120" t="inlineStr">
        <is>
          <t>Benefícios</t>
        </is>
      </c>
      <c r="D166" s="120" t="inlineStr">
        <is>
          <t>Stargrid</t>
        </is>
      </c>
      <c r="E166" s="120" t="inlineStr">
        <is>
          <t>LUCAS BONIFÁCIO</t>
        </is>
      </c>
      <c r="F166" s="120" t="n">
        <v>7</v>
      </c>
      <c r="G166" s="121" t="n">
        <v>2.07</v>
      </c>
      <c r="H166" s="121">
        <f>F166*G166</f>
        <v/>
      </c>
      <c r="I166" s="120" t="inlineStr">
        <is>
          <t>Real (taxa fixa por colaborador, confirmada em todas as empresas)</t>
        </is>
      </c>
      <c r="J166" s="116" t="n"/>
      <c r="K166" s="116" t="n"/>
      <c r="L166" s="116" t="n"/>
      <c r="M166" s="116" t="n"/>
      <c r="N166" s="116" t="n"/>
      <c r="O166" s="116" t="n"/>
    </row>
    <row r="167" ht="15" customHeight="1" s="64">
      <c r="A167" s="120" t="inlineStr">
        <is>
          <t>Maio/2026</t>
        </is>
      </c>
      <c r="B167" s="120" t="inlineStr">
        <is>
          <t>DTEL</t>
        </is>
      </c>
      <c r="C167" s="120" t="inlineStr">
        <is>
          <t>Fardamento</t>
        </is>
      </c>
      <c r="D167" s="120" t="inlineStr">
        <is>
          <t>Novo Fardamento</t>
        </is>
      </c>
      <c r="E167" s="120" t="inlineStr">
        <is>
          <t>LUCAS BONIFÁCIO</t>
        </is>
      </c>
      <c r="F167" s="120" t="n">
        <v>1</v>
      </c>
      <c r="G167" s="121" t="n">
        <v>12.88</v>
      </c>
      <c r="H167" s="121" t="n">
        <v>12.88</v>
      </c>
      <c r="I167" s="120" t="inlineStr">
        <is>
          <t>Estimado (fatia proporcional ao nº de colaboradores da equipe, sem taxa fixa por pessoa), fatia de 7 colaboradores da equipe</t>
        </is>
      </c>
      <c r="J167" s="116" t="n"/>
      <c r="K167" s="116" t="n"/>
      <c r="L167" s="116" t="n"/>
      <c r="M167" s="116" t="n"/>
      <c r="N167" s="116" t="n"/>
      <c r="O167" s="116" t="n"/>
    </row>
    <row r="168" ht="15" customHeight="1" s="64">
      <c r="A168" s="120" t="inlineStr">
        <is>
          <t>Maio/2026</t>
        </is>
      </c>
      <c r="B168" s="120" t="inlineStr">
        <is>
          <t>DTEL</t>
        </is>
      </c>
      <c r="C168" s="120" t="inlineStr">
        <is>
          <t>Fardamento</t>
        </is>
      </c>
      <c r="D168" s="120" t="inlineStr">
        <is>
          <t>Devolução de fardamento</t>
        </is>
      </c>
      <c r="E168" s="120" t="inlineStr">
        <is>
          <t>LUCAS BONIFÁCIO</t>
        </is>
      </c>
      <c r="F168" s="120" t="n">
        <v>1</v>
      </c>
      <c r="G168" s="121" t="n">
        <v>-18.95</v>
      </c>
      <c r="H168" s="121" t="n">
        <v>-18.95</v>
      </c>
      <c r="I168" s="120" t="inlineStr">
        <is>
          <t>Estimado (fatia proporcional ao nº de colaboradores da equipe, sem taxa fixa por pessoa), fatia de 7 colaboradores da equipe</t>
        </is>
      </c>
      <c r="J168" s="116" t="n"/>
      <c r="K168" s="116" t="n"/>
      <c r="L168" s="116" t="n"/>
      <c r="M168" s="116" t="n"/>
      <c r="N168" s="116" t="n"/>
      <c r="O168" s="116" t="n"/>
    </row>
    <row r="169" ht="15" customHeight="1" s="64">
      <c r="A169" s="120" t="inlineStr">
        <is>
          <t>Maio/2026</t>
        </is>
      </c>
      <c r="B169" s="120" t="inlineStr">
        <is>
          <t>DTEL</t>
        </is>
      </c>
      <c r="C169" s="120" t="inlineStr">
        <is>
          <t>Fardamento</t>
        </is>
      </c>
      <c r="D169" s="120" t="inlineStr">
        <is>
          <t>Substituição extra de Fardamento</t>
        </is>
      </c>
      <c r="E169" s="120" t="inlineStr">
        <is>
          <t>LUCAS BONIFÁCIO</t>
        </is>
      </c>
      <c r="F169" s="120" t="n">
        <v>1</v>
      </c>
      <c r="G169" s="121" t="n">
        <v>20.07</v>
      </c>
      <c r="H169" s="121" t="n">
        <v>20.07</v>
      </c>
      <c r="I169" s="120" t="inlineStr">
        <is>
          <t>Estimado (fatia proporcional ao nº de colaboradores da equipe, sem taxa fixa por pessoa), fatia de 7 colaboradores da equipe</t>
        </is>
      </c>
      <c r="J169" s="116" t="n"/>
      <c r="K169" s="116" t="n"/>
      <c r="L169" s="116" t="n"/>
      <c r="M169" s="116" t="n"/>
      <c r="N169" s="116" t="n"/>
      <c r="O169" s="116" t="n"/>
    </row>
    <row r="170" ht="15" customHeight="1" s="64">
      <c r="A170" s="120" t="inlineStr">
        <is>
          <t>Maio/2026</t>
        </is>
      </c>
      <c r="B170" s="120" t="inlineStr">
        <is>
          <t>DTEL</t>
        </is>
      </c>
      <c r="C170" s="120" t="inlineStr">
        <is>
          <t>Estrutura/Infra</t>
        </is>
      </c>
      <c r="D170" s="120" t="inlineStr">
        <is>
          <t>Linhas moveis (FIQUE MÓVEL)</t>
        </is>
      </c>
      <c r="E170" s="120" t="inlineStr">
        <is>
          <t>LUCAS BONIFÁCIO</t>
        </is>
      </c>
      <c r="F170" s="120" t="n">
        <v>7</v>
      </c>
      <c r="G170" s="121" t="n">
        <v>30</v>
      </c>
      <c r="H170" s="121">
        <f>F170*G170</f>
        <v/>
      </c>
      <c r="I170" s="120" t="inlineStr">
        <is>
          <t>Real (taxa fixa por colaborador, confirmada em todas as empresas)</t>
        </is>
      </c>
      <c r="J170" s="116" t="n"/>
      <c r="K170" s="116" t="n"/>
      <c r="L170" s="116" t="n"/>
      <c r="M170" s="116" t="n"/>
      <c r="N170" s="116" t="n"/>
      <c r="O170" s="116" t="n"/>
    </row>
    <row r="171" ht="15" customHeight="1" s="64">
      <c r="A171" s="120" t="inlineStr">
        <is>
          <t>Maio/2026</t>
        </is>
      </c>
      <c r="B171" s="120" t="inlineStr">
        <is>
          <t>DTEL</t>
        </is>
      </c>
      <c r="C171" s="120" t="inlineStr">
        <is>
          <t>TI</t>
        </is>
      </c>
      <c r="D171" s="120" t="inlineStr">
        <is>
          <t>E-mail do departamento (11 emails)</t>
        </is>
      </c>
      <c r="E171" s="120" t="inlineStr">
        <is>
          <t>LUCAS BONIFÁCIO</t>
        </is>
      </c>
      <c r="F171" s="120" t="n">
        <v>1</v>
      </c>
      <c r="G171" s="121" t="n">
        <v>50</v>
      </c>
      <c r="H171" s="121">
        <f>F171*G171</f>
        <v/>
      </c>
      <c r="I171" s="120" t="inlineStr">
        <is>
          <t>Real (taxa fixa de R$50,00 por conta, só executivo/supervisor/coordenador)</t>
        </is>
      </c>
      <c r="J171" s="116" t="n"/>
      <c r="K171" s="116" t="n"/>
      <c r="L171" s="116" t="n"/>
      <c r="M171" s="116" t="n"/>
      <c r="N171" s="116" t="n"/>
      <c r="O171" s="116" t="n"/>
    </row>
    <row r="172" ht="15" customHeight="1" s="64">
      <c r="A172" s="120" t="inlineStr">
        <is>
          <t>Maio/2026</t>
        </is>
      </c>
      <c r="B172" s="120" t="inlineStr">
        <is>
          <t>DTEL</t>
        </is>
      </c>
      <c r="C172" s="120" t="inlineStr">
        <is>
          <t>Frota/Combustível</t>
        </is>
      </c>
      <c r="D172" s="120" t="inlineStr">
        <is>
          <t>Consumo de combustível</t>
        </is>
      </c>
      <c r="E172" s="120" t="inlineStr">
        <is>
          <t>LUCAS BONIFÁCIO</t>
        </is>
      </c>
      <c r="F172" s="120" t="n">
        <v>1</v>
      </c>
      <c r="G172" s="121" t="n">
        <v>1265.26</v>
      </c>
      <c r="H172" s="121">
        <f>F172*G172</f>
        <v/>
      </c>
      <c r="I172" s="120" t="inlineStr">
        <is>
          <t>Real (cruzado por nome, planilha de combustível)</t>
        </is>
      </c>
      <c r="J172" s="116" t="n"/>
      <c r="K172" s="116" t="n"/>
      <c r="L172" s="116" t="n"/>
      <c r="M172" s="116" t="n"/>
      <c r="N172" s="116" t="n"/>
      <c r="O172" s="116" t="n"/>
    </row>
    <row r="173" ht="15" customHeight="1" s="64">
      <c r="A173" s="120" t="inlineStr">
        <is>
          <t>Maio/2026</t>
        </is>
      </c>
      <c r="B173" s="120" t="inlineStr">
        <is>
          <t>DTEL</t>
        </is>
      </c>
      <c r="C173" s="120" t="inlineStr">
        <is>
          <t>Pessoal</t>
        </is>
      </c>
      <c r="D173" s="120" t="inlineStr">
        <is>
          <t>Folha Trabalhista com impostos do mês</t>
        </is>
      </c>
      <c r="E173" s="120" t="inlineStr">
        <is>
          <t>MICHELANGELO</t>
        </is>
      </c>
      <c r="F173" s="120" t="n">
        <v>1</v>
      </c>
      <c r="G173" s="121" t="n">
        <v>23583.3694666667</v>
      </c>
      <c r="H173" s="121">
        <f>F173*G173</f>
        <v/>
      </c>
      <c r="I173" s="120" t="inlineStr">
        <is>
          <t>Real (cruzado por nome, 7/11 encontrados) | Ajustado 24/08/2026: subtraído o custo de folha de Clovis Mendes da Silva (R$ 3706.20), que passou a ter linha própria de van/kombi, para não contar 2x.</t>
        </is>
      </c>
      <c r="J173" s="116" t="n"/>
      <c r="K173" s="116" t="n"/>
      <c r="L173" s="116" t="n"/>
      <c r="M173" s="116" t="n"/>
      <c r="N173" s="116" t="n"/>
      <c r="O173" s="116" t="n"/>
    </row>
    <row r="174" ht="15" customHeight="1" s="64">
      <c r="A174" s="120" t="inlineStr">
        <is>
          <t>Maio/2026</t>
        </is>
      </c>
      <c r="B174" s="120" t="inlineStr">
        <is>
          <t>DTEL</t>
        </is>
      </c>
      <c r="C174" s="120" t="inlineStr">
        <is>
          <t>Pessoal</t>
        </is>
      </c>
      <c r="D174" s="120" t="inlineStr">
        <is>
          <t>Vale Transporte</t>
        </is>
      </c>
      <c r="E174" s="120" t="inlineStr">
        <is>
          <t>MICHELANGELO</t>
        </is>
      </c>
      <c r="F174" s="120" t="n">
        <v>1</v>
      </c>
      <c r="G174" s="121" t="n">
        <v>768.4299999999999</v>
      </c>
      <c r="H174" s="121" t="n">
        <v>768.4299999999999</v>
      </c>
      <c r="I174" s="120" t="inlineStr">
        <is>
          <t>Estimado (fatia proporcional ao nº de colaboradores da equipe, sem taxa fixa por pessoa), fatia de 11 colaboradores da equipe</t>
        </is>
      </c>
      <c r="J174" s="116" t="n"/>
      <c r="K174" s="116" t="n"/>
      <c r="L174" s="116" t="n"/>
      <c r="M174" s="116" t="n"/>
      <c r="N174" s="116" t="n"/>
      <c r="O174" s="116" t="n"/>
    </row>
    <row r="175" ht="15" customHeight="1" s="64">
      <c r="A175" s="120" t="inlineStr">
        <is>
          <t>Maio/2026</t>
        </is>
      </c>
      <c r="B175" s="120" t="inlineStr">
        <is>
          <t>DTEL</t>
        </is>
      </c>
      <c r="C175" s="120" t="inlineStr">
        <is>
          <t>Pessoal</t>
        </is>
      </c>
      <c r="D175" s="120" t="inlineStr">
        <is>
          <t>Despesas com RH</t>
        </is>
      </c>
      <c r="E175" s="120" t="inlineStr">
        <is>
          <t>MICHELANGELO</t>
        </is>
      </c>
      <c r="F175" s="120" t="n">
        <v>11</v>
      </c>
      <c r="G175" s="121" t="n">
        <v>28.31</v>
      </c>
      <c r="H175" s="121">
        <f>F175*G175</f>
        <v/>
      </c>
      <c r="I175" s="120" t="inlineStr">
        <is>
          <t>Real (taxa fixa por colaborador, confirmada em todas as empresas)</t>
        </is>
      </c>
      <c r="J175" s="116" t="n"/>
      <c r="K175" s="116" t="n"/>
      <c r="L175" s="116" t="n"/>
      <c r="M175" s="116" t="n"/>
      <c r="N175" s="116" t="n"/>
      <c r="O175" s="116" t="n"/>
    </row>
    <row r="176" ht="15" customHeight="1" s="64">
      <c r="A176" s="120" t="inlineStr">
        <is>
          <t>Maio/2026</t>
        </is>
      </c>
      <c r="B176" s="120" t="inlineStr">
        <is>
          <t>DTEL</t>
        </is>
      </c>
      <c r="C176" s="120" t="inlineStr">
        <is>
          <t>Pessoal</t>
        </is>
      </c>
      <c r="D176" s="120" t="inlineStr">
        <is>
          <t>Despesas com DP</t>
        </is>
      </c>
      <c r="E176" s="120" t="inlineStr">
        <is>
          <t>MICHELANGELO</t>
        </is>
      </c>
      <c r="F176" s="120" t="n">
        <v>11</v>
      </c>
      <c r="G176" s="121" t="n">
        <v>47.79</v>
      </c>
      <c r="H176" s="121">
        <f>F176*G176</f>
        <v/>
      </c>
      <c r="I176" s="120" t="inlineStr">
        <is>
          <t>Real (taxa fixa por colaborador, confirmada em todas as empresas)</t>
        </is>
      </c>
      <c r="J176" s="116" t="n"/>
      <c r="K176" s="116" t="n"/>
      <c r="L176" s="116" t="n"/>
      <c r="M176" s="116" t="n"/>
      <c r="N176" s="116" t="n"/>
      <c r="O176" s="116" t="n"/>
    </row>
    <row r="177" ht="15" customHeight="1" s="64">
      <c r="A177" s="120" t="inlineStr">
        <is>
          <t>Maio/2026</t>
        </is>
      </c>
      <c r="B177" s="120" t="inlineStr">
        <is>
          <t>DTEL</t>
        </is>
      </c>
      <c r="C177" s="120" t="inlineStr">
        <is>
          <t>Segurança do Trabalho</t>
        </is>
      </c>
      <c r="D177" s="120" t="inlineStr">
        <is>
          <t>Despesas SST exames</t>
        </is>
      </c>
      <c r="E177" s="120" t="inlineStr">
        <is>
          <t>MICHELANGELO</t>
        </is>
      </c>
      <c r="F177" s="120" t="n">
        <v>1</v>
      </c>
      <c r="G177" s="121" t="n">
        <v>105.29</v>
      </c>
      <c r="H177" s="121" t="n">
        <v>105.29</v>
      </c>
      <c r="I177" s="120" t="inlineStr">
        <is>
          <t>Estimado (fatia proporcional ao nº de colaboradores da equipe, sem taxa fixa por pessoa), fatia de 11 colaboradores da equipe</t>
        </is>
      </c>
      <c r="J177" s="116" t="n"/>
      <c r="K177" s="116" t="n"/>
      <c r="L177" s="116" t="n"/>
      <c r="M177" s="116" t="n"/>
      <c r="N177" s="116" t="n"/>
      <c r="O177" s="116" t="n"/>
    </row>
    <row r="178" ht="15" customHeight="1" s="64">
      <c r="A178" s="120" t="inlineStr">
        <is>
          <t>Maio/2026</t>
        </is>
      </c>
      <c r="B178" s="120" t="inlineStr">
        <is>
          <t>DTEL</t>
        </is>
      </c>
      <c r="C178" s="120" t="inlineStr">
        <is>
          <t>Segurança do Trabalho</t>
        </is>
      </c>
      <c r="D178" s="120" t="inlineStr">
        <is>
          <t>Despesas com SST</t>
        </is>
      </c>
      <c r="E178" s="120" t="inlineStr">
        <is>
          <t>MICHELANGELO</t>
        </is>
      </c>
      <c r="F178" s="120" t="n">
        <v>11</v>
      </c>
      <c r="G178" s="121" t="n">
        <v>64.56999999999999</v>
      </c>
      <c r="H178" s="121">
        <f>F178*G178</f>
        <v/>
      </c>
      <c r="I178" s="120" t="inlineStr">
        <is>
          <t>Real (taxa fixa por colaborador, confirmada em todas as empresas)</t>
        </is>
      </c>
      <c r="J178" s="116" t="n"/>
      <c r="K178" s="116" t="n"/>
      <c r="L178" s="116" t="n"/>
      <c r="M178" s="116" t="n"/>
      <c r="N178" s="116" t="n"/>
      <c r="O178" s="116" t="n"/>
    </row>
    <row r="179" ht="15" customHeight="1" s="64">
      <c r="A179" s="120" t="inlineStr">
        <is>
          <t>Maio/2026</t>
        </is>
      </c>
      <c r="B179" s="120" t="inlineStr">
        <is>
          <t>DTEL</t>
        </is>
      </c>
      <c r="C179" s="120" t="inlineStr">
        <is>
          <t>Benefícios</t>
        </is>
      </c>
      <c r="D179" s="120" t="inlineStr">
        <is>
          <t>Gympass</t>
        </is>
      </c>
      <c r="E179" s="120" t="inlineStr">
        <is>
          <t>MICHELANGELO</t>
        </is>
      </c>
      <c r="F179" s="120" t="n">
        <v>11</v>
      </c>
      <c r="G179" s="121" t="n">
        <v>10.05</v>
      </c>
      <c r="H179" s="121">
        <f>F179*G179</f>
        <v/>
      </c>
      <c r="I179" s="120" t="inlineStr">
        <is>
          <t>Real (taxa fixa por colaborador, confirmada em todas as empresas)</t>
        </is>
      </c>
      <c r="J179" s="116" t="n"/>
      <c r="K179" s="116" t="n"/>
      <c r="L179" s="116" t="n"/>
      <c r="M179" s="116" t="n"/>
      <c r="N179" s="116" t="n"/>
      <c r="O179" s="116" t="n"/>
    </row>
    <row r="180" ht="15" customHeight="1" s="64">
      <c r="A180" s="120" t="inlineStr">
        <is>
          <t>Maio/2026</t>
        </is>
      </c>
      <c r="B180" s="120" t="inlineStr">
        <is>
          <t>DTEL</t>
        </is>
      </c>
      <c r="C180" s="120" t="inlineStr">
        <is>
          <t>Benefícios</t>
        </is>
      </c>
      <c r="D180" s="120" t="inlineStr">
        <is>
          <t>Stargrid</t>
        </is>
      </c>
      <c r="E180" s="120" t="inlineStr">
        <is>
          <t>MICHELANGELO</t>
        </is>
      </c>
      <c r="F180" s="120" t="n">
        <v>11</v>
      </c>
      <c r="G180" s="121" t="n">
        <v>2.07</v>
      </c>
      <c r="H180" s="121">
        <f>F180*G180</f>
        <v/>
      </c>
      <c r="I180" s="120" t="inlineStr">
        <is>
          <t>Real (taxa fixa por colaborador, confirmada em todas as empresas)</t>
        </is>
      </c>
      <c r="J180" s="116" t="n"/>
      <c r="K180" s="116" t="n"/>
      <c r="L180" s="116" t="n"/>
      <c r="M180" s="116" t="n"/>
      <c r="N180" s="116" t="n"/>
      <c r="O180" s="116" t="n"/>
    </row>
    <row r="181" ht="15" customHeight="1" s="64">
      <c r="A181" s="120" t="inlineStr">
        <is>
          <t>Maio/2026</t>
        </is>
      </c>
      <c r="B181" s="120" t="inlineStr">
        <is>
          <t>DTEL</t>
        </is>
      </c>
      <c r="C181" s="120" t="inlineStr">
        <is>
          <t>Fardamento</t>
        </is>
      </c>
      <c r="D181" s="120" t="inlineStr">
        <is>
          <t>Novo Fardamento</t>
        </is>
      </c>
      <c r="E181" s="120" t="inlineStr">
        <is>
          <t>MICHELANGELO</t>
        </is>
      </c>
      <c r="F181" s="120" t="n">
        <v>1</v>
      </c>
      <c r="G181" s="121" t="n">
        <v>20.25</v>
      </c>
      <c r="H181" s="121" t="n">
        <v>20.25</v>
      </c>
      <c r="I181" s="120" t="inlineStr">
        <is>
          <t>Estimado (fatia proporcional ao nº de colaboradores da equipe, sem taxa fixa por pessoa), fatia de 11 colaboradores da equipe</t>
        </is>
      </c>
      <c r="J181" s="116" t="n"/>
      <c r="K181" s="116" t="n"/>
      <c r="L181" s="116" t="n"/>
      <c r="M181" s="116" t="n"/>
      <c r="N181" s="116" t="n"/>
      <c r="O181" s="116" t="n"/>
    </row>
    <row r="182" ht="15" customHeight="1" s="64">
      <c r="A182" s="120" t="inlineStr">
        <is>
          <t>Maio/2026</t>
        </is>
      </c>
      <c r="B182" s="120" t="inlineStr">
        <is>
          <t>DTEL</t>
        </is>
      </c>
      <c r="C182" s="120" t="inlineStr">
        <is>
          <t>Fardamento</t>
        </is>
      </c>
      <c r="D182" s="120" t="inlineStr">
        <is>
          <t>Devolução de fardamento</t>
        </is>
      </c>
      <c r="E182" s="120" t="inlineStr">
        <is>
          <t>MICHELANGELO</t>
        </is>
      </c>
      <c r="F182" s="120" t="n">
        <v>1</v>
      </c>
      <c r="G182" s="121" t="n">
        <v>-29.77</v>
      </c>
      <c r="H182" s="121" t="n">
        <v>-29.77</v>
      </c>
      <c r="I182" s="120" t="inlineStr">
        <is>
          <t>Estimado (fatia proporcional ao nº de colaboradores da equipe, sem taxa fixa por pessoa), fatia de 11 colaboradores da equipe</t>
        </is>
      </c>
      <c r="J182" s="116" t="n"/>
      <c r="K182" s="116" t="n"/>
      <c r="L182" s="116" t="n"/>
      <c r="M182" s="116" t="n"/>
      <c r="N182" s="116" t="n"/>
      <c r="O182" s="116" t="n"/>
    </row>
    <row r="183" ht="15" customHeight="1" s="64">
      <c r="A183" s="120" t="inlineStr">
        <is>
          <t>Maio/2026</t>
        </is>
      </c>
      <c r="B183" s="120" t="inlineStr">
        <is>
          <t>DTEL</t>
        </is>
      </c>
      <c r="C183" s="120" t="inlineStr">
        <is>
          <t>Fardamento</t>
        </is>
      </c>
      <c r="D183" s="120" t="inlineStr">
        <is>
          <t>Substituição extra de Fardamento</t>
        </is>
      </c>
      <c r="E183" s="120" t="inlineStr">
        <is>
          <t>MICHELANGELO</t>
        </is>
      </c>
      <c r="F183" s="120" t="n">
        <v>1</v>
      </c>
      <c r="G183" s="121" t="n">
        <v>31.55</v>
      </c>
      <c r="H183" s="121" t="n">
        <v>31.55</v>
      </c>
      <c r="I183" s="120" t="inlineStr">
        <is>
          <t>Estimado (fatia proporcional ao nº de colaboradores da equipe, sem taxa fixa por pessoa), fatia de 11 colaboradores da equipe</t>
        </is>
      </c>
      <c r="J183" s="116" t="n"/>
      <c r="K183" s="116" t="n"/>
      <c r="L183" s="116" t="n"/>
      <c r="M183" s="116" t="n"/>
      <c r="N183" s="116" t="n"/>
      <c r="O183" s="116" t="n"/>
    </row>
    <row r="184" ht="15" customHeight="1" s="64">
      <c r="A184" s="120" t="inlineStr">
        <is>
          <t>Maio/2026</t>
        </is>
      </c>
      <c r="B184" s="120" t="inlineStr">
        <is>
          <t>DTEL</t>
        </is>
      </c>
      <c r="C184" s="120" t="inlineStr">
        <is>
          <t>Estrutura/Infra</t>
        </is>
      </c>
      <c r="D184" s="120" t="inlineStr">
        <is>
          <t>Linhas moveis (FIQUE MÓVEL)</t>
        </is>
      </c>
      <c r="E184" s="120" t="inlineStr">
        <is>
          <t>MICHELANGELO</t>
        </is>
      </c>
      <c r="F184" s="120" t="n">
        <v>11</v>
      </c>
      <c r="G184" s="121" t="n">
        <v>30</v>
      </c>
      <c r="H184" s="121">
        <f>F184*G184</f>
        <v/>
      </c>
      <c r="I184" s="120" t="inlineStr">
        <is>
          <t>Real (taxa fixa por colaborador, confirmada em todas as empresas)</t>
        </is>
      </c>
      <c r="J184" s="116" t="n"/>
      <c r="K184" s="116" t="n"/>
      <c r="L184" s="116" t="n"/>
      <c r="M184" s="116" t="n"/>
      <c r="N184" s="116" t="n"/>
      <c r="O184" s="116" t="n"/>
    </row>
    <row r="185" ht="15" customHeight="1" s="64">
      <c r="A185" s="120" t="inlineStr">
        <is>
          <t>Maio/2026</t>
        </is>
      </c>
      <c r="B185" s="120" t="inlineStr">
        <is>
          <t>DTEL</t>
        </is>
      </c>
      <c r="C185" s="120" t="inlineStr">
        <is>
          <t>TI</t>
        </is>
      </c>
      <c r="D185" s="120" t="inlineStr">
        <is>
          <t>E-mail do departamento (11 emails)</t>
        </is>
      </c>
      <c r="E185" s="120" t="inlineStr">
        <is>
          <t>MICHELANGELO</t>
        </is>
      </c>
      <c r="F185" s="120" t="n">
        <v>2</v>
      </c>
      <c r="G185" s="121" t="n">
        <v>50</v>
      </c>
      <c r="H185" s="121">
        <f>F185*G185</f>
        <v/>
      </c>
      <c r="I185" s="120" t="inlineStr">
        <is>
          <t>Real (taxa fixa de R$50,00 por conta, só executivo/supervisor/coordenador)</t>
        </is>
      </c>
      <c r="J185" s="116" t="n"/>
      <c r="K185" s="116" t="n"/>
      <c r="L185" s="116" t="n"/>
      <c r="M185" s="116" t="n"/>
      <c r="N185" s="116" t="n"/>
      <c r="O185" s="116" t="n"/>
    </row>
    <row r="186" ht="15" customHeight="1" s="64">
      <c r="A186" s="120" t="inlineStr">
        <is>
          <t>Maio/2026</t>
        </is>
      </c>
      <c r="B186" s="120" t="inlineStr">
        <is>
          <t>DTEL</t>
        </is>
      </c>
      <c r="C186" s="120" t="inlineStr">
        <is>
          <t>Frota/Combustível</t>
        </is>
      </c>
      <c r="D186" s="120" t="inlineStr">
        <is>
          <t>Consumo de combustível</t>
        </is>
      </c>
      <c r="E186" s="120" t="inlineStr">
        <is>
          <t>MICHELANGELO</t>
        </is>
      </c>
      <c r="F186" s="120" t="n">
        <v>1</v>
      </c>
      <c r="G186" s="121" t="n">
        <v>0</v>
      </c>
      <c r="H186" s="121">
        <f>F186*G186</f>
        <v/>
      </c>
      <c r="I186" s="120" t="inlineStr">
        <is>
          <t>Real (cruzado por nome, planilha de combustível) | Ajustado 24/08/2026: subtraído o combustível de Clovis Mendes da Silva (R$ 5768.81), que passou a ter linha própria de van/kombi, para não contar 2x.</t>
        </is>
      </c>
      <c r="J186" s="116" t="n"/>
      <c r="K186" s="116" t="n"/>
      <c r="L186" s="116" t="n"/>
      <c r="M186" s="116" t="n"/>
      <c r="N186" s="116" t="n"/>
      <c r="O186" s="116" t="n"/>
    </row>
    <row r="187" ht="15" customHeight="1" s="64">
      <c r="A187" s="120" t="inlineStr">
        <is>
          <t>Maio/2026</t>
        </is>
      </c>
      <c r="B187" s="120" t="inlineStr">
        <is>
          <t>Voicenet</t>
        </is>
      </c>
      <c r="C187" s="120" t="inlineStr">
        <is>
          <t>Pessoal</t>
        </is>
      </c>
      <c r="D187" s="120" t="inlineStr">
        <is>
          <t>Folha Trabalhista com impostos do mês</t>
        </is>
      </c>
      <c r="E187" s="120" t="inlineStr">
        <is>
          <t>MICHELANGELO</t>
        </is>
      </c>
      <c r="F187" s="120" t="n">
        <v>1</v>
      </c>
      <c r="G187" s="121" t="n">
        <v>2735.78</v>
      </c>
      <c r="H187" s="121">
        <f>F187*G187</f>
        <v/>
      </c>
      <c r="I187" s="120" t="inlineStr">
        <is>
          <t>Real (cruzado por nome, 1/2 encontrados)</t>
        </is>
      </c>
      <c r="J187" s="116" t="n"/>
      <c r="K187" s="116" t="n"/>
      <c r="L187" s="116" t="n"/>
      <c r="M187" s="116" t="n"/>
      <c r="N187" s="116" t="n"/>
      <c r="O187" s="116" t="n"/>
    </row>
    <row r="188" ht="15" customHeight="1" s="64">
      <c r="A188" s="120" t="inlineStr">
        <is>
          <t>Maio/2026</t>
        </is>
      </c>
      <c r="B188" s="120" t="inlineStr">
        <is>
          <t>Voicenet</t>
        </is>
      </c>
      <c r="C188" s="120" t="inlineStr">
        <is>
          <t>Pessoal</t>
        </is>
      </c>
      <c r="D188" s="120" t="inlineStr">
        <is>
          <t>Rescisões</t>
        </is>
      </c>
      <c r="E188" s="120" t="inlineStr">
        <is>
          <t>MICHELANGELO</t>
        </is>
      </c>
      <c r="F188" s="120" t="n">
        <v>1</v>
      </c>
      <c r="G188" s="121" t="n">
        <v>24565.95</v>
      </c>
      <c r="H188" s="121">
        <f>F188*G188</f>
        <v/>
      </c>
      <c r="I188" s="120" t="inlineStr">
        <is>
          <t>Real (cruzado por nome, tabela de rescisões — lançado em Maio/2026, mesma defasagem de um mês usada nos outros custos do comercial)</t>
        </is>
      </c>
      <c r="J188" s="116" t="n"/>
      <c r="K188" s="116" t="n"/>
      <c r="L188" s="116" t="n"/>
      <c r="M188" s="116" t="n"/>
      <c r="N188" s="116" t="n"/>
      <c r="O188" s="116" t="n"/>
    </row>
    <row r="189" ht="15" customHeight="1" s="64">
      <c r="A189" s="120" t="inlineStr">
        <is>
          <t>Maio/2026</t>
        </is>
      </c>
      <c r="B189" s="120" t="inlineStr">
        <is>
          <t>Voicenet</t>
        </is>
      </c>
      <c r="C189" s="120" t="inlineStr">
        <is>
          <t>Pessoal</t>
        </is>
      </c>
      <c r="D189" s="120" t="inlineStr">
        <is>
          <t>Despesas com RH</t>
        </is>
      </c>
      <c r="E189" s="120" t="inlineStr">
        <is>
          <t>MICHELANGELO</t>
        </is>
      </c>
      <c r="F189" s="120" t="n">
        <v>2</v>
      </c>
      <c r="G189" s="121" t="n">
        <v>28.31</v>
      </c>
      <c r="H189" s="121">
        <f>F189*G189</f>
        <v/>
      </c>
      <c r="I189" s="120" t="inlineStr">
        <is>
          <t>Real (taxa fixa por colaborador, confirmada em todas as empresas)</t>
        </is>
      </c>
      <c r="J189" s="116" t="n"/>
      <c r="K189" s="116" t="n"/>
      <c r="L189" s="116" t="n"/>
      <c r="M189" s="116" t="n"/>
      <c r="N189" s="116" t="n"/>
      <c r="O189" s="116" t="n"/>
    </row>
    <row r="190" ht="15" customHeight="1" s="64">
      <c r="A190" s="120" t="inlineStr">
        <is>
          <t>Maio/2026</t>
        </is>
      </c>
      <c r="B190" s="120" t="inlineStr">
        <is>
          <t>Voicenet</t>
        </is>
      </c>
      <c r="C190" s="120" t="inlineStr">
        <is>
          <t>Pessoal</t>
        </is>
      </c>
      <c r="D190" s="120" t="inlineStr">
        <is>
          <t>Despesas com DP</t>
        </is>
      </c>
      <c r="E190" s="120" t="inlineStr">
        <is>
          <t>MICHELANGELO</t>
        </is>
      </c>
      <c r="F190" s="120" t="n">
        <v>2</v>
      </c>
      <c r="G190" s="121" t="n">
        <v>47.79</v>
      </c>
      <c r="H190" s="121">
        <f>F190*G190</f>
        <v/>
      </c>
      <c r="I190" s="120" t="inlineStr">
        <is>
          <t>Real (taxa fixa por colaborador, confirmada em todas as empresas)</t>
        </is>
      </c>
      <c r="J190" s="116" t="n"/>
      <c r="K190" s="116" t="n"/>
      <c r="L190" s="116" t="n"/>
      <c r="M190" s="116" t="n"/>
      <c r="N190" s="116" t="n"/>
      <c r="O190" s="116" t="n"/>
    </row>
    <row r="191" ht="15" customHeight="1" s="64">
      <c r="A191" s="120" t="inlineStr">
        <is>
          <t>Maio/2026</t>
        </is>
      </c>
      <c r="B191" s="120" t="inlineStr">
        <is>
          <t>Voicenet</t>
        </is>
      </c>
      <c r="C191" s="120" t="inlineStr">
        <is>
          <t>Segurança do Trabalho</t>
        </is>
      </c>
      <c r="D191" s="120" t="inlineStr">
        <is>
          <t>Despesas com SST</t>
        </is>
      </c>
      <c r="E191" s="120" t="inlineStr">
        <is>
          <t>MICHELANGELO</t>
        </is>
      </c>
      <c r="F191" s="120" t="n">
        <v>2</v>
      </c>
      <c r="G191" s="121" t="n">
        <v>64.56999999999999</v>
      </c>
      <c r="H191" s="121">
        <f>F191*G191</f>
        <v/>
      </c>
      <c r="I191" s="120" t="inlineStr">
        <is>
          <t>Real (taxa fixa por colaborador, confirmada em todas as empresas)</t>
        </is>
      </c>
      <c r="J191" s="116" t="n"/>
      <c r="K191" s="116" t="n"/>
      <c r="L191" s="116" t="n"/>
      <c r="M191" s="116" t="n"/>
      <c r="N191" s="116" t="n"/>
      <c r="O191" s="116" t="n"/>
    </row>
    <row r="192" ht="15" customHeight="1" s="64">
      <c r="A192" s="120" t="inlineStr">
        <is>
          <t>Maio/2026</t>
        </is>
      </c>
      <c r="B192" s="120" t="inlineStr">
        <is>
          <t>Voicenet</t>
        </is>
      </c>
      <c r="C192" s="120" t="inlineStr">
        <is>
          <t>Benefícios</t>
        </is>
      </c>
      <c r="D192" s="120" t="inlineStr">
        <is>
          <t>Gympass</t>
        </is>
      </c>
      <c r="E192" s="120" t="inlineStr">
        <is>
          <t>MICHELANGELO</t>
        </is>
      </c>
      <c r="F192" s="120" t="n">
        <v>2</v>
      </c>
      <c r="G192" s="121" t="n">
        <v>10.05</v>
      </c>
      <c r="H192" s="121">
        <f>F192*G192</f>
        <v/>
      </c>
      <c r="I192" s="120" t="inlineStr">
        <is>
          <t>Real (taxa fixa por colaborador, confirmada em todas as empresas)</t>
        </is>
      </c>
      <c r="J192" s="116" t="n"/>
      <c r="K192" s="116" t="n"/>
      <c r="L192" s="116" t="n"/>
      <c r="M192" s="116" t="n"/>
      <c r="N192" s="116" t="n"/>
      <c r="O192" s="116" t="n"/>
    </row>
    <row r="193" ht="15" customHeight="1" s="64">
      <c r="A193" s="120" t="inlineStr">
        <is>
          <t>Maio/2026</t>
        </is>
      </c>
      <c r="B193" s="120" t="inlineStr">
        <is>
          <t>Voicenet</t>
        </is>
      </c>
      <c r="C193" s="120" t="inlineStr">
        <is>
          <t>Benefícios</t>
        </is>
      </c>
      <c r="D193" s="120" t="inlineStr">
        <is>
          <t>Stargrid</t>
        </is>
      </c>
      <c r="E193" s="120" t="inlineStr">
        <is>
          <t>MICHELANGELO</t>
        </is>
      </c>
      <c r="F193" s="120" t="n">
        <v>2</v>
      </c>
      <c r="G193" s="121" t="n">
        <v>2.07</v>
      </c>
      <c r="H193" s="121">
        <f>F193*G193</f>
        <v/>
      </c>
      <c r="I193" s="120" t="inlineStr">
        <is>
          <t>Real (taxa fixa por colaborador, confirmada em todas as empresas)</t>
        </is>
      </c>
      <c r="J193" s="116" t="n"/>
      <c r="K193" s="116" t="n"/>
      <c r="L193" s="116" t="n"/>
      <c r="M193" s="116" t="n"/>
      <c r="N193" s="116" t="n"/>
      <c r="O193" s="116" t="n"/>
    </row>
    <row r="194" ht="15" customHeight="1" s="64">
      <c r="A194" s="120" t="inlineStr">
        <is>
          <t>Maio/2026</t>
        </is>
      </c>
      <c r="B194" s="120" t="inlineStr">
        <is>
          <t>Voicenet</t>
        </is>
      </c>
      <c r="C194" s="120" t="inlineStr">
        <is>
          <t>Fardamento</t>
        </is>
      </c>
      <c r="D194" s="120" t="inlineStr">
        <is>
          <t>Devolução fardamento</t>
        </is>
      </c>
      <c r="E194" s="120" t="inlineStr">
        <is>
          <t>MICHELANGELO</t>
        </is>
      </c>
      <c r="F194" s="120" t="n">
        <v>1</v>
      </c>
      <c r="G194" s="121" t="n">
        <v>-494.68</v>
      </c>
      <c r="H194" s="121">
        <f>F194*G194</f>
        <v/>
      </c>
      <c r="I194" s="120" t="inlineStr">
        <is>
          <t>Estimado (fatia proporcional ao nº de colaboradores da equipe, sem taxa fixa por pessoa), fatia de 2 colaboradores da equipe</t>
        </is>
      </c>
      <c r="J194" s="116" t="n"/>
      <c r="K194" s="116" t="n"/>
      <c r="L194" s="116" t="n"/>
      <c r="M194" s="116" t="n"/>
      <c r="N194" s="116" t="n"/>
      <c r="O194" s="116" t="n"/>
    </row>
    <row r="195" ht="15" customHeight="1" s="64">
      <c r="A195" s="120" t="inlineStr">
        <is>
          <t>Maio/2026</t>
        </is>
      </c>
      <c r="B195" s="120" t="inlineStr">
        <is>
          <t>Voicenet</t>
        </is>
      </c>
      <c r="C195" s="120" t="inlineStr">
        <is>
          <t>Estrutura/Infra</t>
        </is>
      </c>
      <c r="D195" s="120" t="inlineStr">
        <is>
          <t>Linhas moveis (FIQUE MÓVEL)</t>
        </is>
      </c>
      <c r="E195" s="120" t="inlineStr">
        <is>
          <t>MICHELANGELO</t>
        </is>
      </c>
      <c r="F195" s="120" t="n">
        <v>2</v>
      </c>
      <c r="G195" s="121" t="n">
        <v>30</v>
      </c>
      <c r="H195" s="121">
        <f>F195*G195</f>
        <v/>
      </c>
      <c r="I195" s="120" t="inlineStr">
        <is>
          <t>Real (taxa fixa por colaborador, confirmada em todas as empresas)</t>
        </is>
      </c>
      <c r="J195" s="116" t="n"/>
      <c r="K195" s="116" t="n"/>
      <c r="L195" s="116" t="n"/>
      <c r="M195" s="116" t="n"/>
      <c r="N195" s="116" t="n"/>
      <c r="O195" s="116" t="n"/>
    </row>
    <row r="196" ht="14.25" customHeight="1" s="64">
      <c r="A196" s="120" t="inlineStr">
        <is>
          <t>Maio/2026</t>
        </is>
      </c>
      <c r="B196" s="120" t="inlineStr">
        <is>
          <t>Voicenet</t>
        </is>
      </c>
      <c r="C196" s="120" t="inlineStr">
        <is>
          <t>TI</t>
        </is>
      </c>
      <c r="D196" s="120" t="inlineStr">
        <is>
          <t>E-mail do departamento (1)</t>
        </is>
      </c>
      <c r="E196" s="120" t="inlineStr">
        <is>
          <t>MICHELANGELO</t>
        </is>
      </c>
      <c r="F196" s="120" t="n">
        <v>1</v>
      </c>
      <c r="G196" s="121" t="n">
        <v>50</v>
      </c>
      <c r="H196" s="121">
        <f>F196*G196</f>
        <v/>
      </c>
      <c r="I196" s="120" t="inlineStr">
        <is>
          <t>Real (taxa fixa de R$50,00 por conta, só executivo/supervisor/coordenador)</t>
        </is>
      </c>
      <c r="J196" s="116" t="n"/>
      <c r="K196" s="116" t="n"/>
      <c r="L196" s="116" t="n"/>
      <c r="M196" s="116" t="n"/>
      <c r="N196" s="116" t="n"/>
      <c r="O196" s="116" t="n"/>
    </row>
    <row r="197" ht="14.25" customHeight="1" s="64">
      <c r="A197" s="120" t="inlineStr">
        <is>
          <t>Maio/2026</t>
        </is>
      </c>
      <c r="B197" s="120" t="inlineStr">
        <is>
          <t>Voicenet</t>
        </is>
      </c>
      <c r="C197" s="120" t="inlineStr">
        <is>
          <t>Frota/Combustível</t>
        </is>
      </c>
      <c r="D197" s="120" t="inlineStr">
        <is>
          <t>Consumo de combustível</t>
        </is>
      </c>
      <c r="E197" s="120" t="inlineStr">
        <is>
          <t>MICHELANGELO</t>
        </is>
      </c>
      <c r="F197" s="120" t="n">
        <v>1</v>
      </c>
      <c r="G197" s="121" t="n">
        <v>1287.4</v>
      </c>
      <c r="H197" s="121">
        <f>F197*G197</f>
        <v/>
      </c>
      <c r="I197" s="120" t="inlineStr">
        <is>
          <t>Real (cruzado por nome, planilha de combustível)</t>
        </is>
      </c>
      <c r="J197" s="116" t="n"/>
      <c r="K197" s="116" t="n"/>
      <c r="L197" s="116" t="n"/>
      <c r="M197" s="116" t="n"/>
      <c r="N197" s="116" t="n"/>
      <c r="O197" s="116" t="n"/>
    </row>
    <row r="198" ht="14.25" customHeight="1" s="64">
      <c r="A198" s="120" t="inlineStr">
        <is>
          <t>Maio/2026</t>
        </is>
      </c>
      <c r="B198" s="120" t="inlineStr">
        <is>
          <t>DTEL</t>
        </is>
      </c>
      <c r="C198" s="120" t="inlineStr">
        <is>
          <t>Pessoal</t>
        </is>
      </c>
      <c r="D198" s="120" t="inlineStr">
        <is>
          <t>Folha Trabalhista com impostos do mês</t>
        </is>
      </c>
      <c r="E198" s="120" t="inlineStr">
        <is>
          <t>TARCIZIO MEIRELES</t>
        </is>
      </c>
      <c r="F198" s="120" t="n">
        <v>1</v>
      </c>
      <c r="G198" s="121" t="n">
        <v>66963.9794666667</v>
      </c>
      <c r="H198" s="121">
        <f>F198*G198</f>
        <v/>
      </c>
      <c r="I198" s="120" t="inlineStr">
        <is>
          <t>Real (cruzado por nome, 18/18 encontrados) | Ajustado 24/08/2026: subtraído o custo de folha de Jose Zenildo da Silva (R$ 3706.20), que passou a ter linha própria de van/kombi, para não contar 2x.</t>
        </is>
      </c>
      <c r="J198" s="116" t="n"/>
      <c r="K198" s="116" t="n"/>
      <c r="L198" s="116" t="n"/>
      <c r="M198" s="116" t="n"/>
      <c r="N198" s="116" t="n"/>
      <c r="O198" s="116" t="n"/>
    </row>
    <row r="199" ht="14.25" customHeight="1" s="64">
      <c r="A199" s="120" t="inlineStr">
        <is>
          <t>Maio/2026</t>
        </is>
      </c>
      <c r="B199" s="120" t="inlineStr">
        <is>
          <t>DTEL</t>
        </is>
      </c>
      <c r="C199" s="120" t="inlineStr">
        <is>
          <t>Pessoal</t>
        </is>
      </c>
      <c r="D199" s="120" t="inlineStr">
        <is>
          <t>Rescisões</t>
        </is>
      </c>
      <c r="E199" s="120" t="inlineStr">
        <is>
          <t>TARCIZIO MEIRELES</t>
        </is>
      </c>
      <c r="F199" s="120" t="n">
        <v>1</v>
      </c>
      <c r="G199" s="121" t="n">
        <v>1969.06</v>
      </c>
      <c r="H199" s="121">
        <f>F199*G199</f>
        <v/>
      </c>
      <c r="I199" s="120" t="inlineStr">
        <is>
          <t>Real (cruzado por nome, tabela de rescisões — lançado em Maio/2026, mesma defasagem de um mês usada nos outros custos do comercial)</t>
        </is>
      </c>
      <c r="J199" s="116" t="n"/>
      <c r="K199" s="116" t="n"/>
      <c r="L199" s="116" t="n"/>
      <c r="M199" s="116" t="n"/>
      <c r="N199" s="116" t="n"/>
      <c r="O199" s="116" t="n"/>
    </row>
    <row r="200" ht="15" customHeight="1" s="64">
      <c r="A200" s="120" t="inlineStr">
        <is>
          <t>Maio/2026</t>
        </is>
      </c>
      <c r="B200" s="120" t="inlineStr">
        <is>
          <t>DTEL</t>
        </is>
      </c>
      <c r="C200" s="120" t="inlineStr">
        <is>
          <t>Pessoal</t>
        </is>
      </c>
      <c r="D200" s="120" t="inlineStr">
        <is>
          <t>Vale Transporte</t>
        </is>
      </c>
      <c r="E200" s="120" t="inlineStr">
        <is>
          <t>TARCIZIO MEIRELES</t>
        </is>
      </c>
      <c r="F200" s="120" t="n">
        <v>1</v>
      </c>
      <c r="G200" s="121" t="n">
        <v>1257.43</v>
      </c>
      <c r="H200" s="121" t="n">
        <v>1257.43</v>
      </c>
      <c r="I200" s="120" t="inlineStr">
        <is>
          <t>Estimado (fatia proporcional ao nº de colaboradores da equipe, sem taxa fixa por pessoa), fatia de 18 colaboradores da equipe</t>
        </is>
      </c>
      <c r="J200" s="116" t="n"/>
      <c r="K200" s="116" t="n"/>
      <c r="L200" s="116" t="n"/>
      <c r="M200" s="116" t="n"/>
      <c r="N200" s="116" t="n"/>
      <c r="O200" s="116" t="n"/>
    </row>
    <row r="201" ht="15" customHeight="1" s="64">
      <c r="A201" s="120" t="inlineStr">
        <is>
          <t>Maio/2026</t>
        </is>
      </c>
      <c r="B201" s="120" t="inlineStr">
        <is>
          <t>DTEL</t>
        </is>
      </c>
      <c r="C201" s="120" t="inlineStr">
        <is>
          <t>Pessoal</t>
        </is>
      </c>
      <c r="D201" s="120" t="inlineStr">
        <is>
          <t>Despesas com RH</t>
        </is>
      </c>
      <c r="E201" s="120" t="inlineStr">
        <is>
          <t>TARCIZIO MEIRELES</t>
        </is>
      </c>
      <c r="F201" s="120" t="n">
        <v>18</v>
      </c>
      <c r="G201" s="121" t="n">
        <v>28.31</v>
      </c>
      <c r="H201" s="121">
        <f>F201*G201</f>
        <v/>
      </c>
      <c r="I201" s="120" t="inlineStr">
        <is>
          <t>Real (taxa fixa por colaborador, confirmada em todas as empresas)</t>
        </is>
      </c>
      <c r="J201" s="116" t="n"/>
      <c r="K201" s="116" t="n"/>
      <c r="L201" s="116" t="n"/>
      <c r="M201" s="116" t="n"/>
      <c r="N201" s="116" t="n"/>
      <c r="O201" s="116" t="n"/>
    </row>
    <row r="202" ht="14.25" customHeight="1" s="64">
      <c r="A202" s="120" t="inlineStr">
        <is>
          <t>Maio/2026</t>
        </is>
      </c>
      <c r="B202" s="120" t="inlineStr">
        <is>
          <t>DTEL</t>
        </is>
      </c>
      <c r="C202" s="120" t="inlineStr">
        <is>
          <t>Pessoal</t>
        </is>
      </c>
      <c r="D202" s="120" t="inlineStr">
        <is>
          <t>Despesas com DP</t>
        </is>
      </c>
      <c r="E202" s="120" t="inlineStr">
        <is>
          <t>TARCIZIO MEIRELES</t>
        </is>
      </c>
      <c r="F202" s="120" t="n">
        <v>18</v>
      </c>
      <c r="G202" s="121" t="n">
        <v>47.79</v>
      </c>
      <c r="H202" s="121">
        <f>F202*G202</f>
        <v/>
      </c>
      <c r="I202" s="120" t="inlineStr">
        <is>
          <t>Real (taxa fixa por colaborador, confirmada em todas as empresas)</t>
        </is>
      </c>
      <c r="J202" s="116" t="n"/>
      <c r="K202" s="116" t="n"/>
      <c r="L202" s="116" t="n"/>
      <c r="M202" s="116" t="n"/>
      <c r="N202" s="116" t="n"/>
      <c r="O202" s="116" t="n"/>
    </row>
    <row r="203" ht="14.25" customHeight="1" s="64">
      <c r="A203" s="120" t="inlineStr">
        <is>
          <t>Maio/2026</t>
        </is>
      </c>
      <c r="B203" s="120" t="inlineStr">
        <is>
          <t>DTEL</t>
        </is>
      </c>
      <c r="C203" s="120" t="inlineStr">
        <is>
          <t>Segurança do Trabalho</t>
        </is>
      </c>
      <c r="D203" s="120" t="inlineStr">
        <is>
          <t>Despesas SST exames</t>
        </is>
      </c>
      <c r="E203" s="120" t="inlineStr">
        <is>
          <t>TARCIZIO MEIRELES</t>
        </is>
      </c>
      <c r="F203" s="120" t="n">
        <v>1</v>
      </c>
      <c r="G203" s="121" t="n">
        <v>172.29</v>
      </c>
      <c r="H203" s="121" t="n">
        <v>172.29</v>
      </c>
      <c r="I203" s="120" t="inlineStr">
        <is>
          <t>Estimado (fatia proporcional ao nº de colaboradores da equipe, sem taxa fixa por pessoa), fatia de 18 colaboradores da equipe</t>
        </is>
      </c>
      <c r="J203" s="116" t="n"/>
      <c r="K203" s="116" t="n"/>
      <c r="L203" s="116" t="n"/>
      <c r="M203" s="116" t="n"/>
      <c r="N203" s="116" t="n"/>
      <c r="O203" s="116" t="n"/>
    </row>
    <row r="204" ht="14.25" customHeight="1" s="64">
      <c r="A204" s="120" t="inlineStr">
        <is>
          <t>Maio/2026</t>
        </is>
      </c>
      <c r="B204" s="120" t="inlineStr">
        <is>
          <t>DTEL</t>
        </is>
      </c>
      <c r="C204" s="120" t="inlineStr">
        <is>
          <t>Segurança do Trabalho</t>
        </is>
      </c>
      <c r="D204" s="120" t="inlineStr">
        <is>
          <t>Despesas com SST</t>
        </is>
      </c>
      <c r="E204" s="120" t="inlineStr">
        <is>
          <t>TARCIZIO MEIRELES</t>
        </is>
      </c>
      <c r="F204" s="120" t="n">
        <v>18</v>
      </c>
      <c r="G204" s="121" t="n">
        <v>64.56999999999999</v>
      </c>
      <c r="H204" s="121">
        <f>F204*G204</f>
        <v/>
      </c>
      <c r="I204" s="120" t="inlineStr">
        <is>
          <t>Real (taxa fixa por colaborador, confirmada em todas as empresas)</t>
        </is>
      </c>
      <c r="J204" s="116" t="n"/>
      <c r="K204" s="116" t="n"/>
      <c r="L204" s="116" t="n"/>
      <c r="M204" s="116" t="n"/>
      <c r="N204" s="116" t="n"/>
      <c r="O204" s="116" t="n"/>
    </row>
    <row r="205" ht="14.25" customHeight="1" s="64">
      <c r="A205" s="120" t="inlineStr">
        <is>
          <t>Maio/2026</t>
        </is>
      </c>
      <c r="B205" s="120" t="inlineStr">
        <is>
          <t>DTEL</t>
        </is>
      </c>
      <c r="C205" s="120" t="inlineStr">
        <is>
          <t>Benefícios</t>
        </is>
      </c>
      <c r="D205" s="120" t="inlineStr">
        <is>
          <t>Gympass</t>
        </is>
      </c>
      <c r="E205" s="120" t="inlineStr">
        <is>
          <t>TARCIZIO MEIRELES</t>
        </is>
      </c>
      <c r="F205" s="120" t="n">
        <v>18</v>
      </c>
      <c r="G205" s="121" t="n">
        <v>10.05</v>
      </c>
      <c r="H205" s="121">
        <f>F205*G205</f>
        <v/>
      </c>
      <c r="I205" s="120" t="inlineStr">
        <is>
          <t>Real (taxa fixa por colaborador, confirmada em todas as empresas)</t>
        </is>
      </c>
      <c r="J205" s="116" t="n"/>
      <c r="K205" s="116" t="n"/>
      <c r="L205" s="116" t="n"/>
      <c r="M205" s="116" t="n"/>
      <c r="N205" s="116" t="n"/>
      <c r="O205" s="116" t="n"/>
    </row>
    <row r="206" ht="14.25" customHeight="1" s="64">
      <c r="A206" s="120" t="inlineStr">
        <is>
          <t>Maio/2026</t>
        </is>
      </c>
      <c r="B206" s="120" t="inlineStr">
        <is>
          <t>DTEL</t>
        </is>
      </c>
      <c r="C206" s="120" t="inlineStr">
        <is>
          <t>Benefícios</t>
        </is>
      </c>
      <c r="D206" s="120" t="inlineStr">
        <is>
          <t>Stargrid</t>
        </is>
      </c>
      <c r="E206" s="120" t="inlineStr">
        <is>
          <t>TARCIZIO MEIRELES</t>
        </is>
      </c>
      <c r="F206" s="120" t="n">
        <v>18</v>
      </c>
      <c r="G206" s="121" t="n">
        <v>2.07</v>
      </c>
      <c r="H206" s="121">
        <f>F206*G206</f>
        <v/>
      </c>
      <c r="I206" s="120" t="inlineStr">
        <is>
          <t>Real (taxa fixa por colaborador, confirmada em todas as empresas)</t>
        </is>
      </c>
      <c r="J206" s="116" t="n"/>
      <c r="K206" s="116" t="n"/>
      <c r="L206" s="116" t="n"/>
      <c r="M206" s="116" t="n"/>
      <c r="N206" s="116" t="n"/>
      <c r="O206" s="116" t="n"/>
    </row>
    <row r="207" ht="14.25" customHeight="1" s="64">
      <c r="A207" s="120" t="inlineStr">
        <is>
          <t>Maio/2026</t>
        </is>
      </c>
      <c r="B207" s="120" t="inlineStr">
        <is>
          <t>DTEL</t>
        </is>
      </c>
      <c r="C207" s="120" t="inlineStr">
        <is>
          <t>Fardamento</t>
        </is>
      </c>
      <c r="D207" s="120" t="inlineStr">
        <is>
          <t>Novo Fardamento</t>
        </is>
      </c>
      <c r="E207" s="120" t="inlineStr">
        <is>
          <t>TARCIZIO MEIRELES</t>
        </is>
      </c>
      <c r="F207" s="120" t="n">
        <v>1</v>
      </c>
      <c r="G207" s="121" t="n">
        <v>33.13</v>
      </c>
      <c r="H207" s="121" t="n">
        <v>33.13</v>
      </c>
      <c r="I207" s="120" t="inlineStr">
        <is>
          <t>Estimado (fatia proporcional ao nº de colaboradores da equipe, sem taxa fixa por pessoa), fatia de 18 colaboradores da equipe</t>
        </is>
      </c>
      <c r="J207" s="116" t="n"/>
      <c r="K207" s="116" t="n"/>
      <c r="L207" s="116" t="n"/>
      <c r="M207" s="116" t="n"/>
      <c r="N207" s="116" t="n"/>
      <c r="O207" s="116" t="n"/>
    </row>
    <row r="208" ht="15" customHeight="1" s="64">
      <c r="A208" s="120" t="inlineStr">
        <is>
          <t>Maio/2026</t>
        </is>
      </c>
      <c r="B208" s="120" t="inlineStr">
        <is>
          <t>DTEL</t>
        </is>
      </c>
      <c r="C208" s="120" t="inlineStr">
        <is>
          <t>Fardamento</t>
        </is>
      </c>
      <c r="D208" s="120" t="inlineStr">
        <is>
          <t>Devolução de fardamento</t>
        </is>
      </c>
      <c r="E208" s="120" t="inlineStr">
        <is>
          <t>TARCIZIO MEIRELES</t>
        </is>
      </c>
      <c r="F208" s="120" t="n">
        <v>1</v>
      </c>
      <c r="G208" s="121" t="n">
        <v>-48.72</v>
      </c>
      <c r="H208" s="121" t="n">
        <v>-48.72</v>
      </c>
      <c r="I208" s="120" t="inlineStr">
        <is>
          <t>Estimado (fatia proporcional ao nº de colaboradores da equipe, sem taxa fixa por pessoa), fatia de 18 colaboradores da equipe</t>
        </is>
      </c>
      <c r="J208" s="116" t="n"/>
      <c r="K208" s="116" t="n"/>
      <c r="L208" s="116" t="n"/>
      <c r="M208" s="116" t="n"/>
      <c r="N208" s="116" t="n"/>
      <c r="O208" s="116" t="n"/>
    </row>
    <row r="209" ht="14.25" customHeight="1" s="64">
      <c r="A209" s="120" t="inlineStr">
        <is>
          <t>Maio/2026</t>
        </is>
      </c>
      <c r="B209" s="120" t="inlineStr">
        <is>
          <t>DTEL</t>
        </is>
      </c>
      <c r="C209" s="120" t="inlineStr">
        <is>
          <t>Fardamento</t>
        </is>
      </c>
      <c r="D209" s="120" t="inlineStr">
        <is>
          <t>Substituição extra de Fardamento</t>
        </is>
      </c>
      <c r="E209" s="120" t="inlineStr">
        <is>
          <t>TARCIZIO MEIRELES</t>
        </is>
      </c>
      <c r="F209" s="120" t="n">
        <v>1</v>
      </c>
      <c r="G209" s="121" t="n">
        <v>51.62</v>
      </c>
      <c r="H209" s="121" t="n">
        <v>51.62</v>
      </c>
      <c r="I209" s="120" t="inlineStr">
        <is>
          <t>Estimado (fatia proporcional ao nº de colaboradores da equipe, sem taxa fixa por pessoa), fatia de 18 colaboradores da equipe</t>
        </is>
      </c>
      <c r="J209" s="116" t="n"/>
      <c r="K209" s="116" t="n"/>
      <c r="L209" s="116" t="n"/>
      <c r="M209" s="116" t="n"/>
      <c r="N209" s="116" t="n"/>
      <c r="O209" s="116" t="n"/>
    </row>
    <row r="210" ht="14.25" customHeight="1" s="64">
      <c r="A210" s="120" t="inlineStr">
        <is>
          <t>Maio/2026</t>
        </is>
      </c>
      <c r="B210" s="120" t="inlineStr">
        <is>
          <t>DTEL</t>
        </is>
      </c>
      <c r="C210" s="120" t="inlineStr">
        <is>
          <t>Estrutura/Infra</t>
        </is>
      </c>
      <c r="D210" s="120" t="inlineStr">
        <is>
          <t>Linhas moveis (FIQUE MÓVEL)</t>
        </is>
      </c>
      <c r="E210" s="120" t="inlineStr">
        <is>
          <t>TARCIZIO MEIRELES</t>
        </is>
      </c>
      <c r="F210" s="120" t="n">
        <v>18</v>
      </c>
      <c r="G210" s="121" t="n">
        <v>30</v>
      </c>
      <c r="H210" s="121">
        <f>F210*G210</f>
        <v/>
      </c>
      <c r="I210" s="120" t="inlineStr">
        <is>
          <t>Real (taxa fixa por colaborador, confirmada em todas as empresas)</t>
        </is>
      </c>
      <c r="J210" s="116" t="n"/>
      <c r="K210" s="116" t="n"/>
      <c r="L210" s="116" t="n"/>
      <c r="M210" s="116" t="n"/>
      <c r="N210" s="116" t="n"/>
      <c r="O210" s="116" t="n"/>
    </row>
    <row r="211" ht="14.25" customHeight="1" s="64">
      <c r="A211" s="120" t="inlineStr">
        <is>
          <t>Maio/2026</t>
        </is>
      </c>
      <c r="B211" s="120" t="inlineStr">
        <is>
          <t>DTEL</t>
        </is>
      </c>
      <c r="C211" s="120" t="inlineStr">
        <is>
          <t>TI</t>
        </is>
      </c>
      <c r="D211" s="120" t="inlineStr">
        <is>
          <t>E-mail do departamento (11 emails)</t>
        </is>
      </c>
      <c r="E211" s="120" t="inlineStr">
        <is>
          <t>TARCIZIO MEIRELES</t>
        </is>
      </c>
      <c r="F211" s="120" t="n">
        <v>3</v>
      </c>
      <c r="G211" s="121" t="n">
        <v>50</v>
      </c>
      <c r="H211" s="121">
        <f>F211*G211</f>
        <v/>
      </c>
      <c r="I211" s="120" t="inlineStr">
        <is>
          <t>Real (taxa fixa de R$50,00 por conta, só executivo/supervisor/coordenador)</t>
        </is>
      </c>
      <c r="J211" s="116" t="n"/>
      <c r="K211" s="116" t="n"/>
      <c r="L211" s="116" t="n"/>
      <c r="M211" s="116" t="n"/>
      <c r="N211" s="116" t="n"/>
      <c r="O211" s="116" t="n"/>
    </row>
    <row r="212" ht="14.25" customHeight="1" s="64">
      <c r="A212" s="120" t="inlineStr">
        <is>
          <t>Maio/2026</t>
        </is>
      </c>
      <c r="B212" s="120" t="inlineStr">
        <is>
          <t>DTEL</t>
        </is>
      </c>
      <c r="C212" s="120" t="inlineStr">
        <is>
          <t>Frota/Combustível</t>
        </is>
      </c>
      <c r="D212" s="120" t="inlineStr">
        <is>
          <t>Consumo de combustível</t>
        </is>
      </c>
      <c r="E212" s="120" t="inlineStr">
        <is>
          <t>TARCIZIO MEIRELES</t>
        </is>
      </c>
      <c r="F212" s="120" t="n">
        <v>1</v>
      </c>
      <c r="G212" s="121" t="n">
        <v>1216.24</v>
      </c>
      <c r="H212" s="121">
        <f>F212*G212</f>
        <v/>
      </c>
      <c r="I212" s="120" t="inlineStr">
        <is>
          <t>Real (cruzado por nome, planilha de combustível) | Ajustado 24/08/2026: subtraído o combustível de Jose Zenildo da Silva (R$ 4519.10), que passou a ter linha própria de van/kombi, para não contar 2x.</t>
        </is>
      </c>
      <c r="J212" s="116" t="n"/>
      <c r="K212" s="116" t="n"/>
      <c r="L212" s="116" t="n"/>
      <c r="M212" s="116" t="n"/>
      <c r="N212" s="116" t="n"/>
      <c r="O212" s="116" t="n"/>
    </row>
    <row r="213" ht="14.25" customHeight="1" s="64">
      <c r="A213" s="120" t="inlineStr">
        <is>
          <t>Maio/2026</t>
        </is>
      </c>
      <c r="B213" s="120" t="inlineStr">
        <is>
          <t>Solon Araújo</t>
        </is>
      </c>
      <c r="C213" s="120" t="inlineStr">
        <is>
          <t>Pessoal</t>
        </is>
      </c>
      <c r="D213" s="120" t="inlineStr">
        <is>
          <t>Folha Trabalhista com impostos do mês</t>
        </is>
      </c>
      <c r="E213" s="120" t="inlineStr">
        <is>
          <t>TARCIZIO MEIRELES</t>
        </is>
      </c>
      <c r="F213" s="120" t="n">
        <v>1</v>
      </c>
      <c r="G213" s="121" t="n">
        <v>1622.63</v>
      </c>
      <c r="H213" s="121">
        <f>F213*G213</f>
        <v/>
      </c>
      <c r="I213" s="120" t="inlineStr">
        <is>
          <t>Real (cruzado por nome, 1/2 encontrados)</t>
        </is>
      </c>
      <c r="J213" s="116" t="n"/>
      <c r="K213" s="116" t="n"/>
      <c r="L213" s="116" t="n"/>
      <c r="M213" s="116" t="n"/>
      <c r="N213" s="116" t="n"/>
      <c r="O213" s="116" t="n"/>
    </row>
    <row r="214" ht="14.25" customHeight="1" s="64">
      <c r="A214" s="120" t="inlineStr">
        <is>
          <t>Maio/2026</t>
        </is>
      </c>
      <c r="B214" s="120" t="inlineStr">
        <is>
          <t>Solon Araújo</t>
        </is>
      </c>
      <c r="C214" s="120" t="inlineStr">
        <is>
          <t>Pessoal</t>
        </is>
      </c>
      <c r="D214" s="120" t="inlineStr">
        <is>
          <t>Rescisões</t>
        </is>
      </c>
      <c r="E214" s="120" t="inlineStr">
        <is>
          <t>TARCIZIO MEIRELES</t>
        </is>
      </c>
      <c r="F214" s="120" t="n">
        <v>1</v>
      </c>
      <c r="G214" s="121" t="n">
        <v>2958.25</v>
      </c>
      <c r="H214" s="121">
        <f>F214*G214</f>
        <v/>
      </c>
      <c r="I214" s="120" t="inlineStr">
        <is>
          <t>Real (cruzado por nome, tabela de rescisões — lançado em Maio/2026, mesma defasagem de um mês usada nos outros custos do comercial)</t>
        </is>
      </c>
      <c r="J214" s="116" t="n"/>
      <c r="K214" s="116" t="n"/>
      <c r="L214" s="116" t="n"/>
      <c r="M214" s="116" t="n"/>
      <c r="N214" s="116" t="n"/>
      <c r="O214" s="116" t="n"/>
    </row>
    <row r="215" ht="14.25" customHeight="1" s="64">
      <c r="A215" s="120" t="inlineStr">
        <is>
          <t>Maio/2026</t>
        </is>
      </c>
      <c r="B215" s="120" t="inlineStr">
        <is>
          <t>Solon Araújo</t>
        </is>
      </c>
      <c r="C215" s="120" t="inlineStr">
        <is>
          <t>Pessoal</t>
        </is>
      </c>
      <c r="D215" s="120" t="inlineStr">
        <is>
          <t>Despesas com RH</t>
        </is>
      </c>
      <c r="E215" s="120" t="inlineStr">
        <is>
          <t>TARCIZIO MEIRELES</t>
        </is>
      </c>
      <c r="F215" s="120" t="n">
        <v>2</v>
      </c>
      <c r="G215" s="121" t="n">
        <v>28.31</v>
      </c>
      <c r="H215" s="121">
        <f>F215*G215</f>
        <v/>
      </c>
      <c r="I215" s="120" t="inlineStr">
        <is>
          <t>Real (taxa fixa por colaborador, confirmada em todas as empresas)</t>
        </is>
      </c>
      <c r="J215" s="116" t="n"/>
      <c r="K215" s="116" t="n"/>
      <c r="L215" s="116" t="n"/>
      <c r="M215" s="116" t="n"/>
      <c r="N215" s="116" t="n"/>
      <c r="O215" s="116" t="n"/>
    </row>
    <row r="216" ht="14.25" customHeight="1" s="64">
      <c r="A216" s="120" t="inlineStr">
        <is>
          <t>Maio/2026</t>
        </is>
      </c>
      <c r="B216" s="120" t="inlineStr">
        <is>
          <t>Solon Araújo</t>
        </is>
      </c>
      <c r="C216" s="120" t="inlineStr">
        <is>
          <t>Pessoal</t>
        </is>
      </c>
      <c r="D216" s="120" t="inlineStr">
        <is>
          <t>Despesas com DP</t>
        </is>
      </c>
      <c r="E216" s="120" t="inlineStr">
        <is>
          <t>TARCIZIO MEIRELES</t>
        </is>
      </c>
      <c r="F216" s="120" t="n">
        <v>2</v>
      </c>
      <c r="G216" s="121" t="n">
        <v>47.79</v>
      </c>
      <c r="H216" s="121">
        <f>F216*G216</f>
        <v/>
      </c>
      <c r="I216" s="120" t="inlineStr">
        <is>
          <t>Real (taxa fixa por colaborador, confirmada em todas as empresas)</t>
        </is>
      </c>
      <c r="J216" s="116" t="n"/>
      <c r="K216" s="116" t="n"/>
      <c r="L216" s="116" t="n"/>
      <c r="M216" s="116" t="n"/>
      <c r="N216" s="116" t="n"/>
      <c r="O216" s="116" t="n"/>
    </row>
    <row r="217" ht="14.25" customHeight="1" s="64">
      <c r="A217" s="120" t="inlineStr">
        <is>
          <t>Maio/2026</t>
        </is>
      </c>
      <c r="B217" s="120" t="inlineStr">
        <is>
          <t>Solon Araújo</t>
        </is>
      </c>
      <c r="C217" s="120" t="inlineStr">
        <is>
          <t>Segurança do Trabalho</t>
        </is>
      </c>
      <c r="D217" s="120" t="inlineStr">
        <is>
          <t>Despesas com SST</t>
        </is>
      </c>
      <c r="E217" s="120" t="inlineStr">
        <is>
          <t>TARCIZIO MEIRELES</t>
        </is>
      </c>
      <c r="F217" s="120" t="n">
        <v>2</v>
      </c>
      <c r="G217" s="121" t="n">
        <v>64.56999999999999</v>
      </c>
      <c r="H217" s="121">
        <f>F217*G217</f>
        <v/>
      </c>
      <c r="I217" s="120" t="inlineStr">
        <is>
          <t>Real (taxa fixa por colaborador, confirmada em todas as empresas)</t>
        </is>
      </c>
      <c r="J217" s="116" t="n"/>
      <c r="K217" s="116" t="n"/>
      <c r="L217" s="116" t="n"/>
      <c r="M217" s="116" t="n"/>
      <c r="N217" s="116" t="n"/>
      <c r="O217" s="116" t="n"/>
    </row>
    <row r="218" ht="14.25" customHeight="1" s="64">
      <c r="A218" s="120" t="inlineStr">
        <is>
          <t>Maio/2026</t>
        </is>
      </c>
      <c r="B218" s="120" t="inlineStr">
        <is>
          <t>Solon Araújo</t>
        </is>
      </c>
      <c r="C218" s="120" t="inlineStr">
        <is>
          <t>Benefícios</t>
        </is>
      </c>
      <c r="D218" s="120" t="inlineStr">
        <is>
          <t>Gympass</t>
        </is>
      </c>
      <c r="E218" s="120" t="inlineStr">
        <is>
          <t>TARCIZIO MEIRELES</t>
        </is>
      </c>
      <c r="F218" s="120" t="n">
        <v>2</v>
      </c>
      <c r="G218" s="121" t="n">
        <v>10.05</v>
      </c>
      <c r="H218" s="121">
        <f>F218*G218</f>
        <v/>
      </c>
      <c r="I218" s="120" t="inlineStr">
        <is>
          <t>Real (taxa fixa por colaborador, confirmada em todas as empresas)</t>
        </is>
      </c>
      <c r="J218" s="116" t="n"/>
      <c r="K218" s="116" t="n"/>
      <c r="L218" s="116" t="n"/>
      <c r="M218" s="116" t="n"/>
      <c r="N218" s="116" t="n"/>
      <c r="O218" s="116" t="n"/>
    </row>
    <row r="219" ht="14.25" customHeight="1" s="64">
      <c r="A219" s="120" t="inlineStr">
        <is>
          <t>Maio/2026</t>
        </is>
      </c>
      <c r="B219" s="120" t="inlineStr">
        <is>
          <t>Solon Araújo</t>
        </is>
      </c>
      <c r="C219" s="120" t="inlineStr">
        <is>
          <t>Benefícios</t>
        </is>
      </c>
      <c r="D219" s="120" t="inlineStr">
        <is>
          <t>Stargrid</t>
        </is>
      </c>
      <c r="E219" s="120" t="inlineStr">
        <is>
          <t>TARCIZIO MEIRELES</t>
        </is>
      </c>
      <c r="F219" s="120" t="n">
        <v>2</v>
      </c>
      <c r="G219" s="121" t="n">
        <v>2.07</v>
      </c>
      <c r="H219" s="121">
        <f>F219*G219</f>
        <v/>
      </c>
      <c r="I219" s="120" t="inlineStr">
        <is>
          <t>Real (taxa fixa por colaborador, confirmada em todas as empresas)</t>
        </is>
      </c>
      <c r="J219" s="116" t="n"/>
      <c r="K219" s="116" t="n"/>
      <c r="L219" s="116" t="n"/>
      <c r="M219" s="116" t="n"/>
      <c r="N219" s="116" t="n"/>
      <c r="O219" s="116" t="n"/>
    </row>
    <row r="220" ht="14.25" customHeight="1" s="64">
      <c r="A220" s="120" t="inlineStr">
        <is>
          <t>Maio/2026</t>
        </is>
      </c>
      <c r="B220" s="120" t="inlineStr">
        <is>
          <t>Solon Araújo</t>
        </is>
      </c>
      <c r="C220" s="120" t="inlineStr">
        <is>
          <t>Estrutura/Infra</t>
        </is>
      </c>
      <c r="D220" s="120" t="inlineStr">
        <is>
          <t>Linhas moveis (FIQUE MÓVEL)</t>
        </is>
      </c>
      <c r="E220" s="120" t="inlineStr">
        <is>
          <t>TARCIZIO MEIRELES</t>
        </is>
      </c>
      <c r="F220" s="120" t="n">
        <v>2</v>
      </c>
      <c r="G220" s="121" t="n">
        <v>30</v>
      </c>
      <c r="H220" s="121">
        <f>F220*G220</f>
        <v/>
      </c>
      <c r="I220" s="120" t="inlineStr">
        <is>
          <t>Real (taxa fixa por colaborador, confirmada em todas as empresas)</t>
        </is>
      </c>
      <c r="J220" s="116" t="n"/>
      <c r="K220" s="116" t="n"/>
      <c r="L220" s="116" t="n"/>
      <c r="M220" s="116" t="n"/>
      <c r="N220" s="116" t="n"/>
      <c r="O220" s="116" t="n"/>
    </row>
    <row r="221" ht="14.25" customHeight="1" s="64">
      <c r="A221" s="120" t="inlineStr">
        <is>
          <t>Maio/2026</t>
        </is>
      </c>
      <c r="B221" s="120" t="inlineStr">
        <is>
          <t>Solon Araújo</t>
        </is>
      </c>
      <c r="C221" s="120" t="inlineStr">
        <is>
          <t>Frota/Combustível</t>
        </is>
      </c>
      <c r="D221" s="120" t="inlineStr">
        <is>
          <t>Consumo de combustível</t>
        </is>
      </c>
      <c r="E221" s="120" t="inlineStr">
        <is>
          <t>TARCIZIO MEIRELES</t>
        </is>
      </c>
      <c r="F221" s="120" t="n">
        <v>1</v>
      </c>
      <c r="G221" s="121" t="n">
        <v>687.15</v>
      </c>
      <c r="H221" s="121">
        <f>F221*G221</f>
        <v/>
      </c>
      <c r="I221" s="120" t="inlineStr">
        <is>
          <t>Real (cruzado por nome, planilha de combustível)</t>
        </is>
      </c>
      <c r="J221" s="116" t="n"/>
      <c r="K221" s="116" t="n"/>
      <c r="L221" s="116" t="n"/>
      <c r="M221" s="116" t="n"/>
      <c r="N221" s="116" t="n"/>
      <c r="O221" s="116" t="n"/>
    </row>
    <row r="222" ht="14.25" customHeight="1" s="64">
      <c r="A222" s="120" t="inlineStr">
        <is>
          <t>Maio/2026</t>
        </is>
      </c>
      <c r="B222" s="120" t="inlineStr">
        <is>
          <t>Souza e Silva</t>
        </is>
      </c>
      <c r="C222" s="120" t="inlineStr">
        <is>
          <t>Pessoal</t>
        </is>
      </c>
      <c r="D222" s="120" t="inlineStr">
        <is>
          <t>Folha Trabalhista com impostos do mês</t>
        </is>
      </c>
      <c r="E222" s="120" t="inlineStr">
        <is>
          <t>TARCIZIO MEIRELES</t>
        </is>
      </c>
      <c r="F222" s="120" t="n">
        <v>1</v>
      </c>
      <c r="G222" s="121" t="n">
        <v>12198.75</v>
      </c>
      <c r="H222" s="121">
        <f>F222*G222</f>
        <v/>
      </c>
      <c r="I222" s="120" t="inlineStr">
        <is>
          <t>Real (cruzado por nome, 5/5 encontrados)</t>
        </is>
      </c>
      <c r="J222" s="116" t="n"/>
      <c r="K222" s="116" t="n"/>
      <c r="L222" s="116" t="n"/>
      <c r="M222" s="116" t="n"/>
      <c r="N222" s="116" t="n"/>
      <c r="O222" s="116" t="n"/>
    </row>
    <row r="223" ht="14.25" customHeight="1" s="64">
      <c r="A223" s="120" t="inlineStr">
        <is>
          <t>Maio/2026</t>
        </is>
      </c>
      <c r="B223" s="120" t="inlineStr">
        <is>
          <t>Souza e Silva</t>
        </is>
      </c>
      <c r="C223" s="120" t="inlineStr">
        <is>
          <t>Pessoal</t>
        </is>
      </c>
      <c r="D223" s="120" t="inlineStr">
        <is>
          <t>Despesas com RH</t>
        </is>
      </c>
      <c r="E223" s="120" t="inlineStr">
        <is>
          <t>TARCIZIO MEIRELES</t>
        </is>
      </c>
      <c r="F223" s="120" t="n">
        <v>5</v>
      </c>
      <c r="G223" s="121" t="n">
        <v>28.31</v>
      </c>
      <c r="H223" s="121">
        <f>F223*G223</f>
        <v/>
      </c>
      <c r="I223" s="120" t="inlineStr">
        <is>
          <t>Real (taxa fixa por colaborador, confirmada em todas as empresas)</t>
        </is>
      </c>
      <c r="J223" s="116" t="n"/>
      <c r="K223" s="116" t="n"/>
      <c r="L223" s="116" t="n"/>
      <c r="M223" s="116" t="n"/>
      <c r="N223" s="116" t="n"/>
      <c r="O223" s="116" t="n"/>
    </row>
    <row r="224" ht="14.25" customHeight="1" s="64">
      <c r="A224" s="120" t="inlineStr">
        <is>
          <t>Maio/2026</t>
        </is>
      </c>
      <c r="B224" s="120" t="inlineStr">
        <is>
          <t>Souza e Silva</t>
        </is>
      </c>
      <c r="C224" s="120" t="inlineStr">
        <is>
          <t>Pessoal</t>
        </is>
      </c>
      <c r="D224" s="120" t="inlineStr">
        <is>
          <t>Despesas com DP</t>
        </is>
      </c>
      <c r="E224" s="120" t="inlineStr">
        <is>
          <t>TARCIZIO MEIRELES</t>
        </is>
      </c>
      <c r="F224" s="120" t="n">
        <v>5</v>
      </c>
      <c r="G224" s="121" t="n">
        <v>47.79</v>
      </c>
      <c r="H224" s="121">
        <f>F224*G224</f>
        <v/>
      </c>
      <c r="I224" s="120" t="inlineStr">
        <is>
          <t>Real (taxa fixa por colaborador, confirmada em todas as empresas)</t>
        </is>
      </c>
      <c r="J224" s="116" t="n"/>
      <c r="K224" s="116" t="n"/>
      <c r="L224" s="116" t="n"/>
      <c r="M224" s="116" t="n"/>
      <c r="N224" s="116" t="n"/>
      <c r="O224" s="116" t="n"/>
    </row>
    <row r="225" ht="14.25" customHeight="1" s="64">
      <c r="A225" s="120" t="inlineStr">
        <is>
          <t>Maio/2026</t>
        </is>
      </c>
      <c r="B225" s="120" t="inlineStr">
        <is>
          <t>Souza e Silva</t>
        </is>
      </c>
      <c r="C225" s="120" t="inlineStr">
        <is>
          <t>Segurança do Trabalho</t>
        </is>
      </c>
      <c r="D225" s="120" t="inlineStr">
        <is>
          <t>Despesas com SST</t>
        </is>
      </c>
      <c r="E225" s="120" t="inlineStr">
        <is>
          <t>TARCIZIO MEIRELES</t>
        </is>
      </c>
      <c r="F225" s="120" t="n">
        <v>5</v>
      </c>
      <c r="G225" s="121" t="n">
        <v>64.56999999999999</v>
      </c>
      <c r="H225" s="121">
        <f>F225*G225</f>
        <v/>
      </c>
      <c r="I225" s="120" t="inlineStr">
        <is>
          <t>Real (taxa fixa por colaborador, confirmada em todas as empresas)</t>
        </is>
      </c>
      <c r="J225" s="116" t="n"/>
      <c r="K225" s="116" t="n"/>
      <c r="L225" s="116" t="n"/>
      <c r="M225" s="116" t="n"/>
      <c r="N225" s="116" t="n"/>
      <c r="O225" s="116" t="n"/>
    </row>
    <row r="226" ht="14.25" customHeight="1" s="64">
      <c r="A226" s="120" t="inlineStr">
        <is>
          <t>Maio/2026</t>
        </is>
      </c>
      <c r="B226" s="120" t="inlineStr">
        <is>
          <t>Souza e Silva</t>
        </is>
      </c>
      <c r="C226" s="120" t="inlineStr">
        <is>
          <t>Benefícios</t>
        </is>
      </c>
      <c r="D226" s="120" t="inlineStr">
        <is>
          <t>Gympass</t>
        </is>
      </c>
      <c r="E226" s="120" t="inlineStr">
        <is>
          <t>TARCIZIO MEIRELES</t>
        </is>
      </c>
      <c r="F226" s="120" t="n">
        <v>5</v>
      </c>
      <c r="G226" s="121" t="n">
        <v>10.05</v>
      </c>
      <c r="H226" s="121">
        <f>F226*G226</f>
        <v/>
      </c>
      <c r="I226" s="120" t="inlineStr">
        <is>
          <t>Real (taxa fixa por colaborador, confirmada em todas as empresas)</t>
        </is>
      </c>
      <c r="J226" s="116" t="n"/>
      <c r="K226" s="116" t="n"/>
      <c r="L226" s="116" t="n"/>
      <c r="M226" s="116" t="n"/>
      <c r="N226" s="116" t="n"/>
      <c r="O226" s="116" t="n"/>
    </row>
    <row r="227" ht="14.25" customHeight="1" s="64">
      <c r="A227" s="120" t="inlineStr">
        <is>
          <t>Maio/2026</t>
        </is>
      </c>
      <c r="B227" s="120" t="inlineStr">
        <is>
          <t>Souza e Silva</t>
        </is>
      </c>
      <c r="C227" s="120" t="inlineStr">
        <is>
          <t>Benefícios</t>
        </is>
      </c>
      <c r="D227" s="120" t="inlineStr">
        <is>
          <t>Stargrid</t>
        </is>
      </c>
      <c r="E227" s="120" t="inlineStr">
        <is>
          <t>TARCIZIO MEIRELES</t>
        </is>
      </c>
      <c r="F227" s="120" t="n">
        <v>5</v>
      </c>
      <c r="G227" s="121" t="n">
        <v>2.07</v>
      </c>
      <c r="H227" s="121">
        <f>F227*G227</f>
        <v/>
      </c>
      <c r="I227" s="120" t="inlineStr">
        <is>
          <t>Real (taxa fixa por colaborador, confirmada em todas as empresas)</t>
        </is>
      </c>
      <c r="J227" s="116" t="n"/>
      <c r="K227" s="116" t="n"/>
      <c r="L227" s="116" t="n"/>
      <c r="M227" s="116" t="n"/>
      <c r="N227" s="116" t="n"/>
      <c r="O227" s="116" t="n"/>
    </row>
    <row r="228" ht="14.25" customHeight="1" s="64">
      <c r="A228" s="120" t="inlineStr">
        <is>
          <t>Maio/2026</t>
        </is>
      </c>
      <c r="B228" s="120" t="inlineStr">
        <is>
          <t>Souza e Silva</t>
        </is>
      </c>
      <c r="C228" s="120" t="inlineStr">
        <is>
          <t>Estrutura/Infra</t>
        </is>
      </c>
      <c r="D228" s="120" t="inlineStr">
        <is>
          <t>Linhas moveis (FIQUE MÓVEL)</t>
        </is>
      </c>
      <c r="E228" s="120" t="inlineStr">
        <is>
          <t>TARCIZIO MEIRELES</t>
        </is>
      </c>
      <c r="F228" s="120" t="n">
        <v>5</v>
      </c>
      <c r="G228" s="121" t="n">
        <v>30</v>
      </c>
      <c r="H228" s="121">
        <f>F228*G228</f>
        <v/>
      </c>
      <c r="I228" s="120" t="inlineStr">
        <is>
          <t>Real (taxa fixa por colaborador, confirmada em todas as empresas)</t>
        </is>
      </c>
      <c r="J228" s="116" t="n"/>
      <c r="K228" s="116" t="n"/>
      <c r="L228" s="116" t="n"/>
      <c r="M228" s="116" t="n"/>
      <c r="N228" s="116" t="n"/>
      <c r="O228" s="116" t="n"/>
    </row>
    <row r="229" ht="14.25" customHeight="1" s="64">
      <c r="A229" s="120" t="inlineStr">
        <is>
          <t>Maio/2026</t>
        </is>
      </c>
      <c r="B229" s="120" t="inlineStr">
        <is>
          <t>Souza e Silva</t>
        </is>
      </c>
      <c r="C229" s="120" t="inlineStr">
        <is>
          <t>Frota/Combustível</t>
        </is>
      </c>
      <c r="D229" s="120" t="inlineStr">
        <is>
          <t>Consumo de combustível</t>
        </is>
      </c>
      <c r="E229" s="120" t="inlineStr">
        <is>
          <t>TARCIZIO MEIRELES</t>
        </is>
      </c>
      <c r="F229" s="120" t="n">
        <v>1</v>
      </c>
      <c r="G229" s="121" t="n">
        <v>1016.2</v>
      </c>
      <c r="H229" s="121">
        <f>F229*G229</f>
        <v/>
      </c>
      <c r="I229" s="120" t="inlineStr">
        <is>
          <t>Real (cruzado por nome, planilha de combustível)</t>
        </is>
      </c>
      <c r="J229" s="116" t="n"/>
      <c r="K229" s="116" t="n"/>
      <c r="L229" s="116" t="n"/>
      <c r="M229" s="116" t="n"/>
      <c r="N229" s="116" t="n"/>
      <c r="O229" s="116" t="n"/>
    </row>
    <row r="230" ht="14.25" customHeight="1" s="64">
      <c r="A230" s="120" t="inlineStr">
        <is>
          <t>Maio/2026</t>
        </is>
      </c>
      <c r="B230" s="120" t="inlineStr">
        <is>
          <t>DX2</t>
        </is>
      </c>
      <c r="C230" s="120" t="inlineStr">
        <is>
          <t>Pessoal</t>
        </is>
      </c>
      <c r="D230" s="120" t="inlineStr">
        <is>
          <t>Folha Trabalhista com impostos do mês</t>
        </is>
      </c>
      <c r="E230" s="120" t="inlineStr">
        <is>
          <t>TIAGO</t>
        </is>
      </c>
      <c r="F230" s="120" t="n">
        <v>1</v>
      </c>
      <c r="G230" s="121" t="n">
        <v>15180.54</v>
      </c>
      <c r="H230" s="121">
        <f>F230*G230</f>
        <v/>
      </c>
      <c r="I230" s="120" t="inlineStr">
        <is>
          <t>Real (cruzado por nome, 7/8 encontrados)</t>
        </is>
      </c>
      <c r="J230" s="116" t="n"/>
      <c r="K230" s="116" t="n"/>
      <c r="L230" s="116" t="n"/>
      <c r="M230" s="116" t="n"/>
      <c r="N230" s="116" t="n"/>
      <c r="O230" s="116" t="n"/>
    </row>
    <row r="231" ht="14.25" customHeight="1" s="64">
      <c r="A231" s="120" t="inlineStr">
        <is>
          <t>Maio/2026</t>
        </is>
      </c>
      <c r="B231" s="120" t="inlineStr">
        <is>
          <t>DX2</t>
        </is>
      </c>
      <c r="C231" s="120" t="inlineStr">
        <is>
          <t>Pessoal</t>
        </is>
      </c>
      <c r="D231" s="120" t="inlineStr">
        <is>
          <t>Despesas com RH</t>
        </is>
      </c>
      <c r="E231" s="120" t="inlineStr">
        <is>
          <t>TIAGO</t>
        </is>
      </c>
      <c r="F231" s="120" t="n">
        <v>8</v>
      </c>
      <c r="G231" s="121" t="n">
        <v>28.31</v>
      </c>
      <c r="H231" s="121">
        <f>F231*G231</f>
        <v/>
      </c>
      <c r="I231" s="120" t="inlineStr">
        <is>
          <t>Real (taxa fixa por colaborador, confirmada em todas as empresas)</t>
        </is>
      </c>
      <c r="J231" s="116" t="n"/>
      <c r="K231" s="116" t="n"/>
      <c r="L231" s="116" t="n"/>
      <c r="M231" s="116" t="n"/>
      <c r="N231" s="116" t="n"/>
      <c r="O231" s="116" t="n"/>
    </row>
    <row r="232" ht="14.25" customHeight="1" s="64">
      <c r="A232" s="120" t="inlineStr">
        <is>
          <t>Maio/2026</t>
        </is>
      </c>
      <c r="B232" s="120" t="inlineStr">
        <is>
          <t>DX2</t>
        </is>
      </c>
      <c r="C232" s="120" t="inlineStr">
        <is>
          <t>Pessoal</t>
        </is>
      </c>
      <c r="D232" s="120" t="inlineStr">
        <is>
          <t>Despesas com DP</t>
        </is>
      </c>
      <c r="E232" s="120" t="inlineStr">
        <is>
          <t>TIAGO</t>
        </is>
      </c>
      <c r="F232" s="120" t="n">
        <v>8</v>
      </c>
      <c r="G232" s="121" t="n">
        <v>47.79</v>
      </c>
      <c r="H232" s="121">
        <f>F232*G232</f>
        <v/>
      </c>
      <c r="I232" s="120" t="inlineStr">
        <is>
          <t>Real (taxa fixa por colaborador, confirmada em todas as empresas)</t>
        </is>
      </c>
      <c r="J232" s="116" t="n"/>
      <c r="K232" s="116" t="n"/>
      <c r="L232" s="116" t="n"/>
      <c r="M232" s="116" t="n"/>
      <c r="N232" s="116" t="n"/>
      <c r="O232" s="116" t="n"/>
    </row>
    <row r="233" ht="14.25" customHeight="1" s="64">
      <c r="A233" s="120" t="inlineStr">
        <is>
          <t>Maio/2026</t>
        </is>
      </c>
      <c r="B233" s="120" t="inlineStr">
        <is>
          <t>DX2</t>
        </is>
      </c>
      <c r="C233" s="120" t="inlineStr">
        <is>
          <t>Segurança do Trabalho</t>
        </is>
      </c>
      <c r="D233" s="120" t="inlineStr">
        <is>
          <t>Despesas com SST</t>
        </is>
      </c>
      <c r="E233" s="120" t="inlineStr">
        <is>
          <t>TIAGO</t>
        </is>
      </c>
      <c r="F233" s="120" t="n">
        <v>8</v>
      </c>
      <c r="G233" s="121" t="n">
        <v>64.56999999999999</v>
      </c>
      <c r="H233" s="121">
        <f>F233*G233</f>
        <v/>
      </c>
      <c r="I233" s="120" t="inlineStr">
        <is>
          <t>Real (taxa fixa por colaborador, confirmada em todas as empresas)</t>
        </is>
      </c>
      <c r="J233" s="116" t="n"/>
      <c r="K233" s="116" t="n"/>
      <c r="L233" s="116" t="n"/>
      <c r="M233" s="116" t="n"/>
      <c r="N233" s="116" t="n"/>
      <c r="O233" s="116" t="n"/>
    </row>
    <row r="234" ht="14.25" customHeight="1" s="64">
      <c r="A234" s="120" t="inlineStr">
        <is>
          <t>Maio/2026</t>
        </is>
      </c>
      <c r="B234" s="120" t="inlineStr">
        <is>
          <t>DX2</t>
        </is>
      </c>
      <c r="C234" s="120" t="inlineStr">
        <is>
          <t>Benefícios</t>
        </is>
      </c>
      <c r="D234" s="120" t="inlineStr">
        <is>
          <t>Gympass</t>
        </is>
      </c>
      <c r="E234" s="120" t="inlineStr">
        <is>
          <t>TIAGO</t>
        </is>
      </c>
      <c r="F234" s="120" t="n">
        <v>8</v>
      </c>
      <c r="G234" s="121" t="n">
        <v>10.05</v>
      </c>
      <c r="H234" s="121">
        <f>F234*G234</f>
        <v/>
      </c>
      <c r="I234" s="120" t="inlineStr">
        <is>
          <t>Real (taxa fixa por colaborador, confirmada em todas as empresas)</t>
        </is>
      </c>
      <c r="J234" s="116" t="n"/>
      <c r="K234" s="116" t="n"/>
      <c r="L234" s="116" t="n"/>
      <c r="M234" s="116" t="n"/>
      <c r="N234" s="116" t="n"/>
      <c r="O234" s="116" t="n"/>
    </row>
    <row r="235" ht="14.25" customHeight="1" s="64">
      <c r="A235" s="120" t="inlineStr">
        <is>
          <t>Maio/2026</t>
        </is>
      </c>
      <c r="B235" s="120" t="inlineStr">
        <is>
          <t>DX2</t>
        </is>
      </c>
      <c r="C235" s="120" t="inlineStr">
        <is>
          <t>Benefícios</t>
        </is>
      </c>
      <c r="D235" s="120" t="inlineStr">
        <is>
          <t>Stargrid</t>
        </is>
      </c>
      <c r="E235" s="120" t="inlineStr">
        <is>
          <t>TIAGO</t>
        </is>
      </c>
      <c r="F235" s="120" t="n">
        <v>8</v>
      </c>
      <c r="G235" s="121" t="n">
        <v>2.07</v>
      </c>
      <c r="H235" s="121">
        <f>F235*G235</f>
        <v/>
      </c>
      <c r="I235" s="120" t="inlineStr">
        <is>
          <t>Real (taxa fixa por colaborador, confirmada em todas as empresas)</t>
        </is>
      </c>
      <c r="J235" s="116" t="n"/>
      <c r="K235" s="116" t="n"/>
      <c r="L235" s="116" t="n"/>
      <c r="M235" s="116" t="n"/>
      <c r="N235" s="116" t="n"/>
      <c r="O235" s="116" t="n"/>
    </row>
    <row r="236" ht="14.25" customHeight="1" s="64">
      <c r="A236" s="120" t="inlineStr">
        <is>
          <t>Maio/2026</t>
        </is>
      </c>
      <c r="B236" s="120" t="inlineStr">
        <is>
          <t>DX2</t>
        </is>
      </c>
      <c r="C236" s="120" t="inlineStr">
        <is>
          <t>Fardamento</t>
        </is>
      </c>
      <c r="D236" s="120" t="inlineStr">
        <is>
          <t>Novo Fardamento</t>
        </is>
      </c>
      <c r="E236" s="120" t="inlineStr">
        <is>
          <t>TIAGO</t>
        </is>
      </c>
      <c r="F236" s="120" t="n">
        <v>1</v>
      </c>
      <c r="G236" s="121" t="n">
        <v>699.62</v>
      </c>
      <c r="H236" s="121">
        <f>F236*G236</f>
        <v/>
      </c>
      <c r="I236" s="120" t="inlineStr">
        <is>
          <t>Estimado (fatia proporcional ao nº de colaboradores da equipe, sem taxa fixa por pessoa), fatia de 8 colaboradores da equipe</t>
        </is>
      </c>
      <c r="J236" s="116" t="n"/>
      <c r="K236" s="116" t="n"/>
      <c r="L236" s="116" t="n"/>
      <c r="M236" s="116" t="n"/>
      <c r="N236" s="116" t="n"/>
      <c r="O236" s="116" t="n"/>
    </row>
    <row r="237" ht="14.25" customHeight="1" s="64">
      <c r="A237" s="120" t="inlineStr">
        <is>
          <t>Maio/2026</t>
        </is>
      </c>
      <c r="B237" s="120" t="inlineStr">
        <is>
          <t>DX2</t>
        </is>
      </c>
      <c r="C237" s="120" t="inlineStr">
        <is>
          <t>Fardamento</t>
        </is>
      </c>
      <c r="D237" s="120" t="inlineStr">
        <is>
          <t>Substituição extra de Fardamento</t>
        </is>
      </c>
      <c r="E237" s="120" t="inlineStr">
        <is>
          <t>TIAGO</t>
        </is>
      </c>
      <c r="F237" s="120" t="n">
        <v>1</v>
      </c>
      <c r="G237" s="121" t="n">
        <v>566.12</v>
      </c>
      <c r="H237" s="121">
        <f>F237*G237</f>
        <v/>
      </c>
      <c r="I237" s="120" t="inlineStr">
        <is>
          <t>Estimado (fatia proporcional ao nº de colaboradores da equipe, sem taxa fixa por pessoa), fatia de 8 colaboradores da equipe</t>
        </is>
      </c>
      <c r="J237" s="116" t="n"/>
      <c r="K237" s="116" t="n"/>
      <c r="L237" s="116" t="n"/>
      <c r="M237" s="116" t="n"/>
      <c r="N237" s="116" t="n"/>
      <c r="O237" s="116" t="n"/>
    </row>
    <row r="238" ht="14.25" customHeight="1" s="64">
      <c r="A238" s="120" t="inlineStr">
        <is>
          <t>Maio/2026</t>
        </is>
      </c>
      <c r="B238" s="120" t="inlineStr">
        <is>
          <t>DX2</t>
        </is>
      </c>
      <c r="C238" s="120" t="inlineStr">
        <is>
          <t>Estrutura/Infra</t>
        </is>
      </c>
      <c r="D238" s="120" t="inlineStr">
        <is>
          <t>Linhas moveis (FIQUE MÓVEL)</t>
        </is>
      </c>
      <c r="E238" s="120" t="inlineStr">
        <is>
          <t>TIAGO</t>
        </is>
      </c>
      <c r="F238" s="120" t="n">
        <v>8</v>
      </c>
      <c r="G238" s="121" t="n">
        <v>30</v>
      </c>
      <c r="H238" s="121">
        <f>F238*G238</f>
        <v/>
      </c>
      <c r="I238" s="120" t="inlineStr">
        <is>
          <t>Real (taxa fixa por colaborador, confirmada em todas as empresas)</t>
        </is>
      </c>
      <c r="J238" s="116" t="n"/>
      <c r="K238" s="116" t="n"/>
      <c r="L238" s="116" t="n"/>
      <c r="M238" s="116" t="n"/>
      <c r="N238" s="116" t="n"/>
      <c r="O238" s="116" t="n"/>
    </row>
    <row r="239" ht="14.25" customHeight="1" s="64">
      <c r="A239" s="120" t="inlineStr">
        <is>
          <t>Maio/2026</t>
        </is>
      </c>
      <c r="B239" s="120" t="inlineStr">
        <is>
          <t>Soares e Silva</t>
        </is>
      </c>
      <c r="C239" s="120" t="inlineStr">
        <is>
          <t>Pessoal</t>
        </is>
      </c>
      <c r="D239" s="120" t="inlineStr">
        <is>
          <t>Folha Trabalhista com impostos do mês</t>
        </is>
      </c>
      <c r="E239" s="120" t="inlineStr">
        <is>
          <t>TIAGO</t>
        </is>
      </c>
      <c r="F239" s="120" t="n">
        <v>1</v>
      </c>
      <c r="G239" s="121" t="n">
        <v>13708.49</v>
      </c>
      <c r="H239" s="121">
        <f>F239*G239</f>
        <v/>
      </c>
      <c r="I239" s="120" t="inlineStr">
        <is>
          <t>Real (cruzado por nome, 5/11 encontrados)</t>
        </is>
      </c>
      <c r="J239" s="116" t="n"/>
      <c r="K239" s="116" t="n"/>
      <c r="L239" s="116" t="n"/>
      <c r="M239" s="116" t="n"/>
      <c r="N239" s="116" t="n"/>
      <c r="O239" s="116" t="n"/>
    </row>
    <row r="240" ht="14.25" customHeight="1" s="64">
      <c r="A240" s="120" t="inlineStr">
        <is>
          <t>Maio/2026</t>
        </is>
      </c>
      <c r="B240" s="120" t="inlineStr">
        <is>
          <t>Soares e Silva</t>
        </is>
      </c>
      <c r="C240" s="120" t="inlineStr">
        <is>
          <t>Pessoal</t>
        </is>
      </c>
      <c r="D240" s="120" t="inlineStr">
        <is>
          <t>Rescisões</t>
        </is>
      </c>
      <c r="E240" s="120" t="inlineStr">
        <is>
          <t>TIAGO</t>
        </is>
      </c>
      <c r="F240" s="120" t="n">
        <v>1</v>
      </c>
      <c r="G240" s="121" t="n">
        <v>1234.31</v>
      </c>
      <c r="H240" s="121">
        <f>F240*G240</f>
        <v/>
      </c>
      <c r="I240" s="120" t="inlineStr">
        <is>
          <t>Real (cruzado por nome, tabela de rescisões — lançado em Maio/2026, mesma defasagem de um mês usada nos outros custos do comercial)</t>
        </is>
      </c>
      <c r="J240" s="116" t="n"/>
      <c r="K240" s="116" t="n"/>
      <c r="L240" s="116" t="n"/>
      <c r="M240" s="116" t="n"/>
      <c r="N240" s="116" t="n"/>
      <c r="O240" s="116" t="n"/>
    </row>
    <row r="241" ht="14.25" customHeight="1" s="64">
      <c r="A241" s="120" t="inlineStr">
        <is>
          <t>Maio/2026</t>
        </is>
      </c>
      <c r="B241" s="120" t="inlineStr">
        <is>
          <t>Soares e Silva</t>
        </is>
      </c>
      <c r="C241" s="120" t="inlineStr">
        <is>
          <t>Pessoal</t>
        </is>
      </c>
      <c r="D241" s="120" t="inlineStr">
        <is>
          <t>Vale Transporte</t>
        </is>
      </c>
      <c r="E241" s="120" t="inlineStr">
        <is>
          <t>TIAGO</t>
        </is>
      </c>
      <c r="F241" s="120" t="n">
        <v>1</v>
      </c>
      <c r="G241" s="121" t="n">
        <v>2775</v>
      </c>
      <c r="H241" s="121">
        <f>F241*G241</f>
        <v/>
      </c>
      <c r="I241" s="120" t="inlineStr">
        <is>
          <t>Estimado (fatia proporcional ao nº de colaboradores da equipe, sem taxa fixa por pessoa), fatia de 11 colaboradores da equipe</t>
        </is>
      </c>
      <c r="J241" s="116" t="n"/>
      <c r="K241" s="116" t="n"/>
      <c r="L241" s="116" t="n"/>
      <c r="M241" s="116" t="n"/>
      <c r="N241" s="116" t="n"/>
      <c r="O241" s="116" t="n"/>
    </row>
    <row r="242" ht="14.25" customHeight="1" s="64">
      <c r="A242" s="120" t="inlineStr">
        <is>
          <t>Maio/2026</t>
        </is>
      </c>
      <c r="B242" s="120" t="inlineStr">
        <is>
          <t>Soares e Silva</t>
        </is>
      </c>
      <c r="C242" s="120" t="inlineStr">
        <is>
          <t>Pessoal</t>
        </is>
      </c>
      <c r="D242" s="120" t="inlineStr">
        <is>
          <t>Despesas com RH</t>
        </is>
      </c>
      <c r="E242" s="120" t="inlineStr">
        <is>
          <t>TIAGO</t>
        </is>
      </c>
      <c r="F242" s="120" t="n">
        <v>11</v>
      </c>
      <c r="G242" s="121" t="n">
        <v>28.31</v>
      </c>
      <c r="H242" s="121">
        <f>F242*G242</f>
        <v/>
      </c>
      <c r="I242" s="120" t="inlineStr">
        <is>
          <t>Real (taxa fixa por colaborador, confirmada em todas as empresas)</t>
        </is>
      </c>
      <c r="J242" s="116" t="n"/>
      <c r="K242" s="116" t="n"/>
      <c r="L242" s="116" t="n"/>
      <c r="M242" s="116" t="n"/>
      <c r="N242" s="116" t="n"/>
      <c r="O242" s="116" t="n"/>
    </row>
    <row r="243" ht="14.25" customHeight="1" s="64">
      <c r="A243" s="120" t="inlineStr">
        <is>
          <t>Maio/2026</t>
        </is>
      </c>
      <c r="B243" s="120" t="inlineStr">
        <is>
          <t>Soares e Silva</t>
        </is>
      </c>
      <c r="C243" s="120" t="inlineStr">
        <is>
          <t>Pessoal</t>
        </is>
      </c>
      <c r="D243" s="120" t="inlineStr">
        <is>
          <t>Despesas com DP</t>
        </is>
      </c>
      <c r="E243" s="120" t="inlineStr">
        <is>
          <t>TIAGO</t>
        </is>
      </c>
      <c r="F243" s="120" t="n">
        <v>11</v>
      </c>
      <c r="G243" s="121" t="n">
        <v>47.79</v>
      </c>
      <c r="H243" s="121">
        <f>F243*G243</f>
        <v/>
      </c>
      <c r="I243" s="120" t="inlineStr">
        <is>
          <t>Real (taxa fixa por colaborador, confirmada em todas as empresas)</t>
        </is>
      </c>
      <c r="J243" s="116" t="n"/>
      <c r="K243" s="116" t="n"/>
      <c r="L243" s="116" t="n"/>
      <c r="M243" s="116" t="n"/>
      <c r="N243" s="116" t="n"/>
      <c r="O243" s="116" t="n"/>
    </row>
    <row r="244" ht="14.25" customHeight="1" s="64">
      <c r="A244" s="120" t="inlineStr">
        <is>
          <t>Maio/2026</t>
        </is>
      </c>
      <c r="B244" s="120" t="inlineStr">
        <is>
          <t>Soares e Silva</t>
        </is>
      </c>
      <c r="C244" s="120" t="inlineStr">
        <is>
          <t>Segurança do Trabalho</t>
        </is>
      </c>
      <c r="D244" s="120" t="inlineStr">
        <is>
          <t>Despesas com SST</t>
        </is>
      </c>
      <c r="E244" s="120" t="inlineStr">
        <is>
          <t>TIAGO</t>
        </is>
      </c>
      <c r="F244" s="120" t="n">
        <v>11</v>
      </c>
      <c r="G244" s="121" t="n">
        <v>64.56999999999999</v>
      </c>
      <c r="H244" s="121">
        <f>F244*G244</f>
        <v/>
      </c>
      <c r="I244" s="120" t="inlineStr">
        <is>
          <t>Real (taxa fixa por colaborador, confirmada em todas as empresas)</t>
        </is>
      </c>
      <c r="J244" s="116" t="n"/>
      <c r="K244" s="116" t="n"/>
      <c r="L244" s="116" t="n"/>
      <c r="M244" s="116" t="n"/>
      <c r="N244" s="116" t="n"/>
      <c r="O244" s="116" t="n"/>
    </row>
    <row r="245" ht="14.25" customHeight="1" s="64">
      <c r="A245" s="120" t="inlineStr">
        <is>
          <t>Maio/2026</t>
        </is>
      </c>
      <c r="B245" s="120" t="inlineStr">
        <is>
          <t>Soares e Silva</t>
        </is>
      </c>
      <c r="C245" s="120" t="inlineStr">
        <is>
          <t>Benefícios</t>
        </is>
      </c>
      <c r="D245" s="120" t="inlineStr">
        <is>
          <t>Gympass</t>
        </is>
      </c>
      <c r="E245" s="120" t="inlineStr">
        <is>
          <t>TIAGO</t>
        </is>
      </c>
      <c r="F245" s="120" t="n">
        <v>11</v>
      </c>
      <c r="G245" s="121" t="n">
        <v>10.05</v>
      </c>
      <c r="H245" s="121">
        <f>F245*G245</f>
        <v/>
      </c>
      <c r="I245" s="120" t="inlineStr">
        <is>
          <t>Real (taxa fixa por colaborador, confirmada em todas as empresas)</t>
        </is>
      </c>
      <c r="J245" s="116" t="n"/>
      <c r="K245" s="116" t="n"/>
      <c r="L245" s="116" t="n"/>
      <c r="M245" s="116" t="n"/>
      <c r="N245" s="116" t="n"/>
      <c r="O245" s="116" t="n"/>
    </row>
    <row r="246" ht="14.25" customHeight="1" s="64">
      <c r="A246" s="120" t="inlineStr">
        <is>
          <t>Maio/2026</t>
        </is>
      </c>
      <c r="B246" s="120" t="inlineStr">
        <is>
          <t>Soares e Silva</t>
        </is>
      </c>
      <c r="C246" s="120" t="inlineStr">
        <is>
          <t>Benefícios</t>
        </is>
      </c>
      <c r="D246" s="120" t="inlineStr">
        <is>
          <t>Stargrid</t>
        </is>
      </c>
      <c r="E246" s="120" t="inlineStr">
        <is>
          <t>TIAGO</t>
        </is>
      </c>
      <c r="F246" s="120" t="n">
        <v>11</v>
      </c>
      <c r="G246" s="121" t="n">
        <v>2.07</v>
      </c>
      <c r="H246" s="121">
        <f>F246*G246</f>
        <v/>
      </c>
      <c r="I246" s="120" t="inlineStr">
        <is>
          <t>Real (taxa fixa por colaborador, confirmada em todas as empresas)</t>
        </is>
      </c>
      <c r="J246" s="116" t="n"/>
      <c r="K246" s="116" t="n"/>
      <c r="L246" s="116" t="n"/>
      <c r="M246" s="116" t="n"/>
      <c r="N246" s="116" t="n"/>
      <c r="O246" s="116" t="n"/>
    </row>
    <row r="247" ht="14.25" customHeight="1" s="64">
      <c r="A247" s="120" t="inlineStr">
        <is>
          <t>Maio/2026</t>
        </is>
      </c>
      <c r="B247" s="120" t="inlineStr">
        <is>
          <t>Soares e Silva</t>
        </is>
      </c>
      <c r="C247" s="120" t="inlineStr">
        <is>
          <t>Fardamento</t>
        </is>
      </c>
      <c r="D247" s="120" t="inlineStr">
        <is>
          <t>Devolução fardamento</t>
        </is>
      </c>
      <c r="E247" s="120" t="inlineStr">
        <is>
          <t>TIAGO</t>
        </is>
      </c>
      <c r="F247" s="120" t="n">
        <v>1</v>
      </c>
      <c r="G247" s="121" t="n">
        <v>-247.34</v>
      </c>
      <c r="H247" s="121">
        <f>F247*G247</f>
        <v/>
      </c>
      <c r="I247" s="120" t="inlineStr">
        <is>
          <t>Estimado (fatia proporcional ao nº de colaboradores da equipe, sem taxa fixa por pessoa), fatia de 11 colaboradores da equipe</t>
        </is>
      </c>
      <c r="J247" s="116" t="n"/>
      <c r="K247" s="116" t="n"/>
      <c r="L247" s="116" t="n"/>
      <c r="M247" s="116" t="n"/>
      <c r="N247" s="116" t="n"/>
      <c r="O247" s="116" t="n"/>
    </row>
    <row r="248" ht="14.25" customHeight="1" s="64">
      <c r="A248" s="120" t="inlineStr">
        <is>
          <t>Maio/2026</t>
        </is>
      </c>
      <c r="B248" s="120" t="inlineStr">
        <is>
          <t>Soares e Silva</t>
        </is>
      </c>
      <c r="C248" s="120" t="inlineStr">
        <is>
          <t>Estrutura/Infra</t>
        </is>
      </c>
      <c r="D248" s="120" t="inlineStr">
        <is>
          <t>Linhas moveis (FIQUE MÓVEL)</t>
        </is>
      </c>
      <c r="E248" s="120" t="inlineStr">
        <is>
          <t>TIAGO</t>
        </is>
      </c>
      <c r="F248" s="120" t="n">
        <v>11</v>
      </c>
      <c r="G248" s="121" t="n">
        <v>30</v>
      </c>
      <c r="H248" s="121">
        <f>F248*G248</f>
        <v/>
      </c>
      <c r="I248" s="120" t="inlineStr">
        <is>
          <t>Real (taxa fixa por colaborador, confirmada em todas as empresas)</t>
        </is>
      </c>
      <c r="J248" s="116" t="n"/>
      <c r="K248" s="116" t="n"/>
      <c r="L248" s="116" t="n"/>
      <c r="M248" s="116" t="n"/>
      <c r="N248" s="116" t="n"/>
      <c r="O248" s="116" t="n"/>
    </row>
    <row r="249" ht="14.25" customHeight="1" s="64">
      <c r="A249" s="120" t="inlineStr">
        <is>
          <t>Maio/2026</t>
        </is>
      </c>
      <c r="B249" s="120" t="inlineStr">
        <is>
          <t>Soares e Silva</t>
        </is>
      </c>
      <c r="C249" s="120" t="inlineStr">
        <is>
          <t>TI</t>
        </is>
      </c>
      <c r="D249" s="120" t="inlineStr">
        <is>
          <t>E-mail do departamento (4 email)</t>
        </is>
      </c>
      <c r="E249" s="120" t="inlineStr">
        <is>
          <t>TIAGO</t>
        </is>
      </c>
      <c r="F249" s="120" t="n">
        <v>2</v>
      </c>
      <c r="G249" s="121" t="n">
        <v>50</v>
      </c>
      <c r="H249" s="121">
        <f>F249*G249</f>
        <v/>
      </c>
      <c r="I249" s="120" t="inlineStr">
        <is>
          <t>Real (taxa fixa de R$50,00 por conta, só executivo/supervisor/coordenador)</t>
        </is>
      </c>
      <c r="J249" s="116" t="n"/>
      <c r="K249" s="116" t="n"/>
      <c r="L249" s="116" t="n"/>
      <c r="M249" s="116" t="n"/>
      <c r="N249" s="116" t="n"/>
      <c r="O249" s="116" t="n"/>
    </row>
    <row r="250" ht="14.25" customHeight="1" s="64">
      <c r="A250" s="120" t="inlineStr">
        <is>
          <t>Maio/2026</t>
        </is>
      </c>
      <c r="B250" s="120" t="inlineStr">
        <is>
          <t>Soares e Silva</t>
        </is>
      </c>
      <c r="C250" s="120" t="inlineStr">
        <is>
          <t>Frota/Combustível</t>
        </is>
      </c>
      <c r="D250" s="120" t="inlineStr">
        <is>
          <t>Consumo de combustível</t>
        </is>
      </c>
      <c r="E250" s="120" t="inlineStr">
        <is>
          <t>TIAGO</t>
        </is>
      </c>
      <c r="F250" s="120" t="n">
        <v>1</v>
      </c>
      <c r="G250" s="121" t="n">
        <v>4192.85</v>
      </c>
      <c r="H250" s="121">
        <f>F250*G250</f>
        <v/>
      </c>
      <c r="I250" s="120" t="inlineStr">
        <is>
          <t>Real (cruzado por nome, planilha de combustível)</t>
        </is>
      </c>
      <c r="J250" s="116" t="n"/>
      <c r="K250" s="116" t="n"/>
      <c r="L250" s="116" t="n"/>
      <c r="M250" s="116" t="n"/>
      <c r="N250" s="116" t="n"/>
      <c r="O250" s="116" t="n"/>
    </row>
    <row r="251" ht="14.25" customHeight="1" s="64">
      <c r="A251" s="120" t="inlineStr">
        <is>
          <t>Maio/2026</t>
        </is>
      </c>
      <c r="B251" s="120" t="inlineStr">
        <is>
          <t>Soares e Lins</t>
        </is>
      </c>
      <c r="C251" s="120" t="inlineStr">
        <is>
          <t>Pessoal</t>
        </is>
      </c>
      <c r="D251" s="120" t="inlineStr">
        <is>
          <t>Folha Trabalhista com impostos do mês</t>
        </is>
      </c>
      <c r="E251" s="120" t="inlineStr">
        <is>
          <t>VITOR LINS</t>
        </is>
      </c>
      <c r="F251" s="120" t="n">
        <v>1</v>
      </c>
      <c r="G251" s="121" t="n">
        <v>3529.37</v>
      </c>
      <c r="H251" s="121">
        <f>F251*G251</f>
        <v/>
      </c>
      <c r="I251" s="120" t="inlineStr">
        <is>
          <t>Real (cruzado por nome, 1/1 encontrados)</t>
        </is>
      </c>
      <c r="J251" s="116" t="n"/>
      <c r="K251" s="116" t="n"/>
      <c r="L251" s="116" t="n"/>
      <c r="M251" s="116" t="n"/>
      <c r="N251" s="116" t="n"/>
      <c r="O251" s="116" t="n"/>
    </row>
    <row r="252" ht="14.25" customHeight="1" s="64">
      <c r="A252" s="120" t="inlineStr">
        <is>
          <t>Maio/2026</t>
        </is>
      </c>
      <c r="B252" s="120" t="inlineStr">
        <is>
          <t>Soares e Lins</t>
        </is>
      </c>
      <c r="C252" s="120" t="inlineStr">
        <is>
          <t>Pessoal</t>
        </is>
      </c>
      <c r="D252" s="120" t="inlineStr">
        <is>
          <t>Despesas com RH</t>
        </is>
      </c>
      <c r="E252" s="120" t="inlineStr">
        <is>
          <t>VITOR LINS</t>
        </is>
      </c>
      <c r="F252" s="120" t="n">
        <v>1</v>
      </c>
      <c r="G252" s="121" t="n">
        <v>28.31</v>
      </c>
      <c r="H252" s="121">
        <f>F252*G252</f>
        <v/>
      </c>
      <c r="I252" s="120" t="inlineStr">
        <is>
          <t>Real (taxa fixa por colaborador, confirmada em todas as empresas)</t>
        </is>
      </c>
      <c r="J252" s="116" t="n"/>
      <c r="K252" s="116" t="n"/>
      <c r="L252" s="116" t="n"/>
      <c r="M252" s="116" t="n"/>
      <c r="N252" s="116" t="n"/>
      <c r="O252" s="116" t="n"/>
    </row>
    <row r="253" ht="15" customHeight="1" s="64">
      <c r="A253" s="120" t="inlineStr">
        <is>
          <t>Maio/2026</t>
        </is>
      </c>
      <c r="B253" s="120" t="inlineStr">
        <is>
          <t>Soares e Lins</t>
        </is>
      </c>
      <c r="C253" s="120" t="inlineStr">
        <is>
          <t>Pessoal</t>
        </is>
      </c>
      <c r="D253" s="120" t="inlineStr">
        <is>
          <t>Despesas com DP</t>
        </is>
      </c>
      <c r="E253" s="120" t="inlineStr">
        <is>
          <t>VITOR LINS</t>
        </is>
      </c>
      <c r="F253" s="120" t="n">
        <v>1</v>
      </c>
      <c r="G253" s="121" t="n">
        <v>47.79</v>
      </c>
      <c r="H253" s="121">
        <f>F253*G253</f>
        <v/>
      </c>
      <c r="I253" s="120" t="inlineStr">
        <is>
          <t>Real (taxa fixa por colaborador, confirmada em todas as empresas)</t>
        </is>
      </c>
      <c r="J253" s="116" t="n"/>
      <c r="K253" s="116" t="n"/>
      <c r="L253" s="116" t="n"/>
      <c r="M253" s="116" t="n"/>
      <c r="N253" s="116" t="n"/>
      <c r="O253" s="116" t="n"/>
    </row>
    <row r="254" ht="15" customHeight="1" s="64">
      <c r="A254" s="120" t="inlineStr">
        <is>
          <t>Maio/2026</t>
        </is>
      </c>
      <c r="B254" s="120" t="inlineStr">
        <is>
          <t>Soares e Lins</t>
        </is>
      </c>
      <c r="C254" s="120" t="inlineStr">
        <is>
          <t>Segurança do Trabalho</t>
        </is>
      </c>
      <c r="D254" s="120" t="inlineStr">
        <is>
          <t>Despesas com SST</t>
        </is>
      </c>
      <c r="E254" s="120" t="inlineStr">
        <is>
          <t>VITOR LINS</t>
        </is>
      </c>
      <c r="F254" s="120" t="n">
        <v>1</v>
      </c>
      <c r="G254" s="121" t="n">
        <v>64.56999999999999</v>
      </c>
      <c r="H254" s="121">
        <f>F254*G254</f>
        <v/>
      </c>
      <c r="I254" s="120" t="inlineStr">
        <is>
          <t>Real (taxa fixa por colaborador, confirmada em todas as empresas)</t>
        </is>
      </c>
      <c r="J254" s="116" t="n"/>
      <c r="K254" s="116" t="n"/>
      <c r="L254" s="116" t="n"/>
      <c r="M254" s="116" t="n"/>
      <c r="N254" s="116" t="n"/>
      <c r="O254" s="116" t="n"/>
    </row>
    <row r="255" ht="14.25" customHeight="1" s="64">
      <c r="A255" s="120" t="inlineStr">
        <is>
          <t>Maio/2026</t>
        </is>
      </c>
      <c r="B255" s="120" t="inlineStr">
        <is>
          <t>Soares e Lins</t>
        </is>
      </c>
      <c r="C255" s="120" t="inlineStr">
        <is>
          <t>Benefícios</t>
        </is>
      </c>
      <c r="D255" s="120" t="inlineStr">
        <is>
          <t>Gympass</t>
        </is>
      </c>
      <c r="E255" s="120" t="inlineStr">
        <is>
          <t>VITOR LINS</t>
        </is>
      </c>
      <c r="F255" s="120" t="n">
        <v>1</v>
      </c>
      <c r="G255" s="121" t="n">
        <v>10.05</v>
      </c>
      <c r="H255" s="121">
        <f>F255*G255</f>
        <v/>
      </c>
      <c r="I255" s="120" t="inlineStr">
        <is>
          <t>Real (taxa fixa por colaborador, confirmada em todas as empresas)</t>
        </is>
      </c>
      <c r="J255" s="116" t="n"/>
      <c r="K255" s="116" t="n"/>
      <c r="L255" s="116" t="n"/>
      <c r="M255" s="116" t="n"/>
      <c r="N255" s="116" t="n"/>
      <c r="O255" s="116" t="n"/>
    </row>
    <row r="256" ht="14.25" customHeight="1" s="64">
      <c r="A256" s="120" t="inlineStr">
        <is>
          <t>Maio/2026</t>
        </is>
      </c>
      <c r="B256" s="120" t="inlineStr">
        <is>
          <t>Soares e Lins</t>
        </is>
      </c>
      <c r="C256" s="120" t="inlineStr">
        <is>
          <t>Benefícios</t>
        </is>
      </c>
      <c r="D256" s="120" t="inlineStr">
        <is>
          <t>Stargrid</t>
        </is>
      </c>
      <c r="E256" s="120" t="inlineStr">
        <is>
          <t>VITOR LINS</t>
        </is>
      </c>
      <c r="F256" s="120" t="n">
        <v>1</v>
      </c>
      <c r="G256" s="121" t="n">
        <v>2.07</v>
      </c>
      <c r="H256" s="121">
        <f>F256*G256</f>
        <v/>
      </c>
      <c r="I256" s="120" t="inlineStr">
        <is>
          <t>Real (taxa fixa por colaborador, confirmada em todas as empresas)</t>
        </is>
      </c>
      <c r="J256" s="116" t="n"/>
      <c r="K256" s="116" t="n"/>
      <c r="L256" s="116" t="n"/>
      <c r="M256" s="116" t="n"/>
      <c r="N256" s="116" t="n"/>
      <c r="O256" s="116" t="n"/>
    </row>
    <row r="257" ht="14.25" customHeight="1" s="64">
      <c r="A257" s="120" t="inlineStr">
        <is>
          <t>Maio/2026</t>
        </is>
      </c>
      <c r="B257" s="120" t="inlineStr">
        <is>
          <t>Soares e Lins</t>
        </is>
      </c>
      <c r="C257" s="120" t="inlineStr">
        <is>
          <t>Estrutura/Infra</t>
        </is>
      </c>
      <c r="D257" s="120" t="inlineStr">
        <is>
          <t>Linhas moveis (FIQUE MÓVEL)</t>
        </is>
      </c>
      <c r="E257" s="120" t="inlineStr">
        <is>
          <t>VITOR LINS</t>
        </is>
      </c>
      <c r="F257" s="120" t="n">
        <v>1</v>
      </c>
      <c r="G257" s="121" t="n">
        <v>30</v>
      </c>
      <c r="H257" s="121">
        <f>F257*G257</f>
        <v/>
      </c>
      <c r="I257" s="120" t="inlineStr">
        <is>
          <t>Real (taxa fixa por colaborador, confirmada em todas as empresas)</t>
        </is>
      </c>
      <c r="J257" s="116" t="n"/>
      <c r="K257" s="116" t="n"/>
      <c r="L257" s="116" t="n"/>
      <c r="M257" s="116" t="n"/>
      <c r="N257" s="116" t="n"/>
      <c r="O257" s="116" t="n"/>
    </row>
    <row r="258" ht="14.25" customHeight="1" s="64">
      <c r="A258" s="120" t="inlineStr">
        <is>
          <t>Julho/2026</t>
        </is>
      </c>
      <c r="B258" s="120" t="inlineStr">
        <is>
          <t>DTEL</t>
        </is>
      </c>
      <c r="C258" s="120" t="inlineStr">
        <is>
          <t>Pessoal</t>
        </is>
      </c>
      <c r="D258" s="120" t="inlineStr">
        <is>
          <t>Folha Trabalhista com impostos do mês</t>
        </is>
      </c>
      <c r="E258" s="120" t="inlineStr">
        <is>
          <t>ELTHON MENEZES</t>
        </is>
      </c>
      <c r="F258" s="120" t="n">
        <v>1</v>
      </c>
      <c r="G258" s="121" t="n">
        <v>81072.3365155553</v>
      </c>
      <c r="H258" s="121" t="n">
        <v>81072.3365155553</v>
      </c>
      <c r="I258" s="120" t="inlineStr">
        <is>
      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      </is>
      </c>
    </row>
    <row r="259" ht="14.25" customHeight="1" s="64">
      <c r="A259" s="120" t="inlineStr">
        <is>
          <t>Julho/2026</t>
        </is>
      </c>
      <c r="B259" s="120" t="inlineStr">
        <is>
          <t>DTEL</t>
        </is>
      </c>
      <c r="C259" s="120" t="inlineStr">
        <is>
          <t>Pessoal</t>
        </is>
      </c>
      <c r="D259" s="120" t="inlineStr">
        <is>
          <t>Vale Transporte</t>
        </is>
      </c>
      <c r="E259" s="120" t="inlineStr">
        <is>
          <t>ELTHON MENEZES</t>
        </is>
      </c>
      <c r="F259" s="120" t="n">
        <v>1</v>
      </c>
      <c r="G259" s="121" t="n">
        <v>3360.29</v>
      </c>
      <c r="H259" s="121" t="n">
        <v>3360.29</v>
      </c>
      <c r="I259" s="120" t="inlineStr">
        <is>
          <t>Estimado (fatia proporcional a folha real do coordenador), fatia de 47 colaboradores da equipe</t>
        </is>
      </c>
    </row>
    <row r="260" ht="14.25" customHeight="1" s="64">
      <c r="A260" s="120" t="inlineStr">
        <is>
          <t>Julho/2026</t>
        </is>
      </c>
      <c r="B260" s="120" t="inlineStr">
        <is>
          <t>DTEL</t>
        </is>
      </c>
      <c r="C260" s="120" t="inlineStr">
        <is>
          <t>Pessoal</t>
        </is>
      </c>
      <c r="D260" s="120" t="inlineStr">
        <is>
          <t>Despesas com RH</t>
        </is>
      </c>
      <c r="E260" s="120" t="inlineStr">
        <is>
          <t>ELTHON MENEZES</t>
        </is>
      </c>
      <c r="F260" s="120" t="n">
        <v>47</v>
      </c>
      <c r="G260" s="121" t="n">
        <v>26</v>
      </c>
      <c r="H260" s="121" t="n">
        <v>1222</v>
      </c>
      <c r="I260" s="120" t="inlineStr">
        <is>
          <t>Real (taxa fixa por colaborador, quantidade = equipe real VENDAS PAP)</t>
        </is>
      </c>
    </row>
    <row r="261" ht="14.25" customHeight="1" s="64">
      <c r="A261" s="120" t="inlineStr">
        <is>
          <t>Julho/2026</t>
        </is>
      </c>
      <c r="B261" s="120" t="inlineStr">
        <is>
          <t>DTEL</t>
        </is>
      </c>
      <c r="C261" s="120" t="inlineStr">
        <is>
          <t>Pessoal</t>
        </is>
      </c>
      <c r="D261" s="120" t="inlineStr">
        <is>
          <t>Despesas com DP</t>
        </is>
      </c>
      <c r="E261" s="120" t="inlineStr">
        <is>
          <t>ELTHON MENEZES</t>
        </is>
      </c>
      <c r="F261" s="120" t="n">
        <v>47</v>
      </c>
      <c r="G261" s="121" t="n">
        <v>42.77</v>
      </c>
      <c r="H261" s="121" t="n">
        <v>2010.19</v>
      </c>
      <c r="I261" s="120" t="inlineStr">
        <is>
          <t>Real (taxa fixa por colaborador, quantidade = equipe real VENDAS PAP)</t>
        </is>
      </c>
    </row>
    <row r="262" ht="14.25" customHeight="1" s="64">
      <c r="A262" s="120" t="inlineStr">
        <is>
          <t>Julho/2026</t>
        </is>
      </c>
      <c r="B262" s="120" t="inlineStr">
        <is>
          <t>DTEL</t>
        </is>
      </c>
      <c r="C262" s="120" t="inlineStr">
        <is>
          <t>Segurança do Trabalho</t>
        </is>
      </c>
      <c r="D262" s="120" t="inlineStr">
        <is>
          <t>Despesas com SST</t>
        </is>
      </c>
      <c r="E262" s="120" t="inlineStr">
        <is>
          <t>ELTHON MENEZES</t>
        </is>
      </c>
      <c r="F262" s="120" t="n">
        <v>47</v>
      </c>
      <c r="G262" s="121" t="n">
        <v>63.75</v>
      </c>
      <c r="H262" s="121" t="n">
        <v>2996.25</v>
      </c>
      <c r="I262" s="120" t="inlineStr">
        <is>
          <t>Real (taxa fixa por colaborador, quantidade = equipe real VENDAS PAP)</t>
        </is>
      </c>
    </row>
    <row r="263" ht="14.25" customHeight="1" s="64">
      <c r="A263" s="120" t="inlineStr">
        <is>
          <t>Julho/2026</t>
        </is>
      </c>
      <c r="B263" s="120" t="inlineStr">
        <is>
          <t>DTEL</t>
        </is>
      </c>
      <c r="C263" s="120" t="inlineStr">
        <is>
          <t>Segurança do Trabalho</t>
        </is>
      </c>
      <c r="D263" s="120" t="inlineStr">
        <is>
          <t>Despesas SST exames</t>
        </is>
      </c>
      <c r="E263" s="120" t="inlineStr">
        <is>
          <t>ELTHON MENEZES</t>
        </is>
      </c>
      <c r="F263" s="120" t="n">
        <v>1</v>
      </c>
      <c r="G263" s="121" t="n">
        <v>451.39</v>
      </c>
      <c r="H263" s="121" t="n">
        <v>451.39</v>
      </c>
      <c r="I263" s="120" t="inlineStr">
        <is>
          <t>Estimado (fatia proporcional a folha real do coordenador), fatia de 47 colaboradores da equipe</t>
        </is>
      </c>
    </row>
    <row r="264" ht="14.25" customHeight="1" s="64">
      <c r="A264" s="120" t="inlineStr">
        <is>
          <t>Julho/2026</t>
        </is>
      </c>
      <c r="B264" s="120" t="inlineStr">
        <is>
          <t>DTEL</t>
        </is>
      </c>
      <c r="C264" s="120" t="inlineStr">
        <is>
          <t>Fardamento</t>
        </is>
      </c>
      <c r="D264" s="120" t="inlineStr">
        <is>
          <t>Novo Fardamento</t>
        </is>
      </c>
      <c r="E264" s="120" t="inlineStr">
        <is>
          <t>ELTHON MENEZES</t>
        </is>
      </c>
      <c r="F264" s="120" t="n">
        <v>1</v>
      </c>
      <c r="G264" s="121" t="n">
        <v>865.91</v>
      </c>
      <c r="H264" s="121" t="n">
        <v>865.91</v>
      </c>
      <c r="I264" s="120" t="inlineStr">
        <is>
          <t>Estimado (fatia proporcional a folha real do coordenador), fatia de 47 colaboradores da equipe</t>
        </is>
      </c>
    </row>
    <row r="265" ht="14.25" customHeight="1" s="64">
      <c r="A265" s="120" t="inlineStr">
        <is>
          <t>Julho/2026</t>
        </is>
      </c>
      <c r="B265" s="120" t="inlineStr">
        <is>
          <t>DTEL</t>
        </is>
      </c>
      <c r="C265" s="120" t="inlineStr">
        <is>
          <t>Fardamento</t>
        </is>
      </c>
      <c r="D265" s="120" t="inlineStr">
        <is>
          <t>Substituição extra de Fardamento</t>
        </is>
      </c>
      <c r="E265" s="120" t="inlineStr">
        <is>
          <t>ELTHON MENEZES</t>
        </is>
      </c>
      <c r="F265" s="120" t="n">
        <v>1</v>
      </c>
      <c r="G265" s="121" t="n">
        <v>251.02</v>
      </c>
      <c r="H265" s="121" t="n">
        <v>251.02</v>
      </c>
      <c r="I265" s="120" t="inlineStr">
        <is>
          <t>Estimado (fatia proporcional a folha real do coordenador), fatia de 47 colaboradores da equipe</t>
        </is>
      </c>
    </row>
    <row r="266" ht="14.25" customHeight="1" s="64">
      <c r="A266" s="120" t="inlineStr">
        <is>
          <t>Julho/2026</t>
        </is>
      </c>
      <c r="B266" s="120" t="inlineStr">
        <is>
          <t>DTEL</t>
        </is>
      </c>
      <c r="C266" s="120" t="inlineStr">
        <is>
          <t>Estrutura/Infra</t>
        </is>
      </c>
      <c r="D266" s="120" t="inlineStr">
        <is>
          <t>Linhas moveis (FIQUE MÓVEL)</t>
        </is>
      </c>
      <c r="E266" s="120" t="inlineStr">
        <is>
          <t>ELTHON MENEZES</t>
        </is>
      </c>
      <c r="F266" s="120" t="n">
        <v>50</v>
      </c>
      <c r="G266" s="121" t="n">
        <v>30</v>
      </c>
      <c r="H266" s="121">
        <f>G266*F266</f>
        <v/>
      </c>
      <c r="I266" s="120" t="inlineStr">
        <is>
          <t>Real (taxa fixa por colaborador, quantidade = equipe real VENDAS PAP)</t>
        </is>
      </c>
    </row>
    <row r="267" ht="15" customHeight="1" s="64">
      <c r="A267" s="120" t="inlineStr">
        <is>
          <t>Julho/2026</t>
        </is>
      </c>
      <c r="B267" s="120" t="inlineStr">
        <is>
          <t>DTEL</t>
        </is>
      </c>
      <c r="C267" s="120" t="inlineStr">
        <is>
          <t>Benefícios</t>
        </is>
      </c>
      <c r="D267" s="120" t="inlineStr">
        <is>
          <t>Gympass</t>
        </is>
      </c>
      <c r="E267" s="120" t="inlineStr">
        <is>
          <t>ELTHON MENEZES</t>
        </is>
      </c>
      <c r="F267" s="120" t="n">
        <v>47</v>
      </c>
      <c r="G267" s="121" t="n">
        <v>9.85</v>
      </c>
      <c r="H267" s="121" t="n">
        <v>462.95</v>
      </c>
      <c r="I267" s="120" t="inlineStr">
        <is>
          <t>Real (taxa fixa por colaborador, quantidade = equipe real VENDAS PAP)</t>
        </is>
      </c>
    </row>
    <row r="268" ht="14.25" customHeight="1" s="64">
      <c r="A268" s="120" t="inlineStr">
        <is>
          <t>Julho/2026</t>
        </is>
      </c>
      <c r="B268" s="120" t="inlineStr">
        <is>
          <t>DTEL</t>
        </is>
      </c>
      <c r="C268" s="120" t="inlineStr">
        <is>
          <t>Benefícios</t>
        </is>
      </c>
      <c r="D268" s="120" t="inlineStr">
        <is>
          <t>Stargrid</t>
        </is>
      </c>
      <c r="E268" s="120" t="inlineStr">
        <is>
          <t>ELTHON MENEZES</t>
        </is>
      </c>
      <c r="F268" s="120" t="n">
        <v>47</v>
      </c>
      <c r="G268" s="121" t="n">
        <v>2.04</v>
      </c>
      <c r="H268" s="121" t="n">
        <v>95.88</v>
      </c>
      <c r="I268" s="120" t="inlineStr">
        <is>
          <t>Real (taxa fixa por colaborador, quantidade = equipe real VENDAS PAP)</t>
        </is>
      </c>
    </row>
    <row r="269" ht="14.25" customHeight="1" s="64">
      <c r="A269" s="120" t="inlineStr">
        <is>
          <t>Julho/2026</t>
        </is>
      </c>
      <c r="B269" s="120" t="inlineStr">
        <is>
          <t>DTEL</t>
        </is>
      </c>
      <c r="C269" s="120" t="inlineStr">
        <is>
          <t>Frota/Combustível</t>
        </is>
      </c>
      <c r="D269" s="120" t="inlineStr">
        <is>
          <t>Consumo de combustível</t>
        </is>
      </c>
      <c r="E269" s="120" t="inlineStr">
        <is>
          <t>ELTHON MENEZES</t>
        </is>
      </c>
      <c r="F269" s="120" t="n">
        <v>1</v>
      </c>
      <c r="G269" s="121" t="n">
        <v>2038.91</v>
      </c>
      <c r="H269" s="121">
        <f>G269*F269</f>
        <v/>
      </c>
      <c r="I269" s="120" t="inlineStr">
        <is>
      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      </is>
      </c>
    </row>
    <row r="270" ht="14.25" customHeight="1" s="64">
      <c r="A270" s="120" t="inlineStr">
        <is>
          <t>Julho/2026</t>
        </is>
      </c>
      <c r="B270" s="120" t="inlineStr">
        <is>
          <t>DTEL</t>
        </is>
      </c>
      <c r="C270" s="120" t="inlineStr">
        <is>
          <t>Pessoal</t>
        </is>
      </c>
      <c r="D270" s="120" t="inlineStr">
        <is>
          <t>Rescisões</t>
        </is>
      </c>
      <c r="E270" s="120" t="inlineStr">
        <is>
          <t>ELTHON MENEZES</t>
        </is>
      </c>
      <c r="F270" s="120" t="n">
        <v>1</v>
      </c>
      <c r="G270" s="121" t="n">
        <v>16815.54</v>
      </c>
      <c r="H270" s="121">
        <f>G270*F270</f>
        <v/>
      </c>
      <c r="I270" s="120" t="inlineStr">
        <is>
          <t>Real (cruzado por nome, planilha de rescisões, competência 07/2026)</t>
        </is>
      </c>
    </row>
    <row r="271" ht="14.25" customHeight="1" s="64">
      <c r="A271" s="120" t="inlineStr">
        <is>
          <t>Julho/2026</t>
        </is>
      </c>
      <c r="B271" s="120" t="inlineStr">
        <is>
          <t>DTEL</t>
        </is>
      </c>
      <c r="C271" s="120" t="inlineStr">
        <is>
          <t>Pessoal</t>
        </is>
      </c>
      <c r="D271" s="120" t="inlineStr">
        <is>
          <t>Folha Trabalhista com impostos do mês</t>
        </is>
      </c>
      <c r="E271" s="120" t="inlineStr">
        <is>
          <t>GABRIEL LIMA</t>
        </is>
      </c>
      <c r="F271" s="120" t="n">
        <v>1</v>
      </c>
      <c r="G271" s="121" t="n">
        <v>6270.1</v>
      </c>
      <c r="H271" s="121">
        <f>G271*F271</f>
        <v/>
      </c>
      <c r="I271" s="120" t="inlineStr">
        <is>
          <t>Real (cruzado por nome, equipe Gabriel Lima - VENDAS PAP, 5 colaboradores)</t>
        </is>
      </c>
    </row>
    <row r="272" ht="14.25" customHeight="1" s="64">
      <c r="A272" s="120" t="inlineStr">
        <is>
          <t>Julho/2026</t>
        </is>
      </c>
      <c r="B272" s="120" t="inlineStr">
        <is>
          <t>DTEL</t>
        </is>
      </c>
      <c r="C272" s="120" t="inlineStr">
        <is>
          <t>Pessoal</t>
        </is>
      </c>
      <c r="D272" s="120" t="inlineStr">
        <is>
          <t>Vale Transporte</t>
        </is>
      </c>
      <c r="E272" s="120" t="inlineStr">
        <is>
          <t>GABRIEL LIMA</t>
        </is>
      </c>
      <c r="F272" s="120" t="n">
        <v>1</v>
      </c>
      <c r="G272" s="121" t="n">
        <v>182.68</v>
      </c>
      <c r="H272" s="121">
        <f>G272*F272</f>
        <v/>
      </c>
      <c r="I272" s="120" t="inlineStr">
        <is>
          <t>Estimado (fatia proporcional a folha real do coordenador), fatia de 5 colaboradores da equipe</t>
        </is>
      </c>
    </row>
    <row r="273" ht="14.25" customHeight="1" s="64">
      <c r="A273" s="120" t="inlineStr">
        <is>
          <t>Julho/2026</t>
        </is>
      </c>
      <c r="B273" s="120" t="inlineStr">
        <is>
          <t>DTEL</t>
        </is>
      </c>
      <c r="C273" s="120" t="inlineStr">
        <is>
          <t>Pessoal</t>
        </is>
      </c>
      <c r="D273" s="120" t="inlineStr">
        <is>
          <t>Despesas com RH</t>
        </is>
      </c>
      <c r="E273" s="120" t="inlineStr">
        <is>
          <t>GABRIEL LIMA</t>
        </is>
      </c>
      <c r="F273" s="120" t="n">
        <v>5</v>
      </c>
      <c r="G273" s="121" t="n">
        <v>26</v>
      </c>
      <c r="H273" s="121">
        <f>G273*F273</f>
        <v/>
      </c>
      <c r="I273" s="120" t="inlineStr">
        <is>
          <t>Real (taxa fixa por colaborador, quantidade = equipe real VENDAS PAP)</t>
        </is>
      </c>
    </row>
    <row r="274" ht="14.25" customHeight="1" s="64">
      <c r="A274" s="120" t="inlineStr">
        <is>
          <t>Julho/2026</t>
        </is>
      </c>
      <c r="B274" s="120" t="inlineStr">
        <is>
          <t>DTEL</t>
        </is>
      </c>
      <c r="C274" s="120" t="inlineStr">
        <is>
          <t>Pessoal</t>
        </is>
      </c>
      <c r="D274" s="120" t="inlineStr">
        <is>
          <t>Despesas com DP</t>
        </is>
      </c>
      <c r="E274" s="120" t="inlineStr">
        <is>
          <t>GABRIEL LIMA</t>
        </is>
      </c>
      <c r="F274" s="120" t="n">
        <v>5</v>
      </c>
      <c r="G274" s="121" t="n">
        <v>42.77</v>
      </c>
      <c r="H274" s="121">
        <f>G274*F274</f>
        <v/>
      </c>
      <c r="I274" s="120" t="inlineStr">
        <is>
          <t>Real (taxa fixa por colaborador, quantidade = equipe real VENDAS PAP)</t>
        </is>
      </c>
    </row>
    <row r="275" ht="14.25" customHeight="1" s="64">
      <c r="A275" s="120" t="inlineStr">
        <is>
          <t>Julho/2026</t>
        </is>
      </c>
      <c r="B275" s="120" t="inlineStr">
        <is>
          <t>DTEL</t>
        </is>
      </c>
      <c r="C275" s="120" t="inlineStr">
        <is>
          <t>Segurança do Trabalho</t>
        </is>
      </c>
      <c r="D275" s="120" t="inlineStr">
        <is>
          <t>Despesas com SST</t>
        </is>
      </c>
      <c r="E275" s="120" t="inlineStr">
        <is>
          <t>GABRIEL LIMA</t>
        </is>
      </c>
      <c r="F275" s="120" t="n">
        <v>5</v>
      </c>
      <c r="G275" s="121" t="n">
        <v>63.75</v>
      </c>
      <c r="H275" s="121">
        <f>G275*F275</f>
        <v/>
      </c>
      <c r="I275" s="120" t="inlineStr">
        <is>
          <t>Real (taxa fixa por colaborador, quantidade = equipe real VENDAS PAP)</t>
        </is>
      </c>
    </row>
    <row r="276" ht="14.25" customHeight="1" s="64">
      <c r="A276" s="120" t="inlineStr">
        <is>
          <t>Julho/2026</t>
        </is>
      </c>
      <c r="B276" s="120" t="inlineStr">
        <is>
          <t>DTEL</t>
        </is>
      </c>
      <c r="C276" s="120" t="inlineStr">
        <is>
          <t>Segurança do Trabalho</t>
        </is>
      </c>
      <c r="D276" s="120" t="inlineStr">
        <is>
          <t>Despesas SST exames</t>
        </is>
      </c>
      <c r="E276" s="120" t="inlineStr">
        <is>
          <t>GABRIEL LIMA</t>
        </is>
      </c>
      <c r="F276" s="120" t="n">
        <v>1</v>
      </c>
      <c r="G276" s="121" t="n">
        <v>24.54</v>
      </c>
      <c r="H276" s="121">
        <f>G276*F276</f>
        <v/>
      </c>
      <c r="I276" s="120" t="inlineStr">
        <is>
          <t>Estimado (fatia proporcional a folha real do coordenador), fatia de 5 colaboradores da equipe</t>
        </is>
      </c>
    </row>
    <row r="277" ht="14.25" customHeight="1" s="64">
      <c r="A277" s="120" t="inlineStr">
        <is>
          <t>Julho/2026</t>
        </is>
      </c>
      <c r="B277" s="120" t="inlineStr">
        <is>
          <t>DTEL</t>
        </is>
      </c>
      <c r="C277" s="120" t="inlineStr">
        <is>
          <t>Fardamento</t>
        </is>
      </c>
      <c r="D277" s="120" t="inlineStr">
        <is>
          <t>Novo Fardamento</t>
        </is>
      </c>
      <c r="E277" s="120" t="inlineStr">
        <is>
          <t>GABRIEL LIMA</t>
        </is>
      </c>
      <c r="F277" s="120" t="n">
        <v>1</v>
      </c>
      <c r="G277" s="121" t="n">
        <v>47.07</v>
      </c>
      <c r="H277" s="121">
        <f>G277*F277</f>
        <v/>
      </c>
      <c r="I277" s="120" t="inlineStr">
        <is>
          <t>Estimado (fatia proporcional a folha real do coordenador), fatia de 5 colaboradores da equipe</t>
        </is>
      </c>
    </row>
    <row r="278" ht="15" customHeight="1" s="64">
      <c r="A278" s="120" t="inlineStr">
        <is>
          <t>Julho/2026</t>
        </is>
      </c>
      <c r="B278" s="120" t="inlineStr">
        <is>
          <t>DTEL</t>
        </is>
      </c>
      <c r="C278" s="120" t="inlineStr">
        <is>
          <t>Fardamento</t>
        </is>
      </c>
      <c r="D278" s="120" t="inlineStr">
        <is>
          <t>Substituição extra de Fardamento</t>
        </is>
      </c>
      <c r="E278" s="120" t="inlineStr">
        <is>
          <t>GABRIEL LIMA</t>
        </is>
      </c>
      <c r="F278" s="120" t="n">
        <v>1</v>
      </c>
      <c r="G278" s="121" t="n">
        <v>13.65</v>
      </c>
      <c r="H278" s="121">
        <f>G278*F278</f>
        <v/>
      </c>
      <c r="I278" s="120" t="inlineStr">
        <is>
          <t>Estimado (fatia proporcional a folha real do coordenador), fatia de 5 colaboradores da equipe</t>
        </is>
      </c>
    </row>
    <row r="279" ht="14.25" customHeight="1" s="64">
      <c r="A279" s="120" t="inlineStr">
        <is>
          <t>Julho/2026</t>
        </is>
      </c>
      <c r="B279" s="120" t="inlineStr">
        <is>
          <t>DTEL</t>
        </is>
      </c>
      <c r="C279" s="120" t="inlineStr">
        <is>
          <t>Estrutura/Infra</t>
        </is>
      </c>
      <c r="D279" s="120" t="inlineStr">
        <is>
          <t>Linhas moveis (FIQUE MÓVEL)</t>
        </is>
      </c>
      <c r="E279" s="120" t="inlineStr">
        <is>
          <t>GABRIEL LIMA</t>
        </is>
      </c>
      <c r="F279" s="120" t="n">
        <v>5</v>
      </c>
      <c r="G279" s="121" t="n">
        <v>30</v>
      </c>
      <c r="H279" s="121">
        <f>G279*F279</f>
        <v/>
      </c>
      <c r="I279" s="120" t="inlineStr">
        <is>
          <t>Real (taxa fixa por colaborador, quantidade = equipe real VENDAS PAP)</t>
        </is>
      </c>
    </row>
    <row r="280" ht="14.25" customHeight="1" s="64">
      <c r="A280" s="120" t="inlineStr">
        <is>
          <t>Julho/2026</t>
        </is>
      </c>
      <c r="B280" s="120" t="inlineStr">
        <is>
          <t>DTEL</t>
        </is>
      </c>
      <c r="C280" s="120" t="inlineStr">
        <is>
          <t>Benefícios</t>
        </is>
      </c>
      <c r="D280" s="120" t="inlineStr">
        <is>
          <t>Gympass</t>
        </is>
      </c>
      <c r="E280" s="120" t="inlineStr">
        <is>
          <t>GABRIEL LIMA</t>
        </is>
      </c>
      <c r="F280" s="120" t="n">
        <v>5</v>
      </c>
      <c r="G280" s="121" t="n">
        <v>9.85</v>
      </c>
      <c r="H280" s="121">
        <f>G280*F280</f>
        <v/>
      </c>
      <c r="I280" s="120" t="inlineStr">
        <is>
          <t>Real (taxa fixa por colaborador, quantidade = equipe real VENDAS PAP)</t>
        </is>
      </c>
    </row>
    <row r="281" ht="14.25" customHeight="1" s="64">
      <c r="A281" s="120" t="inlineStr">
        <is>
          <t>Julho/2026</t>
        </is>
      </c>
      <c r="B281" s="120" t="inlineStr">
        <is>
          <t>DTEL</t>
        </is>
      </c>
      <c r="C281" s="120" t="inlineStr">
        <is>
          <t>Benefícios</t>
        </is>
      </c>
      <c r="D281" s="120" t="inlineStr">
        <is>
          <t>Stargrid</t>
        </is>
      </c>
      <c r="E281" s="120" t="inlineStr">
        <is>
          <t>GABRIEL LIMA</t>
        </is>
      </c>
      <c r="F281" s="120" t="n">
        <v>5</v>
      </c>
      <c r="G281" s="121" t="n">
        <v>2.04</v>
      </c>
      <c r="H281" s="121">
        <f>G281*F281</f>
        <v/>
      </c>
      <c r="I281" s="120" t="inlineStr">
        <is>
          <t>Real (taxa fixa por colaborador, quantidade = equipe real VENDAS PAP)</t>
        </is>
      </c>
    </row>
    <row r="282" ht="14.25" customHeight="1" s="64">
      <c r="A282" s="120" t="inlineStr">
        <is>
          <t>Julho/2026</t>
        </is>
      </c>
      <c r="B282" s="120" t="inlineStr">
        <is>
          <t>DTEL</t>
        </is>
      </c>
      <c r="C282" s="120" t="inlineStr">
        <is>
          <t>Pessoal</t>
        </is>
      </c>
      <c r="D282" s="120" t="inlineStr">
        <is>
          <t>Folha Trabalhista com impostos do mês</t>
        </is>
      </c>
      <c r="E282" s="120" t="inlineStr">
        <is>
          <t>LUCAS BONIFÁCIO</t>
        </is>
      </c>
      <c r="F282" s="120" t="n">
        <v>1</v>
      </c>
      <c r="G282" s="121" t="n">
        <v>14541.12</v>
      </c>
      <c r="H282" s="121">
        <f>G282*F282</f>
        <v/>
      </c>
      <c r="I282" s="120" t="inlineStr">
        <is>
          <t>Real (cruzado por nome, equipe Lucas Bonifácio - VENDAS PAP, 6 colaboradores)</t>
        </is>
      </c>
    </row>
    <row r="283" ht="14.25" customHeight="1" s="64">
      <c r="A283" s="120" t="inlineStr">
        <is>
          <t>Julho/2026</t>
        </is>
      </c>
      <c r="B283" s="120" t="inlineStr">
        <is>
          <t>DTEL</t>
        </is>
      </c>
      <c r="C283" s="120" t="inlineStr">
        <is>
          <t>Pessoal</t>
        </is>
      </c>
      <c r="D283" s="120" t="inlineStr">
        <is>
          <t>Vale Transporte</t>
        </is>
      </c>
      <c r="E283" s="120" t="inlineStr">
        <is>
          <t>LUCAS BONIFÁCIO</t>
        </is>
      </c>
      <c r="F283" s="120" t="n">
        <v>1</v>
      </c>
      <c r="G283" s="121" t="n">
        <v>423.65</v>
      </c>
      <c r="H283" s="121">
        <f>G283*F283</f>
        <v/>
      </c>
      <c r="I283" s="120" t="inlineStr">
        <is>
          <t>Estimado (fatia proporcional a folha real do coordenador), fatia de 6 colaboradores da equipe</t>
        </is>
      </c>
    </row>
    <row r="284" ht="14.25" customHeight="1" s="64">
      <c r="A284" s="120" t="inlineStr">
        <is>
          <t>Julho/2026</t>
        </is>
      </c>
      <c r="B284" s="120" t="inlineStr">
        <is>
          <t>DTEL</t>
        </is>
      </c>
      <c r="C284" s="120" t="inlineStr">
        <is>
          <t>Pessoal</t>
        </is>
      </c>
      <c r="D284" s="120" t="inlineStr">
        <is>
          <t>Despesas com RH</t>
        </is>
      </c>
      <c r="E284" s="120" t="inlineStr">
        <is>
          <t>LUCAS BONIFÁCIO</t>
        </is>
      </c>
      <c r="F284" s="120" t="n">
        <v>6</v>
      </c>
      <c r="G284" s="121" t="n">
        <v>26</v>
      </c>
      <c r="H284" s="121">
        <f>G284*F284</f>
        <v/>
      </c>
      <c r="I284" s="120" t="inlineStr">
        <is>
          <t>Real (taxa fixa por colaborador, quantidade = equipe real VENDAS PAP)</t>
        </is>
      </c>
    </row>
    <row r="285" ht="14.25" customHeight="1" s="64">
      <c r="A285" s="120" t="inlineStr">
        <is>
          <t>Julho/2026</t>
        </is>
      </c>
      <c r="B285" s="120" t="inlineStr">
        <is>
          <t>DTEL</t>
        </is>
      </c>
      <c r="C285" s="120" t="inlineStr">
        <is>
          <t>Pessoal</t>
        </is>
      </c>
      <c r="D285" s="120" t="inlineStr">
        <is>
          <t>Despesas com DP</t>
        </is>
      </c>
      <c r="E285" s="120" t="inlineStr">
        <is>
          <t>LUCAS BONIFÁCIO</t>
        </is>
      </c>
      <c r="F285" s="120" t="n">
        <v>6</v>
      </c>
      <c r="G285" s="121" t="n">
        <v>42.77</v>
      </c>
      <c r="H285" s="121">
        <f>G285*F285</f>
        <v/>
      </c>
      <c r="I285" s="120" t="inlineStr">
        <is>
          <t>Real (taxa fixa por colaborador, quantidade = equipe real VENDAS PAP)</t>
        </is>
      </c>
    </row>
    <row r="286" ht="14.25" customHeight="1" s="64">
      <c r="A286" s="120" t="inlineStr">
        <is>
          <t>Julho/2026</t>
        </is>
      </c>
      <c r="B286" s="120" t="inlineStr">
        <is>
          <t>DTEL</t>
        </is>
      </c>
      <c r="C286" s="120" t="inlineStr">
        <is>
          <t>Segurança do Trabalho</t>
        </is>
      </c>
      <c r="D286" s="120" t="inlineStr">
        <is>
          <t>Despesas com SST</t>
        </is>
      </c>
      <c r="E286" s="120" t="inlineStr">
        <is>
          <t>LUCAS BONIFÁCIO</t>
        </is>
      </c>
      <c r="F286" s="120" t="n">
        <v>6</v>
      </c>
      <c r="G286" s="121" t="n">
        <v>63.75</v>
      </c>
      <c r="H286" s="121">
        <f>G286*F286</f>
        <v/>
      </c>
      <c r="I286" s="120" t="inlineStr">
        <is>
          <t>Real (taxa fixa por colaborador, quantidade = equipe real VENDAS PAP)</t>
        </is>
      </c>
    </row>
    <row r="287" ht="14.25" customHeight="1" s="64">
      <c r="A287" s="120" t="inlineStr">
        <is>
          <t>Julho/2026</t>
        </is>
      </c>
      <c r="B287" s="120" t="inlineStr">
        <is>
          <t>DTEL</t>
        </is>
      </c>
      <c r="C287" s="120" t="inlineStr">
        <is>
          <t>Segurança do Trabalho</t>
        </is>
      </c>
      <c r="D287" s="120" t="inlineStr">
        <is>
          <t>Despesas SST exames</t>
        </is>
      </c>
      <c r="E287" s="120" t="inlineStr">
        <is>
          <t>LUCAS BONIFÁCIO</t>
        </is>
      </c>
      <c r="F287" s="120" t="n">
        <v>1</v>
      </c>
      <c r="G287" s="121" t="n">
        <v>56.91</v>
      </c>
      <c r="H287" s="121">
        <f>G287*F287</f>
        <v/>
      </c>
      <c r="I287" s="120" t="inlineStr">
        <is>
          <t>Estimado (fatia proporcional a folha real do coordenador), fatia de 6 colaboradores da equipe</t>
        </is>
      </c>
    </row>
    <row r="288" ht="14.25" customHeight="1" s="64">
      <c r="A288" s="120" t="inlineStr">
        <is>
          <t>Julho/2026</t>
        </is>
      </c>
      <c r="B288" s="120" t="inlineStr">
        <is>
          <t>DTEL</t>
        </is>
      </c>
      <c r="C288" s="120" t="inlineStr">
        <is>
          <t>Fardamento</t>
        </is>
      </c>
      <c r="D288" s="120" t="inlineStr">
        <is>
          <t>Novo Fardamento</t>
        </is>
      </c>
      <c r="E288" s="120" t="inlineStr">
        <is>
          <t>LUCAS BONIFÁCIO</t>
        </is>
      </c>
      <c r="F288" s="120" t="n">
        <v>1</v>
      </c>
      <c r="G288" s="121" t="n">
        <v>109.17</v>
      </c>
      <c r="H288" s="121">
        <f>G288*F288</f>
        <v/>
      </c>
      <c r="I288" s="120" t="inlineStr">
        <is>
          <t>Estimado (fatia proporcional a folha real do coordenador), fatia de 6 colaboradores da equipe</t>
        </is>
      </c>
    </row>
    <row r="289" ht="14.25" customHeight="1" s="64">
      <c r="A289" s="120" t="inlineStr">
        <is>
          <t>Julho/2026</t>
        </is>
      </c>
      <c r="B289" s="120" t="inlineStr">
        <is>
          <t>DTEL</t>
        </is>
      </c>
      <c r="C289" s="120" t="inlineStr">
        <is>
          <t>Fardamento</t>
        </is>
      </c>
      <c r="D289" s="120" t="inlineStr">
        <is>
          <t>Substituição extra de Fardamento</t>
        </is>
      </c>
      <c r="E289" s="120" t="inlineStr">
        <is>
          <t>LUCAS BONIFÁCIO</t>
        </is>
      </c>
      <c r="F289" s="120" t="n">
        <v>1</v>
      </c>
      <c r="G289" s="121" t="n">
        <v>31.65</v>
      </c>
      <c r="H289" s="121">
        <f>G289*F289</f>
        <v/>
      </c>
      <c r="I289" s="120" t="inlineStr">
        <is>
          <t>Estimado (fatia proporcional a folha real do coordenador), fatia de 6 colaboradores da equipe</t>
        </is>
      </c>
    </row>
    <row r="290" ht="14.25" customHeight="1" s="64">
      <c r="A290" s="120" t="inlineStr">
        <is>
          <t>Julho/2026</t>
        </is>
      </c>
      <c r="B290" s="120" t="inlineStr">
        <is>
          <t>DTEL</t>
        </is>
      </c>
      <c r="C290" s="120" t="inlineStr">
        <is>
          <t>Estrutura/Infra</t>
        </is>
      </c>
      <c r="D290" s="120" t="inlineStr">
        <is>
          <t>Linhas moveis (FIQUE MÓVEL)</t>
        </is>
      </c>
      <c r="E290" s="120" t="inlineStr">
        <is>
          <t>LUCAS BONIFÁCIO</t>
        </is>
      </c>
      <c r="F290" s="120" t="n">
        <v>6</v>
      </c>
      <c r="G290" s="121" t="n">
        <v>30</v>
      </c>
      <c r="H290" s="121">
        <f>G290*F290</f>
        <v/>
      </c>
      <c r="I290" s="120" t="inlineStr">
        <is>
          <t>Real (taxa fixa por colaborador, quantidade = equipe real VENDAS PAP)</t>
        </is>
      </c>
    </row>
    <row r="291" ht="14.25" customHeight="1" s="64">
      <c r="A291" s="120" t="inlineStr">
        <is>
          <t>Julho/2026</t>
        </is>
      </c>
      <c r="B291" s="120" t="inlineStr">
        <is>
          <t>DTEL</t>
        </is>
      </c>
      <c r="C291" s="120" t="inlineStr">
        <is>
          <t>Benefícios</t>
        </is>
      </c>
      <c r="D291" s="120" t="inlineStr">
        <is>
          <t>Gympass</t>
        </is>
      </c>
      <c r="E291" s="120" t="inlineStr">
        <is>
          <t>LUCAS BONIFÁCIO</t>
        </is>
      </c>
      <c r="F291" s="120" t="n">
        <v>6</v>
      </c>
      <c r="G291" s="121" t="n">
        <v>9.85</v>
      </c>
      <c r="H291" s="121">
        <f>G291*F291</f>
        <v/>
      </c>
      <c r="I291" s="120" t="inlineStr">
        <is>
          <t>Real (taxa fixa por colaborador, quantidade = equipe real VENDAS PAP)</t>
        </is>
      </c>
    </row>
    <row r="292" ht="14.25" customHeight="1" s="64">
      <c r="A292" s="120" t="inlineStr">
        <is>
          <t>Julho/2026</t>
        </is>
      </c>
      <c r="B292" s="120" t="inlineStr">
        <is>
          <t>DTEL</t>
        </is>
      </c>
      <c r="C292" s="120" t="inlineStr">
        <is>
          <t>Benefícios</t>
        </is>
      </c>
      <c r="D292" s="120" t="inlineStr">
        <is>
          <t>Stargrid</t>
        </is>
      </c>
      <c r="E292" s="120" t="inlineStr">
        <is>
          <t>LUCAS BONIFÁCIO</t>
        </is>
      </c>
      <c r="F292" s="120" t="n">
        <v>6</v>
      </c>
      <c r="G292" s="121" t="n">
        <v>2.04</v>
      </c>
      <c r="H292" s="121">
        <f>G292*F292</f>
        <v/>
      </c>
      <c r="I292" s="120" t="inlineStr">
        <is>
          <t>Real (taxa fixa por colaborador, quantidade = equipe real VENDAS PAP)</t>
        </is>
      </c>
    </row>
    <row r="293" ht="14.25" customHeight="1" s="64">
      <c r="A293" s="120" t="inlineStr">
        <is>
          <t>Julho/2026</t>
        </is>
      </c>
      <c r="B293" s="120" t="inlineStr">
        <is>
          <t>DTEL</t>
        </is>
      </c>
      <c r="C293" s="120" t="inlineStr">
        <is>
          <t>Frota/Combustível</t>
        </is>
      </c>
      <c r="D293" s="120" t="inlineStr">
        <is>
          <t>Consumo de combustível</t>
        </is>
      </c>
      <c r="E293" s="120" t="inlineStr">
        <is>
          <t>LUCAS BONIFÁCIO</t>
        </is>
      </c>
      <c r="F293" s="120" t="n">
        <v>1</v>
      </c>
      <c r="G293" s="121" t="n">
        <v>799.48</v>
      </c>
      <c r="H293" s="121">
        <f>G293*F293</f>
        <v/>
      </c>
      <c r="I293" s="120" t="inlineStr">
        <is>
          <t>Real (cruzado por nome, planilha de combustível)</t>
        </is>
      </c>
    </row>
    <row r="294" ht="14.25" customHeight="1" s="64">
      <c r="A294" s="120" t="inlineStr">
        <is>
          <t>Julho/2026</t>
        </is>
      </c>
      <c r="B294" s="120" t="inlineStr">
        <is>
          <t>DTEL</t>
        </is>
      </c>
      <c r="C294" s="120" t="inlineStr">
        <is>
          <t>Pessoal</t>
        </is>
      </c>
      <c r="D294" s="120" t="inlineStr">
        <is>
          <t>Folha Trabalhista com impostos do mês</t>
        </is>
      </c>
      <c r="E294" s="120" t="inlineStr">
        <is>
          <t>MICHELANGELO</t>
        </is>
      </c>
      <c r="F294" s="120" t="n">
        <v>1</v>
      </c>
      <c r="G294" s="121" t="n">
        <v>17414.61856</v>
      </c>
      <c r="H294" s="121">
        <f>G294*F294</f>
        <v/>
      </c>
      <c r="I294" s="120" t="inlineStr">
        <is>
          <t>Real (cruzado por nome, equipe Michelangelo - VENDAS PAP, 11 colaboradores) | Ajustado 24/08/2026: subtraído o custo de folha de Clovis Mendes da Silva (R$ 6394.14), que passou a ter linha própria de van/kombi, para não contar 2x.</t>
        </is>
      </c>
    </row>
    <row r="295" ht="15" customHeight="1" s="64">
      <c r="A295" s="120" t="inlineStr">
        <is>
          <t>Julho/2026</t>
        </is>
      </c>
      <c r="B295" s="120" t="inlineStr">
        <is>
          <t>DTEL</t>
        </is>
      </c>
      <c r="C295" s="120" t="inlineStr">
        <is>
          <t>Pessoal</t>
        </is>
      </c>
      <c r="D295" s="120" t="inlineStr">
        <is>
          <t>Vale Transporte</t>
        </is>
      </c>
      <c r="E295" s="120" t="inlineStr">
        <is>
          <t>MICHELANGELO</t>
        </is>
      </c>
      <c r="F295" s="120" t="n">
        <v>1</v>
      </c>
      <c r="G295" s="121" t="n">
        <v>693.66</v>
      </c>
      <c r="H295" s="121">
        <f>G295*F295</f>
        <v/>
      </c>
      <c r="I295" s="120" t="inlineStr">
        <is>
          <t>Estimado (fatia proporcional a folha real do coordenador), fatia de 11 colaboradores da equipe</t>
        </is>
      </c>
    </row>
    <row r="296" ht="14.25" customHeight="1" s="64">
      <c r="A296" s="120" t="inlineStr">
        <is>
          <t>Julho/2026</t>
        </is>
      </c>
      <c r="B296" s="120" t="inlineStr">
        <is>
          <t>DTEL</t>
        </is>
      </c>
      <c r="C296" s="120" t="inlineStr">
        <is>
          <t>Pessoal</t>
        </is>
      </c>
      <c r="D296" s="120" t="inlineStr">
        <is>
          <t>Despesas com RH</t>
        </is>
      </c>
      <c r="E296" s="120" t="inlineStr">
        <is>
          <t>MICHELANGELO</t>
        </is>
      </c>
      <c r="F296" s="120" t="n">
        <v>11</v>
      </c>
      <c r="G296" s="121" t="n">
        <v>26</v>
      </c>
      <c r="H296" s="121">
        <f>G296*F296</f>
        <v/>
      </c>
      <c r="I296" s="120" t="inlineStr">
        <is>
          <t>Real (taxa fixa por colaborador, quantidade = equipe real VENDAS PAP)</t>
        </is>
      </c>
    </row>
    <row r="297" ht="14.25" customHeight="1" s="64">
      <c r="A297" s="120" t="inlineStr">
        <is>
          <t>Julho/2026</t>
        </is>
      </c>
      <c r="B297" s="120" t="inlineStr">
        <is>
          <t>DTEL</t>
        </is>
      </c>
      <c r="C297" s="120" t="inlineStr">
        <is>
          <t>Pessoal</t>
        </is>
      </c>
      <c r="D297" s="120" t="inlineStr">
        <is>
          <t>Despesas com DP</t>
        </is>
      </c>
      <c r="E297" s="120" t="inlineStr">
        <is>
          <t>MICHELANGELO</t>
        </is>
      </c>
      <c r="F297" s="120" t="n">
        <v>11</v>
      </c>
      <c r="G297" s="121" t="n">
        <v>42.77</v>
      </c>
      <c r="H297" s="121">
        <f>G297*F297</f>
        <v/>
      </c>
      <c r="I297" s="120" t="inlineStr">
        <is>
          <t>Real (taxa fixa por colaborador, quantidade = equipe real VENDAS PAP)</t>
        </is>
      </c>
    </row>
    <row r="298" ht="14.25" customHeight="1" s="64">
      <c r="A298" s="120" t="inlineStr">
        <is>
          <t>Julho/2026</t>
        </is>
      </c>
      <c r="B298" s="120" t="inlineStr">
        <is>
          <t>DTEL</t>
        </is>
      </c>
      <c r="C298" s="120" t="inlineStr">
        <is>
          <t>Segurança do Trabalho</t>
        </is>
      </c>
      <c r="D298" s="120" t="inlineStr">
        <is>
          <t>Despesas com SST</t>
        </is>
      </c>
      <c r="E298" s="120" t="inlineStr">
        <is>
          <t>MICHELANGELO</t>
        </is>
      </c>
      <c r="F298" s="120" t="n">
        <v>11</v>
      </c>
      <c r="G298" s="121" t="n">
        <v>63.75</v>
      </c>
      <c r="H298" s="121">
        <f>G298*F298</f>
        <v/>
      </c>
      <c r="I298" s="120" t="inlineStr">
        <is>
          <t>Real (taxa fixa por colaborador, quantidade = equipe real VENDAS PAP)</t>
        </is>
      </c>
    </row>
    <row r="299" ht="14.25" customHeight="1" s="64">
      <c r="A299" s="120" t="inlineStr">
        <is>
          <t>Julho/2026</t>
        </is>
      </c>
      <c r="B299" s="120" t="inlineStr">
        <is>
          <t>DTEL</t>
        </is>
      </c>
      <c r="C299" s="120" t="inlineStr">
        <is>
          <t>Segurança do Trabalho</t>
        </is>
      </c>
      <c r="D299" s="120" t="inlineStr">
        <is>
          <t>Despesas SST exames</t>
        </is>
      </c>
      <c r="E299" s="120" t="inlineStr">
        <is>
          <t>MICHELANGELO</t>
        </is>
      </c>
      <c r="F299" s="120" t="n">
        <v>1</v>
      </c>
      <c r="G299" s="121" t="n">
        <v>93.18000000000001</v>
      </c>
      <c r="H299" s="121">
        <f>G299*F299</f>
        <v/>
      </c>
      <c r="I299" s="120" t="inlineStr">
        <is>
          <t>Estimado (fatia proporcional a folha real do coordenador), fatia de 11 colaboradores da equipe</t>
        </is>
      </c>
    </row>
    <row r="300" ht="14.25" customHeight="1" s="64">
      <c r="A300" s="120" t="inlineStr">
        <is>
          <t>Julho/2026</t>
        </is>
      </c>
      <c r="B300" s="120" t="inlineStr">
        <is>
          <t>DTEL</t>
        </is>
      </c>
      <c r="C300" s="120" t="inlineStr">
        <is>
          <t>Fardamento</t>
        </is>
      </c>
      <c r="D300" s="120" t="inlineStr">
        <is>
          <t>Novo Fardamento</t>
        </is>
      </c>
      <c r="E300" s="120" t="inlineStr">
        <is>
          <t>MICHELANGELO</t>
        </is>
      </c>
      <c r="F300" s="120" t="n">
        <v>1</v>
      </c>
      <c r="G300" s="121" t="n">
        <v>178.75</v>
      </c>
      <c r="H300" s="121">
        <f>G300*F300</f>
        <v/>
      </c>
      <c r="I300" s="120" t="inlineStr">
        <is>
          <t>Estimado (fatia proporcional a folha real do coordenador), fatia de 11 colaboradores da equipe</t>
        </is>
      </c>
    </row>
    <row r="301" ht="14.25" customHeight="1" s="64">
      <c r="A301" s="120" t="inlineStr">
        <is>
          <t>Julho/2026</t>
        </is>
      </c>
      <c r="B301" s="120" t="inlineStr">
        <is>
          <t>DTEL</t>
        </is>
      </c>
      <c r="C301" s="120" t="inlineStr">
        <is>
          <t>Fardamento</t>
        </is>
      </c>
      <c r="D301" s="120" t="inlineStr">
        <is>
          <t>Substituição extra de Fardamento</t>
        </is>
      </c>
      <c r="E301" s="120" t="inlineStr">
        <is>
          <t>MICHELANGELO</t>
        </is>
      </c>
      <c r="F301" s="120" t="n">
        <v>1</v>
      </c>
      <c r="G301" s="121" t="n">
        <v>51.82</v>
      </c>
      <c r="H301" s="121">
        <f>G301*F301</f>
        <v/>
      </c>
      <c r="I301" s="120" t="inlineStr">
        <is>
          <t>Estimado (fatia proporcional a folha real do coordenador), fatia de 11 colaboradores da equipe</t>
        </is>
      </c>
    </row>
    <row r="302" ht="14.25" customHeight="1" s="64">
      <c r="A302" s="120" t="inlineStr">
        <is>
          <t>Julho/2026</t>
        </is>
      </c>
      <c r="B302" s="120" t="inlineStr">
        <is>
          <t>DTEL</t>
        </is>
      </c>
      <c r="C302" s="120" t="inlineStr">
        <is>
          <t>Estrutura/Infra</t>
        </is>
      </c>
      <c r="D302" s="120" t="inlineStr">
        <is>
          <t>Linhas moveis (FIQUE MÓVEL)</t>
        </is>
      </c>
      <c r="E302" s="120" t="inlineStr">
        <is>
          <t>MICHELANGELO</t>
        </is>
      </c>
      <c r="F302" s="120" t="n">
        <v>11</v>
      </c>
      <c r="G302" s="121" t="n">
        <v>30</v>
      </c>
      <c r="H302" s="121">
        <f>G302*F302</f>
        <v/>
      </c>
      <c r="I302" s="120" t="inlineStr">
        <is>
          <t>Real (taxa fixa por colaborador, quantidade = equipe real VENDAS PAP)</t>
        </is>
      </c>
    </row>
    <row r="303" ht="14.25" customHeight="1" s="64">
      <c r="A303" s="120" t="inlineStr">
        <is>
          <t>Julho/2026</t>
        </is>
      </c>
      <c r="B303" s="120" t="inlineStr">
        <is>
          <t>DTEL</t>
        </is>
      </c>
      <c r="C303" s="120" t="inlineStr">
        <is>
          <t>Benefícios</t>
        </is>
      </c>
      <c r="D303" s="120" t="inlineStr">
        <is>
          <t>Gympass</t>
        </is>
      </c>
      <c r="E303" s="120" t="inlineStr">
        <is>
          <t>MICHELANGELO</t>
        </is>
      </c>
      <c r="F303" s="120" t="n">
        <v>11</v>
      </c>
      <c r="G303" s="121" t="n">
        <v>9.85</v>
      </c>
      <c r="H303" s="121">
        <f>G303*F303</f>
        <v/>
      </c>
      <c r="I303" s="120" t="inlineStr">
        <is>
          <t>Real (taxa fixa por colaborador, quantidade = equipe real VENDAS PAP)</t>
        </is>
      </c>
    </row>
    <row r="304" ht="14.25" customHeight="1" s="64">
      <c r="A304" s="120" t="inlineStr">
        <is>
          <t>Julho/2026</t>
        </is>
      </c>
      <c r="B304" s="120" t="inlineStr">
        <is>
          <t>DTEL</t>
        </is>
      </c>
      <c r="C304" s="120" t="inlineStr">
        <is>
          <t>Benefícios</t>
        </is>
      </c>
      <c r="D304" s="120" t="inlineStr">
        <is>
          <t>Stargrid</t>
        </is>
      </c>
      <c r="E304" s="120" t="inlineStr">
        <is>
          <t>MICHELANGELO</t>
        </is>
      </c>
      <c r="F304" s="120" t="n">
        <v>11</v>
      </c>
      <c r="G304" s="121" t="n">
        <v>2.04</v>
      </c>
      <c r="H304" s="121">
        <f>G304*F304</f>
        <v/>
      </c>
      <c r="I304" s="120" t="inlineStr">
        <is>
          <t>Real (taxa fixa por colaborador, quantidade = equipe real VENDAS PAP)</t>
        </is>
      </c>
    </row>
    <row r="305" ht="14.25" customHeight="1" s="64">
      <c r="A305" s="120" t="inlineStr">
        <is>
          <t>Julho/2026</t>
        </is>
      </c>
      <c r="B305" s="120" t="inlineStr">
        <is>
          <t>DTEL</t>
        </is>
      </c>
      <c r="C305" s="120" t="inlineStr">
        <is>
          <t>Pessoal</t>
        </is>
      </c>
      <c r="D305" s="120" t="inlineStr">
        <is>
          <t>Rescisões</t>
        </is>
      </c>
      <c r="E305" s="120" t="inlineStr">
        <is>
          <t>MICHELANGELO</t>
        </is>
      </c>
      <c r="F305" s="120" t="n">
        <v>1</v>
      </c>
      <c r="G305" s="121" t="n">
        <v>6816.97</v>
      </c>
      <c r="H305" s="121">
        <f>G305*F305</f>
        <v/>
      </c>
      <c r="I305" s="120" t="inlineStr">
        <is>
          <t>Real (cruzado por nome, planilha de rescisões, competência 07/2026)</t>
        </is>
      </c>
    </row>
    <row r="306" ht="14.25" customHeight="1" s="64">
      <c r="A306" s="120" t="inlineStr">
        <is>
          <t>Julho/2026</t>
        </is>
      </c>
      <c r="B306" s="120" t="inlineStr">
        <is>
          <t>DTEL</t>
        </is>
      </c>
      <c r="C306" s="120" t="inlineStr">
        <is>
          <t>Pessoal</t>
        </is>
      </c>
      <c r="D306" s="120" t="inlineStr">
        <is>
          <t>Folha Trabalhista com impostos do mês</t>
        </is>
      </c>
      <c r="E306" s="120" t="inlineStr">
        <is>
          <t>TARCIZIO MEIRELES</t>
        </is>
      </c>
      <c r="F306" s="120" t="n">
        <v>1</v>
      </c>
      <c r="G306" s="121" t="n">
        <v>34886.0380622222</v>
      </c>
      <c r="H306" s="121">
        <f>G306*F306</f>
        <v/>
      </c>
      <c r="I306" s="120" t="inlineStr">
        <is>
          <t>Real (cruzado por nome, equipe Tarcizio Meireles - VENDAS PAP, 17 colaboradores) | Ajustado 24/08/2026: subtraído o custo de folha de Jose Zenildo da Silva (R$ 4661.82), que passou a ter linha própria de van/kombi, para não contar 2x.</t>
        </is>
      </c>
    </row>
    <row r="307" ht="14.25" customHeight="1" s="64">
      <c r="A307" s="120" t="inlineStr">
        <is>
          <t>Julho/2026</t>
        </is>
      </c>
      <c r="B307" s="110" t="inlineStr">
        <is>
          <t>DTEL</t>
        </is>
      </c>
      <c r="C307" s="110" t="inlineStr">
        <is>
          <t>Pessoal</t>
        </is>
      </c>
      <c r="D307" s="110" t="inlineStr">
        <is>
          <t>Vale Transporte</t>
        </is>
      </c>
      <c r="E307" s="110" t="inlineStr">
        <is>
          <t>TARCIZIO MEIRELES</t>
        </is>
      </c>
      <c r="F307" s="110" t="n">
        <v>1</v>
      </c>
      <c r="G307" s="110" t="n">
        <v>1152.22</v>
      </c>
      <c r="H307" s="121">
        <f>G307*F307</f>
        <v/>
      </c>
      <c r="I307" s="120" t="inlineStr">
        <is>
          <t>Estimado (fatia proporcional a folha real do coordenador), fatia de 17 colaboradores da equipe</t>
        </is>
      </c>
    </row>
    <row r="308" ht="14.25" customHeight="1" s="64">
      <c r="A308" s="120" t="inlineStr">
        <is>
          <t>Julho/2026</t>
        </is>
      </c>
      <c r="B308" s="120" t="inlineStr">
        <is>
          <t>DTEL</t>
        </is>
      </c>
      <c r="C308" s="120" t="inlineStr">
        <is>
          <t>Pessoal</t>
        </is>
      </c>
      <c r="D308" s="120" t="inlineStr">
        <is>
          <t>Despesas com RH</t>
        </is>
      </c>
      <c r="E308" s="120" t="inlineStr">
        <is>
          <t>TARCIZIO MEIRELES</t>
        </is>
      </c>
      <c r="F308" s="120" t="n">
        <v>17</v>
      </c>
      <c r="G308" s="121" t="n">
        <v>26</v>
      </c>
      <c r="H308" s="121">
        <f>G308*F308</f>
        <v/>
      </c>
      <c r="I308" s="120" t="inlineStr">
        <is>
          <t>Real (taxa fixa por colaborador, quantidade = equipe real VENDAS PAP)</t>
        </is>
      </c>
    </row>
    <row r="309" ht="14.25" customHeight="1" s="64">
      <c r="A309" s="120" t="inlineStr">
        <is>
          <t>Julho/2026</t>
        </is>
      </c>
      <c r="B309" s="110" t="inlineStr">
        <is>
          <t>DTEL</t>
        </is>
      </c>
      <c r="C309" s="110" t="inlineStr">
        <is>
          <t>Pessoal</t>
        </is>
      </c>
      <c r="D309" s="110" t="inlineStr">
        <is>
          <t>Despesas com DP</t>
        </is>
      </c>
      <c r="E309" s="110" t="inlineStr">
        <is>
          <t>TARCIZIO MEIRELES</t>
        </is>
      </c>
      <c r="F309" s="110" t="n">
        <v>17</v>
      </c>
      <c r="G309" s="110" t="n">
        <v>42.77</v>
      </c>
      <c r="H309" s="110">
        <f>G309*F309</f>
        <v/>
      </c>
      <c r="I309" s="110" t="inlineStr">
        <is>
          <t>Real (taxa fixa por colaborador, quantidade = equipe real VENDAS PAP)</t>
        </is>
      </c>
    </row>
    <row r="310" ht="14.25" customHeight="1" s="64">
      <c r="A310" s="120" t="inlineStr">
        <is>
          <t>Julho/2026</t>
        </is>
      </c>
      <c r="B310" s="120" t="inlineStr">
        <is>
          <t>DTEL</t>
        </is>
      </c>
      <c r="C310" s="120" t="inlineStr">
        <is>
          <t>Segurança do Trabalho</t>
        </is>
      </c>
      <c r="D310" s="120" t="inlineStr">
        <is>
          <t>Despesas com SST</t>
        </is>
      </c>
      <c r="E310" s="120" t="inlineStr">
        <is>
          <t>TARCIZIO MEIRELES</t>
        </is>
      </c>
      <c r="F310" s="120" t="n">
        <v>17</v>
      </c>
      <c r="G310" s="121" t="n">
        <v>63.75</v>
      </c>
      <c r="H310" s="121">
        <f>G310*F310</f>
        <v/>
      </c>
      <c r="I310" s="120" t="inlineStr">
        <is>
          <t>Real (taxa fixa por colaborador, quantidade = equipe real VENDAS PAP)</t>
        </is>
      </c>
    </row>
    <row r="311" ht="14.25" customHeight="1" s="64">
      <c r="A311" s="120" t="inlineStr">
        <is>
          <t>Julho/2026</t>
        </is>
      </c>
      <c r="B311" s="120" t="inlineStr">
        <is>
          <t>DTEL</t>
        </is>
      </c>
      <c r="C311" s="120" t="inlineStr">
        <is>
          <t>Segurança do Trabalho</t>
        </is>
      </c>
      <c r="D311" s="120" t="inlineStr">
        <is>
          <t>Despesas SST exames</t>
        </is>
      </c>
      <c r="E311" s="120" t="inlineStr">
        <is>
          <t>TARCIZIO MEIRELES</t>
        </is>
      </c>
      <c r="F311" s="120" t="n">
        <v>1</v>
      </c>
      <c r="G311" s="121" t="n">
        <v>154.78</v>
      </c>
      <c r="H311" s="121">
        <f>G311*F311</f>
        <v/>
      </c>
      <c r="I311" s="120" t="inlineStr">
        <is>
          <t>Estimado (fatia proporcional a folha real do coordenador), fatia de 17 colaboradores da equipe</t>
        </is>
      </c>
    </row>
    <row r="312" ht="14.25" customHeight="1" s="64">
      <c r="A312" s="120" t="inlineStr">
        <is>
          <t>Julho/2026</t>
        </is>
      </c>
      <c r="B312" s="120" t="inlineStr">
        <is>
          <t>DTEL</t>
        </is>
      </c>
      <c r="C312" s="120" t="inlineStr">
        <is>
          <t>Fardamento</t>
        </is>
      </c>
      <c r="D312" s="120" t="inlineStr">
        <is>
          <t>Novo Fardamento</t>
        </is>
      </c>
      <c r="E312" s="120" t="inlineStr">
        <is>
          <t>TARCIZIO MEIRELES</t>
        </is>
      </c>
      <c r="F312" s="120" t="n">
        <v>1</v>
      </c>
      <c r="G312" s="121" t="n">
        <v>296.91</v>
      </c>
      <c r="H312" s="121">
        <f>G312*F312</f>
        <v/>
      </c>
      <c r="I312" s="120" t="inlineStr">
        <is>
          <t>Estimado (fatia proporcional a folha real do coordenador), fatia de 17 colaboradores da equipe</t>
        </is>
      </c>
    </row>
    <row r="313" ht="14.25" customHeight="1" s="64">
      <c r="A313" s="120" t="inlineStr">
        <is>
          <t>Julho/2026</t>
        </is>
      </c>
      <c r="B313" s="120" t="inlineStr">
        <is>
          <t>DTEL</t>
        </is>
      </c>
      <c r="C313" s="120" t="inlineStr">
        <is>
          <t>Fardamento</t>
        </is>
      </c>
      <c r="D313" s="120" t="inlineStr">
        <is>
          <t>Substituição extra de Fardamento</t>
        </is>
      </c>
      <c r="E313" s="120" t="inlineStr">
        <is>
          <t>TARCIZIO MEIRELES</t>
        </is>
      </c>
      <c r="F313" s="120" t="n">
        <v>1</v>
      </c>
      <c r="G313" s="121" t="n">
        <v>86.06999999999999</v>
      </c>
      <c r="H313" s="121">
        <f>G313*F313</f>
        <v/>
      </c>
      <c r="I313" s="120" t="inlineStr">
        <is>
          <t>Estimado (fatia proporcional a folha real do coordenador), fatia de 17 colaboradores da equipe</t>
        </is>
      </c>
    </row>
    <row r="314" ht="14.25" customHeight="1" s="64">
      <c r="A314" s="120" t="inlineStr">
        <is>
          <t>Julho/2026</t>
        </is>
      </c>
      <c r="B314" s="120" t="inlineStr">
        <is>
          <t>DTEL</t>
        </is>
      </c>
      <c r="C314" s="120" t="inlineStr">
        <is>
          <t>Estrutura/Infra</t>
        </is>
      </c>
      <c r="D314" s="120" t="inlineStr">
        <is>
          <t>Linhas moveis (FIQUE MÓVEL)</t>
        </is>
      </c>
      <c r="E314" s="120" t="inlineStr">
        <is>
          <t>TARCIZIO MEIRELES</t>
        </is>
      </c>
      <c r="F314" s="120" t="n">
        <v>17</v>
      </c>
      <c r="G314" s="121" t="n">
        <v>30</v>
      </c>
      <c r="H314" s="121">
        <f>G314*F314</f>
        <v/>
      </c>
      <c r="I314" s="120" t="inlineStr">
        <is>
          <t>Real (taxa fixa por colaborador, quantidade = equipe real VENDAS PAP)</t>
        </is>
      </c>
    </row>
    <row r="315" ht="14.25" customHeight="1" s="64">
      <c r="A315" s="120" t="inlineStr">
        <is>
          <t>Julho/2026</t>
        </is>
      </c>
      <c r="B315" s="120" t="inlineStr">
        <is>
          <t>DTEL</t>
        </is>
      </c>
      <c r="C315" s="120" t="inlineStr">
        <is>
          <t>Benefícios</t>
        </is>
      </c>
      <c r="D315" s="120" t="inlineStr">
        <is>
          <t>Gympass</t>
        </is>
      </c>
      <c r="E315" s="120" t="inlineStr">
        <is>
          <t>TARCIZIO MEIRELES</t>
        </is>
      </c>
      <c r="F315" s="120" t="n">
        <v>17</v>
      </c>
      <c r="G315" s="121" t="n">
        <v>9.85</v>
      </c>
      <c r="H315" s="121">
        <f>G315*F315</f>
        <v/>
      </c>
      <c r="I315" s="120" t="inlineStr">
        <is>
          <t>Real (taxa fixa por colaborador, quantidade = equipe real VENDAS PAP)</t>
        </is>
      </c>
    </row>
    <row r="316" ht="14.25" customHeight="1" s="64">
      <c r="A316" s="120" t="inlineStr">
        <is>
          <t>Julho/2026</t>
        </is>
      </c>
      <c r="B316" s="120" t="inlineStr">
        <is>
          <t>DTEL</t>
        </is>
      </c>
      <c r="C316" s="120" t="inlineStr">
        <is>
          <t>Benefícios</t>
        </is>
      </c>
      <c r="D316" s="120" t="inlineStr">
        <is>
          <t>Stargrid</t>
        </is>
      </c>
      <c r="E316" s="120" t="inlineStr">
        <is>
          <t>TARCIZIO MEIRELES</t>
        </is>
      </c>
      <c r="F316" s="120" t="n">
        <v>17</v>
      </c>
      <c r="G316" s="121" t="n">
        <v>2.04</v>
      </c>
      <c r="H316" s="121">
        <f>G316*F316</f>
        <v/>
      </c>
      <c r="I316" s="120" t="inlineStr">
        <is>
          <t>Real (taxa fixa por colaborador, quantidade = equipe real VENDAS PAP)</t>
        </is>
      </c>
    </row>
    <row r="317" ht="14.25" customHeight="1" s="64">
      <c r="A317" s="120" t="inlineStr">
        <is>
          <t>Julho/2026</t>
        </is>
      </c>
      <c r="B317" s="120" t="inlineStr">
        <is>
          <t>DTEL</t>
        </is>
      </c>
      <c r="C317" s="120" t="inlineStr">
        <is>
          <t>Frota/Combustível</t>
        </is>
      </c>
      <c r="D317" s="120" t="inlineStr">
        <is>
          <t>Consumo de combustível</t>
        </is>
      </c>
      <c r="E317" s="120" t="inlineStr">
        <is>
          <t>TARCIZIO MEIRELES</t>
        </is>
      </c>
      <c r="F317" s="120" t="n">
        <v>1</v>
      </c>
      <c r="G317" s="121" t="n">
        <v>4021.66</v>
      </c>
      <c r="H317" s="121">
        <f>G317*F317</f>
        <v/>
      </c>
      <c r="I317" s="120" t="inlineStr">
        <is>
          <t>Real (cruzado por nome, planilha de combustível) | Ajustado 24/08/2026: subtraído o combustível de Jose Zenildo da Silva (R$ 4067.27), que passou a ter linha própria de van/kombi, para não contar 2x.</t>
        </is>
      </c>
    </row>
    <row r="318" ht="14.25" customHeight="1" s="64">
      <c r="A318" s="120" t="inlineStr">
        <is>
          <t>Julho/2026</t>
        </is>
      </c>
      <c r="B318" s="120" t="inlineStr">
        <is>
          <t>DX2</t>
        </is>
      </c>
      <c r="C318" s="120" t="inlineStr">
        <is>
          <t>Pessoal</t>
        </is>
      </c>
      <c r="D318" s="120" t="inlineStr">
        <is>
          <t>Folha Trabalhista com impostos do mês</t>
        </is>
      </c>
      <c r="E318" s="120" t="inlineStr">
        <is>
          <t>TIAGO</t>
        </is>
      </c>
      <c r="F318" s="120" t="n">
        <v>1</v>
      </c>
      <c r="G318" s="121" t="n">
        <v>24757.86</v>
      </c>
      <c r="H318" s="121">
        <f>G318*F318</f>
        <v/>
      </c>
      <c r="I318" s="120" t="inlineStr">
        <is>
          <t>Real (cruzado por nome, equipe Tiago - VENDAS PAP, 14 colaboradores)</t>
        </is>
      </c>
    </row>
    <row r="319" ht="14.25" customHeight="1" s="64">
      <c r="A319" s="120" t="inlineStr">
        <is>
          <t>Julho/2026</t>
        </is>
      </c>
      <c r="B319" s="120" t="inlineStr">
        <is>
          <t>DX2</t>
        </is>
      </c>
      <c r="C319" s="120" t="inlineStr">
        <is>
          <t>Pessoal</t>
        </is>
      </c>
      <c r="D319" s="120" t="inlineStr">
        <is>
          <t>Despesas com RH</t>
        </is>
      </c>
      <c r="E319" s="120" t="inlineStr">
        <is>
          <t>TIAGO</t>
        </is>
      </c>
      <c r="F319" s="120" t="n">
        <v>14</v>
      </c>
      <c r="G319" s="121" t="n">
        <v>26</v>
      </c>
      <c r="H319" s="121">
        <f>G319*F319</f>
        <v/>
      </c>
      <c r="I319" s="120" t="inlineStr">
        <is>
          <t>Real (taxa fixa por colaborador, quantidade = equipe real VENDAS PAP)</t>
        </is>
      </c>
    </row>
    <row r="320" ht="14.25" customHeight="1" s="64">
      <c r="A320" s="120" t="inlineStr">
        <is>
          <t>Julho/2026</t>
        </is>
      </c>
      <c r="B320" s="120" t="inlineStr">
        <is>
          <t>DX2</t>
        </is>
      </c>
      <c r="C320" s="120" t="inlineStr">
        <is>
          <t>Pessoal</t>
        </is>
      </c>
      <c r="D320" s="120" t="inlineStr">
        <is>
          <t>Despesas com DP</t>
        </is>
      </c>
      <c r="E320" s="120" t="inlineStr">
        <is>
          <t>TIAGO</t>
        </is>
      </c>
      <c r="F320" s="120" t="n">
        <v>14</v>
      </c>
      <c r="G320" s="121" t="n">
        <v>42.77</v>
      </c>
      <c r="H320" s="121">
        <f>G320*F320</f>
        <v/>
      </c>
      <c r="I320" s="120" t="inlineStr">
        <is>
          <t>Real (taxa fixa por colaborador, quantidade = equipe real VENDAS PAP)</t>
        </is>
      </c>
    </row>
    <row r="321" ht="14.25" customHeight="1" s="64">
      <c r="A321" s="120" t="inlineStr">
        <is>
          <t>Julho/2026</t>
        </is>
      </c>
      <c r="B321" s="120" t="inlineStr">
        <is>
          <t>DX2</t>
        </is>
      </c>
      <c r="C321" s="120" t="inlineStr">
        <is>
          <t>Segurança do Trabalho</t>
        </is>
      </c>
      <c r="D321" s="120" t="inlineStr">
        <is>
          <t>Despesas com SST</t>
        </is>
      </c>
      <c r="E321" s="120" t="inlineStr">
        <is>
          <t>TIAGO</t>
        </is>
      </c>
      <c r="F321" s="120" t="n">
        <v>14</v>
      </c>
      <c r="G321" s="121" t="n">
        <v>63.75</v>
      </c>
      <c r="H321" s="121">
        <f>G321*F321</f>
        <v/>
      </c>
      <c r="I321" s="120" t="inlineStr">
        <is>
          <t>Real (taxa fixa por colaborador, quantidade = equipe real VENDAS PAP)</t>
        </is>
      </c>
    </row>
    <row r="322" ht="14.25" customHeight="1" s="64">
      <c r="A322" s="120" t="inlineStr">
        <is>
          <t>Julho/2026</t>
        </is>
      </c>
      <c r="B322" s="120" t="inlineStr">
        <is>
          <t>DX2</t>
        </is>
      </c>
      <c r="C322" s="120" t="inlineStr">
        <is>
          <t>Segurança do Trabalho</t>
        </is>
      </c>
      <c r="D322" s="120" t="inlineStr">
        <is>
          <t>Despesas SST exames</t>
        </is>
      </c>
      <c r="E322" s="120" t="inlineStr">
        <is>
          <t>TIAGO</t>
        </is>
      </c>
      <c r="F322" s="120" t="n">
        <v>1</v>
      </c>
      <c r="G322" s="121" t="n">
        <v>151.6</v>
      </c>
      <c r="H322" s="121">
        <f>G322*F322</f>
        <v/>
      </c>
      <c r="I322" s="120" t="inlineStr">
        <is>
          <t>Real (100% do total da empresa, único coordenador)</t>
        </is>
      </c>
    </row>
    <row r="323" ht="14.25" customHeight="1" s="64">
      <c r="A323" s="120" t="inlineStr">
        <is>
          <t>Julho/2026</t>
        </is>
      </c>
      <c r="B323" s="120" t="inlineStr">
        <is>
          <t>DX2</t>
        </is>
      </c>
      <c r="C323" s="120" t="inlineStr">
        <is>
          <t>Estrutura/Infra</t>
        </is>
      </c>
      <c r="D323" s="120" t="inlineStr">
        <is>
          <t>Linhas moveis (FIQUE MÓVEL)</t>
        </is>
      </c>
      <c r="E323" s="120" t="inlineStr">
        <is>
          <t>TIAGO</t>
        </is>
      </c>
      <c r="F323" s="120" t="n">
        <v>14</v>
      </c>
      <c r="G323" s="121" t="n">
        <v>30</v>
      </c>
      <c r="H323" s="121">
        <f>G323*F323</f>
        <v/>
      </c>
      <c r="I323" s="120" t="inlineStr">
        <is>
          <t>Real (taxa fixa por colaborador, quantidade = equipe real VENDAS PAP)</t>
        </is>
      </c>
    </row>
    <row r="324" ht="15" customHeight="1" s="64">
      <c r="A324" s="120" t="inlineStr">
        <is>
          <t>Julho/2026</t>
        </is>
      </c>
      <c r="B324" s="120" t="inlineStr">
        <is>
          <t>DX2</t>
        </is>
      </c>
      <c r="C324" s="120" t="inlineStr">
        <is>
          <t>Benefícios</t>
        </is>
      </c>
      <c r="D324" s="120" t="inlineStr">
        <is>
          <t>Gympass</t>
        </is>
      </c>
      <c r="E324" s="120" t="inlineStr">
        <is>
          <t>TIAGO</t>
        </is>
      </c>
      <c r="F324" s="120" t="n">
        <v>14</v>
      </c>
      <c r="G324" s="121" t="n">
        <v>9.85</v>
      </c>
      <c r="H324" s="121">
        <f>G324*F324</f>
        <v/>
      </c>
      <c r="I324" s="120" t="inlineStr">
        <is>
          <t>Real (taxa fixa por colaborador, quantidade = equipe real VENDAS PAP)</t>
        </is>
      </c>
    </row>
    <row r="325" ht="14.25" customHeight="1" s="64">
      <c r="A325" s="120" t="inlineStr">
        <is>
          <t>Julho/2026</t>
        </is>
      </c>
      <c r="B325" s="120" t="inlineStr">
        <is>
          <t>DX2</t>
        </is>
      </c>
      <c r="C325" s="120" t="inlineStr">
        <is>
          <t>Benefícios</t>
        </is>
      </c>
      <c r="D325" s="120" t="inlineStr">
        <is>
          <t>Stargrid</t>
        </is>
      </c>
      <c r="E325" s="120" t="inlineStr">
        <is>
          <t>TIAGO</t>
        </is>
      </c>
      <c r="F325" s="120" t="n">
        <v>14</v>
      </c>
      <c r="G325" s="121" t="n">
        <v>2.04</v>
      </c>
      <c r="H325" s="121">
        <f>G325*F325</f>
        <v/>
      </c>
      <c r="I325" s="120" t="inlineStr">
        <is>
          <t>Real (taxa fixa por colaborador, quantidade = equipe real VENDAS PAP)</t>
        </is>
      </c>
    </row>
    <row r="326" ht="14.25" customHeight="1" s="64">
      <c r="A326" s="120" t="inlineStr">
        <is>
          <t>Julho/2026</t>
        </is>
      </c>
      <c r="B326" s="120" t="inlineStr">
        <is>
          <t>DX2</t>
        </is>
      </c>
      <c r="C326" s="120" t="inlineStr">
        <is>
          <t>Frota/Combustível</t>
        </is>
      </c>
      <c r="D326" s="120" t="inlineStr">
        <is>
          <t>Consumo de combustível</t>
        </is>
      </c>
      <c r="E326" s="120" t="inlineStr">
        <is>
          <t>TIAGO</t>
        </is>
      </c>
      <c r="F326" s="120" t="n">
        <v>1</v>
      </c>
      <c r="G326" s="121" t="n">
        <v>1619.89</v>
      </c>
      <c r="H326" s="121">
        <f>G326*F326</f>
        <v/>
      </c>
      <c r="I326" s="120" t="inlineStr">
        <is>
          <t>Real (cruzado por nome, planilha de combustível)</t>
        </is>
      </c>
    </row>
    <row r="327" ht="14.25" customHeight="1" s="64">
      <c r="A327" s="120" t="inlineStr">
        <is>
          <t>Julho/2026</t>
        </is>
      </c>
      <c r="B327" s="120" t="inlineStr">
        <is>
          <t>DX2</t>
        </is>
      </c>
      <c r="C327" s="120" t="inlineStr">
        <is>
          <t>Pessoal</t>
        </is>
      </c>
      <c r="D327" s="120" t="inlineStr">
        <is>
          <t>Rescisões</t>
        </is>
      </c>
      <c r="E327" s="120" t="inlineStr">
        <is>
          <t>TIAGO</t>
        </is>
      </c>
      <c r="F327" s="120" t="n">
        <v>1</v>
      </c>
      <c r="G327" s="121" t="n">
        <v>13894.53</v>
      </c>
      <c r="H327" s="121">
        <f>G327*F327</f>
        <v/>
      </c>
      <c r="I327" s="120" t="inlineStr">
        <is>
          <t>Real (cruzado por nome, planilha de rescisões, competência 07/2026)</t>
        </is>
      </c>
    </row>
    <row r="328" ht="14.25" customHeight="1" s="64">
      <c r="A328" s="120" t="inlineStr">
        <is>
          <t>Julho/2026</t>
        </is>
      </c>
      <c r="B328" s="120" t="inlineStr">
        <is>
          <t>Voicenet</t>
        </is>
      </c>
      <c r="C328" s="120" t="inlineStr">
        <is>
          <t>Pessoal</t>
        </is>
      </c>
      <c r="D328" s="120" t="inlineStr">
        <is>
          <t>Folha Trabalhista com impostos do mês</t>
        </is>
      </c>
      <c r="E328" s="120" t="inlineStr">
        <is>
          <t>MICHELANGELO</t>
        </is>
      </c>
      <c r="F328" s="120" t="n">
        <v>1</v>
      </c>
      <c r="G328" s="121" t="n">
        <v>5461.35</v>
      </c>
      <c r="H328" s="121">
        <f>G328*F328</f>
        <v/>
      </c>
      <c r="I328" s="120" t="inlineStr">
        <is>
          <t>Real (cruzado por nome, equipe Michelangelo - VENDAS PAP, 2 colaboradores)</t>
        </is>
      </c>
    </row>
    <row r="329" ht="14.25" customHeight="1" s="64">
      <c r="A329" s="120" t="inlineStr">
        <is>
          <t>Julho/2026</t>
        </is>
      </c>
      <c r="B329" s="120" t="inlineStr">
        <is>
          <t>Voicenet</t>
        </is>
      </c>
      <c r="C329" s="120" t="inlineStr">
        <is>
          <t>Pessoal</t>
        </is>
      </c>
      <c r="D329" s="120" t="inlineStr">
        <is>
          <t>Despesas com RH</t>
        </is>
      </c>
      <c r="E329" s="120" t="inlineStr">
        <is>
          <t>MICHELANGELO</t>
        </is>
      </c>
      <c r="F329" s="120" t="n">
        <v>2</v>
      </c>
      <c r="G329" s="121" t="n">
        <v>26</v>
      </c>
      <c r="H329" s="121">
        <f>G329*F329</f>
        <v/>
      </c>
      <c r="I329" s="120" t="inlineStr">
        <is>
          <t>Real (taxa fixa por colaborador, quantidade = equipe real VENDAS PAP)</t>
        </is>
      </c>
    </row>
    <row r="330" ht="14.25" customHeight="1" s="64">
      <c r="A330" s="120" t="inlineStr">
        <is>
          <t>Julho/2026</t>
        </is>
      </c>
      <c r="B330" s="120" t="inlineStr">
        <is>
          <t>Voicenet</t>
        </is>
      </c>
      <c r="C330" s="120" t="inlineStr">
        <is>
          <t>Pessoal</t>
        </is>
      </c>
      <c r="D330" s="120" t="inlineStr">
        <is>
          <t>Despesas com DP</t>
        </is>
      </c>
      <c r="E330" s="120" t="inlineStr">
        <is>
          <t>MICHELANGELO</t>
        </is>
      </c>
      <c r="F330" s="120" t="n">
        <v>2</v>
      </c>
      <c r="G330" s="121" t="n">
        <v>42.77</v>
      </c>
      <c r="H330" s="121">
        <f>G330*F330</f>
        <v/>
      </c>
      <c r="I330" s="120" t="inlineStr">
        <is>
          <t>Real (taxa fixa por colaborador, quantidade = equipe real VENDAS PAP)</t>
        </is>
      </c>
    </row>
    <row r="331" ht="14.25" customHeight="1" s="64">
      <c r="A331" s="120" t="inlineStr">
        <is>
          <t>Julho/2026</t>
        </is>
      </c>
      <c r="B331" s="120" t="inlineStr">
        <is>
          <t>Voicenet</t>
        </is>
      </c>
      <c r="C331" s="120" t="inlineStr">
        <is>
          <t>Segurança do Trabalho</t>
        </is>
      </c>
      <c r="D331" s="120" t="inlineStr">
        <is>
          <t>Despesas com SST</t>
        </is>
      </c>
      <c r="E331" s="120" t="inlineStr">
        <is>
          <t>MICHELANGELO</t>
        </is>
      </c>
      <c r="F331" s="120" t="n">
        <v>2</v>
      </c>
      <c r="G331" s="121" t="n">
        <v>63.75</v>
      </c>
      <c r="H331" s="121">
        <f>G331*F331</f>
        <v/>
      </c>
      <c r="I331" s="120" t="inlineStr">
        <is>
          <t>Real (taxa fixa por colaborador, quantidade = equipe real VENDAS PAP)</t>
        </is>
      </c>
    </row>
    <row r="332" ht="14.25" customHeight="1" s="64">
      <c r="A332" s="120" t="inlineStr">
        <is>
          <t>Julho/2026</t>
        </is>
      </c>
      <c r="B332" s="120" t="inlineStr">
        <is>
          <t>Voicenet</t>
        </is>
      </c>
      <c r="C332" s="120" t="inlineStr">
        <is>
          <t>Estrutura/Infra</t>
        </is>
      </c>
      <c r="D332" s="120" t="inlineStr">
        <is>
          <t>Linhas moveis (FIQUE MÓVEL)</t>
        </is>
      </c>
      <c r="E332" s="120" t="inlineStr">
        <is>
          <t>MICHELANGELO</t>
        </is>
      </c>
      <c r="F332" s="120" t="n">
        <v>2</v>
      </c>
      <c r="G332" s="121" t="n">
        <v>30</v>
      </c>
      <c r="H332" s="121">
        <f>G332*F332</f>
        <v/>
      </c>
      <c r="I332" s="120" t="inlineStr">
        <is>
          <t>Real (taxa fixa por colaborador, quantidade = equipe real VENDAS PAP)</t>
        </is>
      </c>
    </row>
    <row r="333" ht="14.25" customHeight="1" s="64">
      <c r="A333" s="120" t="inlineStr">
        <is>
          <t>Julho/2026</t>
        </is>
      </c>
      <c r="B333" s="120" t="inlineStr">
        <is>
          <t>Voicenet</t>
        </is>
      </c>
      <c r="C333" s="120" t="inlineStr">
        <is>
          <t>Benefícios</t>
        </is>
      </c>
      <c r="D333" s="120" t="inlineStr">
        <is>
          <t>Gympass</t>
        </is>
      </c>
      <c r="E333" s="120" t="inlineStr">
        <is>
          <t>MICHELANGELO</t>
        </is>
      </c>
      <c r="F333" s="120" t="n">
        <v>2</v>
      </c>
      <c r="G333" s="121" t="n">
        <v>9.85</v>
      </c>
      <c r="H333" s="121">
        <f>G333*F333</f>
        <v/>
      </c>
      <c r="I333" s="120" t="inlineStr">
        <is>
          <t>Real (taxa fixa por colaborador, quantidade = equipe real VENDAS PAP)</t>
        </is>
      </c>
    </row>
    <row r="334" ht="14.25" customHeight="1" s="64">
      <c r="A334" s="120" t="inlineStr">
        <is>
          <t>Julho/2026</t>
        </is>
      </c>
      <c r="B334" s="120" t="inlineStr">
        <is>
          <t>Voicenet</t>
        </is>
      </c>
      <c r="C334" s="120" t="inlineStr">
        <is>
          <t>Benefícios</t>
        </is>
      </c>
      <c r="D334" s="120" t="inlineStr">
        <is>
          <t>Stargrid</t>
        </is>
      </c>
      <c r="E334" s="120" t="inlineStr">
        <is>
          <t>MICHELANGELO</t>
        </is>
      </c>
      <c r="F334" s="120" t="n">
        <v>2</v>
      </c>
      <c r="G334" s="121" t="n">
        <v>2.04</v>
      </c>
      <c r="H334" s="121">
        <f>G334*F334</f>
        <v/>
      </c>
      <c r="I334" s="120" t="inlineStr">
        <is>
          <t>Real (taxa fixa por colaborador, quantidade = equipe real VENDAS PAP)</t>
        </is>
      </c>
    </row>
    <row r="335" ht="14.25" customHeight="1" s="64">
      <c r="A335" s="120" t="inlineStr">
        <is>
          <t>Julho/2026</t>
        </is>
      </c>
      <c r="B335" s="120" t="inlineStr">
        <is>
          <t>Voicenet</t>
        </is>
      </c>
      <c r="C335" s="120" t="inlineStr">
        <is>
          <t>Frota/Combustível</t>
        </is>
      </c>
      <c r="D335" s="120" t="inlineStr">
        <is>
          <t>Consumo de combustível</t>
        </is>
      </c>
      <c r="E335" s="120" t="inlineStr">
        <is>
          <t>MICHELANGELO</t>
        </is>
      </c>
      <c r="F335" s="120" t="n">
        <v>1</v>
      </c>
      <c r="G335" s="121" t="n">
        <v>819.89</v>
      </c>
      <c r="H335" s="121">
        <f>G335*F335</f>
        <v/>
      </c>
      <c r="I335" s="120" t="inlineStr">
        <is>
          <t>Real (cruzado por nome, planilha de combustível)</t>
        </is>
      </c>
    </row>
    <row r="336" ht="14.25" customHeight="1" s="64">
      <c r="A336" s="120" t="inlineStr">
        <is>
          <t>Julho/2026</t>
        </is>
      </c>
      <c r="B336" s="120" t="inlineStr">
        <is>
          <t>Soares e Silva</t>
        </is>
      </c>
      <c r="C336" s="120" t="inlineStr">
        <is>
          <t>Pessoal</t>
        </is>
      </c>
      <c r="D336" s="120" t="inlineStr">
        <is>
          <t>Folha Trabalhista com impostos do mês</t>
        </is>
      </c>
      <c r="E336" s="120" t="inlineStr">
        <is>
          <t>TIAGO</t>
        </is>
      </c>
      <c r="F336" s="120" t="n">
        <v>1</v>
      </c>
      <c r="G336" s="121" t="n">
        <v>30952.41</v>
      </c>
      <c r="H336" s="121">
        <f>G336*F336</f>
        <v/>
      </c>
      <c r="I336" s="120" t="inlineStr">
        <is>
          <t>Real (cruzado por nome, equipe Tiago - VENDAS PAP, 20 colaboradores)</t>
        </is>
      </c>
    </row>
    <row r="337" ht="14.25" customHeight="1" s="64">
      <c r="A337" s="120" t="inlineStr">
        <is>
          <t>Julho/2026</t>
        </is>
      </c>
      <c r="B337" s="120" t="inlineStr">
        <is>
          <t>Soares e Silva</t>
        </is>
      </c>
      <c r="C337" s="120" t="inlineStr">
        <is>
          <t>Pessoal</t>
        </is>
      </c>
      <c r="D337" s="120" t="inlineStr">
        <is>
          <t>Vale Transporte</t>
        </is>
      </c>
      <c r="E337" s="120" t="inlineStr">
        <is>
          <t>TIAGO</t>
        </is>
      </c>
      <c r="F337" s="120" t="n">
        <v>1</v>
      </c>
      <c r="G337" s="121" t="n">
        <v>1854</v>
      </c>
      <c r="H337" s="121">
        <f>G337*F337</f>
        <v/>
      </c>
      <c r="I337" s="120" t="inlineStr">
        <is>
          <t>Real (100% do total da empresa, único coordenador)</t>
        </is>
      </c>
    </row>
    <row r="338" ht="14.25" customHeight="1" s="64">
      <c r="A338" s="120" t="inlineStr">
        <is>
          <t>Julho/2026</t>
        </is>
      </c>
      <c r="B338" s="120" t="inlineStr">
        <is>
          <t>Soares e Silva</t>
        </is>
      </c>
      <c r="C338" s="120" t="inlineStr">
        <is>
          <t>Pessoal</t>
        </is>
      </c>
      <c r="D338" s="120" t="inlineStr">
        <is>
          <t>Despesas com RH</t>
        </is>
      </c>
      <c r="E338" s="120" t="inlineStr">
        <is>
          <t>TIAGO</t>
        </is>
      </c>
      <c r="F338" s="120" t="n">
        <v>20</v>
      </c>
      <c r="G338" s="121" t="n">
        <v>26</v>
      </c>
      <c r="H338" s="121">
        <f>G338*F338</f>
        <v/>
      </c>
      <c r="I338" s="120" t="inlineStr">
        <is>
          <t>Real (taxa fixa por colaborador, quantidade = equipe real VENDAS PAP)</t>
        </is>
      </c>
    </row>
    <row r="339" ht="14.25" customHeight="1" s="64">
      <c r="A339" s="120" t="inlineStr">
        <is>
          <t>Julho/2026</t>
        </is>
      </c>
      <c r="B339" s="120" t="inlineStr">
        <is>
          <t>Soares e Silva</t>
        </is>
      </c>
      <c r="C339" s="120" t="inlineStr">
        <is>
          <t>Pessoal</t>
        </is>
      </c>
      <c r="D339" s="120" t="inlineStr">
        <is>
          <t>Despesas com DP</t>
        </is>
      </c>
      <c r="E339" s="120" t="inlineStr">
        <is>
          <t>TIAGO</t>
        </is>
      </c>
      <c r="F339" s="120" t="n">
        <v>20</v>
      </c>
      <c r="G339" s="121" t="n">
        <v>42.77</v>
      </c>
      <c r="H339" s="121">
        <f>G339*F339</f>
        <v/>
      </c>
      <c r="I339" s="120" t="inlineStr">
        <is>
          <t>Real (taxa fixa por colaborador, quantidade = equipe real VENDAS PAP)</t>
        </is>
      </c>
    </row>
    <row r="340" ht="14.25" customHeight="1" s="64">
      <c r="A340" s="120" t="inlineStr">
        <is>
          <t>Julho/2026</t>
        </is>
      </c>
      <c r="B340" s="120" t="inlineStr">
        <is>
          <t>Soares e Silva</t>
        </is>
      </c>
      <c r="C340" s="120" t="inlineStr">
        <is>
          <t>Segurança do Trabalho</t>
        </is>
      </c>
      <c r="D340" s="120" t="inlineStr">
        <is>
          <t>Despesas com SST</t>
        </is>
      </c>
      <c r="E340" s="120" t="inlineStr">
        <is>
          <t>TIAGO</t>
        </is>
      </c>
      <c r="F340" s="120" t="n">
        <v>20</v>
      </c>
      <c r="G340" s="121" t="n">
        <v>63.75</v>
      </c>
      <c r="H340" s="121">
        <f>G340*F340</f>
        <v/>
      </c>
      <c r="I340" s="120" t="inlineStr">
        <is>
          <t>Real (taxa fixa por colaborador, quantidade = equipe real VENDAS PAP)</t>
        </is>
      </c>
    </row>
    <row r="341" ht="14.25" customHeight="1" s="64">
      <c r="A341" s="120" t="inlineStr">
        <is>
          <t>Julho/2026</t>
        </is>
      </c>
      <c r="B341" s="120" t="inlineStr">
        <is>
          <t>Soares e Silva</t>
        </is>
      </c>
      <c r="C341" s="120" t="inlineStr">
        <is>
          <t>Estrutura/Infra</t>
        </is>
      </c>
      <c r="D341" s="120" t="inlineStr">
        <is>
          <t>Linhas moveis (FIQUE MÓVEL)</t>
        </is>
      </c>
      <c r="E341" s="120" t="inlineStr">
        <is>
          <t>TIAGO</t>
        </is>
      </c>
      <c r="F341" s="120" t="n">
        <v>20</v>
      </c>
      <c r="G341" s="121" t="n">
        <v>30</v>
      </c>
      <c r="H341" s="121">
        <f>G341*F341</f>
        <v/>
      </c>
      <c r="I341" s="120" t="inlineStr">
        <is>
          <t>Real (taxa fixa por colaborador, quantidade = equipe real VENDAS PAP)</t>
        </is>
      </c>
    </row>
    <row r="342" ht="14.25" customHeight="1" s="64">
      <c r="A342" s="120" t="inlineStr">
        <is>
          <t>Julho/2026</t>
        </is>
      </c>
      <c r="B342" s="120" t="inlineStr">
        <is>
          <t>Soares e Silva</t>
        </is>
      </c>
      <c r="C342" s="120" t="inlineStr">
        <is>
          <t>Benefícios</t>
        </is>
      </c>
      <c r="D342" s="120" t="inlineStr">
        <is>
          <t>Gympass</t>
        </is>
      </c>
      <c r="E342" s="120" t="inlineStr">
        <is>
          <t>TIAGO</t>
        </is>
      </c>
      <c r="F342" s="120" t="n">
        <v>20</v>
      </c>
      <c r="G342" s="121" t="n">
        <v>9.85</v>
      </c>
      <c r="H342" s="121">
        <f>G342*F342</f>
        <v/>
      </c>
      <c r="I342" s="120" t="inlineStr">
        <is>
          <t>Real (taxa fixa por colaborador, quantidade = equipe real VENDAS PAP)</t>
        </is>
      </c>
    </row>
    <row r="343" ht="14.25" customHeight="1" s="64">
      <c r="A343" s="120" t="inlineStr">
        <is>
          <t>Julho/2026</t>
        </is>
      </c>
      <c r="B343" s="120" t="inlineStr">
        <is>
          <t>Soares e Silva</t>
        </is>
      </c>
      <c r="C343" s="120" t="inlineStr">
        <is>
          <t>Benefícios</t>
        </is>
      </c>
      <c r="D343" s="120" t="inlineStr">
        <is>
          <t>Stargrid</t>
        </is>
      </c>
      <c r="E343" s="120" t="inlineStr">
        <is>
          <t>TIAGO</t>
        </is>
      </c>
      <c r="F343" s="120" t="n">
        <v>20</v>
      </c>
      <c r="G343" s="121" t="n">
        <v>2.04</v>
      </c>
      <c r="H343" s="121">
        <f>G343*F343</f>
        <v/>
      </c>
      <c r="I343" s="120" t="inlineStr">
        <is>
          <t>Real (taxa fixa por colaborador, quantidade = equipe real VENDAS PAP)</t>
        </is>
      </c>
    </row>
    <row r="344" ht="14.25" customHeight="1" s="64">
      <c r="A344" s="120" t="inlineStr">
        <is>
          <t>Julho/2026</t>
        </is>
      </c>
      <c r="B344" s="120" t="inlineStr">
        <is>
          <t>Soares e Silva</t>
        </is>
      </c>
      <c r="C344" s="120" t="inlineStr">
        <is>
          <t>Frota/Combustível</t>
        </is>
      </c>
      <c r="D344" s="120" t="inlineStr">
        <is>
          <t>Consumo de combustível</t>
        </is>
      </c>
      <c r="E344" s="120" t="inlineStr">
        <is>
          <t>TIAGO</t>
        </is>
      </c>
      <c r="F344" s="120" t="n">
        <v>1</v>
      </c>
      <c r="G344" s="121" t="n">
        <v>8955.16</v>
      </c>
      <c r="H344" s="121">
        <f>G344*F344</f>
        <v/>
      </c>
      <c r="I344" s="120" t="inlineStr">
        <is>
          <t>Real (cruzado por nome, planilha de combustível)</t>
        </is>
      </c>
    </row>
    <row r="345" ht="14.25" customHeight="1" s="64">
      <c r="A345" s="120" t="inlineStr">
        <is>
          <t>Julho/2026</t>
        </is>
      </c>
      <c r="B345" s="120" t="inlineStr">
        <is>
          <t>Soares e Silva</t>
        </is>
      </c>
      <c r="C345" s="120" t="inlineStr">
        <is>
          <t>Pessoal</t>
        </is>
      </c>
      <c r="D345" s="120" t="inlineStr">
        <is>
          <t>Rescisões</t>
        </is>
      </c>
      <c r="E345" s="120" t="inlineStr">
        <is>
          <t>TIAGO</t>
        </is>
      </c>
      <c r="F345" s="120" t="n">
        <v>1</v>
      </c>
      <c r="G345" s="121" t="n">
        <v>14147.43</v>
      </c>
      <c r="H345" s="121">
        <f>G345*F345</f>
        <v/>
      </c>
      <c r="I345" s="120" t="inlineStr">
        <is>
          <t>Real (cruzado por nome, planilha de rescisões, competência 07/2026)</t>
        </is>
      </c>
    </row>
    <row r="346" ht="14.25" customHeight="1" s="64">
      <c r="A346" s="120" t="inlineStr">
        <is>
          <t>Julho/2026</t>
        </is>
      </c>
      <c r="B346" s="120" t="inlineStr">
        <is>
          <t>Souza e Silva</t>
        </is>
      </c>
      <c r="C346" s="120" t="inlineStr">
        <is>
          <t>Pessoal</t>
        </is>
      </c>
      <c r="D346" s="120" t="inlineStr">
        <is>
          <t>Folha Trabalhista com impostos do mês</t>
        </is>
      </c>
      <c r="E346" s="120" t="inlineStr">
        <is>
          <t>TARCIZIO MEIRELES</t>
        </is>
      </c>
      <c r="F346" s="120" t="n">
        <v>1</v>
      </c>
      <c r="G346" s="121" t="n">
        <v>9667.49</v>
      </c>
      <c r="H346" s="121">
        <f>G346*F346</f>
        <v/>
      </c>
      <c r="I346" s="120" t="inlineStr">
        <is>
          <t>Real (cruzado por nome, equipe Tarcizio Meireles - VENDAS PAP, 5 colaboradores)</t>
        </is>
      </c>
    </row>
    <row r="347" ht="14.25" customHeight="1" s="64">
      <c r="A347" s="120" t="inlineStr">
        <is>
          <t>Julho/2026</t>
        </is>
      </c>
      <c r="B347" s="120" t="inlineStr">
        <is>
          <t>Souza e Silva</t>
        </is>
      </c>
      <c r="C347" s="120" t="inlineStr">
        <is>
          <t>Pessoal</t>
        </is>
      </c>
      <c r="D347" s="120" t="inlineStr">
        <is>
          <t>Despesas com RH</t>
        </is>
      </c>
      <c r="E347" s="120" t="inlineStr">
        <is>
          <t>TARCIZIO MEIRELES</t>
        </is>
      </c>
      <c r="F347" s="120" t="n">
        <v>5</v>
      </c>
      <c r="G347" s="121" t="n">
        <v>26</v>
      </c>
      <c r="H347" s="121">
        <f>G347*F347</f>
        <v/>
      </c>
      <c r="I347" s="120" t="inlineStr">
        <is>
          <t>Real (taxa fixa por colaborador, quantidade = equipe real VENDAS PAP)</t>
        </is>
      </c>
    </row>
    <row r="348" ht="14.25" customHeight="1" s="64">
      <c r="A348" s="120" t="inlineStr">
        <is>
          <t>Julho/2026</t>
        </is>
      </c>
      <c r="B348" s="120" t="inlineStr">
        <is>
          <t>Souza e Silva</t>
        </is>
      </c>
      <c r="C348" s="120" t="inlineStr">
        <is>
          <t>Pessoal</t>
        </is>
      </c>
      <c r="D348" s="120" t="inlineStr">
        <is>
          <t>Despesas com DP</t>
        </is>
      </c>
      <c r="E348" s="120" t="inlineStr">
        <is>
          <t>TARCIZIO MEIRELES</t>
        </is>
      </c>
      <c r="F348" s="120" t="n">
        <v>5</v>
      </c>
      <c r="G348" s="121" t="n">
        <v>42.77</v>
      </c>
      <c r="H348" s="121">
        <f>G348*F348</f>
        <v/>
      </c>
      <c r="I348" s="120" t="inlineStr">
        <is>
          <t>Real (taxa fixa por colaborador, quantidade = equipe real VENDAS PAP)</t>
        </is>
      </c>
    </row>
    <row r="349" ht="15" customHeight="1" s="64">
      <c r="A349" s="120" t="inlineStr">
        <is>
          <t>Julho/2026</t>
        </is>
      </c>
      <c r="B349" s="120" t="inlineStr">
        <is>
          <t>Souza e Silva</t>
        </is>
      </c>
      <c r="C349" s="120" t="inlineStr">
        <is>
          <t>Segurança do Trabalho</t>
        </is>
      </c>
      <c r="D349" s="120" t="inlineStr">
        <is>
          <t>Despesas com SST</t>
        </is>
      </c>
      <c r="E349" s="120" t="inlineStr">
        <is>
          <t>TARCIZIO MEIRELES</t>
        </is>
      </c>
      <c r="F349" s="120" t="n">
        <v>5</v>
      </c>
      <c r="G349" s="121" t="n">
        <v>63.75</v>
      </c>
      <c r="H349" s="121">
        <f>G349*F349</f>
        <v/>
      </c>
      <c r="I349" s="120" t="inlineStr">
        <is>
          <t>Real (taxa fixa por colaborador, quantidade = equipe real VENDAS PAP)</t>
        </is>
      </c>
    </row>
    <row r="350" ht="14.25" customHeight="1" s="64">
      <c r="A350" s="120" t="inlineStr">
        <is>
          <t>Julho/2026</t>
        </is>
      </c>
      <c r="B350" s="120" t="inlineStr">
        <is>
          <t>Souza e Silva</t>
        </is>
      </c>
      <c r="C350" s="120" t="inlineStr">
        <is>
          <t>Estrutura/Infra</t>
        </is>
      </c>
      <c r="D350" s="120" t="inlineStr">
        <is>
          <t>Linhas moveis (FIQUE MÓVEL)</t>
        </is>
      </c>
      <c r="E350" s="120" t="inlineStr">
        <is>
          <t>TARCIZIO MEIRELES</t>
        </is>
      </c>
      <c r="F350" s="120" t="n">
        <v>5</v>
      </c>
      <c r="G350" s="121" t="n">
        <v>30</v>
      </c>
      <c r="H350" s="121">
        <f>G350*F350</f>
        <v/>
      </c>
      <c r="I350" s="120" t="inlineStr">
        <is>
          <t>Real (taxa fixa por colaborador, quantidade = equipe real VENDAS PAP)</t>
        </is>
      </c>
    </row>
    <row r="351" ht="14.25" customHeight="1" s="64">
      <c r="A351" s="120" t="inlineStr">
        <is>
          <t>Julho/2026</t>
        </is>
      </c>
      <c r="B351" s="120" t="inlineStr">
        <is>
          <t>Souza e Silva</t>
        </is>
      </c>
      <c r="C351" s="120" t="inlineStr">
        <is>
          <t>Benefícios</t>
        </is>
      </c>
      <c r="D351" s="120" t="inlineStr">
        <is>
          <t>Gympass</t>
        </is>
      </c>
      <c r="E351" s="120" t="inlineStr">
        <is>
          <t>TARCIZIO MEIRELES</t>
        </is>
      </c>
      <c r="F351" s="120" t="n">
        <v>5</v>
      </c>
      <c r="G351" s="121" t="n">
        <v>9.85</v>
      </c>
      <c r="H351" s="121">
        <f>G351*F351</f>
        <v/>
      </c>
      <c r="I351" s="120" t="inlineStr">
        <is>
          <t>Real (taxa fixa por colaborador, quantidade = equipe real VENDAS PAP)</t>
        </is>
      </c>
    </row>
    <row r="352" ht="14.25" customHeight="1" s="64">
      <c r="A352" s="120" t="inlineStr">
        <is>
          <t>Julho/2026</t>
        </is>
      </c>
      <c r="B352" s="120" t="inlineStr">
        <is>
          <t>Souza e Silva</t>
        </is>
      </c>
      <c r="C352" s="120" t="inlineStr">
        <is>
          <t>Benefícios</t>
        </is>
      </c>
      <c r="D352" s="120" t="inlineStr">
        <is>
          <t>Stargrid</t>
        </is>
      </c>
      <c r="E352" s="120" t="inlineStr">
        <is>
          <t>TARCIZIO MEIRELES</t>
        </is>
      </c>
      <c r="F352" s="120" t="n">
        <v>5</v>
      </c>
      <c r="G352" s="121" t="n">
        <v>2.04</v>
      </c>
      <c r="H352" s="121">
        <f>G352*F352</f>
        <v/>
      </c>
      <c r="I352" s="120" t="inlineStr">
        <is>
          <t>Real (taxa fixa por colaborador, quantidade = equipe real VENDAS PAP)</t>
        </is>
      </c>
    </row>
    <row r="353" ht="14.25" customHeight="1" s="64">
      <c r="A353" s="120" t="inlineStr">
        <is>
          <t>Julho/2026</t>
        </is>
      </c>
      <c r="B353" s="120" t="inlineStr">
        <is>
          <t>Souza e Silva</t>
        </is>
      </c>
      <c r="C353" s="120" t="inlineStr">
        <is>
          <t>Frota/Combustível</t>
        </is>
      </c>
      <c r="D353" s="120" t="inlineStr">
        <is>
          <t>Consumo de combustível</t>
        </is>
      </c>
      <c r="E353" s="120" t="inlineStr">
        <is>
          <t>TARCIZIO MEIRELES</t>
        </is>
      </c>
      <c r="F353" s="120" t="n">
        <v>1</v>
      </c>
      <c r="G353" s="121" t="n">
        <v>685.08</v>
      </c>
      <c r="H353" s="121">
        <f>G353*F353</f>
        <v/>
      </c>
      <c r="I353" s="120" t="inlineStr">
        <is>
          <t>Real (cruzado por nome, planilha de combustível)</t>
        </is>
      </c>
    </row>
    <row r="354" ht="14.25" customHeight="1" s="64">
      <c r="A354" s="110" t="inlineStr">
        <is>
          <t>Maio/2026</t>
        </is>
      </c>
      <c r="B354" s="110" t="inlineStr">
        <is>
          <t>DTEL</t>
        </is>
      </c>
      <c r="C354" s="110" t="inlineStr">
        <is>
          <t>Pessoal</t>
        </is>
      </c>
      <c r="D354" s="110" t="inlineStr">
        <is>
          <t>Motorista da van (Jose Zenildo da Silva) — equipe Gleciane Roberta</t>
        </is>
      </c>
      <c r="E354" s="110" t="inlineStr">
        <is>
          <t>TARCIZIO MEIRELES</t>
        </is>
      </c>
      <c r="F354" s="110" t="n">
        <v>1</v>
      </c>
      <c r="G354" s="110" t="n">
        <v>3706.2</v>
      </c>
      <c r="H354" s="110">
        <f>F354*G354</f>
        <v/>
      </c>
      <c r="I354" s="110" t="inlineStr">
        <is>
          <t>Real (Custo Total da folha do colaborador, cruzado por nome na Base_Despesa_Trabalhista; retirado do total geral da equipe para não contar 2x)</t>
        </is>
      </c>
    </row>
    <row r="355" ht="15" customHeight="1" s="64">
      <c r="A355" s="110" t="inlineStr">
        <is>
          <t>Maio/2026</t>
        </is>
      </c>
      <c r="B355" s="110" t="inlineStr">
        <is>
          <t>DTEL</t>
        </is>
      </c>
      <c r="C355" s="110" t="inlineStr">
        <is>
          <t>Frota/Combustível</t>
        </is>
      </c>
      <c r="D355" s="110" t="inlineStr">
        <is>
          <t>Combustível/manutenção da van (Jose Zenildo da Silva) — equipe Gleciane Roberta</t>
        </is>
      </c>
      <c r="E355" s="110" t="inlineStr">
        <is>
          <t>TARCIZIO MEIRELES</t>
        </is>
      </c>
      <c r="F355" s="110" t="n">
        <v>1</v>
      </c>
      <c r="G355" s="110" t="n">
        <v>4519.1</v>
      </c>
      <c r="H355" s="110">
        <f>F355*G355</f>
        <v/>
      </c>
      <c r="I355" s="110" t="inlineStr">
        <is>
          <t>Real (cruzado por nome, planilha 'Combustível do rateio'; retirado do total geral da equipe para não contar 2x)</t>
        </is>
      </c>
    </row>
    <row r="356" ht="14.25" customHeight="1" s="64">
      <c r="A356" s="110" t="inlineStr">
        <is>
          <t>Junho/2026</t>
        </is>
      </c>
      <c r="B356" s="110" t="inlineStr">
        <is>
          <t>DTEL</t>
        </is>
      </c>
      <c r="C356" s="110" t="inlineStr">
        <is>
          <t>Pessoal</t>
        </is>
      </c>
      <c r="D356" s="110" t="inlineStr">
        <is>
          <t>Motorista da van (Jose Zenildo da Silva) — equipe Gleciane Roberta</t>
        </is>
      </c>
      <c r="E356" s="110" t="inlineStr">
        <is>
          <t>TARCIZIO MEIRELES</t>
        </is>
      </c>
      <c r="F356" s="110" t="n">
        <v>1</v>
      </c>
      <c r="G356" s="110" t="n">
        <v>5227.07</v>
      </c>
      <c r="H356" s="110">
        <f>F356*G356</f>
        <v/>
      </c>
      <c r="I356" s="110" t="inlineStr">
        <is>
          <t>Real (Custo Total da folha do colaborador, cruzado por nome na Base_Despesa_Trabalhista; retirado do total geral da equipe para não contar 2x)</t>
        </is>
      </c>
    </row>
    <row r="357" ht="14.25" customHeight="1" s="64">
      <c r="A357" s="110" t="inlineStr">
        <is>
          <t>Junho/2026</t>
        </is>
      </c>
      <c r="B357" s="110" t="inlineStr">
        <is>
          <t>DTEL</t>
        </is>
      </c>
      <c r="C357" s="110" t="inlineStr">
        <is>
          <t>Frota/Combustível</t>
        </is>
      </c>
      <c r="D357" s="110" t="inlineStr">
        <is>
          <t>Combustível/manutenção da van (Jose Zenildo da Silva) — equipe Gleciane Roberta</t>
        </is>
      </c>
      <c r="E357" s="110" t="inlineStr">
        <is>
          <t>TARCIZIO MEIRELES</t>
        </is>
      </c>
      <c r="F357" s="110" t="n">
        <v>1</v>
      </c>
      <c r="G357" s="110" t="n">
        <v>2688.78</v>
      </c>
      <c r="H357" s="110">
        <f>F357*G357</f>
        <v/>
      </c>
      <c r="I357" s="110" t="inlineStr">
        <is>
          <t>Real (cruzado por nome, planilha 'Combustível do rateio'; retirado do total geral da equipe para não contar 2x)</t>
        </is>
      </c>
    </row>
    <row r="358" ht="14.25" customHeight="1" s="64">
      <c r="A358" s="110" t="inlineStr">
        <is>
          <t>Julho/2026</t>
        </is>
      </c>
      <c r="B358" s="110" t="inlineStr">
        <is>
          <t>DTEL</t>
        </is>
      </c>
      <c r="C358" s="110" t="inlineStr">
        <is>
          <t>Pessoal</t>
        </is>
      </c>
      <c r="D358" s="110" t="inlineStr">
        <is>
          <t>Motorista da van (Jose Zenildo da Silva) — equipe Gleciane Roberta</t>
        </is>
      </c>
      <c r="E358" s="110" t="inlineStr">
        <is>
          <t>TARCIZIO MEIRELES</t>
        </is>
      </c>
      <c r="F358" s="110" t="n">
        <v>1</v>
      </c>
      <c r="G358" s="110" t="n">
        <v>4661.82</v>
      </c>
      <c r="H358" s="110">
        <f>F358*G358</f>
        <v/>
      </c>
      <c r="I358" s="110" t="inlineStr">
        <is>
          <t>Real (Custo Total da folha do colaborador, cruzado por nome na Base_Despesa_Trabalhista; retirado do total geral da equipe para não contar 2x)</t>
        </is>
      </c>
    </row>
    <row r="359" ht="14.25" customHeight="1" s="64">
      <c r="A359" s="110" t="inlineStr">
        <is>
          <t>Julho/2026</t>
        </is>
      </c>
      <c r="B359" s="110" t="inlineStr">
        <is>
          <t>DTEL</t>
        </is>
      </c>
      <c r="C359" s="110" t="inlineStr">
        <is>
          <t>Frota/Combustível</t>
        </is>
      </c>
      <c r="D359" s="110" t="inlineStr">
        <is>
          <t>Combustível/manutenção da van (Jose Zenildo da Silva) — equipe Gleciane Roberta</t>
        </is>
      </c>
      <c r="E359" s="110" t="inlineStr">
        <is>
          <t>TARCIZIO MEIRELES</t>
        </is>
      </c>
      <c r="F359" s="110" t="n">
        <v>1</v>
      </c>
      <c r="G359" s="110" t="n">
        <v>4067.27</v>
      </c>
      <c r="H359" s="110">
        <f>F359*G359</f>
        <v/>
      </c>
      <c r="I359" s="110" t="inlineStr">
        <is>
          <t>Real (cruzado por nome, planilha 'Combustível do rateio'; retirado do total geral da equipe para não contar 2x)</t>
        </is>
      </c>
    </row>
    <row r="360" ht="14.25" customHeight="1" s="64">
      <c r="A360" s="110" t="inlineStr">
        <is>
          <t>Maio/2026</t>
        </is>
      </c>
      <c r="B360" s="110" t="inlineStr">
        <is>
          <t>DTEL</t>
        </is>
      </c>
      <c r="C360" s="110" t="inlineStr">
        <is>
          <t>Pessoal</t>
        </is>
      </c>
      <c r="D360" s="110" t="inlineStr">
        <is>
          <t>Motorista da van (Pedro Moreira do Amaral) — equipe Fernanda Eduarda, parte 1</t>
        </is>
      </c>
      <c r="E360" s="110" t="inlineStr">
        <is>
          <t>ELTHON MENEZES</t>
        </is>
      </c>
      <c r="F360" s="110" t="n">
        <v>1</v>
      </c>
      <c r="G360" s="110" t="n">
        <v>3706.2</v>
      </c>
      <c r="H360" s="110">
        <f>F360*G360</f>
        <v/>
      </c>
      <c r="I360" s="110" t="inlineStr">
        <is>
          <t>Real (Custo Total da folha do colaborador, cruzado por nome na Base_Despesa_Trabalhista; retirado do total geral da equipe para não contar 2x)</t>
        </is>
      </c>
    </row>
    <row r="361" ht="14.25" customHeight="1" s="64">
      <c r="A361" s="110" t="inlineStr">
        <is>
          <t>Maio/2026</t>
        </is>
      </c>
      <c r="B361" s="110" t="inlineStr">
        <is>
          <t>DTEL</t>
        </is>
      </c>
      <c r="C361" s="110" t="inlineStr">
        <is>
          <t>Frota/Combustível</t>
        </is>
      </c>
      <c r="D361" s="110" t="inlineStr">
        <is>
          <t>Combustível/manutenção da van (Pedro Moreira do Amaral) — equipe Fernanda Eduarda, parte 1</t>
        </is>
      </c>
      <c r="E361" s="110" t="inlineStr">
        <is>
          <t>ELTHON MENEZES</t>
        </is>
      </c>
      <c r="F361" s="110" t="n">
        <v>1</v>
      </c>
      <c r="G361" s="110" t="n">
        <v>3423.22</v>
      </c>
      <c r="H361" s="110">
        <f>F361*G361</f>
        <v/>
      </c>
      <c r="I361" s="110" t="inlineStr">
        <is>
          <t>Real (cruzado por nome, planilha 'Combustível do rateio'; retirado do total geral da equipe para não contar 2x)</t>
        </is>
      </c>
    </row>
    <row r="362" ht="14.25" customHeight="1" s="64">
      <c r="A362" s="110" t="inlineStr">
        <is>
          <t>Junho/2026</t>
        </is>
      </c>
      <c r="B362" s="110" t="inlineStr">
        <is>
          <t>DTEL</t>
        </is>
      </c>
      <c r="C362" s="110" t="inlineStr">
        <is>
          <t>Pessoal</t>
        </is>
      </c>
      <c r="D362" s="110" t="inlineStr">
        <is>
          <t>Motorista da van (Pedro Moreira do Amaral) — equipe Fernanda Eduarda, parte 1</t>
        </is>
      </c>
      <c r="E362" s="110" t="inlineStr">
        <is>
          <t>ELTHON MENEZES</t>
        </is>
      </c>
      <c r="F362" s="110" t="n">
        <v>1</v>
      </c>
      <c r="G362" s="110" t="n">
        <v>4741.11</v>
      </c>
      <c r="H362" s="110">
        <f>F362*G362</f>
        <v/>
      </c>
      <c r="I362" s="110" t="inlineStr">
        <is>
          <t>Real (Custo Total da folha do colaborador, cruzado por nome na Base_Despesa_Trabalhista; retirado do total geral da equipe para não contar 2x)</t>
        </is>
      </c>
    </row>
    <row r="363" ht="14.25" customHeight="1" s="64">
      <c r="A363" s="110" t="inlineStr">
        <is>
          <t>Junho/2026</t>
        </is>
      </c>
      <c r="B363" s="110" t="inlineStr">
        <is>
          <t>DTEL</t>
        </is>
      </c>
      <c r="C363" s="110" t="inlineStr">
        <is>
          <t>Frota/Combustível</t>
        </is>
      </c>
      <c r="D363" s="110" t="inlineStr">
        <is>
          <t>Combustível/manutenção da van (Pedro Moreira do Amaral) — equipe Fernanda Eduarda, parte 1</t>
        </is>
      </c>
      <c r="E363" s="110" t="inlineStr">
        <is>
          <t>ELTHON MENEZES</t>
        </is>
      </c>
      <c r="F363" s="110" t="n">
        <v>1</v>
      </c>
      <c r="G363" s="110" t="n">
        <v>1887.24</v>
      </c>
      <c r="H363" s="110">
        <f>F363*G363</f>
        <v/>
      </c>
      <c r="I363" s="110" t="inlineStr">
        <is>
          <t>Real (cruzado por nome, planilha 'Combustível do rateio'; retirado do total geral da equipe para não contar 2x)</t>
        </is>
      </c>
    </row>
    <row r="364" ht="14.25" customHeight="1" s="64">
      <c r="A364" s="110" t="inlineStr">
        <is>
          <t>Julho/2026</t>
        </is>
      </c>
      <c r="B364" s="110" t="inlineStr">
        <is>
          <t>DTEL</t>
        </is>
      </c>
      <c r="C364" s="110" t="inlineStr">
        <is>
          <t>Pessoal</t>
        </is>
      </c>
      <c r="D364" s="110" t="inlineStr">
        <is>
          <t>Motorista da van (Pedro Moreira do Amaral) — equipe Fernanda Eduarda, parte 1</t>
        </is>
      </c>
      <c r="E364" s="110" t="inlineStr">
        <is>
          <t>ELTHON MENEZES</t>
        </is>
      </c>
      <c r="F364" s="110" t="n">
        <v>1</v>
      </c>
      <c r="G364" s="110" t="n">
        <v>4661.82</v>
      </c>
      <c r="H364" s="110">
        <f>F364*G364</f>
        <v/>
      </c>
      <c r="I364" s="110" t="inlineStr">
        <is>
          <t>Real (Custo Total da folha do colaborador, cruzado por nome na Base_Despesa_Trabalhista; retirado do total geral da equipe para não contar 2x)</t>
        </is>
      </c>
    </row>
    <row r="365" ht="14.25" customHeight="1" s="64">
      <c r="A365" s="110" t="inlineStr">
        <is>
          <t>Julho/2026</t>
        </is>
      </c>
      <c r="B365" s="110" t="inlineStr">
        <is>
          <t>DTEL</t>
        </is>
      </c>
      <c r="C365" s="110" t="inlineStr">
        <is>
          <t>Frota/Combustível</t>
        </is>
      </c>
      <c r="D365" s="110" t="inlineStr">
        <is>
          <t>Combustível/manutenção da van (Pedro Moreira do Amaral) — equipe Fernanda Eduarda, parte 1</t>
        </is>
      </c>
      <c r="E365" s="110" t="inlineStr">
        <is>
          <t>ELTHON MENEZES</t>
        </is>
      </c>
      <c r="F365" s="110" t="n">
        <v>1</v>
      </c>
      <c r="G365" s="110" t="n">
        <v>3029.1</v>
      </c>
      <c r="H365" s="110">
        <f>F365*G365</f>
        <v/>
      </c>
      <c r="I365" s="110" t="inlineStr">
        <is>
          <t>Real (cruzado por nome, planilha 'Combustível do rateio'; retirado do total geral da equipe para não contar 2x)</t>
        </is>
      </c>
    </row>
    <row r="366" ht="14.25" customHeight="1" s="64">
      <c r="A366" s="110" t="inlineStr">
        <is>
          <t>Maio/2026</t>
        </is>
      </c>
      <c r="B366" s="110" t="inlineStr">
        <is>
          <t>DTEL</t>
        </is>
      </c>
      <c r="C366" s="110" t="inlineStr">
        <is>
          <t>Pessoal</t>
        </is>
      </c>
      <c r="D366" s="110" t="inlineStr">
        <is>
          <t>Motorista da van (Felipe Lopes de Souza) — equipe Fernanda Eduarda, parte 2</t>
        </is>
      </c>
      <c r="E366" s="110" t="inlineStr">
        <is>
          <t>ELTHON MENEZES</t>
        </is>
      </c>
      <c r="F366" s="110" t="n">
        <v>1</v>
      </c>
      <c r="G366" s="110" t="n">
        <v>4503.24</v>
      </c>
      <c r="H366" s="110">
        <f>F366*G366</f>
        <v/>
      </c>
      <c r="I366" s="110" t="inlineStr">
        <is>
          <t>Real (Custo Total da folha do colaborador, cruzado por nome na Base_Despesa_Trabalhista; retirado do total geral da equipe para não contar 2x)</t>
        </is>
      </c>
    </row>
    <row r="367" ht="14.25" customHeight="1" s="64">
      <c r="A367" s="110" t="inlineStr">
        <is>
          <t>Maio/2026</t>
        </is>
      </c>
      <c r="B367" s="110" t="inlineStr">
        <is>
          <t>DTEL</t>
        </is>
      </c>
      <c r="C367" s="110" t="inlineStr">
        <is>
          <t>Frota/Combustível</t>
        </is>
      </c>
      <c r="D367" s="110" t="inlineStr">
        <is>
          <t>Combustível/manutenção da van (Felipe Lopes de Souza) — equipe Fernanda Eduarda, parte 2</t>
        </is>
      </c>
      <c r="E367" s="110" t="inlineStr">
        <is>
          <t>ELTHON MENEZES</t>
        </is>
      </c>
      <c r="F367" s="110" t="n">
        <v>1</v>
      </c>
      <c r="G367" s="110" t="n">
        <v>4841.72</v>
      </c>
      <c r="H367" s="110">
        <f>F367*G367</f>
        <v/>
      </c>
      <c r="I367" s="110" t="inlineStr">
        <is>
          <t>Real (cruzado por nome, planilha 'Combustível do rateio'; retirado do total geral da equipe para não contar 2x)</t>
        </is>
      </c>
    </row>
    <row r="368" ht="14.25" customHeight="1" s="64">
      <c r="A368" s="110" t="inlineStr">
        <is>
          <t>Junho/2026</t>
        </is>
      </c>
      <c r="B368" s="110" t="inlineStr">
        <is>
          <t>DTEL</t>
        </is>
      </c>
      <c r="C368" s="110" t="inlineStr">
        <is>
          <t>Pessoal</t>
        </is>
      </c>
      <c r="D368" s="110" t="inlineStr">
        <is>
          <t>Motorista da van (Felipe Lopes de Souza) — equipe Fernanda Eduarda, parte 2</t>
        </is>
      </c>
      <c r="E368" s="110" t="inlineStr">
        <is>
          <t>ELTHON MENEZES</t>
        </is>
      </c>
      <c r="F368" s="110" t="n">
        <v>1</v>
      </c>
      <c r="G368" s="110" t="n">
        <v>5374.25</v>
      </c>
      <c r="H368" s="110">
        <f>F368*G368</f>
        <v/>
      </c>
      <c r="I368" s="110" t="inlineStr">
        <is>
          <t>Real (Custo Total da folha do colaborador, cruzado por nome na Base_Despesa_Trabalhista; retirado do total geral da equipe para não contar 2x)</t>
        </is>
      </c>
    </row>
    <row r="369" ht="14.25" customHeight="1" s="64">
      <c r="A369" s="110" t="inlineStr">
        <is>
          <t>Junho/2026</t>
        </is>
      </c>
      <c r="B369" s="110" t="inlineStr">
        <is>
          <t>DTEL</t>
        </is>
      </c>
      <c r="C369" s="110" t="inlineStr">
        <is>
          <t>Frota/Combustível</t>
        </is>
      </c>
      <c r="D369" s="110" t="inlineStr">
        <is>
          <t>Combustível/manutenção da van (Felipe Lopes de Souza) — equipe Fernanda Eduarda, parte 2</t>
        </is>
      </c>
      <c r="E369" s="110" t="inlineStr">
        <is>
          <t>ELTHON MENEZES</t>
        </is>
      </c>
      <c r="F369" s="110" t="n">
        <v>1</v>
      </c>
      <c r="G369" s="110" t="n">
        <v>3112.86</v>
      </c>
      <c r="H369" s="110">
        <f>F369*G369</f>
        <v/>
      </c>
      <c r="I369" s="110" t="inlineStr">
        <is>
          <t>Real (cruzado por nome, planilha 'Combustível do rateio'; retirado do total geral da equipe para não contar 2x)</t>
        </is>
      </c>
    </row>
    <row r="370" ht="14.25" customHeight="1" s="64">
      <c r="A370" s="110" t="inlineStr">
        <is>
          <t>Julho/2026</t>
        </is>
      </c>
      <c r="B370" s="110" t="inlineStr">
        <is>
          <t>DTEL</t>
        </is>
      </c>
      <c r="C370" s="110" t="inlineStr">
        <is>
          <t>Pessoal</t>
        </is>
      </c>
      <c r="D370" s="110" t="inlineStr">
        <is>
          <t>Motorista da van (Felipe Lopes de Souza) — equipe Fernanda Eduarda, parte 2</t>
        </is>
      </c>
      <c r="E370" s="110" t="inlineStr">
        <is>
          <t>ELTHON MENEZES</t>
        </is>
      </c>
      <c r="F370" s="110" t="n">
        <v>1</v>
      </c>
      <c r="G370" s="110" t="n">
        <v>4661.82</v>
      </c>
      <c r="H370" s="110">
        <f>F370*G370</f>
        <v/>
      </c>
      <c r="I370" s="110" t="inlineStr">
        <is>
          <t>Real (Custo Total da folha do colaborador, cruzado por nome na Base_Despesa_Trabalhista; retirado do total geral da equipe para não contar 2x)</t>
        </is>
      </c>
    </row>
    <row r="371" ht="14.25" customHeight="1" s="64">
      <c r="A371" s="110" t="inlineStr">
        <is>
          <t>Julho/2026</t>
        </is>
      </c>
      <c r="B371" s="110" t="inlineStr">
        <is>
          <t>DTEL</t>
        </is>
      </c>
      <c r="C371" s="110" t="inlineStr">
        <is>
          <t>Frota/Combustível</t>
        </is>
      </c>
      <c r="D371" s="110" t="inlineStr">
        <is>
          <t>Combustível/manutenção da van (Felipe Lopes de Souza) — equipe Fernanda Eduarda, parte 2</t>
        </is>
      </c>
      <c r="E371" s="110" t="inlineStr">
        <is>
          <t>ELTHON MENEZES</t>
        </is>
      </c>
      <c r="F371" s="110" t="n">
        <v>1</v>
      </c>
      <c r="G371" s="110" t="n">
        <v>3304.69</v>
      </c>
      <c r="H371" s="110">
        <f>F371*G371</f>
        <v/>
      </c>
      <c r="I371" s="110" t="inlineStr">
        <is>
          <t>Real (cruzado por nome, planilha 'Combustível do rateio'; retirado do total geral da equipe para não contar 2x)</t>
        </is>
      </c>
    </row>
    <row r="372" ht="14.25" customHeight="1" s="64">
      <c r="A372" s="110" t="inlineStr">
        <is>
          <t>Maio/2026</t>
        </is>
      </c>
      <c r="B372" s="110" t="inlineStr">
        <is>
          <t>DTEL</t>
        </is>
      </c>
      <c r="C372" s="110" t="inlineStr">
        <is>
          <t>Pessoal</t>
        </is>
      </c>
      <c r="D372" s="110" t="inlineStr">
        <is>
          <t>Supervisor com kombi própria (Alvaro Henrique de Sousa)</t>
        </is>
      </c>
      <c r="E372" s="110" t="inlineStr">
        <is>
          <t>ELTHON MENEZES</t>
        </is>
      </c>
      <c r="F372" s="110" t="n">
        <v>1</v>
      </c>
      <c r="G372" s="110" t="n">
        <v>5488.35</v>
      </c>
      <c r="H372" s="110">
        <f>F372*G372</f>
        <v/>
      </c>
      <c r="I372" s="110" t="inlineStr">
        <is>
          <t>Real (Custo Total da folha do colaborador, cruzado por nome na Base_Despesa_Trabalhista; retirado do total geral da equipe para não contar 2x)</t>
        </is>
      </c>
    </row>
    <row r="373" ht="14.25" customHeight="1" s="64">
      <c r="A373" s="110" t="inlineStr">
        <is>
          <t>Maio/2026</t>
        </is>
      </c>
      <c r="B373" s="110" t="inlineStr">
        <is>
          <t>DTEL</t>
        </is>
      </c>
      <c r="C373" s="110" t="inlineStr">
        <is>
          <t>Frota/Combustível</t>
        </is>
      </c>
      <c r="D373" s="110" t="inlineStr">
        <is>
          <t>Combustível/manutenção da kombi (Alvaro Henrique de Sousa)</t>
        </is>
      </c>
      <c r="E373" s="110" t="inlineStr">
        <is>
          <t>ELTHON MENEZES</t>
        </is>
      </c>
      <c r="F373" s="110" t="n">
        <v>1</v>
      </c>
      <c r="G373" s="110" t="n">
        <v>4006.59</v>
      </c>
      <c r="H373" s="110">
        <f>F373*G373</f>
        <v/>
      </c>
      <c r="I373" s="110" t="inlineStr">
        <is>
          <t>Real (cruzado por nome, planilha 'Combustível do rateio'; não estava incluído em nenhum lugar antes — adicionado agora)</t>
        </is>
      </c>
    </row>
    <row r="374" ht="14.25" customHeight="1" s="64">
      <c r="A374" s="110" t="inlineStr">
        <is>
          <t>Junho/2026</t>
        </is>
      </c>
      <c r="B374" s="110" t="inlineStr">
        <is>
          <t>DTEL</t>
        </is>
      </c>
      <c r="C374" s="110" t="inlineStr">
        <is>
          <t>Pessoal</t>
        </is>
      </c>
      <c r="D374" s="110" t="inlineStr">
        <is>
          <t>Supervisor com kombi própria (Alvaro Henrique de Sousa)</t>
        </is>
      </c>
      <c r="E374" s="110" t="inlineStr">
        <is>
          <t>ELTHON MENEZES</t>
        </is>
      </c>
      <c r="F374" s="110" t="n">
        <v>1</v>
      </c>
      <c r="G374" s="110" t="n">
        <v>4859.05</v>
      </c>
      <c r="H374" s="110">
        <f>F374*G374</f>
        <v/>
      </c>
      <c r="I374" s="110" t="inlineStr">
        <is>
          <t>Real (Custo Total da folha do colaborador, cruzado por nome na Base_Despesa_Trabalhista; retirado do total geral da equipe para não contar 2x)</t>
        </is>
      </c>
    </row>
    <row r="375" ht="14.25" customHeight="1" s="64">
      <c r="A375" s="110" t="inlineStr">
        <is>
          <t>Junho/2026</t>
        </is>
      </c>
      <c r="B375" s="110" t="inlineStr">
        <is>
          <t>DTEL</t>
        </is>
      </c>
      <c r="C375" s="110" t="inlineStr">
        <is>
          <t>Frota/Combustível</t>
        </is>
      </c>
      <c r="D375" s="110" t="inlineStr">
        <is>
          <t>Combustível/manutenção da kombi (Alvaro Henrique de Sousa)</t>
        </is>
      </c>
      <c r="E375" s="110" t="inlineStr">
        <is>
          <t>ELTHON MENEZES</t>
        </is>
      </c>
      <c r="F375" s="110" t="n">
        <v>1</v>
      </c>
      <c r="G375" s="110" t="n">
        <v>1259.19</v>
      </c>
      <c r="H375" s="110">
        <f>F375*G375</f>
        <v/>
      </c>
      <c r="I375" s="110" t="inlineStr">
        <is>
          <t>Real (cruzado por nome, planilha 'Combustível do rateio'; não estava incluído em nenhum lugar antes — adicionado agora)</t>
        </is>
      </c>
    </row>
    <row r="376" ht="14.25" customHeight="1" s="64">
      <c r="A376" s="110" t="inlineStr">
        <is>
          <t>Julho/2026</t>
        </is>
      </c>
      <c r="B376" s="110" t="inlineStr">
        <is>
          <t>DTEL</t>
        </is>
      </c>
      <c r="C376" s="110" t="inlineStr">
        <is>
          <t>Pessoal</t>
        </is>
      </c>
      <c r="D376" s="110" t="inlineStr">
        <is>
          <t>Supervisor com kombi própria (Alvaro Henrique de Sousa)</t>
        </is>
      </c>
      <c r="E376" s="110" t="inlineStr">
        <is>
          <t>ELTHON MENEZES</t>
        </is>
      </c>
      <c r="F376" s="110" t="n">
        <v>1</v>
      </c>
      <c r="G376" s="110" t="n">
        <v>5436.76</v>
      </c>
      <c r="H376" s="110">
        <f>F376*G376</f>
        <v/>
      </c>
      <c r="I376" s="110" t="inlineStr">
        <is>
          <t>Real (Custo Total da folha do colaborador, cruzado por nome na Base_Despesa_Trabalhista; retirado do total geral da equipe para não contar 2x)</t>
        </is>
      </c>
    </row>
    <row r="377" ht="14.25" customHeight="1" s="64">
      <c r="A377" s="110" t="inlineStr">
        <is>
          <t>Julho/2026</t>
        </is>
      </c>
      <c r="B377" s="110" t="inlineStr">
        <is>
          <t>DTEL</t>
        </is>
      </c>
      <c r="C377" s="110" t="inlineStr">
        <is>
          <t>Frota/Combustível</t>
        </is>
      </c>
      <c r="D377" s="110" t="inlineStr">
        <is>
          <t>Combustível/manutenção da kombi (Alvaro Henrique de Sousa)</t>
        </is>
      </c>
      <c r="E377" s="110" t="inlineStr">
        <is>
          <t>ELTHON MENEZES</t>
        </is>
      </c>
      <c r="F377" s="110" t="n">
        <v>1</v>
      </c>
      <c r="G377" s="110" t="n">
        <v>2732.56</v>
      </c>
      <c r="H377" s="110">
        <f>F377*G377</f>
        <v/>
      </c>
      <c r="I377" s="110" t="inlineStr">
        <is>
          <t>Real (cruzado por nome, planilha 'Combustível do rateio'; não estava incluído em nenhum lugar antes — adicionado agora)</t>
        </is>
      </c>
    </row>
    <row r="378" ht="14.25" customHeight="1" s="64">
      <c r="A378" s="110" t="inlineStr">
        <is>
          <t>Maio/2026</t>
        </is>
      </c>
      <c r="B378" s="110" t="inlineStr">
        <is>
          <t>DTEL</t>
        </is>
      </c>
      <c r="C378" s="110" t="inlineStr">
        <is>
          <t>Pessoal</t>
        </is>
      </c>
      <c r="D378" s="110" t="inlineStr">
        <is>
          <t>Motorista da van (Clovis Mendes da Silva)</t>
        </is>
      </c>
      <c r="E378" s="110" t="inlineStr">
        <is>
          <t>MICHELANGELO</t>
        </is>
      </c>
      <c r="F378" s="110" t="n">
        <v>1</v>
      </c>
      <c r="G378" s="110" t="n">
        <v>3706.2</v>
      </c>
      <c r="H378" s="110">
        <f>F378*G378</f>
        <v/>
      </c>
      <c r="I378" s="110" t="inlineStr">
        <is>
          <t>Real (Custo Total da folha do colaborador, cruzado por nome na Base_Despesa_Trabalhista; retirado do total geral da equipe para não contar 2x)</t>
        </is>
      </c>
    </row>
    <row r="379" ht="14.25" customHeight="1" s="64">
      <c r="A379" s="110" t="inlineStr">
        <is>
          <t>Maio/2026</t>
        </is>
      </c>
      <c r="B379" s="110" t="inlineStr">
        <is>
          <t>DTEL</t>
        </is>
      </c>
      <c r="C379" s="110" t="inlineStr">
        <is>
          <t>Frota/Combustível</t>
        </is>
      </c>
      <c r="D379" s="110" t="inlineStr">
        <is>
          <t>Combustível/manutenção da van (Clovis Mendes da Silva)</t>
        </is>
      </c>
      <c r="E379" s="110" t="inlineStr">
        <is>
          <t>MICHELANGELO</t>
        </is>
      </c>
      <c r="F379" s="110" t="n">
        <v>1</v>
      </c>
      <c r="G379" s="110" t="n">
        <v>5768.81</v>
      </c>
      <c r="H379" s="110">
        <f>F379*G379</f>
        <v/>
      </c>
      <c r="I379" s="110" t="inlineStr">
        <is>
          <t>Real (cruzado por nome, planilha 'Combustível do rateio'; retirado do total geral da equipe para não contar 2x)</t>
        </is>
      </c>
    </row>
    <row r="380" ht="14.25" customHeight="1" s="64">
      <c r="A380" s="110" t="inlineStr">
        <is>
          <t>Junho/2026</t>
        </is>
      </c>
      <c r="B380" s="110" t="inlineStr">
        <is>
          <t>DTEL</t>
        </is>
      </c>
      <c r="C380" s="110" t="inlineStr">
        <is>
          <t>Pessoal</t>
        </is>
      </c>
      <c r="D380" s="110" t="inlineStr">
        <is>
          <t>Motorista da van (Clovis Mendes da Silva)</t>
        </is>
      </c>
      <c r="E380" s="110" t="inlineStr">
        <is>
          <t>MICHELANGELO</t>
        </is>
      </c>
      <c r="F380" s="110" t="n">
        <v>1</v>
      </c>
      <c r="G380" s="110" t="n">
        <v>4741.11</v>
      </c>
      <c r="H380" s="110">
        <f>F380*G380</f>
        <v/>
      </c>
      <c r="I380" s="110" t="inlineStr">
        <is>
          <t>Real (Custo Total da folha do colaborador, cruzado por nome na Base_Despesa_Trabalhista; retirado do total geral da equipe para não contar 2x)</t>
        </is>
      </c>
    </row>
    <row r="381" ht="14.25" customHeight="1" s="64">
      <c r="A381" s="110" t="inlineStr">
        <is>
          <t>Junho/2026</t>
        </is>
      </c>
      <c r="B381" s="110" t="inlineStr">
        <is>
          <t>DTEL</t>
        </is>
      </c>
      <c r="C381" s="110" t="inlineStr">
        <is>
          <t>Frota/Combustível</t>
        </is>
      </c>
      <c r="D381" s="110" t="inlineStr">
        <is>
          <t>Combustível/manutenção da van (Clovis Mendes da Silva)</t>
        </is>
      </c>
      <c r="E381" s="110" t="inlineStr">
        <is>
          <t>MICHELANGELO</t>
        </is>
      </c>
      <c r="F381" s="110" t="n">
        <v>1</v>
      </c>
      <c r="G381" s="110" t="n">
        <v>3878.58</v>
      </c>
      <c r="H381" s="110">
        <f>F381*G381</f>
        <v/>
      </c>
      <c r="I381" s="110" t="inlineStr">
        <is>
          <t>Real (cruzado por nome, planilha 'Combustível do rateio'; retirado do total geral da equipe para não contar 2x)</t>
        </is>
      </c>
    </row>
    <row r="382" ht="14.25" customHeight="1" s="64">
      <c r="A382" s="110" t="inlineStr">
        <is>
          <t>Julho/2026</t>
        </is>
      </c>
      <c r="B382" s="110" t="inlineStr">
        <is>
          <t>DTEL</t>
        </is>
      </c>
      <c r="C382" s="110" t="inlineStr">
        <is>
          <t>Pessoal</t>
        </is>
      </c>
      <c r="D382" s="110" t="inlineStr">
        <is>
          <t>Motorista da van (Clovis Mendes da Silva)</t>
        </is>
      </c>
      <c r="E382" s="110" t="inlineStr">
        <is>
          <t>MICHELANGELO</t>
        </is>
      </c>
      <c r="F382" s="110" t="n">
        <v>1</v>
      </c>
      <c r="G382" s="110" t="n">
        <v>6394.14</v>
      </c>
      <c r="H382" s="110">
        <f>F382*G382</f>
        <v/>
      </c>
      <c r="I382" s="110" t="inlineStr">
        <is>
          <t>Real (Custo Total da folha do colaborador, cruzado por nome na Base_Despesa_Trabalhista; retirado do total geral da equipe para não contar 2x)</t>
        </is>
      </c>
    </row>
    <row r="383" ht="15" customHeight="1" s="64">
      <c r="A383" s="110" t="inlineStr">
        <is>
          <t>Julho/2026</t>
        </is>
      </c>
      <c r="B383" s="110" t="inlineStr">
        <is>
          <t>DTEL</t>
        </is>
      </c>
      <c r="C383" s="110" t="inlineStr">
        <is>
          <t>Frota/Combustível</t>
        </is>
      </c>
      <c r="D383" s="110" t="inlineStr">
        <is>
          <t>Combustível/manutenção da van (Clovis Mendes da Silva)</t>
        </is>
      </c>
      <c r="E383" s="110" t="inlineStr">
        <is>
          <t>MICHELANGELO</t>
        </is>
      </c>
      <c r="F383" s="110" t="n">
        <v>1</v>
      </c>
      <c r="G383" s="110" t="n">
        <v>4658.08</v>
      </c>
      <c r="H383" s="110">
        <f>F383*G383</f>
        <v/>
      </c>
      <c r="I383" s="110" t="inlineStr">
        <is>
          <t>Real (cruzado por nome, planilha 'Combustível do rateio'; retirado do total geral da equipe para não contar 2x)</t>
        </is>
      </c>
    </row>
    <row r="384" ht="14.25" customHeight="1" s="64">
      <c r="A384" s="110" t="inlineStr">
        <is>
          <t>Maio/2026</t>
        </is>
      </c>
      <c r="B384" s="110" t="inlineStr">
        <is>
          <t>DX2</t>
        </is>
      </c>
      <c r="C384" s="110" t="inlineStr">
        <is>
          <t>Pessoal</t>
        </is>
      </c>
      <c r="D384" s="110" t="inlineStr">
        <is>
          <t>Motorista da van (Jose Matheus Ordonho Silva)</t>
        </is>
      </c>
      <c r="E384" s="110" t="inlineStr">
        <is>
          <t>TIAGO</t>
        </is>
      </c>
      <c r="F384" s="110" t="n">
        <v>1</v>
      </c>
      <c r="G384" s="110" t="n">
        <v>3069.18</v>
      </c>
      <c r="H384" s="110">
        <f>F384*G384</f>
        <v/>
      </c>
      <c r="I384" s="110" t="inlineStr">
        <is>
          <t>Real (Custo Total da folha do colaborador, cruzado por nome na Base_Despesa_Trabalhista; não fazia parte da equipe/roster usada no cálculo original da folha — adicionado agora)</t>
        </is>
      </c>
    </row>
    <row r="385" ht="14.25" customHeight="1" s="64">
      <c r="A385" s="110" t="inlineStr">
        <is>
          <t>Maio/2026</t>
        </is>
      </c>
      <c r="B385" s="110" t="inlineStr">
        <is>
          <t>DX2</t>
        </is>
      </c>
      <c r="C385" s="110" t="inlineStr">
        <is>
          <t>Frota/Combustível</t>
        </is>
      </c>
      <c r="D385" s="110" t="inlineStr">
        <is>
          <t>Combustível/manutenção da van (Jose Matheus Ordonho Silva)</t>
        </is>
      </c>
      <c r="E385" s="110" t="inlineStr">
        <is>
          <t>TIAGO</t>
        </is>
      </c>
      <c r="F385" s="110" t="n">
        <v>1</v>
      </c>
      <c r="G385" s="110" t="n">
        <v>2355.66</v>
      </c>
      <c r="H385" s="110">
        <f>F385*G385</f>
        <v/>
      </c>
      <c r="I385" s="110" t="inlineStr">
        <is>
          <t>Real (cruzado por nome, planilha 'Combustível do rateio'; não estava incluído em nenhum lugar antes — adicionado agora)</t>
        </is>
      </c>
    </row>
    <row r="386" ht="14.25" customHeight="1" s="64">
      <c r="A386" s="110" t="inlineStr">
        <is>
          <t>Junho/2026</t>
        </is>
      </c>
      <c r="B386" s="110" t="inlineStr">
        <is>
          <t>DX2</t>
        </is>
      </c>
      <c r="C386" s="110" t="inlineStr">
        <is>
          <t>Pessoal</t>
        </is>
      </c>
      <c r="D386" s="110" t="inlineStr">
        <is>
          <t>Motorista da van (Jose Matheus Ordonho Silva)</t>
        </is>
      </c>
      <c r="E386" s="110" t="inlineStr">
        <is>
          <t>TIAGO</t>
        </is>
      </c>
      <c r="F386" s="110" t="n">
        <v>1</v>
      </c>
      <c r="G386" s="110" t="n">
        <v>3307.04</v>
      </c>
      <c r="H386" s="110">
        <f>F386*G386</f>
        <v/>
      </c>
      <c r="I386" s="110" t="inlineStr">
        <is>
          <t>Real (Custo Total da folha do colaborador, cruzado por nome na Base_Despesa_Trabalhista; não fazia parte da equipe/roster usada no cálculo original da folha — adicionado agora)</t>
        </is>
      </c>
    </row>
    <row r="387" ht="14.25" customHeight="1" s="64">
      <c r="A387" s="110" t="inlineStr">
        <is>
          <t>Junho/2026</t>
        </is>
      </c>
      <c r="B387" s="110" t="inlineStr">
        <is>
          <t>DX2</t>
        </is>
      </c>
      <c r="C387" s="110" t="inlineStr">
        <is>
          <t>Frota/Combustível</t>
        </is>
      </c>
      <c r="D387" s="110" t="inlineStr">
        <is>
          <t>Combustível/manutenção da van (Jose Matheus Ordonho Silva)</t>
        </is>
      </c>
      <c r="E387" s="110" t="inlineStr">
        <is>
          <t>TIAGO</t>
        </is>
      </c>
      <c r="F387" s="110" t="n">
        <v>1</v>
      </c>
      <c r="G387" s="110" t="n">
        <v>2242.18</v>
      </c>
      <c r="H387" s="110">
        <f>F387*G387</f>
        <v/>
      </c>
      <c r="I387" s="110" t="inlineStr">
        <is>
          <t>Real (cruzado por nome, planilha 'Combustível do rateio'; não estava incluído em nenhum lugar antes — adicionado agora)</t>
        </is>
      </c>
    </row>
    <row r="388" ht="14.25" customHeight="1" s="64">
      <c r="A388" s="110" t="inlineStr">
        <is>
          <t>Julho/2026</t>
        </is>
      </c>
      <c r="B388" s="110" t="inlineStr">
        <is>
          <t>DX2</t>
        </is>
      </c>
      <c r="C388" s="110" t="inlineStr">
        <is>
          <t>Pessoal</t>
        </is>
      </c>
      <c r="D388" s="110" t="inlineStr">
        <is>
          <t>Motorista da van (Jose Matheus Ordonho Silva)</t>
        </is>
      </c>
      <c r="E388" s="110" t="inlineStr">
        <is>
          <t>TIAGO</t>
        </is>
      </c>
      <c r="F388" s="110" t="n">
        <v>1</v>
      </c>
      <c r="G388" s="110" t="n">
        <v>3644.67</v>
      </c>
      <c r="H388" s="110">
        <f>F388*G388</f>
        <v/>
      </c>
      <c r="I388" s="110" t="inlineStr">
        <is>
          <t>Real (Custo Total da folha do colaborador, cruzado por nome na Base_Despesa_Trabalhista; não fazia parte da equipe/roster usada no cálculo original da folha — adicionado agora)</t>
        </is>
      </c>
    </row>
    <row r="389" ht="14.25" customHeight="1" s="64">
      <c r="A389" s="110" t="inlineStr">
        <is>
          <t>Julho/2026</t>
        </is>
      </c>
      <c r="B389" s="110" t="inlineStr">
        <is>
          <t>DX2</t>
        </is>
      </c>
      <c r="C389" s="110" t="inlineStr">
        <is>
          <t>Frota/Combustível</t>
        </is>
      </c>
      <c r="D389" s="110" t="inlineStr">
        <is>
          <t>Combustível/manutenção da van (Jose Matheus Ordonho Silva)</t>
        </is>
      </c>
      <c r="E389" s="110" t="inlineStr">
        <is>
          <t>TIAGO</t>
        </is>
      </c>
      <c r="F389" s="110" t="n">
        <v>1</v>
      </c>
      <c r="G389" s="110" t="n">
        <v>2709.83</v>
      </c>
      <c r="H389" s="110">
        <f>F389*G389</f>
        <v/>
      </c>
      <c r="I389" s="110" t="inlineStr">
        <is>
          <t>Real (cruzado por nome, planilha 'Combustível do rateio'; não estava incluído em nenhum lugar antes — adicionado agora)</t>
        </is>
      </c>
    </row>
    <row r="390" ht="14.25" customHeight="1" s="64">
      <c r="A390" s="122" t="inlineStr">
        <is>
          <t>Subtotal — custos por equipe</t>
        </is>
      </c>
      <c r="B390" s="123" t="n"/>
      <c r="C390" s="123" t="n"/>
      <c r="D390" s="123" t="n"/>
      <c r="E390" s="123" t="n"/>
      <c r="F390" s="123" t="n"/>
      <c r="G390" s="124" t="n"/>
      <c r="H390" s="125">
        <f>SUM(H21:H389)</f>
        <v/>
      </c>
      <c r="I390" s="116" t="n"/>
      <c r="J390" s="116" t="n"/>
      <c r="K390" s="116" t="n"/>
      <c r="L390" s="116" t="n"/>
      <c r="M390" s="116" t="n"/>
      <c r="N390" s="116" t="n"/>
      <c r="O390" s="116" t="n"/>
    </row>
    <row r="391" ht="14.25" customHeight="1" s="64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16" t="n"/>
      <c r="J391" s="116" t="n"/>
      <c r="K391" s="116" t="n"/>
      <c r="L391" s="116" t="n"/>
      <c r="M391" s="116" t="n"/>
      <c r="N391" s="116" t="n"/>
      <c r="O391" s="116" t="n"/>
    </row>
    <row r="392" ht="14.25" customHeight="1" s="64">
      <c r="A392" s="118" t="inlineStr">
        <is>
          <t>CUSTO, VENDAS E RECEITA — POR EQUIPE E EMPRESA (Vendas/Upgrade/Receita reais cruzados por nome E empresa do vendedor, arquivos de comissão/upgrade por mês; Custo por Venda = Custo Total ÷ (Vendas + Upgrade) da equipe+empresa)</t>
        </is>
      </c>
      <c r="K392" s="116" t="n"/>
      <c r="L392" s="116" t="n"/>
      <c r="M392" s="116" t="n"/>
      <c r="N392" s="116" t="n"/>
      <c r="O392" s="116" t="n"/>
    </row>
    <row r="393" ht="14.25" customHeight="1" s="64">
      <c r="A393" s="119" t="inlineStr">
        <is>
          <t>Mês</t>
        </is>
      </c>
      <c r="B393" s="119" t="inlineStr">
        <is>
          <t>Coordenador/Equipe</t>
        </is>
      </c>
      <c r="C393" s="119" t="inlineStr">
        <is>
          <t>Empresa</t>
        </is>
      </c>
      <c r="D393" s="119" t="inlineStr">
        <is>
          <t>Custo Total (R$)</t>
        </is>
      </c>
      <c r="E393" s="119" t="inlineStr">
        <is>
          <t>Vendas (qtd)</t>
        </is>
      </c>
      <c r="F393" s="119" t="inlineStr">
        <is>
          <t>Upgrade (qtd)</t>
        </is>
      </c>
      <c r="G393" s="119" t="inlineStr">
        <is>
          <t>Receita de Vendas (R$)</t>
        </is>
      </c>
      <c r="H393" s="119" t="inlineStr">
        <is>
          <t>Receita de Upgrade (R$)</t>
        </is>
      </c>
      <c r="I393" s="119" t="inlineStr">
        <is>
          <t>Receita Total (R$)</t>
        </is>
      </c>
      <c r="J393" s="119" t="inlineStr">
        <is>
          <t>Custo por Venda (R$)</t>
        </is>
      </c>
      <c r="K393" s="116" t="n"/>
      <c r="L393" s="116" t="n"/>
      <c r="M393" s="116" t="n"/>
      <c r="N393" s="116" t="n"/>
      <c r="O393" s="116" t="n"/>
    </row>
    <row r="394" ht="14.25" customHeight="1" s="64">
      <c r="A394" s="120" t="inlineStr">
        <is>
          <t>Junho/2026</t>
        </is>
      </c>
      <c r="B394" s="120" t="inlineStr">
        <is>
          <t>ELTHON MENEZES</t>
        </is>
      </c>
      <c r="C394" s="120" t="inlineStr">
        <is>
          <t>Todas as empresas</t>
        </is>
      </c>
      <c r="D394" s="121" t="n">
        <v>121496.64</v>
      </c>
      <c r="E394" s="120" t="n">
        <v>537</v>
      </c>
      <c r="F394" s="120" t="n">
        <v>11</v>
      </c>
      <c r="G394" s="121" t="n">
        <v>41961.99</v>
      </c>
      <c r="H394" s="121" t="n">
        <v>1017.98</v>
      </c>
      <c r="I394" s="121" t="n">
        <v>42979.97</v>
      </c>
      <c r="J394" s="121" t="n">
        <v>221.71</v>
      </c>
      <c r="K394" s="116" t="n"/>
      <c r="L394" s="116" t="n"/>
      <c r="M394" s="116" t="n"/>
      <c r="N394" s="116" t="n"/>
      <c r="O394" s="116" t="n"/>
    </row>
    <row r="395" ht="14.25" customHeight="1" s="64">
      <c r="A395" s="120" t="inlineStr">
        <is>
          <t>Junho/2026</t>
        </is>
      </c>
      <c r="B395" s="120" t="inlineStr">
        <is>
          <t>GABRIEL LIMA</t>
        </is>
      </c>
      <c r="C395" s="120" t="inlineStr">
        <is>
          <t>Todas as empresas</t>
        </is>
      </c>
      <c r="D395" s="121" t="n">
        <v>9414.77</v>
      </c>
      <c r="E395" s="120" t="n">
        <v>26</v>
      </c>
      <c r="F395" s="120" t="n">
        <v>1</v>
      </c>
      <c r="G395" s="121" t="n">
        <v>2047.79</v>
      </c>
      <c r="H395" s="121" t="n">
        <v>99.90000000000001</v>
      </c>
      <c r="I395" s="121" t="n">
        <v>2147.69</v>
      </c>
      <c r="J395" s="121" t="n">
        <v>348.7</v>
      </c>
      <c r="K395" s="116" t="n"/>
      <c r="L395" s="116" t="n"/>
      <c r="M395" s="116" t="n"/>
      <c r="N395" s="116" t="n"/>
      <c r="O395" s="116" t="n"/>
    </row>
    <row r="396" ht="14.25" customHeight="1" s="64">
      <c r="A396" s="120" t="inlineStr">
        <is>
          <t>Junho/2026</t>
        </is>
      </c>
      <c r="B396" s="120" t="inlineStr">
        <is>
          <t>LUCAS BONIFÁCIO</t>
        </is>
      </c>
      <c r="C396" s="120" t="inlineStr">
        <is>
          <t>Todas as empresas</t>
        </is>
      </c>
      <c r="D396" s="121" t="n">
        <v>34081.23</v>
      </c>
      <c r="E396" s="120" t="n">
        <v>143</v>
      </c>
      <c r="F396" s="120" t="n">
        <v>2</v>
      </c>
      <c r="G396" s="121" t="n">
        <v>13522.34</v>
      </c>
      <c r="H396" s="121" t="n">
        <v>154.79</v>
      </c>
      <c r="I396" s="121" t="n">
        <v>13677.13</v>
      </c>
      <c r="J396" s="121" t="n">
        <v>235.04</v>
      </c>
      <c r="K396" s="116" t="n"/>
      <c r="L396" s="116" t="n"/>
      <c r="M396" s="116" t="n"/>
      <c r="N396" s="116" t="n"/>
      <c r="O396" s="116" t="n"/>
    </row>
    <row r="397" ht="14.25" customHeight="1" s="64">
      <c r="A397" s="120" t="inlineStr">
        <is>
          <t>Junho/2026</t>
        </is>
      </c>
      <c r="B397" s="120" t="inlineStr">
        <is>
          <t>MICHELANGELO</t>
        </is>
      </c>
      <c r="C397" s="120" t="inlineStr">
        <is>
          <t>Todas as empresas</t>
        </is>
      </c>
      <c r="D397" s="121" t="n">
        <v>45540.01</v>
      </c>
      <c r="E397" s="120" t="n">
        <v>239</v>
      </c>
      <c r="F397" s="120" t="n">
        <v>1</v>
      </c>
      <c r="G397" s="121" t="n">
        <v>21837.84</v>
      </c>
      <c r="H397" s="121" t="n">
        <v>109.89</v>
      </c>
      <c r="I397" s="121" t="n">
        <v>21947.73</v>
      </c>
      <c r="J397" s="121" t="n">
        <v>189.75</v>
      </c>
      <c r="K397" s="116" t="n"/>
      <c r="L397" s="116" t="n"/>
      <c r="M397" s="116" t="n"/>
      <c r="N397" s="116" t="n"/>
      <c r="O397" s="116" t="n"/>
    </row>
    <row r="398" ht="14.25" customHeight="1" s="64">
      <c r="A398" s="120" t="inlineStr">
        <is>
          <t>Junho/2026</t>
        </is>
      </c>
      <c r="B398" s="120" t="inlineStr">
        <is>
          <t>TARCIZIO MEIRELES</t>
        </is>
      </c>
      <c r="C398" s="120" t="inlineStr">
        <is>
          <t>Todas as empresas</t>
        </is>
      </c>
      <c r="D398" s="121" t="n">
        <v>90875.72</v>
      </c>
      <c r="E398" s="120" t="n">
        <v>292</v>
      </c>
      <c r="F398" s="120" t="n">
        <v>3</v>
      </c>
      <c r="G398" s="121" t="n">
        <v>24097.75</v>
      </c>
      <c r="H398" s="121" t="n">
        <v>329.8</v>
      </c>
      <c r="I398" s="121" t="n">
        <v>24427.55</v>
      </c>
      <c r="J398" s="121" t="n">
        <v>308.05</v>
      </c>
      <c r="K398" s="116" t="n"/>
      <c r="L398" s="116" t="n"/>
      <c r="M398" s="116" t="n"/>
      <c r="N398" s="116" t="n"/>
      <c r="O398" s="116" t="n"/>
    </row>
    <row r="399" ht="14.25" customHeight="1" s="64">
      <c r="A399" s="120" t="inlineStr">
        <is>
          <t>Junho/2026</t>
        </is>
      </c>
      <c r="B399" s="120" t="inlineStr">
        <is>
          <t>TIAGO</t>
        </is>
      </c>
      <c r="C399" s="120" t="inlineStr">
        <is>
          <t>Todas as empresas</t>
        </is>
      </c>
      <c r="D399" s="121" t="n">
        <v>45425.95</v>
      </c>
      <c r="E399" s="120" t="n">
        <v>264</v>
      </c>
      <c r="F399" s="120" t="n">
        <v>8</v>
      </c>
      <c r="G399" s="121" t="n">
        <v>22685.42</v>
      </c>
      <c r="H399" s="121" t="n">
        <v>734.26</v>
      </c>
      <c r="I399" s="121" t="n">
        <v>23419.68</v>
      </c>
      <c r="J399" s="121" t="n">
        <v>167.01</v>
      </c>
      <c r="K399" s="116" t="n"/>
      <c r="L399" s="116" t="n"/>
      <c r="M399" s="116" t="n"/>
      <c r="N399" s="116" t="n"/>
      <c r="O399" s="116" t="n"/>
    </row>
    <row r="400" ht="14.25" customHeight="1" s="64">
      <c r="A400" s="120" t="inlineStr">
        <is>
          <t>Junho/2026</t>
        </is>
      </c>
      <c r="B400" s="120" t="inlineStr">
        <is>
          <t>VITOR LINS</t>
        </is>
      </c>
      <c r="C400" s="120" t="inlineStr">
        <is>
          <t>Todas as empresas</t>
        </is>
      </c>
      <c r="D400" s="121" t="n">
        <v>3703.62</v>
      </c>
      <c r="E400" s="120" t="n">
        <v>26</v>
      </c>
      <c r="F400" s="120" t="n">
        <v>0</v>
      </c>
      <c r="G400" s="121" t="n">
        <v>2307.4</v>
      </c>
      <c r="H400" s="121" t="n">
        <v>0</v>
      </c>
      <c r="I400" s="121" t="n">
        <v>2307.4</v>
      </c>
      <c r="J400" s="121" t="n">
        <v>142.45</v>
      </c>
      <c r="K400" s="116" t="n"/>
      <c r="L400" s="116" t="n"/>
      <c r="M400" s="116" t="n"/>
      <c r="N400" s="116" t="n"/>
      <c r="O400" s="116" t="n"/>
    </row>
    <row r="401" ht="14.25" customHeight="1" s="64">
      <c r="A401" s="120" t="inlineStr">
        <is>
          <t>Maio/2026</t>
        </is>
      </c>
      <c r="B401" s="120" t="inlineStr">
        <is>
          <t>ELTHON MENEZES</t>
        </is>
      </c>
      <c r="C401" s="120" t="inlineStr">
        <is>
          <t>Todas as empresas</t>
        </is>
      </c>
      <c r="D401" s="121" t="n">
        <v>119150.38</v>
      </c>
      <c r="E401" s="120" t="n">
        <v>658</v>
      </c>
      <c r="F401" s="120" t="n">
        <v>10</v>
      </c>
      <c r="G401" s="121" t="n">
        <v>56085.27</v>
      </c>
      <c r="H401" s="121" t="n">
        <v>963.98</v>
      </c>
      <c r="I401" s="121" t="n">
        <v>57049.25</v>
      </c>
      <c r="J401" s="121" t="n">
        <v>178.37</v>
      </c>
      <c r="K401" s="116" t="n"/>
      <c r="L401" s="116" t="n"/>
      <c r="M401" s="116" t="n"/>
      <c r="N401" s="116" t="n"/>
      <c r="O401" s="116" t="n"/>
    </row>
    <row r="402" ht="14.25" customHeight="1" s="64">
      <c r="A402" s="120" t="inlineStr">
        <is>
          <t>Maio/2026</t>
        </is>
      </c>
      <c r="B402" s="120" t="inlineStr">
        <is>
          <t>GABRIEL LIMA</t>
        </is>
      </c>
      <c r="C402" s="120" t="inlineStr">
        <is>
          <t>Todas as empresas</t>
        </is>
      </c>
      <c r="D402" s="121" t="n">
        <v>7367.92</v>
      </c>
      <c r="E402" s="120" t="n">
        <v>0</v>
      </c>
      <c r="F402" s="120" t="n">
        <v>0</v>
      </c>
      <c r="G402" s="121" t="n">
        <v>0</v>
      </c>
      <c r="H402" s="121" t="n">
        <v>0</v>
      </c>
      <c r="I402" s="121" t="n">
        <v>0</v>
      </c>
      <c r="J402" s="121" t="n"/>
      <c r="K402" s="116" t="n"/>
      <c r="L402" s="116" t="n"/>
      <c r="M402" s="116" t="n"/>
      <c r="N402" s="116" t="n"/>
      <c r="O402" s="116" t="n"/>
    </row>
    <row r="403" ht="14.25" customHeight="1" s="64">
      <c r="A403" s="120" t="inlineStr">
        <is>
          <t>Maio/2026</t>
        </is>
      </c>
      <c r="B403" s="120" t="inlineStr">
        <is>
          <t>LUCAS BONIFÁCIO</t>
        </is>
      </c>
      <c r="C403" s="120" t="inlineStr">
        <is>
          <t>Todas as empresas</t>
        </is>
      </c>
      <c r="D403" s="121" t="n">
        <v>34042.65</v>
      </c>
      <c r="E403" s="120" t="n">
        <v>115</v>
      </c>
      <c r="F403" s="120" t="n">
        <v>5</v>
      </c>
      <c r="G403" s="121" t="n">
        <v>10449.44</v>
      </c>
      <c r="H403" s="121" t="n">
        <v>519.48</v>
      </c>
      <c r="I403" s="121" t="n">
        <v>10968.92</v>
      </c>
      <c r="J403" s="121" t="n">
        <v>283.69</v>
      </c>
      <c r="K403" s="116" t="n"/>
      <c r="L403" s="116" t="n"/>
      <c r="M403" s="116" t="n"/>
      <c r="N403" s="116" t="n"/>
      <c r="O403" s="116" t="n"/>
    </row>
    <row r="404" ht="14.25" customHeight="1" s="64">
      <c r="A404" s="120" t="inlineStr">
        <is>
          <t>Maio/2026</t>
        </is>
      </c>
      <c r="B404" s="120" t="inlineStr">
        <is>
          <t>MICHELANGELO</t>
        </is>
      </c>
      <c r="C404" s="120" t="inlineStr">
        <is>
          <t>Todas as empresas</t>
        </is>
      </c>
      <c r="D404" s="121" t="n">
        <v>64543.96</v>
      </c>
      <c r="E404" s="120" t="n">
        <v>190</v>
      </c>
      <c r="F404" s="120" t="n">
        <v>0</v>
      </c>
      <c r="G404" s="121" t="n">
        <v>17667.07</v>
      </c>
      <c r="H404" s="121" t="n">
        <v>0</v>
      </c>
      <c r="I404" s="121" t="n">
        <v>17667.07</v>
      </c>
      <c r="J404" s="121" t="n">
        <v>339.71</v>
      </c>
      <c r="K404" s="116" t="n"/>
      <c r="L404" s="116" t="n"/>
      <c r="M404" s="116" t="n"/>
      <c r="N404" s="116" t="n"/>
      <c r="O404" s="116" t="n"/>
    </row>
    <row r="405" ht="14.25" customHeight="1" s="64">
      <c r="A405" s="120" t="inlineStr">
        <is>
          <t>Maio/2026</t>
        </is>
      </c>
      <c r="B405" s="120" t="inlineStr">
        <is>
          <t>TARCIZIO MEIRELES</t>
        </is>
      </c>
      <c r="C405" s="120" t="inlineStr">
        <is>
          <t>Todas as empresas</t>
        </is>
      </c>
      <c r="D405" s="121" t="n">
        <v>102992.51</v>
      </c>
      <c r="E405" s="120" t="n">
        <v>576</v>
      </c>
      <c r="F405" s="120" t="n">
        <v>6</v>
      </c>
      <c r="G405" s="121" t="n">
        <v>48361.21</v>
      </c>
      <c r="H405" s="121" t="n">
        <v>589.39</v>
      </c>
      <c r="I405" s="121" t="n">
        <v>48950.6</v>
      </c>
      <c r="J405" s="121" t="n">
        <v>176.96</v>
      </c>
      <c r="K405" s="116" t="n"/>
      <c r="L405" s="116" t="n"/>
      <c r="M405" s="116" t="n"/>
      <c r="N405" s="116" t="n"/>
      <c r="O405" s="116" t="n"/>
    </row>
    <row r="406" ht="14.25" customHeight="1" s="64">
      <c r="A406" s="120" t="inlineStr">
        <is>
          <t>Maio/2026</t>
        </is>
      </c>
      <c r="B406" s="120" t="inlineStr">
        <is>
          <t>TIAGO</t>
        </is>
      </c>
      <c r="C406" s="120" t="inlineStr">
        <is>
          <t>Todas as empresas</t>
        </is>
      </c>
      <c r="D406" s="121" t="n">
        <v>41682.6</v>
      </c>
      <c r="E406" s="120" t="n">
        <v>196</v>
      </c>
      <c r="F406" s="120" t="n">
        <v>11</v>
      </c>
      <c r="G406" s="121" t="n">
        <v>17775.09</v>
      </c>
      <c r="H406" s="121" t="n">
        <v>1108.79</v>
      </c>
      <c r="I406" s="121" t="n">
        <v>18883.88</v>
      </c>
      <c r="J406" s="121" t="n">
        <v>201.37</v>
      </c>
      <c r="K406" s="116" t="n"/>
      <c r="L406" s="116" t="n"/>
      <c r="M406" s="116" t="n"/>
      <c r="N406" s="116" t="n"/>
      <c r="O406" s="116" t="n"/>
    </row>
    <row r="407" ht="14.25" customHeight="1" s="64">
      <c r="A407" s="120" t="inlineStr">
        <is>
          <t>Maio/2026</t>
        </is>
      </c>
      <c r="B407" s="120" t="inlineStr">
        <is>
          <t>VITOR LINS</t>
        </is>
      </c>
      <c r="C407" s="120" t="inlineStr">
        <is>
          <t>Todas as empresas</t>
        </is>
      </c>
      <c r="D407" s="121" t="n">
        <v>3712.16</v>
      </c>
      <c r="E407" s="120" t="n">
        <v>23</v>
      </c>
      <c r="F407" s="120" t="n">
        <v>0</v>
      </c>
      <c r="G407" s="121" t="n">
        <v>1988.18</v>
      </c>
      <c r="H407" s="121" t="n">
        <v>0</v>
      </c>
      <c r="I407" s="121" t="n">
        <v>1988.18</v>
      </c>
      <c r="J407" s="121" t="n">
        <v>161.4</v>
      </c>
      <c r="K407" s="116" t="n"/>
      <c r="L407" s="116" t="n"/>
      <c r="M407" s="116" t="n"/>
      <c r="N407" s="116" t="n"/>
      <c r="O407" s="116" t="n"/>
    </row>
    <row r="408" ht="14.25" customHeight="1" s="64">
      <c r="A408" s="120" t="inlineStr">
        <is>
          <t>Julho/2026</t>
        </is>
      </c>
      <c r="B408" s="120" t="inlineStr">
        <is>
          <t>ELTHON MENEZES</t>
        </is>
      </c>
      <c r="C408" s="120" t="inlineStr">
        <is>
          <t>Todas as empresas</t>
        </is>
      </c>
      <c r="D408" s="121" t="n">
        <v>161849.96</v>
      </c>
      <c r="E408" s="120" t="n">
        <v>808</v>
      </c>
      <c r="F408" s="120" t="n">
        <v>3</v>
      </c>
      <c r="G408" s="121" t="n">
        <v>67103</v>
      </c>
      <c r="H408" s="121" t="n">
        <v>74.90000000000001</v>
      </c>
      <c r="I408" s="121" t="n">
        <v>67177.89999999999</v>
      </c>
      <c r="J408" s="121" t="n">
        <v>199.57</v>
      </c>
      <c r="K408" s="116" t="n"/>
      <c r="L408" s="116" t="n"/>
      <c r="M408" s="116" t="n"/>
      <c r="N408" s="116" t="n"/>
      <c r="O408" s="116" t="n"/>
    </row>
    <row r="409" ht="14.25" customHeight="1" s="64">
      <c r="A409" s="120" t="inlineStr">
        <is>
          <t>Julho/2026</t>
        </is>
      </c>
      <c r="B409" s="120" t="inlineStr">
        <is>
          <t>GABRIEL LIMA</t>
        </is>
      </c>
      <c r="C409" s="120" t="inlineStr">
        <is>
          <t>Todas as empresas</t>
        </is>
      </c>
      <c r="D409" s="121" t="n">
        <v>7410.09</v>
      </c>
      <c r="E409" s="120" t="n">
        <v>138</v>
      </c>
      <c r="F409" s="120" t="n">
        <v>0</v>
      </c>
      <c r="G409" s="121" t="n">
        <v>11731.77</v>
      </c>
      <c r="H409" s="121" t="n">
        <v>0</v>
      </c>
      <c r="I409" s="121" t="n">
        <v>11731.77</v>
      </c>
      <c r="J409" s="121" t="n">
        <v>53.7</v>
      </c>
      <c r="K409" s="116" t="n"/>
      <c r="L409" s="116" t="n"/>
      <c r="M409" s="116" t="n"/>
      <c r="N409" s="116" t="n"/>
      <c r="O409" s="116" t="n"/>
    </row>
    <row r="410" ht="14.25" customHeight="1" s="64">
      <c r="A410" s="120" t="inlineStr">
        <is>
          <t>Julho/2026</t>
        </is>
      </c>
      <c r="B410" s="120" t="inlineStr">
        <is>
          <t>LUCAS BONIFÁCIO</t>
        </is>
      </c>
      <c r="C410" s="120" t="inlineStr">
        <is>
          <t>Todas as empresas</t>
        </is>
      </c>
      <c r="D410" s="121" t="n">
        <v>17008.44</v>
      </c>
      <c r="E410" s="120" t="n">
        <v>128</v>
      </c>
      <c r="F410" s="120" t="n">
        <v>0</v>
      </c>
      <c r="G410" s="121" t="n">
        <v>11678.14</v>
      </c>
      <c r="H410" s="121" t="n">
        <v>0</v>
      </c>
      <c r="I410" s="121" t="n">
        <v>11678.14</v>
      </c>
      <c r="J410" s="121" t="n">
        <v>132.88</v>
      </c>
      <c r="K410" s="116" t="n"/>
      <c r="L410" s="116" t="n"/>
      <c r="M410" s="116" t="n"/>
      <c r="N410" s="116" t="n"/>
      <c r="O410" s="116" t="n"/>
    </row>
    <row r="411" ht="14.25" customHeight="1" s="64">
      <c r="A411" s="120" t="inlineStr">
        <is>
          <t>Julho/2026</t>
        </is>
      </c>
      <c r="B411" s="120" t="inlineStr">
        <is>
          <t>MICHELANGELO</t>
        </is>
      </c>
      <c r="C411" s="120" t="inlineStr">
        <is>
          <t>Todas as empresas</t>
        </is>
      </c>
      <c r="D411" s="121" t="n">
        <v>41082.7</v>
      </c>
      <c r="E411" s="120" t="n">
        <v>327</v>
      </c>
      <c r="F411" s="120" t="n">
        <v>0</v>
      </c>
      <c r="G411" s="121" t="n">
        <v>29088.58</v>
      </c>
      <c r="H411" s="121" t="n">
        <v>0</v>
      </c>
      <c r="I411" s="121" t="n">
        <v>29088.58</v>
      </c>
      <c r="J411" s="121" t="n">
        <v>125.64</v>
      </c>
      <c r="K411" s="116" t="n"/>
      <c r="L411" s="116" t="n"/>
      <c r="M411" s="116" t="n"/>
      <c r="N411" s="116" t="n"/>
      <c r="O411" s="116" t="n"/>
    </row>
    <row r="412" ht="14.25" customHeight="1" s="64">
      <c r="A412" s="120" t="inlineStr">
        <is>
          <t>Julho/2026</t>
        </is>
      </c>
      <c r="B412" s="120" t="inlineStr">
        <is>
          <t>TARCIZIO MEIRELES</t>
        </is>
      </c>
      <c r="C412" s="120" t="inlineStr">
        <is>
          <t>Todas as empresas</t>
        </is>
      </c>
      <c r="D412" s="121" t="n">
        <v>65806.72</v>
      </c>
      <c r="E412" s="120" t="n">
        <v>342</v>
      </c>
      <c r="F412" s="120" t="n">
        <v>2</v>
      </c>
      <c r="G412" s="121" t="n">
        <v>28924.39</v>
      </c>
      <c r="H412" s="121" t="n">
        <v>25</v>
      </c>
      <c r="I412" s="121" t="n">
        <v>28949.39</v>
      </c>
      <c r="J412" s="121" t="n">
        <v>191.3</v>
      </c>
      <c r="K412" s="116" t="n"/>
      <c r="L412" s="116" t="n"/>
      <c r="M412" s="116" t="n"/>
      <c r="N412" s="116" t="n"/>
      <c r="O412" s="116" t="n"/>
    </row>
    <row r="413" ht="14.25" customHeight="1" s="64">
      <c r="A413" s="120" t="inlineStr">
        <is>
          <t>Julho/2026</t>
        </is>
      </c>
      <c r="B413" s="120" t="inlineStr">
        <is>
          <t>TIAGO</t>
        </is>
      </c>
      <c r="C413" s="120" t="inlineStr">
        <is>
          <t>Todas as empresas</t>
        </is>
      </c>
      <c r="D413" s="121" t="n">
        <v>92377.85000000001</v>
      </c>
      <c r="E413" s="120" t="n">
        <v>266</v>
      </c>
      <c r="F413" s="120" t="n">
        <v>5</v>
      </c>
      <c r="G413" s="121" t="n">
        <v>23159.66</v>
      </c>
      <c r="H413" s="121" t="n">
        <v>105.09</v>
      </c>
      <c r="I413" s="121" t="n">
        <v>23264.75</v>
      </c>
      <c r="J413" s="121" t="n">
        <v>340.88</v>
      </c>
      <c r="K413" s="116" t="n"/>
      <c r="L413" s="116" t="n"/>
      <c r="M413" s="116" t="n"/>
      <c r="N413" s="116" t="n"/>
      <c r="O413" s="116" t="n"/>
    </row>
    <row r="414" ht="14.25" customHeight="1" s="64">
      <c r="A414" s="120" t="inlineStr">
        <is>
          <t>Julho/2026</t>
        </is>
      </c>
      <c r="B414" s="120" t="inlineStr">
        <is>
          <t>VITOR LINS</t>
        </is>
      </c>
      <c r="C414" s="120" t="inlineStr">
        <is>
          <t>Todas as empresas</t>
        </is>
      </c>
      <c r="D414" s="121" t="n">
        <v>0</v>
      </c>
      <c r="E414" s="120" t="n">
        <v>25</v>
      </c>
      <c r="F414" s="120" t="n">
        <v>1</v>
      </c>
      <c r="G414" s="121" t="n">
        <v>2177.7</v>
      </c>
      <c r="H414" s="121" t="n">
        <v>39.97</v>
      </c>
      <c r="I414" s="121" t="n">
        <v>2217.67</v>
      </c>
      <c r="J414" s="121" t="n">
        <v>0</v>
      </c>
      <c r="K414" s="116" t="n"/>
      <c r="L414" s="116" t="n"/>
      <c r="M414" s="116" t="n"/>
      <c r="N414" s="116" t="n"/>
      <c r="O414" s="116" t="n"/>
    </row>
    <row r="415" ht="14.25" customHeight="1" s="64">
      <c r="A415" s="120" t="n"/>
      <c r="B415" s="120" t="n"/>
      <c r="C415" s="120" t="n"/>
      <c r="D415" s="121" t="n"/>
      <c r="E415" s="120" t="n"/>
      <c r="F415" s="120" t="n"/>
      <c r="G415" s="121" t="n"/>
      <c r="H415" s="121" t="n"/>
      <c r="I415" s="121" t="n"/>
      <c r="J415" s="120" t="n"/>
      <c r="K415" s="116" t="n"/>
      <c r="L415" s="116" t="n"/>
      <c r="M415" s="116" t="n"/>
      <c r="N415" s="116" t="n"/>
      <c r="O415" s="116" t="n"/>
    </row>
    <row r="416" ht="14.25" customHeight="1" s="64">
      <c r="A416" s="120" t="n"/>
      <c r="B416" s="120" t="n"/>
      <c r="C416" s="120" t="n"/>
      <c r="D416" s="121" t="n"/>
      <c r="E416" s="120" t="n"/>
      <c r="F416" s="120" t="n"/>
      <c r="G416" s="121" t="n"/>
      <c r="H416" s="121" t="n"/>
      <c r="I416" s="121" t="n"/>
      <c r="J416" s="116" t="n"/>
      <c r="K416" s="116" t="n"/>
      <c r="L416" s="116" t="n"/>
      <c r="M416" s="116" t="n"/>
      <c r="N416" s="116" t="n"/>
      <c r="O416" s="116" t="n"/>
    </row>
    <row r="417" ht="14.25" customHeight="1" s="64">
      <c r="A417" s="120" t="n"/>
      <c r="B417" s="120" t="n"/>
      <c r="C417" s="120" t="n"/>
      <c r="D417" s="121" t="n"/>
      <c r="E417" s="120" t="n"/>
      <c r="F417" s="120" t="n"/>
      <c r="G417" s="121" t="n"/>
      <c r="H417" s="121" t="n"/>
      <c r="I417" s="121" t="n"/>
      <c r="J417" s="116" t="n"/>
      <c r="K417" s="116" t="n"/>
      <c r="L417" s="116" t="n"/>
      <c r="M417" s="116" t="n"/>
      <c r="N417" s="116" t="n"/>
      <c r="O417" s="116" t="n"/>
    </row>
    <row r="418" ht="14.25" customHeight="1" s="64">
      <c r="A418" s="120" t="n"/>
      <c r="B418" s="120" t="n"/>
      <c r="C418" s="120" t="n"/>
      <c r="D418" s="121" t="n"/>
      <c r="E418" s="120" t="n"/>
      <c r="F418" s="120" t="n"/>
      <c r="G418" s="121" t="n"/>
      <c r="H418" s="121" t="n"/>
      <c r="I418" s="121" t="n"/>
      <c r="J418" s="116" t="n"/>
      <c r="K418" s="116" t="n"/>
      <c r="L418" s="116" t="n"/>
      <c r="M418" s="116" t="n"/>
      <c r="N418" s="116" t="n"/>
      <c r="O418" s="116" t="n"/>
    </row>
    <row r="419" ht="14.25" customHeight="1" s="64">
      <c r="A419" s="120" t="n"/>
      <c r="B419" s="120" t="n"/>
      <c r="C419" s="120" t="n"/>
      <c r="D419" s="121" t="n"/>
      <c r="E419" s="120" t="n"/>
      <c r="F419" s="120" t="n"/>
      <c r="G419" s="121" t="n"/>
      <c r="H419" s="121" t="n"/>
      <c r="I419" s="121" t="n"/>
      <c r="J419" s="116" t="n"/>
      <c r="K419" s="116" t="n"/>
      <c r="L419" s="116" t="n"/>
      <c r="M419" s="116" t="n"/>
      <c r="N419" s="116" t="n"/>
      <c r="O419" s="116" t="n"/>
    </row>
    <row r="420" ht="14.25" customHeight="1" s="64">
      <c r="A420" s="120" t="n"/>
      <c r="B420" s="120" t="n"/>
      <c r="C420" s="120" t="n"/>
      <c r="D420" s="121" t="n"/>
      <c r="E420" s="120" t="n"/>
      <c r="F420" s="120" t="n"/>
      <c r="G420" s="121" t="n"/>
      <c r="H420" s="121" t="n"/>
      <c r="I420" s="121" t="n"/>
      <c r="J420" s="116" t="n"/>
      <c r="K420" s="116" t="n"/>
      <c r="L420" s="116" t="n"/>
      <c r="M420" s="116" t="n"/>
      <c r="N420" s="116" t="n"/>
      <c r="O420" s="116" t="n"/>
    </row>
    <row r="421" ht="14.25" customHeight="1" s="64">
      <c r="A421" s="120" t="n"/>
      <c r="B421" s="120" t="n"/>
      <c r="C421" s="120" t="n"/>
      <c r="D421" s="121" t="n"/>
      <c r="E421" s="120" t="n"/>
      <c r="F421" s="120" t="n"/>
      <c r="G421" s="121" t="n"/>
      <c r="H421" s="121" t="n"/>
      <c r="I421" s="121" t="n"/>
      <c r="J421" s="116" t="n"/>
      <c r="K421" s="116" t="n"/>
      <c r="L421" s="116" t="n"/>
      <c r="M421" s="116" t="n"/>
      <c r="N421" s="116" t="n"/>
      <c r="O421" s="116" t="n"/>
    </row>
    <row r="422" ht="14.25" customHeight="1" s="64">
      <c r="A422" s="120" t="n"/>
      <c r="B422" s="120" t="n"/>
      <c r="C422" s="120" t="n"/>
      <c r="D422" s="121" t="n"/>
      <c r="E422" s="120" t="n"/>
      <c r="F422" s="120" t="n"/>
      <c r="G422" s="121" t="n"/>
      <c r="H422" s="121" t="n"/>
      <c r="I422" s="121" t="n"/>
      <c r="J422" s="116" t="n"/>
      <c r="K422" s="116" t="n"/>
      <c r="L422" s="116" t="n"/>
      <c r="M422" s="116" t="n"/>
      <c r="N422" s="116" t="n"/>
      <c r="O422" s="116" t="n"/>
    </row>
    <row r="423" ht="14.25" customHeight="1" s="64">
      <c r="A423" s="120" t="n"/>
      <c r="B423" s="120" t="n"/>
      <c r="C423" s="120" t="n"/>
      <c r="D423" s="121" t="n"/>
      <c r="E423" s="120" t="n"/>
      <c r="F423" s="120" t="n"/>
      <c r="G423" s="121" t="n"/>
      <c r="H423" s="121" t="n"/>
      <c r="I423" s="121" t="n"/>
      <c r="J423" s="116" t="n"/>
      <c r="K423" s="116" t="n"/>
      <c r="L423" s="116" t="n"/>
      <c r="M423" s="116" t="n"/>
      <c r="N423" s="116" t="n"/>
      <c r="O423" s="116" t="n"/>
    </row>
    <row r="424" ht="14.25" customHeight="1" s="64">
      <c r="A424" s="120" t="n"/>
      <c r="B424" s="120" t="n"/>
      <c r="C424" s="120" t="n"/>
      <c r="D424" s="121" t="n"/>
      <c r="E424" s="120" t="n"/>
      <c r="F424" s="120" t="n"/>
      <c r="G424" s="121" t="n"/>
      <c r="H424" s="121" t="n"/>
      <c r="I424" s="121" t="n"/>
      <c r="J424" s="116" t="n"/>
      <c r="K424" s="116" t="n"/>
      <c r="L424" s="116" t="n"/>
      <c r="M424" s="116" t="n"/>
      <c r="N424" s="116" t="n"/>
      <c r="O424" s="116" t="n"/>
    </row>
    <row r="425" ht="14.25" customHeight="1" s="64">
      <c r="A425" s="120" t="n"/>
      <c r="B425" s="120" t="n"/>
      <c r="C425" s="120" t="n"/>
      <c r="D425" s="121" t="n"/>
      <c r="E425" s="120" t="n"/>
      <c r="F425" s="120" t="n"/>
      <c r="G425" s="121" t="n"/>
      <c r="H425" s="121" t="n"/>
      <c r="I425" s="121" t="n"/>
      <c r="J425" s="116" t="n"/>
      <c r="K425" s="116" t="n"/>
      <c r="L425" s="116" t="n"/>
      <c r="M425" s="116" t="n"/>
      <c r="N425" s="116" t="n"/>
      <c r="O425" s="116" t="n"/>
    </row>
    <row r="426" ht="14.25" customHeight="1" s="64">
      <c r="A426" s="120" t="n"/>
      <c r="B426" s="120" t="n"/>
      <c r="C426" s="120" t="n"/>
      <c r="D426" s="121" t="n"/>
      <c r="E426" s="120" t="n"/>
      <c r="F426" s="120" t="n"/>
      <c r="G426" s="121" t="n"/>
      <c r="H426" s="121" t="n"/>
      <c r="I426" s="121" t="n"/>
      <c r="J426" s="116" t="n"/>
      <c r="K426" s="116" t="n"/>
      <c r="L426" s="116" t="n"/>
      <c r="M426" s="116" t="n"/>
      <c r="N426" s="116" t="n"/>
      <c r="O426" s="116" t="n"/>
    </row>
    <row r="427" ht="14.25" customHeight="1" s="64">
      <c r="A427" s="120" t="n"/>
      <c r="B427" s="120" t="n"/>
      <c r="C427" s="120" t="n"/>
      <c r="D427" s="121" t="n"/>
      <c r="E427" s="120" t="n"/>
      <c r="F427" s="120" t="n"/>
      <c r="G427" s="121" t="n"/>
      <c r="H427" s="121" t="n"/>
      <c r="I427" s="121" t="n"/>
      <c r="J427" s="116" t="n"/>
      <c r="K427" s="116" t="n"/>
      <c r="L427" s="116" t="n"/>
      <c r="M427" s="116" t="n"/>
      <c r="N427" s="116" t="n"/>
      <c r="O427" s="116" t="n"/>
    </row>
    <row r="428" ht="14.25" customHeight="1" s="64">
      <c r="A428" s="120" t="n"/>
      <c r="B428" s="120" t="n"/>
      <c r="C428" s="120" t="n"/>
      <c r="D428" s="121" t="n"/>
      <c r="E428" s="120" t="n"/>
      <c r="F428" s="120" t="n"/>
      <c r="G428" s="121" t="n"/>
      <c r="H428" s="121" t="n"/>
      <c r="I428" s="121" t="n"/>
      <c r="J428" s="116" t="n"/>
      <c r="K428" s="116" t="n"/>
      <c r="L428" s="116" t="n"/>
      <c r="M428" s="116" t="n"/>
      <c r="N428" s="116" t="n"/>
      <c r="O428" s="116" t="n"/>
    </row>
    <row r="429" ht="14.25" customHeight="1" s="64">
      <c r="A429" s="120" t="n"/>
      <c r="B429" s="120" t="n"/>
      <c r="C429" s="120" t="n"/>
      <c r="D429" s="121" t="n"/>
      <c r="E429" s="120" t="n"/>
      <c r="F429" s="120" t="n"/>
      <c r="G429" s="121" t="n"/>
      <c r="H429" s="121" t="n"/>
      <c r="I429" s="121" t="n"/>
      <c r="J429" s="116" t="n"/>
      <c r="K429" s="116" t="n"/>
      <c r="L429" s="116" t="n"/>
      <c r="M429" s="116" t="n"/>
      <c r="N429" s="116" t="n"/>
      <c r="O429" s="116" t="n"/>
    </row>
    <row r="430" ht="14.25" customHeight="1" s="64">
      <c r="A430" s="120" t="n"/>
      <c r="B430" s="120" t="n"/>
      <c r="C430" s="120" t="n"/>
      <c r="D430" s="121" t="n"/>
      <c r="E430" s="120" t="n"/>
      <c r="F430" s="120" t="n"/>
      <c r="G430" s="121" t="n"/>
      <c r="H430" s="121" t="n"/>
      <c r="I430" s="121" t="n"/>
      <c r="J430" s="116" t="n"/>
      <c r="K430" s="116" t="n"/>
      <c r="L430" s="116" t="n"/>
      <c r="M430" s="116" t="n"/>
      <c r="N430" s="116" t="n"/>
      <c r="O430" s="116" t="n"/>
    </row>
    <row r="431" ht="14.25" customHeight="1" s="64">
      <c r="A431" s="120" t="n"/>
      <c r="B431" s="120" t="n"/>
      <c r="C431" s="120" t="n"/>
      <c r="D431" s="121" t="n"/>
      <c r="E431" s="120" t="n"/>
      <c r="F431" s="120" t="n"/>
      <c r="G431" s="121" t="n"/>
      <c r="H431" s="121" t="n"/>
      <c r="I431" s="121" t="n"/>
      <c r="J431" s="116" t="n"/>
      <c r="K431" s="116" t="n"/>
      <c r="L431" s="116" t="n"/>
      <c r="M431" s="116" t="n"/>
      <c r="N431" s="116" t="n"/>
      <c r="O431" s="116" t="n"/>
    </row>
    <row r="432" ht="14.25" customHeight="1" s="64">
      <c r="A432" s="120" t="n"/>
      <c r="B432" s="120" t="n"/>
      <c r="C432" s="120" t="n"/>
      <c r="D432" s="121" t="n"/>
      <c r="E432" s="120" t="n"/>
      <c r="F432" s="120" t="n"/>
      <c r="G432" s="121" t="n"/>
      <c r="H432" s="121" t="n"/>
      <c r="I432" s="121" t="n"/>
      <c r="J432" s="116" t="n"/>
      <c r="K432" s="116" t="n"/>
      <c r="L432" s="116" t="n"/>
      <c r="M432" s="116" t="n"/>
      <c r="N432" s="116" t="n"/>
      <c r="O432" s="116" t="n"/>
    </row>
    <row r="433" ht="14.25" customHeight="1" s="64">
      <c r="A433" s="120" t="n"/>
      <c r="B433" s="120" t="n"/>
      <c r="C433" s="120" t="n"/>
      <c r="D433" s="121" t="n"/>
      <c r="E433" s="120" t="n"/>
      <c r="F433" s="120" t="n"/>
      <c r="G433" s="121" t="n"/>
      <c r="H433" s="121" t="n"/>
      <c r="I433" s="121" t="n"/>
      <c r="J433" s="116" t="n"/>
      <c r="K433" s="116" t="n"/>
      <c r="L433" s="116" t="n"/>
      <c r="M433" s="116" t="n"/>
      <c r="N433" s="116" t="n"/>
      <c r="O433" s="116" t="n"/>
    </row>
    <row r="434" ht="14.25" customHeight="1" s="64">
      <c r="A434" s="120" t="n"/>
      <c r="B434" s="120" t="n"/>
      <c r="C434" s="120" t="n"/>
      <c r="D434" s="121" t="n"/>
      <c r="E434" s="120" t="n"/>
      <c r="F434" s="120" t="n"/>
      <c r="G434" s="121" t="n"/>
      <c r="H434" s="121" t="n"/>
      <c r="I434" s="121" t="n"/>
      <c r="J434" s="116" t="n"/>
      <c r="K434" s="116" t="n"/>
      <c r="L434" s="116" t="n"/>
      <c r="M434" s="116" t="n"/>
      <c r="N434" s="116" t="n"/>
      <c r="O434" s="116" t="n"/>
    </row>
    <row r="435" ht="14.25" customHeight="1" s="64">
      <c r="A435" s="120" t="n"/>
      <c r="B435" s="120" t="n"/>
      <c r="C435" s="120" t="n"/>
      <c r="D435" s="121" t="n"/>
      <c r="E435" s="120" t="n"/>
      <c r="F435" s="120" t="n"/>
      <c r="G435" s="121" t="n"/>
      <c r="H435" s="121" t="n"/>
      <c r="I435" s="121" t="n"/>
      <c r="J435" s="116" t="n"/>
      <c r="K435" s="116" t="n"/>
      <c r="L435" s="116" t="n"/>
      <c r="M435" s="116" t="n"/>
      <c r="N435" s="116" t="n"/>
      <c r="O435" s="116" t="n"/>
    </row>
    <row r="436" ht="14.25" customHeight="1" s="64">
      <c r="A436" s="120" t="n"/>
      <c r="B436" s="120" t="n"/>
      <c r="C436" s="120" t="n"/>
      <c r="D436" s="121" t="n"/>
      <c r="E436" s="120" t="n"/>
      <c r="F436" s="120" t="n"/>
      <c r="G436" s="121" t="n"/>
      <c r="H436" s="121" t="n"/>
      <c r="I436" s="121" t="n"/>
      <c r="J436" s="116" t="n"/>
      <c r="K436" s="116" t="n"/>
      <c r="L436" s="116" t="n"/>
      <c r="M436" s="116" t="n"/>
      <c r="N436" s="116" t="n"/>
      <c r="O436" s="116" t="n"/>
    </row>
    <row r="437" ht="14.25" customHeight="1" s="64">
      <c r="A437" s="120" t="n"/>
      <c r="B437" s="120" t="n"/>
      <c r="C437" s="120" t="n"/>
      <c r="D437" s="121" t="n"/>
      <c r="E437" s="120" t="n"/>
      <c r="F437" s="120" t="n"/>
      <c r="G437" s="121" t="n"/>
      <c r="H437" s="121" t="n"/>
      <c r="I437" s="121" t="n"/>
      <c r="J437" s="116" t="n"/>
      <c r="K437" s="116" t="n"/>
      <c r="L437" s="116" t="n"/>
      <c r="M437" s="116" t="n"/>
      <c r="N437" s="116" t="n"/>
      <c r="O437" s="116" t="n"/>
    </row>
    <row r="438" ht="14.25" customHeight="1" s="64">
      <c r="A438" s="120" t="n"/>
      <c r="B438" s="120" t="n"/>
      <c r="C438" s="120" t="n"/>
      <c r="D438" s="121" t="n"/>
      <c r="E438" s="120" t="n"/>
      <c r="F438" s="120" t="n"/>
      <c r="G438" s="121" t="n"/>
      <c r="H438" s="121" t="n"/>
      <c r="I438" s="121" t="n"/>
      <c r="J438" s="116" t="n"/>
      <c r="K438" s="116" t="n"/>
      <c r="L438" s="116" t="n"/>
      <c r="M438" s="116" t="n"/>
      <c r="N438" s="116" t="n"/>
      <c r="O438" s="116" t="n"/>
    </row>
    <row r="439" ht="14.25" customHeight="1" s="64">
      <c r="A439" s="120" t="n"/>
      <c r="B439" s="120" t="n"/>
      <c r="C439" s="120" t="n"/>
      <c r="D439" s="121" t="n"/>
      <c r="E439" s="120" t="n"/>
      <c r="F439" s="120" t="n"/>
      <c r="G439" s="121" t="n"/>
      <c r="H439" s="121" t="n"/>
      <c r="I439" s="121" t="n"/>
      <c r="J439" s="116" t="n"/>
      <c r="K439" s="116" t="n"/>
      <c r="L439" s="116" t="n"/>
      <c r="M439" s="116" t="n"/>
      <c r="N439" s="116" t="n"/>
      <c r="O439" s="116" t="n"/>
    </row>
    <row r="440" ht="14.25" customHeight="1" s="64">
      <c r="A440" s="120" t="n"/>
      <c r="B440" s="120" t="n"/>
      <c r="C440" s="120" t="n"/>
      <c r="D440" s="121" t="n"/>
      <c r="E440" s="120" t="n"/>
      <c r="F440" s="120" t="n"/>
      <c r="G440" s="121" t="n"/>
      <c r="H440" s="121" t="n"/>
      <c r="I440" s="121" t="n"/>
      <c r="J440" s="116" t="n"/>
      <c r="K440" s="116" t="n"/>
      <c r="L440" s="116" t="n"/>
      <c r="M440" s="116" t="n"/>
      <c r="N440" s="116" t="n"/>
      <c r="O440" s="116" t="n"/>
    </row>
    <row r="441" ht="14.25" customHeight="1" s="64">
      <c r="A441" s="120" t="n"/>
      <c r="B441" s="120" t="n"/>
      <c r="C441" s="120" t="n"/>
      <c r="D441" s="121" t="n"/>
      <c r="E441" s="120" t="n"/>
      <c r="F441" s="120" t="n"/>
      <c r="G441" s="121" t="n"/>
      <c r="H441" s="121" t="n"/>
      <c r="I441" s="121" t="n"/>
      <c r="J441" s="116" t="n"/>
      <c r="K441" s="116" t="n"/>
      <c r="L441" s="116" t="n"/>
      <c r="M441" s="116" t="n"/>
      <c r="N441" s="116" t="n"/>
      <c r="O441" s="116" t="n"/>
    </row>
    <row r="442" ht="14.25" customHeight="1" s="64">
      <c r="A442" s="120" t="n"/>
      <c r="B442" s="120" t="n"/>
      <c r="C442" s="120" t="n"/>
      <c r="D442" s="121" t="n"/>
      <c r="E442" s="120" t="n"/>
      <c r="F442" s="120" t="n"/>
      <c r="G442" s="121" t="n"/>
      <c r="H442" s="121" t="n"/>
      <c r="I442" s="121" t="n"/>
      <c r="J442" s="116" t="n"/>
      <c r="K442" s="116" t="n"/>
      <c r="L442" s="116" t="n"/>
      <c r="M442" s="116" t="n"/>
      <c r="N442" s="116" t="n"/>
      <c r="O442" s="116" t="n"/>
    </row>
    <row r="443" ht="14.25" customHeight="1" s="64">
      <c r="A443" s="120" t="n"/>
      <c r="B443" s="120" t="n"/>
      <c r="C443" s="120" t="n"/>
      <c r="D443" s="121" t="n"/>
      <c r="E443" s="120" t="n"/>
      <c r="F443" s="120" t="n"/>
      <c r="G443" s="121" t="n"/>
      <c r="H443" s="121" t="n"/>
      <c r="I443" s="121" t="n"/>
      <c r="J443" s="116" t="n"/>
      <c r="K443" s="116" t="n"/>
      <c r="L443" s="116" t="n"/>
      <c r="M443" s="116" t="n"/>
      <c r="N443" s="116" t="n"/>
      <c r="O443" s="116" t="n"/>
    </row>
    <row r="444" ht="14.25" customHeight="1" s="64">
      <c r="A444" s="120" t="n"/>
      <c r="B444" s="120" t="n"/>
      <c r="C444" s="120" t="n"/>
      <c r="D444" s="121" t="n"/>
      <c r="E444" s="120" t="n"/>
      <c r="F444" s="120" t="n"/>
      <c r="G444" s="121" t="n"/>
      <c r="H444" s="121" t="n"/>
      <c r="I444" s="121" t="n"/>
      <c r="J444" s="116" t="n"/>
      <c r="K444" s="116" t="n"/>
      <c r="L444" s="116" t="n"/>
      <c r="M444" s="116" t="n"/>
      <c r="N444" s="116" t="n"/>
      <c r="O444" s="116" t="n"/>
    </row>
    <row r="445" ht="14.25" customHeight="1" s="64">
      <c r="A445" s="120" t="n"/>
      <c r="B445" s="120" t="n"/>
      <c r="C445" s="120" t="n"/>
      <c r="D445" s="121" t="n"/>
      <c r="E445" s="120" t="n"/>
      <c r="F445" s="120" t="n"/>
      <c r="G445" s="121" t="n"/>
      <c r="H445" s="121" t="n"/>
      <c r="I445" s="121" t="n"/>
      <c r="J445" s="116" t="n"/>
      <c r="K445" s="116" t="n"/>
      <c r="L445" s="116" t="n"/>
      <c r="M445" s="116" t="n"/>
      <c r="N445" s="116" t="n"/>
      <c r="O445" s="116" t="n"/>
    </row>
    <row r="446" ht="14.25" customHeight="1" s="64">
      <c r="A446" s="120" t="n"/>
      <c r="B446" s="120" t="n"/>
      <c r="C446" s="120" t="n"/>
      <c r="D446" s="121" t="n"/>
      <c r="E446" s="120" t="n"/>
      <c r="F446" s="120" t="n"/>
      <c r="G446" s="121" t="n"/>
      <c r="H446" s="121" t="n"/>
      <c r="I446" s="121" t="n"/>
      <c r="J446" s="116" t="n"/>
      <c r="K446" s="116" t="n"/>
      <c r="L446" s="116" t="n"/>
      <c r="M446" s="116" t="n"/>
      <c r="N446" s="116" t="n"/>
      <c r="O446" s="116" t="n"/>
    </row>
    <row r="447" ht="14.25" customHeight="1" s="64">
      <c r="A447" s="120" t="n"/>
      <c r="B447" s="120" t="n"/>
      <c r="C447" s="120" t="n"/>
      <c r="D447" s="121" t="n"/>
      <c r="E447" s="120" t="n"/>
      <c r="F447" s="120" t="n"/>
      <c r="G447" s="121" t="n"/>
      <c r="H447" s="121" t="n"/>
      <c r="I447" s="121" t="n"/>
      <c r="J447" s="116" t="n"/>
      <c r="K447" s="116" t="n"/>
      <c r="L447" s="116" t="n"/>
      <c r="M447" s="116" t="n"/>
      <c r="N447" s="116" t="n"/>
      <c r="O447" s="116" t="n"/>
    </row>
    <row r="448" ht="14.25" customHeight="1" s="64">
      <c r="A448" s="120" t="n"/>
      <c r="B448" s="120" t="n"/>
      <c r="C448" s="120" t="n"/>
      <c r="D448" s="121" t="n"/>
      <c r="E448" s="120" t="n"/>
      <c r="F448" s="120" t="n"/>
      <c r="G448" s="121" t="n"/>
      <c r="H448" s="121" t="n"/>
      <c r="I448" s="121" t="n"/>
      <c r="J448" s="116" t="n"/>
      <c r="K448" s="116" t="n"/>
      <c r="L448" s="116" t="n"/>
      <c r="M448" s="116" t="n"/>
      <c r="N448" s="116" t="n"/>
      <c r="O448" s="116" t="n"/>
    </row>
    <row r="449" ht="14.25" customHeight="1" s="64">
      <c r="A449" s="120" t="n"/>
      <c r="B449" s="120" t="n"/>
      <c r="C449" s="120" t="n"/>
      <c r="D449" s="121" t="n"/>
      <c r="E449" s="120" t="n"/>
      <c r="F449" s="120" t="n"/>
      <c r="G449" s="121" t="n"/>
      <c r="H449" s="121" t="n"/>
      <c r="I449" s="121" t="n"/>
      <c r="J449" s="116" t="n"/>
      <c r="K449" s="116" t="n"/>
      <c r="L449" s="116" t="n"/>
      <c r="M449" s="116" t="n"/>
      <c r="N449" s="116" t="n"/>
      <c r="O449" s="116" t="n"/>
    </row>
    <row r="450" ht="14.25" customHeight="1" s="64">
      <c r="A450" s="120" t="n"/>
      <c r="B450" s="120" t="n"/>
      <c r="C450" s="120" t="n"/>
      <c r="D450" s="121" t="n"/>
      <c r="E450" s="120" t="n"/>
      <c r="F450" s="120" t="n"/>
      <c r="G450" s="121" t="n"/>
      <c r="H450" s="121" t="n"/>
      <c r="I450" s="121" t="n"/>
      <c r="J450" s="116" t="n"/>
      <c r="K450" s="116" t="n"/>
      <c r="L450" s="116" t="n"/>
      <c r="M450" s="116" t="n"/>
      <c r="N450" s="116" t="n"/>
      <c r="O450" s="116" t="n"/>
    </row>
    <row r="451" ht="14.25" customHeight="1" s="64">
      <c r="A451" s="120" t="n"/>
      <c r="B451" s="120" t="n"/>
      <c r="C451" s="120" t="n"/>
      <c r="D451" s="121" t="n"/>
      <c r="E451" s="120" t="n"/>
      <c r="F451" s="120" t="n"/>
      <c r="G451" s="121" t="n"/>
      <c r="H451" s="121" t="n"/>
      <c r="I451" s="121" t="n"/>
      <c r="J451" s="116" t="n"/>
      <c r="K451" s="116" t="n"/>
      <c r="L451" s="116" t="n"/>
      <c r="M451" s="116" t="n"/>
      <c r="N451" s="116" t="n"/>
      <c r="O451" s="116" t="n"/>
    </row>
    <row r="452" ht="14.25" customHeight="1" s="64">
      <c r="A452" s="120" t="n"/>
      <c r="B452" s="120" t="n"/>
      <c r="C452" s="120" t="n"/>
      <c r="D452" s="121" t="n"/>
      <c r="E452" s="120" t="n"/>
      <c r="F452" s="120" t="n"/>
      <c r="G452" s="121" t="n"/>
      <c r="H452" s="121" t="n"/>
      <c r="I452" s="121" t="n"/>
      <c r="J452" s="116" t="n"/>
      <c r="K452" s="116" t="n"/>
      <c r="L452" s="116" t="n"/>
      <c r="M452" s="116" t="n"/>
      <c r="N452" s="116" t="n"/>
      <c r="O452" s="116" t="n"/>
    </row>
    <row r="453" ht="14.25" customHeight="1" s="64">
      <c r="A453" s="120" t="n"/>
      <c r="B453" s="120" t="n"/>
      <c r="C453" s="120" t="n"/>
      <c r="D453" s="121" t="n"/>
      <c r="E453" s="120" t="n"/>
      <c r="F453" s="120" t="n"/>
      <c r="G453" s="121" t="n"/>
      <c r="H453" s="121" t="n"/>
      <c r="I453" s="121" t="n"/>
      <c r="J453" s="116" t="n"/>
      <c r="K453" s="116" t="n"/>
      <c r="L453" s="116" t="n"/>
      <c r="M453" s="116" t="n"/>
      <c r="N453" s="116" t="n"/>
      <c r="O453" s="116" t="n"/>
    </row>
    <row r="454" ht="14.25" customHeight="1" s="64">
      <c r="A454" s="120" t="n"/>
      <c r="B454" s="120" t="n"/>
      <c r="C454" s="120" t="n"/>
      <c r="D454" s="121" t="n"/>
      <c r="E454" s="120" t="n"/>
      <c r="F454" s="120" t="n"/>
      <c r="G454" s="121" t="n"/>
      <c r="H454" s="121" t="n"/>
      <c r="I454" s="121" t="n"/>
      <c r="J454" s="116" t="n"/>
      <c r="K454" s="116" t="n"/>
      <c r="L454" s="116" t="n"/>
      <c r="M454" s="116" t="n"/>
      <c r="N454" s="116" t="n"/>
      <c r="O454" s="116" t="n"/>
    </row>
    <row r="455" ht="14.25" customHeight="1" s="64">
      <c r="A455" s="120" t="n"/>
      <c r="B455" s="120" t="n"/>
      <c r="C455" s="120" t="n"/>
      <c r="D455" s="121" t="n"/>
      <c r="E455" s="120" t="n"/>
      <c r="F455" s="120" t="n"/>
      <c r="G455" s="121" t="n"/>
      <c r="H455" s="121" t="n"/>
      <c r="I455" s="121" t="n"/>
      <c r="J455" s="116" t="n"/>
      <c r="K455" s="116" t="n"/>
      <c r="L455" s="116" t="n"/>
      <c r="M455" s="116" t="n"/>
      <c r="N455" s="116" t="n"/>
      <c r="O455" s="116" t="n"/>
    </row>
    <row r="456" ht="14.25" customHeight="1" s="64">
      <c r="A456" s="120" t="n"/>
      <c r="B456" s="120" t="n"/>
      <c r="C456" s="120" t="n"/>
      <c r="D456" s="121" t="n"/>
      <c r="E456" s="120" t="n"/>
      <c r="F456" s="120" t="n"/>
      <c r="G456" s="121" t="n"/>
      <c r="H456" s="121" t="n"/>
      <c r="I456" s="121" t="n"/>
      <c r="J456" s="116" t="n"/>
      <c r="K456" s="116" t="n"/>
      <c r="L456" s="116" t="n"/>
      <c r="M456" s="116" t="n"/>
      <c r="N456" s="116" t="n"/>
      <c r="O456" s="116" t="n"/>
    </row>
    <row r="457" ht="14.25" customHeight="1" s="64">
      <c r="A457" s="120" t="n"/>
      <c r="B457" s="120" t="n"/>
      <c r="C457" s="120" t="n"/>
      <c r="D457" s="121" t="n"/>
      <c r="E457" s="120" t="n"/>
      <c r="F457" s="120" t="n"/>
      <c r="G457" s="121" t="n"/>
      <c r="H457" s="121" t="n"/>
      <c r="I457" s="121" t="n"/>
      <c r="J457" s="116" t="n"/>
      <c r="K457" s="116" t="n"/>
      <c r="L457" s="116" t="n"/>
      <c r="M457" s="116" t="n"/>
      <c r="N457" s="116" t="n"/>
      <c r="O457" s="116" t="n"/>
    </row>
    <row r="458" ht="14.25" customHeight="1" s="64">
      <c r="A458" s="120" t="n"/>
      <c r="B458" s="120" t="n"/>
      <c r="C458" s="120" t="n"/>
      <c r="D458" s="121" t="n"/>
      <c r="E458" s="120" t="n"/>
      <c r="F458" s="120" t="n"/>
      <c r="G458" s="121" t="n"/>
      <c r="H458" s="121" t="n"/>
      <c r="I458" s="121" t="n"/>
      <c r="J458" s="116" t="n"/>
      <c r="K458" s="116" t="n"/>
      <c r="L458" s="116" t="n"/>
      <c r="M458" s="116" t="n"/>
      <c r="N458" s="116" t="n"/>
      <c r="O458" s="116" t="n"/>
    </row>
    <row r="459" ht="14.25" customHeight="1" s="64">
      <c r="A459" s="120" t="n"/>
      <c r="B459" s="120" t="n"/>
      <c r="C459" s="120" t="n"/>
      <c r="D459" s="121" t="n"/>
      <c r="E459" s="120" t="n"/>
      <c r="F459" s="120" t="n"/>
      <c r="G459" s="121" t="n"/>
      <c r="H459" s="121" t="n"/>
      <c r="I459" s="121" t="n"/>
      <c r="J459" s="116" t="n"/>
      <c r="K459" s="116" t="n"/>
      <c r="L459" s="116" t="n"/>
      <c r="M459" s="116" t="n"/>
      <c r="N459" s="116" t="n"/>
      <c r="O459" s="116" t="n"/>
    </row>
    <row r="460" ht="14.25" customHeight="1" s="64">
      <c r="A460" s="120" t="n"/>
      <c r="B460" s="120" t="n"/>
      <c r="C460" s="120" t="n"/>
      <c r="D460" s="121" t="n"/>
      <c r="E460" s="120" t="n"/>
      <c r="F460" s="120" t="n"/>
      <c r="G460" s="121" t="n"/>
      <c r="H460" s="121" t="n"/>
      <c r="I460" s="121" t="n"/>
      <c r="J460" s="116" t="n"/>
      <c r="K460" s="116" t="n"/>
      <c r="L460" s="116" t="n"/>
      <c r="M460" s="116" t="n"/>
      <c r="N460" s="116" t="n"/>
      <c r="O460" s="116" t="n"/>
    </row>
    <row r="461" ht="14.25" customHeight="1" s="64">
      <c r="A461" s="120" t="n"/>
      <c r="B461" s="120" t="n"/>
      <c r="C461" s="120" t="n"/>
      <c r="D461" s="121" t="n"/>
      <c r="E461" s="120" t="n"/>
      <c r="F461" s="120" t="n"/>
      <c r="G461" s="121" t="n"/>
      <c r="H461" s="121" t="n"/>
      <c r="I461" s="121" t="n"/>
      <c r="J461" s="116" t="n"/>
      <c r="K461" s="116" t="n"/>
      <c r="L461" s="116" t="n"/>
      <c r="M461" s="116" t="n"/>
      <c r="N461" s="116" t="n"/>
      <c r="O461" s="116" t="n"/>
    </row>
    <row r="462" ht="14.25" customHeight="1" s="64">
      <c r="A462" s="120" t="n"/>
      <c r="B462" s="120" t="n"/>
      <c r="C462" s="120" t="n"/>
      <c r="D462" s="121" t="n"/>
      <c r="E462" s="120" t="n"/>
      <c r="F462" s="120" t="n"/>
      <c r="G462" s="121" t="n"/>
      <c r="H462" s="121" t="n"/>
      <c r="I462" s="121" t="n"/>
      <c r="J462" s="116" t="n"/>
      <c r="K462" s="116" t="n"/>
      <c r="L462" s="116" t="n"/>
      <c r="M462" s="116" t="n"/>
      <c r="N462" s="116" t="n"/>
      <c r="O462" s="116" t="n"/>
    </row>
    <row r="463" ht="14.25" customHeight="1" s="64">
      <c r="A463" s="120" t="n"/>
      <c r="B463" s="120" t="n"/>
      <c r="C463" s="120" t="n"/>
      <c r="D463" s="121" t="n"/>
      <c r="E463" s="120" t="n"/>
      <c r="F463" s="120" t="n"/>
      <c r="G463" s="121" t="n"/>
      <c r="H463" s="121" t="n"/>
      <c r="I463" s="121" t="n"/>
      <c r="J463" s="116" t="n"/>
      <c r="K463" s="116" t="n"/>
      <c r="L463" s="116" t="n"/>
      <c r="M463" s="116" t="n"/>
      <c r="N463" s="116" t="n"/>
      <c r="O463" s="116" t="n"/>
    </row>
    <row r="464" ht="14.25" customHeight="1" s="64">
      <c r="A464" s="120" t="n"/>
      <c r="B464" s="120" t="n"/>
      <c r="C464" s="120" t="n"/>
      <c r="D464" s="121" t="n"/>
      <c r="E464" s="120" t="n"/>
      <c r="F464" s="120" t="n"/>
      <c r="G464" s="121" t="n"/>
      <c r="H464" s="121" t="n"/>
      <c r="I464" s="121" t="n"/>
      <c r="J464" s="116" t="n"/>
      <c r="K464" s="116" t="n"/>
      <c r="L464" s="116" t="n"/>
      <c r="M464" s="116" t="n"/>
      <c r="N464" s="116" t="n"/>
      <c r="O464" s="116" t="n"/>
    </row>
    <row r="465" ht="14.25" customHeight="1" s="64">
      <c r="A465" s="120" t="n"/>
      <c r="B465" s="120" t="n"/>
      <c r="C465" s="120" t="n"/>
      <c r="D465" s="121" t="n"/>
      <c r="E465" s="120" t="n"/>
      <c r="F465" s="120" t="n"/>
      <c r="G465" s="121" t="n"/>
      <c r="H465" s="121" t="n"/>
      <c r="I465" s="121" t="n"/>
      <c r="J465" s="116" t="n"/>
      <c r="K465" s="116" t="n"/>
      <c r="L465" s="116" t="n"/>
      <c r="M465" s="116" t="n"/>
      <c r="N465" s="116" t="n"/>
      <c r="O465" s="116" t="n"/>
    </row>
    <row r="466" ht="14.25" customHeight="1" s="64">
      <c r="A466" s="120" t="n"/>
      <c r="B466" s="120" t="n"/>
      <c r="C466" s="120" t="n"/>
      <c r="D466" s="121" t="n"/>
      <c r="E466" s="120" t="n"/>
      <c r="F466" s="120" t="n"/>
      <c r="G466" s="121" t="n"/>
      <c r="H466" s="121" t="n"/>
      <c r="I466" s="121" t="n"/>
      <c r="J466" s="116" t="n"/>
      <c r="K466" s="116" t="n"/>
      <c r="L466" s="116" t="n"/>
      <c r="M466" s="116" t="n"/>
      <c r="N466" s="116" t="n"/>
      <c r="O466" s="116" t="n"/>
    </row>
    <row r="467" ht="14.25" customHeight="1" s="64">
      <c r="A467" s="120" t="n"/>
      <c r="B467" s="120" t="n"/>
      <c r="C467" s="120" t="n"/>
      <c r="D467" s="121" t="n"/>
      <c r="E467" s="120" t="n"/>
      <c r="F467" s="120" t="n"/>
      <c r="G467" s="121" t="n"/>
      <c r="H467" s="121" t="n"/>
      <c r="I467" s="121" t="n"/>
      <c r="J467" s="116" t="n"/>
      <c r="K467" s="116" t="n"/>
      <c r="L467" s="116" t="n"/>
      <c r="M467" s="116" t="n"/>
      <c r="N467" s="116" t="n"/>
      <c r="O467" s="116" t="n"/>
    </row>
    <row r="468" ht="14.25" customHeight="1" s="64">
      <c r="A468" s="120" t="n"/>
      <c r="B468" s="120" t="n"/>
      <c r="C468" s="120" t="n"/>
      <c r="D468" s="121" t="n"/>
      <c r="E468" s="120" t="n"/>
      <c r="F468" s="120" t="n"/>
      <c r="G468" s="121" t="n"/>
      <c r="H468" s="121" t="n"/>
      <c r="I468" s="121" t="n"/>
      <c r="J468" s="116" t="n"/>
      <c r="K468" s="116" t="n"/>
      <c r="L468" s="116" t="n"/>
      <c r="M468" s="116" t="n"/>
      <c r="N468" s="116" t="n"/>
      <c r="O468" s="116" t="n"/>
    </row>
    <row r="469" ht="14.25" customHeight="1" s="64">
      <c r="A469" s="120" t="n"/>
      <c r="B469" s="120" t="n"/>
      <c r="C469" s="120" t="n"/>
      <c r="D469" s="121" t="n"/>
      <c r="E469" s="120" t="n"/>
      <c r="F469" s="120" t="n"/>
      <c r="G469" s="121" t="n"/>
      <c r="H469" s="121" t="n"/>
      <c r="I469" s="121" t="n"/>
      <c r="J469" s="116" t="n"/>
      <c r="K469" s="116" t="n"/>
      <c r="L469" s="116" t="n"/>
      <c r="M469" s="116" t="n"/>
      <c r="N469" s="116" t="n"/>
      <c r="O469" s="116" t="n"/>
    </row>
    <row r="470" ht="14.25" customHeight="1" s="64">
      <c r="A470" s="120" t="n"/>
      <c r="B470" s="120" t="n"/>
      <c r="C470" s="120" t="n"/>
      <c r="D470" s="121" t="n"/>
      <c r="E470" s="120" t="n"/>
      <c r="F470" s="120" t="n"/>
      <c r="G470" s="121" t="n"/>
      <c r="H470" s="121" t="n"/>
      <c r="I470" s="121" t="n"/>
      <c r="J470" s="116" t="n"/>
      <c r="K470" s="116" t="n"/>
      <c r="L470" s="116" t="n"/>
      <c r="M470" s="116" t="n"/>
      <c r="N470" s="116" t="n"/>
      <c r="O470" s="116" t="n"/>
    </row>
    <row r="471" ht="14.25" customHeight="1" s="64">
      <c r="A471" s="120" t="n"/>
      <c r="B471" s="120" t="n"/>
      <c r="C471" s="120" t="n"/>
      <c r="D471" s="121" t="n"/>
      <c r="E471" s="120" t="n"/>
      <c r="F471" s="120" t="n"/>
      <c r="G471" s="121" t="n"/>
      <c r="H471" s="121" t="n"/>
      <c r="I471" s="121" t="n"/>
      <c r="J471" s="116" t="n"/>
      <c r="K471" s="116" t="n"/>
      <c r="L471" s="116" t="n"/>
      <c r="M471" s="116" t="n"/>
      <c r="N471" s="116" t="n"/>
      <c r="O471" s="116" t="n"/>
    </row>
    <row r="472" ht="14.25" customHeight="1" s="64">
      <c r="A472" s="120" t="n"/>
      <c r="B472" s="120" t="n"/>
      <c r="C472" s="120" t="n"/>
      <c r="D472" s="121" t="n"/>
      <c r="E472" s="120" t="n"/>
      <c r="F472" s="120" t="n"/>
      <c r="G472" s="121" t="n"/>
      <c r="H472" s="121" t="n"/>
      <c r="I472" s="121" t="n"/>
      <c r="J472" s="116" t="n"/>
      <c r="K472" s="116" t="n"/>
      <c r="L472" s="116" t="n"/>
      <c r="M472" s="116" t="n"/>
      <c r="N472" s="116" t="n"/>
      <c r="O472" s="116" t="n"/>
    </row>
    <row r="473" ht="14.25" customHeight="1" s="64">
      <c r="A473" s="120" t="n"/>
      <c r="B473" s="120" t="n"/>
      <c r="C473" s="120" t="n"/>
      <c r="D473" s="121" t="n"/>
      <c r="E473" s="120" t="n"/>
      <c r="F473" s="120" t="n"/>
      <c r="G473" s="121" t="n"/>
      <c r="H473" s="121" t="n"/>
      <c r="I473" s="121" t="n"/>
      <c r="J473" s="116" t="n"/>
      <c r="K473" s="116" t="n"/>
      <c r="L473" s="116" t="n"/>
      <c r="M473" s="116" t="n"/>
      <c r="N473" s="116" t="n"/>
      <c r="O473" s="116" t="n"/>
    </row>
    <row r="474" ht="14.25" customHeight="1" s="64">
      <c r="A474" s="120" t="n"/>
      <c r="B474" s="120" t="n"/>
      <c r="C474" s="120" t="n"/>
      <c r="D474" s="121" t="n"/>
      <c r="E474" s="120" t="n"/>
      <c r="F474" s="120" t="n"/>
      <c r="G474" s="121" t="n"/>
      <c r="H474" s="121" t="n"/>
      <c r="I474" s="121" t="n"/>
      <c r="J474" s="116" t="n"/>
      <c r="K474" s="116" t="n"/>
      <c r="L474" s="116" t="n"/>
      <c r="M474" s="116" t="n"/>
      <c r="N474" s="116" t="n"/>
      <c r="O474" s="116" t="n"/>
    </row>
    <row r="475" ht="14.25" customHeight="1" s="64">
      <c r="A475" s="120" t="n"/>
      <c r="B475" s="120" t="n"/>
      <c r="C475" s="120" t="n"/>
      <c r="D475" s="121" t="n"/>
      <c r="E475" s="120" t="n"/>
      <c r="F475" s="120" t="n"/>
      <c r="G475" s="121" t="n"/>
      <c r="H475" s="121" t="n"/>
      <c r="I475" s="121" t="n"/>
      <c r="J475" s="116" t="n"/>
      <c r="K475" s="116" t="n"/>
      <c r="L475" s="116" t="n"/>
      <c r="M475" s="116" t="n"/>
      <c r="N475" s="116" t="n"/>
      <c r="O475" s="116" t="n"/>
    </row>
    <row r="476" ht="14.25" customHeight="1" s="64">
      <c r="A476" s="120" t="n"/>
      <c r="B476" s="120" t="n"/>
      <c r="C476" s="120" t="n"/>
      <c r="D476" s="121" t="n"/>
      <c r="E476" s="120" t="n"/>
      <c r="F476" s="120" t="n"/>
      <c r="G476" s="121" t="n"/>
      <c r="H476" s="121" t="n"/>
      <c r="I476" s="121" t="n"/>
      <c r="J476" s="116" t="n"/>
      <c r="K476" s="116" t="n"/>
      <c r="L476" s="116" t="n"/>
      <c r="M476" s="116" t="n"/>
      <c r="N476" s="116" t="n"/>
      <c r="O476" s="116" t="n"/>
    </row>
    <row r="477" ht="14.25" customHeight="1" s="64">
      <c r="A477" s="120" t="n"/>
      <c r="B477" s="120" t="n"/>
      <c r="C477" s="120" t="n"/>
      <c r="D477" s="121" t="n"/>
      <c r="E477" s="120" t="n"/>
      <c r="F477" s="120" t="n"/>
      <c r="G477" s="121" t="n"/>
      <c r="H477" s="121" t="n"/>
      <c r="I477" s="121" t="n"/>
      <c r="J477" s="116" t="n"/>
      <c r="K477" s="116" t="n"/>
      <c r="L477" s="116" t="n"/>
      <c r="M477" s="116" t="n"/>
      <c r="N477" s="116" t="n"/>
      <c r="O477" s="116" t="n"/>
    </row>
    <row r="478" ht="14.25" customHeight="1" s="64">
      <c r="A478" s="120" t="n"/>
      <c r="B478" s="120" t="n"/>
      <c r="C478" s="120" t="n"/>
      <c r="D478" s="121" t="n"/>
      <c r="E478" s="120" t="n"/>
      <c r="F478" s="120" t="n"/>
      <c r="G478" s="121" t="n"/>
      <c r="H478" s="121" t="n"/>
      <c r="I478" s="121" t="n"/>
      <c r="J478" s="116" t="n"/>
      <c r="K478" s="116" t="n"/>
      <c r="L478" s="116" t="n"/>
      <c r="M478" s="116" t="n"/>
      <c r="N478" s="116" t="n"/>
      <c r="O478" s="116" t="n"/>
    </row>
    <row r="479" ht="14.25" customHeight="1" s="64">
      <c r="A479" s="120" t="n"/>
      <c r="B479" s="120" t="n"/>
      <c r="C479" s="120" t="n"/>
      <c r="D479" s="121" t="n"/>
      <c r="E479" s="120" t="n"/>
      <c r="F479" s="120" t="n"/>
      <c r="G479" s="121" t="n"/>
      <c r="H479" s="121" t="n"/>
      <c r="I479" s="121" t="n"/>
      <c r="J479" s="116" t="n"/>
      <c r="K479" s="116" t="n"/>
      <c r="L479" s="116" t="n"/>
      <c r="M479" s="116" t="n"/>
      <c r="N479" s="116" t="n"/>
      <c r="O479" s="116" t="n"/>
    </row>
    <row r="480" ht="14.25" customHeight="1" s="64">
      <c r="A480" s="120" t="n"/>
      <c r="B480" s="120" t="n"/>
      <c r="C480" s="120" t="n"/>
      <c r="D480" s="121" t="n"/>
      <c r="E480" s="120" t="n"/>
      <c r="F480" s="120" t="n"/>
      <c r="G480" s="121" t="n"/>
      <c r="H480" s="121" t="n"/>
      <c r="I480" s="121" t="n"/>
      <c r="J480" s="116" t="n"/>
      <c r="K480" s="116" t="n"/>
      <c r="L480" s="116" t="n"/>
      <c r="M480" s="116" t="n"/>
      <c r="N480" s="116" t="n"/>
      <c r="O480" s="116" t="n"/>
    </row>
    <row r="481" ht="14.25" customHeight="1" s="64">
      <c r="A481" s="120" t="n"/>
      <c r="B481" s="120" t="n"/>
      <c r="C481" s="120" t="n"/>
      <c r="D481" s="121" t="n"/>
      <c r="E481" s="120" t="n"/>
      <c r="F481" s="120" t="n"/>
      <c r="G481" s="121" t="n"/>
      <c r="H481" s="121" t="n"/>
      <c r="I481" s="121" t="n"/>
      <c r="J481" s="116" t="n"/>
      <c r="K481" s="116" t="n"/>
      <c r="L481" s="116" t="n"/>
      <c r="M481" s="116" t="n"/>
      <c r="N481" s="116" t="n"/>
      <c r="O481" s="116" t="n"/>
    </row>
    <row r="482" ht="14.25" customHeight="1" s="64">
      <c r="A482" s="120" t="n"/>
      <c r="B482" s="120" t="n"/>
      <c r="C482" s="120" t="n"/>
      <c r="D482" s="121" t="n"/>
      <c r="E482" s="120" t="n"/>
      <c r="F482" s="120" t="n"/>
      <c r="G482" s="121" t="n"/>
      <c r="H482" s="121" t="n"/>
      <c r="I482" s="121" t="n"/>
      <c r="J482" s="116" t="n"/>
      <c r="K482" s="116" t="n"/>
      <c r="L482" s="116" t="n"/>
      <c r="M482" s="116" t="n"/>
      <c r="N482" s="116" t="n"/>
      <c r="O482" s="116" t="n"/>
    </row>
    <row r="483" ht="14.25" customHeight="1" s="64">
      <c r="A483" s="120" t="n"/>
      <c r="B483" s="120" t="n"/>
      <c r="C483" s="120" t="n"/>
      <c r="D483" s="121" t="n"/>
      <c r="E483" s="120" t="n"/>
      <c r="F483" s="120" t="n"/>
      <c r="G483" s="121" t="n"/>
      <c r="H483" s="121" t="n"/>
      <c r="I483" s="121" t="n"/>
      <c r="J483" s="116" t="n"/>
      <c r="K483" s="116" t="n"/>
      <c r="L483" s="116" t="n"/>
      <c r="M483" s="116" t="n"/>
      <c r="N483" s="116" t="n"/>
      <c r="O483" s="116" t="n"/>
    </row>
    <row r="484" ht="14.25" customHeight="1" s="64">
      <c r="A484" s="120" t="n"/>
      <c r="B484" s="120" t="n"/>
      <c r="C484" s="120" t="n"/>
      <c r="D484" s="121" t="n"/>
      <c r="E484" s="120" t="n"/>
      <c r="F484" s="120" t="n"/>
      <c r="G484" s="121" t="n"/>
      <c r="H484" s="121" t="n"/>
      <c r="I484" s="121" t="n"/>
      <c r="J484" s="116" t="n"/>
      <c r="K484" s="116" t="n"/>
      <c r="L484" s="116" t="n"/>
      <c r="M484" s="116" t="n"/>
      <c r="N484" s="116" t="n"/>
      <c r="O484" s="116" t="n"/>
    </row>
    <row r="485" ht="14.25" customHeight="1" s="64">
      <c r="A485" s="120" t="n"/>
      <c r="B485" s="120" t="n"/>
      <c r="C485" s="120" t="n"/>
      <c r="D485" s="121" t="n"/>
      <c r="E485" s="120" t="n"/>
      <c r="F485" s="120" t="n"/>
      <c r="G485" s="121" t="n"/>
      <c r="H485" s="121" t="n"/>
      <c r="I485" s="121" t="n"/>
      <c r="J485" s="116" t="n"/>
      <c r="K485" s="116" t="n"/>
      <c r="L485" s="116" t="n"/>
      <c r="M485" s="116" t="n"/>
      <c r="N485" s="116" t="n"/>
      <c r="O485" s="116" t="n"/>
    </row>
    <row r="486" ht="14.25" customHeight="1" s="64">
      <c r="A486" s="120" t="n"/>
      <c r="B486" s="120" t="n"/>
      <c r="C486" s="120" t="n"/>
      <c r="D486" s="121" t="n"/>
      <c r="E486" s="120" t="n"/>
      <c r="F486" s="120" t="n"/>
      <c r="G486" s="121" t="n"/>
      <c r="H486" s="121" t="n"/>
      <c r="I486" s="121" t="n"/>
      <c r="J486" s="116" t="n"/>
      <c r="K486" s="116" t="n"/>
      <c r="L486" s="116" t="n"/>
      <c r="M486" s="116" t="n"/>
      <c r="N486" s="116" t="n"/>
      <c r="O486" s="116" t="n"/>
    </row>
    <row r="487" ht="14.25" customHeight="1" s="64">
      <c r="A487" s="120" t="n"/>
      <c r="B487" s="120" t="n"/>
      <c r="C487" s="120" t="n"/>
      <c r="D487" s="121" t="n"/>
      <c r="E487" s="120" t="n"/>
      <c r="F487" s="120" t="n"/>
      <c r="G487" s="121" t="n"/>
      <c r="H487" s="121" t="n"/>
      <c r="I487" s="121" t="n"/>
      <c r="J487" s="116" t="n"/>
      <c r="K487" s="116" t="n"/>
      <c r="L487" s="116" t="n"/>
      <c r="M487" s="116" t="n"/>
      <c r="N487" s="116" t="n"/>
      <c r="O487" s="116" t="n"/>
    </row>
    <row r="488" ht="14.25" customHeight="1" s="64">
      <c r="A488" s="120" t="n"/>
      <c r="B488" s="120" t="n"/>
      <c r="C488" s="120" t="n"/>
      <c r="D488" s="121" t="n"/>
      <c r="E488" s="120" t="n"/>
      <c r="F488" s="120" t="n"/>
      <c r="G488" s="121" t="n"/>
      <c r="H488" s="121" t="n"/>
      <c r="I488" s="121" t="n"/>
      <c r="J488" s="116" t="n"/>
      <c r="K488" s="116" t="n"/>
      <c r="L488" s="116" t="n"/>
      <c r="M488" s="116" t="n"/>
      <c r="N488" s="116" t="n"/>
      <c r="O488" s="116" t="n"/>
    </row>
    <row r="489" ht="14.25" customHeight="1" s="64">
      <c r="A489" s="120" t="n"/>
      <c r="B489" s="120" t="n"/>
      <c r="C489" s="120" t="n"/>
      <c r="D489" s="121" t="n"/>
      <c r="E489" s="120" t="n"/>
      <c r="F489" s="120" t="n"/>
      <c r="G489" s="121" t="n"/>
      <c r="H489" s="121" t="n"/>
      <c r="I489" s="121" t="n"/>
      <c r="J489" s="116" t="n"/>
      <c r="K489" s="116" t="n"/>
      <c r="L489" s="116" t="n"/>
      <c r="M489" s="116" t="n"/>
      <c r="N489" s="116" t="n"/>
      <c r="O489" s="116" t="n"/>
    </row>
    <row r="490" ht="14.25" customHeight="1" s="64">
      <c r="A490" s="120" t="n"/>
      <c r="B490" s="120" t="n"/>
      <c r="C490" s="120" t="n"/>
      <c r="D490" s="121" t="n"/>
      <c r="E490" s="120" t="n"/>
      <c r="F490" s="120" t="n"/>
      <c r="G490" s="121" t="n"/>
      <c r="H490" s="121" t="n"/>
      <c r="I490" s="121" t="n"/>
      <c r="J490" s="116" t="n"/>
      <c r="K490" s="116" t="n"/>
      <c r="L490" s="116" t="n"/>
      <c r="M490" s="116" t="n"/>
      <c r="N490" s="116" t="n"/>
      <c r="O490" s="116" t="n"/>
    </row>
    <row r="491" ht="14.25" customHeight="1" s="64">
      <c r="A491" s="120" t="n"/>
      <c r="B491" s="120" t="n"/>
      <c r="C491" s="120" t="n"/>
      <c r="D491" s="121" t="n"/>
      <c r="E491" s="120" t="n"/>
      <c r="F491" s="120" t="n"/>
      <c r="G491" s="121" t="n"/>
      <c r="H491" s="121" t="n"/>
      <c r="I491" s="121" t="n"/>
      <c r="J491" s="116" t="n"/>
      <c r="K491" s="116" t="n"/>
      <c r="L491" s="116" t="n"/>
      <c r="M491" s="116" t="n"/>
      <c r="N491" s="116" t="n"/>
      <c r="O491" s="116" t="n"/>
    </row>
    <row r="492" ht="14.25" customHeight="1" s="64">
      <c r="A492" s="120" t="n"/>
      <c r="B492" s="120" t="n"/>
      <c r="C492" s="120" t="n"/>
      <c r="D492" s="121" t="n"/>
      <c r="E492" s="120" t="n"/>
      <c r="F492" s="120" t="n"/>
      <c r="G492" s="121" t="n"/>
      <c r="H492" s="121" t="n"/>
      <c r="I492" s="121" t="n"/>
      <c r="J492" s="116" t="n"/>
      <c r="K492" s="116" t="n"/>
      <c r="L492" s="116" t="n"/>
      <c r="M492" s="116" t="n"/>
      <c r="N492" s="116" t="n"/>
      <c r="O492" s="116" t="n"/>
    </row>
    <row r="493" ht="14.25" customHeight="1" s="64">
      <c r="A493" s="120" t="n"/>
      <c r="B493" s="120" t="n"/>
      <c r="C493" s="120" t="n"/>
      <c r="D493" s="121" t="n"/>
      <c r="E493" s="120" t="n"/>
      <c r="F493" s="120" t="n"/>
      <c r="G493" s="121" t="n"/>
      <c r="H493" s="121" t="n"/>
      <c r="I493" s="121" t="n"/>
      <c r="J493" s="116" t="n"/>
      <c r="K493" s="116" t="n"/>
      <c r="L493" s="116" t="n"/>
      <c r="M493" s="116" t="n"/>
      <c r="N493" s="116" t="n"/>
      <c r="O493" s="116" t="n"/>
    </row>
    <row r="494" ht="14.25" customHeight="1" s="64">
      <c r="A494" s="120" t="n"/>
      <c r="B494" s="120" t="n"/>
      <c r="C494" s="120" t="n"/>
      <c r="D494" s="121" t="n"/>
      <c r="E494" s="120" t="n"/>
      <c r="F494" s="120" t="n"/>
      <c r="G494" s="121" t="n"/>
      <c r="H494" s="121" t="n"/>
      <c r="I494" s="121" t="n"/>
      <c r="J494" s="116" t="n"/>
      <c r="K494" s="116" t="n"/>
      <c r="L494" s="116" t="n"/>
      <c r="M494" s="116" t="n"/>
      <c r="N494" s="116" t="n"/>
      <c r="O494" s="116" t="n"/>
    </row>
    <row r="495" ht="14.25" customHeight="1" s="64">
      <c r="A495" s="120" t="n"/>
      <c r="B495" s="120" t="n"/>
      <c r="C495" s="120" t="n"/>
      <c r="D495" s="121" t="n"/>
      <c r="E495" s="120" t="n"/>
      <c r="F495" s="120" t="n"/>
      <c r="G495" s="121" t="n"/>
      <c r="H495" s="121" t="n"/>
      <c r="I495" s="121" t="n"/>
      <c r="J495" s="116" t="n"/>
      <c r="K495" s="116" t="n"/>
      <c r="L495" s="116" t="n"/>
      <c r="M495" s="116" t="n"/>
      <c r="N495" s="116" t="n"/>
      <c r="O495" s="116" t="n"/>
    </row>
    <row r="496" ht="14.25" customHeight="1" s="64">
      <c r="A496" s="120" t="n"/>
      <c r="B496" s="120" t="n"/>
      <c r="C496" s="120" t="n"/>
      <c r="D496" s="121" t="n"/>
      <c r="E496" s="120" t="n"/>
      <c r="F496" s="120" t="n"/>
      <c r="G496" s="121" t="n"/>
      <c r="H496" s="121" t="n"/>
      <c r="I496" s="121" t="n"/>
      <c r="J496" s="116" t="n"/>
      <c r="K496" s="116" t="n"/>
      <c r="L496" s="116" t="n"/>
      <c r="M496" s="116" t="n"/>
      <c r="N496" s="116" t="n"/>
      <c r="O496" s="116" t="n"/>
    </row>
    <row r="497" ht="14.25" customHeight="1" s="64">
      <c r="A497" s="120" t="n"/>
      <c r="B497" s="120" t="n"/>
      <c r="C497" s="120" t="n"/>
      <c r="D497" s="121" t="n"/>
      <c r="E497" s="120" t="n"/>
      <c r="F497" s="120" t="n"/>
      <c r="G497" s="121" t="n"/>
      <c r="H497" s="121" t="n"/>
      <c r="I497" s="121" t="n"/>
      <c r="J497" s="116" t="n"/>
      <c r="K497" s="116" t="n"/>
      <c r="L497" s="116" t="n"/>
      <c r="M497" s="116" t="n"/>
      <c r="N497" s="116" t="n"/>
      <c r="O497" s="116" t="n"/>
    </row>
    <row r="498" ht="14.25" customHeight="1" s="64">
      <c r="A498" s="120" t="n"/>
      <c r="B498" s="120" t="n"/>
      <c r="C498" s="120" t="n"/>
      <c r="D498" s="121" t="n"/>
      <c r="E498" s="120" t="n"/>
      <c r="F498" s="120" t="n"/>
      <c r="G498" s="121" t="n"/>
      <c r="H498" s="121" t="n"/>
      <c r="I498" s="121" t="n"/>
      <c r="J498" s="116" t="n"/>
      <c r="K498" s="116" t="n"/>
      <c r="L498" s="116" t="n"/>
      <c r="M498" s="116" t="n"/>
      <c r="N498" s="116" t="n"/>
      <c r="O498" s="116" t="n"/>
    </row>
    <row r="499" ht="14.25" customHeight="1" s="64">
      <c r="A499" s="120" t="n"/>
      <c r="B499" s="120" t="n"/>
      <c r="C499" s="120" t="n"/>
      <c r="D499" s="121" t="n"/>
      <c r="E499" s="120" t="n"/>
      <c r="F499" s="120" t="n"/>
      <c r="G499" s="121" t="n"/>
      <c r="H499" s="121" t="n"/>
      <c r="I499" s="121" t="n"/>
      <c r="J499" s="116" t="n"/>
      <c r="K499" s="116" t="n"/>
      <c r="L499" s="116" t="n"/>
      <c r="M499" s="116" t="n"/>
      <c r="N499" s="116" t="n"/>
      <c r="O499" s="116" t="n"/>
    </row>
    <row r="500" ht="14.25" customHeight="1" s="64">
      <c r="A500" s="120" t="n"/>
      <c r="B500" s="120" t="n"/>
      <c r="C500" s="120" t="n"/>
      <c r="D500" s="121" t="n"/>
      <c r="E500" s="120" t="n"/>
      <c r="F500" s="120" t="n"/>
      <c r="G500" s="121" t="n"/>
      <c r="H500" s="121" t="n"/>
      <c r="I500" s="121" t="n"/>
      <c r="J500" s="116" t="n"/>
      <c r="K500" s="116" t="n"/>
      <c r="L500" s="116" t="n"/>
      <c r="M500" s="116" t="n"/>
      <c r="N500" s="116" t="n"/>
      <c r="O500" s="116" t="n"/>
    </row>
    <row r="501" ht="14.25" customHeight="1" s="64">
      <c r="A501" s="120" t="n"/>
      <c r="B501" s="120" t="n"/>
      <c r="C501" s="120" t="n"/>
      <c r="D501" s="121" t="n"/>
      <c r="E501" s="120" t="n"/>
      <c r="F501" s="120" t="n"/>
      <c r="G501" s="121" t="n"/>
      <c r="H501" s="121" t="n"/>
      <c r="I501" s="121" t="n"/>
      <c r="J501" s="116" t="n"/>
      <c r="K501" s="116" t="n"/>
      <c r="L501" s="116" t="n"/>
      <c r="M501" s="116" t="n"/>
      <c r="N501" s="116" t="n"/>
      <c r="O501" s="116" t="n"/>
    </row>
    <row r="502" ht="14.25" customHeight="1" s="64">
      <c r="A502" s="120" t="n"/>
      <c r="B502" s="120" t="n"/>
      <c r="C502" s="120" t="n"/>
      <c r="D502" s="121" t="n"/>
      <c r="E502" s="120" t="n"/>
      <c r="F502" s="120" t="n"/>
      <c r="G502" s="121" t="n"/>
      <c r="H502" s="121" t="n"/>
      <c r="I502" s="121" t="n"/>
      <c r="J502" s="116" t="n"/>
      <c r="K502" s="116" t="n"/>
      <c r="L502" s="116" t="n"/>
      <c r="M502" s="116" t="n"/>
      <c r="N502" s="116" t="n"/>
      <c r="O502" s="116" t="n"/>
    </row>
    <row r="503" ht="14.25" customHeight="1" s="64">
      <c r="A503" s="120" t="n"/>
      <c r="B503" s="120" t="n"/>
      <c r="C503" s="120" t="n"/>
      <c r="D503" s="121" t="n"/>
      <c r="E503" s="120" t="n"/>
      <c r="F503" s="120" t="n"/>
      <c r="G503" s="121" t="n"/>
      <c r="H503" s="121" t="n"/>
      <c r="I503" s="121" t="n"/>
      <c r="J503" s="116" t="n"/>
      <c r="K503" s="116" t="n"/>
      <c r="L503" s="116" t="n"/>
      <c r="M503" s="116" t="n"/>
      <c r="N503" s="116" t="n"/>
      <c r="O503" s="116" t="n"/>
    </row>
    <row r="504" ht="14.25" customHeight="1" s="64">
      <c r="A504" s="120" t="n"/>
      <c r="B504" s="120" t="n"/>
      <c r="C504" s="120" t="n"/>
      <c r="D504" s="121" t="n"/>
      <c r="E504" s="120" t="n"/>
      <c r="F504" s="120" t="n"/>
      <c r="G504" s="121" t="n"/>
      <c r="H504" s="121" t="n"/>
      <c r="I504" s="121" t="n"/>
      <c r="J504" s="116" t="n"/>
      <c r="K504" s="116" t="n"/>
      <c r="L504" s="116" t="n"/>
      <c r="M504" s="116" t="n"/>
      <c r="N504" s="116" t="n"/>
      <c r="O504" s="116" t="n"/>
    </row>
    <row r="505" ht="14.25" customHeight="1" s="64">
      <c r="A505" s="120" t="n"/>
      <c r="B505" s="120" t="n"/>
      <c r="C505" s="120" t="n"/>
      <c r="D505" s="121" t="n"/>
      <c r="E505" s="120" t="n"/>
      <c r="F505" s="120" t="n"/>
      <c r="G505" s="121" t="n"/>
      <c r="H505" s="121" t="n"/>
      <c r="I505" s="121" t="n"/>
      <c r="J505" s="116" t="n"/>
      <c r="K505" s="116" t="n"/>
      <c r="L505" s="116" t="n"/>
      <c r="M505" s="116" t="n"/>
      <c r="N505" s="116" t="n"/>
      <c r="O505" s="116" t="n"/>
    </row>
    <row r="506" ht="14.25" customHeight="1" s="64">
      <c r="A506" s="120" t="n"/>
      <c r="B506" s="120" t="n"/>
      <c r="C506" s="120" t="n"/>
      <c r="D506" s="121" t="n"/>
      <c r="E506" s="120" t="n"/>
      <c r="F506" s="120" t="n"/>
      <c r="G506" s="121" t="n"/>
      <c r="H506" s="121" t="n"/>
      <c r="I506" s="121" t="n"/>
      <c r="J506" s="116" t="n"/>
      <c r="K506" s="116" t="n"/>
      <c r="L506" s="116" t="n"/>
      <c r="M506" s="116" t="n"/>
      <c r="N506" s="116" t="n"/>
      <c r="O506" s="116" t="n"/>
    </row>
    <row r="507" ht="14.25" customHeight="1" s="64">
      <c r="A507" s="120" t="n"/>
      <c r="B507" s="120" t="n"/>
      <c r="C507" s="120" t="n"/>
      <c r="D507" s="121" t="n"/>
      <c r="E507" s="120" t="n"/>
      <c r="F507" s="120" t="n"/>
      <c r="G507" s="121" t="n"/>
      <c r="H507" s="121" t="n"/>
      <c r="I507" s="121" t="n"/>
      <c r="J507" s="116" t="n"/>
      <c r="K507" s="116" t="n"/>
      <c r="L507" s="116" t="n"/>
      <c r="M507" s="116" t="n"/>
      <c r="N507" s="116" t="n"/>
      <c r="O507" s="116" t="n"/>
    </row>
    <row r="508" ht="14.25" customHeight="1" s="64">
      <c r="A508" s="120" t="n"/>
      <c r="B508" s="120" t="n"/>
      <c r="C508" s="120" t="n"/>
      <c r="D508" s="121" t="n"/>
      <c r="E508" s="120" t="n"/>
      <c r="F508" s="120" t="n"/>
      <c r="G508" s="121" t="n"/>
      <c r="H508" s="121" t="n"/>
      <c r="I508" s="121" t="n"/>
      <c r="J508" s="116" t="n"/>
      <c r="K508" s="116" t="n"/>
      <c r="L508" s="116" t="n"/>
      <c r="M508" s="116" t="n"/>
      <c r="N508" s="116" t="n"/>
      <c r="O508" s="116" t="n"/>
    </row>
    <row r="509" ht="14.25" customHeight="1" s="64">
      <c r="A509" s="120" t="n"/>
      <c r="B509" s="120" t="n"/>
      <c r="C509" s="120" t="n"/>
      <c r="D509" s="121" t="n"/>
      <c r="E509" s="120" t="n"/>
      <c r="F509" s="120" t="n"/>
      <c r="G509" s="121" t="n"/>
      <c r="H509" s="121" t="n"/>
      <c r="I509" s="121" t="n"/>
      <c r="J509" s="116" t="n"/>
      <c r="K509" s="116" t="n"/>
      <c r="L509" s="116" t="n"/>
      <c r="M509" s="116" t="n"/>
      <c r="N509" s="116" t="n"/>
      <c r="O509" s="116" t="n"/>
    </row>
    <row r="510" ht="14.25" customHeight="1" s="64">
      <c r="A510" s="120" t="n"/>
      <c r="B510" s="120" t="n"/>
      <c r="C510" s="120" t="n"/>
      <c r="D510" s="121" t="n"/>
      <c r="E510" s="120" t="n"/>
      <c r="F510" s="120" t="n"/>
      <c r="G510" s="121" t="n"/>
      <c r="H510" s="121" t="n"/>
      <c r="I510" s="121" t="n"/>
      <c r="J510" s="116" t="n"/>
      <c r="K510" s="116" t="n"/>
      <c r="L510" s="116" t="n"/>
      <c r="M510" s="116" t="n"/>
      <c r="N510" s="116" t="n"/>
      <c r="O510" s="116" t="n"/>
    </row>
    <row r="511" ht="14.25" customHeight="1" s="64">
      <c r="A511" s="120" t="n"/>
      <c r="B511" s="120" t="n"/>
      <c r="C511" s="120" t="n"/>
      <c r="D511" s="121" t="n"/>
      <c r="E511" s="120" t="n"/>
      <c r="F511" s="120" t="n"/>
      <c r="G511" s="121" t="n"/>
      <c r="H511" s="121" t="n"/>
      <c r="I511" s="121" t="n"/>
      <c r="J511" s="116" t="n"/>
      <c r="K511" s="116" t="n"/>
      <c r="L511" s="116" t="n"/>
      <c r="M511" s="116" t="n"/>
      <c r="N511" s="116" t="n"/>
      <c r="O511" s="116" t="n"/>
    </row>
    <row r="512" ht="14.25" customHeight="1" s="64">
      <c r="A512" s="120" t="n"/>
      <c r="B512" s="120" t="n"/>
      <c r="C512" s="120" t="n"/>
      <c r="D512" s="121" t="n"/>
      <c r="E512" s="120" t="n"/>
      <c r="F512" s="120" t="n"/>
      <c r="G512" s="121" t="n"/>
      <c r="H512" s="121" t="n"/>
      <c r="I512" s="121" t="n"/>
      <c r="J512" s="116" t="n"/>
      <c r="K512" s="116" t="n"/>
      <c r="L512" s="116" t="n"/>
      <c r="M512" s="116" t="n"/>
      <c r="N512" s="116" t="n"/>
      <c r="O512" s="116" t="n"/>
    </row>
    <row r="513" ht="14.25" customHeight="1" s="64">
      <c r="A513" s="120" t="n"/>
      <c r="B513" s="120" t="n"/>
      <c r="C513" s="120" t="n"/>
      <c r="D513" s="121" t="n"/>
      <c r="E513" s="120" t="n"/>
      <c r="F513" s="120" t="n"/>
      <c r="G513" s="121" t="n"/>
      <c r="H513" s="121" t="n"/>
      <c r="I513" s="121" t="n"/>
      <c r="J513" s="116" t="n"/>
      <c r="K513" s="116" t="n"/>
      <c r="L513" s="116" t="n"/>
      <c r="M513" s="116" t="n"/>
      <c r="N513" s="116" t="n"/>
      <c r="O513" s="116" t="n"/>
    </row>
    <row r="514" ht="14.25" customHeight="1" s="64">
      <c r="A514" s="120" t="n"/>
      <c r="B514" s="120" t="n"/>
      <c r="C514" s="120" t="n"/>
      <c r="D514" s="121" t="n"/>
      <c r="E514" s="120" t="n"/>
      <c r="F514" s="120" t="n"/>
      <c r="G514" s="121" t="n"/>
      <c r="H514" s="121" t="n"/>
      <c r="I514" s="121" t="n"/>
      <c r="J514" s="116" t="n"/>
      <c r="K514" s="116" t="n"/>
      <c r="L514" s="116" t="n"/>
      <c r="M514" s="116" t="n"/>
      <c r="N514" s="116" t="n"/>
      <c r="O514" s="116" t="n"/>
    </row>
    <row r="515" ht="14.25" customHeight="1" s="64">
      <c r="A515" s="120" t="n"/>
      <c r="B515" s="120" t="n"/>
      <c r="C515" s="120" t="n"/>
      <c r="D515" s="121" t="n"/>
      <c r="E515" s="120" t="n"/>
      <c r="F515" s="120" t="n"/>
      <c r="G515" s="121" t="n"/>
      <c r="H515" s="121" t="n"/>
      <c r="I515" s="121" t="n"/>
      <c r="J515" s="116" t="n"/>
      <c r="K515" s="116" t="n"/>
      <c r="L515" s="116" t="n"/>
      <c r="M515" s="116" t="n"/>
      <c r="N515" s="116" t="n"/>
      <c r="O515" s="116" t="n"/>
    </row>
    <row r="516" ht="14.25" customHeight="1" s="64">
      <c r="A516" s="120" t="n"/>
      <c r="B516" s="120" t="n"/>
      <c r="C516" s="120" t="n"/>
      <c r="D516" s="121" t="n"/>
      <c r="E516" s="120" t="n"/>
      <c r="F516" s="120" t="n"/>
      <c r="G516" s="121" t="n"/>
      <c r="H516" s="121" t="n"/>
      <c r="I516" s="121" t="n"/>
      <c r="J516" s="116" t="n"/>
      <c r="K516" s="116" t="n"/>
      <c r="L516" s="116" t="n"/>
      <c r="M516" s="116" t="n"/>
      <c r="N516" s="116" t="n"/>
      <c r="O516" s="116" t="n"/>
    </row>
    <row r="517" ht="14.25" customHeight="1" s="64">
      <c r="A517" s="120" t="n"/>
      <c r="B517" s="120" t="n"/>
      <c r="C517" s="120" t="n"/>
      <c r="D517" s="121" t="n"/>
      <c r="E517" s="120" t="n"/>
      <c r="F517" s="120" t="n"/>
      <c r="G517" s="121" t="n"/>
      <c r="H517" s="121" t="n"/>
      <c r="I517" s="121" t="n"/>
      <c r="J517" s="116" t="n"/>
      <c r="K517" s="116" t="n"/>
      <c r="L517" s="116" t="n"/>
      <c r="M517" s="116" t="n"/>
      <c r="N517" s="116" t="n"/>
      <c r="O517" s="116" t="n"/>
    </row>
    <row r="518" ht="14.25" customHeight="1" s="64">
      <c r="A518" s="120" t="n"/>
      <c r="B518" s="120" t="n"/>
      <c r="C518" s="120" t="n"/>
      <c r="D518" s="121" t="n"/>
      <c r="E518" s="120" t="n"/>
      <c r="F518" s="120" t="n"/>
      <c r="G518" s="121" t="n"/>
      <c r="H518" s="121" t="n"/>
      <c r="I518" s="121" t="n"/>
      <c r="J518" s="116" t="n"/>
      <c r="K518" s="116" t="n"/>
      <c r="L518" s="116" t="n"/>
      <c r="M518" s="116" t="n"/>
      <c r="N518" s="116" t="n"/>
      <c r="O518" s="116" t="n"/>
    </row>
    <row r="519" ht="14.25" customHeight="1" s="64">
      <c r="A519" s="120" t="n"/>
      <c r="B519" s="120" t="n"/>
      <c r="C519" s="120" t="n"/>
      <c r="D519" s="121" t="n"/>
      <c r="E519" s="120" t="n"/>
      <c r="F519" s="120" t="n"/>
      <c r="G519" s="121" t="n"/>
      <c r="H519" s="121" t="n"/>
      <c r="I519" s="121" t="n"/>
      <c r="J519" s="116" t="n"/>
      <c r="K519" s="116" t="n"/>
      <c r="L519" s="116" t="n"/>
      <c r="M519" s="116" t="n"/>
      <c r="N519" s="116" t="n"/>
      <c r="O519" s="116" t="n"/>
    </row>
    <row r="520" ht="14.25" customHeight="1" s="64">
      <c r="A520" s="120" t="n"/>
      <c r="B520" s="120" t="n"/>
      <c r="C520" s="120" t="n"/>
      <c r="D520" s="121" t="n"/>
      <c r="E520" s="120" t="n"/>
      <c r="F520" s="120" t="n"/>
      <c r="G520" s="121" t="n"/>
      <c r="H520" s="121" t="n"/>
      <c r="I520" s="121" t="n"/>
      <c r="J520" s="116" t="n"/>
      <c r="K520" s="116" t="n"/>
      <c r="L520" s="116" t="n"/>
      <c r="M520" s="116" t="n"/>
      <c r="N520" s="116" t="n"/>
      <c r="O520" s="116" t="n"/>
    </row>
    <row r="521" ht="14.25" customHeight="1" s="64">
      <c r="A521" s="120" t="n"/>
      <c r="B521" s="120" t="n"/>
      <c r="C521" s="120" t="n"/>
      <c r="D521" s="121" t="n"/>
      <c r="E521" s="120" t="n"/>
      <c r="F521" s="120" t="n"/>
      <c r="G521" s="121" t="n"/>
      <c r="H521" s="121" t="n"/>
      <c r="I521" s="121" t="n"/>
      <c r="J521" s="116" t="n"/>
      <c r="K521" s="116" t="n"/>
      <c r="L521" s="116" t="n"/>
      <c r="M521" s="116" t="n"/>
      <c r="N521" s="116" t="n"/>
      <c r="O521" s="116" t="n"/>
    </row>
    <row r="522" ht="14.25" customHeight="1" s="64">
      <c r="A522" s="120" t="n"/>
      <c r="B522" s="120" t="n"/>
      <c r="C522" s="120" t="n"/>
      <c r="D522" s="121" t="n"/>
      <c r="E522" s="120" t="n"/>
      <c r="F522" s="120" t="n"/>
      <c r="G522" s="121" t="n"/>
      <c r="H522" s="121" t="n"/>
      <c r="I522" s="121" t="n"/>
      <c r="J522" s="116" t="n"/>
      <c r="K522" s="116" t="n"/>
      <c r="L522" s="116" t="n"/>
      <c r="M522" s="116" t="n"/>
      <c r="N522" s="116" t="n"/>
      <c r="O522" s="116" t="n"/>
    </row>
    <row r="523" ht="14.25" customHeight="1" s="64">
      <c r="A523" s="120" t="n"/>
      <c r="B523" s="120" t="n"/>
      <c r="C523" s="120" t="n"/>
      <c r="D523" s="121" t="n"/>
      <c r="E523" s="120" t="n"/>
      <c r="F523" s="120" t="n"/>
      <c r="G523" s="121" t="n"/>
      <c r="H523" s="121" t="n"/>
      <c r="I523" s="121" t="n"/>
      <c r="J523" s="116" t="n"/>
      <c r="K523" s="116" t="n"/>
      <c r="L523" s="116" t="n"/>
      <c r="M523" s="116" t="n"/>
      <c r="N523" s="116" t="n"/>
      <c r="O523" s="116" t="n"/>
    </row>
    <row r="524" ht="14.25" customHeight="1" s="64">
      <c r="A524" s="120" t="n"/>
      <c r="B524" s="120" t="n"/>
      <c r="C524" s="120" t="n"/>
      <c r="D524" s="121" t="n"/>
      <c r="E524" s="120" t="n"/>
      <c r="F524" s="120" t="n"/>
      <c r="G524" s="121" t="n"/>
      <c r="H524" s="121" t="n"/>
      <c r="I524" s="121" t="n"/>
      <c r="J524" s="116" t="n"/>
      <c r="K524" s="116" t="n"/>
      <c r="L524" s="116" t="n"/>
      <c r="M524" s="116" t="n"/>
      <c r="N524" s="116" t="n"/>
      <c r="O524" s="116" t="n"/>
    </row>
    <row r="525" ht="14.25" customHeight="1" s="64">
      <c r="A525" s="120" t="n"/>
      <c r="B525" s="120" t="n"/>
      <c r="C525" s="120" t="n"/>
      <c r="D525" s="121" t="n"/>
      <c r="E525" s="120" t="n"/>
      <c r="F525" s="120" t="n"/>
      <c r="G525" s="121" t="n"/>
      <c r="H525" s="121" t="n"/>
      <c r="I525" s="121" t="n"/>
      <c r="J525" s="116" t="n"/>
      <c r="K525" s="116" t="n"/>
      <c r="L525" s="116" t="n"/>
      <c r="M525" s="116" t="n"/>
      <c r="N525" s="116" t="n"/>
      <c r="O525" s="116" t="n"/>
    </row>
    <row r="526" ht="14.25" customHeight="1" s="64">
      <c r="A526" s="120" t="n"/>
      <c r="B526" s="120" t="n"/>
      <c r="C526" s="120" t="n"/>
      <c r="D526" s="121" t="n"/>
      <c r="E526" s="120" t="n"/>
      <c r="F526" s="120" t="n"/>
      <c r="G526" s="121" t="n"/>
      <c r="H526" s="121" t="n"/>
      <c r="I526" s="121" t="n"/>
      <c r="J526" s="116" t="n"/>
      <c r="K526" s="116" t="n"/>
      <c r="L526" s="116" t="n"/>
      <c r="M526" s="116" t="n"/>
      <c r="N526" s="116" t="n"/>
      <c r="O526" s="116" t="n"/>
    </row>
    <row r="527" ht="14.25" customHeight="1" s="64">
      <c r="A527" s="120" t="n"/>
      <c r="B527" s="120" t="n"/>
      <c r="C527" s="120" t="n"/>
      <c r="D527" s="121" t="n"/>
      <c r="E527" s="120" t="n"/>
      <c r="F527" s="120" t="n"/>
      <c r="G527" s="121" t="n"/>
      <c r="H527" s="121" t="n"/>
      <c r="I527" s="121" t="n"/>
      <c r="J527" s="116" t="n"/>
      <c r="K527" s="116" t="n"/>
      <c r="L527" s="116" t="n"/>
      <c r="M527" s="116" t="n"/>
      <c r="N527" s="116" t="n"/>
      <c r="O527" s="116" t="n"/>
    </row>
    <row r="528" ht="14.25" customHeight="1" s="64">
      <c r="A528" s="120" t="n"/>
      <c r="B528" s="120" t="n"/>
      <c r="C528" s="120" t="n"/>
      <c r="D528" s="121" t="n"/>
      <c r="E528" s="120" t="n"/>
      <c r="F528" s="120" t="n"/>
      <c r="G528" s="121" t="n"/>
      <c r="H528" s="121" t="n"/>
      <c r="I528" s="121" t="n"/>
      <c r="J528" s="116" t="n"/>
      <c r="K528" s="116" t="n"/>
      <c r="L528" s="116" t="n"/>
      <c r="M528" s="116" t="n"/>
      <c r="N528" s="116" t="n"/>
      <c r="O528" s="116" t="n"/>
    </row>
    <row r="529" ht="14.25" customHeight="1" s="64">
      <c r="A529" s="120" t="n"/>
      <c r="B529" s="120" t="n"/>
      <c r="C529" s="120" t="n"/>
      <c r="D529" s="121" t="n"/>
      <c r="E529" s="120" t="n"/>
      <c r="F529" s="120" t="n"/>
      <c r="G529" s="121" t="n"/>
      <c r="H529" s="121" t="n"/>
      <c r="I529" s="121" t="n"/>
      <c r="J529" s="116" t="n"/>
      <c r="K529" s="116" t="n"/>
      <c r="L529" s="116" t="n"/>
      <c r="M529" s="116" t="n"/>
      <c r="N529" s="116" t="n"/>
      <c r="O529" s="116" t="n"/>
    </row>
    <row r="530" ht="14.25" customHeight="1" s="64">
      <c r="A530" s="120" t="n"/>
      <c r="B530" s="120" t="n"/>
      <c r="C530" s="120" t="n"/>
      <c r="D530" s="121" t="n"/>
      <c r="E530" s="120" t="n"/>
      <c r="F530" s="120" t="n"/>
      <c r="G530" s="121" t="n"/>
      <c r="H530" s="121" t="n"/>
      <c r="I530" s="121" t="n"/>
      <c r="J530" s="116" t="n"/>
      <c r="K530" s="116" t="n"/>
      <c r="L530" s="116" t="n"/>
      <c r="M530" s="116" t="n"/>
      <c r="N530" s="116" t="n"/>
      <c r="O530" s="116" t="n"/>
    </row>
    <row r="531" ht="14.25" customHeight="1" s="64">
      <c r="A531" s="120" t="n"/>
      <c r="B531" s="120" t="n"/>
      <c r="C531" s="120" t="n"/>
      <c r="D531" s="121" t="n"/>
      <c r="E531" s="120" t="n"/>
      <c r="F531" s="120" t="n"/>
      <c r="G531" s="121" t="n"/>
      <c r="H531" s="121" t="n"/>
      <c r="I531" s="121" t="n"/>
      <c r="J531" s="116" t="n"/>
      <c r="K531" s="116" t="n"/>
      <c r="L531" s="116" t="n"/>
      <c r="M531" s="116" t="n"/>
      <c r="N531" s="116" t="n"/>
      <c r="O531" s="116" t="n"/>
    </row>
    <row r="532" ht="14.25" customHeight="1" s="64">
      <c r="A532" s="120" t="n"/>
      <c r="B532" s="120" t="n"/>
      <c r="C532" s="120" t="n"/>
      <c r="D532" s="121" t="n"/>
      <c r="E532" s="120" t="n"/>
      <c r="F532" s="120" t="n"/>
      <c r="G532" s="121" t="n"/>
      <c r="H532" s="121" t="n"/>
      <c r="I532" s="121" t="n"/>
      <c r="J532" s="116" t="n"/>
      <c r="K532" s="116" t="n"/>
      <c r="L532" s="116" t="n"/>
      <c r="M532" s="116" t="n"/>
      <c r="N532" s="116" t="n"/>
      <c r="O532" s="116" t="n"/>
    </row>
    <row r="533" ht="14.25" customHeight="1" s="64">
      <c r="A533" s="120" t="n"/>
      <c r="B533" s="120" t="n"/>
      <c r="C533" s="120" t="n"/>
      <c r="D533" s="121" t="n"/>
      <c r="E533" s="120" t="n"/>
      <c r="F533" s="120" t="n"/>
      <c r="G533" s="121" t="n"/>
      <c r="H533" s="121" t="n"/>
      <c r="I533" s="121" t="n"/>
      <c r="J533" s="116" t="n"/>
      <c r="K533" s="116" t="n"/>
      <c r="L533" s="116" t="n"/>
      <c r="M533" s="116" t="n"/>
      <c r="N533" s="116" t="n"/>
      <c r="O533" s="116" t="n"/>
    </row>
    <row r="534" ht="14.25" customHeight="1" s="64">
      <c r="A534" s="120" t="n"/>
      <c r="B534" s="120" t="n"/>
      <c r="C534" s="120" t="n"/>
      <c r="D534" s="121" t="n"/>
      <c r="E534" s="120" t="n"/>
      <c r="F534" s="120" t="n"/>
      <c r="G534" s="121" t="n"/>
      <c r="H534" s="121" t="n"/>
      <c r="I534" s="121" t="n"/>
      <c r="J534" s="116" t="n"/>
      <c r="K534" s="116" t="n"/>
      <c r="L534" s="116" t="n"/>
      <c r="M534" s="116" t="n"/>
      <c r="N534" s="116" t="n"/>
      <c r="O534" s="116" t="n"/>
    </row>
    <row r="535" ht="14.25" customHeight="1" s="64">
      <c r="A535" s="120" t="n"/>
      <c r="B535" s="120" t="n"/>
      <c r="C535" s="120" t="n"/>
      <c r="D535" s="121" t="n"/>
      <c r="E535" s="120" t="n"/>
      <c r="F535" s="120" t="n"/>
      <c r="G535" s="121" t="n"/>
      <c r="H535" s="121" t="n"/>
      <c r="I535" s="121" t="n"/>
      <c r="J535" s="116" t="n"/>
      <c r="K535" s="116" t="n"/>
      <c r="L535" s="116" t="n"/>
      <c r="M535" s="116" t="n"/>
      <c r="N535" s="116" t="n"/>
      <c r="O535" s="116" t="n"/>
    </row>
    <row r="536" ht="14.25" customHeight="1" s="64">
      <c r="A536" s="120" t="n"/>
      <c r="B536" s="120" t="n"/>
      <c r="C536" s="120" t="n"/>
      <c r="D536" s="121" t="n"/>
      <c r="E536" s="120" t="n"/>
      <c r="F536" s="120" t="n"/>
      <c r="G536" s="121" t="n"/>
      <c r="H536" s="121" t="n"/>
      <c r="I536" s="121" t="n"/>
      <c r="J536" s="116" t="n"/>
      <c r="K536" s="116" t="n"/>
      <c r="L536" s="116" t="n"/>
      <c r="M536" s="116" t="n"/>
      <c r="N536" s="116" t="n"/>
      <c r="O536" s="116" t="n"/>
    </row>
    <row r="537" ht="14.25" customHeight="1" s="64">
      <c r="A537" s="120" t="n"/>
      <c r="B537" s="120" t="n"/>
      <c r="C537" s="120" t="n"/>
      <c r="D537" s="121" t="n"/>
      <c r="E537" s="120" t="n"/>
      <c r="F537" s="120" t="n"/>
      <c r="G537" s="121" t="n"/>
      <c r="H537" s="121" t="n"/>
      <c r="I537" s="121" t="n"/>
      <c r="J537" s="116" t="n"/>
      <c r="K537" s="116" t="n"/>
      <c r="L537" s="116" t="n"/>
      <c r="M537" s="116" t="n"/>
      <c r="N537" s="116" t="n"/>
      <c r="O537" s="116" t="n"/>
    </row>
    <row r="538" ht="14.25" customHeight="1" s="64">
      <c r="A538" s="120" t="n"/>
      <c r="B538" s="120" t="n"/>
      <c r="C538" s="120" t="n"/>
      <c r="D538" s="121" t="n"/>
      <c r="E538" s="120" t="n"/>
      <c r="F538" s="120" t="n"/>
      <c r="G538" s="121" t="n"/>
      <c r="H538" s="121" t="n"/>
      <c r="I538" s="121" t="n"/>
      <c r="J538" s="116" t="n"/>
      <c r="K538" s="116" t="n"/>
      <c r="L538" s="116" t="n"/>
      <c r="M538" s="116" t="n"/>
      <c r="N538" s="116" t="n"/>
      <c r="O538" s="116" t="n"/>
    </row>
    <row r="539" ht="14.25" customHeight="1" s="64">
      <c r="A539" s="120" t="n"/>
      <c r="B539" s="120" t="n"/>
      <c r="C539" s="120" t="n"/>
      <c r="D539" s="121" t="n"/>
      <c r="E539" s="120" t="n"/>
      <c r="F539" s="120" t="n"/>
      <c r="G539" s="121" t="n"/>
      <c r="H539" s="121" t="n"/>
      <c r="I539" s="121" t="n"/>
      <c r="J539" s="116" t="n"/>
      <c r="K539" s="116" t="n"/>
      <c r="L539" s="116" t="n"/>
      <c r="M539" s="116" t="n"/>
      <c r="N539" s="116" t="n"/>
      <c r="O539" s="116" t="n"/>
    </row>
    <row r="540" ht="14.25" customHeight="1" s="64">
      <c r="A540" s="120" t="n"/>
      <c r="B540" s="120" t="n"/>
      <c r="C540" s="120" t="n"/>
      <c r="D540" s="121" t="n"/>
      <c r="E540" s="120" t="n"/>
      <c r="F540" s="120" t="n"/>
      <c r="G540" s="121" t="n"/>
      <c r="H540" s="121" t="n"/>
      <c r="I540" s="121" t="n"/>
      <c r="J540" s="116" t="n"/>
      <c r="K540" s="116" t="n"/>
      <c r="L540" s="116" t="n"/>
      <c r="M540" s="116" t="n"/>
      <c r="N540" s="116" t="n"/>
      <c r="O540" s="116" t="n"/>
    </row>
    <row r="541" ht="14.25" customHeight="1" s="64">
      <c r="A541" s="120" t="n"/>
      <c r="B541" s="120" t="n"/>
      <c r="C541" s="120" t="n"/>
      <c r="D541" s="121" t="n"/>
      <c r="E541" s="120" t="n"/>
      <c r="F541" s="120" t="n"/>
      <c r="G541" s="121" t="n"/>
      <c r="H541" s="121" t="n"/>
      <c r="I541" s="121" t="n"/>
      <c r="J541" s="116" t="n"/>
      <c r="K541" s="116" t="n"/>
      <c r="L541" s="116" t="n"/>
      <c r="M541" s="116" t="n"/>
      <c r="N541" s="116" t="n"/>
      <c r="O541" s="116" t="n"/>
    </row>
    <row r="542" ht="14.25" customHeight="1" s="64">
      <c r="A542" s="120" t="n"/>
      <c r="B542" s="120" t="n"/>
      <c r="C542" s="120" t="n"/>
      <c r="D542" s="121" t="n"/>
      <c r="E542" s="120" t="n"/>
      <c r="F542" s="120" t="n"/>
      <c r="G542" s="121" t="n"/>
      <c r="H542" s="121" t="n"/>
      <c r="I542" s="121" t="n"/>
      <c r="J542" s="116" t="n"/>
      <c r="K542" s="116" t="n"/>
      <c r="L542" s="116" t="n"/>
      <c r="M542" s="116" t="n"/>
      <c r="N542" s="116" t="n"/>
      <c r="O542" s="116" t="n"/>
    </row>
    <row r="543" ht="14.25" customHeight="1" s="64">
      <c r="A543" s="120" t="n"/>
      <c r="B543" s="120" t="n"/>
      <c r="C543" s="120" t="n"/>
      <c r="D543" s="121" t="n"/>
      <c r="E543" s="120" t="n"/>
      <c r="F543" s="120" t="n"/>
      <c r="G543" s="121" t="n"/>
      <c r="H543" s="121" t="n"/>
      <c r="I543" s="121" t="n"/>
      <c r="J543" s="116" t="n"/>
      <c r="K543" s="116" t="n"/>
      <c r="L543" s="116" t="n"/>
      <c r="M543" s="116" t="n"/>
      <c r="N543" s="116" t="n"/>
      <c r="O543" s="116" t="n"/>
    </row>
    <row r="544" ht="14.25" customHeight="1" s="64">
      <c r="A544" s="120" t="n"/>
      <c r="B544" s="120" t="n"/>
      <c r="C544" s="120" t="n"/>
      <c r="D544" s="121" t="n"/>
      <c r="E544" s="120" t="n"/>
      <c r="F544" s="120" t="n"/>
      <c r="G544" s="121" t="n"/>
      <c r="H544" s="121" t="n"/>
      <c r="I544" s="121" t="n"/>
      <c r="J544" s="116" t="n"/>
      <c r="K544" s="116" t="n"/>
      <c r="L544" s="116" t="n"/>
      <c r="M544" s="116" t="n"/>
      <c r="N544" s="116" t="n"/>
      <c r="O544" s="116" t="n"/>
    </row>
    <row r="545" ht="14.25" customHeight="1" s="64">
      <c r="A545" s="120" t="n"/>
      <c r="B545" s="120" t="n"/>
      <c r="C545" s="120" t="n"/>
      <c r="D545" s="121" t="n"/>
      <c r="E545" s="120" t="n"/>
      <c r="F545" s="120" t="n"/>
      <c r="G545" s="121" t="n"/>
      <c r="H545" s="121" t="n"/>
      <c r="I545" s="121" t="n"/>
      <c r="J545" s="116" t="n"/>
      <c r="K545" s="116" t="n"/>
      <c r="L545" s="116" t="n"/>
      <c r="M545" s="116" t="n"/>
      <c r="N545" s="116" t="n"/>
      <c r="O545" s="116" t="n"/>
    </row>
    <row r="546" ht="14.25" customHeight="1" s="64">
      <c r="A546" s="120" t="n"/>
      <c r="B546" s="120" t="n"/>
      <c r="C546" s="120" t="n"/>
      <c r="D546" s="121" t="n"/>
      <c r="E546" s="120" t="n"/>
      <c r="F546" s="120" t="n"/>
      <c r="G546" s="121" t="n"/>
      <c r="H546" s="121" t="n"/>
      <c r="I546" s="121" t="n"/>
      <c r="J546" s="116" t="n"/>
      <c r="K546" s="116" t="n"/>
      <c r="L546" s="116" t="n"/>
      <c r="M546" s="116" t="n"/>
      <c r="N546" s="116" t="n"/>
      <c r="O546" s="116" t="n"/>
    </row>
    <row r="547" ht="14.25" customHeight="1" s="64">
      <c r="A547" s="120" t="n"/>
      <c r="B547" s="120" t="n"/>
      <c r="C547" s="120" t="n"/>
      <c r="D547" s="121" t="n"/>
      <c r="E547" s="120" t="n"/>
      <c r="F547" s="120" t="n"/>
      <c r="G547" s="121" t="n"/>
      <c r="H547" s="121" t="n"/>
      <c r="I547" s="121" t="n"/>
      <c r="J547" s="116" t="n"/>
      <c r="K547" s="116" t="n"/>
      <c r="L547" s="116" t="n"/>
      <c r="M547" s="116" t="n"/>
      <c r="N547" s="116" t="n"/>
      <c r="O547" s="116" t="n"/>
    </row>
    <row r="548" ht="14.25" customHeight="1" s="64">
      <c r="A548" s="120" t="n"/>
      <c r="B548" s="120" t="n"/>
      <c r="C548" s="120" t="n"/>
      <c r="D548" s="121" t="n"/>
      <c r="E548" s="120" t="n"/>
      <c r="F548" s="120" t="n"/>
      <c r="G548" s="121" t="n"/>
      <c r="H548" s="121" t="n"/>
      <c r="I548" s="121" t="n"/>
      <c r="J548" s="116" t="n"/>
      <c r="K548" s="116" t="n"/>
      <c r="L548" s="116" t="n"/>
      <c r="M548" s="116" t="n"/>
      <c r="N548" s="116" t="n"/>
      <c r="O548" s="116" t="n"/>
    </row>
    <row r="549" ht="14.25" customHeight="1" s="64">
      <c r="A549" s="120" t="n"/>
      <c r="B549" s="120" t="n"/>
      <c r="C549" s="120" t="n"/>
      <c r="D549" s="121" t="n"/>
      <c r="E549" s="120" t="n"/>
      <c r="F549" s="120" t="n"/>
      <c r="G549" s="121" t="n"/>
      <c r="H549" s="121" t="n"/>
      <c r="I549" s="121" t="n"/>
      <c r="J549" s="116" t="n"/>
      <c r="K549" s="116" t="n"/>
      <c r="L549" s="116" t="n"/>
      <c r="M549" s="116" t="n"/>
      <c r="N549" s="116" t="n"/>
      <c r="O549" s="116" t="n"/>
    </row>
    <row r="550" ht="14.25" customHeight="1" s="64">
      <c r="A550" s="120" t="n"/>
      <c r="B550" s="120" t="n"/>
      <c r="C550" s="120" t="n"/>
      <c r="D550" s="121" t="n"/>
      <c r="E550" s="120" t="n"/>
      <c r="F550" s="120" t="n"/>
      <c r="G550" s="121" t="n"/>
      <c r="H550" s="121" t="n"/>
      <c r="I550" s="121" t="n"/>
      <c r="J550" s="116" t="n"/>
      <c r="K550" s="116" t="n"/>
      <c r="L550" s="116" t="n"/>
      <c r="M550" s="116" t="n"/>
      <c r="N550" s="116" t="n"/>
      <c r="O550" s="116" t="n"/>
    </row>
    <row r="551" ht="14.25" customHeight="1" s="64">
      <c r="A551" s="120" t="n"/>
      <c r="B551" s="120" t="n"/>
      <c r="C551" s="120" t="n"/>
      <c r="D551" s="121" t="n"/>
      <c r="E551" s="120" t="n"/>
      <c r="F551" s="120" t="n"/>
      <c r="G551" s="121" t="n"/>
      <c r="H551" s="121" t="n"/>
      <c r="I551" s="121" t="n"/>
      <c r="J551" s="116" t="n"/>
      <c r="K551" s="116" t="n"/>
      <c r="L551" s="116" t="n"/>
      <c r="M551" s="116" t="n"/>
      <c r="N551" s="116" t="n"/>
      <c r="O551" s="116" t="n"/>
    </row>
    <row r="552" ht="14.25" customHeight="1" s="64">
      <c r="A552" s="120" t="n"/>
      <c r="B552" s="120" t="n"/>
      <c r="C552" s="120" t="n"/>
      <c r="D552" s="121" t="n"/>
      <c r="E552" s="120" t="n"/>
      <c r="F552" s="120" t="n"/>
      <c r="G552" s="121" t="n"/>
      <c r="H552" s="121" t="n"/>
      <c r="I552" s="121" t="n"/>
      <c r="J552" s="116" t="n"/>
      <c r="K552" s="116" t="n"/>
      <c r="L552" s="116" t="n"/>
      <c r="M552" s="116" t="n"/>
      <c r="N552" s="116" t="n"/>
      <c r="O552" s="116" t="n"/>
    </row>
    <row r="553" ht="14.25" customHeight="1" s="64">
      <c r="A553" s="120" t="n"/>
      <c r="B553" s="120" t="n"/>
      <c r="C553" s="120" t="n"/>
      <c r="D553" s="121" t="n"/>
      <c r="E553" s="120" t="n"/>
      <c r="F553" s="120" t="n"/>
      <c r="G553" s="121" t="n"/>
      <c r="H553" s="121" t="n"/>
      <c r="I553" s="121" t="n"/>
      <c r="J553" s="116" t="n"/>
      <c r="K553" s="116" t="n"/>
      <c r="L553" s="116" t="n"/>
      <c r="M553" s="116" t="n"/>
      <c r="N553" s="116" t="n"/>
      <c r="O553" s="116" t="n"/>
    </row>
    <row r="554" ht="14.25" customHeight="1" s="64">
      <c r="A554" s="120" t="n"/>
      <c r="B554" s="120" t="n"/>
      <c r="C554" s="120" t="n"/>
      <c r="D554" s="121" t="n"/>
      <c r="E554" s="120" t="n"/>
      <c r="F554" s="120" t="n"/>
      <c r="G554" s="121" t="n"/>
      <c r="H554" s="121" t="n"/>
      <c r="I554" s="121" t="n"/>
      <c r="J554" s="116" t="n"/>
      <c r="K554" s="116" t="n"/>
      <c r="L554" s="116" t="n"/>
      <c r="M554" s="116" t="n"/>
      <c r="N554" s="116" t="n"/>
      <c r="O554" s="116" t="n"/>
    </row>
    <row r="555" ht="14.25" customHeight="1" s="64">
      <c r="A555" s="120" t="n"/>
      <c r="B555" s="120" t="n"/>
      <c r="C555" s="120" t="n"/>
      <c r="D555" s="121" t="n"/>
      <c r="E555" s="120" t="n"/>
      <c r="F555" s="120" t="n"/>
      <c r="G555" s="121" t="n"/>
      <c r="H555" s="121" t="n"/>
      <c r="I555" s="121" t="n"/>
      <c r="J555" s="116" t="n"/>
      <c r="K555" s="116" t="n"/>
      <c r="L555" s="116" t="n"/>
      <c r="M555" s="116" t="n"/>
      <c r="N555" s="116" t="n"/>
      <c r="O555" s="116" t="n"/>
    </row>
    <row r="556" ht="14.25" customHeight="1" s="64">
      <c r="A556" s="120" t="n"/>
      <c r="B556" s="120" t="n"/>
      <c r="C556" s="120" t="n"/>
      <c r="D556" s="121" t="n"/>
      <c r="E556" s="120" t="n"/>
      <c r="F556" s="120" t="n"/>
      <c r="G556" s="121" t="n"/>
      <c r="H556" s="121" t="n"/>
      <c r="I556" s="121" t="n"/>
      <c r="J556" s="116" t="n"/>
      <c r="K556" s="116" t="n"/>
      <c r="L556" s="116" t="n"/>
      <c r="M556" s="116" t="n"/>
      <c r="N556" s="116" t="n"/>
      <c r="O556" s="116" t="n"/>
    </row>
    <row r="557" ht="14.25" customHeight="1" s="64">
      <c r="A557" s="120" t="n"/>
      <c r="B557" s="120" t="n"/>
      <c r="C557" s="120" t="n"/>
      <c r="D557" s="121" t="n"/>
      <c r="E557" s="120" t="n"/>
      <c r="F557" s="120" t="n"/>
      <c r="G557" s="121" t="n"/>
      <c r="H557" s="121" t="n"/>
      <c r="I557" s="121" t="n"/>
      <c r="J557" s="116" t="n"/>
      <c r="K557" s="116" t="n"/>
      <c r="L557" s="116" t="n"/>
      <c r="M557" s="116" t="n"/>
      <c r="N557" s="116" t="n"/>
      <c r="O557" s="116" t="n"/>
    </row>
    <row r="558" ht="14.25" customHeight="1" s="64">
      <c r="A558" s="120" t="n"/>
      <c r="B558" s="120" t="n"/>
      <c r="C558" s="120" t="n"/>
      <c r="D558" s="121" t="n"/>
      <c r="E558" s="120" t="n"/>
      <c r="F558" s="120" t="n"/>
      <c r="G558" s="121" t="n"/>
      <c r="H558" s="121" t="n"/>
      <c r="I558" s="121" t="n"/>
      <c r="J558" s="116" t="n"/>
      <c r="K558" s="116" t="n"/>
      <c r="L558" s="116" t="n"/>
      <c r="M558" s="116" t="n"/>
      <c r="N558" s="116" t="n"/>
      <c r="O558" s="116" t="n"/>
    </row>
    <row r="559" ht="14.25" customHeight="1" s="64">
      <c r="A559" s="120" t="n"/>
      <c r="B559" s="120" t="n"/>
      <c r="C559" s="120" t="n"/>
      <c r="D559" s="121" t="n"/>
      <c r="E559" s="120" t="n"/>
      <c r="F559" s="120" t="n"/>
      <c r="G559" s="121" t="n"/>
      <c r="H559" s="121" t="n"/>
      <c r="I559" s="121" t="n"/>
      <c r="J559" s="116" t="n"/>
      <c r="K559" s="116" t="n"/>
      <c r="L559" s="116" t="n"/>
      <c r="M559" s="116" t="n"/>
      <c r="N559" s="116" t="n"/>
      <c r="O559" s="116" t="n"/>
    </row>
    <row r="560" ht="14.25" customHeight="1" s="64">
      <c r="A560" s="120" t="n"/>
      <c r="B560" s="120" t="n"/>
      <c r="C560" s="120" t="n"/>
      <c r="D560" s="121" t="n"/>
      <c r="E560" s="120" t="n"/>
      <c r="F560" s="120" t="n"/>
      <c r="G560" s="121" t="n"/>
      <c r="H560" s="121" t="n"/>
      <c r="I560" s="121" t="n"/>
      <c r="J560" s="116" t="n"/>
      <c r="K560" s="116" t="n"/>
      <c r="L560" s="116" t="n"/>
      <c r="M560" s="116" t="n"/>
      <c r="N560" s="116" t="n"/>
      <c r="O560" s="116" t="n"/>
    </row>
    <row r="561" ht="14.25" customHeight="1" s="64">
      <c r="A561" s="120" t="n"/>
      <c r="B561" s="120" t="n"/>
      <c r="C561" s="120" t="n"/>
      <c r="D561" s="121" t="n"/>
      <c r="E561" s="120" t="n"/>
      <c r="F561" s="120" t="n"/>
      <c r="G561" s="121" t="n"/>
      <c r="H561" s="121" t="n"/>
      <c r="I561" s="121" t="n"/>
      <c r="J561" s="116" t="n"/>
      <c r="K561" s="116" t="n"/>
      <c r="L561" s="116" t="n"/>
      <c r="M561" s="116" t="n"/>
      <c r="N561" s="116" t="n"/>
      <c r="O561" s="116" t="n"/>
    </row>
    <row r="562" ht="14.25" customHeight="1" s="64">
      <c r="A562" s="120" t="n"/>
      <c r="B562" s="120" t="n"/>
      <c r="C562" s="120" t="n"/>
      <c r="D562" s="121" t="n"/>
      <c r="E562" s="120" t="n"/>
      <c r="F562" s="120" t="n"/>
      <c r="G562" s="121" t="n"/>
      <c r="H562" s="121" t="n"/>
      <c r="I562" s="121" t="n"/>
      <c r="J562" s="116" t="n"/>
      <c r="K562" s="116" t="n"/>
      <c r="L562" s="116" t="n"/>
      <c r="M562" s="116" t="n"/>
      <c r="N562" s="116" t="n"/>
      <c r="O562" s="116" t="n"/>
    </row>
    <row r="563" ht="14.25" customHeight="1" s="64">
      <c r="A563" s="120" t="n"/>
      <c r="B563" s="120" t="n"/>
      <c r="C563" s="120" t="n"/>
      <c r="D563" s="121" t="n"/>
      <c r="E563" s="120" t="n"/>
      <c r="F563" s="120" t="n"/>
      <c r="G563" s="121" t="n"/>
      <c r="H563" s="121" t="n"/>
      <c r="I563" s="121" t="n"/>
      <c r="J563" s="116" t="n"/>
      <c r="K563" s="116" t="n"/>
      <c r="L563" s="116" t="n"/>
      <c r="M563" s="116" t="n"/>
      <c r="N563" s="116" t="n"/>
      <c r="O563" s="116" t="n"/>
    </row>
    <row r="564" ht="14.25" customHeight="1" s="64">
      <c r="A564" s="120" t="n"/>
      <c r="B564" s="120" t="n"/>
      <c r="C564" s="120" t="n"/>
      <c r="D564" s="121" t="n"/>
      <c r="E564" s="120" t="n"/>
      <c r="F564" s="120" t="n"/>
      <c r="G564" s="121" t="n"/>
      <c r="H564" s="121" t="n"/>
      <c r="I564" s="121" t="n"/>
      <c r="J564" s="116" t="n"/>
      <c r="K564" s="116" t="n"/>
      <c r="L564" s="116" t="n"/>
      <c r="M564" s="116" t="n"/>
      <c r="N564" s="116" t="n"/>
      <c r="O564" s="116" t="n"/>
    </row>
    <row r="565" ht="14.25" customHeight="1" s="64">
      <c r="A565" s="120" t="n"/>
      <c r="B565" s="120" t="n"/>
      <c r="C565" s="120" t="n"/>
      <c r="D565" s="121" t="n"/>
      <c r="E565" s="120" t="n"/>
      <c r="F565" s="120" t="n"/>
      <c r="G565" s="121" t="n"/>
      <c r="H565" s="121" t="n"/>
      <c r="I565" s="121" t="n"/>
      <c r="J565" s="116" t="n"/>
      <c r="K565" s="116" t="n"/>
      <c r="L565" s="116" t="n"/>
      <c r="M565" s="116" t="n"/>
      <c r="N565" s="116" t="n"/>
      <c r="O565" s="116" t="n"/>
    </row>
    <row r="566" ht="14.25" customHeight="1" s="64">
      <c r="A566" s="120" t="n"/>
      <c r="B566" s="120" t="n"/>
      <c r="C566" s="120" t="n"/>
      <c r="D566" s="121" t="n"/>
      <c r="E566" s="120" t="n"/>
      <c r="F566" s="120" t="n"/>
      <c r="G566" s="121" t="n"/>
      <c r="H566" s="121" t="n"/>
      <c r="I566" s="121" t="n"/>
      <c r="J566" s="116" t="n"/>
      <c r="K566" s="116" t="n"/>
      <c r="L566" s="116" t="n"/>
      <c r="M566" s="116" t="n"/>
      <c r="N566" s="116" t="n"/>
      <c r="O566" s="116" t="n"/>
    </row>
    <row r="567" ht="14.25" customHeight="1" s="64">
      <c r="A567" s="120" t="n"/>
      <c r="B567" s="120" t="n"/>
      <c r="C567" s="120" t="n"/>
      <c r="D567" s="121" t="n"/>
      <c r="E567" s="120" t="n"/>
      <c r="F567" s="120" t="n"/>
      <c r="G567" s="121" t="n"/>
      <c r="H567" s="121" t="n"/>
      <c r="I567" s="121" t="n"/>
      <c r="J567" s="116" t="n"/>
      <c r="K567" s="116" t="n"/>
      <c r="L567" s="116" t="n"/>
      <c r="M567" s="116" t="n"/>
      <c r="N567" s="116" t="n"/>
      <c r="O567" s="116" t="n"/>
    </row>
    <row r="568" ht="14.25" customHeight="1" s="64">
      <c r="A568" s="120" t="n"/>
      <c r="B568" s="120" t="n"/>
      <c r="C568" s="120" t="n"/>
      <c r="D568" s="121" t="n"/>
      <c r="E568" s="120" t="n"/>
      <c r="F568" s="120" t="n"/>
      <c r="G568" s="121" t="n"/>
      <c r="H568" s="121" t="n"/>
      <c r="I568" s="121" t="n"/>
      <c r="J568" s="116" t="n"/>
      <c r="K568" s="116" t="n"/>
      <c r="L568" s="116" t="n"/>
      <c r="M568" s="116" t="n"/>
      <c r="N568" s="116" t="n"/>
      <c r="O568" s="116" t="n"/>
    </row>
    <row r="569" ht="14.25" customHeight="1" s="64">
      <c r="A569" s="120" t="n"/>
      <c r="B569" s="120" t="n"/>
      <c r="C569" s="120" t="n"/>
      <c r="D569" s="121" t="n"/>
      <c r="E569" s="120" t="n"/>
      <c r="F569" s="120" t="n"/>
      <c r="G569" s="121" t="n"/>
      <c r="H569" s="121" t="n"/>
      <c r="I569" s="121" t="n"/>
      <c r="J569" s="116" t="n"/>
      <c r="K569" s="116" t="n"/>
      <c r="L569" s="116" t="n"/>
      <c r="M569" s="116" t="n"/>
      <c r="N569" s="116" t="n"/>
      <c r="O569" s="116" t="n"/>
    </row>
    <row r="570" ht="14.25" customHeight="1" s="64">
      <c r="A570" s="120" t="n"/>
      <c r="B570" s="120" t="n"/>
      <c r="C570" s="120" t="n"/>
      <c r="D570" s="121" t="n"/>
      <c r="E570" s="120" t="n"/>
      <c r="F570" s="120" t="n"/>
      <c r="G570" s="121" t="n"/>
      <c r="H570" s="121" t="n"/>
      <c r="I570" s="121" t="n"/>
      <c r="J570" s="116" t="n"/>
      <c r="K570" s="116" t="n"/>
      <c r="L570" s="116" t="n"/>
      <c r="M570" s="116" t="n"/>
      <c r="N570" s="116" t="n"/>
      <c r="O570" s="116" t="n"/>
    </row>
    <row r="571" ht="14.25" customHeight="1" s="64">
      <c r="A571" s="120" t="n"/>
      <c r="B571" s="120" t="n"/>
      <c r="C571" s="120" t="n"/>
      <c r="D571" s="121" t="n"/>
      <c r="E571" s="120" t="n"/>
      <c r="F571" s="120" t="n"/>
      <c r="G571" s="121" t="n"/>
      <c r="H571" s="121" t="n"/>
      <c r="I571" s="121" t="n"/>
      <c r="J571" s="116" t="n"/>
      <c r="K571" s="116" t="n"/>
      <c r="L571" s="116" t="n"/>
      <c r="M571" s="116" t="n"/>
      <c r="N571" s="116" t="n"/>
      <c r="O571" s="116" t="n"/>
    </row>
    <row r="572" ht="14.25" customHeight="1" s="64">
      <c r="A572" s="120" t="n"/>
      <c r="B572" s="120" t="n"/>
      <c r="C572" s="120" t="n"/>
      <c r="D572" s="121" t="n"/>
      <c r="E572" s="120" t="n"/>
      <c r="F572" s="120" t="n"/>
      <c r="G572" s="121" t="n"/>
      <c r="H572" s="121" t="n"/>
      <c r="I572" s="121" t="n"/>
      <c r="J572" s="116" t="n"/>
      <c r="K572" s="116" t="n"/>
      <c r="L572" s="116" t="n"/>
      <c r="M572" s="116" t="n"/>
      <c r="N572" s="116" t="n"/>
      <c r="O572" s="116" t="n"/>
    </row>
    <row r="573" ht="14.25" customHeight="1" s="64">
      <c r="A573" s="120" t="n"/>
      <c r="B573" s="120" t="n"/>
      <c r="C573" s="120" t="n"/>
      <c r="D573" s="121" t="n"/>
      <c r="E573" s="120" t="n"/>
      <c r="F573" s="120" t="n"/>
      <c r="G573" s="121" t="n"/>
      <c r="H573" s="121" t="n"/>
      <c r="I573" s="121" t="n"/>
      <c r="J573" s="116" t="n"/>
      <c r="K573" s="116" t="n"/>
      <c r="L573" s="116" t="n"/>
      <c r="M573" s="116" t="n"/>
      <c r="N573" s="116" t="n"/>
      <c r="O573" s="116" t="n"/>
    </row>
    <row r="574" ht="14.25" customHeight="1" s="64">
      <c r="A574" s="120" t="n"/>
      <c r="B574" s="120" t="n"/>
      <c r="C574" s="120" t="n"/>
      <c r="D574" s="121" t="n"/>
      <c r="E574" s="120" t="n"/>
      <c r="F574" s="120" t="n"/>
      <c r="G574" s="121" t="n"/>
      <c r="H574" s="121" t="n"/>
      <c r="I574" s="121" t="n"/>
      <c r="J574" s="116" t="n"/>
      <c r="K574" s="116" t="n"/>
      <c r="L574" s="116" t="n"/>
      <c r="M574" s="116" t="n"/>
      <c r="N574" s="116" t="n"/>
      <c r="O574" s="116" t="n"/>
    </row>
    <row r="575" ht="14.25" customHeight="1" s="64">
      <c r="A575" s="120" t="n"/>
      <c r="B575" s="120" t="n"/>
      <c r="C575" s="120" t="n"/>
      <c r="D575" s="121" t="n"/>
      <c r="E575" s="120" t="n"/>
      <c r="F575" s="120" t="n"/>
      <c r="G575" s="121" t="n"/>
      <c r="H575" s="121" t="n"/>
      <c r="I575" s="121" t="n"/>
      <c r="J575" s="116" t="n"/>
      <c r="K575" s="116" t="n"/>
      <c r="L575" s="116" t="n"/>
      <c r="M575" s="116" t="n"/>
      <c r="N575" s="116" t="n"/>
      <c r="O575" s="116" t="n"/>
    </row>
    <row r="576" ht="14.25" customHeight="1" s="64">
      <c r="A576" s="120" t="n"/>
      <c r="B576" s="120" t="n"/>
      <c r="C576" s="120" t="n"/>
      <c r="D576" s="121" t="n"/>
      <c r="E576" s="120" t="n"/>
      <c r="F576" s="120" t="n"/>
      <c r="G576" s="121" t="n"/>
      <c r="H576" s="121" t="n"/>
      <c r="I576" s="121" t="n"/>
      <c r="J576" s="116" t="n"/>
      <c r="K576" s="116" t="n"/>
      <c r="L576" s="116" t="n"/>
      <c r="M576" s="116" t="n"/>
      <c r="N576" s="116" t="n"/>
      <c r="O576" s="116" t="n"/>
    </row>
    <row r="577" ht="14.25" customHeight="1" s="64">
      <c r="A577" s="120" t="n"/>
      <c r="B577" s="120" t="n"/>
      <c r="C577" s="120" t="n"/>
      <c r="D577" s="121" t="n"/>
      <c r="E577" s="120" t="n"/>
      <c r="F577" s="120" t="n"/>
      <c r="G577" s="121" t="n"/>
      <c r="H577" s="121" t="n"/>
      <c r="I577" s="121" t="n"/>
      <c r="J577" s="116" t="n"/>
      <c r="K577" s="116" t="n"/>
      <c r="L577" s="116" t="n"/>
      <c r="M577" s="116" t="n"/>
      <c r="N577" s="116" t="n"/>
      <c r="O577" s="116" t="n"/>
    </row>
    <row r="578" ht="14.25" customHeight="1" s="64">
      <c r="A578" s="120" t="n"/>
      <c r="B578" s="120" t="n"/>
      <c r="C578" s="120" t="n"/>
      <c r="D578" s="121" t="n"/>
      <c r="E578" s="120" t="n"/>
      <c r="F578" s="120" t="n"/>
      <c r="G578" s="121" t="n"/>
      <c r="H578" s="121" t="n"/>
      <c r="I578" s="121" t="n"/>
      <c r="J578" s="116" t="n"/>
      <c r="K578" s="116" t="n"/>
      <c r="L578" s="116" t="n"/>
      <c r="M578" s="116" t="n"/>
      <c r="N578" s="116" t="n"/>
      <c r="O578" s="116" t="n"/>
    </row>
    <row r="579" ht="14.25" customHeight="1" s="64">
      <c r="A579" s="120" t="n"/>
      <c r="B579" s="120" t="n"/>
      <c r="C579" s="120" t="n"/>
      <c r="D579" s="121" t="n"/>
      <c r="E579" s="120" t="n"/>
      <c r="F579" s="120" t="n"/>
      <c r="G579" s="121" t="n"/>
      <c r="H579" s="121" t="n"/>
      <c r="I579" s="121" t="n"/>
      <c r="J579" s="116" t="n"/>
      <c r="K579" s="116" t="n"/>
      <c r="L579" s="116" t="n"/>
      <c r="M579" s="116" t="n"/>
      <c r="N579" s="116" t="n"/>
      <c r="O579" s="116" t="n"/>
    </row>
    <row r="580" ht="14.25" customHeight="1" s="64">
      <c r="A580" s="120" t="n"/>
      <c r="B580" s="120" t="n"/>
      <c r="C580" s="120" t="n"/>
      <c r="D580" s="121" t="n"/>
      <c r="E580" s="120" t="n"/>
      <c r="F580" s="120" t="n"/>
      <c r="G580" s="121" t="n"/>
      <c r="H580" s="121" t="n"/>
      <c r="I580" s="121" t="n"/>
      <c r="J580" s="116" t="n"/>
      <c r="K580" s="116" t="n"/>
      <c r="L580" s="116" t="n"/>
      <c r="M580" s="116" t="n"/>
      <c r="N580" s="116" t="n"/>
      <c r="O580" s="116" t="n"/>
    </row>
    <row r="581" ht="14.25" customHeight="1" s="64">
      <c r="A581" s="120" t="n"/>
      <c r="B581" s="120" t="n"/>
      <c r="C581" s="120" t="n"/>
      <c r="D581" s="121" t="n"/>
      <c r="E581" s="120" t="n"/>
      <c r="F581" s="120" t="n"/>
      <c r="G581" s="121" t="n"/>
      <c r="H581" s="121" t="n"/>
      <c r="I581" s="121" t="n"/>
      <c r="J581" s="116" t="n"/>
      <c r="K581" s="116" t="n"/>
      <c r="L581" s="116" t="n"/>
      <c r="M581" s="116" t="n"/>
      <c r="N581" s="116" t="n"/>
      <c r="O581" s="116" t="n"/>
    </row>
    <row r="582" ht="14.25" customHeight="1" s="64">
      <c r="A582" s="120" t="n"/>
      <c r="B582" s="120" t="n"/>
      <c r="C582" s="120" t="n"/>
      <c r="D582" s="121" t="n"/>
      <c r="E582" s="120" t="n"/>
      <c r="F582" s="120" t="n"/>
      <c r="G582" s="121" t="n"/>
      <c r="H582" s="121" t="n"/>
      <c r="I582" s="121" t="n"/>
      <c r="J582" s="116" t="n"/>
      <c r="K582" s="116" t="n"/>
      <c r="L582" s="116" t="n"/>
      <c r="M582" s="116" t="n"/>
      <c r="N582" s="116" t="n"/>
      <c r="O582" s="116" t="n"/>
    </row>
    <row r="583" ht="14.25" customHeight="1" s="64">
      <c r="A583" s="120" t="n"/>
      <c r="B583" s="120" t="n"/>
      <c r="C583" s="120" t="n"/>
      <c r="D583" s="121" t="n"/>
      <c r="E583" s="120" t="n"/>
      <c r="F583" s="120" t="n"/>
      <c r="G583" s="121" t="n"/>
      <c r="H583" s="121" t="n"/>
      <c r="I583" s="121" t="n"/>
      <c r="J583" s="116" t="n"/>
      <c r="K583" s="116" t="n"/>
      <c r="L583" s="116" t="n"/>
      <c r="M583" s="116" t="n"/>
      <c r="N583" s="116" t="n"/>
      <c r="O583" s="116" t="n"/>
    </row>
    <row r="584" ht="14.25" customHeight="1" s="64">
      <c r="A584" s="120" t="n"/>
      <c r="B584" s="120" t="n"/>
      <c r="C584" s="120" t="n"/>
      <c r="D584" s="121" t="n"/>
      <c r="E584" s="120" t="n"/>
      <c r="F584" s="120" t="n"/>
      <c r="G584" s="121" t="n"/>
      <c r="H584" s="121" t="n"/>
      <c r="I584" s="121" t="n"/>
      <c r="J584" s="116" t="n"/>
      <c r="K584" s="116" t="n"/>
      <c r="L584" s="116" t="n"/>
      <c r="M584" s="116" t="n"/>
      <c r="N584" s="116" t="n"/>
      <c r="O584" s="116" t="n"/>
    </row>
    <row r="585" ht="14.25" customHeight="1" s="64">
      <c r="A585" s="120" t="n"/>
      <c r="B585" s="120" t="n"/>
      <c r="C585" s="120" t="n"/>
      <c r="D585" s="121" t="n"/>
      <c r="E585" s="120" t="n"/>
      <c r="F585" s="120" t="n"/>
      <c r="G585" s="121" t="n"/>
      <c r="H585" s="121" t="n"/>
      <c r="I585" s="121" t="n"/>
      <c r="J585" s="116" t="n"/>
      <c r="K585" s="116" t="n"/>
      <c r="L585" s="116" t="n"/>
      <c r="M585" s="116" t="n"/>
      <c r="N585" s="116" t="n"/>
      <c r="O585" s="116" t="n"/>
    </row>
    <row r="586" ht="14.25" customHeight="1" s="64">
      <c r="A586" s="120" t="n"/>
      <c r="B586" s="120" t="n"/>
      <c r="C586" s="120" t="n"/>
      <c r="D586" s="121" t="n"/>
      <c r="E586" s="120" t="n"/>
      <c r="F586" s="120" t="n"/>
      <c r="G586" s="121" t="n"/>
      <c r="H586" s="121" t="n"/>
      <c r="I586" s="121" t="n"/>
      <c r="J586" s="116" t="n"/>
      <c r="K586" s="116" t="n"/>
      <c r="L586" s="116" t="n"/>
      <c r="M586" s="116" t="n"/>
      <c r="N586" s="116" t="n"/>
      <c r="O586" s="116" t="n"/>
    </row>
    <row r="587" ht="14.25" customHeight="1" s="64">
      <c r="A587" s="120" t="n"/>
      <c r="B587" s="120" t="n"/>
      <c r="C587" s="120" t="n"/>
      <c r="D587" s="121" t="n"/>
      <c r="E587" s="120" t="n"/>
      <c r="F587" s="120" t="n"/>
      <c r="G587" s="121" t="n"/>
      <c r="H587" s="121" t="n"/>
      <c r="I587" s="121" t="n"/>
      <c r="J587" s="116" t="n"/>
      <c r="K587" s="116" t="n"/>
      <c r="L587" s="116" t="n"/>
      <c r="M587" s="116" t="n"/>
      <c r="N587" s="116" t="n"/>
      <c r="O587" s="116" t="n"/>
    </row>
    <row r="588" ht="14.25" customHeight="1" s="64">
      <c r="A588" s="120" t="n"/>
      <c r="B588" s="120" t="n"/>
      <c r="C588" s="120" t="n"/>
      <c r="D588" s="121" t="n"/>
      <c r="E588" s="120" t="n"/>
      <c r="F588" s="120" t="n"/>
      <c r="G588" s="121" t="n"/>
      <c r="H588" s="121" t="n"/>
      <c r="I588" s="121" t="n"/>
      <c r="J588" s="116" t="n"/>
      <c r="K588" s="116" t="n"/>
      <c r="L588" s="116" t="n"/>
      <c r="M588" s="116" t="n"/>
      <c r="N588" s="116" t="n"/>
      <c r="O588" s="116" t="n"/>
    </row>
    <row r="589" ht="14.25" customHeight="1" s="64">
      <c r="A589" s="120" t="n"/>
      <c r="B589" s="120" t="n"/>
      <c r="C589" s="120" t="n"/>
      <c r="D589" s="121" t="n"/>
      <c r="E589" s="120" t="n"/>
      <c r="F589" s="120" t="n"/>
      <c r="G589" s="121" t="n"/>
      <c r="H589" s="121" t="n"/>
      <c r="I589" s="121" t="n"/>
      <c r="J589" s="116" t="n"/>
      <c r="K589" s="116" t="n"/>
      <c r="L589" s="116" t="n"/>
      <c r="M589" s="116" t="n"/>
      <c r="N589" s="116" t="n"/>
      <c r="O589" s="116" t="n"/>
    </row>
    <row r="590" ht="14.25" customHeight="1" s="64">
      <c r="A590" s="120" t="n"/>
      <c r="B590" s="120" t="n"/>
      <c r="C590" s="120" t="n"/>
      <c r="D590" s="121" t="n"/>
      <c r="E590" s="120" t="n"/>
      <c r="F590" s="120" t="n"/>
      <c r="G590" s="121" t="n"/>
      <c r="H590" s="121" t="n"/>
      <c r="I590" s="121" t="n"/>
      <c r="J590" s="116" t="n"/>
      <c r="K590" s="116" t="n"/>
      <c r="L590" s="116" t="n"/>
      <c r="M590" s="116" t="n"/>
      <c r="N590" s="116" t="n"/>
      <c r="O590" s="116" t="n"/>
    </row>
    <row r="591" ht="14.25" customHeight="1" s="64">
      <c r="A591" s="120" t="n"/>
      <c r="B591" s="120" t="n"/>
      <c r="C591" s="120" t="n"/>
      <c r="D591" s="121" t="n"/>
      <c r="E591" s="120" t="n"/>
      <c r="F591" s="120" t="n"/>
      <c r="G591" s="121" t="n"/>
      <c r="H591" s="121" t="n"/>
      <c r="I591" s="121" t="n"/>
      <c r="J591" s="116" t="n"/>
      <c r="K591" s="116" t="n"/>
      <c r="L591" s="116" t="n"/>
      <c r="M591" s="116" t="n"/>
      <c r="N591" s="116" t="n"/>
      <c r="O591" s="116" t="n"/>
    </row>
    <row r="592" ht="14.25" customHeight="1" s="64">
      <c r="A592" s="120" t="n"/>
      <c r="B592" s="120" t="n"/>
      <c r="C592" s="120" t="n"/>
      <c r="D592" s="121" t="n"/>
      <c r="E592" s="120" t="n"/>
      <c r="F592" s="120" t="n"/>
      <c r="G592" s="121" t="n"/>
      <c r="H592" s="121" t="n"/>
      <c r="I592" s="121" t="n"/>
      <c r="J592" s="116" t="n"/>
      <c r="K592" s="116" t="n"/>
      <c r="L592" s="116" t="n"/>
      <c r="M592" s="116" t="n"/>
      <c r="N592" s="116" t="n"/>
      <c r="O592" s="116" t="n"/>
    </row>
    <row r="593" ht="14.25" customHeight="1" s="64">
      <c r="A593" s="120" t="n"/>
      <c r="B593" s="120" t="n"/>
      <c r="C593" s="120" t="n"/>
      <c r="D593" s="121" t="n"/>
      <c r="E593" s="120" t="n"/>
      <c r="F593" s="120" t="n"/>
      <c r="G593" s="121" t="n"/>
      <c r="H593" s="121" t="n"/>
      <c r="I593" s="121" t="n"/>
      <c r="J593" s="116" t="n"/>
      <c r="K593" s="116" t="n"/>
      <c r="L593" s="116" t="n"/>
      <c r="M593" s="116" t="n"/>
      <c r="N593" s="116" t="n"/>
      <c r="O593" s="116" t="n"/>
    </row>
    <row r="594" ht="14.25" customHeight="1" s="64">
      <c r="A594" s="120" t="n"/>
      <c r="B594" s="120" t="n"/>
      <c r="C594" s="120" t="n"/>
      <c r="D594" s="121" t="n"/>
      <c r="E594" s="120" t="n"/>
      <c r="F594" s="120" t="n"/>
      <c r="G594" s="121" t="n"/>
      <c r="H594" s="121" t="n"/>
      <c r="I594" s="121" t="n"/>
      <c r="J594" s="116" t="n"/>
      <c r="K594" s="116" t="n"/>
      <c r="L594" s="116" t="n"/>
      <c r="M594" s="116" t="n"/>
      <c r="N594" s="116" t="n"/>
      <c r="O594" s="116" t="n"/>
    </row>
    <row r="595" ht="14.25" customHeight="1" s="64">
      <c r="A595" s="120" t="n"/>
      <c r="B595" s="120" t="n"/>
      <c r="C595" s="120" t="n"/>
      <c r="D595" s="121" t="n"/>
      <c r="E595" s="120" t="n"/>
      <c r="F595" s="120" t="n"/>
      <c r="G595" s="121" t="n"/>
      <c r="H595" s="121" t="n"/>
      <c r="I595" s="121" t="n"/>
      <c r="J595" s="116" t="n"/>
      <c r="K595" s="116" t="n"/>
      <c r="L595" s="116" t="n"/>
      <c r="M595" s="116" t="n"/>
      <c r="N595" s="116" t="n"/>
      <c r="O595" s="116" t="n"/>
    </row>
    <row r="596" ht="14.25" customHeight="1" s="64">
      <c r="A596" s="120" t="n"/>
      <c r="B596" s="120" t="n"/>
      <c r="C596" s="120" t="n"/>
      <c r="D596" s="121" t="n"/>
      <c r="E596" s="120" t="n"/>
      <c r="F596" s="120" t="n"/>
      <c r="G596" s="121" t="n"/>
      <c r="H596" s="121" t="n"/>
      <c r="I596" s="121" t="n"/>
      <c r="J596" s="116" t="n"/>
      <c r="K596" s="116" t="n"/>
      <c r="L596" s="116" t="n"/>
      <c r="M596" s="116" t="n"/>
      <c r="N596" s="116" t="n"/>
      <c r="O596" s="116" t="n"/>
    </row>
    <row r="597" ht="14.25" customHeight="1" s="64">
      <c r="A597" s="120" t="n"/>
      <c r="B597" s="120" t="n"/>
      <c r="C597" s="120" t="n"/>
      <c r="D597" s="121" t="n"/>
      <c r="E597" s="120" t="n"/>
      <c r="F597" s="120" t="n"/>
      <c r="G597" s="121" t="n"/>
      <c r="H597" s="121" t="n"/>
      <c r="I597" s="121" t="n"/>
      <c r="J597" s="116" t="n"/>
      <c r="K597" s="116" t="n"/>
      <c r="L597" s="116" t="n"/>
      <c r="M597" s="116" t="n"/>
      <c r="N597" s="116" t="n"/>
      <c r="O597" s="116" t="n"/>
    </row>
    <row r="598" ht="14.25" customHeight="1" s="64">
      <c r="A598" s="120" t="n"/>
      <c r="B598" s="120" t="n"/>
      <c r="C598" s="120" t="n"/>
      <c r="D598" s="121" t="n"/>
      <c r="E598" s="120" t="n"/>
      <c r="F598" s="120" t="n"/>
      <c r="G598" s="121" t="n"/>
      <c r="H598" s="121" t="n"/>
      <c r="I598" s="121" t="n"/>
      <c r="J598" s="116" t="n"/>
      <c r="K598" s="116" t="n"/>
      <c r="L598" s="116" t="n"/>
      <c r="M598" s="116" t="n"/>
      <c r="N598" s="116" t="n"/>
      <c r="O598" s="116" t="n"/>
    </row>
    <row r="599" ht="14.25" customHeight="1" s="64">
      <c r="A599" s="120" t="n"/>
      <c r="B599" s="120" t="n"/>
      <c r="C599" s="120" t="n"/>
      <c r="D599" s="121" t="n"/>
      <c r="E599" s="120" t="n"/>
      <c r="F599" s="120" t="n"/>
      <c r="G599" s="121" t="n"/>
      <c r="H599" s="121" t="n"/>
      <c r="I599" s="121" t="n"/>
      <c r="J599" s="116" t="n"/>
      <c r="K599" s="116" t="n"/>
      <c r="L599" s="116" t="n"/>
      <c r="M599" s="116" t="n"/>
      <c r="N599" s="116" t="n"/>
      <c r="O599" s="116" t="n"/>
    </row>
    <row r="600" ht="14.25" customHeight="1" s="64">
      <c r="A600" s="120" t="n"/>
      <c r="B600" s="120" t="n"/>
      <c r="C600" s="120" t="n"/>
      <c r="D600" s="121" t="n"/>
      <c r="E600" s="120" t="n"/>
      <c r="F600" s="120" t="n"/>
      <c r="G600" s="121" t="n"/>
      <c r="H600" s="121" t="n"/>
      <c r="I600" s="121" t="n"/>
      <c r="J600" s="116" t="n"/>
      <c r="K600" s="116" t="n"/>
      <c r="L600" s="116" t="n"/>
      <c r="M600" s="116" t="n"/>
      <c r="N600" s="116" t="n"/>
      <c r="O600" s="116" t="n"/>
    </row>
    <row r="601" ht="14.25" customHeight="1" s="64">
      <c r="A601" s="120" t="n"/>
      <c r="B601" s="120" t="n"/>
      <c r="C601" s="120" t="n"/>
      <c r="D601" s="121" t="n"/>
      <c r="E601" s="120" t="n"/>
      <c r="F601" s="120" t="n"/>
      <c r="G601" s="121" t="n"/>
      <c r="H601" s="121" t="n"/>
      <c r="I601" s="121" t="n"/>
      <c r="J601" s="116" t="n"/>
      <c r="K601" s="116" t="n"/>
      <c r="L601" s="116" t="n"/>
      <c r="M601" s="116" t="n"/>
      <c r="N601" s="116" t="n"/>
      <c r="O601" s="116" t="n"/>
    </row>
    <row r="602" ht="14.25" customHeight="1" s="64">
      <c r="A602" s="120" t="n"/>
      <c r="B602" s="120" t="n"/>
      <c r="C602" s="120" t="n"/>
      <c r="D602" s="121" t="n"/>
      <c r="E602" s="120" t="n"/>
      <c r="F602" s="120" t="n"/>
      <c r="G602" s="121" t="n"/>
      <c r="H602" s="121" t="n"/>
      <c r="I602" s="121" t="n"/>
      <c r="J602" s="116" t="n"/>
      <c r="K602" s="116" t="n"/>
      <c r="L602" s="116" t="n"/>
      <c r="M602" s="116" t="n"/>
      <c r="N602" s="116" t="n"/>
      <c r="O602" s="116" t="n"/>
    </row>
    <row r="603" ht="14.25" customHeight="1" s="64">
      <c r="A603" s="120" t="n"/>
      <c r="B603" s="120" t="n"/>
      <c r="C603" s="120" t="n"/>
      <c r="D603" s="121" t="n"/>
      <c r="E603" s="120" t="n"/>
      <c r="F603" s="120" t="n"/>
      <c r="G603" s="121" t="n"/>
      <c r="H603" s="121" t="n"/>
      <c r="I603" s="121" t="n"/>
      <c r="J603" s="116" t="n"/>
      <c r="K603" s="116" t="n"/>
      <c r="L603" s="116" t="n"/>
      <c r="M603" s="116" t="n"/>
      <c r="N603" s="116" t="n"/>
      <c r="O603" s="116" t="n"/>
    </row>
    <row r="604" ht="14.25" customHeight="1" s="64">
      <c r="A604" s="120" t="n"/>
      <c r="B604" s="120" t="n"/>
      <c r="C604" s="120" t="n"/>
      <c r="D604" s="121" t="n"/>
      <c r="E604" s="120" t="n"/>
      <c r="F604" s="120" t="n"/>
      <c r="G604" s="121" t="n"/>
      <c r="H604" s="121" t="n"/>
      <c r="I604" s="121" t="n"/>
      <c r="J604" s="116" t="n"/>
      <c r="K604" s="116" t="n"/>
      <c r="L604" s="116" t="n"/>
      <c r="M604" s="116" t="n"/>
      <c r="N604" s="116" t="n"/>
      <c r="O604" s="116" t="n"/>
    </row>
    <row r="605" ht="14.25" customHeight="1" s="64">
      <c r="A605" s="120" t="n"/>
      <c r="B605" s="120" t="n"/>
      <c r="C605" s="120" t="n"/>
      <c r="D605" s="121" t="n"/>
      <c r="E605" s="120" t="n"/>
      <c r="F605" s="120" t="n"/>
      <c r="G605" s="121" t="n"/>
      <c r="H605" s="121" t="n"/>
      <c r="I605" s="121" t="n"/>
      <c r="J605" s="116" t="n"/>
      <c r="K605" s="116" t="n"/>
      <c r="L605" s="116" t="n"/>
      <c r="M605" s="116" t="n"/>
      <c r="N605" s="116" t="n"/>
      <c r="O605" s="116" t="n"/>
    </row>
    <row r="606" ht="14.25" customHeight="1" s="64">
      <c r="A606" s="120" t="n"/>
      <c r="B606" s="120" t="n"/>
      <c r="C606" s="120" t="n"/>
      <c r="D606" s="121" t="n"/>
      <c r="E606" s="120" t="n"/>
      <c r="F606" s="120" t="n"/>
      <c r="G606" s="121" t="n"/>
      <c r="H606" s="121" t="n"/>
      <c r="I606" s="121" t="n"/>
      <c r="J606" s="116" t="n"/>
      <c r="K606" s="116" t="n"/>
      <c r="L606" s="116" t="n"/>
      <c r="M606" s="116" t="n"/>
      <c r="N606" s="116" t="n"/>
      <c r="O606" s="116" t="n"/>
    </row>
    <row r="607" ht="14.25" customHeight="1" s="64">
      <c r="A607" s="120" t="n"/>
      <c r="B607" s="120" t="n"/>
      <c r="C607" s="120" t="n"/>
      <c r="D607" s="121" t="n"/>
      <c r="E607" s="120" t="n"/>
      <c r="F607" s="120" t="n"/>
      <c r="G607" s="121" t="n"/>
      <c r="H607" s="121" t="n"/>
      <c r="I607" s="121" t="n"/>
      <c r="J607" s="116" t="n"/>
      <c r="K607" s="116" t="n"/>
      <c r="L607" s="116" t="n"/>
      <c r="M607" s="116" t="n"/>
      <c r="N607" s="116" t="n"/>
      <c r="O607" s="116" t="n"/>
    </row>
    <row r="608" ht="14.25" customHeight="1" s="64">
      <c r="A608" s="120" t="n"/>
      <c r="B608" s="120" t="n"/>
      <c r="C608" s="120" t="n"/>
      <c r="D608" s="121" t="n"/>
      <c r="E608" s="120" t="n"/>
      <c r="F608" s="120" t="n"/>
      <c r="G608" s="121" t="n"/>
      <c r="H608" s="121" t="n"/>
      <c r="I608" s="121" t="n"/>
      <c r="J608" s="116" t="n"/>
      <c r="K608" s="116" t="n"/>
      <c r="L608" s="116" t="n"/>
      <c r="M608" s="116" t="n"/>
      <c r="N608" s="116" t="n"/>
      <c r="O608" s="116" t="n"/>
    </row>
    <row r="609" ht="14.25" customHeight="1" s="64">
      <c r="A609" s="120" t="n"/>
      <c r="B609" s="120" t="n"/>
      <c r="C609" s="120" t="n"/>
      <c r="D609" s="121" t="n"/>
      <c r="E609" s="120" t="n"/>
      <c r="F609" s="120" t="n"/>
      <c r="G609" s="121" t="n"/>
      <c r="H609" s="121" t="n"/>
      <c r="I609" s="121" t="n"/>
      <c r="J609" s="116" t="n"/>
      <c r="K609" s="116" t="n"/>
      <c r="L609" s="116" t="n"/>
      <c r="M609" s="116" t="n"/>
      <c r="N609" s="116" t="n"/>
      <c r="O609" s="116" t="n"/>
    </row>
    <row r="610" ht="14.25" customHeight="1" s="64">
      <c r="A610" s="120" t="n"/>
      <c r="B610" s="120" t="n"/>
      <c r="C610" s="120" t="n"/>
      <c r="D610" s="121" t="n"/>
      <c r="E610" s="120" t="n"/>
      <c r="F610" s="120" t="n"/>
      <c r="G610" s="121" t="n"/>
      <c r="H610" s="121" t="n"/>
      <c r="I610" s="121" t="n"/>
      <c r="J610" s="116" t="n"/>
      <c r="K610" s="116" t="n"/>
      <c r="L610" s="116" t="n"/>
      <c r="M610" s="116" t="n"/>
      <c r="N610" s="116" t="n"/>
      <c r="O610" s="116" t="n"/>
    </row>
    <row r="611" ht="14.25" customHeight="1" s="64">
      <c r="A611" s="120" t="n"/>
      <c r="B611" s="120" t="n"/>
      <c r="C611" s="120" t="n"/>
      <c r="D611" s="121" t="n"/>
      <c r="E611" s="120" t="n"/>
      <c r="F611" s="120" t="n"/>
      <c r="G611" s="121" t="n"/>
      <c r="H611" s="121" t="n"/>
      <c r="I611" s="121" t="n"/>
      <c r="J611" s="116" t="n"/>
      <c r="K611" s="116" t="n"/>
      <c r="L611" s="116" t="n"/>
      <c r="M611" s="116" t="n"/>
      <c r="N611" s="116" t="n"/>
      <c r="O611" s="116" t="n"/>
    </row>
    <row r="612" ht="14.25" customHeight="1" s="64">
      <c r="A612" s="120" t="n"/>
      <c r="B612" s="120" t="n"/>
      <c r="C612" s="120" t="n"/>
      <c r="D612" s="121" t="n"/>
      <c r="E612" s="120" t="n"/>
      <c r="F612" s="120" t="n"/>
      <c r="G612" s="121" t="n"/>
      <c r="H612" s="121" t="n"/>
      <c r="I612" s="121" t="n"/>
      <c r="J612" s="116" t="n"/>
      <c r="K612" s="116" t="n"/>
      <c r="L612" s="116" t="n"/>
      <c r="M612" s="116" t="n"/>
      <c r="N612" s="116" t="n"/>
      <c r="O612" s="116" t="n"/>
    </row>
    <row r="613" ht="14.25" customHeight="1" s="64">
      <c r="A613" s="120" t="n"/>
      <c r="B613" s="120" t="n"/>
      <c r="C613" s="120" t="n"/>
      <c r="D613" s="121" t="n"/>
      <c r="E613" s="120" t="n"/>
      <c r="F613" s="120" t="n"/>
      <c r="G613" s="121" t="n"/>
      <c r="H613" s="121" t="n"/>
      <c r="I613" s="121" t="n"/>
      <c r="J613" s="116" t="n"/>
      <c r="K613" s="116" t="n"/>
      <c r="L613" s="116" t="n"/>
      <c r="M613" s="116" t="n"/>
      <c r="N613" s="116" t="n"/>
      <c r="O613" s="116" t="n"/>
    </row>
    <row r="614" ht="14.25" customHeight="1" s="64">
      <c r="A614" s="120" t="n"/>
      <c r="B614" s="120" t="n"/>
      <c r="C614" s="120" t="n"/>
      <c r="D614" s="121" t="n"/>
      <c r="E614" s="120" t="n"/>
      <c r="F614" s="120" t="n"/>
      <c r="G614" s="121" t="n"/>
      <c r="H614" s="121" t="n"/>
      <c r="I614" s="121" t="n"/>
      <c r="J614" s="116" t="n"/>
      <c r="K614" s="116" t="n"/>
      <c r="L614" s="116" t="n"/>
      <c r="M614" s="116" t="n"/>
      <c r="N614" s="116" t="n"/>
      <c r="O614" s="116" t="n"/>
    </row>
    <row r="615" ht="14.25" customHeight="1" s="64">
      <c r="A615" s="120" t="n"/>
      <c r="B615" s="120" t="n"/>
      <c r="C615" s="120" t="n"/>
      <c r="D615" s="121" t="n"/>
      <c r="E615" s="120" t="n"/>
      <c r="F615" s="120" t="n"/>
      <c r="G615" s="121" t="n"/>
      <c r="H615" s="121" t="n"/>
      <c r="I615" s="121" t="n"/>
      <c r="J615" s="116" t="n"/>
      <c r="K615" s="116" t="n"/>
      <c r="L615" s="116" t="n"/>
      <c r="M615" s="116" t="n"/>
      <c r="N615" s="116" t="n"/>
      <c r="O615" s="116" t="n"/>
    </row>
    <row r="616" ht="14.25" customHeight="1" s="64">
      <c r="A616" s="120" t="n"/>
      <c r="B616" s="120" t="n"/>
      <c r="C616" s="120" t="n"/>
      <c r="D616" s="121" t="n"/>
      <c r="E616" s="120" t="n"/>
      <c r="F616" s="120" t="n"/>
      <c r="G616" s="121" t="n"/>
      <c r="H616" s="121" t="n"/>
      <c r="I616" s="121" t="n"/>
      <c r="J616" s="116" t="n"/>
      <c r="K616" s="116" t="n"/>
      <c r="L616" s="116" t="n"/>
      <c r="M616" s="116" t="n"/>
      <c r="N616" s="116" t="n"/>
      <c r="O616" s="116" t="n"/>
    </row>
    <row r="617" ht="14.25" customHeight="1" s="64">
      <c r="A617" s="120" t="n"/>
      <c r="B617" s="120" t="n"/>
      <c r="C617" s="120" t="n"/>
      <c r="D617" s="121" t="n"/>
      <c r="E617" s="120" t="n"/>
      <c r="F617" s="120" t="n"/>
      <c r="G617" s="121" t="n"/>
      <c r="H617" s="121" t="n"/>
      <c r="I617" s="121" t="n"/>
      <c r="J617" s="116" t="n"/>
      <c r="K617" s="116" t="n"/>
      <c r="L617" s="116" t="n"/>
      <c r="M617" s="116" t="n"/>
      <c r="N617" s="116" t="n"/>
      <c r="O617" s="116" t="n"/>
    </row>
    <row r="618" ht="14.25" customHeight="1" s="64">
      <c r="A618" s="120" t="n"/>
      <c r="B618" s="120" t="n"/>
      <c r="C618" s="120" t="n"/>
      <c r="D618" s="121" t="n"/>
      <c r="E618" s="120" t="n"/>
      <c r="F618" s="120" t="n"/>
      <c r="G618" s="121" t="n"/>
      <c r="H618" s="121" t="n"/>
      <c r="I618" s="121" t="n"/>
      <c r="J618" s="116" t="n"/>
      <c r="K618" s="116" t="n"/>
      <c r="L618" s="116" t="n"/>
      <c r="M618" s="116" t="n"/>
      <c r="N618" s="116" t="n"/>
      <c r="O618" s="116" t="n"/>
    </row>
    <row r="619" ht="14.25" customHeight="1" s="64">
      <c r="A619" s="120" t="n"/>
      <c r="B619" s="120" t="n"/>
      <c r="C619" s="120" t="n"/>
      <c r="D619" s="121" t="n"/>
      <c r="E619" s="120" t="n"/>
      <c r="F619" s="120" t="n"/>
      <c r="G619" s="121" t="n"/>
      <c r="H619" s="121" t="n"/>
      <c r="I619" s="121" t="n"/>
      <c r="J619" s="116" t="n"/>
      <c r="K619" s="116" t="n"/>
      <c r="L619" s="116" t="n"/>
      <c r="M619" s="116" t="n"/>
      <c r="N619" s="116" t="n"/>
      <c r="O619" s="116" t="n"/>
    </row>
    <row r="620" ht="14.25" customHeight="1" s="64">
      <c r="A620" s="120" t="n"/>
      <c r="B620" s="120" t="n"/>
      <c r="C620" s="120" t="n"/>
      <c r="D620" s="121" t="n"/>
      <c r="E620" s="120" t="n"/>
      <c r="F620" s="120" t="n"/>
      <c r="G620" s="121" t="n"/>
      <c r="H620" s="121" t="n"/>
      <c r="I620" s="121" t="n"/>
      <c r="J620" s="116" t="n"/>
      <c r="K620" s="116" t="n"/>
      <c r="L620" s="116" t="n"/>
      <c r="M620" s="116" t="n"/>
      <c r="N620" s="116" t="n"/>
      <c r="O620" s="116" t="n"/>
    </row>
    <row r="621" ht="14.25" customHeight="1" s="64">
      <c r="A621" s="120" t="n"/>
      <c r="B621" s="120" t="n"/>
      <c r="C621" s="120" t="n"/>
      <c r="D621" s="121" t="n"/>
      <c r="E621" s="120" t="n"/>
      <c r="F621" s="120" t="n"/>
      <c r="G621" s="121" t="n"/>
      <c r="H621" s="121" t="n"/>
      <c r="I621" s="121" t="n"/>
      <c r="J621" s="116" t="n"/>
      <c r="K621" s="116" t="n"/>
      <c r="L621" s="116" t="n"/>
      <c r="M621" s="116" t="n"/>
      <c r="N621" s="116" t="n"/>
      <c r="O621" s="116" t="n"/>
    </row>
    <row r="622" ht="14.25" customHeight="1" s="64">
      <c r="A622" s="120" t="n"/>
      <c r="B622" s="120" t="n"/>
      <c r="C622" s="120" t="n"/>
      <c r="D622" s="121" t="n"/>
      <c r="E622" s="120" t="n"/>
      <c r="F622" s="120" t="n"/>
      <c r="G622" s="121" t="n"/>
      <c r="H622" s="121" t="n"/>
      <c r="I622" s="121" t="n"/>
      <c r="J622" s="116" t="n"/>
      <c r="K622" s="116" t="n"/>
      <c r="L622" s="116" t="n"/>
      <c r="M622" s="116" t="n"/>
      <c r="N622" s="116" t="n"/>
      <c r="O622" s="116" t="n"/>
    </row>
    <row r="623" ht="14.25" customHeight="1" s="64">
      <c r="A623" s="120" t="n"/>
      <c r="B623" s="120" t="n"/>
      <c r="C623" s="120" t="n"/>
      <c r="D623" s="121" t="n"/>
      <c r="E623" s="120" t="n"/>
      <c r="F623" s="120" t="n"/>
      <c r="G623" s="121" t="n"/>
      <c r="H623" s="121" t="n"/>
      <c r="I623" s="121" t="n"/>
      <c r="J623" s="116" t="n"/>
      <c r="K623" s="116" t="n"/>
      <c r="L623" s="116" t="n"/>
      <c r="M623" s="116" t="n"/>
      <c r="N623" s="116" t="n"/>
      <c r="O623" s="116" t="n"/>
    </row>
    <row r="624" ht="14.25" customHeight="1" s="64">
      <c r="A624" s="120" t="n"/>
      <c r="B624" s="120" t="n"/>
      <c r="C624" s="120" t="n"/>
      <c r="D624" s="121" t="n"/>
      <c r="E624" s="120" t="n"/>
      <c r="F624" s="120" t="n"/>
      <c r="G624" s="121" t="n"/>
      <c r="H624" s="121" t="n"/>
      <c r="I624" s="121" t="n"/>
      <c r="J624" s="116" t="n"/>
      <c r="K624" s="116" t="n"/>
      <c r="L624" s="116" t="n"/>
      <c r="M624" s="116" t="n"/>
      <c r="N624" s="116" t="n"/>
      <c r="O624" s="116" t="n"/>
    </row>
    <row r="625" ht="14.25" customHeight="1" s="64">
      <c r="A625" s="120" t="n"/>
      <c r="B625" s="120" t="n"/>
      <c r="C625" s="120" t="n"/>
      <c r="D625" s="121" t="n"/>
      <c r="E625" s="120" t="n"/>
      <c r="F625" s="120" t="n"/>
      <c r="G625" s="121" t="n"/>
      <c r="H625" s="121" t="n"/>
      <c r="I625" s="121" t="n"/>
      <c r="J625" s="116" t="n"/>
      <c r="K625" s="116" t="n"/>
      <c r="L625" s="116" t="n"/>
      <c r="M625" s="116" t="n"/>
      <c r="N625" s="116" t="n"/>
      <c r="O625" s="116" t="n"/>
    </row>
    <row r="626" ht="14.25" customHeight="1" s="64">
      <c r="A626" s="120" t="n"/>
      <c r="B626" s="120" t="n"/>
      <c r="C626" s="120" t="n"/>
      <c r="D626" s="121" t="n"/>
      <c r="E626" s="120" t="n"/>
      <c r="F626" s="120" t="n"/>
      <c r="G626" s="121" t="n"/>
      <c r="H626" s="121" t="n"/>
      <c r="I626" s="121" t="n"/>
      <c r="J626" s="116" t="n"/>
      <c r="K626" s="116" t="n"/>
      <c r="L626" s="116" t="n"/>
      <c r="M626" s="116" t="n"/>
      <c r="N626" s="116" t="n"/>
      <c r="O626" s="116" t="n"/>
    </row>
    <row r="627" ht="14.25" customHeight="1" s="64">
      <c r="A627" s="120" t="n"/>
      <c r="B627" s="120" t="n"/>
      <c r="C627" s="120" t="n"/>
      <c r="D627" s="121" t="n"/>
      <c r="E627" s="120" t="n"/>
      <c r="F627" s="120" t="n"/>
      <c r="G627" s="121" t="n"/>
      <c r="H627" s="121" t="n"/>
      <c r="I627" s="121" t="n"/>
      <c r="J627" s="116" t="n"/>
      <c r="K627" s="116" t="n"/>
      <c r="L627" s="116" t="n"/>
      <c r="M627" s="116" t="n"/>
      <c r="N627" s="116" t="n"/>
      <c r="O627" s="116" t="n"/>
    </row>
    <row r="628" ht="14.25" customHeight="1" s="64">
      <c r="A628" s="120" t="n"/>
      <c r="B628" s="120" t="n"/>
      <c r="C628" s="120" t="n"/>
      <c r="D628" s="121" t="n"/>
      <c r="E628" s="120" t="n"/>
      <c r="F628" s="120" t="n"/>
      <c r="G628" s="121" t="n"/>
      <c r="H628" s="121" t="n"/>
      <c r="I628" s="121" t="n"/>
      <c r="J628" s="116" t="n"/>
      <c r="K628" s="116" t="n"/>
      <c r="L628" s="116" t="n"/>
      <c r="M628" s="116" t="n"/>
      <c r="N628" s="116" t="n"/>
      <c r="O628" s="116" t="n"/>
    </row>
    <row r="629" ht="14.25" customHeight="1" s="64">
      <c r="A629" s="120" t="n"/>
      <c r="B629" s="120" t="n"/>
      <c r="C629" s="120" t="n"/>
      <c r="D629" s="121" t="n"/>
      <c r="E629" s="120" t="n"/>
      <c r="F629" s="120" t="n"/>
      <c r="G629" s="121" t="n"/>
      <c r="H629" s="121" t="n"/>
      <c r="I629" s="121" t="n"/>
      <c r="J629" s="116" t="n"/>
      <c r="K629" s="116" t="n"/>
      <c r="L629" s="116" t="n"/>
      <c r="M629" s="116" t="n"/>
      <c r="N629" s="116" t="n"/>
      <c r="O629" s="116" t="n"/>
    </row>
    <row r="630" ht="14.25" customHeight="1" s="64">
      <c r="A630" s="120" t="n"/>
      <c r="B630" s="120" t="n"/>
      <c r="C630" s="120" t="n"/>
      <c r="D630" s="121" t="n"/>
      <c r="E630" s="120" t="n"/>
      <c r="F630" s="120" t="n"/>
      <c r="G630" s="121" t="n"/>
      <c r="H630" s="121" t="n"/>
      <c r="I630" s="121" t="n"/>
      <c r="J630" s="116" t="n"/>
      <c r="K630" s="116" t="n"/>
      <c r="L630" s="116" t="n"/>
      <c r="M630" s="116" t="n"/>
      <c r="N630" s="116" t="n"/>
      <c r="O630" s="116" t="n"/>
    </row>
    <row r="631" ht="14.25" customHeight="1" s="64">
      <c r="A631" s="120" t="n"/>
      <c r="B631" s="120" t="n"/>
      <c r="C631" s="120" t="n"/>
      <c r="D631" s="121" t="n"/>
      <c r="E631" s="120" t="n"/>
      <c r="F631" s="120" t="n"/>
      <c r="G631" s="121" t="n"/>
      <c r="H631" s="121" t="n"/>
      <c r="I631" s="121" t="n"/>
      <c r="J631" s="116" t="n"/>
      <c r="K631" s="116" t="n"/>
      <c r="L631" s="116" t="n"/>
      <c r="M631" s="116" t="n"/>
      <c r="N631" s="116" t="n"/>
      <c r="O631" s="116" t="n"/>
    </row>
    <row r="632" ht="14.25" customHeight="1" s="64">
      <c r="A632" s="120" t="n"/>
      <c r="B632" s="120" t="n"/>
      <c r="C632" s="120" t="n"/>
      <c r="D632" s="121" t="n"/>
      <c r="E632" s="120" t="n"/>
      <c r="F632" s="120" t="n"/>
      <c r="G632" s="121" t="n"/>
      <c r="H632" s="121" t="n"/>
      <c r="I632" s="121" t="n"/>
      <c r="J632" s="116" t="n"/>
      <c r="K632" s="116" t="n"/>
      <c r="L632" s="116" t="n"/>
      <c r="M632" s="116" t="n"/>
      <c r="N632" s="116" t="n"/>
      <c r="O632" s="116" t="n"/>
    </row>
    <row r="633" ht="14.25" customHeight="1" s="64">
      <c r="A633" s="120" t="n"/>
      <c r="B633" s="120" t="n"/>
      <c r="C633" s="120" t="n"/>
      <c r="D633" s="121" t="n"/>
      <c r="E633" s="120" t="n"/>
      <c r="F633" s="120" t="n"/>
      <c r="G633" s="121" t="n"/>
      <c r="H633" s="121" t="n"/>
      <c r="I633" s="121" t="n"/>
      <c r="J633" s="116" t="n"/>
      <c r="K633" s="116" t="n"/>
      <c r="L633" s="116" t="n"/>
      <c r="M633" s="116" t="n"/>
      <c r="N633" s="116" t="n"/>
      <c r="O633" s="116" t="n"/>
    </row>
    <row r="634" ht="14.25" customHeight="1" s="64">
      <c r="A634" s="120" t="n"/>
      <c r="B634" s="120" t="n"/>
      <c r="C634" s="120" t="n"/>
      <c r="D634" s="121" t="n"/>
      <c r="E634" s="120" t="n"/>
      <c r="F634" s="120" t="n"/>
      <c r="G634" s="121" t="n"/>
      <c r="H634" s="121" t="n"/>
      <c r="I634" s="121" t="n"/>
      <c r="J634" s="116" t="n"/>
      <c r="K634" s="116" t="n"/>
      <c r="L634" s="116" t="n"/>
      <c r="M634" s="116" t="n"/>
      <c r="N634" s="116" t="n"/>
      <c r="O634" s="116" t="n"/>
    </row>
    <row r="635" ht="14.25" customHeight="1" s="64">
      <c r="A635" s="120" t="n"/>
      <c r="B635" s="120" t="n"/>
      <c r="C635" s="120" t="n"/>
      <c r="D635" s="121" t="n"/>
      <c r="E635" s="120" t="n"/>
      <c r="F635" s="120" t="n"/>
      <c r="G635" s="121" t="n"/>
      <c r="H635" s="121" t="n"/>
      <c r="I635" s="121" t="n"/>
      <c r="J635" s="116" t="n"/>
      <c r="K635" s="116" t="n"/>
      <c r="L635" s="116" t="n"/>
      <c r="M635" s="116" t="n"/>
      <c r="N635" s="116" t="n"/>
      <c r="O635" s="116" t="n"/>
    </row>
    <row r="636" ht="14.25" customHeight="1" s="64">
      <c r="A636" s="120" t="n"/>
      <c r="B636" s="120" t="n"/>
      <c r="C636" s="120" t="n"/>
      <c r="D636" s="121" t="n"/>
      <c r="E636" s="120" t="n"/>
      <c r="F636" s="120" t="n"/>
      <c r="G636" s="121" t="n"/>
      <c r="H636" s="121" t="n"/>
      <c r="I636" s="121" t="n"/>
      <c r="J636" s="116" t="n"/>
      <c r="K636" s="116" t="n"/>
      <c r="L636" s="116" t="n"/>
      <c r="M636" s="116" t="n"/>
      <c r="N636" s="116" t="n"/>
      <c r="O636" s="116" t="n"/>
    </row>
    <row r="637" ht="14.25" customHeight="1" s="64">
      <c r="A637" s="120" t="n"/>
      <c r="B637" s="120" t="n"/>
      <c r="C637" s="120" t="n"/>
      <c r="D637" s="121" t="n"/>
      <c r="E637" s="120" t="n"/>
      <c r="F637" s="120" t="n"/>
      <c r="G637" s="121" t="n"/>
      <c r="H637" s="121" t="n"/>
      <c r="I637" s="121" t="n"/>
      <c r="J637" s="116" t="n"/>
      <c r="K637" s="116" t="n"/>
      <c r="L637" s="116" t="n"/>
      <c r="M637" s="116" t="n"/>
      <c r="N637" s="116" t="n"/>
      <c r="O637" s="116" t="n"/>
    </row>
    <row r="638" ht="14.25" customHeight="1" s="64">
      <c r="A638" s="120" t="n"/>
      <c r="B638" s="120" t="n"/>
      <c r="C638" s="120" t="n"/>
      <c r="D638" s="121" t="n"/>
      <c r="E638" s="120" t="n"/>
      <c r="F638" s="120" t="n"/>
      <c r="G638" s="121" t="n"/>
      <c r="H638" s="121" t="n"/>
      <c r="I638" s="121" t="n"/>
      <c r="J638" s="116" t="n"/>
      <c r="K638" s="116" t="n"/>
      <c r="L638" s="116" t="n"/>
      <c r="M638" s="116" t="n"/>
      <c r="N638" s="116" t="n"/>
      <c r="O638" s="116" t="n"/>
    </row>
    <row r="639" ht="14.25" customHeight="1" s="64">
      <c r="A639" s="120" t="n"/>
      <c r="B639" s="120" t="n"/>
      <c r="C639" s="120" t="n"/>
      <c r="D639" s="121" t="n"/>
      <c r="E639" s="120" t="n"/>
      <c r="F639" s="120" t="n"/>
      <c r="G639" s="121" t="n"/>
      <c r="H639" s="121" t="n"/>
      <c r="I639" s="121" t="n"/>
      <c r="J639" s="116" t="n"/>
      <c r="K639" s="116" t="n"/>
      <c r="L639" s="116" t="n"/>
      <c r="M639" s="116" t="n"/>
      <c r="N639" s="116" t="n"/>
      <c r="O639" s="116" t="n"/>
    </row>
    <row r="640" ht="14.25" customHeight="1" s="64">
      <c r="A640" s="120" t="n"/>
      <c r="B640" s="120" t="n"/>
      <c r="C640" s="120" t="n"/>
      <c r="D640" s="121" t="n"/>
      <c r="E640" s="120" t="n"/>
      <c r="F640" s="120" t="n"/>
      <c r="G640" s="121" t="n"/>
      <c r="H640" s="121" t="n"/>
      <c r="I640" s="121" t="n"/>
      <c r="J640" s="116" t="n"/>
      <c r="K640" s="116" t="n"/>
      <c r="L640" s="116" t="n"/>
      <c r="M640" s="116" t="n"/>
      <c r="N640" s="116" t="n"/>
      <c r="O640" s="116" t="n"/>
    </row>
    <row r="641" ht="14.25" customHeight="1" s="64">
      <c r="A641" s="120" t="n"/>
      <c r="B641" s="120" t="n"/>
      <c r="C641" s="120" t="n"/>
      <c r="D641" s="121" t="n"/>
      <c r="E641" s="120" t="n"/>
      <c r="F641" s="120" t="n"/>
      <c r="G641" s="121" t="n"/>
      <c r="H641" s="121" t="n"/>
      <c r="I641" s="121" t="n"/>
      <c r="J641" s="116" t="n"/>
      <c r="K641" s="116" t="n"/>
      <c r="L641" s="116" t="n"/>
      <c r="M641" s="116" t="n"/>
      <c r="N641" s="116" t="n"/>
      <c r="O641" s="116" t="n"/>
    </row>
    <row r="642" ht="14.25" customHeight="1" s="64">
      <c r="A642" s="120" t="n"/>
      <c r="B642" s="120" t="n"/>
      <c r="C642" s="120" t="n"/>
      <c r="D642" s="121" t="n"/>
      <c r="E642" s="120" t="n"/>
      <c r="F642" s="120" t="n"/>
      <c r="G642" s="121" t="n"/>
      <c r="H642" s="121" t="n"/>
      <c r="I642" s="121" t="n"/>
      <c r="J642" s="116" t="n"/>
      <c r="K642" s="116" t="n"/>
      <c r="L642" s="116" t="n"/>
      <c r="M642" s="116" t="n"/>
      <c r="N642" s="116" t="n"/>
      <c r="O642" s="116" t="n"/>
    </row>
    <row r="643" ht="14.25" customHeight="1" s="64">
      <c r="A643" s="120" t="n"/>
      <c r="B643" s="120" t="n"/>
      <c r="C643" s="120" t="n"/>
      <c r="D643" s="121" t="n"/>
      <c r="E643" s="120" t="n"/>
      <c r="F643" s="120" t="n"/>
      <c r="G643" s="121" t="n"/>
      <c r="H643" s="121" t="n"/>
      <c r="I643" s="121" t="n"/>
      <c r="J643" s="116" t="n"/>
      <c r="K643" s="116" t="n"/>
      <c r="L643" s="116" t="n"/>
      <c r="M643" s="116" t="n"/>
      <c r="N643" s="116" t="n"/>
      <c r="O643" s="116" t="n"/>
    </row>
    <row r="644" ht="14.25" customHeight="1" s="64">
      <c r="A644" s="120" t="n"/>
      <c r="B644" s="120" t="n"/>
      <c r="C644" s="120" t="n"/>
      <c r="D644" s="121" t="n"/>
      <c r="E644" s="120" t="n"/>
      <c r="F644" s="120" t="n"/>
      <c r="G644" s="121" t="n"/>
      <c r="H644" s="121" t="n"/>
      <c r="I644" s="121" t="n"/>
      <c r="J644" s="116" t="n"/>
      <c r="K644" s="116" t="n"/>
      <c r="L644" s="116" t="n"/>
      <c r="M644" s="116" t="n"/>
      <c r="N644" s="116" t="n"/>
      <c r="O644" s="116" t="n"/>
    </row>
    <row r="645" ht="14.25" customHeight="1" s="64">
      <c r="A645" s="120" t="n"/>
      <c r="B645" s="120" t="n"/>
      <c r="C645" s="120" t="n"/>
      <c r="D645" s="121" t="n"/>
      <c r="E645" s="120" t="n"/>
      <c r="F645" s="120" t="n"/>
      <c r="G645" s="121" t="n"/>
      <c r="H645" s="121" t="n"/>
      <c r="I645" s="121" t="n"/>
      <c r="J645" s="116" t="n"/>
      <c r="K645" s="116" t="n"/>
      <c r="L645" s="116" t="n"/>
      <c r="M645" s="116" t="n"/>
      <c r="N645" s="116" t="n"/>
      <c r="O645" s="116" t="n"/>
    </row>
    <row r="646" ht="14.25" customHeight="1" s="64">
      <c r="A646" s="120" t="n"/>
      <c r="B646" s="120" t="n"/>
      <c r="C646" s="120" t="n"/>
      <c r="D646" s="121" t="n"/>
      <c r="E646" s="120" t="n"/>
      <c r="F646" s="120" t="n"/>
      <c r="G646" s="121" t="n"/>
      <c r="H646" s="121" t="n"/>
      <c r="I646" s="121" t="n"/>
      <c r="J646" s="116" t="n"/>
      <c r="K646" s="116" t="n"/>
      <c r="L646" s="116" t="n"/>
      <c r="M646" s="116" t="n"/>
      <c r="N646" s="116" t="n"/>
      <c r="O646" s="116" t="n"/>
    </row>
    <row r="647" ht="14.25" customHeight="1" s="64">
      <c r="A647" s="120" t="n"/>
      <c r="B647" s="120" t="n"/>
      <c r="C647" s="120" t="n"/>
      <c r="D647" s="121" t="n"/>
      <c r="E647" s="120" t="n"/>
      <c r="F647" s="120" t="n"/>
      <c r="G647" s="121" t="n"/>
      <c r="H647" s="121" t="n"/>
      <c r="I647" s="121" t="n"/>
      <c r="J647" s="116" t="n"/>
      <c r="K647" s="116" t="n"/>
      <c r="L647" s="116" t="n"/>
      <c r="M647" s="116" t="n"/>
      <c r="N647" s="116" t="n"/>
      <c r="O647" s="116" t="n"/>
    </row>
    <row r="648" ht="14.25" customHeight="1" s="64">
      <c r="A648" s="120" t="n"/>
      <c r="B648" s="120" t="n"/>
      <c r="C648" s="120" t="n"/>
      <c r="D648" s="121" t="n"/>
      <c r="E648" s="120" t="n"/>
      <c r="F648" s="120" t="n"/>
      <c r="G648" s="121" t="n"/>
      <c r="H648" s="121" t="n"/>
      <c r="I648" s="121" t="n"/>
      <c r="J648" s="116" t="n"/>
      <c r="K648" s="116" t="n"/>
      <c r="L648" s="116" t="n"/>
      <c r="M648" s="116" t="n"/>
      <c r="N648" s="116" t="n"/>
      <c r="O648" s="116" t="n"/>
    </row>
    <row r="649" ht="14.25" customHeight="1" s="64">
      <c r="A649" s="120" t="n"/>
      <c r="B649" s="120" t="n"/>
      <c r="C649" s="120" t="n"/>
      <c r="D649" s="121" t="n"/>
      <c r="E649" s="120" t="n"/>
      <c r="F649" s="120" t="n"/>
      <c r="G649" s="121" t="n"/>
      <c r="H649" s="121" t="n"/>
      <c r="I649" s="121" t="n"/>
      <c r="J649" s="116" t="n"/>
      <c r="K649" s="116" t="n"/>
      <c r="L649" s="116" t="n"/>
      <c r="M649" s="116" t="n"/>
      <c r="N649" s="116" t="n"/>
      <c r="O649" s="116" t="n"/>
    </row>
    <row r="650" ht="14.25" customHeight="1" s="64">
      <c r="A650" s="120" t="n"/>
      <c r="B650" s="120" t="n"/>
      <c r="C650" s="120" t="n"/>
      <c r="D650" s="121" t="n"/>
      <c r="E650" s="120" t="n"/>
      <c r="F650" s="120" t="n"/>
      <c r="G650" s="121" t="n"/>
      <c r="H650" s="121" t="n"/>
      <c r="I650" s="121" t="n"/>
      <c r="J650" s="116" t="n"/>
      <c r="K650" s="116" t="n"/>
      <c r="L650" s="116" t="n"/>
      <c r="M650" s="116" t="n"/>
      <c r="N650" s="116" t="n"/>
      <c r="O650" s="116" t="n"/>
    </row>
    <row r="651" ht="14.25" customHeight="1" s="64">
      <c r="A651" s="120" t="n"/>
      <c r="B651" s="120" t="n"/>
      <c r="C651" s="120" t="n"/>
      <c r="D651" s="121" t="n"/>
      <c r="E651" s="120" t="n"/>
      <c r="F651" s="120" t="n"/>
      <c r="G651" s="121" t="n"/>
      <c r="H651" s="121" t="n"/>
      <c r="I651" s="121" t="n"/>
      <c r="J651" s="116" t="n"/>
      <c r="K651" s="116" t="n"/>
      <c r="L651" s="116" t="n"/>
      <c r="M651" s="116" t="n"/>
      <c r="N651" s="116" t="n"/>
      <c r="O651" s="116" t="n"/>
    </row>
    <row r="652" ht="14.25" customHeight="1" s="64">
      <c r="A652" s="120" t="n"/>
      <c r="B652" s="120" t="n"/>
      <c r="C652" s="120" t="n"/>
      <c r="D652" s="121" t="n"/>
      <c r="E652" s="120" t="n"/>
      <c r="F652" s="120" t="n"/>
      <c r="G652" s="121" t="n"/>
      <c r="H652" s="121" t="n"/>
      <c r="I652" s="121" t="n"/>
      <c r="J652" s="116" t="n"/>
      <c r="K652" s="116" t="n"/>
      <c r="L652" s="116" t="n"/>
      <c r="M652" s="116" t="n"/>
      <c r="N652" s="116" t="n"/>
      <c r="O652" s="116" t="n"/>
    </row>
    <row r="653" ht="14.25" customHeight="1" s="64">
      <c r="A653" s="120" t="n"/>
      <c r="B653" s="120" t="n"/>
      <c r="C653" s="120" t="n"/>
      <c r="D653" s="121" t="n"/>
      <c r="E653" s="120" t="n"/>
      <c r="F653" s="120" t="n"/>
      <c r="G653" s="121" t="n"/>
      <c r="H653" s="121" t="n"/>
      <c r="I653" s="121" t="n"/>
      <c r="J653" s="116" t="n"/>
      <c r="K653" s="116" t="n"/>
      <c r="L653" s="116" t="n"/>
      <c r="M653" s="116" t="n"/>
      <c r="N653" s="116" t="n"/>
      <c r="O653" s="116" t="n"/>
    </row>
    <row r="654" ht="14.25" customHeight="1" s="64">
      <c r="A654" s="120" t="n"/>
      <c r="B654" s="120" t="n"/>
      <c r="C654" s="120" t="n"/>
      <c r="D654" s="121" t="n"/>
      <c r="E654" s="120" t="n"/>
      <c r="F654" s="120" t="n"/>
      <c r="G654" s="121" t="n"/>
      <c r="H654" s="121" t="n"/>
      <c r="I654" s="121" t="n"/>
      <c r="J654" s="116" t="n"/>
      <c r="K654" s="116" t="n"/>
      <c r="L654" s="116" t="n"/>
      <c r="M654" s="116" t="n"/>
      <c r="N654" s="116" t="n"/>
      <c r="O654" s="116" t="n"/>
    </row>
    <row r="655" ht="14.25" customHeight="1" s="64">
      <c r="A655" s="120" t="n"/>
      <c r="B655" s="120" t="n"/>
      <c r="C655" s="120" t="n"/>
      <c r="D655" s="121" t="n"/>
      <c r="E655" s="120" t="n"/>
      <c r="F655" s="120" t="n"/>
      <c r="G655" s="121" t="n"/>
      <c r="H655" s="121" t="n"/>
      <c r="I655" s="121" t="n"/>
      <c r="J655" s="116" t="n"/>
      <c r="K655" s="116" t="n"/>
      <c r="L655" s="116" t="n"/>
      <c r="M655" s="116" t="n"/>
      <c r="N655" s="116" t="n"/>
      <c r="O655" s="116" t="n"/>
    </row>
    <row r="656" ht="14.25" customHeight="1" s="64">
      <c r="A656" s="120" t="n"/>
      <c r="B656" s="120" t="n"/>
      <c r="C656" s="120" t="n"/>
      <c r="D656" s="121" t="n"/>
      <c r="E656" s="120" t="n"/>
      <c r="F656" s="120" t="n"/>
      <c r="G656" s="121" t="n"/>
      <c r="H656" s="121" t="n"/>
      <c r="I656" s="121" t="n"/>
      <c r="J656" s="116" t="n"/>
      <c r="K656" s="116" t="n"/>
      <c r="L656" s="116" t="n"/>
      <c r="M656" s="116" t="n"/>
      <c r="N656" s="116" t="n"/>
      <c r="O656" s="116" t="n"/>
    </row>
    <row r="657" ht="14.25" customHeight="1" s="64">
      <c r="A657" s="120" t="n"/>
      <c r="B657" s="120" t="n"/>
      <c r="C657" s="120" t="n"/>
      <c r="D657" s="121" t="n"/>
      <c r="E657" s="120" t="n"/>
      <c r="F657" s="120" t="n"/>
      <c r="G657" s="121" t="n"/>
      <c r="H657" s="121" t="n"/>
      <c r="I657" s="121" t="n"/>
      <c r="J657" s="116" t="n"/>
      <c r="K657" s="116" t="n"/>
      <c r="L657" s="116" t="n"/>
      <c r="M657" s="116" t="n"/>
      <c r="N657" s="116" t="n"/>
      <c r="O657" s="116" t="n"/>
    </row>
    <row r="658" ht="14.25" customHeight="1" s="64">
      <c r="A658" s="120" t="n"/>
      <c r="B658" s="120" t="n"/>
      <c r="C658" s="120" t="n"/>
      <c r="D658" s="121" t="n"/>
      <c r="E658" s="120" t="n"/>
      <c r="F658" s="120" t="n"/>
      <c r="G658" s="121" t="n"/>
      <c r="H658" s="121" t="n"/>
      <c r="I658" s="121" t="n"/>
      <c r="J658" s="116" t="n"/>
      <c r="K658" s="116" t="n"/>
      <c r="L658" s="116" t="n"/>
      <c r="M658" s="116" t="n"/>
      <c r="N658" s="116" t="n"/>
      <c r="O658" s="116" t="n"/>
    </row>
    <row r="659" ht="14.25" customHeight="1" s="64">
      <c r="A659" s="120" t="n"/>
      <c r="B659" s="120" t="n"/>
      <c r="C659" s="120" t="n"/>
      <c r="D659" s="121" t="n"/>
      <c r="E659" s="120" t="n"/>
      <c r="F659" s="120" t="n"/>
      <c r="G659" s="121" t="n"/>
      <c r="H659" s="121" t="n"/>
      <c r="I659" s="121" t="n"/>
      <c r="J659" s="116" t="n"/>
      <c r="K659" s="116" t="n"/>
      <c r="L659" s="116" t="n"/>
      <c r="M659" s="116" t="n"/>
      <c r="N659" s="116" t="n"/>
      <c r="O659" s="116" t="n"/>
    </row>
    <row r="660" ht="14.25" customHeight="1" s="64">
      <c r="A660" s="120" t="n"/>
      <c r="B660" s="120" t="n"/>
      <c r="C660" s="120" t="n"/>
      <c r="D660" s="121" t="n"/>
      <c r="E660" s="120" t="n"/>
      <c r="F660" s="120" t="n"/>
      <c r="G660" s="121" t="n"/>
      <c r="H660" s="121" t="n"/>
      <c r="I660" s="121" t="n"/>
      <c r="J660" s="116" t="n"/>
      <c r="K660" s="116" t="n"/>
      <c r="L660" s="116" t="n"/>
      <c r="M660" s="116" t="n"/>
      <c r="N660" s="116" t="n"/>
      <c r="O660" s="116" t="n"/>
    </row>
    <row r="661" ht="14.25" customHeight="1" s="64">
      <c r="A661" s="120" t="n"/>
      <c r="B661" s="120" t="n"/>
      <c r="C661" s="120" t="n"/>
      <c r="D661" s="121" t="n"/>
      <c r="E661" s="120" t="n"/>
      <c r="F661" s="120" t="n"/>
      <c r="G661" s="121" t="n"/>
      <c r="H661" s="121" t="n"/>
      <c r="I661" s="121" t="n"/>
      <c r="J661" s="116" t="n"/>
      <c r="K661" s="116" t="n"/>
      <c r="L661" s="116" t="n"/>
      <c r="M661" s="116" t="n"/>
      <c r="N661" s="116" t="n"/>
      <c r="O661" s="116" t="n"/>
    </row>
    <row r="662" ht="14.25" customHeight="1" s="64">
      <c r="A662" s="120" t="n"/>
      <c r="B662" s="120" t="n"/>
      <c r="C662" s="120" t="n"/>
      <c r="D662" s="121" t="n"/>
      <c r="E662" s="120" t="n"/>
      <c r="F662" s="120" t="n"/>
      <c r="G662" s="121" t="n"/>
      <c r="H662" s="121" t="n"/>
      <c r="I662" s="121" t="n"/>
      <c r="J662" s="116" t="n"/>
      <c r="K662" s="116" t="n"/>
      <c r="L662" s="116" t="n"/>
      <c r="M662" s="116" t="n"/>
      <c r="N662" s="116" t="n"/>
      <c r="O662" s="116" t="n"/>
    </row>
    <row r="663" ht="14.25" customHeight="1" s="64">
      <c r="A663" s="120" t="n"/>
      <c r="B663" s="120" t="n"/>
      <c r="C663" s="120" t="n"/>
      <c r="D663" s="121" t="n"/>
      <c r="E663" s="120" t="n"/>
      <c r="F663" s="120" t="n"/>
      <c r="G663" s="121" t="n"/>
      <c r="H663" s="121" t="n"/>
      <c r="I663" s="121" t="n"/>
      <c r="J663" s="116" t="n"/>
      <c r="K663" s="116" t="n"/>
      <c r="L663" s="116" t="n"/>
      <c r="M663" s="116" t="n"/>
      <c r="N663" s="116" t="n"/>
      <c r="O663" s="116" t="n"/>
    </row>
    <row r="664" ht="14.25" customHeight="1" s="64">
      <c r="A664" s="120" t="n"/>
      <c r="B664" s="120" t="n"/>
      <c r="C664" s="120" t="n"/>
      <c r="D664" s="121" t="n"/>
      <c r="E664" s="120" t="n"/>
      <c r="F664" s="120" t="n"/>
      <c r="G664" s="121" t="n"/>
      <c r="H664" s="121" t="n"/>
      <c r="I664" s="121" t="n"/>
      <c r="J664" s="116" t="n"/>
      <c r="K664" s="116" t="n"/>
      <c r="L664" s="116" t="n"/>
      <c r="M664" s="116" t="n"/>
      <c r="N664" s="116" t="n"/>
      <c r="O664" s="116" t="n"/>
    </row>
    <row r="665" ht="14.25" customHeight="1" s="64">
      <c r="A665" s="120" t="n"/>
      <c r="B665" s="120" t="n"/>
      <c r="C665" s="120" t="n"/>
      <c r="D665" s="121" t="n"/>
      <c r="E665" s="120" t="n"/>
      <c r="F665" s="120" t="n"/>
      <c r="G665" s="121" t="n"/>
      <c r="H665" s="121" t="n"/>
      <c r="I665" s="121" t="n"/>
      <c r="J665" s="116" t="n"/>
      <c r="K665" s="116" t="n"/>
      <c r="L665" s="116" t="n"/>
      <c r="M665" s="116" t="n"/>
      <c r="N665" s="116" t="n"/>
      <c r="O665" s="116" t="n"/>
    </row>
    <row r="666" ht="14.25" customHeight="1" s="64">
      <c r="A666" s="120" t="n"/>
      <c r="B666" s="120" t="n"/>
      <c r="C666" s="120" t="n"/>
      <c r="D666" s="121" t="n"/>
      <c r="E666" s="120" t="n"/>
      <c r="F666" s="120" t="n"/>
      <c r="G666" s="121" t="n"/>
      <c r="H666" s="121" t="n"/>
      <c r="I666" s="121" t="n"/>
      <c r="J666" s="116" t="n"/>
      <c r="K666" s="116" t="n"/>
      <c r="L666" s="116" t="n"/>
      <c r="M666" s="116" t="n"/>
      <c r="N666" s="116" t="n"/>
      <c r="O666" s="116" t="n"/>
    </row>
    <row r="667" ht="14.25" customHeight="1" s="64">
      <c r="A667" s="120" t="n"/>
      <c r="B667" s="120" t="n"/>
      <c r="C667" s="120" t="n"/>
      <c r="D667" s="121" t="n"/>
      <c r="E667" s="120" t="n"/>
      <c r="F667" s="120" t="n"/>
      <c r="G667" s="121" t="n"/>
      <c r="H667" s="121" t="n"/>
      <c r="I667" s="121" t="n"/>
      <c r="J667" s="116" t="n"/>
      <c r="K667" s="116" t="n"/>
      <c r="L667" s="116" t="n"/>
      <c r="M667" s="116" t="n"/>
      <c r="N667" s="116" t="n"/>
      <c r="O667" s="116" t="n"/>
    </row>
    <row r="668" ht="14.25" customHeight="1" s="64">
      <c r="A668" s="120" t="n"/>
      <c r="B668" s="120" t="n"/>
      <c r="C668" s="120" t="n"/>
      <c r="D668" s="121" t="n"/>
      <c r="E668" s="120" t="n"/>
      <c r="F668" s="120" t="n"/>
      <c r="G668" s="121" t="n"/>
      <c r="H668" s="121" t="n"/>
      <c r="I668" s="121" t="n"/>
      <c r="J668" s="116" t="n"/>
      <c r="K668" s="116" t="n"/>
      <c r="L668" s="116" t="n"/>
      <c r="M668" s="116" t="n"/>
      <c r="N668" s="116" t="n"/>
      <c r="O668" s="116" t="n"/>
    </row>
    <row r="669" ht="14.25" customHeight="1" s="64">
      <c r="A669" s="120" t="n"/>
      <c r="B669" s="120" t="n"/>
      <c r="C669" s="120" t="n"/>
      <c r="D669" s="121" t="n"/>
      <c r="E669" s="120" t="n"/>
      <c r="F669" s="120" t="n"/>
      <c r="G669" s="121" t="n"/>
      <c r="H669" s="121" t="n"/>
      <c r="I669" s="121" t="n"/>
      <c r="J669" s="116" t="n"/>
      <c r="K669" s="116" t="n"/>
      <c r="L669" s="116" t="n"/>
      <c r="M669" s="116" t="n"/>
      <c r="N669" s="116" t="n"/>
      <c r="O669" s="116" t="n"/>
    </row>
    <row r="670" ht="14.25" customHeight="1" s="64">
      <c r="A670" s="120" t="n"/>
      <c r="B670" s="120" t="n"/>
      <c r="C670" s="120" t="n"/>
      <c r="D670" s="121" t="n"/>
      <c r="E670" s="120" t="n"/>
      <c r="F670" s="120" t="n"/>
      <c r="G670" s="121" t="n"/>
      <c r="H670" s="121" t="n"/>
      <c r="I670" s="121" t="n"/>
      <c r="J670" s="116" t="n"/>
      <c r="K670" s="116" t="n"/>
      <c r="L670" s="116" t="n"/>
      <c r="M670" s="116" t="n"/>
      <c r="N670" s="116" t="n"/>
      <c r="O670" s="116" t="n"/>
    </row>
    <row r="671" ht="14.25" customHeight="1" s="64">
      <c r="A671" s="120" t="n"/>
      <c r="B671" s="120" t="n"/>
      <c r="C671" s="120" t="n"/>
      <c r="D671" s="121" t="n"/>
      <c r="E671" s="120" t="n"/>
      <c r="F671" s="120" t="n"/>
      <c r="G671" s="121" t="n"/>
      <c r="H671" s="121" t="n"/>
      <c r="I671" s="121" t="n"/>
      <c r="J671" s="116" t="n"/>
      <c r="K671" s="116" t="n"/>
      <c r="L671" s="116" t="n"/>
      <c r="M671" s="116" t="n"/>
      <c r="N671" s="116" t="n"/>
      <c r="O671" s="116" t="n"/>
    </row>
    <row r="672" ht="14.25" customHeight="1" s="64">
      <c r="A672" s="120" t="n"/>
      <c r="B672" s="120" t="n"/>
      <c r="C672" s="120" t="n"/>
      <c r="D672" s="121" t="n"/>
      <c r="E672" s="120" t="n"/>
      <c r="F672" s="120" t="n"/>
      <c r="G672" s="121" t="n"/>
      <c r="H672" s="121" t="n"/>
      <c r="I672" s="121" t="n"/>
      <c r="J672" s="116" t="n"/>
      <c r="K672" s="116" t="n"/>
      <c r="L672" s="116" t="n"/>
      <c r="M672" s="116" t="n"/>
      <c r="N672" s="116" t="n"/>
      <c r="O672" s="116" t="n"/>
    </row>
    <row r="673" ht="14.25" customHeight="1" s="64">
      <c r="A673" s="120" t="n"/>
      <c r="B673" s="120" t="n"/>
      <c r="C673" s="120" t="n"/>
      <c r="D673" s="121" t="n"/>
      <c r="E673" s="120" t="n"/>
      <c r="F673" s="120" t="n"/>
      <c r="G673" s="121" t="n"/>
      <c r="H673" s="121" t="n"/>
      <c r="I673" s="121" t="n"/>
      <c r="J673" s="116" t="n"/>
      <c r="K673" s="116" t="n"/>
      <c r="L673" s="116" t="n"/>
      <c r="M673" s="116" t="n"/>
      <c r="N673" s="116" t="n"/>
      <c r="O673" s="116" t="n"/>
    </row>
    <row r="674" ht="14.25" customHeight="1" s="64">
      <c r="A674" s="120" t="n"/>
      <c r="B674" s="120" t="n"/>
      <c r="C674" s="120" t="n"/>
      <c r="D674" s="121" t="n"/>
      <c r="E674" s="120" t="n"/>
      <c r="F674" s="120" t="n"/>
      <c r="G674" s="121" t="n"/>
      <c r="H674" s="121" t="n"/>
      <c r="I674" s="121" t="n"/>
      <c r="J674" s="116" t="n"/>
      <c r="K674" s="116" t="n"/>
      <c r="L674" s="116" t="n"/>
      <c r="M674" s="116" t="n"/>
      <c r="N674" s="116" t="n"/>
      <c r="O674" s="116" t="n"/>
    </row>
    <row r="675" ht="14.25" customHeight="1" s="64">
      <c r="A675" s="120" t="n"/>
      <c r="B675" s="120" t="n"/>
      <c r="C675" s="120" t="n"/>
      <c r="D675" s="121" t="n"/>
      <c r="E675" s="120" t="n"/>
      <c r="F675" s="120" t="n"/>
      <c r="G675" s="121" t="n"/>
      <c r="H675" s="121" t="n"/>
      <c r="I675" s="121" t="n"/>
      <c r="J675" s="116" t="n"/>
      <c r="K675" s="116" t="n"/>
      <c r="L675" s="116" t="n"/>
      <c r="M675" s="116" t="n"/>
      <c r="N675" s="116" t="n"/>
      <c r="O675" s="116" t="n"/>
    </row>
    <row r="676" ht="14.25" customHeight="1" s="64">
      <c r="A676" s="120" t="n"/>
      <c r="B676" s="120" t="n"/>
      <c r="C676" s="120" t="n"/>
      <c r="D676" s="121" t="n"/>
      <c r="E676" s="120" t="n"/>
      <c r="F676" s="120" t="n"/>
      <c r="G676" s="121" t="n"/>
      <c r="H676" s="121" t="n"/>
      <c r="I676" s="121" t="n"/>
      <c r="J676" s="116" t="n"/>
      <c r="K676" s="116" t="n"/>
      <c r="L676" s="116" t="n"/>
      <c r="M676" s="116" t="n"/>
      <c r="N676" s="116" t="n"/>
      <c r="O676" s="116" t="n"/>
    </row>
    <row r="677" ht="14.25" customHeight="1" s="64">
      <c r="A677" s="120" t="n"/>
      <c r="B677" s="120" t="n"/>
      <c r="C677" s="120" t="n"/>
      <c r="D677" s="121" t="n"/>
      <c r="E677" s="120" t="n"/>
      <c r="F677" s="120" t="n"/>
      <c r="G677" s="121" t="n"/>
      <c r="H677" s="121" t="n"/>
      <c r="I677" s="121" t="n"/>
      <c r="J677" s="116" t="n"/>
      <c r="K677" s="116" t="n"/>
      <c r="L677" s="116" t="n"/>
      <c r="M677" s="116" t="n"/>
      <c r="N677" s="116" t="n"/>
      <c r="O677" s="116" t="n"/>
    </row>
    <row r="678" ht="14.25" customHeight="1" s="64">
      <c r="A678" s="120" t="n"/>
      <c r="B678" s="120" t="n"/>
      <c r="C678" s="120" t="n"/>
      <c r="D678" s="121" t="n"/>
      <c r="E678" s="120" t="n"/>
      <c r="F678" s="120" t="n"/>
      <c r="G678" s="121" t="n"/>
      <c r="H678" s="121" t="n"/>
      <c r="I678" s="121" t="n"/>
      <c r="J678" s="116" t="n"/>
      <c r="K678" s="116" t="n"/>
      <c r="L678" s="116" t="n"/>
      <c r="M678" s="116" t="n"/>
      <c r="N678" s="116" t="n"/>
      <c r="O678" s="116" t="n"/>
    </row>
    <row r="679" ht="14.25" customHeight="1" s="64">
      <c r="A679" s="120" t="n"/>
      <c r="B679" s="120" t="n"/>
      <c r="C679" s="120" t="n"/>
      <c r="D679" s="121" t="n"/>
      <c r="E679" s="120" t="n"/>
      <c r="F679" s="120" t="n"/>
      <c r="G679" s="121" t="n"/>
      <c r="H679" s="121" t="n"/>
      <c r="I679" s="121" t="n"/>
      <c r="J679" s="116" t="n"/>
      <c r="K679" s="116" t="n"/>
      <c r="L679" s="116" t="n"/>
      <c r="M679" s="116" t="n"/>
      <c r="N679" s="116" t="n"/>
      <c r="O679" s="116" t="n"/>
    </row>
    <row r="680" ht="14.25" customHeight="1" s="64">
      <c r="A680" s="120" t="n"/>
      <c r="B680" s="120" t="n"/>
      <c r="C680" s="120" t="n"/>
      <c r="D680" s="121" t="n"/>
      <c r="E680" s="120" t="n"/>
      <c r="F680" s="120" t="n"/>
      <c r="G680" s="121" t="n"/>
      <c r="H680" s="121" t="n"/>
      <c r="I680" s="121" t="n"/>
      <c r="J680" s="116" t="n"/>
      <c r="K680" s="116" t="n"/>
      <c r="L680" s="116" t="n"/>
      <c r="M680" s="116" t="n"/>
      <c r="N680" s="116" t="n"/>
      <c r="O680" s="116" t="n"/>
    </row>
    <row r="681" ht="14.25" customHeight="1" s="64">
      <c r="A681" s="120" t="n"/>
      <c r="B681" s="120" t="n"/>
      <c r="C681" s="120" t="n"/>
      <c r="D681" s="121" t="n"/>
      <c r="E681" s="120" t="n"/>
      <c r="F681" s="120" t="n"/>
      <c r="G681" s="121" t="n"/>
      <c r="H681" s="121" t="n"/>
      <c r="I681" s="121" t="n"/>
      <c r="J681" s="116" t="n"/>
      <c r="K681" s="116" t="n"/>
      <c r="L681" s="116" t="n"/>
      <c r="M681" s="116" t="n"/>
      <c r="N681" s="116" t="n"/>
      <c r="O681" s="116" t="n"/>
    </row>
    <row r="682" ht="14.25" customHeight="1" s="64">
      <c r="A682" s="120" t="n"/>
      <c r="B682" s="120" t="n"/>
      <c r="C682" s="120" t="n"/>
      <c r="D682" s="121" t="n"/>
      <c r="E682" s="120" t="n"/>
      <c r="F682" s="120" t="n"/>
      <c r="G682" s="121" t="n"/>
      <c r="H682" s="121" t="n"/>
      <c r="I682" s="121" t="n"/>
      <c r="J682" s="116" t="n"/>
      <c r="K682" s="116" t="n"/>
      <c r="L682" s="116" t="n"/>
      <c r="M682" s="116" t="n"/>
      <c r="N682" s="116" t="n"/>
      <c r="O682" s="116" t="n"/>
    </row>
    <row r="683" ht="14.25" customHeight="1" s="64">
      <c r="A683" s="120" t="n"/>
      <c r="B683" s="120" t="n"/>
      <c r="C683" s="120" t="n"/>
      <c r="D683" s="121" t="n"/>
      <c r="E683" s="120" t="n"/>
      <c r="F683" s="120" t="n"/>
      <c r="G683" s="121" t="n"/>
      <c r="H683" s="121" t="n"/>
      <c r="I683" s="121" t="n"/>
      <c r="J683" s="116" t="n"/>
      <c r="K683" s="116" t="n"/>
      <c r="L683" s="116" t="n"/>
      <c r="M683" s="116" t="n"/>
      <c r="N683" s="116" t="n"/>
      <c r="O683" s="116" t="n"/>
    </row>
    <row r="684" ht="14.25" customHeight="1" s="64">
      <c r="A684" s="120" t="n"/>
      <c r="B684" s="120" t="n"/>
      <c r="C684" s="120" t="n"/>
      <c r="D684" s="121" t="n"/>
      <c r="E684" s="120" t="n"/>
      <c r="F684" s="120" t="n"/>
      <c r="G684" s="121" t="n"/>
      <c r="H684" s="121" t="n"/>
      <c r="I684" s="121" t="n"/>
      <c r="J684" s="116" t="n"/>
      <c r="K684" s="116" t="n"/>
      <c r="L684" s="116" t="n"/>
      <c r="M684" s="116" t="n"/>
      <c r="N684" s="116" t="n"/>
      <c r="O684" s="116" t="n"/>
    </row>
    <row r="685" ht="14.25" customHeight="1" s="64">
      <c r="A685" s="120" t="n"/>
      <c r="B685" s="120" t="n"/>
      <c r="C685" s="120" t="n"/>
      <c r="D685" s="121" t="n"/>
      <c r="E685" s="120" t="n"/>
      <c r="F685" s="120" t="n"/>
      <c r="G685" s="121" t="n"/>
      <c r="H685" s="121" t="n"/>
      <c r="I685" s="121" t="n"/>
      <c r="J685" s="116" t="n"/>
      <c r="K685" s="116" t="n"/>
      <c r="L685" s="116" t="n"/>
      <c r="M685" s="116" t="n"/>
      <c r="N685" s="116" t="n"/>
      <c r="O685" s="116" t="n"/>
    </row>
    <row r="686" ht="14.25" customHeight="1" s="64">
      <c r="A686" s="120" t="n"/>
      <c r="B686" s="120" t="n"/>
      <c r="C686" s="120" t="n"/>
      <c r="D686" s="121" t="n"/>
      <c r="E686" s="120" t="n"/>
      <c r="F686" s="120" t="n"/>
      <c r="G686" s="121" t="n"/>
      <c r="H686" s="121" t="n"/>
      <c r="I686" s="121" t="n"/>
      <c r="J686" s="116" t="n"/>
      <c r="K686" s="116" t="n"/>
      <c r="L686" s="116" t="n"/>
      <c r="M686" s="116" t="n"/>
      <c r="N686" s="116" t="n"/>
      <c r="O686" s="116" t="n"/>
    </row>
    <row r="687" ht="14.25" customHeight="1" s="64">
      <c r="A687" s="120" t="n"/>
      <c r="B687" s="120" t="n"/>
      <c r="C687" s="120" t="n"/>
      <c r="D687" s="121" t="n"/>
      <c r="E687" s="120" t="n"/>
      <c r="F687" s="120" t="n"/>
      <c r="G687" s="121" t="n"/>
      <c r="H687" s="121" t="n"/>
      <c r="I687" s="121" t="n"/>
      <c r="J687" s="116" t="n"/>
      <c r="K687" s="116" t="n"/>
      <c r="L687" s="116" t="n"/>
      <c r="M687" s="116" t="n"/>
      <c r="N687" s="116" t="n"/>
      <c r="O687" s="116" t="n"/>
    </row>
    <row r="688" ht="14.25" customHeight="1" s="64">
      <c r="A688" s="120" t="n"/>
      <c r="B688" s="120" t="n"/>
      <c r="C688" s="120" t="n"/>
      <c r="D688" s="121" t="n"/>
      <c r="E688" s="120" t="n"/>
      <c r="F688" s="120" t="n"/>
      <c r="G688" s="121" t="n"/>
      <c r="H688" s="121" t="n"/>
      <c r="I688" s="121" t="n"/>
      <c r="J688" s="116" t="n"/>
      <c r="K688" s="116" t="n"/>
      <c r="L688" s="116" t="n"/>
      <c r="M688" s="116" t="n"/>
      <c r="N688" s="116" t="n"/>
      <c r="O688" s="116" t="n"/>
    </row>
    <row r="689" ht="14.25" customHeight="1" s="64">
      <c r="A689" s="120" t="n"/>
      <c r="B689" s="120" t="n"/>
      <c r="C689" s="120" t="n"/>
      <c r="D689" s="121" t="n"/>
      <c r="E689" s="120" t="n"/>
      <c r="F689" s="120" t="n"/>
      <c r="G689" s="121" t="n"/>
      <c r="H689" s="121" t="n"/>
      <c r="I689" s="121" t="n"/>
      <c r="J689" s="116" t="n"/>
      <c r="K689" s="116" t="n"/>
      <c r="L689" s="116" t="n"/>
      <c r="M689" s="116" t="n"/>
      <c r="N689" s="116" t="n"/>
      <c r="O689" s="116" t="n"/>
    </row>
    <row r="690" ht="14.25" customHeight="1" s="64">
      <c r="A690" s="120" t="n"/>
      <c r="B690" s="120" t="n"/>
      <c r="C690" s="120" t="n"/>
      <c r="D690" s="121" t="n"/>
      <c r="E690" s="120" t="n"/>
      <c r="F690" s="120" t="n"/>
      <c r="G690" s="121" t="n"/>
      <c r="H690" s="121" t="n"/>
      <c r="I690" s="121" t="n"/>
      <c r="J690" s="116" t="n"/>
      <c r="K690" s="116" t="n"/>
      <c r="L690" s="116" t="n"/>
      <c r="M690" s="116" t="n"/>
      <c r="N690" s="116" t="n"/>
      <c r="O690" s="116" t="n"/>
    </row>
    <row r="691" ht="14.25" customHeight="1" s="64">
      <c r="A691" s="120" t="n"/>
      <c r="B691" s="120" t="n"/>
      <c r="C691" s="120" t="n"/>
      <c r="D691" s="121" t="n"/>
      <c r="E691" s="120" t="n"/>
      <c r="F691" s="120" t="n"/>
      <c r="G691" s="121" t="n"/>
      <c r="H691" s="121" t="n"/>
      <c r="I691" s="121" t="n"/>
      <c r="J691" s="116" t="n"/>
      <c r="K691" s="116" t="n"/>
      <c r="L691" s="116" t="n"/>
      <c r="M691" s="116" t="n"/>
      <c r="N691" s="116" t="n"/>
      <c r="O691" s="116" t="n"/>
    </row>
    <row r="692" ht="14.25" customHeight="1" s="64">
      <c r="A692" s="120" t="n"/>
      <c r="B692" s="120" t="n"/>
      <c r="C692" s="120" t="n"/>
      <c r="D692" s="121" t="n"/>
      <c r="E692" s="120" t="n"/>
      <c r="F692" s="120" t="n"/>
      <c r="G692" s="121" t="n"/>
      <c r="H692" s="121" t="n"/>
      <c r="I692" s="121" t="n"/>
      <c r="J692" s="116" t="n"/>
      <c r="K692" s="116" t="n"/>
      <c r="L692" s="116" t="n"/>
      <c r="M692" s="116" t="n"/>
      <c r="N692" s="116" t="n"/>
      <c r="O692" s="116" t="n"/>
    </row>
    <row r="693" ht="14.25" customHeight="1" s="64">
      <c r="A693" s="120" t="n"/>
      <c r="B693" s="120" t="n"/>
      <c r="C693" s="120" t="n"/>
      <c r="D693" s="121" t="n"/>
      <c r="E693" s="120" t="n"/>
      <c r="F693" s="120" t="n"/>
      <c r="G693" s="121" t="n"/>
      <c r="H693" s="121" t="n"/>
      <c r="I693" s="121" t="n"/>
      <c r="J693" s="116" t="n"/>
      <c r="K693" s="116" t="n"/>
      <c r="L693" s="116" t="n"/>
      <c r="M693" s="116" t="n"/>
      <c r="N693" s="116" t="n"/>
      <c r="O693" s="116" t="n"/>
    </row>
    <row r="694" ht="14.25" customHeight="1" s="64">
      <c r="A694" s="120" t="n"/>
      <c r="B694" s="120" t="n"/>
      <c r="C694" s="120" t="n"/>
      <c r="D694" s="121" t="n"/>
      <c r="E694" s="120" t="n"/>
      <c r="F694" s="120" t="n"/>
      <c r="G694" s="121" t="n"/>
      <c r="H694" s="121" t="n"/>
      <c r="I694" s="121" t="n"/>
      <c r="J694" s="116" t="n"/>
      <c r="K694" s="116" t="n"/>
      <c r="L694" s="116" t="n"/>
      <c r="M694" s="116" t="n"/>
      <c r="N694" s="116" t="n"/>
      <c r="O694" s="116" t="n"/>
    </row>
    <row r="695" ht="14.25" customHeight="1" s="64">
      <c r="A695" s="120" t="n"/>
      <c r="B695" s="120" t="n"/>
      <c r="C695" s="120" t="n"/>
      <c r="D695" s="121" t="n"/>
      <c r="E695" s="120" t="n"/>
      <c r="F695" s="120" t="n"/>
      <c r="G695" s="121" t="n"/>
      <c r="H695" s="121" t="n"/>
      <c r="I695" s="121" t="n"/>
      <c r="J695" s="116" t="n"/>
      <c r="K695" s="116" t="n"/>
      <c r="L695" s="116" t="n"/>
      <c r="M695" s="116" t="n"/>
      <c r="N695" s="116" t="n"/>
      <c r="O695" s="116" t="n"/>
    </row>
    <row r="696" ht="14.25" customHeight="1" s="64">
      <c r="A696" s="120" t="n"/>
      <c r="B696" s="120" t="n"/>
      <c r="C696" s="120" t="n"/>
      <c r="D696" s="121" t="n"/>
      <c r="E696" s="120" t="n"/>
      <c r="F696" s="120" t="n"/>
      <c r="G696" s="121" t="n"/>
      <c r="H696" s="121" t="n"/>
      <c r="I696" s="121" t="n"/>
      <c r="J696" s="116" t="n"/>
      <c r="K696" s="116" t="n"/>
      <c r="L696" s="116" t="n"/>
      <c r="M696" s="116" t="n"/>
      <c r="N696" s="116" t="n"/>
      <c r="O696" s="116" t="n"/>
    </row>
    <row r="697" ht="14.25" customHeight="1" s="64">
      <c r="A697" s="120" t="n"/>
      <c r="B697" s="120" t="n"/>
      <c r="C697" s="120" t="n"/>
      <c r="D697" s="121" t="n"/>
      <c r="E697" s="120" t="n"/>
      <c r="F697" s="120" t="n"/>
      <c r="G697" s="121" t="n"/>
      <c r="H697" s="121" t="n"/>
      <c r="I697" s="121" t="n"/>
      <c r="J697" s="116" t="n"/>
      <c r="K697" s="116" t="n"/>
      <c r="L697" s="116" t="n"/>
      <c r="M697" s="116" t="n"/>
      <c r="N697" s="116" t="n"/>
      <c r="O697" s="116" t="n"/>
    </row>
    <row r="698" ht="14.25" customHeight="1" s="64">
      <c r="A698" s="120" t="n"/>
      <c r="B698" s="120" t="n"/>
      <c r="C698" s="120" t="n"/>
      <c r="D698" s="121" t="n"/>
      <c r="E698" s="120" t="n"/>
      <c r="F698" s="120" t="n"/>
      <c r="G698" s="121" t="n"/>
      <c r="H698" s="121" t="n"/>
      <c r="I698" s="121" t="n"/>
      <c r="J698" s="116" t="n"/>
      <c r="K698" s="116" t="n"/>
      <c r="L698" s="116" t="n"/>
      <c r="M698" s="116" t="n"/>
      <c r="N698" s="116" t="n"/>
      <c r="O698" s="116" t="n"/>
    </row>
    <row r="699" ht="14.25" customHeight="1" s="64">
      <c r="A699" s="120" t="n"/>
      <c r="B699" s="120" t="n"/>
      <c r="C699" s="120" t="n"/>
      <c r="D699" s="121" t="n"/>
      <c r="E699" s="120" t="n"/>
      <c r="F699" s="120" t="n"/>
      <c r="G699" s="121" t="n"/>
      <c r="H699" s="121" t="n"/>
      <c r="I699" s="121" t="n"/>
      <c r="J699" s="116" t="n"/>
      <c r="K699" s="116" t="n"/>
      <c r="L699" s="116" t="n"/>
      <c r="M699" s="116" t="n"/>
      <c r="N699" s="116" t="n"/>
      <c r="O699" s="116" t="n"/>
    </row>
    <row r="700" ht="14.25" customHeight="1" s="64">
      <c r="A700" s="120" t="n"/>
      <c r="B700" s="120" t="n"/>
      <c r="C700" s="120" t="n"/>
      <c r="D700" s="121" t="n"/>
      <c r="E700" s="120" t="n"/>
      <c r="F700" s="120" t="n"/>
      <c r="G700" s="121" t="n"/>
      <c r="H700" s="121" t="n"/>
      <c r="I700" s="121" t="n"/>
      <c r="J700" s="116" t="n"/>
      <c r="K700" s="116" t="n"/>
      <c r="L700" s="116" t="n"/>
      <c r="M700" s="116" t="n"/>
      <c r="N700" s="116" t="n"/>
      <c r="O700" s="116" t="n"/>
    </row>
    <row r="701" ht="14.25" customHeight="1" s="64">
      <c r="A701" s="120" t="n"/>
      <c r="B701" s="120" t="n"/>
      <c r="C701" s="120" t="n"/>
      <c r="D701" s="121" t="n"/>
      <c r="E701" s="120" t="n"/>
      <c r="F701" s="120" t="n"/>
      <c r="G701" s="121" t="n"/>
      <c r="H701" s="121" t="n"/>
      <c r="I701" s="121" t="n"/>
      <c r="J701" s="116" t="n"/>
      <c r="K701" s="116" t="n"/>
      <c r="L701" s="116" t="n"/>
      <c r="M701" s="116" t="n"/>
      <c r="N701" s="116" t="n"/>
      <c r="O701" s="116" t="n"/>
    </row>
    <row r="702" ht="14.25" customHeight="1" s="64">
      <c r="A702" s="120" t="n"/>
      <c r="B702" s="120" t="n"/>
      <c r="C702" s="120" t="n"/>
      <c r="D702" s="121" t="n"/>
      <c r="E702" s="120" t="n"/>
      <c r="F702" s="120" t="n"/>
      <c r="G702" s="121" t="n"/>
      <c r="H702" s="121" t="n"/>
      <c r="I702" s="121" t="n"/>
      <c r="J702" s="116" t="n"/>
      <c r="K702" s="116" t="n"/>
      <c r="L702" s="116" t="n"/>
      <c r="M702" s="116" t="n"/>
      <c r="N702" s="116" t="n"/>
      <c r="O702" s="116" t="n"/>
    </row>
    <row r="703" ht="14.25" customHeight="1" s="64">
      <c r="A703" s="120" t="n"/>
      <c r="B703" s="120" t="n"/>
      <c r="C703" s="120" t="n"/>
      <c r="D703" s="121" t="n"/>
      <c r="E703" s="120" t="n"/>
      <c r="F703" s="120" t="n"/>
      <c r="G703" s="121" t="n"/>
      <c r="H703" s="121" t="n"/>
      <c r="I703" s="121" t="n"/>
      <c r="J703" s="116" t="n"/>
      <c r="K703" s="116" t="n"/>
      <c r="L703" s="116" t="n"/>
      <c r="M703" s="116" t="n"/>
      <c r="N703" s="116" t="n"/>
      <c r="O703" s="116" t="n"/>
    </row>
    <row r="704" ht="14.25" customHeight="1" s="64">
      <c r="A704" s="120" t="n"/>
      <c r="B704" s="120" t="n"/>
      <c r="C704" s="120" t="n"/>
      <c r="D704" s="121" t="n"/>
      <c r="E704" s="120" t="n"/>
      <c r="F704" s="120" t="n"/>
      <c r="G704" s="121" t="n"/>
      <c r="H704" s="121" t="n"/>
      <c r="I704" s="121" t="n"/>
      <c r="J704" s="116" t="n"/>
      <c r="K704" s="116" t="n"/>
      <c r="L704" s="116" t="n"/>
      <c r="M704" s="116" t="n"/>
      <c r="N704" s="116" t="n"/>
      <c r="O704" s="116" t="n"/>
    </row>
    <row r="705" ht="14.25" customHeight="1" s="64">
      <c r="A705" s="120" t="n"/>
      <c r="B705" s="120" t="n"/>
      <c r="C705" s="120" t="n"/>
      <c r="D705" s="121" t="n"/>
      <c r="E705" s="120" t="n"/>
      <c r="F705" s="120" t="n"/>
      <c r="G705" s="121" t="n"/>
      <c r="H705" s="121" t="n"/>
      <c r="I705" s="121" t="n"/>
      <c r="J705" s="116" t="n"/>
      <c r="K705" s="116" t="n"/>
      <c r="L705" s="116" t="n"/>
      <c r="M705" s="116" t="n"/>
      <c r="N705" s="116" t="n"/>
      <c r="O705" s="116" t="n"/>
    </row>
    <row r="706" ht="14.25" customHeight="1" s="64">
      <c r="A706" s="120" t="n"/>
      <c r="B706" s="120" t="n"/>
      <c r="C706" s="120" t="n"/>
      <c r="D706" s="121" t="n"/>
      <c r="E706" s="120" t="n"/>
      <c r="F706" s="120" t="n"/>
      <c r="G706" s="121" t="n"/>
      <c r="H706" s="121" t="n"/>
      <c r="I706" s="121" t="n"/>
      <c r="J706" s="116" t="n"/>
      <c r="K706" s="116" t="n"/>
      <c r="L706" s="116" t="n"/>
      <c r="M706" s="116" t="n"/>
      <c r="N706" s="116" t="n"/>
      <c r="O706" s="116" t="n"/>
    </row>
    <row r="707" ht="14.25" customHeight="1" s="64">
      <c r="A707" s="120" t="n"/>
      <c r="B707" s="120" t="n"/>
      <c r="C707" s="120" t="n"/>
      <c r="D707" s="121" t="n"/>
      <c r="E707" s="120" t="n"/>
      <c r="F707" s="120" t="n"/>
      <c r="G707" s="121" t="n"/>
      <c r="H707" s="121" t="n"/>
      <c r="I707" s="121" t="n"/>
      <c r="J707" s="116" t="n"/>
      <c r="K707" s="116" t="n"/>
      <c r="L707" s="116" t="n"/>
      <c r="M707" s="116" t="n"/>
      <c r="N707" s="116" t="n"/>
      <c r="O707" s="116" t="n"/>
    </row>
    <row r="708" ht="14.25" customHeight="1" s="64">
      <c r="A708" s="120" t="n"/>
      <c r="B708" s="120" t="n"/>
      <c r="C708" s="120" t="n"/>
      <c r="D708" s="121" t="n"/>
      <c r="E708" s="120" t="n"/>
      <c r="F708" s="120" t="n"/>
      <c r="G708" s="121" t="n"/>
      <c r="H708" s="121" t="n"/>
      <c r="I708" s="121" t="n"/>
      <c r="J708" s="116" t="n"/>
      <c r="K708" s="116" t="n"/>
      <c r="L708" s="116" t="n"/>
      <c r="M708" s="116" t="n"/>
      <c r="N708" s="116" t="n"/>
      <c r="O708" s="116" t="n"/>
    </row>
    <row r="709" ht="14.25" customHeight="1" s="64">
      <c r="A709" s="120" t="n"/>
      <c r="B709" s="120" t="n"/>
      <c r="C709" s="120" t="n"/>
      <c r="D709" s="121" t="n"/>
      <c r="E709" s="120" t="n"/>
      <c r="F709" s="120" t="n"/>
      <c r="G709" s="121" t="n"/>
      <c r="H709" s="121" t="n"/>
      <c r="I709" s="121" t="n"/>
      <c r="J709" s="116" t="n"/>
      <c r="K709" s="116" t="n"/>
      <c r="L709" s="116" t="n"/>
      <c r="M709" s="116" t="n"/>
      <c r="N709" s="116" t="n"/>
      <c r="O709" s="116" t="n"/>
    </row>
    <row r="710" ht="14.25" customHeight="1" s="64">
      <c r="A710" s="120" t="n"/>
      <c r="B710" s="120" t="n"/>
      <c r="C710" s="120" t="n"/>
      <c r="D710" s="121" t="n"/>
      <c r="E710" s="120" t="n"/>
      <c r="F710" s="120" t="n"/>
      <c r="G710" s="121" t="n"/>
      <c r="H710" s="121" t="n"/>
      <c r="I710" s="121" t="n"/>
      <c r="J710" s="116" t="n"/>
      <c r="K710" s="116" t="n"/>
      <c r="L710" s="116" t="n"/>
      <c r="M710" s="116" t="n"/>
      <c r="N710" s="116" t="n"/>
      <c r="O710" s="116" t="n"/>
    </row>
    <row r="711" ht="14.25" customHeight="1" s="64">
      <c r="A711" s="120" t="n"/>
      <c r="B711" s="120" t="n"/>
      <c r="C711" s="120" t="n"/>
      <c r="D711" s="121" t="n"/>
      <c r="E711" s="120" t="n"/>
      <c r="F711" s="120" t="n"/>
      <c r="G711" s="121" t="n"/>
      <c r="H711" s="121" t="n"/>
      <c r="I711" s="121" t="n"/>
      <c r="J711" s="116" t="n"/>
      <c r="K711" s="116" t="n"/>
      <c r="L711" s="116" t="n"/>
      <c r="M711" s="116" t="n"/>
      <c r="N711" s="116" t="n"/>
      <c r="O711" s="116" t="n"/>
    </row>
    <row r="712" ht="14.25" customHeight="1" s="64">
      <c r="A712" s="120" t="n"/>
      <c r="B712" s="120" t="n"/>
      <c r="C712" s="120" t="n"/>
      <c r="D712" s="121" t="n"/>
      <c r="E712" s="120" t="n"/>
      <c r="F712" s="120" t="n"/>
      <c r="G712" s="121" t="n"/>
      <c r="H712" s="121" t="n"/>
      <c r="I712" s="121" t="n"/>
      <c r="J712" s="116" t="n"/>
      <c r="K712" s="116" t="n"/>
      <c r="L712" s="116" t="n"/>
      <c r="M712" s="116" t="n"/>
      <c r="N712" s="116" t="n"/>
      <c r="O712" s="116" t="n"/>
    </row>
    <row r="713" ht="14.25" customHeight="1" s="64">
      <c r="A713" s="120" t="n"/>
      <c r="B713" s="120" t="n"/>
      <c r="C713" s="120" t="n"/>
      <c r="D713" s="121" t="n"/>
      <c r="E713" s="120" t="n"/>
      <c r="F713" s="120" t="n"/>
      <c r="G713" s="121" t="n"/>
      <c r="H713" s="121" t="n"/>
      <c r="I713" s="121" t="n"/>
      <c r="J713" s="116" t="n"/>
      <c r="K713" s="116" t="n"/>
      <c r="L713" s="116" t="n"/>
      <c r="M713" s="116" t="n"/>
      <c r="N713" s="116" t="n"/>
      <c r="O713" s="116" t="n"/>
    </row>
    <row r="714" ht="14.25" customHeight="1" s="64">
      <c r="A714" s="120" t="n"/>
      <c r="B714" s="120" t="n"/>
      <c r="C714" s="120" t="n"/>
      <c r="D714" s="121" t="n"/>
      <c r="E714" s="120" t="n"/>
      <c r="F714" s="120" t="n"/>
      <c r="G714" s="121" t="n"/>
      <c r="H714" s="121" t="n"/>
      <c r="I714" s="121" t="n"/>
      <c r="J714" s="116" t="n"/>
      <c r="K714" s="116" t="n"/>
      <c r="L714" s="116" t="n"/>
      <c r="M714" s="116" t="n"/>
      <c r="N714" s="116" t="n"/>
      <c r="O714" s="116" t="n"/>
    </row>
    <row r="715" ht="14.25" customHeight="1" s="64">
      <c r="A715" s="120" t="n"/>
      <c r="B715" s="120" t="n"/>
      <c r="C715" s="120" t="n"/>
      <c r="D715" s="121" t="n"/>
      <c r="E715" s="120" t="n"/>
      <c r="F715" s="120" t="n"/>
      <c r="G715" s="121" t="n"/>
      <c r="H715" s="121" t="n"/>
      <c r="I715" s="121" t="n"/>
      <c r="J715" s="116" t="n"/>
      <c r="K715" s="116" t="n"/>
      <c r="L715" s="116" t="n"/>
      <c r="M715" s="116" t="n"/>
      <c r="N715" s="116" t="n"/>
      <c r="O715" s="116" t="n"/>
    </row>
    <row r="716" ht="14.25" customHeight="1" s="64">
      <c r="A716" s="120" t="n"/>
      <c r="B716" s="120" t="n"/>
      <c r="C716" s="120" t="n"/>
      <c r="D716" s="121" t="n"/>
      <c r="E716" s="120" t="n"/>
      <c r="F716" s="120" t="n"/>
      <c r="G716" s="121" t="n"/>
      <c r="H716" s="121" t="n"/>
      <c r="I716" s="121" t="n"/>
      <c r="J716" s="116" t="n"/>
      <c r="K716" s="116" t="n"/>
      <c r="L716" s="116" t="n"/>
      <c r="M716" s="116" t="n"/>
      <c r="N716" s="116" t="n"/>
      <c r="O716" s="116" t="n"/>
    </row>
    <row r="717" ht="14.25" customHeight="1" s="64">
      <c r="A717" s="120" t="n"/>
      <c r="B717" s="120" t="n"/>
      <c r="C717" s="120" t="n"/>
      <c r="D717" s="121" t="n"/>
      <c r="E717" s="120" t="n"/>
      <c r="F717" s="120" t="n"/>
      <c r="G717" s="121" t="n"/>
      <c r="H717" s="121" t="n"/>
      <c r="I717" s="121" t="n"/>
      <c r="J717" s="116" t="n"/>
      <c r="K717" s="116" t="n"/>
      <c r="L717" s="116" t="n"/>
      <c r="M717" s="116" t="n"/>
      <c r="N717" s="116" t="n"/>
      <c r="O717" s="116" t="n"/>
    </row>
    <row r="718" ht="14.25" customHeight="1" s="64">
      <c r="A718" s="120" t="n"/>
      <c r="B718" s="120" t="n"/>
      <c r="C718" s="120" t="n"/>
      <c r="D718" s="121" t="n"/>
      <c r="E718" s="120" t="n"/>
      <c r="F718" s="120" t="n"/>
      <c r="G718" s="121" t="n"/>
      <c r="H718" s="121" t="n"/>
      <c r="I718" s="121" t="n"/>
      <c r="J718" s="116" t="n"/>
      <c r="K718" s="116" t="n"/>
      <c r="L718" s="116" t="n"/>
      <c r="M718" s="116" t="n"/>
      <c r="N718" s="116" t="n"/>
      <c r="O718" s="116" t="n"/>
    </row>
    <row r="719" ht="14.25" customHeight="1" s="64">
      <c r="A719" s="120" t="n"/>
      <c r="B719" s="120" t="n"/>
      <c r="C719" s="120" t="n"/>
      <c r="D719" s="121" t="n"/>
      <c r="E719" s="120" t="n"/>
      <c r="F719" s="120" t="n"/>
      <c r="G719" s="121" t="n"/>
      <c r="H719" s="121" t="n"/>
      <c r="I719" s="121" t="n"/>
      <c r="J719" s="116" t="n"/>
      <c r="K719" s="116" t="n"/>
      <c r="L719" s="116" t="n"/>
      <c r="M719" s="116" t="n"/>
      <c r="N719" s="116" t="n"/>
      <c r="O719" s="116" t="n"/>
    </row>
    <row r="720" ht="14.25" customHeight="1" s="64">
      <c r="A720" s="120" t="n"/>
      <c r="B720" s="120" t="n"/>
      <c r="C720" s="120" t="n"/>
      <c r="D720" s="121" t="n"/>
      <c r="E720" s="120" t="n"/>
      <c r="F720" s="120" t="n"/>
      <c r="G720" s="121" t="n"/>
      <c r="H720" s="121" t="n"/>
      <c r="I720" s="121" t="n"/>
      <c r="J720" s="116" t="n"/>
      <c r="K720" s="116" t="n"/>
      <c r="L720" s="116" t="n"/>
      <c r="M720" s="116" t="n"/>
      <c r="N720" s="116" t="n"/>
      <c r="O720" s="116" t="n"/>
    </row>
    <row r="721" ht="14.25" customHeight="1" s="64">
      <c r="A721" s="120" t="n"/>
      <c r="B721" s="120" t="n"/>
      <c r="C721" s="120" t="n"/>
      <c r="D721" s="121" t="n"/>
      <c r="E721" s="120" t="n"/>
      <c r="F721" s="120" t="n"/>
      <c r="G721" s="121" t="n"/>
      <c r="H721" s="121" t="n"/>
      <c r="I721" s="121" t="n"/>
      <c r="J721" s="116" t="n"/>
      <c r="K721" s="116" t="n"/>
      <c r="L721" s="116" t="n"/>
      <c r="M721" s="116" t="n"/>
      <c r="N721" s="116" t="n"/>
      <c r="O721" s="116" t="n"/>
    </row>
    <row r="722" ht="14.25" customHeight="1" s="64">
      <c r="A722" s="120" t="n"/>
      <c r="B722" s="120" t="n"/>
      <c r="C722" s="120" t="n"/>
      <c r="D722" s="121" t="n"/>
      <c r="E722" s="120" t="n"/>
      <c r="F722" s="120" t="n"/>
      <c r="G722" s="121" t="n"/>
      <c r="H722" s="121" t="n"/>
      <c r="I722" s="121" t="n"/>
      <c r="J722" s="116" t="n"/>
      <c r="K722" s="116" t="n"/>
      <c r="L722" s="116" t="n"/>
      <c r="M722" s="116" t="n"/>
      <c r="N722" s="116" t="n"/>
      <c r="O722" s="116" t="n"/>
    </row>
    <row r="723" ht="14.25" customHeight="1" s="64">
      <c r="A723" s="120" t="n"/>
      <c r="B723" s="120" t="n"/>
      <c r="C723" s="120" t="n"/>
      <c r="D723" s="121" t="n"/>
      <c r="E723" s="120" t="n"/>
      <c r="F723" s="120" t="n"/>
      <c r="G723" s="121" t="n"/>
      <c r="H723" s="121" t="n"/>
      <c r="I723" s="121" t="n"/>
      <c r="J723" s="116" t="n"/>
      <c r="K723" s="116" t="n"/>
      <c r="L723" s="116" t="n"/>
      <c r="M723" s="116" t="n"/>
      <c r="N723" s="116" t="n"/>
      <c r="O723" s="116" t="n"/>
    </row>
    <row r="724" ht="14.25" customHeight="1" s="64">
      <c r="A724" s="120" t="n"/>
      <c r="B724" s="120" t="n"/>
      <c r="C724" s="120" t="n"/>
      <c r="D724" s="121" t="n"/>
      <c r="E724" s="120" t="n"/>
      <c r="F724" s="120" t="n"/>
      <c r="G724" s="121" t="n"/>
      <c r="H724" s="121" t="n"/>
      <c r="I724" s="121" t="n"/>
      <c r="J724" s="116" t="n"/>
      <c r="K724" s="116" t="n"/>
      <c r="L724" s="116" t="n"/>
      <c r="M724" s="116" t="n"/>
      <c r="N724" s="116" t="n"/>
      <c r="O724" s="116" t="n"/>
    </row>
    <row r="725" ht="14.25" customHeight="1" s="64">
      <c r="A725" s="120" t="n"/>
      <c r="B725" s="120" t="n"/>
      <c r="C725" s="120" t="n"/>
      <c r="D725" s="121" t="n"/>
      <c r="E725" s="120" t="n"/>
      <c r="F725" s="120" t="n"/>
      <c r="G725" s="121" t="n"/>
      <c r="H725" s="121" t="n"/>
      <c r="I725" s="121" t="n"/>
      <c r="J725" s="116" t="n"/>
      <c r="K725" s="116" t="n"/>
      <c r="L725" s="116" t="n"/>
      <c r="M725" s="116" t="n"/>
      <c r="N725" s="116" t="n"/>
      <c r="O725" s="116" t="n"/>
    </row>
    <row r="726" ht="14.25" customHeight="1" s="64">
      <c r="A726" s="120" t="n"/>
      <c r="B726" s="120" t="n"/>
      <c r="C726" s="120" t="n"/>
      <c r="D726" s="121" t="n"/>
      <c r="E726" s="120" t="n"/>
      <c r="F726" s="120" t="n"/>
      <c r="G726" s="121" t="n"/>
      <c r="H726" s="121" t="n"/>
      <c r="I726" s="121" t="n"/>
      <c r="J726" s="116" t="n"/>
      <c r="K726" s="116" t="n"/>
      <c r="L726" s="116" t="n"/>
      <c r="M726" s="116" t="n"/>
      <c r="N726" s="116" t="n"/>
      <c r="O726" s="116" t="n"/>
    </row>
    <row r="727" ht="14.25" customHeight="1" s="64">
      <c r="A727" s="120" t="n"/>
      <c r="B727" s="120" t="n"/>
      <c r="C727" s="120" t="n"/>
      <c r="D727" s="121" t="n"/>
      <c r="E727" s="120" t="n"/>
      <c r="F727" s="120" t="n"/>
      <c r="G727" s="121" t="n"/>
      <c r="H727" s="121" t="n"/>
      <c r="I727" s="121" t="n"/>
      <c r="J727" s="116" t="n"/>
      <c r="K727" s="116" t="n"/>
      <c r="L727" s="116" t="n"/>
      <c r="M727" s="116" t="n"/>
      <c r="N727" s="116" t="n"/>
      <c r="O727" s="116" t="n"/>
    </row>
    <row r="728" ht="14.25" customHeight="1" s="64">
      <c r="A728" s="120" t="n"/>
      <c r="B728" s="120" t="n"/>
      <c r="C728" s="120" t="n"/>
      <c r="D728" s="121" t="n"/>
      <c r="E728" s="120" t="n"/>
      <c r="F728" s="120" t="n"/>
      <c r="G728" s="121" t="n"/>
      <c r="H728" s="121" t="n"/>
      <c r="I728" s="121" t="n"/>
      <c r="J728" s="116" t="n"/>
      <c r="K728" s="116" t="n"/>
      <c r="L728" s="116" t="n"/>
      <c r="M728" s="116" t="n"/>
      <c r="N728" s="116" t="n"/>
      <c r="O728" s="116" t="n"/>
    </row>
    <row r="729" ht="14.25" customHeight="1" s="64">
      <c r="A729" s="120" t="n"/>
      <c r="B729" s="120" t="n"/>
      <c r="C729" s="120" t="n"/>
      <c r="D729" s="121" t="n"/>
      <c r="E729" s="120" t="n"/>
      <c r="F729" s="120" t="n"/>
      <c r="G729" s="121" t="n"/>
      <c r="H729" s="121" t="n"/>
      <c r="I729" s="121" t="n"/>
      <c r="J729" s="116" t="n"/>
      <c r="K729" s="116" t="n"/>
      <c r="L729" s="116" t="n"/>
      <c r="M729" s="116" t="n"/>
      <c r="N729" s="116" t="n"/>
      <c r="O729" s="116" t="n"/>
    </row>
    <row r="730" ht="14.25" customHeight="1" s="64">
      <c r="A730" s="120" t="n"/>
      <c r="B730" s="120" t="n"/>
      <c r="C730" s="120" t="n"/>
      <c r="D730" s="121" t="n"/>
      <c r="E730" s="120" t="n"/>
      <c r="F730" s="120" t="n"/>
      <c r="G730" s="121" t="n"/>
      <c r="H730" s="121" t="n"/>
      <c r="I730" s="121" t="n"/>
      <c r="J730" s="116" t="n"/>
      <c r="K730" s="116" t="n"/>
      <c r="L730" s="116" t="n"/>
      <c r="M730" s="116" t="n"/>
      <c r="N730" s="116" t="n"/>
      <c r="O730" s="116" t="n"/>
    </row>
    <row r="731" ht="14.25" customHeight="1" s="64">
      <c r="A731" s="120" t="n"/>
      <c r="B731" s="120" t="n"/>
      <c r="C731" s="120" t="n"/>
      <c r="D731" s="121" t="n"/>
      <c r="E731" s="120" t="n"/>
      <c r="F731" s="120" t="n"/>
      <c r="G731" s="121" t="n"/>
      <c r="H731" s="121" t="n"/>
      <c r="I731" s="121" t="n"/>
      <c r="J731" s="116" t="n"/>
      <c r="K731" s="116" t="n"/>
      <c r="L731" s="116" t="n"/>
      <c r="M731" s="116" t="n"/>
      <c r="N731" s="116" t="n"/>
      <c r="O731" s="116" t="n"/>
    </row>
    <row r="732" ht="14.25" customHeight="1" s="64">
      <c r="A732" s="120" t="n"/>
      <c r="B732" s="120" t="n"/>
      <c r="C732" s="120" t="n"/>
      <c r="D732" s="121" t="n"/>
      <c r="E732" s="120" t="n"/>
      <c r="F732" s="120" t="n"/>
      <c r="G732" s="121" t="n"/>
      <c r="H732" s="121" t="n"/>
      <c r="I732" s="121" t="n"/>
      <c r="J732" s="116" t="n"/>
      <c r="K732" s="116" t="n"/>
      <c r="L732" s="116" t="n"/>
      <c r="M732" s="116" t="n"/>
      <c r="N732" s="116" t="n"/>
      <c r="O732" s="116" t="n"/>
    </row>
    <row r="733" ht="14.25" customHeight="1" s="64">
      <c r="A733" s="120" t="n"/>
      <c r="B733" s="120" t="n"/>
      <c r="C733" s="120" t="n"/>
      <c r="D733" s="121" t="n"/>
      <c r="E733" s="120" t="n"/>
      <c r="F733" s="120" t="n"/>
      <c r="G733" s="121" t="n"/>
      <c r="H733" s="121" t="n"/>
      <c r="I733" s="121" t="n"/>
      <c r="J733" s="116" t="n"/>
      <c r="K733" s="116" t="n"/>
      <c r="L733" s="116" t="n"/>
      <c r="M733" s="116" t="n"/>
      <c r="N733" s="116" t="n"/>
      <c r="O733" s="116" t="n"/>
    </row>
    <row r="734" ht="14.25" customHeight="1" s="64">
      <c r="A734" s="120" t="n"/>
      <c r="B734" s="120" t="n"/>
      <c r="C734" s="120" t="n"/>
      <c r="D734" s="121" t="n"/>
      <c r="E734" s="120" t="n"/>
      <c r="F734" s="120" t="n"/>
      <c r="G734" s="121" t="n"/>
      <c r="H734" s="121" t="n"/>
      <c r="I734" s="121" t="n"/>
      <c r="J734" s="116" t="n"/>
      <c r="K734" s="116" t="n"/>
      <c r="L734" s="116" t="n"/>
      <c r="M734" s="116" t="n"/>
      <c r="N734" s="116" t="n"/>
      <c r="O734" s="116" t="n"/>
    </row>
    <row r="735" ht="14.25" customHeight="1" s="64">
      <c r="A735" s="120" t="n"/>
      <c r="B735" s="120" t="n"/>
      <c r="C735" s="120" t="n"/>
      <c r="D735" s="121" t="n"/>
      <c r="E735" s="120" t="n"/>
      <c r="F735" s="120" t="n"/>
      <c r="G735" s="121" t="n"/>
      <c r="H735" s="121" t="n"/>
      <c r="I735" s="121" t="n"/>
      <c r="J735" s="116" t="n"/>
      <c r="K735" s="116" t="n"/>
      <c r="L735" s="116" t="n"/>
      <c r="M735" s="116" t="n"/>
      <c r="N735" s="116" t="n"/>
      <c r="O735" s="116" t="n"/>
    </row>
    <row r="736" ht="14.25" customHeight="1" s="64">
      <c r="A736" s="120" t="n"/>
      <c r="B736" s="120" t="n"/>
      <c r="C736" s="120" t="n"/>
      <c r="D736" s="121" t="n"/>
      <c r="E736" s="120" t="n"/>
      <c r="F736" s="120" t="n"/>
      <c r="G736" s="121" t="n"/>
      <c r="H736" s="121" t="n"/>
      <c r="I736" s="121" t="n"/>
      <c r="J736" s="116" t="n"/>
      <c r="K736" s="116" t="n"/>
      <c r="L736" s="116" t="n"/>
      <c r="M736" s="116" t="n"/>
      <c r="N736" s="116" t="n"/>
      <c r="O736" s="116" t="n"/>
    </row>
    <row r="737" ht="14.25" customHeight="1" s="64">
      <c r="A737" s="120" t="n"/>
      <c r="B737" s="120" t="n"/>
      <c r="C737" s="120" t="n"/>
      <c r="D737" s="121" t="n"/>
      <c r="E737" s="120" t="n"/>
      <c r="F737" s="120" t="n"/>
      <c r="G737" s="121" t="n"/>
      <c r="H737" s="121" t="n"/>
      <c r="I737" s="121" t="n"/>
      <c r="J737" s="116" t="n"/>
      <c r="K737" s="116" t="n"/>
      <c r="L737" s="116" t="n"/>
      <c r="M737" s="116" t="n"/>
      <c r="N737" s="116" t="n"/>
      <c r="O737" s="116" t="n"/>
    </row>
    <row r="738" ht="14.25" customHeight="1" s="64">
      <c r="A738" s="120" t="n"/>
      <c r="B738" s="120" t="n"/>
      <c r="C738" s="120" t="n"/>
      <c r="D738" s="121" t="n"/>
      <c r="E738" s="120" t="n"/>
      <c r="F738" s="120" t="n"/>
      <c r="G738" s="121" t="n"/>
      <c r="H738" s="121" t="n"/>
      <c r="I738" s="121" t="n"/>
      <c r="J738" s="116" t="n"/>
      <c r="K738" s="116" t="n"/>
      <c r="L738" s="116" t="n"/>
      <c r="M738" s="116" t="n"/>
      <c r="N738" s="116" t="n"/>
      <c r="O738" s="116" t="n"/>
    </row>
    <row r="739" ht="14.25" customHeight="1" s="64">
      <c r="A739" s="120" t="n"/>
      <c r="B739" s="120" t="n"/>
      <c r="C739" s="120" t="n"/>
      <c r="D739" s="121" t="n"/>
      <c r="E739" s="120" t="n"/>
      <c r="F739" s="120" t="n"/>
      <c r="G739" s="121" t="n"/>
      <c r="H739" s="121" t="n"/>
      <c r="I739" s="121" t="n"/>
      <c r="J739" s="116" t="n"/>
      <c r="K739" s="116" t="n"/>
      <c r="L739" s="116" t="n"/>
      <c r="M739" s="116" t="n"/>
      <c r="N739" s="116" t="n"/>
      <c r="O739" s="116" t="n"/>
    </row>
    <row r="740" ht="14.25" customHeight="1" s="64">
      <c r="A740" s="120" t="n"/>
      <c r="B740" s="120" t="n"/>
      <c r="C740" s="120" t="n"/>
      <c r="D740" s="121" t="n"/>
      <c r="E740" s="120" t="n"/>
      <c r="F740" s="120" t="n"/>
      <c r="G740" s="121" t="n"/>
      <c r="H740" s="121" t="n"/>
      <c r="I740" s="121" t="n"/>
      <c r="J740" s="116" t="n"/>
      <c r="K740" s="116" t="n"/>
      <c r="L740" s="116" t="n"/>
      <c r="M740" s="116" t="n"/>
      <c r="N740" s="116" t="n"/>
      <c r="O740" s="116" t="n"/>
    </row>
    <row r="741" ht="14.25" customHeight="1" s="64">
      <c r="A741" s="120" t="n"/>
      <c r="B741" s="120" t="n"/>
      <c r="C741" s="120" t="n"/>
      <c r="D741" s="121" t="n"/>
      <c r="E741" s="120" t="n"/>
      <c r="F741" s="120" t="n"/>
      <c r="G741" s="121" t="n"/>
      <c r="H741" s="121" t="n"/>
      <c r="I741" s="121" t="n"/>
      <c r="J741" s="116" t="n"/>
      <c r="K741" s="116" t="n"/>
      <c r="L741" s="116" t="n"/>
      <c r="M741" s="116" t="n"/>
      <c r="N741" s="116" t="n"/>
      <c r="O741" s="116" t="n"/>
    </row>
    <row r="742" ht="14.25" customHeight="1" s="64">
      <c r="A742" s="120" t="n"/>
      <c r="B742" s="120" t="n"/>
      <c r="C742" s="120" t="n"/>
      <c r="D742" s="121" t="n"/>
      <c r="E742" s="120" t="n"/>
      <c r="F742" s="120" t="n"/>
      <c r="G742" s="121" t="n"/>
      <c r="H742" s="121" t="n"/>
      <c r="I742" s="121" t="n"/>
      <c r="J742" s="116" t="n"/>
      <c r="K742" s="116" t="n"/>
      <c r="L742" s="116" t="n"/>
      <c r="M742" s="116" t="n"/>
      <c r="N742" s="116" t="n"/>
      <c r="O742" s="116" t="n"/>
    </row>
    <row r="743" ht="14.25" customHeight="1" s="64">
      <c r="A743" s="120" t="n"/>
      <c r="B743" s="120" t="n"/>
      <c r="C743" s="120" t="n"/>
      <c r="D743" s="121" t="n"/>
      <c r="E743" s="120" t="n"/>
      <c r="F743" s="120" t="n"/>
      <c r="G743" s="121" t="n"/>
      <c r="H743" s="121" t="n"/>
      <c r="I743" s="121" t="n"/>
      <c r="J743" s="116" t="n"/>
      <c r="K743" s="116" t="n"/>
      <c r="L743" s="116" t="n"/>
      <c r="M743" s="116" t="n"/>
      <c r="N743" s="116" t="n"/>
      <c r="O743" s="116" t="n"/>
    </row>
    <row r="744" ht="14.25" customHeight="1" s="64">
      <c r="A744" s="120" t="n"/>
      <c r="B744" s="120" t="n"/>
      <c r="C744" s="120" t="n"/>
      <c r="D744" s="121" t="n"/>
      <c r="E744" s="120" t="n"/>
      <c r="F744" s="120" t="n"/>
      <c r="G744" s="121" t="n"/>
      <c r="H744" s="121" t="n"/>
      <c r="I744" s="121" t="n"/>
      <c r="J744" s="116" t="n"/>
      <c r="K744" s="116" t="n"/>
      <c r="L744" s="116" t="n"/>
      <c r="M744" s="116" t="n"/>
      <c r="N744" s="116" t="n"/>
      <c r="O744" s="116" t="n"/>
    </row>
    <row r="745" ht="14.25" customHeight="1" s="64">
      <c r="A745" s="120" t="n"/>
      <c r="B745" s="120" t="n"/>
      <c r="C745" s="120" t="n"/>
      <c r="D745" s="121" t="n"/>
      <c r="E745" s="120" t="n"/>
      <c r="F745" s="120" t="n"/>
      <c r="G745" s="121" t="n"/>
      <c r="H745" s="121" t="n"/>
      <c r="I745" s="121" t="n"/>
      <c r="J745" s="116" t="n"/>
      <c r="K745" s="116" t="n"/>
      <c r="L745" s="116" t="n"/>
      <c r="M745" s="116" t="n"/>
      <c r="N745" s="116" t="n"/>
      <c r="O745" s="116" t="n"/>
    </row>
    <row r="746" ht="14.25" customHeight="1" s="64">
      <c r="A746" s="120" t="n"/>
      <c r="B746" s="120" t="n"/>
      <c r="C746" s="120" t="n"/>
      <c r="D746" s="121" t="n"/>
      <c r="E746" s="120" t="n"/>
      <c r="F746" s="120" t="n"/>
      <c r="G746" s="121" t="n"/>
      <c r="H746" s="121" t="n"/>
      <c r="I746" s="121" t="n"/>
      <c r="J746" s="116" t="n"/>
      <c r="K746" s="116" t="n"/>
      <c r="L746" s="116" t="n"/>
      <c r="M746" s="116" t="n"/>
      <c r="N746" s="116" t="n"/>
      <c r="O746" s="116" t="n"/>
    </row>
    <row r="747" ht="14.25" customHeight="1" s="64">
      <c r="A747" s="120" t="n"/>
      <c r="B747" s="120" t="n"/>
      <c r="C747" s="120" t="n"/>
      <c r="D747" s="121" t="n"/>
      <c r="E747" s="120" t="n"/>
      <c r="F747" s="120" t="n"/>
      <c r="G747" s="121" t="n"/>
      <c r="H747" s="121" t="n"/>
      <c r="I747" s="121" t="n"/>
      <c r="J747" s="116" t="n"/>
      <c r="K747" s="116" t="n"/>
      <c r="L747" s="116" t="n"/>
      <c r="M747" s="116" t="n"/>
      <c r="N747" s="116" t="n"/>
      <c r="O747" s="116" t="n"/>
    </row>
    <row r="748" ht="14.25" customHeight="1" s="64">
      <c r="A748" s="120" t="n"/>
      <c r="B748" s="120" t="n"/>
      <c r="C748" s="120" t="n"/>
      <c r="D748" s="121" t="n"/>
      <c r="E748" s="120" t="n"/>
      <c r="F748" s="120" t="n"/>
      <c r="G748" s="121" t="n"/>
      <c r="H748" s="121" t="n"/>
      <c r="I748" s="121" t="n"/>
      <c r="J748" s="116" t="n"/>
      <c r="K748" s="116" t="n"/>
      <c r="L748" s="116" t="n"/>
      <c r="M748" s="116" t="n"/>
      <c r="N748" s="116" t="n"/>
      <c r="O748" s="116" t="n"/>
    </row>
    <row r="749" ht="14.25" customHeight="1" s="64">
      <c r="A749" s="120" t="n"/>
      <c r="B749" s="120" t="n"/>
      <c r="C749" s="120" t="n"/>
      <c r="D749" s="121" t="n"/>
      <c r="E749" s="120" t="n"/>
      <c r="F749" s="120" t="n"/>
      <c r="G749" s="121" t="n"/>
      <c r="H749" s="121" t="n"/>
      <c r="I749" s="121" t="n"/>
      <c r="J749" s="116" t="n"/>
      <c r="K749" s="116" t="n"/>
      <c r="L749" s="116" t="n"/>
      <c r="M749" s="116" t="n"/>
      <c r="N749" s="116" t="n"/>
      <c r="O749" s="116" t="n"/>
    </row>
    <row r="750" ht="14.25" customHeight="1" s="64">
      <c r="A750" s="120" t="n"/>
      <c r="B750" s="120" t="n"/>
      <c r="C750" s="120" t="n"/>
      <c r="D750" s="121" t="n"/>
      <c r="E750" s="120" t="n"/>
      <c r="F750" s="120" t="n"/>
      <c r="G750" s="121" t="n"/>
      <c r="H750" s="121" t="n"/>
      <c r="I750" s="121" t="n"/>
      <c r="J750" s="116" t="n"/>
      <c r="K750" s="116" t="n"/>
      <c r="L750" s="116" t="n"/>
      <c r="M750" s="116" t="n"/>
      <c r="N750" s="116" t="n"/>
      <c r="O750" s="116" t="n"/>
    </row>
    <row r="751" ht="14.25" customHeight="1" s="64">
      <c r="A751" s="120" t="n"/>
      <c r="B751" s="120" t="n"/>
      <c r="C751" s="120" t="n"/>
      <c r="D751" s="121" t="n"/>
      <c r="E751" s="120" t="n"/>
      <c r="F751" s="120" t="n"/>
      <c r="G751" s="121" t="n"/>
      <c r="H751" s="121" t="n"/>
      <c r="I751" s="121" t="n"/>
      <c r="J751" s="116" t="n"/>
      <c r="K751" s="116" t="n"/>
      <c r="L751" s="116" t="n"/>
      <c r="M751" s="116" t="n"/>
      <c r="N751" s="116" t="n"/>
      <c r="O751" s="116" t="n"/>
    </row>
    <row r="752" ht="14.25" customHeight="1" s="64">
      <c r="A752" s="120" t="n"/>
      <c r="B752" s="120" t="n"/>
      <c r="C752" s="120" t="n"/>
      <c r="D752" s="121" t="n"/>
      <c r="E752" s="120" t="n"/>
      <c r="F752" s="120" t="n"/>
      <c r="G752" s="121" t="n"/>
      <c r="H752" s="121" t="n"/>
      <c r="I752" s="121" t="n"/>
      <c r="J752" s="116" t="n"/>
      <c r="K752" s="116" t="n"/>
      <c r="L752" s="116" t="n"/>
      <c r="M752" s="116" t="n"/>
      <c r="N752" s="116" t="n"/>
      <c r="O752" s="116" t="n"/>
    </row>
    <row r="753" ht="14.25" customHeight="1" s="64">
      <c r="A753" s="120" t="n"/>
      <c r="B753" s="120" t="n"/>
      <c r="C753" s="120" t="n"/>
      <c r="D753" s="121" t="n"/>
      <c r="E753" s="120" t="n"/>
      <c r="F753" s="120" t="n"/>
      <c r="G753" s="121" t="n"/>
      <c r="H753" s="121" t="n"/>
      <c r="I753" s="121" t="n"/>
      <c r="J753" s="116" t="n"/>
      <c r="K753" s="116" t="n"/>
      <c r="L753" s="116" t="n"/>
      <c r="M753" s="116" t="n"/>
      <c r="N753" s="116" t="n"/>
      <c r="O753" s="116" t="n"/>
    </row>
    <row r="754" ht="14.25" customHeight="1" s="64">
      <c r="A754" s="120" t="n"/>
      <c r="B754" s="120" t="n"/>
      <c r="C754" s="120" t="n"/>
      <c r="D754" s="121" t="n"/>
      <c r="E754" s="120" t="n"/>
      <c r="F754" s="120" t="n"/>
      <c r="G754" s="121" t="n"/>
      <c r="H754" s="121" t="n"/>
      <c r="I754" s="121" t="n"/>
      <c r="J754" s="116" t="n"/>
      <c r="K754" s="116" t="n"/>
      <c r="L754" s="116" t="n"/>
      <c r="M754" s="116" t="n"/>
      <c r="N754" s="116" t="n"/>
      <c r="O754" s="116" t="n"/>
    </row>
    <row r="755" ht="14.25" customHeight="1" s="64">
      <c r="A755" s="120" t="n"/>
      <c r="B755" s="120" t="n"/>
      <c r="C755" s="120" t="n"/>
      <c r="D755" s="121" t="n"/>
      <c r="E755" s="120" t="n"/>
      <c r="F755" s="120" t="n"/>
      <c r="G755" s="121" t="n"/>
      <c r="H755" s="121" t="n"/>
      <c r="I755" s="121" t="n"/>
      <c r="J755" s="116" t="n"/>
      <c r="K755" s="116" t="n"/>
      <c r="L755" s="116" t="n"/>
      <c r="M755" s="116" t="n"/>
      <c r="N755" s="116" t="n"/>
      <c r="O755" s="116" t="n"/>
    </row>
    <row r="756" ht="14.25" customHeight="1" s="64">
      <c r="A756" s="120" t="n"/>
      <c r="B756" s="120" t="n"/>
      <c r="C756" s="120" t="n"/>
      <c r="D756" s="121" t="n"/>
      <c r="E756" s="120" t="n"/>
      <c r="F756" s="120" t="n"/>
      <c r="G756" s="121" t="n"/>
      <c r="H756" s="121" t="n"/>
      <c r="I756" s="121" t="n"/>
      <c r="J756" s="116" t="n"/>
      <c r="K756" s="116" t="n"/>
      <c r="L756" s="116" t="n"/>
      <c r="M756" s="116" t="n"/>
      <c r="N756" s="116" t="n"/>
      <c r="O756" s="116" t="n"/>
    </row>
    <row r="757" ht="14.25" customHeight="1" s="64">
      <c r="A757" s="120" t="n"/>
      <c r="B757" s="120" t="n"/>
      <c r="C757" s="120" t="n"/>
      <c r="D757" s="121" t="n"/>
      <c r="E757" s="120" t="n"/>
      <c r="F757" s="120" t="n"/>
      <c r="G757" s="121" t="n"/>
      <c r="H757" s="121" t="n"/>
      <c r="I757" s="121" t="n"/>
      <c r="J757" s="116" t="n"/>
      <c r="K757" s="116" t="n"/>
      <c r="L757" s="116" t="n"/>
      <c r="M757" s="116" t="n"/>
      <c r="N757" s="116" t="n"/>
      <c r="O757" s="116" t="n"/>
    </row>
    <row r="758" ht="14.25" customHeight="1" s="64">
      <c r="A758" s="120" t="n"/>
      <c r="B758" s="120" t="n"/>
      <c r="C758" s="120" t="n"/>
      <c r="D758" s="121" t="n"/>
      <c r="E758" s="120" t="n"/>
      <c r="F758" s="120" t="n"/>
      <c r="G758" s="121" t="n"/>
      <c r="H758" s="121" t="n"/>
      <c r="I758" s="121" t="n"/>
      <c r="J758" s="116" t="n"/>
      <c r="K758" s="116" t="n"/>
      <c r="L758" s="116" t="n"/>
      <c r="M758" s="116" t="n"/>
      <c r="N758" s="116" t="n"/>
      <c r="O758" s="116" t="n"/>
    </row>
    <row r="759" ht="14.25" customHeight="1" s="64">
      <c r="A759" s="120" t="n"/>
      <c r="B759" s="120" t="n"/>
      <c r="C759" s="120" t="n"/>
      <c r="D759" s="121" t="n"/>
      <c r="E759" s="120" t="n"/>
      <c r="F759" s="120" t="n"/>
      <c r="G759" s="121" t="n"/>
      <c r="H759" s="121" t="n"/>
      <c r="I759" s="121" t="n"/>
      <c r="J759" s="116" t="n"/>
      <c r="K759" s="116" t="n"/>
      <c r="L759" s="116" t="n"/>
      <c r="M759" s="116" t="n"/>
      <c r="N759" s="116" t="n"/>
      <c r="O759" s="116" t="n"/>
    </row>
    <row r="760" ht="14.25" customHeight="1" s="64">
      <c r="A760" s="120" t="n"/>
      <c r="B760" s="120" t="n"/>
      <c r="C760" s="120" t="n"/>
      <c r="D760" s="121" t="n"/>
      <c r="E760" s="120" t="n"/>
      <c r="F760" s="120" t="n"/>
      <c r="G760" s="121" t="n"/>
      <c r="H760" s="121" t="n"/>
      <c r="I760" s="121" t="n"/>
      <c r="J760" s="116" t="n"/>
      <c r="K760" s="116" t="n"/>
      <c r="L760" s="116" t="n"/>
      <c r="M760" s="116" t="n"/>
      <c r="N760" s="116" t="n"/>
      <c r="O760" s="116" t="n"/>
    </row>
    <row r="761" ht="14.25" customHeight="1" s="64">
      <c r="A761" s="120" t="n"/>
      <c r="B761" s="120" t="n"/>
      <c r="C761" s="120" t="n"/>
      <c r="D761" s="121" t="n"/>
      <c r="E761" s="120" t="n"/>
      <c r="F761" s="120" t="n"/>
      <c r="G761" s="121" t="n"/>
      <c r="H761" s="121" t="n"/>
      <c r="I761" s="121" t="n"/>
      <c r="J761" s="116" t="n"/>
      <c r="K761" s="116" t="n"/>
      <c r="L761" s="116" t="n"/>
      <c r="M761" s="116" t="n"/>
      <c r="N761" s="116" t="n"/>
      <c r="O761" s="116" t="n"/>
    </row>
    <row r="762" ht="14.25" customHeight="1" s="64">
      <c r="A762" s="120" t="n"/>
      <c r="B762" s="120" t="n"/>
      <c r="C762" s="120" t="n"/>
      <c r="D762" s="121" t="n"/>
      <c r="E762" s="120" t="n"/>
      <c r="F762" s="120" t="n"/>
      <c r="G762" s="121" t="n"/>
      <c r="H762" s="121" t="n"/>
      <c r="I762" s="121" t="n"/>
      <c r="J762" s="116" t="n"/>
      <c r="K762" s="116" t="n"/>
      <c r="L762" s="116" t="n"/>
      <c r="M762" s="116" t="n"/>
      <c r="N762" s="116" t="n"/>
      <c r="O762" s="116" t="n"/>
    </row>
    <row r="763" ht="14.25" customHeight="1" s="64">
      <c r="A763" s="120" t="n"/>
      <c r="B763" s="120" t="n"/>
      <c r="C763" s="120" t="n"/>
      <c r="D763" s="121" t="n"/>
      <c r="E763" s="120" t="n"/>
      <c r="F763" s="120" t="n"/>
      <c r="G763" s="121" t="n"/>
      <c r="H763" s="121" t="n"/>
      <c r="I763" s="121" t="n"/>
      <c r="J763" s="116" t="n"/>
      <c r="K763" s="116" t="n"/>
      <c r="L763" s="116" t="n"/>
      <c r="M763" s="116" t="n"/>
      <c r="N763" s="116" t="n"/>
      <c r="O763" s="116" t="n"/>
    </row>
    <row r="764" ht="14.25" customHeight="1" s="64">
      <c r="A764" s="120" t="n"/>
      <c r="B764" s="120" t="n"/>
      <c r="C764" s="120" t="n"/>
      <c r="D764" s="121" t="n"/>
      <c r="E764" s="120" t="n"/>
      <c r="F764" s="120" t="n"/>
      <c r="G764" s="121" t="n"/>
      <c r="H764" s="121" t="n"/>
      <c r="I764" s="121" t="n"/>
      <c r="J764" s="116" t="n"/>
      <c r="K764" s="116" t="n"/>
      <c r="L764" s="116" t="n"/>
      <c r="M764" s="116" t="n"/>
      <c r="N764" s="116" t="n"/>
      <c r="O764" s="116" t="n"/>
    </row>
    <row r="765" ht="14.25" customHeight="1" s="64">
      <c r="A765" s="120" t="n"/>
      <c r="B765" s="120" t="n"/>
      <c r="C765" s="120" t="n"/>
      <c r="D765" s="121" t="n"/>
      <c r="E765" s="120" t="n"/>
      <c r="F765" s="120" t="n"/>
      <c r="G765" s="121" t="n"/>
      <c r="H765" s="121" t="n"/>
      <c r="I765" s="121" t="n"/>
      <c r="J765" s="116" t="n"/>
      <c r="K765" s="116" t="n"/>
      <c r="L765" s="116" t="n"/>
      <c r="M765" s="116" t="n"/>
      <c r="N765" s="116" t="n"/>
      <c r="O765" s="116" t="n"/>
    </row>
    <row r="766" ht="14.25" customHeight="1" s="64">
      <c r="A766" s="120" t="n"/>
      <c r="B766" s="120" t="n"/>
      <c r="C766" s="120" t="n"/>
      <c r="D766" s="121" t="n"/>
      <c r="E766" s="120" t="n"/>
      <c r="F766" s="120" t="n"/>
      <c r="G766" s="121" t="n"/>
      <c r="H766" s="121" t="n"/>
      <c r="I766" s="121" t="n"/>
      <c r="J766" s="116" t="n"/>
      <c r="K766" s="116" t="n"/>
      <c r="L766" s="116" t="n"/>
      <c r="M766" s="116" t="n"/>
      <c r="N766" s="116" t="n"/>
      <c r="O766" s="116" t="n"/>
    </row>
    <row r="767" ht="14.25" customHeight="1" s="64">
      <c r="A767" s="120" t="n"/>
      <c r="B767" s="120" t="n"/>
      <c r="C767" s="120" t="n"/>
      <c r="D767" s="121" t="n"/>
      <c r="E767" s="120" t="n"/>
      <c r="F767" s="120" t="n"/>
      <c r="G767" s="121" t="n"/>
      <c r="H767" s="121" t="n"/>
      <c r="I767" s="121" t="n"/>
      <c r="J767" s="116" t="n"/>
      <c r="K767" s="116" t="n"/>
      <c r="L767" s="116" t="n"/>
      <c r="M767" s="116" t="n"/>
      <c r="N767" s="116" t="n"/>
      <c r="O767" s="116" t="n"/>
    </row>
    <row r="768" ht="14.25" customHeight="1" s="64">
      <c r="A768" s="120" t="n"/>
      <c r="B768" s="120" t="n"/>
      <c r="C768" s="120" t="n"/>
      <c r="D768" s="121" t="n"/>
      <c r="E768" s="120" t="n"/>
      <c r="F768" s="120" t="n"/>
      <c r="G768" s="121" t="n"/>
      <c r="H768" s="121" t="n"/>
      <c r="I768" s="121" t="n"/>
      <c r="J768" s="116" t="n"/>
      <c r="K768" s="116" t="n"/>
      <c r="L768" s="116" t="n"/>
      <c r="M768" s="116" t="n"/>
      <c r="N768" s="116" t="n"/>
      <c r="O768" s="116" t="n"/>
    </row>
    <row r="769" ht="14.25" customHeight="1" s="64">
      <c r="A769" s="120" t="n"/>
      <c r="B769" s="120" t="n"/>
      <c r="C769" s="120" t="n"/>
      <c r="D769" s="121" t="n"/>
      <c r="E769" s="120" t="n"/>
      <c r="F769" s="120" t="n"/>
      <c r="G769" s="121" t="n"/>
      <c r="H769" s="121" t="n"/>
      <c r="I769" s="121" t="n"/>
      <c r="J769" s="116" t="n"/>
      <c r="K769" s="116" t="n"/>
      <c r="L769" s="116" t="n"/>
      <c r="M769" s="116" t="n"/>
      <c r="N769" s="116" t="n"/>
      <c r="O769" s="116" t="n"/>
    </row>
    <row r="770" ht="14.25" customHeight="1" s="64">
      <c r="A770" s="120" t="n"/>
      <c r="B770" s="120" t="n"/>
      <c r="C770" s="120" t="n"/>
      <c r="D770" s="121" t="n"/>
      <c r="E770" s="120" t="n"/>
      <c r="F770" s="120" t="n"/>
      <c r="G770" s="121" t="n"/>
      <c r="H770" s="121" t="n"/>
      <c r="I770" s="121" t="n"/>
      <c r="J770" s="116" t="n"/>
      <c r="K770" s="116" t="n"/>
      <c r="L770" s="116" t="n"/>
      <c r="M770" s="116" t="n"/>
      <c r="N770" s="116" t="n"/>
      <c r="O770" s="116" t="n"/>
    </row>
    <row r="771" ht="14.25" customHeight="1" s="64">
      <c r="A771" s="120" t="n"/>
      <c r="B771" s="120" t="n"/>
      <c r="C771" s="120" t="n"/>
      <c r="D771" s="121" t="n"/>
      <c r="E771" s="120" t="n"/>
      <c r="F771" s="120" t="n"/>
      <c r="G771" s="121" t="n"/>
      <c r="H771" s="121" t="n"/>
      <c r="I771" s="121" t="n"/>
      <c r="J771" s="116" t="n"/>
      <c r="K771" s="116" t="n"/>
      <c r="L771" s="116" t="n"/>
      <c r="M771" s="116" t="n"/>
      <c r="N771" s="116" t="n"/>
      <c r="O771" s="116" t="n"/>
    </row>
    <row r="772" ht="14.25" customHeight="1" s="64">
      <c r="A772" s="120" t="n"/>
      <c r="B772" s="120" t="n"/>
      <c r="C772" s="120" t="n"/>
      <c r="D772" s="121" t="n"/>
      <c r="E772" s="120" t="n"/>
      <c r="F772" s="120" t="n"/>
      <c r="G772" s="121" t="n"/>
      <c r="H772" s="121" t="n"/>
      <c r="I772" s="121" t="n"/>
      <c r="J772" s="116" t="n"/>
      <c r="K772" s="116" t="n"/>
      <c r="L772" s="116" t="n"/>
      <c r="M772" s="116" t="n"/>
      <c r="N772" s="116" t="n"/>
      <c r="O772" s="116" t="n"/>
    </row>
    <row r="773" ht="14.25" customHeight="1" s="64">
      <c r="A773" s="120" t="n"/>
      <c r="B773" s="120" t="n"/>
      <c r="C773" s="120" t="n"/>
      <c r="D773" s="121" t="n"/>
      <c r="E773" s="120" t="n"/>
      <c r="F773" s="120" t="n"/>
      <c r="G773" s="121" t="n"/>
      <c r="H773" s="121" t="n"/>
      <c r="I773" s="121" t="n"/>
      <c r="J773" s="116" t="n"/>
      <c r="K773" s="116" t="n"/>
      <c r="L773" s="116" t="n"/>
      <c r="M773" s="116" t="n"/>
      <c r="N773" s="116" t="n"/>
      <c r="O773" s="116" t="n"/>
    </row>
    <row r="774" ht="14.25" customHeight="1" s="64">
      <c r="A774" s="120" t="n"/>
      <c r="B774" s="120" t="n"/>
      <c r="C774" s="120" t="n"/>
      <c r="D774" s="121" t="n"/>
      <c r="E774" s="120" t="n"/>
      <c r="F774" s="120" t="n"/>
      <c r="G774" s="121" t="n"/>
      <c r="H774" s="121" t="n"/>
      <c r="I774" s="121" t="n"/>
      <c r="J774" s="116" t="n"/>
      <c r="K774" s="116" t="n"/>
      <c r="L774" s="116" t="n"/>
      <c r="M774" s="116" t="n"/>
      <c r="N774" s="116" t="n"/>
      <c r="O774" s="116" t="n"/>
    </row>
    <row r="775" ht="14.25" customHeight="1" s="64">
      <c r="A775" s="120" t="n"/>
      <c r="B775" s="120" t="n"/>
      <c r="C775" s="120" t="n"/>
      <c r="D775" s="121" t="n"/>
      <c r="E775" s="120" t="n"/>
      <c r="F775" s="120" t="n"/>
      <c r="G775" s="121" t="n"/>
      <c r="H775" s="121" t="n"/>
      <c r="I775" s="121" t="n"/>
      <c r="J775" s="116" t="n"/>
      <c r="K775" s="116" t="n"/>
      <c r="L775" s="116" t="n"/>
      <c r="M775" s="116" t="n"/>
      <c r="N775" s="116" t="n"/>
      <c r="O775" s="116" t="n"/>
    </row>
    <row r="776" ht="14.25" customHeight="1" s="64">
      <c r="A776" s="120" t="n"/>
      <c r="B776" s="120" t="n"/>
      <c r="C776" s="120" t="n"/>
      <c r="D776" s="121" t="n"/>
      <c r="E776" s="120" t="n"/>
      <c r="F776" s="120" t="n"/>
      <c r="G776" s="121" t="n"/>
      <c r="H776" s="121" t="n"/>
      <c r="I776" s="121" t="n"/>
      <c r="J776" s="116" t="n"/>
      <c r="K776" s="116" t="n"/>
      <c r="L776" s="116" t="n"/>
      <c r="M776" s="116" t="n"/>
      <c r="N776" s="116" t="n"/>
      <c r="O776" s="116" t="n"/>
    </row>
    <row r="777" ht="14.25" customHeight="1" s="64">
      <c r="A777" s="120" t="n"/>
      <c r="B777" s="120" t="n"/>
      <c r="C777" s="120" t="n"/>
      <c r="D777" s="121" t="n"/>
      <c r="E777" s="120" t="n"/>
      <c r="F777" s="120" t="n"/>
      <c r="G777" s="121" t="n"/>
      <c r="H777" s="121" t="n"/>
      <c r="I777" s="121" t="n"/>
      <c r="J777" s="116" t="n"/>
      <c r="K777" s="116" t="n"/>
      <c r="L777" s="116" t="n"/>
      <c r="M777" s="116" t="n"/>
      <c r="N777" s="116" t="n"/>
      <c r="O777" s="116" t="n"/>
    </row>
    <row r="778" ht="14.25" customHeight="1" s="64">
      <c r="A778" s="120" t="n"/>
      <c r="B778" s="120" t="n"/>
      <c r="C778" s="120" t="n"/>
      <c r="D778" s="121" t="n"/>
      <c r="E778" s="120" t="n"/>
      <c r="F778" s="120" t="n"/>
      <c r="G778" s="121" t="n"/>
      <c r="H778" s="121" t="n"/>
      <c r="I778" s="121" t="n"/>
      <c r="J778" s="116" t="n"/>
      <c r="K778" s="116" t="n"/>
      <c r="L778" s="116" t="n"/>
      <c r="M778" s="116" t="n"/>
      <c r="N778" s="116" t="n"/>
      <c r="O778" s="116" t="n"/>
    </row>
    <row r="779" ht="14.25" customHeight="1" s="64">
      <c r="A779" s="120" t="n"/>
      <c r="B779" s="120" t="n"/>
      <c r="C779" s="120" t="n"/>
      <c r="D779" s="121" t="n"/>
      <c r="E779" s="120" t="n"/>
      <c r="F779" s="120" t="n"/>
      <c r="G779" s="121" t="n"/>
      <c r="H779" s="121" t="n"/>
      <c r="I779" s="121" t="n"/>
      <c r="J779" s="116" t="n"/>
      <c r="K779" s="116" t="n"/>
      <c r="L779" s="116" t="n"/>
      <c r="M779" s="116" t="n"/>
      <c r="N779" s="116" t="n"/>
      <c r="O779" s="116" t="n"/>
    </row>
    <row r="780" ht="14.25" customHeight="1" s="64">
      <c r="A780" s="120" t="n"/>
      <c r="B780" s="120" t="n"/>
      <c r="C780" s="120" t="n"/>
      <c r="D780" s="121" t="n"/>
      <c r="E780" s="120" t="n"/>
      <c r="F780" s="120" t="n"/>
      <c r="G780" s="121" t="n"/>
      <c r="H780" s="121" t="n"/>
      <c r="I780" s="121" t="n"/>
      <c r="J780" s="116" t="n"/>
      <c r="K780" s="116" t="n"/>
      <c r="L780" s="116" t="n"/>
      <c r="M780" s="116" t="n"/>
      <c r="N780" s="116" t="n"/>
      <c r="O780" s="116" t="n"/>
    </row>
    <row r="781" ht="14.25" customHeight="1" s="64">
      <c r="A781" s="120" t="n"/>
      <c r="B781" s="120" t="n"/>
      <c r="C781" s="120" t="n"/>
      <c r="D781" s="121" t="n"/>
      <c r="E781" s="120" t="n"/>
      <c r="F781" s="120" t="n"/>
      <c r="G781" s="121" t="n"/>
      <c r="H781" s="121" t="n"/>
      <c r="I781" s="121" t="n"/>
      <c r="J781" s="116" t="n"/>
      <c r="K781" s="116" t="n"/>
      <c r="L781" s="116" t="n"/>
      <c r="M781" s="116" t="n"/>
      <c r="N781" s="116" t="n"/>
      <c r="O781" s="116" t="n"/>
    </row>
    <row r="782" ht="14.25" customHeight="1" s="64">
      <c r="A782" s="120" t="n"/>
      <c r="B782" s="120" t="n"/>
      <c r="C782" s="120" t="n"/>
      <c r="D782" s="121" t="n"/>
      <c r="E782" s="120" t="n"/>
      <c r="F782" s="120" t="n"/>
      <c r="G782" s="121" t="n"/>
      <c r="H782" s="121" t="n"/>
      <c r="I782" s="121" t="n"/>
      <c r="J782" s="116" t="n"/>
      <c r="K782" s="116" t="n"/>
      <c r="L782" s="116" t="n"/>
      <c r="M782" s="116" t="n"/>
      <c r="N782" s="116" t="n"/>
      <c r="O782" s="116" t="n"/>
    </row>
    <row r="783" ht="14.25" customHeight="1" s="64">
      <c r="A783" s="120" t="n"/>
      <c r="B783" s="120" t="n"/>
      <c r="C783" s="120" t="n"/>
      <c r="D783" s="121" t="n"/>
      <c r="E783" s="120" t="n"/>
      <c r="F783" s="120" t="n"/>
      <c r="G783" s="121" t="n"/>
      <c r="H783" s="121" t="n"/>
      <c r="I783" s="121" t="n"/>
      <c r="J783" s="116" t="n"/>
      <c r="K783" s="116" t="n"/>
      <c r="L783" s="116" t="n"/>
      <c r="M783" s="116" t="n"/>
      <c r="N783" s="116" t="n"/>
      <c r="O783" s="116" t="n"/>
    </row>
    <row r="784" ht="14.25" customHeight="1" s="64">
      <c r="A784" s="120" t="n"/>
      <c r="B784" s="120" t="n"/>
      <c r="C784" s="120" t="n"/>
      <c r="D784" s="121" t="n"/>
      <c r="E784" s="120" t="n"/>
      <c r="F784" s="120" t="n"/>
      <c r="G784" s="121" t="n"/>
      <c r="H784" s="121" t="n"/>
      <c r="I784" s="121" t="n"/>
      <c r="J784" s="116" t="n"/>
      <c r="K784" s="116" t="n"/>
      <c r="L784" s="116" t="n"/>
      <c r="M784" s="116" t="n"/>
      <c r="N784" s="116" t="n"/>
      <c r="O784" s="116" t="n"/>
    </row>
    <row r="785" ht="14.25" customHeight="1" s="64"/>
    <row r="786" ht="14.25" customHeight="1" s="64"/>
    <row r="787" ht="14.25" customHeight="1" s="64"/>
    <row r="788" ht="14.25" customHeight="1" s="64"/>
    <row r="789" ht="14.25" customHeight="1" s="64"/>
    <row r="790" ht="14.25" customHeight="1" s="64"/>
    <row r="791" ht="14.25" customHeight="1" s="64"/>
    <row r="792" ht="14.25" customHeight="1" s="64"/>
    <row r="793" ht="14.25" customHeight="1" s="64"/>
    <row r="794" ht="14.25" customHeight="1" s="64"/>
    <row r="795" ht="14.25" customHeight="1" s="64"/>
    <row r="796" ht="14.25" customHeight="1" s="64"/>
    <row r="797" ht="14.25" customHeight="1" s="64"/>
    <row r="798" ht="14.25" customHeight="1" s="64"/>
    <row r="799" ht="14.25" customHeight="1" s="64"/>
    <row r="800" ht="14.25" customHeight="1" s="64"/>
    <row r="801" ht="14.25" customHeight="1" s="64"/>
    <row r="802" ht="14.25" customHeight="1" s="64"/>
    <row r="803" ht="14.25" customHeight="1" s="64"/>
    <row r="804" ht="14.25" customHeight="1" s="64"/>
    <row r="805" ht="14.25" customHeight="1" s="64"/>
    <row r="806" ht="14.25" customHeight="1" s="64"/>
    <row r="807" ht="14.25" customHeight="1" s="64"/>
    <row r="808" ht="14.25" customHeight="1" s="64"/>
    <row r="809" ht="14.25" customHeight="1" s="64"/>
    <row r="810" ht="14.25" customHeight="1" s="64"/>
    <row r="811" ht="14.25" customHeight="1" s="64"/>
  </sheetData>
  <mergeCells count="4">
    <mergeCell ref="A1:I1"/>
    <mergeCell ref="A4:I4"/>
    <mergeCell ref="A2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4" activeCellId="0" sqref="A4"/>
    </sheetView>
  </sheetViews>
  <sheetFormatPr baseColWidth="8" defaultColWidth="8.66796875" defaultRowHeight="14.25" zeroHeight="0" outlineLevelRow="0"/>
  <cols>
    <col width="16" customWidth="1" style="110" min="1" max="1"/>
    <col width="22" customWidth="1" style="110" min="2" max="2"/>
    <col width="46" customWidth="1" style="110" min="3" max="3"/>
    <col width="16" customWidth="1" style="110" min="4" max="4"/>
    <col width="13" customWidth="1" style="110" min="5" max="5"/>
    <col width="16" customWidth="1" style="110" min="6" max="7"/>
    <col width="60" customWidth="1" style="110" min="8" max="8"/>
  </cols>
  <sheetData>
    <row r="1" ht="15" customHeight="1" s="64">
      <c r="A1" s="126" t="inlineStr">
        <is>
          <t>REEMBOLSO GERAL — CUSTOS POR SETOR E EMPRESA (Base Geral 2026, aba Reembolso Geral)</t>
        </is>
      </c>
    </row>
    <row r="2" ht="15" customHeight="1" s="64">
      <c r="A2" s="127" t="inlineStr">
        <is>
      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      </is>
      </c>
    </row>
    <row r="4" ht="15" customHeight="1" s="64">
      <c r="A4" s="128" t="inlineStr">
        <is>
          <t>Mês</t>
        </is>
      </c>
      <c r="B4" s="128" t="inlineStr">
        <is>
          <t>Setor</t>
        </is>
      </c>
      <c r="C4" s="128" t="inlineStr">
        <is>
          <t>Descrição do Custo</t>
        </is>
      </c>
      <c r="D4" s="128" t="inlineStr">
        <is>
          <t>Empresa</t>
        </is>
      </c>
      <c r="E4" s="128" t="inlineStr">
        <is>
          <t>Quantidade</t>
        </is>
      </c>
      <c r="F4" s="128" t="inlineStr">
        <is>
          <t>Valor Unitário</t>
        </is>
      </c>
      <c r="G4" s="128" t="inlineStr">
        <is>
          <t>Valor Total</t>
        </is>
      </c>
      <c r="H4" s="128" t="inlineStr">
        <is>
          <t>Observação (forma de cálculo)</t>
        </is>
      </c>
    </row>
    <row r="5" ht="15" customHeight="1" s="64">
      <c r="A5" s="110" t="inlineStr">
        <is>
          <t>ABRIL/2026</t>
        </is>
      </c>
      <c r="B5" s="110" t="inlineStr">
        <is>
          <t>Adm Atendimento</t>
        </is>
      </c>
      <c r="C5" s="110" t="inlineStr">
        <is>
          <t>Adm atendimento presencial</t>
        </is>
      </c>
      <c r="D5" s="110" t="inlineStr">
        <is>
          <t>H&amp;A</t>
        </is>
      </c>
      <c r="E5" s="129" t="n">
        <v>13402</v>
      </c>
      <c r="F5" s="89" t="n">
        <v>0.187098400414136</v>
      </c>
      <c r="G5" s="89" t="n">
        <v>2507.49276235025</v>
      </c>
      <c r="H5" s="110" t="inlineStr">
        <is>
          <t>Cálculo por número de clientes ativos</t>
        </is>
      </c>
    </row>
    <row r="6" ht="15" customHeight="1" s="64">
      <c r="A6" s="110" t="inlineStr">
        <is>
          <t>ABRIL/2026</t>
        </is>
      </c>
      <c r="B6" s="110" t="inlineStr">
        <is>
          <t>Adm Qualidade</t>
        </is>
      </c>
      <c r="C6" s="110" t="inlineStr">
        <is>
          <t>Qualidade</t>
        </is>
      </c>
      <c r="D6" s="110" t="inlineStr">
        <is>
          <t>H&amp;A</t>
        </is>
      </c>
      <c r="E6" s="129" t="n">
        <v>13402</v>
      </c>
      <c r="F6" s="89" t="n">
        <v>0.208713221370437</v>
      </c>
      <c r="G6" s="89" t="n">
        <v>2797.1745928066</v>
      </c>
      <c r="H6" s="110" t="inlineStr">
        <is>
          <t>Cálculo por número de clientes ativos</t>
        </is>
      </c>
    </row>
    <row r="7" ht="15" customHeight="1" s="64">
      <c r="A7" s="110" t="inlineStr">
        <is>
          <t>ABRIL/2026</t>
        </is>
      </c>
      <c r="B7" s="110" t="inlineStr">
        <is>
          <t>Atendimento</t>
        </is>
      </c>
      <c r="C7" s="110" t="inlineStr">
        <is>
          <t>Material de escritório</t>
        </is>
      </c>
      <c r="D7" s="110" t="inlineStr">
        <is>
          <t>DX2</t>
        </is>
      </c>
      <c r="E7" s="129" t="n">
        <v>0</v>
      </c>
      <c r="F7" s="89" t="n">
        <v>0</v>
      </c>
      <c r="G7" s="89" t="n">
        <v>0</v>
      </c>
      <c r="H7" s="110" t="inlineStr">
        <is>
          <t>Capa de carnê</t>
        </is>
      </c>
    </row>
    <row r="8" ht="15" customHeight="1" s="64">
      <c r="A8" s="110" t="inlineStr">
        <is>
          <t>ABRIL/2026</t>
        </is>
      </c>
      <c r="B8" s="110" t="inlineStr">
        <is>
          <t>Atendimento</t>
        </is>
      </c>
      <c r="C8" s="110" t="inlineStr">
        <is>
          <t>Material de uso coletivo</t>
        </is>
      </c>
      <c r="D8" s="110" t="inlineStr">
        <is>
          <t>DX2</t>
        </is>
      </c>
      <c r="E8" s="129" t="n">
        <v>16</v>
      </c>
      <c r="F8" s="89" t="n">
        <v>2.85</v>
      </c>
      <c r="G8" s="89" t="n">
        <v>45.6</v>
      </c>
      <c r="H8" s="110" t="inlineStr">
        <is>
          <t>Água mineral</t>
        </is>
      </c>
    </row>
    <row r="9" ht="15" customHeight="1" s="64">
      <c r="A9" s="110" t="inlineStr">
        <is>
          <t>ABRIL/2026</t>
        </is>
      </c>
      <c r="B9" s="110" t="inlineStr">
        <is>
          <t>Atendimento</t>
        </is>
      </c>
      <c r="C9" s="110" t="inlineStr">
        <is>
          <t>Material de escritório</t>
        </is>
      </c>
      <c r="D9" s="110" t="inlineStr">
        <is>
          <t>H&amp;A</t>
        </is>
      </c>
      <c r="E9" s="129" t="n">
        <v>0</v>
      </c>
      <c r="F9" s="89" t="n">
        <v>0</v>
      </c>
      <c r="G9" s="89" t="n">
        <v>0</v>
      </c>
      <c r="H9" s="110" t="inlineStr">
        <is>
          <t>Porta panfleto</t>
        </is>
      </c>
    </row>
    <row r="10" ht="15" customHeight="1" s="64">
      <c r="A10" s="110" t="inlineStr">
        <is>
          <t>ABRIL/2026</t>
        </is>
      </c>
      <c r="B10" s="110" t="inlineStr">
        <is>
          <t>Atendimento</t>
        </is>
      </c>
      <c r="C10" s="110" t="inlineStr">
        <is>
          <t>Promotor autonomo Erika sonara</t>
        </is>
      </c>
      <c r="D10" s="110" t="inlineStr">
        <is>
          <t>H&amp;A</t>
        </is>
      </c>
      <c r="E10" s="129" t="n">
        <v>0</v>
      </c>
      <c r="F10" s="89" t="n">
        <v>0</v>
      </c>
      <c r="G10" s="89" t="n">
        <v>0</v>
      </c>
      <c r="H10" s="110" t="inlineStr">
        <is>
          <t>Comissionamento de vendas realizadas na h&amp;a paga pela Dtel fev.</t>
        </is>
      </c>
    </row>
    <row r="11" ht="15" customHeight="1" s="64">
      <c r="A11" s="110" t="inlineStr">
        <is>
          <t>ABRIL/2026</t>
        </is>
      </c>
      <c r="B11" s="110" t="inlineStr">
        <is>
          <t>Atendimento</t>
        </is>
      </c>
      <c r="C11" s="110" t="inlineStr">
        <is>
          <t>Material de escritório</t>
        </is>
      </c>
      <c r="D11" s="110" t="inlineStr">
        <is>
          <t>Soares e Lins</t>
        </is>
      </c>
      <c r="E11" s="129" t="n">
        <v>0</v>
      </c>
      <c r="F11" s="89" t="n">
        <v>0</v>
      </c>
      <c r="G11" s="89" t="n">
        <v>0</v>
      </c>
      <c r="H11" s="110" t="inlineStr">
        <is>
          <t>Porta panfleto</t>
        </is>
      </c>
    </row>
    <row r="12" ht="15" customHeight="1" s="64">
      <c r="A12" s="110" t="inlineStr">
        <is>
          <t>ABRIL/2026</t>
        </is>
      </c>
      <c r="B12" s="110" t="inlineStr">
        <is>
          <t>Atendimento</t>
        </is>
      </c>
      <c r="C12" s="110" t="inlineStr">
        <is>
          <t>Material de uso coletivo</t>
        </is>
      </c>
      <c r="D12" s="110" t="inlineStr">
        <is>
          <t>Soares e Lins</t>
        </is>
      </c>
      <c r="E12" s="129" t="n">
        <v>10</v>
      </c>
      <c r="F12" s="89" t="n">
        <v>2.85</v>
      </c>
      <c r="G12" s="89" t="n">
        <v>28.5</v>
      </c>
      <c r="H12" s="110" t="inlineStr">
        <is>
          <t>Água mineral</t>
        </is>
      </c>
    </row>
    <row r="13" ht="15" customHeight="1" s="64">
      <c r="A13" s="110" t="inlineStr">
        <is>
          <t>ABRIL/2026</t>
        </is>
      </c>
      <c r="B13" s="110" t="inlineStr">
        <is>
          <t>Atendimento</t>
        </is>
      </c>
      <c r="C13" s="110" t="inlineStr">
        <is>
          <t>Material de escritório</t>
        </is>
      </c>
      <c r="D13" s="110" t="inlineStr">
        <is>
          <t>Soares e Silva</t>
        </is>
      </c>
      <c r="E13" s="129" t="n">
        <v>0</v>
      </c>
      <c r="F13" s="89" t="n">
        <v>0</v>
      </c>
      <c r="G13" s="89" t="n">
        <v>0</v>
      </c>
      <c r="H13" s="110" t="inlineStr">
        <is>
          <t>Capa de carnê</t>
        </is>
      </c>
    </row>
    <row r="14" ht="15" customHeight="1" s="64">
      <c r="A14" s="110" t="inlineStr">
        <is>
          <t>ABRIL/2026</t>
        </is>
      </c>
      <c r="B14" s="110" t="inlineStr">
        <is>
          <t>Atendimento</t>
        </is>
      </c>
      <c r="C14" s="110" t="inlineStr">
        <is>
          <t>Material de uso coletivo</t>
        </is>
      </c>
      <c r="D14" s="110" t="inlineStr">
        <is>
          <t>Soares e Silva</t>
        </is>
      </c>
      <c r="E14" s="129" t="n">
        <v>0</v>
      </c>
      <c r="F14" s="89" t="n">
        <v>0</v>
      </c>
      <c r="G14" s="89" t="n">
        <v>0</v>
      </c>
      <c r="H14" s="110" t="inlineStr">
        <is>
          <t>Agua mineral</t>
        </is>
      </c>
    </row>
    <row r="15" ht="15" customHeight="1" s="64">
      <c r="A15" s="110" t="inlineStr">
        <is>
          <t>ABRIL/2026</t>
        </is>
      </c>
      <c r="B15" s="110" t="inlineStr">
        <is>
          <t>Atendimento</t>
        </is>
      </c>
      <c r="C15" s="110" t="inlineStr">
        <is>
          <t>Material de escritório</t>
        </is>
      </c>
      <c r="D15" s="110" t="inlineStr">
        <is>
          <t>Solon Araújo</t>
        </is>
      </c>
      <c r="E15" s="129" t="n">
        <v>0</v>
      </c>
      <c r="F15" s="89" t="n">
        <v>0</v>
      </c>
      <c r="G15" s="89" t="n">
        <v>0</v>
      </c>
      <c r="H15" s="110" t="inlineStr">
        <is>
          <t>Caixa de resma</t>
        </is>
      </c>
    </row>
    <row r="16" ht="15" customHeight="1" s="64">
      <c r="A16" s="110" t="inlineStr">
        <is>
          <t>ABRIL/2026</t>
        </is>
      </c>
      <c r="B16" s="110" t="inlineStr">
        <is>
          <t>Atendimento</t>
        </is>
      </c>
      <c r="C16" s="110" t="inlineStr">
        <is>
          <t>Material de uso coletivo</t>
        </is>
      </c>
      <c r="D16" s="110" t="inlineStr">
        <is>
          <t>Solon Araújo</t>
        </is>
      </c>
      <c r="E16" s="129" t="n">
        <v>20</v>
      </c>
      <c r="F16" s="89" t="n">
        <v>2.85</v>
      </c>
      <c r="G16" s="89" t="n">
        <v>57</v>
      </c>
      <c r="H16" s="110" t="inlineStr">
        <is>
          <t>Água mineral</t>
        </is>
      </c>
    </row>
    <row r="17" ht="15" customHeight="1" s="64">
      <c r="A17" s="110" t="inlineStr">
        <is>
          <t>ABRIL/2026</t>
        </is>
      </c>
      <c r="B17" s="110" t="inlineStr">
        <is>
          <t>Atendimento</t>
        </is>
      </c>
      <c r="C17" s="110" t="inlineStr">
        <is>
          <t>Material de escritório</t>
        </is>
      </c>
      <c r="D17" s="110" t="inlineStr">
        <is>
          <t>Souza e Silva</t>
        </is>
      </c>
      <c r="E17" s="129" t="n">
        <v>0</v>
      </c>
      <c r="F17" s="89" t="n">
        <v>0</v>
      </c>
      <c r="G17" s="89" t="n">
        <v>0</v>
      </c>
      <c r="H17" s="110" t="inlineStr">
        <is>
          <t>Porta panfleto</t>
        </is>
      </c>
    </row>
    <row r="18" ht="15" customHeight="1" s="64">
      <c r="A18" s="110" t="inlineStr">
        <is>
          <t>ABRIL/2026</t>
        </is>
      </c>
      <c r="B18" s="110" t="inlineStr">
        <is>
          <t>Atendimento</t>
        </is>
      </c>
      <c r="C18" s="110" t="inlineStr">
        <is>
          <t>Material de escritório</t>
        </is>
      </c>
      <c r="D18" s="110" t="inlineStr">
        <is>
          <t>Souza e Silva</t>
        </is>
      </c>
      <c r="E18" s="129" t="n">
        <v>0</v>
      </c>
      <c r="F18" s="89" t="n">
        <v>0</v>
      </c>
      <c r="G18" s="89" t="n">
        <v>0</v>
      </c>
      <c r="H18" s="110" t="inlineStr">
        <is>
          <t>Panfletos</t>
        </is>
      </c>
    </row>
    <row r="19" ht="15" customHeight="1" s="64">
      <c r="A19" s="110" t="inlineStr">
        <is>
          <t>ABRIL/2026</t>
        </is>
      </c>
      <c r="B19" s="110" t="inlineStr">
        <is>
          <t>COE</t>
        </is>
      </c>
      <c r="C19" s="110" t="inlineStr">
        <is>
          <t>Serviços do C.O.E distribuição de serviços</t>
        </is>
      </c>
      <c r="D19" s="110" t="inlineStr">
        <is>
          <t>Soares e Lins</t>
        </is>
      </c>
      <c r="E19" s="129" t="n">
        <v>3650</v>
      </c>
      <c r="F19" s="89" t="n">
        <v>0.457702446918301</v>
      </c>
      <c r="G19" s="89" t="n">
        <v>1670.6139312518</v>
      </c>
      <c r="H19" s="110" t="inlineStr">
        <is>
          <t>Cálculo por número de clientes ativos</t>
        </is>
      </c>
    </row>
    <row r="20" ht="15" customHeight="1" s="64">
      <c r="A20" s="110" t="inlineStr">
        <is>
          <t>ABRIL/2026</t>
        </is>
      </c>
      <c r="B20" s="110" t="inlineStr">
        <is>
          <t>COE</t>
        </is>
      </c>
      <c r="C20" s="110" t="inlineStr">
        <is>
          <t>Serviços do C.O.E distribuição de serviços</t>
        </is>
      </c>
      <c r="D20" s="110" t="inlineStr">
        <is>
          <t>Soares e Silva</t>
        </is>
      </c>
      <c r="E20" s="129" t="n">
        <v>6396</v>
      </c>
      <c r="F20" s="89" t="n">
        <v>0.457702446918301</v>
      </c>
      <c r="G20" s="89" t="n">
        <v>2927.46485048945</v>
      </c>
      <c r="H20" s="110" t="inlineStr">
        <is>
          <t>Cálculo por número de clientes ativos</t>
        </is>
      </c>
    </row>
    <row r="21" ht="15" customHeight="1" s="64">
      <c r="A21" s="110" t="inlineStr">
        <is>
          <t>ABRIL/2026</t>
        </is>
      </c>
      <c r="B21" s="110" t="inlineStr">
        <is>
          <t>COE</t>
        </is>
      </c>
      <c r="C21" s="110" t="inlineStr">
        <is>
          <t>Serviços do C.O.E distribuição de serviços</t>
        </is>
      </c>
      <c r="D21" s="110" t="inlineStr">
        <is>
          <t>Solon Araújo</t>
        </is>
      </c>
      <c r="E21" s="129" t="n">
        <v>14331</v>
      </c>
      <c r="F21" s="89" t="n">
        <v>0.457702446918301</v>
      </c>
      <c r="G21" s="89" t="n">
        <v>6559.33376678617</v>
      </c>
      <c r="H21" s="110" t="inlineStr">
        <is>
          <t>Cálculo por número de clientes ativos</t>
        </is>
      </c>
    </row>
    <row r="22" ht="15" customHeight="1" s="64">
      <c r="A22" s="110" t="inlineStr">
        <is>
          <t>ABRIL/2026</t>
        </is>
      </c>
      <c r="B22" s="110" t="inlineStr">
        <is>
          <t>COE</t>
        </is>
      </c>
      <c r="C22" s="110" t="inlineStr">
        <is>
          <t>Serviços do C.O.E distribuição de serviços</t>
        </is>
      </c>
      <c r="D22" s="110" t="inlineStr">
        <is>
          <t>Voicenet</t>
        </is>
      </c>
      <c r="E22" s="129" t="n">
        <v>4782</v>
      </c>
      <c r="F22" s="89" t="n">
        <v>0.457702446918301</v>
      </c>
      <c r="G22" s="89" t="n">
        <v>2188.73310116332</v>
      </c>
      <c r="H22" s="110" t="inlineStr">
        <is>
          <t>Cálculo por número de clientes ativos</t>
        </is>
      </c>
    </row>
    <row r="23" ht="15" customHeight="1" s="64">
      <c r="A23" s="110" t="inlineStr">
        <is>
          <t>ABRIL/2026</t>
        </is>
      </c>
      <c r="B23" s="110" t="inlineStr">
        <is>
          <t>Comercial</t>
        </is>
      </c>
      <c r="C23" s="110" t="inlineStr">
        <is>
          <t>Consultas e análises de crédito</t>
        </is>
      </c>
      <c r="D23" s="110" t="inlineStr">
        <is>
          <t>DTEL</t>
        </is>
      </c>
      <c r="E23" s="129" t="n">
        <v>6246</v>
      </c>
      <c r="F23" s="89" t="n">
        <v>1.86</v>
      </c>
      <c r="G23" s="89" t="n">
        <v>11617.56</v>
      </c>
      <c r="H23" s="110" t="inlineStr">
        <is>
          <t>Vendas cadastradas e consultadas pelo argos</t>
        </is>
      </c>
    </row>
    <row r="24" ht="15" customHeight="1" s="64">
      <c r="A24" s="110" t="inlineStr">
        <is>
          <t>ABRIL/2026</t>
        </is>
      </c>
      <c r="B24" s="110" t="inlineStr">
        <is>
          <t>Comercial</t>
        </is>
      </c>
      <c r="C24" s="110" t="inlineStr">
        <is>
          <t>Consultas e análises de crédito</t>
        </is>
      </c>
      <c r="D24" s="110" t="inlineStr">
        <is>
          <t>DX2</t>
        </is>
      </c>
      <c r="E24" s="129" t="n">
        <v>296</v>
      </c>
      <c r="F24" s="89" t="n">
        <v>1.86</v>
      </c>
      <c r="G24" s="89" t="n">
        <v>550.5599999999999</v>
      </c>
      <c r="H24" s="110" t="inlineStr">
        <is>
          <t>Vendas cadastradas e consultadas pelo argos</t>
        </is>
      </c>
    </row>
    <row r="25" ht="15" customHeight="1" s="64">
      <c r="A25" s="110" t="inlineStr">
        <is>
          <t>ABRIL/2026</t>
        </is>
      </c>
      <c r="B25" s="110" t="inlineStr">
        <is>
          <t>Comercial</t>
        </is>
      </c>
      <c r="C25" s="110" t="inlineStr">
        <is>
          <t>Despesa do consultor BARTOLOMEU</t>
        </is>
      </c>
      <c r="D25" s="110" t="inlineStr">
        <is>
          <t>DX2</t>
        </is>
      </c>
      <c r="E25" s="129" t="n">
        <v>2</v>
      </c>
      <c r="F25" s="89" t="n">
        <v>383.56</v>
      </c>
      <c r="G25" s="89" t="n">
        <v>767.12</v>
      </c>
      <c r="H25" s="110" t="inlineStr">
        <is>
          <t>Despesa trabalhista e combustivel do consultor dividido pelo total de vendas</t>
        </is>
      </c>
    </row>
    <row r="26" ht="15" customHeight="1" s="64">
      <c r="A26" s="110" t="inlineStr">
        <is>
          <t>ABRIL/2026</t>
        </is>
      </c>
      <c r="B26" s="110" t="inlineStr">
        <is>
          <t>Comercial</t>
        </is>
      </c>
      <c r="C26" s="110" t="inlineStr">
        <is>
          <t>Despesa do consultor PAULO MELO</t>
        </is>
      </c>
      <c r="D26" s="110" t="inlineStr">
        <is>
          <t>DX2</t>
        </is>
      </c>
      <c r="E26" s="129" t="n">
        <v>0</v>
      </c>
      <c r="F26" s="89" t="n">
        <v>0</v>
      </c>
      <c r="G26" s="89" t="n">
        <v>0</v>
      </c>
      <c r="H26" s="110" t="inlineStr">
        <is>
          <t>Despesa trabalhista e combustível do consultor dividido pelo total de vendas</t>
        </is>
      </c>
    </row>
    <row r="27" ht="15" customHeight="1" s="64">
      <c r="A27" s="110" t="inlineStr">
        <is>
          <t>ABRIL/2026</t>
        </is>
      </c>
      <c r="B27" s="110" t="inlineStr">
        <is>
          <t>Comercial</t>
        </is>
      </c>
      <c r="C27" s="110" t="inlineStr">
        <is>
          <t>Despesa do consultor PEDRO GREGO</t>
        </is>
      </c>
      <c r="D27" s="110" t="inlineStr">
        <is>
          <t>DX2</t>
        </is>
      </c>
      <c r="E27" s="129" t="n">
        <v>3</v>
      </c>
      <c r="F27" s="89" t="n">
        <v>300.37</v>
      </c>
      <c r="G27" s="89" t="n">
        <v>901.11</v>
      </c>
      <c r="H27" s="110" t="inlineStr">
        <is>
          <t>Despesa trabalhista e combustível do consultor dividido pelo total de vendas (cliente 12195,12634,12408)</t>
        </is>
      </c>
    </row>
    <row r="28" ht="15" customHeight="1" s="64">
      <c r="A28" s="110" t="inlineStr">
        <is>
          <t>ABRIL/2026</t>
        </is>
      </c>
      <c r="B28" s="110" t="inlineStr">
        <is>
          <t>Comercial</t>
        </is>
      </c>
      <c r="C28" s="110" t="inlineStr">
        <is>
          <t>Despesa do coordenador TIAGO, pela gestão da equipe</t>
        </is>
      </c>
      <c r="D28" s="110" t="inlineStr">
        <is>
          <t>DX2</t>
        </is>
      </c>
      <c r="E28" s="129" t="n">
        <v>-1</v>
      </c>
      <c r="F28" s="89" t="n">
        <v>812.42</v>
      </c>
      <c r="G28" s="89" t="n">
        <v>-812.42</v>
      </c>
      <c r="H28" s="110" t="inlineStr">
        <is>
          <t>Crédito por despesa com combustível e utilização de veÍculo dx2</t>
        </is>
      </c>
    </row>
    <row r="29" ht="15" customHeight="1" s="64">
      <c r="A29" s="110" t="inlineStr">
        <is>
          <t>ABRIL/2026</t>
        </is>
      </c>
      <c r="B29" s="110" t="inlineStr">
        <is>
          <t>Comercial</t>
        </is>
      </c>
      <c r="C29" s="110" t="inlineStr">
        <is>
          <t>Despesa do coordenador TIAGO, pela gestão da equipe</t>
        </is>
      </c>
      <c r="D29" s="110" t="inlineStr">
        <is>
          <t>DX2</t>
        </is>
      </c>
      <c r="E29" s="129" t="n">
        <v>-1</v>
      </c>
      <c r="F29" s="89" t="n">
        <v>4015.98</v>
      </c>
      <c r="G29" s="89" t="n">
        <v>-4015.98</v>
      </c>
      <c r="H29" s="110" t="inlineStr">
        <is>
          <t>Crédito por participação do coordenador na base h&amp;a e soares e silva</t>
        </is>
      </c>
    </row>
    <row r="30" ht="15" customHeight="1" s="64">
      <c r="A30" s="110" t="inlineStr">
        <is>
          <t>ABRIL/2026</t>
        </is>
      </c>
      <c r="B30" s="110" t="inlineStr">
        <is>
          <t>Comercial</t>
        </is>
      </c>
      <c r="C30" s="110" t="inlineStr">
        <is>
          <t>Vendas da equipe DX2 porta a porta P/ H&amp;A</t>
        </is>
      </c>
      <c r="D30" s="110" t="inlineStr">
        <is>
          <t>DX2</t>
        </is>
      </c>
      <c r="E30" s="129" t="n">
        <v>0</v>
      </c>
      <c r="F30" s="89" t="n">
        <v>0</v>
      </c>
      <c r="G30" s="89" t="n">
        <v>0</v>
      </c>
      <c r="H30" s="110" t="inlineStr">
        <is>
          <t>Vendas instaladas</t>
        </is>
      </c>
    </row>
    <row r="31" ht="15" customHeight="1" s="64">
      <c r="A31" s="110" t="inlineStr">
        <is>
          <t>ABRIL/2026</t>
        </is>
      </c>
      <c r="B31" s="110" t="inlineStr">
        <is>
          <t>Comercial</t>
        </is>
      </c>
      <c r="C31" s="110" t="inlineStr">
        <is>
          <t>Vendas da equipe Dtel porta a porta</t>
        </is>
      </c>
      <c r="D31" s="110" t="inlineStr">
        <is>
          <t>DX2</t>
        </is>
      </c>
      <c r="E31" s="129" t="n">
        <v>0</v>
      </c>
      <c r="F31" s="89" t="n">
        <v>0</v>
      </c>
      <c r="G31" s="89" t="n">
        <v>0</v>
      </c>
      <c r="H31" s="110" t="inlineStr">
        <is>
          <t>Vendas instaladas</t>
        </is>
      </c>
    </row>
    <row r="32" ht="15" customHeight="1" s="64">
      <c r="A32" s="110" t="inlineStr">
        <is>
          <t>ABRIL/2026</t>
        </is>
      </c>
      <c r="B32" s="110" t="inlineStr">
        <is>
          <t>Comercial</t>
        </is>
      </c>
      <c r="C32" s="110" t="inlineStr">
        <is>
          <t>Vendas da equipe Dx2 porta a porta p/ Dtel</t>
        </is>
      </c>
      <c r="D32" s="110" t="inlineStr">
        <is>
          <t>DX2</t>
        </is>
      </c>
      <c r="E32" s="129" t="n">
        <v>0</v>
      </c>
      <c r="F32" s="89" t="n">
        <v>0</v>
      </c>
      <c r="G32" s="89" t="n">
        <v>0</v>
      </c>
      <c r="H32" s="110" t="inlineStr">
        <is>
          <t>Vendas instaladas</t>
        </is>
      </c>
    </row>
    <row r="33" ht="15" customHeight="1" s="64">
      <c r="A33" s="110" t="inlineStr">
        <is>
          <t>ABRIL/2026</t>
        </is>
      </c>
      <c r="B33" s="110" t="inlineStr">
        <is>
          <t>Comercial</t>
        </is>
      </c>
      <c r="C33" s="110" t="inlineStr">
        <is>
          <t>Vendas da equipe H&amp;A porta a porta P/ DX2</t>
        </is>
      </c>
      <c r="D33" s="110" t="inlineStr">
        <is>
          <t>DX2</t>
        </is>
      </c>
      <c r="E33" s="129" t="n">
        <v>0</v>
      </c>
      <c r="F33" s="89" t="n">
        <v>0</v>
      </c>
      <c r="G33" s="89" t="n">
        <v>0</v>
      </c>
      <c r="H33" s="110" t="inlineStr">
        <is>
          <t>Vendas instaladas</t>
        </is>
      </c>
    </row>
    <row r="34" ht="15" customHeight="1" s="64">
      <c r="A34" s="110" t="inlineStr">
        <is>
          <t>ABRIL/2026</t>
        </is>
      </c>
      <c r="B34" s="110" t="inlineStr">
        <is>
          <t>Comercial</t>
        </is>
      </c>
      <c r="C34" s="110" t="inlineStr">
        <is>
          <t>Vendas da equipe VOICENET porta a porta P/  DX2</t>
        </is>
      </c>
      <c r="D34" s="110" t="inlineStr">
        <is>
          <t>DX2</t>
        </is>
      </c>
      <c r="E34" s="129" t="n">
        <v>0</v>
      </c>
      <c r="F34" s="89" t="n">
        <v>0</v>
      </c>
      <c r="G34" s="89" t="n">
        <v>0</v>
      </c>
      <c r="H34" s="110" t="inlineStr">
        <is>
          <t>Vendas instaladas</t>
        </is>
      </c>
    </row>
    <row r="35" ht="15" customHeight="1" s="64">
      <c r="A35" s="110" t="inlineStr">
        <is>
          <t>ABRIL/2026</t>
        </is>
      </c>
      <c r="B35" s="110" t="inlineStr">
        <is>
          <t>Comercial</t>
        </is>
      </c>
      <c r="C35" s="110" t="inlineStr">
        <is>
          <t>Comissão de manutenção da Totum</t>
        </is>
      </c>
      <c r="D35" s="110" t="inlineStr">
        <is>
          <t>H&amp;A</t>
        </is>
      </c>
      <c r="E35" s="129" t="n">
        <v>1</v>
      </c>
      <c r="F35" s="89" t="n">
        <v>33.5</v>
      </c>
      <c r="G35" s="89" t="n">
        <v>33.5</v>
      </c>
      <c r="H35" s="110" t="inlineStr">
        <is>
          <t>Conselho regional de enfermagem de PE</t>
        </is>
      </c>
    </row>
    <row r="36" ht="15" customHeight="1" s="64">
      <c r="A36" s="110" t="inlineStr">
        <is>
          <t>ABRIL/2026</t>
        </is>
      </c>
      <c r="B36" s="110" t="inlineStr">
        <is>
          <t>Comercial</t>
        </is>
      </c>
      <c r="C36" s="110" t="inlineStr">
        <is>
          <t>Comissão de manutenção da Totum</t>
        </is>
      </c>
      <c r="D36" s="110" t="inlineStr">
        <is>
          <t>H&amp;A</t>
        </is>
      </c>
      <c r="E36" s="129" t="n">
        <v>1</v>
      </c>
      <c r="F36" s="89" t="n">
        <v>22</v>
      </c>
      <c r="G36" s="89" t="n">
        <v>22</v>
      </c>
      <c r="H36" s="110" t="inlineStr">
        <is>
          <t>71 Batalhão De Infantaria Motorizado</t>
        </is>
      </c>
    </row>
    <row r="37" ht="15" customHeight="1" s="64">
      <c r="A37" s="110" t="inlineStr">
        <is>
          <t>ABRIL/2026</t>
        </is>
      </c>
      <c r="B37" s="110" t="inlineStr">
        <is>
          <t>Comercial</t>
        </is>
      </c>
      <c r="C37" s="110" t="inlineStr">
        <is>
          <t>Consultas e análises de crédito</t>
        </is>
      </c>
      <c r="D37" s="110" t="inlineStr">
        <is>
          <t>H&amp;A</t>
        </is>
      </c>
      <c r="E37" s="129" t="n">
        <v>328</v>
      </c>
      <c r="F37" s="89" t="n">
        <v>1.86</v>
      </c>
      <c r="G37" s="89" t="n">
        <v>610.08</v>
      </c>
      <c r="H37" s="110" t="inlineStr">
        <is>
          <t>Vendas cadastradas e consultadas pelo argos</t>
        </is>
      </c>
    </row>
    <row r="38" ht="15" customHeight="1" s="64">
      <c r="A38" s="110" t="inlineStr">
        <is>
          <t>ABRIL/2026</t>
        </is>
      </c>
      <c r="B38" s="110" t="inlineStr">
        <is>
          <t>Comercial</t>
        </is>
      </c>
      <c r="C38" s="110" t="inlineStr">
        <is>
          <t>Despesa do consultor BARTOLOMEU</t>
        </is>
      </c>
      <c r="D38" s="110" t="inlineStr">
        <is>
          <t>H&amp;A</t>
        </is>
      </c>
      <c r="E38" s="129" t="n">
        <v>5</v>
      </c>
      <c r="F38" s="89" t="n">
        <v>383.56</v>
      </c>
      <c r="G38" s="89" t="n">
        <v>1917.8</v>
      </c>
      <c r="H38" s="110" t="inlineStr">
        <is>
          <t>Despesa trabalhista e combustível do consultor dividido pelo total de vendas (cliente 29895,29928,29948,29974,29930)</t>
        </is>
      </c>
    </row>
    <row r="39" ht="15" customHeight="1" s="64">
      <c r="A39" s="110" t="inlineStr">
        <is>
          <t>ABRIL/2026</t>
        </is>
      </c>
      <c r="B39" s="110" t="inlineStr">
        <is>
          <t>Comercial</t>
        </is>
      </c>
      <c r="C39" s="110" t="inlineStr">
        <is>
          <t>Despesa do consultor PAULO MELO</t>
        </is>
      </c>
      <c r="D39" s="110" t="inlineStr">
        <is>
          <t>H&amp;A</t>
        </is>
      </c>
      <c r="E39" s="129" t="n">
        <v>1</v>
      </c>
      <c r="F39" s="89" t="n">
        <v>338.53</v>
      </c>
      <c r="G39" s="89" t="n">
        <v>338.53</v>
      </c>
      <c r="H39" s="110" t="inlineStr">
        <is>
          <t>Despesa trabalhista e combustível do consultor dividido pelo total de vendas(cliente 30172,29955,30042)</t>
        </is>
      </c>
    </row>
    <row r="40" ht="15" customHeight="1" s="64">
      <c r="A40" s="110" t="inlineStr">
        <is>
          <t>ABRIL/2026</t>
        </is>
      </c>
      <c r="B40" s="110" t="inlineStr">
        <is>
          <t>Comercial</t>
        </is>
      </c>
      <c r="C40" s="110" t="inlineStr">
        <is>
          <t>Despesa do consultor PEDRO GREGO</t>
        </is>
      </c>
      <c r="D40" s="110" t="inlineStr">
        <is>
          <t>H&amp;A</t>
        </is>
      </c>
      <c r="E40" s="129" t="n">
        <v>1</v>
      </c>
      <c r="F40" s="89" t="n">
        <v>400.26</v>
      </c>
      <c r="G40" s="89" t="n">
        <v>400.26</v>
      </c>
      <c r="H40" s="110" t="inlineStr">
        <is>
          <t>Despesa trabalhista e combustível do consultor dividido pelo total de vendas (ciente 29740,30064,30038,30076)</t>
        </is>
      </c>
    </row>
    <row r="41" ht="15" customHeight="1" s="64">
      <c r="A41" s="110" t="inlineStr">
        <is>
          <t>ABRIL/2026</t>
        </is>
      </c>
      <c r="B41" s="110" t="inlineStr">
        <is>
          <t>Comercial</t>
        </is>
      </c>
      <c r="C41" s="110" t="inlineStr">
        <is>
          <t>Despesa do coordenador TIAGO, pela gestão da equipe</t>
        </is>
      </c>
      <c r="D41" s="110" t="inlineStr">
        <is>
          <t>H&amp;A</t>
        </is>
      </c>
      <c r="E41" s="129" t="n">
        <v>1</v>
      </c>
      <c r="F41" s="89" t="n">
        <v>268.13</v>
      </c>
      <c r="G41" s="89" t="n">
        <v>268.13</v>
      </c>
      <c r="H41" s="110" t="inlineStr">
        <is>
          <t>Despesa com combustÍvel e utilização de veiculo dx2</t>
        </is>
      </c>
    </row>
    <row r="42" ht="15" customHeight="1" s="64">
      <c r="A42" s="110" t="inlineStr">
        <is>
          <t>ABRIL/2026</t>
        </is>
      </c>
      <c r="B42" s="110" t="inlineStr">
        <is>
          <t>Comercial</t>
        </is>
      </c>
      <c r="C42" s="110" t="inlineStr">
        <is>
          <t>Despesa do coordenador TIAGO, pela gestão da equipe</t>
        </is>
      </c>
      <c r="D42" s="110" t="inlineStr">
        <is>
          <t>H&amp;A</t>
        </is>
      </c>
      <c r="E42" s="129" t="n">
        <v>52</v>
      </c>
      <c r="F42" s="89" t="n">
        <v>20.06</v>
      </c>
      <c r="G42" s="89" t="n">
        <v>1043.12</v>
      </c>
      <c r="H42" s="110" t="inlineStr">
        <is>
          <t>Despesa trabalhista dividida pela quantidade de vendas</t>
        </is>
      </c>
    </row>
    <row r="43" ht="15" customHeight="1" s="64">
      <c r="A43" s="110" t="inlineStr">
        <is>
          <t>ABRIL/2026</t>
        </is>
      </c>
      <c r="B43" s="110" t="inlineStr">
        <is>
          <t>Comercial</t>
        </is>
      </c>
      <c r="C43" s="110" t="inlineStr">
        <is>
          <t>Vendas da equipe DX2 para H&amp;A</t>
        </is>
      </c>
      <c r="D43" s="110" t="inlineStr">
        <is>
          <t>H&amp;A</t>
        </is>
      </c>
      <c r="E43" s="129" t="n">
        <v>0</v>
      </c>
      <c r="F43" s="89" t="n">
        <v>0</v>
      </c>
      <c r="G43" s="89" t="n">
        <v>0</v>
      </c>
      <c r="H43" s="110" t="inlineStr">
        <is>
          <t>Vendas instaladas</t>
        </is>
      </c>
    </row>
    <row r="44" ht="15" customHeight="1" s="64">
      <c r="A44" s="110" t="inlineStr">
        <is>
          <t>ABRIL/2026</t>
        </is>
      </c>
      <c r="B44" s="110" t="inlineStr">
        <is>
          <t>Comercial</t>
        </is>
      </c>
      <c r="C44" s="110" t="inlineStr">
        <is>
          <t>Vendas da equipe Dtel porta a porta</t>
        </is>
      </c>
      <c r="D44" s="110" t="inlineStr">
        <is>
          <t>H&amp;A</t>
        </is>
      </c>
      <c r="E44" s="129" t="n">
        <v>1</v>
      </c>
      <c r="F44" s="89" t="n">
        <v>0</v>
      </c>
      <c r="G44" s="89" t="n">
        <v>0</v>
      </c>
      <c r="H44" s="110" t="inlineStr">
        <is>
          <t>Vendas instaladas</t>
        </is>
      </c>
    </row>
    <row r="45" ht="15" customHeight="1" s="64">
      <c r="A45" s="110" t="inlineStr">
        <is>
          <t>ABRIL/2026</t>
        </is>
      </c>
      <c r="B45" s="110" t="inlineStr">
        <is>
          <t>Comercial</t>
        </is>
      </c>
      <c r="C45" s="110" t="inlineStr">
        <is>
          <t>Vendas da equipe H&amp;A P/ VOICENET</t>
        </is>
      </c>
      <c r="D45" s="110" t="inlineStr">
        <is>
          <t>H&amp;A</t>
        </is>
      </c>
      <c r="E45" s="129" t="n">
        <v>0</v>
      </c>
      <c r="F45" s="89" t="n">
        <v>0</v>
      </c>
      <c r="G45" s="89" t="n">
        <v>0</v>
      </c>
      <c r="H45" s="110" t="inlineStr">
        <is>
          <t>Vendas instaladas</t>
        </is>
      </c>
    </row>
    <row r="46" ht="15" customHeight="1" s="64">
      <c r="A46" s="110" t="inlineStr">
        <is>
          <t>ABRIL/2026</t>
        </is>
      </c>
      <c r="B46" s="110" t="inlineStr">
        <is>
          <t>Comercial</t>
        </is>
      </c>
      <c r="C46" s="110" t="inlineStr">
        <is>
          <t>Vendas da equipe H&amp;A para Dtel</t>
        </is>
      </c>
      <c r="D46" s="110" t="inlineStr">
        <is>
          <t>H&amp;A</t>
        </is>
      </c>
      <c r="E46" s="129" t="n">
        <v>1</v>
      </c>
      <c r="F46" s="89" t="n">
        <v>0</v>
      </c>
      <c r="G46" s="89" t="n">
        <v>0</v>
      </c>
      <c r="H46" s="110" t="inlineStr">
        <is>
          <t>Vendas instaladas</t>
        </is>
      </c>
    </row>
    <row r="47" ht="15" customHeight="1" s="64">
      <c r="A47" s="110" t="inlineStr">
        <is>
          <t>ABRIL/2026</t>
        </is>
      </c>
      <c r="B47" s="110" t="inlineStr">
        <is>
          <t>Comercial</t>
        </is>
      </c>
      <c r="C47" s="110" t="inlineStr">
        <is>
          <t>Vendas da equipe H&amp;A para Dx2</t>
        </is>
      </c>
      <c r="D47" s="110" t="inlineStr">
        <is>
          <t>H&amp;A</t>
        </is>
      </c>
      <c r="E47" s="129" t="n">
        <v>0</v>
      </c>
      <c r="F47" s="89" t="n">
        <v>0</v>
      </c>
      <c r="G47" s="89" t="n">
        <v>0</v>
      </c>
      <c r="H47" s="110" t="inlineStr">
        <is>
          <t>Vendas instaladas</t>
        </is>
      </c>
    </row>
    <row r="48" ht="15" customHeight="1" s="64">
      <c r="A48" s="110" t="inlineStr">
        <is>
          <t>ABRIL/2026</t>
        </is>
      </c>
      <c r="B48" s="110" t="inlineStr">
        <is>
          <t>Comercial</t>
        </is>
      </c>
      <c r="C48" s="110" t="inlineStr">
        <is>
          <t>Vendas da equipe H&amp;A para soares e silva</t>
        </is>
      </c>
      <c r="D48" s="110" t="inlineStr">
        <is>
          <t>H&amp;A</t>
        </is>
      </c>
      <c r="E48" s="129" t="n">
        <v>0</v>
      </c>
      <c r="F48" s="89" t="n">
        <v>0</v>
      </c>
      <c r="G48" s="89" t="n">
        <v>0</v>
      </c>
      <c r="H48" s="110" t="inlineStr">
        <is>
          <t>Vendas instaladas</t>
        </is>
      </c>
    </row>
    <row r="49" ht="15" customHeight="1" s="64">
      <c r="A49" s="110" t="inlineStr">
        <is>
          <t>ABRIL/2026</t>
        </is>
      </c>
      <c r="B49" s="110" t="inlineStr">
        <is>
          <t>Comercial</t>
        </is>
      </c>
      <c r="C49" s="110" t="inlineStr">
        <is>
          <t>Consultas e análises de crédito</t>
        </is>
      </c>
      <c r="D49" s="110" t="inlineStr">
        <is>
          <t>Soares e Lins</t>
        </is>
      </c>
      <c r="E49" s="129" t="n">
        <v>236</v>
      </c>
      <c r="F49" s="89" t="n">
        <v>1.86</v>
      </c>
      <c r="G49" s="89" t="n">
        <v>438.96</v>
      </c>
      <c r="H49" s="110" t="inlineStr">
        <is>
          <t>Vendas cadastradas e consultadas pelo argos</t>
        </is>
      </c>
    </row>
    <row r="50" ht="15" customHeight="1" s="64">
      <c r="A50" s="110" t="inlineStr">
        <is>
          <t>ABRIL/2026</t>
        </is>
      </c>
      <c r="B50" s="110" t="inlineStr">
        <is>
          <t>Comercial</t>
        </is>
      </c>
      <c r="C50" s="110" t="inlineStr">
        <is>
          <t>Despesa do consultor BARTOLOMEU</t>
        </is>
      </c>
      <c r="D50" s="110" t="inlineStr">
        <is>
          <t>Soares e Lins</t>
        </is>
      </c>
      <c r="E50" s="129" t="n">
        <v>0</v>
      </c>
      <c r="F50" s="89" t="n">
        <v>0</v>
      </c>
      <c r="G50" s="89" t="n">
        <v>0</v>
      </c>
      <c r="H50" s="110" t="inlineStr">
        <is>
          <t>Despesa trabalhista e combustivel do consultor dividido pelo total de vendas</t>
        </is>
      </c>
    </row>
    <row r="51" ht="15" customHeight="1" s="64">
      <c r="A51" s="110" t="inlineStr">
        <is>
          <t>ABRIL/2026</t>
        </is>
      </c>
      <c r="B51" s="110" t="inlineStr">
        <is>
          <t>Comercial</t>
        </is>
      </c>
      <c r="C51" s="110" t="inlineStr">
        <is>
          <t>Despesa do consultor PAULO MELO</t>
        </is>
      </c>
      <c r="D51" s="110" t="inlineStr">
        <is>
          <t>Soares e Lins</t>
        </is>
      </c>
      <c r="E51" s="129" t="n">
        <v>2</v>
      </c>
      <c r="F51" s="89" t="n">
        <v>338.53</v>
      </c>
      <c r="G51" s="89" t="n">
        <v>677.0599999999999</v>
      </c>
      <c r="H51" s="110" t="inlineStr">
        <is>
          <t>Despesa trabalhista e combustivel do consultor dividido pelo total de vendas</t>
        </is>
      </c>
    </row>
    <row r="52" ht="15" customHeight="1" s="64">
      <c r="A52" s="110" t="inlineStr">
        <is>
          <t>ABRIL/2026</t>
        </is>
      </c>
      <c r="B52" s="110" t="inlineStr">
        <is>
          <t>Comercial</t>
        </is>
      </c>
      <c r="C52" s="110" t="inlineStr">
        <is>
          <t>Despesa do consultor PEDRO GREGO</t>
        </is>
      </c>
      <c r="D52" s="110" t="inlineStr">
        <is>
          <t>Soares e Lins</t>
        </is>
      </c>
      <c r="E52" s="129" t="n">
        <v>1</v>
      </c>
      <c r="F52" s="89" t="n">
        <v>300.37</v>
      </c>
      <c r="G52" s="89" t="n">
        <v>300.37</v>
      </c>
      <c r="H52" s="110" t="inlineStr">
        <is>
          <t>Despesa trabalhista e combustível do consultor dividido pelo total de vendas(cliente 7777)</t>
        </is>
      </c>
    </row>
    <row r="53" ht="15" customHeight="1" s="64">
      <c r="A53" s="110" t="inlineStr">
        <is>
          <t>ABRIL/2026</t>
        </is>
      </c>
      <c r="B53" s="110" t="inlineStr">
        <is>
          <t>Comercial</t>
        </is>
      </c>
      <c r="C53" s="110" t="inlineStr">
        <is>
          <t>Vendas da equipe Dtel porta a porta</t>
        </is>
      </c>
      <c r="D53" s="110" t="inlineStr">
        <is>
          <t>Soares e Lins</t>
        </is>
      </c>
      <c r="E53" s="129" t="n">
        <v>1</v>
      </c>
      <c r="F53" s="89" t="n">
        <v>0</v>
      </c>
      <c r="G53" s="89" t="n">
        <v>0</v>
      </c>
      <c r="H53" s="110" t="inlineStr">
        <is>
          <t>Vendas instaladas</t>
        </is>
      </c>
    </row>
    <row r="54" ht="15" customHeight="1" s="64">
      <c r="A54" s="110" t="inlineStr">
        <is>
          <t>ABRIL/2026</t>
        </is>
      </c>
      <c r="B54" s="110" t="inlineStr">
        <is>
          <t>Comercial</t>
        </is>
      </c>
      <c r="C54" s="110" t="inlineStr">
        <is>
          <t>Vendas da equipe Soares e lins p/ Dtel</t>
        </is>
      </c>
      <c r="D54" s="110" t="inlineStr">
        <is>
          <t>Soares e Lins</t>
        </is>
      </c>
      <c r="E54" s="129" t="n">
        <v>1</v>
      </c>
      <c r="F54" s="89" t="n">
        <v>0</v>
      </c>
      <c r="G54" s="89" t="n">
        <v>0</v>
      </c>
      <c r="H54" s="110" t="inlineStr">
        <is>
          <t>Vendas instaladas</t>
        </is>
      </c>
    </row>
    <row r="55" ht="15" customHeight="1" s="64">
      <c r="A55" s="110" t="inlineStr">
        <is>
          <t>ABRIL/2026</t>
        </is>
      </c>
      <c r="B55" s="110" t="inlineStr">
        <is>
          <t>Comercial</t>
        </is>
      </c>
      <c r="C55" s="110" t="inlineStr">
        <is>
          <t>Vendas da equipe Soares e lins p/ solon</t>
        </is>
      </c>
      <c r="D55" s="110" t="inlineStr">
        <is>
          <t>Soares e Lins</t>
        </is>
      </c>
      <c r="E55" s="129" t="n">
        <v>0</v>
      </c>
      <c r="F55" s="89" t="n">
        <v>0</v>
      </c>
      <c r="G55" s="89" t="n">
        <v>0</v>
      </c>
      <c r="H55" s="110" t="inlineStr">
        <is>
          <t>Vendas instaladas</t>
        </is>
      </c>
    </row>
    <row r="56" ht="15" customHeight="1" s="64">
      <c r="A56" s="110" t="inlineStr">
        <is>
          <t>ABRIL/2026</t>
        </is>
      </c>
      <c r="B56" s="110" t="inlineStr">
        <is>
          <t>Comercial</t>
        </is>
      </c>
      <c r="C56" s="110" t="inlineStr">
        <is>
          <t>Vendas da equipe voicenet P/ SOARES E LINS</t>
        </is>
      </c>
      <c r="D56" s="110" t="inlineStr">
        <is>
          <t>Soares e Lins</t>
        </is>
      </c>
      <c r="E56" s="129" t="n">
        <v>0</v>
      </c>
      <c r="F56" s="89" t="n">
        <v>0</v>
      </c>
      <c r="G56" s="89" t="n">
        <v>0</v>
      </c>
      <c r="H56" s="110" t="inlineStr">
        <is>
          <t>Vendas instaladas</t>
        </is>
      </c>
    </row>
    <row r="57" ht="15" customHeight="1" s="64">
      <c r="A57" s="110" t="inlineStr">
        <is>
          <t>ABRIL/2026</t>
        </is>
      </c>
      <c r="B57" s="110" t="inlineStr">
        <is>
          <t>Comercial</t>
        </is>
      </c>
      <c r="C57" s="110" t="inlineStr">
        <is>
          <t>Consultas e análises de crédito</t>
        </is>
      </c>
      <c r="D57" s="110" t="inlineStr">
        <is>
          <t>Soares e Silva</t>
        </is>
      </c>
      <c r="E57" s="129" t="n">
        <v>666</v>
      </c>
      <c r="F57" s="89" t="n">
        <v>1.86</v>
      </c>
      <c r="G57" s="89" t="n">
        <v>1238.76</v>
      </c>
      <c r="H57" s="110" t="inlineStr">
        <is>
          <t>Vendas cadastradas e consultadas pelo argos</t>
        </is>
      </c>
    </row>
    <row r="58" ht="15" customHeight="1" s="64">
      <c r="A58" s="110" t="inlineStr">
        <is>
          <t>ABRIL/2026</t>
        </is>
      </c>
      <c r="B58" s="110" t="inlineStr">
        <is>
          <t>Comercial</t>
        </is>
      </c>
      <c r="C58" s="110" t="inlineStr">
        <is>
          <t>Despesa do consultor BARTOLOMEU</t>
        </is>
      </c>
      <c r="D58" s="110" t="inlineStr">
        <is>
          <t>Soares e Silva</t>
        </is>
      </c>
      <c r="E58" s="129" t="n">
        <v>4</v>
      </c>
      <c r="F58" s="89" t="n">
        <v>383.56</v>
      </c>
      <c r="G58" s="89" t="n">
        <v>1534.24</v>
      </c>
      <c r="H58" s="110" t="inlineStr">
        <is>
          <t>Despesa trabalhista e combustÍvel do consultor dividido pelo total de vendas (cliente 11663,11670,11886)</t>
        </is>
      </c>
    </row>
    <row r="59" ht="15" customHeight="1" s="64">
      <c r="A59" s="110" t="inlineStr">
        <is>
          <t>ABRIL/2026</t>
        </is>
      </c>
      <c r="B59" s="110" t="inlineStr">
        <is>
          <t>Comercial</t>
        </is>
      </c>
      <c r="C59" s="110" t="inlineStr">
        <is>
          <t>Despesa do consultor PAULO MELO</t>
        </is>
      </c>
      <c r="D59" s="110" t="inlineStr">
        <is>
          <t>Soares e Silva</t>
        </is>
      </c>
      <c r="E59" s="129" t="n">
        <v>4</v>
      </c>
      <c r="F59" s="89" t="n">
        <v>338.53</v>
      </c>
      <c r="G59" s="89" t="n">
        <v>1354.12</v>
      </c>
      <c r="H59" s="110" t="inlineStr">
        <is>
          <t>Despesa trabalhista e combustÍvel dividida pela quantidade de vendas(cliente 12023,11614)</t>
        </is>
      </c>
    </row>
    <row r="60" ht="15" customHeight="1" s="64">
      <c r="A60" s="110" t="inlineStr">
        <is>
          <t>ABRIL/2026</t>
        </is>
      </c>
      <c r="B60" s="110" t="inlineStr">
        <is>
          <t>Comercial</t>
        </is>
      </c>
      <c r="C60" s="110" t="inlineStr">
        <is>
          <t>Despesa do consultor PEDRO GREGO</t>
        </is>
      </c>
      <c r="D60" s="110" t="inlineStr">
        <is>
          <t>Soares e Silva</t>
        </is>
      </c>
      <c r="E60" s="129" t="n">
        <v>2</v>
      </c>
      <c r="F60" s="89" t="n">
        <v>400.26</v>
      </c>
      <c r="G60" s="89" t="n">
        <v>800.52</v>
      </c>
      <c r="H60" s="110" t="inlineStr">
        <is>
          <t>Despesa trabalhista e combustÍvel dividida pela quantidade de vendas (cliente 11395,11810)</t>
        </is>
      </c>
    </row>
    <row r="61" ht="15" customHeight="1" s="64">
      <c r="A61" s="110" t="inlineStr">
        <is>
          <t>ABRIL/2026</t>
        </is>
      </c>
      <c r="B61" s="110" t="inlineStr">
        <is>
          <t>Comercial</t>
        </is>
      </c>
      <c r="C61" s="110" t="inlineStr">
        <is>
          <t>Despesa do coordenador TIAGO, pela gestão da equipe</t>
        </is>
      </c>
      <c r="D61" s="110" t="inlineStr">
        <is>
          <t>Soares e Silva</t>
        </is>
      </c>
      <c r="E61" s="129" t="n">
        <v>1</v>
      </c>
      <c r="F61" s="89" t="n">
        <v>588.98</v>
      </c>
      <c r="G61" s="89" t="n">
        <v>588.98</v>
      </c>
      <c r="H61" s="110" t="inlineStr">
        <is>
          <t>Despesa com combustÍvel e utilização de veÍculo dx2</t>
        </is>
      </c>
    </row>
    <row r="62" ht="15" customHeight="1" s="64">
      <c r="A62" s="110" t="inlineStr">
        <is>
          <t>ABRIL/2026</t>
        </is>
      </c>
      <c r="B62" s="110" t="inlineStr">
        <is>
          <t>Comercial</t>
        </is>
      </c>
      <c r="C62" s="110" t="inlineStr">
        <is>
          <t>Despesa do coordenador TIAGO, pela gestão da equipe</t>
        </is>
      </c>
      <c r="D62" s="110" t="inlineStr">
        <is>
          <t>Soares e Silva</t>
        </is>
      </c>
      <c r="E62" s="129" t="n">
        <v>149</v>
      </c>
      <c r="F62" s="89" t="n">
        <v>20.06</v>
      </c>
      <c r="G62" s="89" t="n">
        <v>2988.94</v>
      </c>
      <c r="H62" s="110" t="inlineStr">
        <is>
          <t>Despesa trabalhista e pela quantidade de vendas</t>
        </is>
      </c>
    </row>
    <row r="63" ht="15" customHeight="1" s="64">
      <c r="A63" s="110" t="inlineStr">
        <is>
          <t>ABRIL/2026</t>
        </is>
      </c>
      <c r="B63" s="110" t="inlineStr">
        <is>
          <t>Comercial</t>
        </is>
      </c>
      <c r="C63" s="110" t="inlineStr">
        <is>
          <t>Vendas da equipe Dtel porta a porta p/ Soares e silva</t>
        </is>
      </c>
      <c r="D63" s="110" t="inlineStr">
        <is>
          <t>Soares e Silva</t>
        </is>
      </c>
      <c r="E63" s="129" t="n">
        <v>2</v>
      </c>
      <c r="F63" s="89" t="n">
        <v>0</v>
      </c>
      <c r="G63" s="89" t="n">
        <v>0</v>
      </c>
      <c r="H63" s="110" t="inlineStr">
        <is>
          <t>Vendas instaladas</t>
        </is>
      </c>
    </row>
    <row r="64" ht="15" customHeight="1" s="64">
      <c r="A64" s="110" t="inlineStr">
        <is>
          <t>ABRIL/2026</t>
        </is>
      </c>
      <c r="B64" s="110" t="inlineStr">
        <is>
          <t>Comercial</t>
        </is>
      </c>
      <c r="C64" s="110" t="inlineStr">
        <is>
          <t>Vendas da equipe H&amp;A para Soares e Silva</t>
        </is>
      </c>
      <c r="D64" s="110" t="inlineStr">
        <is>
          <t>Soares e Silva</t>
        </is>
      </c>
      <c r="E64" s="129" t="n">
        <v>0</v>
      </c>
      <c r="F64" s="89" t="n">
        <v>0</v>
      </c>
      <c r="G64" s="89" t="n">
        <v>0</v>
      </c>
      <c r="H64" s="110" t="inlineStr">
        <is>
          <t>Vendas instaladas</t>
        </is>
      </c>
    </row>
    <row r="65" ht="15" customHeight="1" s="64">
      <c r="A65" s="110" t="inlineStr">
        <is>
          <t>ABRIL/2026</t>
        </is>
      </c>
      <c r="B65" s="110" t="inlineStr">
        <is>
          <t>Comercial</t>
        </is>
      </c>
      <c r="C65" s="110" t="inlineStr">
        <is>
          <t>Vendas da equipe Soares e Silva p/ DTEL</t>
        </is>
      </c>
      <c r="D65" s="110" t="inlineStr">
        <is>
          <t>Soares e Silva</t>
        </is>
      </c>
      <c r="E65" s="129" t="n">
        <v>2</v>
      </c>
      <c r="F65" s="89" t="n">
        <v>0</v>
      </c>
      <c r="G65" s="89" t="n">
        <v>0</v>
      </c>
      <c r="H65" s="110" t="inlineStr">
        <is>
          <t>Vendas instaladas</t>
        </is>
      </c>
    </row>
    <row r="66" ht="15" customHeight="1" s="64">
      <c r="A66" s="110" t="inlineStr">
        <is>
          <t>ABRIL/2026</t>
        </is>
      </c>
      <c r="B66" s="110" t="inlineStr">
        <is>
          <t>Comercial</t>
        </is>
      </c>
      <c r="C66" s="110" t="inlineStr">
        <is>
          <t>Vendas da equipe soares e lins porta a porta p/ Soares e silva</t>
        </is>
      </c>
      <c r="D66" s="110" t="inlineStr">
        <is>
          <t>Soares e Silva</t>
        </is>
      </c>
      <c r="E66" s="129" t="n">
        <v>0</v>
      </c>
      <c r="F66" s="89" t="n">
        <v>0</v>
      </c>
      <c r="G66" s="89" t="n">
        <v>0</v>
      </c>
      <c r="H66" s="110" t="inlineStr">
        <is>
          <t>Vendas instaladas</t>
        </is>
      </c>
    </row>
    <row r="67" ht="15" customHeight="1" s="64">
      <c r="A67" s="110" t="inlineStr">
        <is>
          <t>ABRIL/2026</t>
        </is>
      </c>
      <c r="B67" s="110" t="inlineStr">
        <is>
          <t>Comercial</t>
        </is>
      </c>
      <c r="C67" s="110" t="inlineStr">
        <is>
          <t>Consultas e análises de crédito</t>
        </is>
      </c>
      <c r="D67" s="110" t="inlineStr">
        <is>
          <t>Solon Araújo</t>
        </is>
      </c>
      <c r="E67" s="129" t="n">
        <v>537</v>
      </c>
      <c r="F67" s="89" t="n">
        <v>1.86</v>
      </c>
      <c r="G67" s="89" t="n">
        <v>998.8200000000001</v>
      </c>
      <c r="H67" s="110" t="inlineStr">
        <is>
          <t>Vendas cadastradas e consultadas pelo argos</t>
        </is>
      </c>
    </row>
    <row r="68" ht="15" customHeight="1" s="64">
      <c r="A68" s="110" t="inlineStr">
        <is>
          <t>ABRIL/2026</t>
        </is>
      </c>
      <c r="B68" s="110" t="inlineStr">
        <is>
          <t>Comercial</t>
        </is>
      </c>
      <c r="C68" s="110" t="inlineStr">
        <is>
          <t>Despesa do consultor BARTOLOMEU</t>
        </is>
      </c>
      <c r="D68" s="110" t="inlineStr">
        <is>
          <t>Solon Araújo</t>
        </is>
      </c>
      <c r="E68" s="129" t="n">
        <v>1</v>
      </c>
      <c r="F68" s="89" t="n">
        <v>383.56</v>
      </c>
      <c r="G68" s="89" t="n">
        <v>383.56</v>
      </c>
      <c r="H68" s="110" t="inlineStr">
        <is>
          <t>Despesa trabalhista e combustível do consultor dividido pelo total de vendas (cliente 28304,27900)</t>
        </is>
      </c>
    </row>
    <row r="69" ht="15" customHeight="1" s="64">
      <c r="A69" s="110" t="inlineStr">
        <is>
          <t>ABRIL/2026</t>
        </is>
      </c>
      <c r="B69" s="110" t="inlineStr">
        <is>
          <t>Comercial</t>
        </is>
      </c>
      <c r="C69" s="110" t="inlineStr">
        <is>
          <t>Despesa do consultor PAULO MELO</t>
        </is>
      </c>
      <c r="D69" s="110" t="inlineStr">
        <is>
          <t>Solon Araújo</t>
        </is>
      </c>
      <c r="E69" s="129" t="n">
        <v>4</v>
      </c>
      <c r="F69" s="89" t="n">
        <v>338.53</v>
      </c>
      <c r="G69" s="89" t="n">
        <v>1354.12</v>
      </c>
      <c r="H69" s="110" t="inlineStr">
        <is>
          <t>Despesa trabalhista e combustível dividida pela quantidade de vendas(cliente 28844)</t>
        </is>
      </c>
    </row>
    <row r="70" ht="15" customHeight="1" s="64">
      <c r="A70" s="110" t="inlineStr">
        <is>
          <t>ABRIL/2026</t>
        </is>
      </c>
      <c r="B70" s="110" t="inlineStr">
        <is>
          <t>Comercial</t>
        </is>
      </c>
      <c r="C70" s="110" t="inlineStr">
        <is>
          <t>Despesa do consultor PEDRO GREGO</t>
        </is>
      </c>
      <c r="D70" s="110" t="inlineStr">
        <is>
          <t>Solon Araújo</t>
        </is>
      </c>
      <c r="E70" s="129" t="n">
        <v>1</v>
      </c>
      <c r="F70" s="89" t="n">
        <v>400.26</v>
      </c>
      <c r="G70" s="89" t="n">
        <v>400.26</v>
      </c>
      <c r="H70" s="110" t="inlineStr">
        <is>
          <t>Despesa trabalhista e combustível dividida pela quantidade de vendas (cliente 28561,28511,28473,28474)</t>
        </is>
      </c>
    </row>
    <row r="71" ht="15" customHeight="1" s="64">
      <c r="A71" s="110" t="inlineStr">
        <is>
          <t>ABRIL/2026</t>
        </is>
      </c>
      <c r="B71" s="110" t="inlineStr">
        <is>
          <t>Comercial</t>
        </is>
      </c>
      <c r="C71" s="110" t="inlineStr">
        <is>
          <t>Despesa do coordenador TARCIZIO, pela gestão da equipe</t>
        </is>
      </c>
      <c r="D71" s="110" t="inlineStr">
        <is>
          <t>Solon Araújo</t>
        </is>
      </c>
      <c r="E71" s="129" t="n">
        <v>1</v>
      </c>
      <c r="F71" s="89" t="n">
        <v>434.14</v>
      </c>
      <c r="G71" s="89" t="n">
        <v>434.14</v>
      </c>
      <c r="H71" s="110" t="inlineStr">
        <is>
          <t>Despesa com combustivel e utilização carro dtel</t>
        </is>
      </c>
    </row>
    <row r="72" ht="15" customHeight="1" s="64">
      <c r="A72" s="110" t="inlineStr">
        <is>
          <t>ABRIL/2026</t>
        </is>
      </c>
      <c r="B72" s="110" t="inlineStr">
        <is>
          <t>Comercial</t>
        </is>
      </c>
      <c r="C72" s="110" t="inlineStr">
        <is>
          <t>Despesa do coordenador TARCIZIO, pela gestão da equipe</t>
        </is>
      </c>
      <c r="D72" s="110" t="inlineStr">
        <is>
          <t>Solon Araújo</t>
        </is>
      </c>
      <c r="E72" s="129" t="n">
        <v>9</v>
      </c>
      <c r="F72" s="89" t="n">
        <v>9.699999999999999</v>
      </c>
      <c r="G72" s="89" t="n">
        <v>87.3</v>
      </c>
      <c r="H72" s="110" t="inlineStr">
        <is>
          <t>Despesa trabalhista dividida pela quantidade de vendas</t>
        </is>
      </c>
    </row>
    <row r="73" ht="15" customHeight="1" s="64">
      <c r="A73" s="110" t="inlineStr">
        <is>
          <t>ABRIL/2026</t>
        </is>
      </c>
      <c r="B73" s="110" t="inlineStr">
        <is>
          <t>Comercial</t>
        </is>
      </c>
      <c r="C73" s="110" t="inlineStr">
        <is>
          <t>Vendas da equipe Dtel porta a porta</t>
        </is>
      </c>
      <c r="D73" s="110" t="inlineStr">
        <is>
          <t>Solon Araújo</t>
        </is>
      </c>
      <c r="E73" s="129" t="n">
        <v>15</v>
      </c>
      <c r="F73" s="89" t="n">
        <v>0</v>
      </c>
      <c r="G73" s="89" t="n">
        <v>0</v>
      </c>
      <c r="H73" s="110" t="inlineStr">
        <is>
          <t>Vendas instaladas</t>
        </is>
      </c>
    </row>
    <row r="74" ht="15" customHeight="1" s="64">
      <c r="A74" s="110" t="inlineStr">
        <is>
          <t>ABRIL/2026</t>
        </is>
      </c>
      <c r="B74" s="110" t="inlineStr">
        <is>
          <t>Comercial</t>
        </is>
      </c>
      <c r="C74" s="110" t="inlineStr">
        <is>
          <t>Vendas da equipe Litoral p/ Dtel</t>
        </is>
      </c>
      <c r="D74" s="110" t="inlineStr">
        <is>
          <t>Solon Araújo</t>
        </is>
      </c>
      <c r="E74" s="129" t="n">
        <v>0</v>
      </c>
      <c r="F74" s="89" t="n">
        <v>0</v>
      </c>
      <c r="G74" s="89" t="n">
        <v>0</v>
      </c>
      <c r="H74" s="110" t="inlineStr">
        <is>
          <t>Vendas instaladas</t>
        </is>
      </c>
    </row>
    <row r="75" ht="15" customHeight="1" s="64">
      <c r="A75" s="110" t="inlineStr">
        <is>
          <t>ABRIL/2026</t>
        </is>
      </c>
      <c r="B75" s="110" t="inlineStr">
        <is>
          <t>Comercial</t>
        </is>
      </c>
      <c r="C75" s="110" t="inlineStr">
        <is>
          <t>Vendas da equipe Voicenet p/ Solon</t>
        </is>
      </c>
      <c r="D75" s="110" t="inlineStr">
        <is>
          <t>Solon Araújo</t>
        </is>
      </c>
      <c r="E75" s="129" t="n">
        <v>0</v>
      </c>
      <c r="F75" s="89" t="n">
        <v>0</v>
      </c>
      <c r="G75" s="89" t="n">
        <v>0</v>
      </c>
      <c r="H75" s="110" t="inlineStr">
        <is>
          <t>Vendas instaladas</t>
        </is>
      </c>
    </row>
    <row r="76" ht="15" customHeight="1" s="64">
      <c r="A76" s="110" t="inlineStr">
        <is>
          <t>ABRIL/2026</t>
        </is>
      </c>
      <c r="B76" s="110" t="inlineStr">
        <is>
          <t>Comercial</t>
        </is>
      </c>
      <c r="C76" s="110" t="inlineStr">
        <is>
          <t>Vendas da equipe da soares e lins para Solon</t>
        </is>
      </c>
      <c r="D76" s="110" t="inlineStr">
        <is>
          <t>Solon Araújo</t>
        </is>
      </c>
      <c r="E76" s="129" t="n">
        <v>0</v>
      </c>
      <c r="F76" s="89" t="n">
        <v>0</v>
      </c>
      <c r="G76" s="89" t="n">
        <v>0</v>
      </c>
      <c r="H76" s="110" t="inlineStr">
        <is>
          <t>Vendas instaladas</t>
        </is>
      </c>
    </row>
    <row r="77" ht="15" customHeight="1" s="64">
      <c r="A77" s="110" t="inlineStr">
        <is>
          <t>ABRIL/2026</t>
        </is>
      </c>
      <c r="B77" s="110" t="inlineStr">
        <is>
          <t>Comercial</t>
        </is>
      </c>
      <c r="C77" s="110" t="inlineStr">
        <is>
          <t>Consultas e análises de crédito</t>
        </is>
      </c>
      <c r="D77" s="110" t="inlineStr">
        <is>
          <t>Souza e Silva</t>
        </is>
      </c>
      <c r="E77" s="129" t="n">
        <v>163</v>
      </c>
      <c r="F77" s="89" t="n">
        <v>1.86</v>
      </c>
      <c r="G77" s="89" t="n">
        <v>303.18</v>
      </c>
      <c r="H77" s="110" t="inlineStr">
        <is>
          <t>Vendas cadastradas e consultadas pelo argos</t>
        </is>
      </c>
    </row>
    <row r="78" ht="15" customHeight="1" s="64">
      <c r="A78" s="110" t="inlineStr">
        <is>
          <t>ABRIL/2026</t>
        </is>
      </c>
      <c r="B78" s="110" t="inlineStr">
        <is>
          <t>Comercial</t>
        </is>
      </c>
      <c r="C78" s="110" t="inlineStr">
        <is>
          <t>Despesa do consultor BARTOLOMEU</t>
        </is>
      </c>
      <c r="D78" s="110" t="inlineStr">
        <is>
          <t>Souza e Silva</t>
        </is>
      </c>
      <c r="E78" s="129" t="n">
        <v>1</v>
      </c>
      <c r="F78" s="89" t="n">
        <v>383.56</v>
      </c>
      <c r="G78" s="89" t="n">
        <v>383.56</v>
      </c>
      <c r="H78" s="110" t="inlineStr">
        <is>
          <t>Despesa trabalhista e combustível do consultor dividido pelo total de vendas (9691,9772,9805)</t>
        </is>
      </c>
    </row>
    <row r="79" ht="15" customHeight="1" s="64">
      <c r="A79" s="110" t="inlineStr">
        <is>
          <t>ABRIL/2026</t>
        </is>
      </c>
      <c r="B79" s="110" t="inlineStr">
        <is>
          <t>Comercial</t>
        </is>
      </c>
      <c r="C79" s="110" t="inlineStr">
        <is>
          <t>Despesa do consultor PAULO MELO</t>
        </is>
      </c>
      <c r="D79" s="110" t="inlineStr">
        <is>
          <t>Souza e Silva</t>
        </is>
      </c>
      <c r="E79" s="129" t="n">
        <v>0</v>
      </c>
      <c r="F79" s="89" t="n">
        <v>0</v>
      </c>
      <c r="G79" s="89" t="n">
        <v>0</v>
      </c>
      <c r="H79" s="110" t="inlineStr">
        <is>
          <t>Despesa trabalhista e combustivel dividida pela quantidade de vendas</t>
        </is>
      </c>
    </row>
    <row r="80" ht="15" customHeight="1" s="64">
      <c r="A80" s="110" t="inlineStr">
        <is>
          <t>ABRIL/2026</t>
        </is>
      </c>
      <c r="B80" s="110" t="inlineStr">
        <is>
          <t>Comercial</t>
        </is>
      </c>
      <c r="C80" s="110" t="inlineStr">
        <is>
          <t>Despesa do consultor PEDRO GREGO</t>
        </is>
      </c>
      <c r="D80" s="110" t="inlineStr">
        <is>
          <t>Souza e Silva</t>
        </is>
      </c>
      <c r="E80" s="129" t="n">
        <v>1</v>
      </c>
      <c r="F80" s="89" t="n">
        <v>400.26</v>
      </c>
      <c r="G80" s="89" t="n">
        <v>400.26</v>
      </c>
      <c r="H80" s="110" t="inlineStr">
        <is>
          <t>Despesa trabalhista e combustivel do consultor dividido pelo total de vendas</t>
        </is>
      </c>
    </row>
    <row r="81" ht="15" customHeight="1" s="64">
      <c r="A81" s="110" t="inlineStr">
        <is>
          <t>ABRIL/2026</t>
        </is>
      </c>
      <c r="B81" s="110" t="inlineStr">
        <is>
          <t>Comercial</t>
        </is>
      </c>
      <c r="C81" s="110" t="inlineStr">
        <is>
          <t>Despesa do coordenador TARCIZIO, pela gestão da equipe</t>
        </is>
      </c>
      <c r="D81" s="110" t="inlineStr">
        <is>
          <t>Souza e Silva</t>
        </is>
      </c>
      <c r="E81" s="129" t="n">
        <v>1</v>
      </c>
      <c r="F81" s="89" t="n">
        <v>867</v>
      </c>
      <c r="G81" s="89" t="n">
        <v>867</v>
      </c>
      <c r="H81" s="110" t="inlineStr">
        <is>
          <t>Despesa com combustível e utilização carro dtel</t>
        </is>
      </c>
    </row>
    <row r="82" ht="15" customHeight="1" s="64">
      <c r="A82" s="110" t="inlineStr">
        <is>
          <t>ABRIL/2026</t>
        </is>
      </c>
      <c r="B82" s="110" t="inlineStr">
        <is>
          <t>Comercial</t>
        </is>
      </c>
      <c r="C82" s="110" t="inlineStr">
        <is>
          <t>Despesa do coordenador TARCIZIO, pela gestão da equipe</t>
        </is>
      </c>
      <c r="D82" s="110" t="inlineStr">
        <is>
          <t>Souza e Silva</t>
        </is>
      </c>
      <c r="E82" s="129" t="n">
        <v>21</v>
      </c>
      <c r="F82" s="89" t="n">
        <v>9.699999999999999</v>
      </c>
      <c r="G82" s="89" t="n">
        <v>203.7</v>
      </c>
      <c r="H82" s="110" t="inlineStr">
        <is>
          <t>Despesa trabalhista dividida pela quantidade de vendas</t>
        </is>
      </c>
    </row>
    <row r="83" ht="15" customHeight="1" s="64">
      <c r="A83" s="110" t="inlineStr">
        <is>
          <t>ABRIL/2026</t>
        </is>
      </c>
      <c r="B83" s="110" t="inlineStr">
        <is>
          <t>Comercial</t>
        </is>
      </c>
      <c r="C83" s="110" t="inlineStr">
        <is>
          <t>Vendas da equipe Dtel porta a porta</t>
        </is>
      </c>
      <c r="D83" s="110" t="inlineStr">
        <is>
          <t>Souza e Silva</t>
        </is>
      </c>
      <c r="E83" s="129" t="n">
        <v>0</v>
      </c>
      <c r="F83" s="89" t="n">
        <v>0</v>
      </c>
      <c r="G83" s="89" t="n">
        <v>0</v>
      </c>
      <c r="H83" s="110" t="inlineStr">
        <is>
          <t>Vendas instaladas</t>
        </is>
      </c>
    </row>
    <row r="84" ht="15" customHeight="1" s="64">
      <c r="A84" s="110" t="inlineStr">
        <is>
          <t>ABRIL/2026</t>
        </is>
      </c>
      <c r="B84" s="110" t="inlineStr">
        <is>
          <t>Comercial</t>
        </is>
      </c>
      <c r="C84" s="110" t="inlineStr">
        <is>
          <t>Vendas da equipe Souza e silva p/ DTEL</t>
        </is>
      </c>
      <c r="D84" s="110" t="inlineStr">
        <is>
          <t>Souza e Silva</t>
        </is>
      </c>
      <c r="E84" s="129" t="n">
        <v>0</v>
      </c>
      <c r="F84" s="89" t="n">
        <v>0</v>
      </c>
      <c r="G84" s="89" t="n">
        <v>0</v>
      </c>
      <c r="H84" s="110" t="inlineStr">
        <is>
          <t>Vendas instaladas</t>
        </is>
      </c>
    </row>
    <row r="85" ht="15" customHeight="1" s="64">
      <c r="A85" s="110" t="inlineStr">
        <is>
          <t>ABRIL/2026</t>
        </is>
      </c>
      <c r="B85" s="110" t="inlineStr">
        <is>
          <t>Comercial</t>
        </is>
      </c>
      <c r="C85" s="110" t="inlineStr">
        <is>
          <t>Consultas e análises de crédito</t>
        </is>
      </c>
      <c r="D85" s="110" t="inlineStr">
        <is>
          <t>Voicenet</t>
        </is>
      </c>
      <c r="E85" s="129" t="n">
        <v>378</v>
      </c>
      <c r="F85" s="89" t="n">
        <v>1.86</v>
      </c>
      <c r="G85" s="89" t="n">
        <v>703.08</v>
      </c>
      <c r="H85" s="110" t="inlineStr">
        <is>
          <t>Vendas cadastradas e consultadas pelo argos</t>
        </is>
      </c>
    </row>
    <row r="86" ht="15" customHeight="1" s="64">
      <c r="A86" s="110" t="inlineStr">
        <is>
          <t>ABRIL/2026</t>
        </is>
      </c>
      <c r="B86" s="110" t="inlineStr">
        <is>
          <t>Comercial</t>
        </is>
      </c>
      <c r="C86" s="110" t="inlineStr">
        <is>
          <t>Despesa do consultor BARTOLOMEU</t>
        </is>
      </c>
      <c r="D86" s="110" t="inlineStr">
        <is>
          <t>Voicenet</t>
        </is>
      </c>
      <c r="E86" s="129" t="n">
        <v>1</v>
      </c>
      <c r="F86" s="89" t="n">
        <v>383.56</v>
      </c>
      <c r="G86" s="89" t="n">
        <v>383.56</v>
      </c>
      <c r="H86" s="110" t="inlineStr">
        <is>
          <t>Despesa trabalhista e combustivel dividida pela quantidade de vendas (cliente 15595)</t>
        </is>
      </c>
    </row>
    <row r="87" ht="15" customHeight="1" s="64">
      <c r="A87" s="110" t="inlineStr">
        <is>
          <t>ABRIL/2026</t>
        </is>
      </c>
      <c r="B87" s="110" t="inlineStr">
        <is>
          <t>Comercial</t>
        </is>
      </c>
      <c r="C87" s="110" t="inlineStr">
        <is>
          <t>Despesa do consultor PAULO MELO</t>
        </is>
      </c>
      <c r="D87" s="110" t="inlineStr">
        <is>
          <t>Voicenet</t>
        </is>
      </c>
      <c r="E87" s="129" t="n">
        <v>2</v>
      </c>
      <c r="F87" s="89" t="n">
        <v>338.53</v>
      </c>
      <c r="G87" s="89" t="n">
        <v>677.0599999999999</v>
      </c>
      <c r="H87" s="110" t="inlineStr">
        <is>
          <t>Despesa trabalhista e combustivel do consultor dividido pelo total de vendas(cliente 15826, 15746)</t>
        </is>
      </c>
    </row>
    <row r="88" ht="15" customHeight="1" s="64">
      <c r="A88" s="110" t="inlineStr">
        <is>
          <t>ABRIL/2026</t>
        </is>
      </c>
      <c r="B88" s="110" t="inlineStr">
        <is>
          <t>Comercial</t>
        </is>
      </c>
      <c r="C88" s="110" t="inlineStr">
        <is>
          <t>Despesa do consultor PEDRO GREGO</t>
        </is>
      </c>
      <c r="D88" s="110" t="inlineStr">
        <is>
          <t>Voicenet</t>
        </is>
      </c>
      <c r="E88" s="129" t="n">
        <v>2</v>
      </c>
      <c r="F88" s="89" t="n">
        <v>400.26</v>
      </c>
      <c r="G88" s="89" t="n">
        <v>800.52</v>
      </c>
      <c r="H88" s="110" t="inlineStr">
        <is>
          <t>Despesa trabalhista e combustivel dividida pela quantidade de vendas(cliente 15745,15735)</t>
        </is>
      </c>
    </row>
    <row r="89" ht="15" customHeight="1" s="64">
      <c r="A89" s="110" t="inlineStr">
        <is>
          <t>ABRIL/2026</t>
        </is>
      </c>
      <c r="B89" s="110" t="inlineStr">
        <is>
          <t>Comercial</t>
        </is>
      </c>
      <c r="C89" s="110" t="inlineStr">
        <is>
          <t>Vendas da equipe Dtel porta a porta</t>
        </is>
      </c>
      <c r="D89" s="110" t="inlineStr">
        <is>
          <t>Voicenet</t>
        </is>
      </c>
      <c r="E89" s="129" t="n">
        <v>4</v>
      </c>
      <c r="F89" s="89" t="n">
        <v>0</v>
      </c>
      <c r="G89" s="89" t="n">
        <v>0</v>
      </c>
      <c r="H89" s="110" t="inlineStr">
        <is>
          <t>Vendas instaladas</t>
        </is>
      </c>
    </row>
    <row r="90" ht="15" customHeight="1" s="64">
      <c r="A90" s="110" t="inlineStr">
        <is>
          <t>ABRIL/2026</t>
        </is>
      </c>
      <c r="B90" s="110" t="inlineStr">
        <is>
          <t>Comercial</t>
        </is>
      </c>
      <c r="C90" s="110" t="inlineStr">
        <is>
          <t>Vendas da equipe H&amp;A p/ voice</t>
        </is>
      </c>
      <c r="D90" s="110" t="inlineStr">
        <is>
          <t>Voicenet</t>
        </is>
      </c>
      <c r="E90" s="129" t="n">
        <v>0</v>
      </c>
      <c r="F90" s="89" t="n">
        <v>0</v>
      </c>
      <c r="G90" s="89" t="n">
        <v>0</v>
      </c>
      <c r="H90" s="110" t="inlineStr">
        <is>
          <t>Vendas instaladas</t>
        </is>
      </c>
    </row>
    <row r="91" ht="15" customHeight="1" s="64">
      <c r="A91" s="110" t="inlineStr">
        <is>
          <t>ABRIL/2026</t>
        </is>
      </c>
      <c r="B91" s="110" t="inlineStr">
        <is>
          <t>Comercial</t>
        </is>
      </c>
      <c r="C91" s="110" t="inlineStr">
        <is>
          <t>Vendas da equipe Voicenet para Dtel</t>
        </is>
      </c>
      <c r="D91" s="110" t="inlineStr">
        <is>
          <t>Voicenet</t>
        </is>
      </c>
      <c r="E91" s="129" t="n">
        <v>-15</v>
      </c>
      <c r="F91" s="89" t="n">
        <v>0</v>
      </c>
      <c r="G91" s="89" t="n">
        <v>0</v>
      </c>
      <c r="H91" s="110" t="inlineStr">
        <is>
          <t>Vendas instaladas</t>
        </is>
      </c>
    </row>
    <row r="92" ht="15" customHeight="1" s="64">
      <c r="A92" s="110" t="inlineStr">
        <is>
          <t>ABRIL/2026</t>
        </is>
      </c>
      <c r="B92" s="110" t="inlineStr">
        <is>
          <t>Comercial</t>
        </is>
      </c>
      <c r="C92" s="110" t="inlineStr">
        <is>
          <t>Vendas da equipe da Voicenet para S &amp; L</t>
        </is>
      </c>
      <c r="D92" s="110" t="inlineStr">
        <is>
          <t>Voicenet</t>
        </is>
      </c>
      <c r="E92" s="129" t="n">
        <v>0</v>
      </c>
      <c r="F92" s="89" t="n">
        <v>0</v>
      </c>
      <c r="G92" s="89" t="n">
        <v>0</v>
      </c>
      <c r="H92" s="110" t="inlineStr">
        <is>
          <t>Vendas instaladas</t>
        </is>
      </c>
    </row>
    <row r="93" ht="15" customHeight="1" s="64">
      <c r="A93" s="110" t="inlineStr">
        <is>
          <t>ABRIL/2026</t>
        </is>
      </c>
      <c r="B93" s="110" t="inlineStr">
        <is>
          <t>Comercial</t>
        </is>
      </c>
      <c r="C93" s="110" t="inlineStr">
        <is>
          <t>Vendas da equipe voicenet p/ Solon</t>
        </is>
      </c>
      <c r="D93" s="110" t="inlineStr">
        <is>
          <t>Voicenet</t>
        </is>
      </c>
      <c r="E93" s="129" t="n">
        <v>0</v>
      </c>
      <c r="F93" s="89" t="n">
        <v>0</v>
      </c>
      <c r="G93" s="89" t="n">
        <v>0</v>
      </c>
      <c r="H93" s="110" t="inlineStr">
        <is>
          <t>Vendas instaladas</t>
        </is>
      </c>
    </row>
    <row r="94" ht="15" customHeight="1" s="64">
      <c r="A94" s="110" t="inlineStr">
        <is>
          <t>ABRIL/2026</t>
        </is>
      </c>
      <c r="B94" s="110" t="inlineStr">
        <is>
          <t>Configuração</t>
        </is>
      </c>
      <c r="C94" s="110" t="inlineStr">
        <is>
          <t>Serviços de configuração e suporte ao Técnico</t>
        </is>
      </c>
      <c r="D94" s="110" t="inlineStr">
        <is>
          <t>DX2</t>
        </is>
      </c>
      <c r="E94" s="129" t="n">
        <v>6280</v>
      </c>
      <c r="F94" s="89" t="n">
        <v>0.178624545023269</v>
      </c>
      <c r="G94" s="89" t="n">
        <v>1121.76214274613</v>
      </c>
      <c r="H94" s="110" t="inlineStr">
        <is>
          <t>Cálculo por número de clientes ativos</t>
        </is>
      </c>
    </row>
    <row r="95" ht="15" customHeight="1" s="64">
      <c r="A95" s="110" t="inlineStr">
        <is>
          <t>ABRIL/2026</t>
        </is>
      </c>
      <c r="B95" s="110" t="inlineStr">
        <is>
          <t>Configuração</t>
        </is>
      </c>
      <c r="C95" s="110" t="inlineStr">
        <is>
          <t>Serviços de configuração e suporte ao Técnico</t>
        </is>
      </c>
      <c r="D95" s="110" t="inlineStr">
        <is>
          <t>H&amp;A</t>
        </is>
      </c>
      <c r="E95" s="129" t="n">
        <v>13402</v>
      </c>
      <c r="F95" s="89" t="n">
        <v>0.178624545023269</v>
      </c>
      <c r="G95" s="89" t="n">
        <v>2393.92615240185</v>
      </c>
      <c r="H95" s="110" t="inlineStr">
        <is>
          <t>Cálculo por número de clientes ativos</t>
        </is>
      </c>
    </row>
    <row r="96" ht="15" customHeight="1" s="64">
      <c r="A96" s="110" t="inlineStr">
        <is>
          <t>ABRIL/2026</t>
        </is>
      </c>
      <c r="B96" s="110" t="inlineStr">
        <is>
          <t>Configuração</t>
        </is>
      </c>
      <c r="C96" s="110" t="inlineStr">
        <is>
          <t>Serviços de configuração e suporte ao Técnico</t>
        </is>
      </c>
      <c r="D96" s="110" t="inlineStr">
        <is>
          <t>Soares e Lins</t>
        </is>
      </c>
      <c r="E96" s="129" t="n">
        <v>3650</v>
      </c>
      <c r="F96" s="89" t="n">
        <v>0.178624545023269</v>
      </c>
      <c r="G96" s="89" t="n">
        <v>651.979589334932</v>
      </c>
      <c r="H96" s="110" t="inlineStr">
        <is>
          <t>Cálculo por número de clientes ativos</t>
        </is>
      </c>
    </row>
    <row r="97" ht="15" customHeight="1" s="64">
      <c r="A97" s="110" t="inlineStr">
        <is>
          <t>ABRIL/2026</t>
        </is>
      </c>
      <c r="B97" s="110" t="inlineStr">
        <is>
          <t>Configuração</t>
        </is>
      </c>
      <c r="C97" s="110" t="inlineStr">
        <is>
          <t>Serviços de configuração e suporte ao Técnico</t>
        </is>
      </c>
      <c r="D97" s="110" t="inlineStr">
        <is>
          <t>Soares e Silva</t>
        </is>
      </c>
      <c r="E97" s="129" t="n">
        <v>6396</v>
      </c>
      <c r="F97" s="89" t="n">
        <v>0.178624545023269</v>
      </c>
      <c r="G97" s="89" t="n">
        <v>1142.48258996883</v>
      </c>
      <c r="H97" s="110" t="inlineStr">
        <is>
          <t>Cálculo por número de clientes ativos</t>
        </is>
      </c>
    </row>
    <row r="98" ht="15" customHeight="1" s="64">
      <c r="A98" s="110" t="inlineStr">
        <is>
          <t>ABRIL/2026</t>
        </is>
      </c>
      <c r="B98" s="110" t="inlineStr">
        <is>
          <t>Configuração</t>
        </is>
      </c>
      <c r="C98" s="110" t="inlineStr">
        <is>
          <t>Serviços de configuração e suporte ao Técnico</t>
        </is>
      </c>
      <c r="D98" s="110" t="inlineStr">
        <is>
          <t>Solon Araújo</t>
        </is>
      </c>
      <c r="E98" s="129" t="n">
        <v>14331</v>
      </c>
      <c r="F98" s="89" t="n">
        <v>0.178624545023269</v>
      </c>
      <c r="G98" s="89" t="n">
        <v>2559.86835472847</v>
      </c>
      <c r="H98" s="110" t="inlineStr">
        <is>
          <t>Cálculo por número de clientes ativos</t>
        </is>
      </c>
    </row>
    <row r="99" ht="15" customHeight="1" s="64">
      <c r="A99" s="110" t="inlineStr">
        <is>
          <t>ABRIL/2026</t>
        </is>
      </c>
      <c r="B99" s="110" t="inlineStr">
        <is>
          <t>Configuração</t>
        </is>
      </c>
      <c r="C99" s="110" t="inlineStr">
        <is>
          <t>Serviços de configuração e suporte ao Técnico</t>
        </is>
      </c>
      <c r="D99" s="110" t="inlineStr">
        <is>
          <t>Souza e Silva</t>
        </is>
      </c>
      <c r="E99" s="129" t="n">
        <v>4730</v>
      </c>
      <c r="F99" s="89" t="n">
        <v>0.178624545023269</v>
      </c>
      <c r="G99" s="89" t="n">
        <v>844.894097960063</v>
      </c>
      <c r="H99" s="110" t="inlineStr">
        <is>
          <t>Cálculo por número de clientes ativos</t>
        </is>
      </c>
    </row>
    <row r="100" ht="15" customHeight="1" s="64">
      <c r="A100" s="110" t="inlineStr">
        <is>
          <t>ABRIL/2026</t>
        </is>
      </c>
      <c r="B100" s="110" t="inlineStr">
        <is>
          <t>Configuração</t>
        </is>
      </c>
      <c r="C100" s="110" t="inlineStr">
        <is>
          <t>Serviços de configuração e suporte ao Técnico</t>
        </is>
      </c>
      <c r="D100" s="110" t="inlineStr">
        <is>
          <t>Voicenet</t>
        </is>
      </c>
      <c r="E100" s="129" t="n">
        <v>4782</v>
      </c>
      <c r="F100" s="89" t="n">
        <v>0.178624545023269</v>
      </c>
      <c r="G100" s="89" t="n">
        <v>854.182574301273</v>
      </c>
      <c r="H100" s="110" t="inlineStr">
        <is>
          <t>Cálculo por número de clientes ativos</t>
        </is>
      </c>
    </row>
    <row r="101" ht="15" customHeight="1" s="64">
      <c r="A101" s="110" t="inlineStr">
        <is>
          <t>ABRIL/2026</t>
        </is>
      </c>
      <c r="B101" s="110" t="inlineStr">
        <is>
          <t>Desenvolvimento</t>
        </is>
      </c>
      <c r="C101" s="110" t="inlineStr">
        <is>
          <t>Setor de Desenvolvimento</t>
        </is>
      </c>
      <c r="D101" s="110" t="inlineStr">
        <is>
          <t>H&amp;A</t>
        </is>
      </c>
      <c r="E101" s="129" t="n">
        <v>13402</v>
      </c>
      <c r="F101" s="89" t="n">
        <v>0.0871424396912673</v>
      </c>
      <c r="G101" s="89" t="n">
        <v>1167.88297674237</v>
      </c>
      <c r="H101" s="110" t="inlineStr">
        <is>
          <t>Cálculo por número de clientes ativos</t>
        </is>
      </c>
    </row>
    <row r="102" ht="15" customHeight="1" s="64">
      <c r="A102" s="110" t="inlineStr">
        <is>
          <t>ABRIL/2026</t>
        </is>
      </c>
      <c r="B102" s="110" t="inlineStr">
        <is>
          <t>Engenharia</t>
        </is>
      </c>
      <c r="C102" s="110" t="inlineStr">
        <is>
          <t>Uso mútuo de Postes</t>
        </is>
      </c>
      <c r="D102" s="110" t="inlineStr">
        <is>
          <t>DX2</t>
        </is>
      </c>
      <c r="E102" s="129" t="n">
        <v>1</v>
      </c>
      <c r="F102" s="89" t="n">
        <v>9145.68</v>
      </c>
      <c r="G102" s="89" t="n">
        <v>9145.68</v>
      </c>
      <c r="H102" s="110" t="inlineStr">
        <is>
          <t>Contrato das empresas que está em nome da Dtel</t>
        </is>
      </c>
    </row>
    <row r="103" ht="15" customHeight="1" s="64">
      <c r="A103" s="110" t="inlineStr">
        <is>
          <t>ABRIL/2026</t>
        </is>
      </c>
      <c r="B103" s="110" t="inlineStr">
        <is>
          <t>Engenharia</t>
        </is>
      </c>
      <c r="C103" s="110" t="inlineStr">
        <is>
          <t>Uso mútuo de Postes</t>
        </is>
      </c>
      <c r="D103" s="110" t="inlineStr">
        <is>
          <t>Soares e Lins</t>
        </is>
      </c>
      <c r="E103" s="129" t="n">
        <v>1</v>
      </c>
      <c r="F103" s="89" t="n">
        <v>3372.11</v>
      </c>
      <c r="G103" s="89" t="n">
        <v>3372.11</v>
      </c>
      <c r="H103" s="110" t="inlineStr">
        <is>
          <t>Contrato das empresas que está em nome da Dtel</t>
        </is>
      </c>
    </row>
    <row r="104" ht="15" customHeight="1" s="64">
      <c r="A104" s="110" t="inlineStr">
        <is>
          <t>ABRIL/2026</t>
        </is>
      </c>
      <c r="B104" s="110" t="inlineStr">
        <is>
          <t>Engenharia</t>
        </is>
      </c>
      <c r="C104" s="110" t="inlineStr">
        <is>
          <t>Uso mútuo de Postes</t>
        </is>
      </c>
      <c r="D104" s="110" t="inlineStr">
        <is>
          <t>Souza e Silva</t>
        </is>
      </c>
      <c r="E104" s="129" t="n">
        <v>1</v>
      </c>
      <c r="F104" s="89" t="n">
        <v>15695.77</v>
      </c>
      <c r="G104" s="89" t="n">
        <v>15695.77</v>
      </c>
      <c r="H104" s="110" t="inlineStr">
        <is>
          <t>Contrato das empresas que está em nome da Dtel</t>
        </is>
      </c>
    </row>
    <row r="105" ht="15" customHeight="1" s="64">
      <c r="A105" s="110" t="inlineStr">
        <is>
          <t>ABRIL/2026</t>
        </is>
      </c>
      <c r="B105" s="110" t="inlineStr">
        <is>
          <t>Engenharia</t>
        </is>
      </c>
      <c r="C105" s="110" t="inlineStr">
        <is>
          <t>Despesas da equipe de Engenharia</t>
        </is>
      </c>
      <c r="D105" s="110" t="inlineStr">
        <is>
          <t>Voicenet</t>
        </is>
      </c>
      <c r="E105" s="129" t="n">
        <v>0</v>
      </c>
      <c r="F105" s="89" t="n">
        <v>0</v>
      </c>
      <c r="G105" s="89" t="n">
        <v>0</v>
      </c>
      <c r="H105" s="110" t="inlineStr">
        <is>
          <t>Combustível, alimentação</t>
        </is>
      </c>
    </row>
    <row r="106" ht="15" customHeight="1" s="64">
      <c r="A106" s="110" t="inlineStr">
        <is>
          <t>ABRIL/2026</t>
        </is>
      </c>
      <c r="B106" s="110" t="inlineStr">
        <is>
          <t>Estoque</t>
        </is>
      </c>
      <c r="C106" s="110" t="inlineStr">
        <is>
          <t>Serviços realizados pelo estoque</t>
        </is>
      </c>
      <c r="D106" s="110" t="inlineStr">
        <is>
          <t>DX2</t>
        </is>
      </c>
      <c r="E106" s="129" t="n">
        <v>1</v>
      </c>
      <c r="F106" s="89" t="n">
        <v>1128</v>
      </c>
      <c r="G106" s="89" t="n">
        <v>1128</v>
      </c>
      <c r="H106" s="110" t="inlineStr">
        <is>
          <t>Serviços de marcação de equipamentos</t>
        </is>
      </c>
    </row>
    <row r="107" ht="15" customHeight="1" s="64">
      <c r="A107" s="110" t="inlineStr">
        <is>
          <t>ABRIL/2026</t>
        </is>
      </c>
      <c r="B107" s="110" t="inlineStr">
        <is>
          <t>Estoque</t>
        </is>
      </c>
      <c r="C107" s="110" t="inlineStr">
        <is>
          <t>Serviços realizados pelo estoque</t>
        </is>
      </c>
      <c r="D107" s="110" t="inlineStr">
        <is>
          <t>Soares e Lins</t>
        </is>
      </c>
      <c r="E107" s="129" t="n">
        <v>1</v>
      </c>
      <c r="F107" s="89" t="n">
        <v>676.8</v>
      </c>
      <c r="G107" s="89" t="n">
        <v>676.8</v>
      </c>
      <c r="H107" s="110" t="inlineStr">
        <is>
          <t>Serviços de marcação de equipamentos</t>
        </is>
      </c>
    </row>
    <row r="108" ht="15" customHeight="1" s="64">
      <c r="A108" s="110" t="inlineStr">
        <is>
          <t>ABRIL/2026</t>
        </is>
      </c>
      <c r="B108" s="110" t="inlineStr">
        <is>
          <t>Estoque</t>
        </is>
      </c>
      <c r="C108" s="110" t="inlineStr">
        <is>
          <t>Serviços realizados pelo estoque</t>
        </is>
      </c>
      <c r="D108" s="110" t="inlineStr">
        <is>
          <t>Soares e Silva</t>
        </is>
      </c>
      <c r="E108" s="129" t="n">
        <v>1</v>
      </c>
      <c r="F108" s="89" t="n">
        <v>676.8</v>
      </c>
      <c r="G108" s="89" t="n">
        <v>676.8</v>
      </c>
      <c r="H108" s="110" t="inlineStr">
        <is>
          <t>Horas trabalhas em serviços realizado da oficina Dtel p/ soares e silva</t>
        </is>
      </c>
    </row>
    <row r="109" ht="15" customHeight="1" s="64">
      <c r="A109" s="110" t="inlineStr">
        <is>
          <t>ABRIL/2026</t>
        </is>
      </c>
      <c r="B109" s="110" t="inlineStr">
        <is>
          <t>Estoque</t>
        </is>
      </c>
      <c r="C109" s="110" t="inlineStr">
        <is>
          <t>Serviços realizados pelo estoque</t>
        </is>
      </c>
      <c r="D109" s="110" t="inlineStr">
        <is>
          <t>Soares e Silva</t>
        </is>
      </c>
      <c r="E109" s="129" t="n">
        <v>1</v>
      </c>
      <c r="F109" s="89" t="n">
        <v>338.4</v>
      </c>
      <c r="G109" s="89" t="n">
        <v>338.4</v>
      </c>
      <c r="H109" s="110" t="inlineStr">
        <is>
          <t>Serviços de marcação de equipamentos</t>
        </is>
      </c>
    </row>
    <row r="110" ht="15" customHeight="1" s="64">
      <c r="A110" s="110" t="inlineStr">
        <is>
          <t>ABRIL/2026</t>
        </is>
      </c>
      <c r="B110" s="110" t="inlineStr">
        <is>
          <t>Estoque</t>
        </is>
      </c>
      <c r="C110" s="110" t="inlineStr">
        <is>
          <t>Serviços realizados pelo estoque</t>
        </is>
      </c>
      <c r="D110" s="110" t="inlineStr">
        <is>
          <t>Solon Araújo</t>
        </is>
      </c>
      <c r="E110" s="129" t="n">
        <v>1</v>
      </c>
      <c r="F110" s="89" t="n">
        <v>676.8</v>
      </c>
      <c r="G110" s="89" t="n">
        <v>676.8</v>
      </c>
      <c r="H110" s="110" t="inlineStr">
        <is>
          <t>Horas trabalhas em serviços realizado da oficina Dtel p/ litoral</t>
        </is>
      </c>
    </row>
    <row r="111" ht="15" customHeight="1" s="64">
      <c r="A111" s="110" t="inlineStr">
        <is>
          <t>ABRIL/2026</t>
        </is>
      </c>
      <c r="B111" s="110" t="inlineStr">
        <is>
          <t>Estoque</t>
        </is>
      </c>
      <c r="C111" s="110" t="inlineStr">
        <is>
          <t>Serviços realizados pelo estoque</t>
        </is>
      </c>
      <c r="D111" s="110" t="inlineStr">
        <is>
          <t>Solon Araújo</t>
        </is>
      </c>
      <c r="E111" s="129" t="n">
        <v>1</v>
      </c>
      <c r="F111" s="89" t="n">
        <v>2387.6</v>
      </c>
      <c r="G111" s="89" t="n">
        <v>2387.6</v>
      </c>
      <c r="H111" s="110" t="inlineStr">
        <is>
          <t>Serviços de marcação de equipamentos</t>
        </is>
      </c>
    </row>
    <row r="112" ht="15" customHeight="1" s="64">
      <c r="A112" s="110" t="inlineStr">
        <is>
          <t>ABRIL/2026</t>
        </is>
      </c>
      <c r="B112" s="110" t="inlineStr">
        <is>
          <t>Estoque</t>
        </is>
      </c>
      <c r="C112" s="110" t="inlineStr">
        <is>
          <t>Serviços realizados pelo estoque</t>
        </is>
      </c>
      <c r="D112" s="110" t="inlineStr">
        <is>
          <t>Souza e Silva</t>
        </is>
      </c>
      <c r="E112" s="129" t="n">
        <v>1</v>
      </c>
      <c r="F112" s="89" t="n">
        <v>676.8</v>
      </c>
      <c r="G112" s="89" t="n">
        <v>676.8</v>
      </c>
      <c r="H112" s="110" t="inlineStr">
        <is>
          <t>Serviços de marcação de equipamentos</t>
        </is>
      </c>
    </row>
    <row r="113" ht="15" customHeight="1" s="64">
      <c r="A113" s="110" t="inlineStr">
        <is>
          <t>ABRIL/2026</t>
        </is>
      </c>
      <c r="B113" s="110" t="inlineStr">
        <is>
          <t>Estoque</t>
        </is>
      </c>
      <c r="C113" s="110" t="inlineStr">
        <is>
          <t>Serviços realizados pelo estoque</t>
        </is>
      </c>
      <c r="D113" s="110" t="inlineStr">
        <is>
          <t>Voicenet</t>
        </is>
      </c>
      <c r="E113" s="129" t="n">
        <v>1</v>
      </c>
      <c r="F113" s="89" t="n">
        <v>569.64</v>
      </c>
      <c r="G113" s="89" t="n">
        <v>569.64</v>
      </c>
      <c r="H113" s="110" t="inlineStr">
        <is>
          <t>Serviços de marcação de equipamentos</t>
        </is>
      </c>
    </row>
    <row r="114" ht="15" customHeight="1" s="64">
      <c r="A114" s="110" t="inlineStr">
        <is>
          <t>ABRIL/2026</t>
        </is>
      </c>
      <c r="B114" s="110" t="inlineStr">
        <is>
          <t>Frota</t>
        </is>
      </c>
      <c r="C114" s="110" t="inlineStr">
        <is>
          <t>Abastecimento</t>
        </is>
      </c>
      <c r="D114" s="110" t="inlineStr">
        <is>
          <t>DX2</t>
        </is>
      </c>
      <c r="E114" s="129" t="n">
        <v>0</v>
      </c>
      <c r="F114" s="89" t="n">
        <v>0</v>
      </c>
      <c r="G114" s="89" t="n">
        <v>0</v>
      </c>
      <c r="H114" s="110" t="inlineStr">
        <is>
          <t>Abastecimento da van da dx2 com cartao Dtel</t>
        </is>
      </c>
    </row>
    <row r="115" ht="15" customHeight="1" s="64">
      <c r="A115" s="110" t="inlineStr">
        <is>
          <t>ABRIL/2026</t>
        </is>
      </c>
      <c r="B115" s="110" t="inlineStr">
        <is>
          <t>Frota</t>
        </is>
      </c>
      <c r="C115" s="110" t="inlineStr">
        <is>
          <t>Locação de veículos</t>
        </is>
      </c>
      <c r="D115" s="110" t="inlineStr">
        <is>
          <t>DX2</t>
        </is>
      </c>
      <c r="E115" s="129" t="n">
        <v>0</v>
      </c>
      <c r="F115" s="89" t="n">
        <v>0</v>
      </c>
      <c r="G115" s="89" t="n">
        <v>0</v>
      </c>
      <c r="H115" s="110" t="inlineStr">
        <is>
          <t>Veiculos Dtel emprestado para serviços na DX2 (2 carros)</t>
        </is>
      </c>
    </row>
    <row r="116" ht="15" customHeight="1" s="64">
      <c r="A116" s="110" t="inlineStr">
        <is>
          <t>ABRIL/2026</t>
        </is>
      </c>
      <c r="B116" s="110" t="inlineStr">
        <is>
          <t>Frota</t>
        </is>
      </c>
      <c r="C116" s="110" t="inlineStr">
        <is>
          <t>Rastreamento veicular</t>
        </is>
      </c>
      <c r="D116" s="110" t="inlineStr">
        <is>
          <t>DX2</t>
        </is>
      </c>
      <c r="E116" s="129" t="n">
        <v>10</v>
      </c>
      <c r="F116" s="89" t="n">
        <v>20</v>
      </c>
      <c r="G116" s="89" t="n">
        <v>200</v>
      </c>
      <c r="H116" s="110" t="inlineStr">
        <is>
          <t>Rastreamento dos veículos</t>
        </is>
      </c>
    </row>
    <row r="117" ht="15" customHeight="1" s="64">
      <c r="A117" s="110" t="inlineStr">
        <is>
          <t>ABRIL/2026</t>
        </is>
      </c>
      <c r="B117" s="110" t="inlineStr">
        <is>
          <t>Frota</t>
        </is>
      </c>
      <c r="C117" s="110" t="inlineStr">
        <is>
          <t>Transporte de produtos</t>
        </is>
      </c>
      <c r="D117" s="110" t="inlineStr">
        <is>
          <t>DX2</t>
        </is>
      </c>
      <c r="E117" s="129" t="n">
        <v>0</v>
      </c>
      <c r="F117" s="89" t="n">
        <v>0</v>
      </c>
      <c r="G117" s="89" t="n">
        <v>0</v>
      </c>
      <c r="H117" s="110" t="inlineStr">
        <is>
          <t>Transportes entre CD01 e empresas no rateio da rota</t>
        </is>
      </c>
    </row>
    <row r="118" ht="15" customHeight="1" s="64">
      <c r="A118" s="110" t="inlineStr">
        <is>
          <t>ABRIL/2026</t>
        </is>
      </c>
      <c r="B118" s="110" t="inlineStr">
        <is>
          <t>Frota</t>
        </is>
      </c>
      <c r="C118" s="110" t="inlineStr">
        <is>
          <t>Troca de Oleo e Filtro</t>
        </is>
      </c>
      <c r="D118" s="110" t="inlineStr">
        <is>
          <t>DX2</t>
        </is>
      </c>
      <c r="E118" s="129" t="n">
        <v>0</v>
      </c>
      <c r="F118" s="89" t="n">
        <v>0</v>
      </c>
      <c r="G118" s="89" t="n">
        <v>0</v>
      </c>
      <c r="H118" s="110" t="inlineStr">
        <is>
          <t>Manutenção veicular</t>
        </is>
      </c>
    </row>
    <row r="119" ht="15" customHeight="1" s="64">
      <c r="A119" s="110" t="inlineStr">
        <is>
          <t>ABRIL/2026</t>
        </is>
      </c>
      <c r="B119" s="110" t="inlineStr">
        <is>
          <t>Frota</t>
        </is>
      </c>
      <c r="C119" s="110" t="inlineStr">
        <is>
          <t>Transporte de produtos</t>
        </is>
      </c>
      <c r="D119" s="110" t="inlineStr">
        <is>
          <t>H&amp;A</t>
        </is>
      </c>
      <c r="E119" s="129" t="n">
        <v>1</v>
      </c>
      <c r="F119" s="89" t="n">
        <v>1112.18</v>
      </c>
      <c r="G119" s="89" t="n">
        <v>1112.18</v>
      </c>
      <c r="H119" s="110" t="inlineStr">
        <is>
          <t>Transportes entre CD01 e empresas no rateio da rota</t>
        </is>
      </c>
    </row>
    <row r="120" ht="15" customHeight="1" s="64">
      <c r="A120" s="110" t="inlineStr">
        <is>
          <t>ABRIL/2026</t>
        </is>
      </c>
      <c r="B120" s="110" t="inlineStr">
        <is>
          <t>Frota</t>
        </is>
      </c>
      <c r="C120" s="110" t="inlineStr">
        <is>
          <t>Rastreamento veicular</t>
        </is>
      </c>
      <c r="D120" s="110" t="inlineStr">
        <is>
          <t>Soares e Lins</t>
        </is>
      </c>
      <c r="E120" s="129" t="n">
        <v>3</v>
      </c>
      <c r="F120" s="89" t="n">
        <v>20</v>
      </c>
      <c r="G120" s="89" t="n">
        <v>60</v>
      </c>
      <c r="H120" s="110" t="inlineStr">
        <is>
          <t>Rastreamento dos veículos</t>
        </is>
      </c>
    </row>
    <row r="121" ht="15" customHeight="1" s="64">
      <c r="A121" s="110" t="inlineStr">
        <is>
          <t>ABRIL/2026</t>
        </is>
      </c>
      <c r="B121" s="110" t="inlineStr">
        <is>
          <t>Frota</t>
        </is>
      </c>
      <c r="C121" s="110" t="inlineStr">
        <is>
          <t>Transporte de produtos</t>
        </is>
      </c>
      <c r="D121" s="110" t="inlineStr">
        <is>
          <t>Soares e Lins</t>
        </is>
      </c>
      <c r="E121" s="129" t="n">
        <v>1</v>
      </c>
      <c r="F121" s="89" t="n">
        <v>387.64</v>
      </c>
      <c r="G121" s="89" t="n">
        <v>387.64</v>
      </c>
      <c r="H121" s="110" t="inlineStr">
        <is>
          <t>Transportes entre CD01 e empresas no rateio da rota</t>
        </is>
      </c>
    </row>
    <row r="122" ht="15" customHeight="1" s="64">
      <c r="A122" s="110" t="inlineStr">
        <is>
          <t>ABRIL/2026</t>
        </is>
      </c>
      <c r="B122" s="110" t="inlineStr">
        <is>
          <t>Frota</t>
        </is>
      </c>
      <c r="C122" s="110" t="inlineStr">
        <is>
          <t>Troca de Oleo e Filtro</t>
        </is>
      </c>
      <c r="D122" s="110" t="inlineStr">
        <is>
          <t>Soares e Lins</t>
        </is>
      </c>
      <c r="E122" s="129" t="n">
        <v>0</v>
      </c>
      <c r="F122" s="89" t="n">
        <v>0</v>
      </c>
      <c r="G122" s="89" t="n">
        <v>0</v>
      </c>
      <c r="H122" s="110" t="inlineStr">
        <is>
          <t>Manutenção veicular</t>
        </is>
      </c>
    </row>
    <row r="123" ht="15" customHeight="1" s="64">
      <c r="A123" s="110" t="inlineStr">
        <is>
          <t>ABRIL/2026</t>
        </is>
      </c>
      <c r="B123" s="110" t="inlineStr">
        <is>
          <t>Frota</t>
        </is>
      </c>
      <c r="C123" s="110" t="inlineStr">
        <is>
          <t>Abastecimento</t>
        </is>
      </c>
      <c r="D123" s="110" t="inlineStr">
        <is>
          <t>Soares e Silva</t>
        </is>
      </c>
      <c r="E123" s="129" t="n">
        <v>0</v>
      </c>
      <c r="F123" s="89" t="n">
        <v>0</v>
      </c>
      <c r="G123" s="89" t="n">
        <v>0</v>
      </c>
      <c r="H123" s="110" t="inlineStr">
        <is>
          <t>Abastecimento de 2 veiculos</t>
        </is>
      </c>
    </row>
    <row r="124" ht="15" customHeight="1" s="64">
      <c r="A124" s="110" t="inlineStr">
        <is>
          <t>ABRIL/2026</t>
        </is>
      </c>
      <c r="B124" s="110" t="inlineStr">
        <is>
          <t>Frota</t>
        </is>
      </c>
      <c r="C124" s="110" t="inlineStr">
        <is>
          <t>Locação de veículos</t>
        </is>
      </c>
      <c r="D124" s="110" t="inlineStr">
        <is>
          <t>Soares e Silva</t>
        </is>
      </c>
      <c r="E124" s="129" t="n">
        <v>0</v>
      </c>
      <c r="F124" s="89" t="n">
        <v>0</v>
      </c>
      <c r="G124" s="89" t="n">
        <v>0</v>
      </c>
      <c r="H124" s="110" t="inlineStr">
        <is>
          <t>Veiculos Dtel emprestado para serviços 2 carros</t>
        </is>
      </c>
    </row>
    <row r="125" ht="15" customHeight="1" s="64">
      <c r="A125" s="110" t="inlineStr">
        <is>
          <t>ABRIL/2026</t>
        </is>
      </c>
      <c r="B125" s="110" t="inlineStr">
        <is>
          <t>Frota</t>
        </is>
      </c>
      <c r="C125" s="110" t="inlineStr">
        <is>
          <t>Manutenção de veiculo</t>
        </is>
      </c>
      <c r="D125" s="110" t="inlineStr">
        <is>
          <t>Soares e Silva</t>
        </is>
      </c>
      <c r="E125" s="129" t="n">
        <v>0</v>
      </c>
      <c r="F125" s="89" t="n">
        <v>0</v>
      </c>
      <c r="G125" s="89" t="n">
        <v>0</v>
      </c>
      <c r="H125" s="110" t="inlineStr">
        <is>
          <t>Manutenção veicular</t>
        </is>
      </c>
    </row>
    <row r="126" ht="15" customHeight="1" s="64">
      <c r="A126" s="110" t="inlineStr">
        <is>
          <t>ABRIL/2026</t>
        </is>
      </c>
      <c r="B126" s="110" t="inlineStr">
        <is>
          <t>Frota</t>
        </is>
      </c>
      <c r="C126" s="110" t="inlineStr">
        <is>
          <t>Rastreamento veicular</t>
        </is>
      </c>
      <c r="D126" s="110" t="inlineStr">
        <is>
          <t>Soares e Silva</t>
        </is>
      </c>
      <c r="E126" s="129" t="n">
        <v>13</v>
      </c>
      <c r="F126" s="89" t="n">
        <v>20</v>
      </c>
      <c r="G126" s="89" t="n">
        <v>260</v>
      </c>
      <c r="H126" s="110" t="inlineStr">
        <is>
          <t>Rastreamento dos veículos</t>
        </is>
      </c>
    </row>
    <row r="127" ht="15" customHeight="1" s="64">
      <c r="A127" s="110" t="inlineStr">
        <is>
          <t>ABRIL/2026</t>
        </is>
      </c>
      <c r="B127" s="110" t="inlineStr">
        <is>
          <t>Frota</t>
        </is>
      </c>
      <c r="C127" s="110" t="inlineStr">
        <is>
          <t>Transporte de produtos</t>
        </is>
      </c>
      <c r="D127" s="110" t="inlineStr">
        <is>
          <t>Soares e Silva</t>
        </is>
      </c>
      <c r="E127" s="129" t="n">
        <v>0</v>
      </c>
      <c r="F127" s="89" t="n">
        <v>0</v>
      </c>
      <c r="G127" s="89" t="n">
        <v>0</v>
      </c>
      <c r="H127" s="110" t="inlineStr">
        <is>
          <t>Transportes entre CD01 e empresas no rateio da rota</t>
        </is>
      </c>
    </row>
    <row r="128" ht="15" customHeight="1" s="64">
      <c r="A128" s="110" t="inlineStr">
        <is>
          <t>ABRIL/2026</t>
        </is>
      </c>
      <c r="B128" s="110" t="inlineStr">
        <is>
          <t>Frota</t>
        </is>
      </c>
      <c r="C128" s="110" t="inlineStr">
        <is>
          <t>Troca de Oleo e Filtro</t>
        </is>
      </c>
      <c r="D128" s="110" t="inlineStr">
        <is>
          <t>Soares e Silva</t>
        </is>
      </c>
      <c r="E128" s="129" t="n">
        <v>0</v>
      </c>
      <c r="F128" s="89" t="n">
        <v>0</v>
      </c>
      <c r="G128" s="89" t="n">
        <v>0</v>
      </c>
      <c r="H128" s="110" t="inlineStr">
        <is>
          <t>Manutenção veicular</t>
        </is>
      </c>
    </row>
    <row r="129" ht="15" customHeight="1" s="64">
      <c r="A129" s="110" t="inlineStr">
        <is>
          <t>ABRIL/2026</t>
        </is>
      </c>
      <c r="B129" s="110" t="inlineStr">
        <is>
          <t>Frota</t>
        </is>
      </c>
      <c r="C129" s="110" t="inlineStr">
        <is>
          <t>Rastreamento veicular</t>
        </is>
      </c>
      <c r="D129" s="110" t="inlineStr">
        <is>
          <t>Solon Araújo</t>
        </is>
      </c>
      <c r="E129" s="129" t="n">
        <v>19</v>
      </c>
      <c r="F129" s="89" t="n">
        <v>20</v>
      </c>
      <c r="G129" s="89" t="n">
        <v>380</v>
      </c>
      <c r="H129" s="110" t="inlineStr">
        <is>
          <t>Rastreamento dos veículos</t>
        </is>
      </c>
    </row>
    <row r="130" ht="15" customHeight="1" s="64">
      <c r="A130" s="110" t="inlineStr">
        <is>
          <t>ABRIL/2026</t>
        </is>
      </c>
      <c r="B130" s="110" t="inlineStr">
        <is>
          <t>Frota</t>
        </is>
      </c>
      <c r="C130" s="110" t="inlineStr">
        <is>
          <t>Transporte de produtos</t>
        </is>
      </c>
      <c r="D130" s="110" t="inlineStr">
        <is>
          <t>Solon Araújo</t>
        </is>
      </c>
      <c r="E130" s="129" t="n">
        <v>1</v>
      </c>
      <c r="F130" s="89" t="n">
        <v>1092.02</v>
      </c>
      <c r="G130" s="89" t="n">
        <v>1092.02</v>
      </c>
      <c r="H130" s="110" t="inlineStr">
        <is>
          <t>Transportes entre CD01 e empresas no rateio da rota</t>
        </is>
      </c>
    </row>
    <row r="131" ht="15" customHeight="1" s="64">
      <c r="A131" s="110" t="inlineStr">
        <is>
          <t>ABRIL/2026</t>
        </is>
      </c>
      <c r="B131" s="110" t="inlineStr">
        <is>
          <t>Frota</t>
        </is>
      </c>
      <c r="C131" s="110" t="inlineStr">
        <is>
          <t>Troca de Óleo e Filtro</t>
        </is>
      </c>
      <c r="D131" s="110" t="inlineStr">
        <is>
          <t>Solon Araújo</t>
        </is>
      </c>
      <c r="E131" s="129" t="n">
        <v>1</v>
      </c>
      <c r="F131" s="89" t="n">
        <v>1326.53</v>
      </c>
      <c r="G131" s="89" t="n">
        <v>1326.53</v>
      </c>
      <c r="H131" s="110" t="inlineStr">
        <is>
          <t>Manutenção veicular</t>
        </is>
      </c>
    </row>
    <row r="132" ht="15" customHeight="1" s="64">
      <c r="A132" s="110" t="inlineStr">
        <is>
          <t>ABRIL/2026</t>
        </is>
      </c>
      <c r="B132" s="110" t="inlineStr">
        <is>
          <t>Frota</t>
        </is>
      </c>
      <c r="C132" s="110" t="inlineStr">
        <is>
          <t>Manutenção de veiculo</t>
        </is>
      </c>
      <c r="D132" s="110" t="inlineStr">
        <is>
          <t>Souza e Silva</t>
        </is>
      </c>
      <c r="E132" s="129" t="n">
        <v>0</v>
      </c>
      <c r="F132" s="89" t="n">
        <v>0</v>
      </c>
      <c r="G132" s="89" t="n">
        <v>0</v>
      </c>
      <c r="H132" s="110" t="inlineStr">
        <is>
          <t>Reboque de carro</t>
        </is>
      </c>
    </row>
    <row r="133" ht="15" customHeight="1" s="64">
      <c r="A133" s="110" t="inlineStr">
        <is>
          <t>ABRIL/2026</t>
        </is>
      </c>
      <c r="B133" s="110" t="inlineStr">
        <is>
          <t>Frota</t>
        </is>
      </c>
      <c r="C133" s="110" t="inlineStr">
        <is>
          <t>Rastreamento veicular</t>
        </is>
      </c>
      <c r="D133" s="110" t="inlineStr">
        <is>
          <t>Souza e Silva</t>
        </is>
      </c>
      <c r="E133" s="129" t="n">
        <v>4</v>
      </c>
      <c r="F133" s="89" t="n">
        <v>20</v>
      </c>
      <c r="G133" s="89" t="n">
        <v>80</v>
      </c>
      <c r="H133" s="110" t="inlineStr">
        <is>
          <t>Rastreamento dos veículos</t>
        </is>
      </c>
    </row>
    <row r="134" ht="15" customHeight="1" s="64">
      <c r="A134" s="110" t="inlineStr">
        <is>
          <t>ABRIL/2026</t>
        </is>
      </c>
      <c r="B134" s="110" t="inlineStr">
        <is>
          <t>Frota</t>
        </is>
      </c>
      <c r="C134" s="110" t="inlineStr">
        <is>
          <t>Transporte de produtos</t>
        </is>
      </c>
      <c r="D134" s="110" t="inlineStr">
        <is>
          <t>Souza e Silva</t>
        </is>
      </c>
      <c r="E134" s="129" t="n">
        <v>0</v>
      </c>
      <c r="F134" s="89" t="n">
        <v>0</v>
      </c>
      <c r="G134" s="89" t="n">
        <v>0</v>
      </c>
      <c r="H134" s="110" t="inlineStr">
        <is>
          <t>Transportes entre CD01 e empresas no rateio da rota</t>
        </is>
      </c>
    </row>
    <row r="135" ht="15" customHeight="1" s="64">
      <c r="A135" s="110" t="inlineStr">
        <is>
          <t>ABRIL/2026</t>
        </is>
      </c>
      <c r="B135" s="110" t="inlineStr">
        <is>
          <t>Frota</t>
        </is>
      </c>
      <c r="C135" s="110" t="inlineStr">
        <is>
          <t>Troca de Óleo e Filtro</t>
        </is>
      </c>
      <c r="D135" s="110" t="inlineStr">
        <is>
          <t>Souza e Silva</t>
        </is>
      </c>
      <c r="E135" s="129" t="n">
        <v>1</v>
      </c>
      <c r="F135" s="89" t="n">
        <v>366.53</v>
      </c>
      <c r="G135" s="89" t="n">
        <v>366.53</v>
      </c>
      <c r="H135" s="110" t="inlineStr">
        <is>
          <t>Manutenção veicular</t>
        </is>
      </c>
    </row>
    <row r="136" ht="15" customHeight="1" s="64">
      <c r="A136" s="110" t="inlineStr">
        <is>
          <t>ABRIL/2026</t>
        </is>
      </c>
      <c r="B136" s="110" t="inlineStr">
        <is>
          <t>Frota</t>
        </is>
      </c>
      <c r="C136" s="110" t="inlineStr">
        <is>
          <t>Abastecimento</t>
        </is>
      </c>
      <c r="D136" s="110" t="inlineStr">
        <is>
          <t>Voicenet</t>
        </is>
      </c>
      <c r="E136" s="129" t="n">
        <v>0</v>
      </c>
      <c r="F136" s="89" t="n">
        <v>0</v>
      </c>
      <c r="G136" s="89" t="n">
        <v>0</v>
      </c>
      <c r="H136" s="110" t="inlineStr">
        <is>
          <t>Abastecimento de veiculos</t>
        </is>
      </c>
    </row>
    <row r="137" ht="15" customHeight="1" s="64">
      <c r="A137" s="110" t="inlineStr">
        <is>
          <t>ABRIL/2026</t>
        </is>
      </c>
      <c r="B137" s="110" t="inlineStr">
        <is>
          <t>Frota</t>
        </is>
      </c>
      <c r="C137" s="110" t="inlineStr">
        <is>
          <t>Rastreamento veicular</t>
        </is>
      </c>
      <c r="D137" s="110" t="inlineStr">
        <is>
          <t>Voicenet</t>
        </is>
      </c>
      <c r="E137" s="129" t="n">
        <v>8</v>
      </c>
      <c r="F137" s="89" t="n">
        <v>20</v>
      </c>
      <c r="G137" s="89" t="n">
        <v>160</v>
      </c>
      <c r="H137" s="110" t="inlineStr">
        <is>
          <t>Rastreamento dos veículos</t>
        </is>
      </c>
    </row>
    <row r="138" ht="15" customHeight="1" s="64">
      <c r="A138" s="110" t="inlineStr">
        <is>
          <t>ABRIL/2026</t>
        </is>
      </c>
      <c r="B138" s="110" t="inlineStr">
        <is>
          <t>Frota</t>
        </is>
      </c>
      <c r="C138" s="110" t="inlineStr">
        <is>
          <t>Transporte de produtos</t>
        </is>
      </c>
      <c r="D138" s="110" t="inlineStr">
        <is>
          <t>Voicenet</t>
        </is>
      </c>
      <c r="E138" s="129" t="n">
        <v>1</v>
      </c>
      <c r="F138" s="89" t="n">
        <v>643.2</v>
      </c>
      <c r="G138" s="89" t="n">
        <v>643.2</v>
      </c>
      <c r="H138" s="110" t="inlineStr">
        <is>
          <t>Transportes entre CD01 e empresas no rateio da rota</t>
        </is>
      </c>
    </row>
    <row r="139" ht="15" customHeight="1" s="64">
      <c r="A139" s="110" t="inlineStr">
        <is>
          <t>ABRIL/2026</t>
        </is>
      </c>
      <c r="B139" s="110" t="inlineStr">
        <is>
          <t>Frota</t>
        </is>
      </c>
      <c r="C139" s="110" t="inlineStr">
        <is>
          <t>Troca de Oleo e Filtro</t>
        </is>
      </c>
      <c r="D139" s="110" t="inlineStr">
        <is>
          <t>Voicenet</t>
        </is>
      </c>
      <c r="E139" s="129" t="n">
        <v>1</v>
      </c>
      <c r="F139" s="89" t="n">
        <v>664.27</v>
      </c>
      <c r="G139" s="89" t="n">
        <v>664.27</v>
      </c>
      <c r="H139" s="110" t="inlineStr">
        <is>
          <t>Manutenção veicular</t>
        </is>
      </c>
    </row>
    <row r="140" ht="15" customHeight="1" s="64">
      <c r="A140" s="110" t="inlineStr">
        <is>
          <t>ABRIL/2026</t>
        </is>
      </c>
      <c r="B140" s="110" t="inlineStr">
        <is>
          <t>Instalação</t>
        </is>
      </c>
      <c r="C140" s="110" t="inlineStr">
        <is>
          <t>KM rodado para serviços técnicos DX2 para SOLON</t>
        </is>
      </c>
      <c r="D140" s="110" t="inlineStr">
        <is>
          <t>DX2</t>
        </is>
      </c>
      <c r="E140" s="129" t="n">
        <v>0</v>
      </c>
      <c r="F140" s="89" t="n">
        <v>0</v>
      </c>
      <c r="G140" s="89" t="n">
        <v>0</v>
      </c>
      <c r="H140" s="110" t="inlineStr">
        <is>
          <t>Serviços das equipes dx2 p/ solon</t>
        </is>
      </c>
    </row>
    <row r="141" ht="15" customHeight="1" s="64">
      <c r="A141" s="110" t="inlineStr">
        <is>
          <t>ABRIL/2026</t>
        </is>
      </c>
      <c r="B141" s="110" t="inlineStr">
        <is>
          <t>Instalação</t>
        </is>
      </c>
      <c r="C141" s="110" t="inlineStr">
        <is>
          <t>KM rodado para serviços técnicos Dx2 p/ Soares &amp; silva</t>
        </is>
      </c>
      <c r="D141" s="110" t="inlineStr">
        <is>
          <t>DX2</t>
        </is>
      </c>
      <c r="E141" s="129" t="n">
        <v>0</v>
      </c>
      <c r="F141" s="89" t="n">
        <v>0</v>
      </c>
      <c r="G141" s="89" t="n">
        <v>0</v>
      </c>
      <c r="H141" s="110" t="inlineStr">
        <is>
          <t>Serviços das equipes dx2 p/ soares e silva</t>
        </is>
      </c>
    </row>
    <row r="142" ht="15" customHeight="1" s="64">
      <c r="A142" s="110" t="inlineStr">
        <is>
          <t>ABRIL/2026</t>
        </is>
      </c>
      <c r="B142" s="110" t="inlineStr">
        <is>
          <t>Instalação</t>
        </is>
      </c>
      <c r="C142" s="110" t="inlineStr">
        <is>
          <t>Serviços técnicos da DX2 P/ SOLON</t>
        </is>
      </c>
      <c r="D142" s="110" t="inlineStr">
        <is>
          <t>DX2</t>
        </is>
      </c>
      <c r="E142" s="129" t="n">
        <v>0</v>
      </c>
      <c r="F142" s="89" t="n">
        <v>0</v>
      </c>
      <c r="G142" s="89" t="n">
        <v>0</v>
      </c>
      <c r="H142" s="110" t="inlineStr">
        <is>
          <t>Serviços das equipes técnicas Dx2 p/ solon</t>
        </is>
      </c>
    </row>
    <row r="143" ht="15" customHeight="1" s="64">
      <c r="A143" s="110" t="inlineStr">
        <is>
          <t>ABRIL/2026</t>
        </is>
      </c>
      <c r="B143" s="110" t="inlineStr">
        <is>
          <t>Instalação</t>
        </is>
      </c>
      <c r="C143" s="110" t="inlineStr">
        <is>
          <t>Serviços técnicos da Dx2 p/ Soares &amp; Silva</t>
        </is>
      </c>
      <c r="D143" s="110" t="inlineStr">
        <is>
          <t>DX2</t>
        </is>
      </c>
      <c r="E143" s="129" t="n">
        <v>0</v>
      </c>
      <c r="F143" s="89" t="n">
        <v>0</v>
      </c>
      <c r="G143" s="89" t="n">
        <v>0</v>
      </c>
      <c r="H143" s="110" t="inlineStr">
        <is>
          <t>Serviços das equipes técnicas Dx2 p/ soares e silva</t>
        </is>
      </c>
    </row>
    <row r="144" ht="15" customHeight="1" s="64">
      <c r="A144" s="110" t="inlineStr">
        <is>
          <t>ABRIL/2026</t>
        </is>
      </c>
      <c r="B144" s="110" t="inlineStr">
        <is>
          <t>Instalação</t>
        </is>
      </c>
      <c r="C144" s="110" t="inlineStr">
        <is>
          <t>Serviços técnicos da DX2 P/ H&amp;A</t>
        </is>
      </c>
      <c r="D144" s="110" t="inlineStr">
        <is>
          <t>H&amp;A</t>
        </is>
      </c>
      <c r="E144" s="129" t="n">
        <v>1</v>
      </c>
      <c r="F144" s="89" t="n">
        <v>315.66</v>
      </c>
      <c r="G144" s="89" t="n">
        <v>315.66</v>
      </c>
      <c r="H144" s="110" t="inlineStr">
        <is>
          <t>Deslocamento de equipes</t>
        </is>
      </c>
    </row>
    <row r="145" ht="15" customHeight="1" s="64">
      <c r="A145" s="110" t="inlineStr">
        <is>
          <t>ABRIL/2026</t>
        </is>
      </c>
      <c r="B145" s="110" t="inlineStr">
        <is>
          <t>Instalação</t>
        </is>
      </c>
      <c r="C145" s="110" t="inlineStr">
        <is>
          <t>km rodado da equipe DX2 para H&amp;A</t>
        </is>
      </c>
      <c r="D145" s="110" t="inlineStr">
        <is>
          <t>H&amp;A</t>
        </is>
      </c>
      <c r="E145" s="129" t="n">
        <v>0</v>
      </c>
      <c r="F145" s="89" t="n">
        <v>0</v>
      </c>
      <c r="G145" s="89" t="n">
        <v>0</v>
      </c>
      <c r="H145" s="110" t="inlineStr">
        <is>
          <t>Serviços das equipes técnicas Dtel</t>
        </is>
      </c>
    </row>
    <row r="146" ht="15" customHeight="1" s="64">
      <c r="A146" s="110" t="inlineStr">
        <is>
          <t>ABRIL/2026</t>
        </is>
      </c>
      <c r="B146" s="110" t="inlineStr">
        <is>
          <t>Instalação</t>
        </is>
      </c>
      <c r="C146" s="110" t="inlineStr">
        <is>
          <t>KM rodado para serviços técnicos Dtel p/ S&amp;L</t>
        </is>
      </c>
      <c r="D146" s="110" t="inlineStr">
        <is>
          <t>Soares e Lins</t>
        </is>
      </c>
      <c r="E146" s="129" t="n">
        <v>1</v>
      </c>
      <c r="F146" s="89" t="n">
        <v>64.68000000000001</v>
      </c>
      <c r="G146" s="89" t="n">
        <v>64.68000000000001</v>
      </c>
      <c r="H146" s="110" t="inlineStr">
        <is>
          <t>Deslocamento de equipes dtel</t>
        </is>
      </c>
    </row>
    <row r="147" ht="15" customHeight="1" s="64">
      <c r="A147" s="110" t="inlineStr">
        <is>
          <t>ABRIL/2026</t>
        </is>
      </c>
      <c r="B147" s="110" t="inlineStr">
        <is>
          <t>Instalação</t>
        </is>
      </c>
      <c r="C147" s="110" t="inlineStr">
        <is>
          <t>KM rodado para serviços técnicos S&amp;L para DTEL</t>
        </is>
      </c>
      <c r="D147" s="110" t="inlineStr">
        <is>
          <t>Soares e Lins</t>
        </is>
      </c>
      <c r="E147" s="129" t="n">
        <v>-1</v>
      </c>
      <c r="F147" s="89" t="n">
        <v>2120.72</v>
      </c>
      <c r="G147" s="89" t="n">
        <v>-2120.72</v>
      </c>
      <c r="H147" s="110" t="inlineStr">
        <is>
          <t>Deslocamento de equipes soares e lins</t>
        </is>
      </c>
    </row>
    <row r="148" ht="15" customHeight="1" s="64">
      <c r="A148" s="110" t="inlineStr">
        <is>
          <t>ABRIL/2026</t>
        </is>
      </c>
      <c r="B148" s="110" t="inlineStr">
        <is>
          <t>Instalação</t>
        </is>
      </c>
      <c r="C148" s="110" t="inlineStr">
        <is>
          <t>KM rodado para serviços técnicos da S&amp;L para DTEL</t>
        </is>
      </c>
      <c r="D148" s="110" t="inlineStr">
        <is>
          <t>Soares e Lins</t>
        </is>
      </c>
      <c r="E148" s="129" t="n">
        <v>0</v>
      </c>
      <c r="F148" s="89" t="n">
        <v>0</v>
      </c>
      <c r="G148" s="89" t="n">
        <v>0</v>
      </c>
      <c r="H148" s="110" t="inlineStr">
        <is>
          <t>Deslocamento de equipes</t>
        </is>
      </c>
    </row>
    <row r="149" ht="15" customHeight="1" s="64">
      <c r="A149" s="110" t="inlineStr">
        <is>
          <t>ABRIL/2026</t>
        </is>
      </c>
      <c r="B149" s="110" t="inlineStr">
        <is>
          <t>Instalação</t>
        </is>
      </c>
      <c r="C149" s="110" t="inlineStr">
        <is>
          <t>Serviços técnicos da Dtel para S&amp;L</t>
        </is>
      </c>
      <c r="D149" s="110" t="inlineStr">
        <is>
          <t>Soares e Lins</t>
        </is>
      </c>
      <c r="E149" s="129" t="n">
        <v>1</v>
      </c>
      <c r="F149" s="89" t="n">
        <v>310.32</v>
      </c>
      <c r="G149" s="89" t="n">
        <v>310.32</v>
      </c>
      <c r="H149" s="110" t="inlineStr">
        <is>
          <t>Serviços da equipe técnica</t>
        </is>
      </c>
    </row>
    <row r="150" ht="15" customHeight="1" s="64">
      <c r="A150" s="110" t="inlineStr">
        <is>
          <t>ABRIL/2026</t>
        </is>
      </c>
      <c r="B150" s="110" t="inlineStr">
        <is>
          <t>Instalação</t>
        </is>
      </c>
      <c r="C150" s="110" t="inlineStr">
        <is>
          <t>Serviços técnicos da S&amp;L para DTEL</t>
        </is>
      </c>
      <c r="D150" s="110" t="inlineStr">
        <is>
          <t>Soares e Lins</t>
        </is>
      </c>
      <c r="E150" s="129" t="n">
        <v>-1</v>
      </c>
      <c r="F150" s="89" t="n">
        <v>4279.74</v>
      </c>
      <c r="G150" s="89" t="n">
        <v>-4279.74</v>
      </c>
      <c r="H150" s="110" t="inlineStr">
        <is>
          <t>Serviços da equipe técnica</t>
        </is>
      </c>
    </row>
    <row r="151" ht="15" customHeight="1" s="64">
      <c r="A151" s="110" t="inlineStr">
        <is>
          <t>ABRIL/2026</t>
        </is>
      </c>
      <c r="B151" s="110" t="inlineStr">
        <is>
          <t>Instalação</t>
        </is>
      </c>
      <c r="C151" s="110" t="inlineStr">
        <is>
          <t>Supervisor JOSUE DE MOURA SILVA JUNIOR</t>
        </is>
      </c>
      <c r="D151" s="110" t="inlineStr">
        <is>
          <t>Soares e Lins</t>
        </is>
      </c>
      <c r="E151" s="129" t="n">
        <v>1</v>
      </c>
      <c r="F151" s="89" t="n">
        <v>1612.93</v>
      </c>
      <c r="G151" s="89" t="n">
        <v>1612.93</v>
      </c>
      <c r="H151" s="110" t="inlineStr">
        <is>
          <t>Despesa dividida entre s&amp;l e dtel pelo supervisor JOSUE estar assumindo as bases</t>
        </is>
      </c>
    </row>
    <row r="152" ht="15" customHeight="1" s="64">
      <c r="A152" s="110" t="inlineStr">
        <is>
          <t>ABRIL/2026</t>
        </is>
      </c>
      <c r="B152" s="110" t="inlineStr">
        <is>
          <t>Instalação</t>
        </is>
      </c>
      <c r="C152" s="110" t="inlineStr">
        <is>
          <t>KM rodado para serviços técnicos Dx2 p/ soares e silva</t>
        </is>
      </c>
      <c r="D152" s="110" t="inlineStr">
        <is>
          <t>Soares e Silva</t>
        </is>
      </c>
      <c r="E152" s="129" t="n">
        <v>0</v>
      </c>
      <c r="F152" s="89" t="n">
        <v>0</v>
      </c>
      <c r="G152" s="89" t="n">
        <v>0</v>
      </c>
      <c r="H152" s="110" t="inlineStr">
        <is>
          <t>Deslocamento de equipes</t>
        </is>
      </c>
    </row>
    <row r="153" ht="15" customHeight="1" s="64">
      <c r="A153" s="110" t="inlineStr">
        <is>
          <t>ABRIL/2026</t>
        </is>
      </c>
      <c r="B153" s="110" t="inlineStr">
        <is>
          <t>Instalação</t>
        </is>
      </c>
      <c r="C153" s="110" t="inlineStr">
        <is>
          <t>Serviços técnicos da Dx2 p/ soares e silva</t>
        </is>
      </c>
      <c r="D153" s="110" t="inlineStr">
        <is>
          <t>Soares e Silva</t>
        </is>
      </c>
      <c r="E153" s="129" t="n">
        <v>0</v>
      </c>
      <c r="F153" s="89" t="n">
        <v>0</v>
      </c>
      <c r="G153" s="89" t="n">
        <v>0</v>
      </c>
      <c r="H153" s="110" t="inlineStr">
        <is>
          <t>Serviços das equipes técnicas</t>
        </is>
      </c>
    </row>
    <row r="154" ht="15" customHeight="1" s="64">
      <c r="A154" s="110" t="inlineStr">
        <is>
          <t>ABRIL/2026</t>
        </is>
      </c>
      <c r="B154" s="110" t="inlineStr">
        <is>
          <t>Instalação</t>
        </is>
      </c>
      <c r="C154" s="110" t="inlineStr">
        <is>
          <t>KM rodado para serviços técnicos Souza e Silva p/ Solon</t>
        </is>
      </c>
      <c r="D154" s="110" t="inlineStr">
        <is>
          <t>Solon Araújo</t>
        </is>
      </c>
      <c r="E154" s="129" t="n">
        <v>0</v>
      </c>
      <c r="F154" s="89" t="n">
        <v>0</v>
      </c>
      <c r="G154" s="89" t="n">
        <v>0</v>
      </c>
      <c r="H154" s="110" t="inlineStr">
        <is>
          <t>Deslocamento de equipes da DTEL</t>
        </is>
      </c>
    </row>
    <row r="155" ht="15" customHeight="1" s="64">
      <c r="A155" s="110" t="inlineStr">
        <is>
          <t>ABRIL/2026</t>
        </is>
      </c>
      <c r="B155" s="110" t="inlineStr">
        <is>
          <t>Instalação</t>
        </is>
      </c>
      <c r="C155" s="110" t="inlineStr">
        <is>
          <t>KM rodado para serviços técnicos dx2 p/ Solon</t>
        </is>
      </c>
      <c r="D155" s="110" t="inlineStr">
        <is>
          <t>Solon Araújo</t>
        </is>
      </c>
      <c r="E155" s="129" t="n">
        <v>0</v>
      </c>
      <c r="F155" s="89" t="n">
        <v>0</v>
      </c>
      <c r="G155" s="89" t="n">
        <v>0</v>
      </c>
      <c r="H155" s="110" t="inlineStr">
        <is>
          <t>Serviços das equipes dx2 p/ solon</t>
        </is>
      </c>
    </row>
    <row r="156" ht="15" customHeight="1" s="64">
      <c r="A156" s="110" t="inlineStr">
        <is>
          <t>ABRIL/2026</t>
        </is>
      </c>
      <c r="B156" s="110" t="inlineStr">
        <is>
          <t>Instalação</t>
        </is>
      </c>
      <c r="C156" s="110" t="inlineStr">
        <is>
          <t>Serviços técnicos da Dx2 p/ Solon</t>
        </is>
      </c>
      <c r="D156" s="110" t="inlineStr">
        <is>
          <t>Solon Araújo</t>
        </is>
      </c>
      <c r="E156" s="129" t="n">
        <v>0</v>
      </c>
      <c r="F156" s="89" t="n">
        <v>0</v>
      </c>
      <c r="G156" s="89" t="n">
        <v>0</v>
      </c>
      <c r="H156" s="110" t="inlineStr">
        <is>
          <t>Serviços das equipes técnicas Dx2 p/ solon</t>
        </is>
      </c>
    </row>
    <row r="157" ht="15" customHeight="1" s="64">
      <c r="A157" s="110" t="inlineStr">
        <is>
          <t>ABRIL/2026</t>
        </is>
      </c>
      <c r="B157" s="110" t="inlineStr">
        <is>
          <t>Instalação</t>
        </is>
      </c>
      <c r="C157" s="110" t="inlineStr">
        <is>
          <t>Serviços técnicos da Souza p/ Solon</t>
        </is>
      </c>
      <c r="D157" s="110" t="inlineStr">
        <is>
          <t>Solon Araújo</t>
        </is>
      </c>
      <c r="E157" s="129" t="n">
        <v>0</v>
      </c>
      <c r="F157" s="89" t="n">
        <v>0</v>
      </c>
      <c r="G157" s="89" t="n">
        <v>0</v>
      </c>
      <c r="H157" s="110" t="inlineStr">
        <is>
          <t>Serviços das equipes técnicas Dtel</t>
        </is>
      </c>
    </row>
    <row r="158" ht="15" customHeight="1" s="64">
      <c r="A158" s="110" t="inlineStr">
        <is>
          <t>ABRIL/2026</t>
        </is>
      </c>
      <c r="B158" s="110" t="inlineStr">
        <is>
          <t>Instalação</t>
        </is>
      </c>
      <c r="C158" s="110" t="inlineStr">
        <is>
          <t>KM rodado para serviços técnicos Souza e Silva p/ Solon</t>
        </is>
      </c>
      <c r="D158" s="110" t="inlineStr">
        <is>
          <t>Souza e Silva</t>
        </is>
      </c>
      <c r="E158" s="129" t="n">
        <v>0</v>
      </c>
      <c r="F158" s="89" t="n">
        <v>0</v>
      </c>
      <c r="G158" s="89" t="n">
        <v>0</v>
      </c>
      <c r="H158" s="110" t="inlineStr">
        <is>
          <t>Deslocamento de equipes</t>
        </is>
      </c>
    </row>
    <row r="159" ht="15" customHeight="1" s="64">
      <c r="A159" s="110" t="inlineStr">
        <is>
          <t>ABRIL/2026</t>
        </is>
      </c>
      <c r="B159" s="110" t="inlineStr">
        <is>
          <t>Instalação</t>
        </is>
      </c>
      <c r="C159" s="110" t="inlineStr">
        <is>
          <t>KM rodado para serviços técnicos Souza e silva p/ soares e silva</t>
        </is>
      </c>
      <c r="D159" s="110" t="inlineStr">
        <is>
          <t>Souza e Silva</t>
        </is>
      </c>
      <c r="E159" s="129" t="n">
        <v>0</v>
      </c>
      <c r="F159" s="89" t="n">
        <v>0</v>
      </c>
      <c r="G159" s="89" t="n">
        <v>0</v>
      </c>
      <c r="H159" s="110" t="inlineStr">
        <is>
          <t>Deslocamento de equipes</t>
        </is>
      </c>
    </row>
    <row r="160" ht="15" customHeight="1" s="64">
      <c r="A160" s="110" t="inlineStr">
        <is>
          <t>ABRIL/2026</t>
        </is>
      </c>
      <c r="B160" s="110" t="inlineStr">
        <is>
          <t>Instalação</t>
        </is>
      </c>
      <c r="C160" s="110" t="inlineStr">
        <is>
          <t>Serviços técnicos da Souza e silva p/ soares e silva</t>
        </is>
      </c>
      <c r="D160" s="110" t="inlineStr">
        <is>
          <t>Souza e Silva</t>
        </is>
      </c>
      <c r="E160" s="129" t="n">
        <v>0</v>
      </c>
      <c r="F160" s="89" t="n">
        <v>0</v>
      </c>
      <c r="G160" s="89" t="n">
        <v>0</v>
      </c>
      <c r="H160" s="110" t="inlineStr">
        <is>
          <t>Serviços das equipes técnicas</t>
        </is>
      </c>
    </row>
    <row r="161" ht="15" customHeight="1" s="64">
      <c r="A161" s="110" t="inlineStr">
        <is>
          <t>ABRIL/2026</t>
        </is>
      </c>
      <c r="B161" s="110" t="inlineStr">
        <is>
          <t>Instalação</t>
        </is>
      </c>
      <c r="C161" s="110" t="inlineStr">
        <is>
          <t>Serviços técnicos da Souza p/ Solon</t>
        </is>
      </c>
      <c r="D161" s="110" t="inlineStr">
        <is>
          <t>Souza e Silva</t>
        </is>
      </c>
      <c r="E161" s="129" t="n">
        <v>0</v>
      </c>
      <c r="F161" s="89" t="n">
        <v>0</v>
      </c>
      <c r="G161" s="89" t="n">
        <v>0</v>
      </c>
      <c r="H161" s="110" t="inlineStr">
        <is>
          <t>Serviços das equipes técnicas da Dtel</t>
        </is>
      </c>
    </row>
    <row r="162" ht="15" customHeight="1" s="64">
      <c r="A162" s="110" t="inlineStr">
        <is>
          <t>ABRIL/2026</t>
        </is>
      </c>
      <c r="B162" s="110" t="inlineStr">
        <is>
          <t>Instalação</t>
        </is>
      </c>
      <c r="C162" s="110" t="inlineStr">
        <is>
          <t>Gestão Regional MICHELANGELO</t>
        </is>
      </c>
      <c r="D162" s="110" t="inlineStr">
        <is>
          <t>Voicenet</t>
        </is>
      </c>
      <c r="E162" s="129" t="n">
        <v>4782</v>
      </c>
      <c r="F162" s="89" t="n">
        <v>0.31</v>
      </c>
      <c r="G162" s="89" t="n">
        <v>1482.42</v>
      </c>
      <c r="H162" s="110" t="inlineStr">
        <is>
          <t>Cálculo por número de clientes ativos</t>
        </is>
      </c>
    </row>
    <row r="163" ht="15" customHeight="1" s="64">
      <c r="A163" s="110" t="inlineStr">
        <is>
          <t>ABRIL/2026</t>
        </is>
      </c>
      <c r="B163" s="110" t="inlineStr">
        <is>
          <t>Instalação</t>
        </is>
      </c>
      <c r="C163" s="110" t="inlineStr">
        <is>
          <t>KM rodado para serviços técnicos Dtel para Voicenet</t>
        </is>
      </c>
      <c r="D163" s="110" t="inlineStr">
        <is>
          <t>Voicenet</t>
        </is>
      </c>
      <c r="E163" s="129" t="n">
        <v>1</v>
      </c>
      <c r="F163" s="89" t="n">
        <v>2480.38</v>
      </c>
      <c r="G163" s="89" t="n">
        <v>2480.38</v>
      </c>
      <c r="H163" s="110" t="inlineStr">
        <is>
          <t>Deslocamento de equipes</t>
        </is>
      </c>
    </row>
    <row r="164" ht="15" customHeight="1" s="64">
      <c r="A164" s="110" t="inlineStr">
        <is>
          <t>ABRIL/2026</t>
        </is>
      </c>
      <c r="B164" s="110" t="inlineStr">
        <is>
          <t>Instalação</t>
        </is>
      </c>
      <c r="C164" s="110" t="inlineStr">
        <is>
          <t>KM rodado para serviços técnicos Voicenet p/ Dtel</t>
        </is>
      </c>
      <c r="D164" s="110" t="inlineStr">
        <is>
          <t>Voicenet</t>
        </is>
      </c>
      <c r="E164" s="129" t="n">
        <v>0</v>
      </c>
      <c r="F164" s="89" t="n">
        <v>0</v>
      </c>
      <c r="G164" s="89" t="n">
        <v>0</v>
      </c>
      <c r="H164" s="110" t="inlineStr">
        <is>
          <t>Deslocamento de equipes</t>
        </is>
      </c>
    </row>
    <row r="165" ht="15" customHeight="1" s="64">
      <c r="A165" s="110" t="inlineStr">
        <is>
          <t>ABRIL/2026</t>
        </is>
      </c>
      <c r="B165" s="110" t="inlineStr">
        <is>
          <t>Instalação</t>
        </is>
      </c>
      <c r="C165" s="110" t="inlineStr">
        <is>
          <t>Serviços técnicos da Dtel para voice net</t>
        </is>
      </c>
      <c r="D165" s="110" t="inlineStr">
        <is>
          <t>Voicenet</t>
        </is>
      </c>
      <c r="E165" s="129" t="n">
        <v>1</v>
      </c>
      <c r="F165" s="89" t="n">
        <v>13877.08</v>
      </c>
      <c r="G165" s="89" t="n">
        <v>13877.08</v>
      </c>
      <c r="H165" s="110" t="inlineStr">
        <is>
          <t>Serviços das equipes técnicas da Dtel</t>
        </is>
      </c>
    </row>
    <row r="166" ht="15" customHeight="1" s="64">
      <c r="A166" s="110" t="inlineStr">
        <is>
          <t>ABRIL/2026</t>
        </is>
      </c>
      <c r="B166" s="110" t="inlineStr">
        <is>
          <t>Instalação</t>
        </is>
      </c>
      <c r="C166" s="110" t="inlineStr">
        <is>
          <t>Serviços técnicos da voicenet p/ Dtel</t>
        </is>
      </c>
      <c r="D166" s="110" t="inlineStr">
        <is>
          <t>Voicenet</t>
        </is>
      </c>
      <c r="E166" s="129" t="n">
        <v>0</v>
      </c>
      <c r="F166" s="89" t="n">
        <v>0</v>
      </c>
      <c r="G166" s="89" t="n">
        <v>0</v>
      </c>
      <c r="H166" s="110" t="inlineStr">
        <is>
          <t>Serviços das equipes técnicas</t>
        </is>
      </c>
    </row>
    <row r="167" ht="15" customHeight="1" s="64">
      <c r="A167" s="110" t="inlineStr">
        <is>
          <t>ABRIL/2026</t>
        </is>
      </c>
      <c r="B167" s="110" t="inlineStr">
        <is>
          <t>Licitação</t>
        </is>
      </c>
      <c r="C167" s="110" t="inlineStr">
        <is>
          <t>Conselho Regional De Enfermagem De Alagoas</t>
        </is>
      </c>
      <c r="D167" s="110" t="inlineStr">
        <is>
          <t>H&amp;A</t>
        </is>
      </c>
      <c r="E167" s="129" t="n">
        <v>1</v>
      </c>
      <c r="F167" s="89" t="n">
        <v>238.88</v>
      </c>
      <c r="G167" s="89" t="n">
        <v>238.88</v>
      </c>
      <c r="H167" s="110" t="inlineStr">
        <is>
          <t>Mensalidade recebida pela H&amp;A (parcela abril)</t>
        </is>
      </c>
    </row>
    <row r="168" ht="15" customHeight="1" s="64">
      <c r="A168" s="110" t="inlineStr">
        <is>
          <t>ABRIL/2026</t>
        </is>
      </c>
      <c r="B168" s="110" t="inlineStr">
        <is>
          <t>Licitação</t>
        </is>
      </c>
      <c r="C168" s="110" t="inlineStr">
        <is>
          <t>Conselho Regional de Enfermagem de Pernambuco - Coren PE</t>
        </is>
      </c>
      <c r="D168" s="110" t="inlineStr">
        <is>
          <t>H&amp;A</t>
        </is>
      </c>
      <c r="E168" s="129" t="n">
        <v>1</v>
      </c>
      <c r="F168" s="89" t="n">
        <v>609.17</v>
      </c>
      <c r="G168" s="89" t="n">
        <v>609.17</v>
      </c>
      <c r="H168" s="110" t="inlineStr">
        <is>
          <t>Mensalidade recebida pela H&amp;A (parcela abril)</t>
        </is>
      </c>
    </row>
    <row r="169" ht="15" customHeight="1" s="64">
      <c r="A169" s="110" t="inlineStr">
        <is>
          <t>ABRIL/2026</t>
        </is>
      </c>
      <c r="B169" s="110" t="inlineStr">
        <is>
          <t>Licitação</t>
        </is>
      </c>
      <c r="C169" s="110" t="inlineStr">
        <is>
          <t>Conselho regional de farmacia dos estado de pernambuco</t>
        </is>
      </c>
      <c r="D169" s="110" t="inlineStr">
        <is>
          <t>H&amp;A</t>
        </is>
      </c>
      <c r="E169" s="129" t="n">
        <v>1</v>
      </c>
      <c r="F169" s="89" t="n">
        <v>510</v>
      </c>
      <c r="G169" s="89" t="n">
        <v>510</v>
      </c>
      <c r="H169" s="110" t="inlineStr">
        <is>
          <t>Mensalidade recebida pela H&amp;A (parcela abril)</t>
        </is>
      </c>
    </row>
    <row r="170" ht="15" customHeight="1" s="64">
      <c r="A170" s="110" t="inlineStr">
        <is>
          <t>ABRIL/2026</t>
        </is>
      </c>
      <c r="B170" s="110" t="inlineStr">
        <is>
          <t>Licitação</t>
        </is>
      </c>
      <c r="C170" s="110" t="inlineStr">
        <is>
          <t>Câmara de vereadores-Vitória de Stº Antão</t>
        </is>
      </c>
      <c r="D170" s="110" t="inlineStr">
        <is>
          <t>H&amp;A</t>
        </is>
      </c>
      <c r="E170" s="129" t="n">
        <v>1</v>
      </c>
      <c r="F170" s="89" t="n">
        <v>333.1</v>
      </c>
      <c r="G170" s="89" t="n">
        <v>333.1</v>
      </c>
      <c r="H170" s="110" t="inlineStr">
        <is>
          <t>Mensalidade recebida pela H&amp;A (parcela maio)</t>
        </is>
      </c>
    </row>
    <row r="171" ht="15" customHeight="1" s="64">
      <c r="A171" s="110" t="inlineStr">
        <is>
          <t>ABRIL/2026</t>
        </is>
      </c>
      <c r="B171" s="110" t="inlineStr">
        <is>
          <t>Licitação</t>
        </is>
      </c>
      <c r="C171" s="110" t="inlineStr">
        <is>
          <t>FUNDO MUNICIPAL DE ASSISTÊNCIA SOCIAL DE PRIMAVERA</t>
        </is>
      </c>
      <c r="D171" s="110" t="inlineStr">
        <is>
          <t>H&amp;A</t>
        </is>
      </c>
      <c r="E171" s="129" t="n">
        <v>1</v>
      </c>
      <c r="F171" s="89" t="n">
        <v>1833.24</v>
      </c>
      <c r="G171" s="89" t="n">
        <v>1833.24</v>
      </c>
      <c r="H171" s="110" t="inlineStr">
        <is>
          <t>Mensalidade recebida pela H&amp;A (parcela abril)</t>
        </is>
      </c>
    </row>
    <row r="172" ht="15" customHeight="1" s="64">
      <c r="A172" s="110" t="inlineStr">
        <is>
          <t>ABRIL/2026</t>
        </is>
      </c>
      <c r="B172" s="110" t="inlineStr">
        <is>
          <t>Licitação</t>
        </is>
      </c>
      <c r="C172" s="110" t="inlineStr">
        <is>
          <t>Fundo Municipal De Saude De Primavera</t>
        </is>
      </c>
      <c r="D172" s="110" t="inlineStr">
        <is>
          <t>H&amp;A</t>
        </is>
      </c>
      <c r="E172" s="129" t="n">
        <v>1</v>
      </c>
      <c r="F172" s="89" t="n">
        <v>2973.2</v>
      </c>
      <c r="G172" s="89" t="n">
        <v>2973.2</v>
      </c>
      <c r="H172" s="110" t="inlineStr">
        <is>
          <t>Mensalidade recebida pela H&amp;A (parcela abril)</t>
        </is>
      </c>
    </row>
    <row r="173" ht="15" customHeight="1" s="64">
      <c r="A173" s="110" t="inlineStr">
        <is>
          <t>ABRIL/2026</t>
        </is>
      </c>
      <c r="B173" s="110" t="inlineStr">
        <is>
          <t>Licitação</t>
        </is>
      </c>
      <c r="C173" s="110" t="inlineStr">
        <is>
          <t>Municipio De Primavera</t>
        </is>
      </c>
      <c r="D173" s="110" t="inlineStr">
        <is>
          <t>H&amp;A</t>
        </is>
      </c>
      <c r="E173" s="129" t="n">
        <v>1</v>
      </c>
      <c r="F173" s="89" t="n">
        <v>7615.46</v>
      </c>
      <c r="G173" s="89" t="n">
        <v>7615.46</v>
      </c>
      <c r="H173" s="110" t="inlineStr">
        <is>
          <t>Mensalidade recebida pela H&amp;A (parcela abril)</t>
        </is>
      </c>
    </row>
    <row r="174" ht="15" customHeight="1" s="64">
      <c r="A174" s="110" t="inlineStr">
        <is>
          <t>ABRIL/2026</t>
        </is>
      </c>
      <c r="B174" s="110" t="inlineStr">
        <is>
          <t>Licitação</t>
        </is>
      </c>
      <c r="C174" s="110" t="inlineStr">
        <is>
          <t>AGÊNCIA REGULADORA DOS SERVIÇOS PÚBLICOS DO ESTADO DE ALAGOAS - ARSAL</t>
        </is>
      </c>
      <c r="D174" s="110" t="inlineStr">
        <is>
          <t>Soares e Silva</t>
        </is>
      </c>
      <c r="E174" s="129" t="n">
        <v>-1</v>
      </c>
      <c r="F174" s="89" t="n">
        <v>837.25</v>
      </c>
      <c r="G174" s="89" t="n">
        <v>-837.25</v>
      </c>
      <c r="H174" s="110" t="inlineStr">
        <is>
          <t>Mensalidade recebida pela Dtel (parcela abril)</t>
        </is>
      </c>
    </row>
    <row r="175" ht="15" customHeight="1" s="64">
      <c r="A175" s="110" t="inlineStr">
        <is>
          <t>ABRIL/2026</t>
        </is>
      </c>
      <c r="B175" s="110" t="inlineStr">
        <is>
          <t>Licitação</t>
        </is>
      </c>
      <c r="C175" s="110" t="inlineStr">
        <is>
          <t>Conselho Regional De Enfermagem De Alagoas</t>
        </is>
      </c>
      <c r="D175" s="110" t="inlineStr">
        <is>
          <t>Soares e Silva</t>
        </is>
      </c>
      <c r="E175" s="129" t="n">
        <v>-1</v>
      </c>
      <c r="F175" s="89" t="n">
        <v>238.88</v>
      </c>
      <c r="G175" s="89" t="n">
        <v>-238.88</v>
      </c>
      <c r="H175" s="110" t="inlineStr">
        <is>
          <t>Mensalidade recebida pela H&amp;A (parcela abril)</t>
        </is>
      </c>
    </row>
    <row r="176" ht="15" customHeight="1" s="64">
      <c r="A176" s="110" t="inlineStr">
        <is>
          <t>ABRIL/2026</t>
        </is>
      </c>
      <c r="B176" s="110" t="inlineStr">
        <is>
          <t>Licitação</t>
        </is>
      </c>
      <c r="C176" s="110" t="inlineStr">
        <is>
          <t>Conselho Regional De Enfermagem De Alagoas</t>
        </is>
      </c>
      <c r="D176" s="110" t="inlineStr">
        <is>
          <t>Soares e Silva</t>
        </is>
      </c>
      <c r="E176" s="129" t="n">
        <v>1</v>
      </c>
      <c r="F176" s="89" t="n">
        <v>34.83</v>
      </c>
      <c r="G176" s="89" t="n">
        <v>34.83</v>
      </c>
      <c r="H176" s="110" t="inlineStr">
        <is>
          <t>Imposto pago pela h&amp;a sob o recebimento da licitação</t>
        </is>
      </c>
    </row>
    <row r="177" ht="15" customHeight="1" s="64">
      <c r="A177" s="110" t="inlineStr">
        <is>
          <t>ABRIL/2026</t>
        </is>
      </c>
      <c r="B177" s="110" t="inlineStr">
        <is>
          <t>Licitação</t>
        </is>
      </c>
      <c r="C177" s="110" t="inlineStr">
        <is>
          <t>Comissão de manutenção da Totum</t>
        </is>
      </c>
      <c r="D177" s="110" t="inlineStr">
        <is>
          <t>Voicenet</t>
        </is>
      </c>
      <c r="E177" s="129" t="n">
        <v>1</v>
      </c>
      <c r="F177" s="89" t="n">
        <v>25.5</v>
      </c>
      <c r="G177" s="89" t="n">
        <v>25.5</v>
      </c>
      <c r="H177" s="110" t="inlineStr">
        <is>
          <t>Conselho regional de farmacia do estado de PE</t>
        </is>
      </c>
    </row>
    <row r="178" ht="15" customHeight="1" s="64">
      <c r="A178" s="110" t="inlineStr">
        <is>
          <t>ABRIL/2026</t>
        </is>
      </c>
      <c r="B178" s="110" t="inlineStr">
        <is>
          <t>Licitação</t>
        </is>
      </c>
      <c r="C178" s="110" t="inlineStr">
        <is>
          <t>Conselho regional de farmacia dos estado de pernambuco</t>
        </is>
      </c>
      <c r="D178" s="110" t="inlineStr">
        <is>
          <t>Voicenet</t>
        </is>
      </c>
      <c r="E178" s="129" t="n">
        <v>1</v>
      </c>
      <c r="F178" s="89" t="n">
        <v>67.33</v>
      </c>
      <c r="G178" s="89" t="n">
        <v>67.33</v>
      </c>
      <c r="H178" s="110" t="inlineStr">
        <is>
          <t>Imposto pago pela h&amp;a, pelo recebimento da licitação</t>
        </is>
      </c>
    </row>
    <row r="179" ht="15" customHeight="1" s="64">
      <c r="A179" s="110" t="inlineStr">
        <is>
          <t>ABRIL/2026</t>
        </is>
      </c>
      <c r="B179" s="110" t="inlineStr">
        <is>
          <t>Licitação</t>
        </is>
      </c>
      <c r="C179" s="110" t="inlineStr">
        <is>
          <t>Conselho regional de farmacia dos estado de pernambuco</t>
        </is>
      </c>
      <c r="D179" s="110" t="inlineStr">
        <is>
          <t>Voicenet</t>
        </is>
      </c>
      <c r="E179" s="129" t="n">
        <v>-1</v>
      </c>
      <c r="F179" s="89" t="n">
        <v>510</v>
      </c>
      <c r="G179" s="89" t="n">
        <v>-510</v>
      </c>
      <c r="H179" s="110" t="inlineStr">
        <is>
          <t>Mensalidade recebida pela H&amp;A (parcela abril)</t>
        </is>
      </c>
    </row>
    <row r="180" ht="15" customHeight="1" s="64">
      <c r="A180" s="110" t="inlineStr">
        <is>
          <t>ABRIL/2026</t>
        </is>
      </c>
      <c r="B180" s="110" t="inlineStr">
        <is>
          <t>Manutenção Predial</t>
        </is>
      </c>
      <c r="C180" s="110" t="inlineStr">
        <is>
          <t>Manutenção predial</t>
        </is>
      </c>
      <c r="D180" s="110" t="inlineStr">
        <is>
          <t>DX2</t>
        </is>
      </c>
      <c r="E180" s="129" t="n">
        <v>1</v>
      </c>
      <c r="F180" s="89" t="n">
        <v>7780.43</v>
      </c>
      <c r="G180" s="89" t="n">
        <v>7780.43</v>
      </c>
      <c r="H180" s="110" t="inlineStr">
        <is>
          <t>Serviços executados para verificação de tacaimbó, e manut. de alarme e sensor loja pesqueira, despesa com comb. e colab.</t>
        </is>
      </c>
    </row>
    <row r="181" ht="15" customHeight="1" s="64">
      <c r="A181" s="110" t="inlineStr">
        <is>
          <t>ABRIL/2026</t>
        </is>
      </c>
      <c r="B181" s="110" t="inlineStr">
        <is>
          <t>Manutenção Predial</t>
        </is>
      </c>
      <c r="C181" s="110" t="inlineStr">
        <is>
          <t>Manutenção predial</t>
        </is>
      </c>
      <c r="D181" s="110" t="inlineStr">
        <is>
          <t>H&amp;A</t>
        </is>
      </c>
      <c r="E181" s="129" t="n">
        <v>1</v>
      </c>
      <c r="F181" s="89" t="n">
        <v>2777.71</v>
      </c>
      <c r="G181" s="89" t="n">
        <v>2777.71</v>
      </c>
      <c r="H181" s="110" t="inlineStr">
        <is>
          <t>Despesa com combust. e colaborador para manutenção de ar condicionado do estoque</t>
        </is>
      </c>
    </row>
    <row r="182" ht="15" customHeight="1" s="64">
      <c r="A182" s="110" t="inlineStr">
        <is>
          <t>ABRIL/2026</t>
        </is>
      </c>
      <c r="B182" s="110" t="inlineStr">
        <is>
          <t>Manutenção Predial</t>
        </is>
      </c>
      <c r="C182" s="110" t="inlineStr">
        <is>
          <t>Manutenção predial</t>
        </is>
      </c>
      <c r="D182" s="110" t="inlineStr">
        <is>
          <t>Soares e Lins</t>
        </is>
      </c>
      <c r="E182" s="129" t="n">
        <v>0</v>
      </c>
      <c r="F182" s="89" t="n">
        <v>0</v>
      </c>
      <c r="G182" s="89" t="n">
        <v>0</v>
      </c>
      <c r="H182" s="110" t="inlineStr">
        <is>
          <t>Serviços executados</t>
        </is>
      </c>
    </row>
    <row r="183" ht="15" customHeight="1" s="64">
      <c r="A183" s="110" t="inlineStr">
        <is>
          <t>ABRIL/2026</t>
        </is>
      </c>
      <c r="B183" s="110" t="inlineStr">
        <is>
          <t>Manutenção Predial</t>
        </is>
      </c>
      <c r="C183" s="110" t="inlineStr">
        <is>
          <t>Manutenção predial</t>
        </is>
      </c>
      <c r="D183" s="110" t="inlineStr">
        <is>
          <t>Soares e Silva</t>
        </is>
      </c>
      <c r="E183" s="129" t="n">
        <v>1</v>
      </c>
      <c r="F183" s="89" t="n">
        <v>4438.18</v>
      </c>
      <c r="G183" s="89" t="n">
        <v>4438.18</v>
      </c>
      <c r="H183" s="110" t="inlineStr">
        <is>
          <t>Serviços executados, despesa com combustÍvel e colaborador para reforma pop b, e passagem de tubulação de condensadora</t>
        </is>
      </c>
    </row>
    <row r="184" ht="15" customHeight="1" s="64">
      <c r="A184" s="110" t="inlineStr">
        <is>
          <t>ABRIL/2026</t>
        </is>
      </c>
      <c r="B184" s="110" t="inlineStr">
        <is>
          <t>Manutenção Predial</t>
        </is>
      </c>
      <c r="C184" s="110" t="inlineStr">
        <is>
          <t>Manutenção predial</t>
        </is>
      </c>
      <c r="D184" s="110" t="inlineStr">
        <is>
          <t>Solon Araújo</t>
        </is>
      </c>
      <c r="E184" s="129" t="n">
        <v>1</v>
      </c>
      <c r="F184" s="89" t="n">
        <v>5054.07</v>
      </c>
      <c r="G184" s="89" t="n">
        <v>5054.07</v>
      </c>
      <c r="H184" s="110" t="inlineStr">
        <is>
          <t>Despesa com material, combust, e colaborador para manut. de ar, e manut. de telhado</t>
        </is>
      </c>
    </row>
    <row r="185" ht="15" customHeight="1" s="64">
      <c r="A185" s="110" t="inlineStr">
        <is>
          <t>ABRIL/2026</t>
        </is>
      </c>
      <c r="B185" s="110" t="inlineStr">
        <is>
          <t>Manutenção Predial</t>
        </is>
      </c>
      <c r="C185" s="110" t="inlineStr">
        <is>
          <t>Manutenção predial</t>
        </is>
      </c>
      <c r="D185" s="110" t="inlineStr">
        <is>
          <t>Souza e Silva</t>
        </is>
      </c>
      <c r="E185" s="129" t="n">
        <v>0</v>
      </c>
      <c r="F185" s="89" t="n">
        <v>0</v>
      </c>
      <c r="G185" s="89" t="n">
        <v>0</v>
      </c>
      <c r="H185" s="110" t="inlineStr">
        <is>
          <t>Serviços executados</t>
        </is>
      </c>
    </row>
    <row r="186" ht="15" customHeight="1" s="64">
      <c r="A186" s="110" t="inlineStr">
        <is>
          <t>ABRIL/2026</t>
        </is>
      </c>
      <c r="B186" s="110" t="inlineStr">
        <is>
          <t>Manutenção Predial</t>
        </is>
      </c>
      <c r="C186" s="110" t="inlineStr">
        <is>
          <t>Manutenção predial</t>
        </is>
      </c>
      <c r="D186" s="110" t="inlineStr">
        <is>
          <t>Voicenet</t>
        </is>
      </c>
      <c r="E186" s="129" t="n">
        <v>1</v>
      </c>
      <c r="F186" s="89" t="n">
        <v>1379.96</v>
      </c>
      <c r="G186" s="89" t="n">
        <v>1379.96</v>
      </c>
      <c r="H186" s="110" t="inlineStr">
        <is>
          <t>Serviços executados despesas com comb. e colaborador para urgencia na base</t>
        </is>
      </c>
    </row>
    <row r="187" ht="15" customHeight="1" s="64">
      <c r="A187" s="110" t="inlineStr">
        <is>
          <t>ABRIL/2026</t>
        </is>
      </c>
      <c r="B187" s="110" t="inlineStr">
        <is>
          <t>Marketing</t>
        </is>
      </c>
      <c r="C187" s="110" t="inlineStr">
        <is>
          <t>Vendas do site Mundiale</t>
        </is>
      </c>
      <c r="D187" s="110" t="inlineStr">
        <is>
          <t>DTEL</t>
        </is>
      </c>
      <c r="E187" s="129" t="n">
        <v>1</v>
      </c>
      <c r="F187" s="89" t="n">
        <v>404.4</v>
      </c>
      <c r="G187" s="89" t="n">
        <v>404.4</v>
      </c>
      <c r="H187" s="110" t="inlineStr">
        <is>
          <t>Vendas instaladas do impulsionamento site mundiale (VENDAS MUNDIALE - MAIO 2026.xlsx)</t>
        </is>
      </c>
    </row>
    <row r="188" ht="15" customHeight="1" s="64">
      <c r="A188" s="110" t="inlineStr">
        <is>
          <t>ABRIL/2026</t>
        </is>
      </c>
      <c r="B188" s="110" t="inlineStr">
        <is>
          <t>Marketing</t>
        </is>
      </c>
      <c r="C188" s="110" t="inlineStr">
        <is>
          <t>Vendas do site Mundiale</t>
        </is>
      </c>
      <c r="D188" s="110" t="inlineStr">
        <is>
          <t>DTEL</t>
        </is>
      </c>
      <c r="E188" s="129" t="n">
        <v>139</v>
      </c>
      <c r="F188" s="89" t="n">
        <v>124.1</v>
      </c>
      <c r="G188" s="89" t="n">
        <v>17249.9</v>
      </c>
      <c r="H188" s="110" t="inlineStr">
        <is>
          <t>Vendas instaladas do impulsionamento site mundiale</t>
        </is>
      </c>
    </row>
    <row r="189" ht="15" customHeight="1" s="64">
      <c r="A189" s="110" t="inlineStr">
        <is>
          <t>ABRIL/2026</t>
        </is>
      </c>
      <c r="B189" s="110" t="inlineStr">
        <is>
          <t>Marketing</t>
        </is>
      </c>
      <c r="C189" s="110" t="inlineStr">
        <is>
          <t>Vendas do site Mundiale</t>
        </is>
      </c>
      <c r="D189" s="110" t="inlineStr">
        <is>
          <t>DX2</t>
        </is>
      </c>
      <c r="E189" s="129" t="n">
        <v>3</v>
      </c>
      <c r="F189" s="89" t="n">
        <v>143.82</v>
      </c>
      <c r="G189" s="89" t="n">
        <v>431.46</v>
      </c>
      <c r="H189" s="110" t="inlineStr">
        <is>
          <t>Vendas instaladas do impulsionamento site mundiale</t>
        </is>
      </c>
    </row>
    <row r="190" ht="15" customHeight="1" s="64">
      <c r="A190" s="110" t="inlineStr">
        <is>
          <t>ABRIL/2026</t>
        </is>
      </c>
      <c r="B190" s="110" t="inlineStr">
        <is>
          <t>Marketing</t>
        </is>
      </c>
      <c r="C190" s="110" t="inlineStr">
        <is>
          <t>Vendas do site Mundiale</t>
        </is>
      </c>
      <c r="D190" s="110" t="inlineStr">
        <is>
          <t>H&amp;A</t>
        </is>
      </c>
      <c r="E190" s="129" t="n">
        <v>12</v>
      </c>
      <c r="F190" s="89" t="n">
        <v>133.21</v>
      </c>
      <c r="G190" s="89" t="n">
        <v>1598.52</v>
      </c>
      <c r="H190" s="110" t="inlineStr">
        <is>
          <t>Vendas instaladas do impulsionamento site mundiale</t>
        </is>
      </c>
    </row>
    <row r="191" ht="15" customHeight="1" s="64">
      <c r="A191" s="110" t="inlineStr">
        <is>
          <t>ABRIL/2026</t>
        </is>
      </c>
      <c r="B191" s="110" t="inlineStr">
        <is>
          <t>Marketing</t>
        </is>
      </c>
      <c r="C191" s="110" t="inlineStr">
        <is>
          <t>Vendas do site Mundiale</t>
        </is>
      </c>
      <c r="D191" s="110" t="inlineStr">
        <is>
          <t>Soares e Lins</t>
        </is>
      </c>
      <c r="E191" s="129" t="n">
        <v>15</v>
      </c>
      <c r="F191" s="89" t="n">
        <v>151.02</v>
      </c>
      <c r="G191" s="89" t="n">
        <v>2265.3</v>
      </c>
      <c r="H191" s="110" t="inlineStr">
        <is>
          <t>Vendas instaladas do impulsionamento site mundiale</t>
        </is>
      </c>
    </row>
    <row r="192" ht="15" customHeight="1" s="64">
      <c r="A192" s="110" t="inlineStr">
        <is>
          <t>ABRIL/2026</t>
        </is>
      </c>
      <c r="B192" s="110" t="inlineStr">
        <is>
          <t>Marketing</t>
        </is>
      </c>
      <c r="C192" s="110" t="inlineStr">
        <is>
          <t>Vendas do site Mundiale</t>
        </is>
      </c>
      <c r="D192" s="110" t="inlineStr">
        <is>
          <t>Soares e Silva</t>
        </is>
      </c>
      <c r="E192" s="129" t="n">
        <v>20</v>
      </c>
      <c r="F192" s="89" t="n">
        <v>151.92</v>
      </c>
      <c r="G192" s="89" t="n">
        <v>3038.4</v>
      </c>
      <c r="H192" s="110" t="inlineStr">
        <is>
          <t>Vendas instaladas do impulsionamento site mundiale</t>
        </is>
      </c>
    </row>
    <row r="193" ht="15" customHeight="1" s="64">
      <c r="A193" s="110" t="inlineStr">
        <is>
          <t>ABRIL/2026</t>
        </is>
      </c>
      <c r="B193" s="110" t="inlineStr">
        <is>
          <t>Marketing</t>
        </is>
      </c>
      <c r="C193" s="110" t="inlineStr">
        <is>
          <t>Vendas do site Mundiale</t>
        </is>
      </c>
      <c r="D193" s="110" t="inlineStr">
        <is>
          <t>Solon Araújo</t>
        </is>
      </c>
      <c r="E193" s="129" t="n">
        <v>10</v>
      </c>
      <c r="F193" s="89" t="n">
        <v>151.02</v>
      </c>
      <c r="G193" s="89" t="n">
        <v>1510.2</v>
      </c>
      <c r="H193" s="110" t="inlineStr">
        <is>
          <t>Vendas instaladas do impulsionamento site mundiale</t>
        </is>
      </c>
    </row>
    <row r="194" ht="15" customHeight="1" s="64">
      <c r="A194" s="110" t="inlineStr">
        <is>
          <t>ABRIL/2026</t>
        </is>
      </c>
      <c r="B194" s="110" t="inlineStr">
        <is>
          <t>Marketing</t>
        </is>
      </c>
      <c r="C194" s="110" t="inlineStr">
        <is>
          <t>Vendas do site Mundiale</t>
        </is>
      </c>
      <c r="D194" s="110" t="inlineStr">
        <is>
          <t>Souza e Silva</t>
        </is>
      </c>
      <c r="E194" s="129" t="n">
        <v>1</v>
      </c>
      <c r="F194" s="89" t="n">
        <v>143.82</v>
      </c>
      <c r="G194" s="89" t="n">
        <v>143.82</v>
      </c>
      <c r="H194" s="110" t="inlineStr">
        <is>
          <t>Vendas instaladas do impulsionamento site mundiale</t>
        </is>
      </c>
    </row>
    <row r="195" ht="15" customHeight="1" s="64">
      <c r="A195" s="110" t="inlineStr">
        <is>
          <t>ABRIL/2026</t>
        </is>
      </c>
      <c r="B195" s="110" t="inlineStr">
        <is>
          <t>Marketing</t>
        </is>
      </c>
      <c r="C195" s="110" t="inlineStr">
        <is>
          <t>Vendas do site Mundiale</t>
        </is>
      </c>
      <c r="D195" s="110" t="inlineStr">
        <is>
          <t>Voicenet</t>
        </is>
      </c>
      <c r="E195" s="129" t="n">
        <v>9</v>
      </c>
      <c r="F195" s="89" t="n">
        <v>123.18</v>
      </c>
      <c r="G195" s="89" t="n">
        <v>1108.62</v>
      </c>
      <c r="H195" s="110" t="inlineStr">
        <is>
          <t>Vendas instaladas do impulsionamento site mundiale</t>
        </is>
      </c>
    </row>
    <row r="196" ht="15" customHeight="1" s="64">
      <c r="A196" s="110" t="inlineStr">
        <is>
          <t>ABRIL/2026</t>
        </is>
      </c>
      <c r="B196" s="110" t="inlineStr">
        <is>
          <t>RH</t>
        </is>
      </c>
      <c r="C196" s="110" t="inlineStr">
        <is>
          <t>Fardamentos</t>
        </is>
      </c>
      <c r="D196" s="110" t="inlineStr">
        <is>
          <t>DX2</t>
        </is>
      </c>
      <c r="E196" s="129" t="n">
        <v>1</v>
      </c>
      <c r="F196" s="89" t="n">
        <v>209</v>
      </c>
      <c r="G196" s="89" t="n">
        <v>209</v>
      </c>
      <c r="H196" s="110" t="inlineStr">
        <is>
          <t>Solicitações de fardamentos administrativos</t>
        </is>
      </c>
    </row>
    <row r="197" ht="15" customHeight="1" s="64">
      <c r="A197" s="110" t="inlineStr">
        <is>
          <t>ABRIL/2026</t>
        </is>
      </c>
      <c r="B197" s="110" t="inlineStr">
        <is>
          <t>RH</t>
        </is>
      </c>
      <c r="C197" s="110" t="inlineStr">
        <is>
          <t>Treinamentos/integração</t>
        </is>
      </c>
      <c r="D197" s="110" t="inlineStr">
        <is>
          <t>DX2</t>
        </is>
      </c>
      <c r="E197" s="129" t="n">
        <v>1</v>
      </c>
      <c r="F197" s="89" t="n">
        <v>419.64</v>
      </c>
      <c r="G197" s="89" t="n">
        <v>419.64</v>
      </c>
      <c r="H197" s="110" t="inlineStr">
        <is>
          <t>Despesas com seleção, treinamentos...</t>
        </is>
      </c>
    </row>
    <row r="198" ht="15" customHeight="1" s="64">
      <c r="A198" s="110" t="inlineStr">
        <is>
          <t>ABRIL/2026</t>
        </is>
      </c>
      <c r="B198" s="110" t="inlineStr">
        <is>
          <t>RH</t>
        </is>
      </c>
      <c r="C198" s="110" t="inlineStr">
        <is>
          <t>Fardamentos</t>
        </is>
      </c>
      <c r="D198" s="110" t="inlineStr">
        <is>
          <t>Soares e Lins</t>
        </is>
      </c>
      <c r="E198" s="129" t="n">
        <v>0</v>
      </c>
      <c r="F198" s="89" t="n">
        <v>0</v>
      </c>
      <c r="G198" s="89" t="n">
        <v>0</v>
      </c>
      <c r="H198" s="110" t="inlineStr">
        <is>
          <t>Solicitações de fardamentos administrativos</t>
        </is>
      </c>
    </row>
    <row r="199" ht="15" customHeight="1" s="64">
      <c r="A199" s="110" t="inlineStr">
        <is>
          <t>ABRIL/2026</t>
        </is>
      </c>
      <c r="B199" s="110" t="inlineStr">
        <is>
          <t>RH</t>
        </is>
      </c>
      <c r="C199" s="110" t="inlineStr">
        <is>
          <t>Treinamentos/integração</t>
        </is>
      </c>
      <c r="D199" s="110" t="inlineStr">
        <is>
          <t>Soares e Lins</t>
        </is>
      </c>
      <c r="E199" s="129" t="n">
        <v>0</v>
      </c>
      <c r="F199" s="89" t="n">
        <v>0</v>
      </c>
      <c r="G199" s="89" t="n">
        <v>0</v>
      </c>
      <c r="H199" s="110" t="inlineStr">
        <is>
          <t>Despesa com integração/alimentação</t>
        </is>
      </c>
    </row>
    <row r="200" ht="15" customHeight="1" s="64">
      <c r="A200" s="110" t="inlineStr">
        <is>
          <t>ABRIL/2026</t>
        </is>
      </c>
      <c r="B200" s="110" t="inlineStr">
        <is>
          <t>RH</t>
        </is>
      </c>
      <c r="C200" s="110" t="inlineStr">
        <is>
          <t>Fardamentos</t>
        </is>
      </c>
      <c r="D200" s="110" t="inlineStr">
        <is>
          <t>Soares e Silva</t>
        </is>
      </c>
      <c r="E200" s="129" t="n">
        <v>1</v>
      </c>
      <c r="F200" s="89" t="n">
        <v>280</v>
      </c>
      <c r="G200" s="89" t="n">
        <v>280</v>
      </c>
      <c r="H200" s="110" t="inlineStr">
        <is>
          <t>Solicitações de fardamentos administrativos</t>
        </is>
      </c>
    </row>
    <row r="201" ht="15" customHeight="1" s="64">
      <c r="A201" s="110" t="inlineStr">
        <is>
          <t>ABRIL/2026</t>
        </is>
      </c>
      <c r="B201" s="110" t="inlineStr">
        <is>
          <t>RH</t>
        </is>
      </c>
      <c r="C201" s="110" t="inlineStr">
        <is>
          <t>Fardamentos</t>
        </is>
      </c>
      <c r="D201" s="110" t="inlineStr">
        <is>
          <t>Soares e Silva</t>
        </is>
      </c>
      <c r="E201" s="129" t="n">
        <v>0</v>
      </c>
      <c r="F201" s="89" t="n">
        <v>0</v>
      </c>
      <c r="G201" s="89" t="n">
        <v>0</v>
      </c>
      <c r="H201" s="110" t="inlineStr">
        <is>
          <t>Solicitações de fardamentos administrativos</t>
        </is>
      </c>
    </row>
    <row r="202" ht="15" customHeight="1" s="64">
      <c r="A202" s="110" t="inlineStr">
        <is>
          <t>ABRIL/2026</t>
        </is>
      </c>
      <c r="B202" s="110" t="inlineStr">
        <is>
          <t>RH</t>
        </is>
      </c>
      <c r="C202" s="110" t="inlineStr">
        <is>
          <t>Fardamentos</t>
        </is>
      </c>
      <c r="D202" s="110" t="inlineStr">
        <is>
          <t>Solon Araújo</t>
        </is>
      </c>
      <c r="E202" s="129" t="n">
        <v>1</v>
      </c>
      <c r="F202" s="89" t="n">
        <v>492</v>
      </c>
      <c r="G202" s="89" t="n">
        <v>492</v>
      </c>
      <c r="H202" s="110" t="inlineStr">
        <is>
          <t>Solicitações de fardamentos administrativos</t>
        </is>
      </c>
    </row>
    <row r="203" ht="15" customHeight="1" s="64">
      <c r="A203" s="110" t="inlineStr">
        <is>
          <t>ABRIL/2026</t>
        </is>
      </c>
      <c r="B203" s="110" t="inlineStr">
        <is>
          <t>RH</t>
        </is>
      </c>
      <c r="C203" s="110" t="inlineStr">
        <is>
          <t>Treinamentos/integração</t>
        </is>
      </c>
      <c r="D203" s="110" t="inlineStr">
        <is>
          <t>Solon Araújo</t>
        </is>
      </c>
      <c r="E203" s="129" t="n">
        <v>1</v>
      </c>
      <c r="F203" s="89" t="n">
        <v>668.79</v>
      </c>
      <c r="G203" s="89" t="n">
        <v>668.79</v>
      </c>
      <c r="H203" s="110" t="inlineStr">
        <is>
          <t>Despesas com seleção, treinamentos...</t>
        </is>
      </c>
    </row>
    <row r="204" ht="15" customHeight="1" s="64">
      <c r="A204" s="110" t="inlineStr">
        <is>
          <t>ABRIL/2026</t>
        </is>
      </c>
      <c r="B204" s="110" t="inlineStr">
        <is>
          <t>RH</t>
        </is>
      </c>
      <c r="C204" s="110" t="inlineStr">
        <is>
          <t>Fardamentos</t>
        </is>
      </c>
      <c r="D204" s="110" t="inlineStr">
        <is>
          <t>Souza e Silva</t>
        </is>
      </c>
      <c r="E204" s="129" t="n">
        <v>0</v>
      </c>
      <c r="F204" s="89" t="n">
        <v>0</v>
      </c>
      <c r="G204" s="89" t="n">
        <v>0</v>
      </c>
      <c r="H204" s="110" t="inlineStr">
        <is>
          <t>Solicitações de fardamentos administrativos</t>
        </is>
      </c>
    </row>
    <row r="205" ht="15" customHeight="1" s="64">
      <c r="A205" s="110" t="inlineStr">
        <is>
          <t>ABRIL/2026</t>
        </is>
      </c>
      <c r="B205" s="110" t="inlineStr">
        <is>
          <t>RH</t>
        </is>
      </c>
      <c r="C205" s="110" t="inlineStr">
        <is>
          <t>Fardamentos</t>
        </is>
      </c>
      <c r="D205" s="110" t="inlineStr">
        <is>
          <t>Voicenet</t>
        </is>
      </c>
      <c r="E205" s="129" t="n">
        <v>1</v>
      </c>
      <c r="F205" s="89" t="n">
        <v>204</v>
      </c>
      <c r="G205" s="89" t="n">
        <v>204</v>
      </c>
      <c r="H205" s="110" t="inlineStr">
        <is>
          <t>Solicitações de fardamentos administrativos</t>
        </is>
      </c>
    </row>
    <row r="206" ht="15" customHeight="1" s="64">
      <c r="A206" s="110" t="inlineStr">
        <is>
          <t>ABRIL/2026</t>
        </is>
      </c>
      <c r="B206" s="110" t="inlineStr">
        <is>
          <t>RH</t>
        </is>
      </c>
      <c r="C206" s="110" t="inlineStr">
        <is>
          <t>Treinamentos/integração</t>
        </is>
      </c>
      <c r="D206" s="110" t="inlineStr">
        <is>
          <t>Voicenet</t>
        </is>
      </c>
      <c r="E206" s="129" t="n">
        <v>1</v>
      </c>
      <c r="F206" s="89" t="n">
        <v>348.7</v>
      </c>
      <c r="G206" s="89" t="n">
        <v>348.7</v>
      </c>
      <c r="H206" s="110" t="inlineStr">
        <is>
          <t>Despesa de alimentação de colaboradores em integração</t>
        </is>
      </c>
    </row>
    <row r="207" ht="15" customHeight="1" s="64">
      <c r="A207" s="110" t="inlineStr">
        <is>
          <t>ABRIL/2026</t>
        </is>
      </c>
      <c r="B207" s="110" t="inlineStr">
        <is>
          <t>Relacionamento</t>
        </is>
      </c>
      <c r="C207" s="110" t="inlineStr">
        <is>
          <t>Relacionamento Dtel</t>
        </is>
      </c>
      <c r="D207" s="110" t="inlineStr">
        <is>
          <t>H&amp;A</t>
        </is>
      </c>
      <c r="E207" s="129" t="n">
        <v>13402</v>
      </c>
      <c r="F207" s="89" t="n">
        <v>2.21459650529971</v>
      </c>
      <c r="G207" s="89" t="n">
        <v>29680.0223640267</v>
      </c>
      <c r="H207" s="110" t="inlineStr">
        <is>
          <t>Cálculo por número de clientes ativos</t>
        </is>
      </c>
    </row>
    <row r="208" ht="15" customHeight="1" s="64">
      <c r="A208" s="110" t="inlineStr">
        <is>
          <t>ABRIL/2026</t>
        </is>
      </c>
      <c r="B208" s="110" t="inlineStr">
        <is>
          <t>Segurança do Trabalho</t>
        </is>
      </c>
      <c r="C208" s="110" t="inlineStr">
        <is>
          <t>Equipamentos de Segurança</t>
        </is>
      </c>
      <c r="D208" s="110" t="inlineStr">
        <is>
          <t>DX2</t>
        </is>
      </c>
      <c r="E208" s="129" t="n">
        <v>0</v>
      </c>
      <c r="F208" s="89" t="n">
        <v>0</v>
      </c>
      <c r="G208" s="89" t="n">
        <v>0</v>
      </c>
      <c r="H208" s="110" t="inlineStr">
        <is>
          <t>Devolução de Crédito</t>
        </is>
      </c>
    </row>
    <row r="209" ht="15" customHeight="1" s="64">
      <c r="A209" s="110" t="inlineStr">
        <is>
          <t>ABRIL/2026</t>
        </is>
      </c>
      <c r="B209" s="110" t="inlineStr">
        <is>
          <t>Segurança do Trabalho</t>
        </is>
      </c>
      <c r="C209" s="110" t="inlineStr">
        <is>
          <t>Equipamentos de Segurança</t>
        </is>
      </c>
      <c r="D209" s="110" t="inlineStr">
        <is>
          <t>DX2</t>
        </is>
      </c>
      <c r="E209" s="129" t="n">
        <v>1</v>
      </c>
      <c r="F209" s="89" t="n">
        <v>13006.38</v>
      </c>
      <c r="G209" s="89" t="n">
        <v>13006.38</v>
      </c>
      <c r="H209" s="110" t="inlineStr">
        <is>
          <t>EPI, EPC, Fardamento</t>
        </is>
      </c>
    </row>
    <row r="210" ht="15" customHeight="1" s="64">
      <c r="A210" s="110" t="inlineStr">
        <is>
          <t>ABRIL/2026</t>
        </is>
      </c>
      <c r="B210" s="110" t="inlineStr">
        <is>
          <t>Segurança do Trabalho</t>
        </is>
      </c>
      <c r="C210" s="110" t="inlineStr">
        <is>
          <t>Equipamentos de Segurança</t>
        </is>
      </c>
      <c r="D210" s="110" t="inlineStr">
        <is>
          <t>H&amp;A</t>
        </is>
      </c>
      <c r="E210" s="129" t="n">
        <v>0</v>
      </c>
      <c r="F210" s="89" t="n">
        <v>0</v>
      </c>
      <c r="G210" s="89" t="n">
        <v>0</v>
      </c>
      <c r="H210" s="110" t="inlineStr">
        <is>
          <t>EPI, EPC, Fardamento</t>
        </is>
      </c>
    </row>
    <row r="211" ht="15" customHeight="1" s="64">
      <c r="A211" s="110" t="inlineStr">
        <is>
          <t>ABRIL/2026</t>
        </is>
      </c>
      <c r="B211" s="110" t="inlineStr">
        <is>
          <t>Segurança do Trabalho</t>
        </is>
      </c>
      <c r="C211" s="110" t="inlineStr">
        <is>
          <t>Km rodado Segurança e Saúde do Trabalho dtel p/ H&amp;a</t>
        </is>
      </c>
      <c r="D211" s="110" t="inlineStr">
        <is>
          <t>H&amp;A</t>
        </is>
      </c>
      <c r="E211" s="129" t="n">
        <v>0</v>
      </c>
      <c r="F211" s="89" t="n">
        <v>0</v>
      </c>
      <c r="G211" s="89" t="n">
        <v>0</v>
      </c>
      <c r="H211" s="110" t="inlineStr">
        <is>
          <t>Deslocamento da equipe para Horas cursos de normas e reciclagem ou visitas</t>
        </is>
      </c>
    </row>
    <row r="212" ht="15" customHeight="1" s="64">
      <c r="A212" s="110" t="inlineStr">
        <is>
          <t>ABRIL/2026</t>
        </is>
      </c>
      <c r="B212" s="110" t="inlineStr">
        <is>
          <t>Segurança do Trabalho</t>
        </is>
      </c>
      <c r="C212" s="110" t="inlineStr">
        <is>
          <t>Saude e segurança no trabalho</t>
        </is>
      </c>
      <c r="D212" s="110" t="inlineStr">
        <is>
          <t>H&amp;A</t>
        </is>
      </c>
      <c r="E212" s="129" t="n">
        <v>0</v>
      </c>
      <c r="F212" s="89" t="n">
        <v>0</v>
      </c>
      <c r="G212" s="89" t="n">
        <v>0</v>
      </c>
      <c r="H212" s="110" t="inlineStr">
        <is>
          <t>Rateio do departamento (despesa por colaborador, mês de jan fev e março)</t>
        </is>
      </c>
    </row>
    <row r="213" ht="15" customHeight="1" s="64">
      <c r="A213" s="110" t="inlineStr">
        <is>
          <t>ABRIL/2026</t>
        </is>
      </c>
      <c r="B213" s="110" t="inlineStr">
        <is>
          <t>Segurança do Trabalho</t>
        </is>
      </c>
      <c r="C213" s="110" t="inlineStr">
        <is>
          <t>Serviços prestados pela equipe Segurança do trabalho dtel p/ h&amp;a</t>
        </is>
      </c>
      <c r="D213" s="110" t="inlineStr">
        <is>
          <t>H&amp;A</t>
        </is>
      </c>
      <c r="E213" s="129" t="n">
        <v>0</v>
      </c>
      <c r="F213" s="89" t="n">
        <v>0</v>
      </c>
      <c r="G213" s="89" t="n">
        <v>0</v>
      </c>
      <c r="H213" s="110" t="inlineStr">
        <is>
          <t>Serviços da equipe para Horas cursos de normas e reciclagem ou visitas</t>
        </is>
      </c>
    </row>
    <row r="214" ht="15" customHeight="1" s="64">
      <c r="A214" s="110" t="inlineStr">
        <is>
          <t>ABRIL/2026</t>
        </is>
      </c>
      <c r="B214" s="110" t="inlineStr">
        <is>
          <t>Segurança do Trabalho</t>
        </is>
      </c>
      <c r="C214" s="110" t="inlineStr">
        <is>
          <t>Equipamentos de Segurança</t>
        </is>
      </c>
      <c r="D214" s="110" t="inlineStr">
        <is>
          <t>Soares e Lins</t>
        </is>
      </c>
      <c r="E214" s="129" t="n">
        <v>0</v>
      </c>
      <c r="F214" s="89" t="n">
        <v>0</v>
      </c>
      <c r="G214" s="89" t="n">
        <v>0</v>
      </c>
      <c r="H214" s="110" t="inlineStr">
        <is>
          <t>Devolução de Crédito</t>
        </is>
      </c>
    </row>
    <row r="215" ht="15" customHeight="1" s="64">
      <c r="A215" s="110" t="inlineStr">
        <is>
          <t>ABRIL/2026</t>
        </is>
      </c>
      <c r="B215" s="110" t="inlineStr">
        <is>
          <t>Segurança do Trabalho</t>
        </is>
      </c>
      <c r="C215" s="110" t="inlineStr">
        <is>
          <t>Equipamentos de Segurança</t>
        </is>
      </c>
      <c r="D215" s="110" t="inlineStr">
        <is>
          <t>Soares e Lins</t>
        </is>
      </c>
      <c r="E215" s="129" t="n">
        <v>1</v>
      </c>
      <c r="F215" s="89" t="n">
        <v>1234.54</v>
      </c>
      <c r="G215" s="89" t="n">
        <v>1234.54</v>
      </c>
      <c r="H215" s="110" t="inlineStr">
        <is>
          <t>EPI, EPC, Fardamento</t>
        </is>
      </c>
    </row>
    <row r="216" ht="15" customHeight="1" s="64">
      <c r="A216" s="110" t="inlineStr">
        <is>
          <t>ABRIL/2026</t>
        </is>
      </c>
      <c r="B216" s="110" t="inlineStr">
        <is>
          <t>Segurança do Trabalho</t>
        </is>
      </c>
      <c r="C216" s="110" t="inlineStr">
        <is>
          <t>Km rodado Segurança e Saúde do Trabalho dtel p/ soares e lins</t>
        </is>
      </c>
      <c r="D216" s="110" t="inlineStr">
        <is>
          <t>Soares e Lins</t>
        </is>
      </c>
      <c r="E216" s="129" t="n">
        <v>0</v>
      </c>
      <c r="F216" s="89" t="n">
        <v>0</v>
      </c>
      <c r="G216" s="89" t="n">
        <v>0</v>
      </c>
      <c r="H216" s="110" t="inlineStr">
        <is>
          <t>Deslocamento da equipe para Horas cursos de normas e reciclagem ou visitas</t>
        </is>
      </c>
    </row>
    <row r="217" ht="15" customHeight="1" s="64">
      <c r="A217" s="110" t="inlineStr">
        <is>
          <t>ABRIL/2026</t>
        </is>
      </c>
      <c r="B217" s="110" t="inlineStr">
        <is>
          <t>Segurança do Trabalho</t>
        </is>
      </c>
      <c r="C217" s="110" t="inlineStr">
        <is>
          <t>Serviços prestados pela equipe Segurança do trabalho</t>
        </is>
      </c>
      <c r="D217" s="110" t="inlineStr">
        <is>
          <t>Soares e Lins</t>
        </is>
      </c>
      <c r="E217" s="129" t="n">
        <v>0</v>
      </c>
      <c r="F217" s="89" t="n">
        <v>0</v>
      </c>
      <c r="G217" s="89" t="n">
        <v>0</v>
      </c>
      <c r="H217" s="110" t="inlineStr">
        <is>
          <t>Serviços da equipe para Horas cursos de normas e reciclagem ou visitas</t>
        </is>
      </c>
    </row>
    <row r="218" ht="15" customHeight="1" s="64">
      <c r="A218" s="110" t="inlineStr">
        <is>
          <t>ABRIL/2026</t>
        </is>
      </c>
      <c r="B218" s="110" t="inlineStr">
        <is>
          <t>Segurança do Trabalho</t>
        </is>
      </c>
      <c r="C218" s="110" t="inlineStr">
        <is>
          <t>Equipamentos de Segurança</t>
        </is>
      </c>
      <c r="D218" s="110" t="inlineStr">
        <is>
          <t>Soares e Silva</t>
        </is>
      </c>
      <c r="E218" s="129" t="n">
        <v>-1</v>
      </c>
      <c r="F218" s="89" t="n">
        <v>1580.87</v>
      </c>
      <c r="G218" s="89" t="n">
        <v>-1580.87</v>
      </c>
      <c r="H218" s="110" t="inlineStr">
        <is>
          <t>Devolução de Crédito</t>
        </is>
      </c>
    </row>
    <row r="219" ht="15" customHeight="1" s="64">
      <c r="A219" s="110" t="inlineStr">
        <is>
          <t>ABRIL/2026</t>
        </is>
      </c>
      <c r="B219" s="110" t="inlineStr">
        <is>
          <t>Segurança do Trabalho</t>
        </is>
      </c>
      <c r="C219" s="110" t="inlineStr">
        <is>
          <t>Equipamentos de Segurança</t>
        </is>
      </c>
      <c r="D219" s="110" t="inlineStr">
        <is>
          <t>Soares e Silva</t>
        </is>
      </c>
      <c r="E219" s="129" t="n">
        <v>1</v>
      </c>
      <c r="F219" s="89" t="n">
        <v>577</v>
      </c>
      <c r="G219" s="89" t="n">
        <v>577</v>
      </c>
      <c r="H219" s="110" t="inlineStr">
        <is>
          <t>EPI, EPC, Fardamento</t>
        </is>
      </c>
    </row>
    <row r="220" ht="15" customHeight="1" s="64">
      <c r="A220" s="110" t="inlineStr">
        <is>
          <t>ABRIL/2026</t>
        </is>
      </c>
      <c r="B220" s="110" t="inlineStr">
        <is>
          <t>Segurança do Trabalho</t>
        </is>
      </c>
      <c r="C220" s="110" t="inlineStr">
        <is>
          <t>Km rodado Segurança e Saúde do Trabalho soares e silva p/ Dtel</t>
        </is>
      </c>
      <c r="D220" s="110" t="inlineStr">
        <is>
          <t>Soares e Silva</t>
        </is>
      </c>
      <c r="E220" s="129" t="n">
        <v>0</v>
      </c>
      <c r="F220" s="89" t="n">
        <v>0</v>
      </c>
      <c r="G220" s="89" t="n">
        <v>0</v>
      </c>
      <c r="H220" s="110" t="inlineStr">
        <is>
          <t>Deslocamento da equipe para Horas cursos de normas e reciclagem ou visitas</t>
        </is>
      </c>
    </row>
    <row r="221" ht="15" customHeight="1" s="64">
      <c r="A221" s="110" t="inlineStr">
        <is>
          <t>ABRIL/2026</t>
        </is>
      </c>
      <c r="B221" s="110" t="inlineStr">
        <is>
          <t>Segurança do Trabalho</t>
        </is>
      </c>
      <c r="C221" s="110" t="inlineStr">
        <is>
          <t>Km rodado Segurança e Saúde do Trabalho soares e silva p/ LITORAL</t>
        </is>
      </c>
      <c r="D221" s="110" t="inlineStr">
        <is>
          <t>Soares e Silva</t>
        </is>
      </c>
      <c r="E221" s="129" t="n">
        <v>0</v>
      </c>
      <c r="F221" s="89" t="n">
        <v>0</v>
      </c>
      <c r="G221" s="89" t="n">
        <v>0</v>
      </c>
      <c r="H221" s="110" t="inlineStr">
        <is>
          <t>Deslocamento da equipe para Horas cursos de normas e reciclagem ou visitas</t>
        </is>
      </c>
    </row>
    <row r="222" ht="15" customHeight="1" s="64">
      <c r="A222" s="110" t="inlineStr">
        <is>
          <t>ABRIL/2026</t>
        </is>
      </c>
      <c r="B222" s="110" t="inlineStr">
        <is>
          <t>Segurança do Trabalho</t>
        </is>
      </c>
      <c r="C222" s="110" t="inlineStr">
        <is>
          <t>Serviços prestados pela equipe Segurança do trabalho soares e silva p/ LITORAL</t>
        </is>
      </c>
      <c r="D222" s="110" t="inlineStr">
        <is>
          <t>Soares e Silva</t>
        </is>
      </c>
      <c r="E222" s="129" t="n">
        <v>0</v>
      </c>
      <c r="F222" s="89" t="n">
        <v>0</v>
      </c>
      <c r="G222" s="89" t="n">
        <v>0</v>
      </c>
      <c r="H222" s="110" t="inlineStr">
        <is>
          <t>Serviços da equipe para Horas cursos de normas e reciclagem ou visitas</t>
        </is>
      </c>
    </row>
    <row r="223" ht="15" customHeight="1" s="64">
      <c r="A223" s="110" t="inlineStr">
        <is>
          <t>ABRIL/2026</t>
        </is>
      </c>
      <c r="B223" s="110" t="inlineStr">
        <is>
          <t>Segurança do Trabalho</t>
        </is>
      </c>
      <c r="C223" s="110" t="inlineStr">
        <is>
          <t>Serviços prestados pela equipe Segurança do trabalho soares e silva p/ dtel</t>
        </is>
      </c>
      <c r="D223" s="110" t="inlineStr">
        <is>
          <t>Soares e Silva</t>
        </is>
      </c>
      <c r="E223" s="129" t="n">
        <v>0</v>
      </c>
      <c r="F223" s="89" t="n">
        <v>0</v>
      </c>
      <c r="G223" s="89" t="n">
        <v>0</v>
      </c>
      <c r="H223" s="110" t="inlineStr">
        <is>
          <t>Serviços da equipe para Horas cursos de normas e reciclagem ou visitas</t>
        </is>
      </c>
    </row>
    <row r="224" ht="15" customHeight="1" s="64">
      <c r="A224" s="110" t="inlineStr">
        <is>
          <t>ABRIL/2026</t>
        </is>
      </c>
      <c r="B224" s="110" t="inlineStr">
        <is>
          <t>Segurança do Trabalho</t>
        </is>
      </c>
      <c r="C224" s="110" t="inlineStr">
        <is>
          <t>Equipamentos de Segurança</t>
        </is>
      </c>
      <c r="D224" s="110" t="inlineStr">
        <is>
          <t>Solon Araújo</t>
        </is>
      </c>
      <c r="E224" s="129" t="n">
        <v>-1</v>
      </c>
      <c r="F224" s="89" t="n">
        <v>1333.53</v>
      </c>
      <c r="G224" s="89" t="n">
        <v>-1333.53</v>
      </c>
      <c r="H224" s="110" t="inlineStr">
        <is>
          <t>Devolução de Crédito</t>
        </is>
      </c>
    </row>
    <row r="225" ht="15" customHeight="1" s="64">
      <c r="A225" s="110" t="inlineStr">
        <is>
          <t>ABRIL/2026</t>
        </is>
      </c>
      <c r="B225" s="110" t="inlineStr">
        <is>
          <t>Segurança do Trabalho</t>
        </is>
      </c>
      <c r="C225" s="110" t="inlineStr">
        <is>
          <t>Equipamentos de Segurança</t>
        </is>
      </c>
      <c r="D225" s="110" t="inlineStr">
        <is>
          <t>Solon Araújo</t>
        </is>
      </c>
      <c r="E225" s="129" t="n">
        <v>1</v>
      </c>
      <c r="F225" s="89" t="n">
        <v>3555.83</v>
      </c>
      <c r="G225" s="89" t="n">
        <v>3555.83</v>
      </c>
      <c r="H225" s="110" t="inlineStr">
        <is>
          <t>EPI, EPC, Fardamento</t>
        </is>
      </c>
    </row>
    <row r="226" ht="15" customHeight="1" s="64">
      <c r="A226" s="110" t="inlineStr">
        <is>
          <t>ABRIL/2026</t>
        </is>
      </c>
      <c r="B226" s="110" t="inlineStr">
        <is>
          <t>Segurança do Trabalho</t>
        </is>
      </c>
      <c r="C226" s="110" t="inlineStr">
        <is>
          <t>Km rodado Segurança e Saúde do Trabalho soares e silva p/ LITORAL</t>
        </is>
      </c>
      <c r="D226" s="110" t="inlineStr">
        <is>
          <t>Solon Araújo</t>
        </is>
      </c>
      <c r="E226" s="129" t="n">
        <v>0</v>
      </c>
      <c r="F226" s="89" t="n">
        <v>0</v>
      </c>
      <c r="G226" s="89" t="n">
        <v>0</v>
      </c>
      <c r="H226" s="110" t="inlineStr">
        <is>
          <t>Serviços da equipe para Horas cursos de normas e reciclagem ou visitas</t>
        </is>
      </c>
    </row>
    <row r="227" ht="15" customHeight="1" s="64">
      <c r="A227" s="110" t="inlineStr">
        <is>
          <t>ABRIL/2026</t>
        </is>
      </c>
      <c r="B227" s="110" t="inlineStr">
        <is>
          <t>Segurança do Trabalho</t>
        </is>
      </c>
      <c r="C227" s="110" t="inlineStr">
        <is>
          <t>Serviços prestados pela equipe Segurança do trabalho soares e silva p/ LITORAL</t>
        </is>
      </c>
      <c r="D227" s="110" t="inlineStr">
        <is>
          <t>Solon Araújo</t>
        </is>
      </c>
      <c r="E227" s="129" t="n">
        <v>0</v>
      </c>
      <c r="F227" s="89" t="n">
        <v>0</v>
      </c>
      <c r="G227" s="89" t="n">
        <v>0</v>
      </c>
      <c r="H227" s="110" t="inlineStr">
        <is>
          <t>Serviços da equipe para Horas cursos de normas e reciclagem ou visitas</t>
        </is>
      </c>
    </row>
    <row r="228" ht="15" customHeight="1" s="64">
      <c r="A228" s="110" t="inlineStr">
        <is>
          <t>ABRIL/2026</t>
        </is>
      </c>
      <c r="B228" s="110" t="inlineStr">
        <is>
          <t>Segurança do Trabalho</t>
        </is>
      </c>
      <c r="C228" s="110" t="inlineStr">
        <is>
          <t>Equipamentos de Segurança</t>
        </is>
      </c>
      <c r="D228" s="110" t="inlineStr">
        <is>
          <t>Souza e Silva</t>
        </is>
      </c>
      <c r="E228" s="129" t="n">
        <v>1</v>
      </c>
      <c r="F228" s="89" t="n">
        <v>1957.68</v>
      </c>
      <c r="G228" s="89" t="n">
        <v>1957.68</v>
      </c>
      <c r="H228" s="110" t="inlineStr">
        <is>
          <t>EPI, EPC, Fardamento</t>
        </is>
      </c>
    </row>
    <row r="229" ht="15" customHeight="1" s="64">
      <c r="A229" s="110" t="inlineStr">
        <is>
          <t>ABRIL/2026</t>
        </is>
      </c>
      <c r="B229" s="110" t="inlineStr">
        <is>
          <t>Segurança do Trabalho</t>
        </is>
      </c>
      <c r="C229" s="110" t="inlineStr">
        <is>
          <t>Equipamentos de Segurança</t>
        </is>
      </c>
      <c r="D229" s="110" t="inlineStr">
        <is>
          <t>Souza e Silva</t>
        </is>
      </c>
      <c r="E229" s="129" t="n">
        <v>0</v>
      </c>
      <c r="F229" s="89" t="n">
        <v>0</v>
      </c>
      <c r="G229" s="89" t="n">
        <v>0</v>
      </c>
      <c r="H229" s="110" t="inlineStr">
        <is>
          <t>Devolução de Crédito</t>
        </is>
      </c>
    </row>
    <row r="230" ht="15" customHeight="1" s="64">
      <c r="A230" s="110" t="inlineStr">
        <is>
          <t>ABRIL/2026</t>
        </is>
      </c>
      <c r="B230" s="110" t="inlineStr">
        <is>
          <t>Segurança do Trabalho</t>
        </is>
      </c>
      <c r="C230" s="110" t="inlineStr">
        <is>
          <t>Equipamentos de Segurança</t>
        </is>
      </c>
      <c r="D230" s="110" t="inlineStr">
        <is>
          <t>Voicenet</t>
        </is>
      </c>
      <c r="E230" s="129" t="n">
        <v>1</v>
      </c>
      <c r="F230" s="89" t="n">
        <v>3624.23</v>
      </c>
      <c r="G230" s="89" t="n">
        <v>3624.23</v>
      </c>
      <c r="H230" s="110" t="inlineStr">
        <is>
          <t>EPI, EPC, Fardamento</t>
        </is>
      </c>
    </row>
    <row r="231" ht="15" customHeight="1" s="64">
      <c r="A231" s="110" t="inlineStr">
        <is>
          <t>ABRIL/2026</t>
        </is>
      </c>
      <c r="B231" s="110" t="inlineStr">
        <is>
          <t>Segurança do Trabalho</t>
        </is>
      </c>
      <c r="C231" s="110" t="inlineStr">
        <is>
          <t>Equipamentos de Segurança</t>
        </is>
      </c>
      <c r="D231" s="110" t="inlineStr">
        <is>
          <t>Voicenet</t>
        </is>
      </c>
      <c r="E231" s="129" t="n">
        <v>-1</v>
      </c>
      <c r="F231" s="89" t="n">
        <v>494.68</v>
      </c>
      <c r="G231" s="89" t="n">
        <v>-494.68</v>
      </c>
      <c r="H231" s="110" t="inlineStr">
        <is>
          <t>Devolução de Crédito</t>
        </is>
      </c>
    </row>
    <row r="232" ht="15" customHeight="1" s="64">
      <c r="A232" s="110" t="inlineStr">
        <is>
          <t>ABRIL/2026</t>
        </is>
      </c>
      <c r="B232" s="110" t="inlineStr">
        <is>
          <t>Segurança do Trabalho</t>
        </is>
      </c>
      <c r="C232" s="110" t="inlineStr">
        <is>
          <t>Km rodado Segurança e Saúde do Trabalho dtel p/ voice net</t>
        </is>
      </c>
      <c r="D232" s="110" t="inlineStr">
        <is>
          <t>Voicenet</t>
        </is>
      </c>
      <c r="E232" s="129" t="n">
        <v>0</v>
      </c>
      <c r="F232" s="89" t="n">
        <v>0</v>
      </c>
      <c r="G232" s="89" t="n">
        <v>0</v>
      </c>
      <c r="H232" s="110" t="inlineStr">
        <is>
          <t>Deslocamento da equipe para Horas cursos de normas e reciclagem ou visitas</t>
        </is>
      </c>
    </row>
    <row r="233" ht="15" customHeight="1" s="64">
      <c r="A233" s="110" t="inlineStr">
        <is>
          <t>ABRIL/2026</t>
        </is>
      </c>
      <c r="B233" s="110" t="inlineStr">
        <is>
          <t>Segurança do Trabalho</t>
        </is>
      </c>
      <c r="C233" s="110" t="inlineStr">
        <is>
          <t>Serviços prestados pela equipe Segurança do trabalho</t>
        </is>
      </c>
      <c r="D233" s="110" t="inlineStr">
        <is>
          <t>Voicenet</t>
        </is>
      </c>
      <c r="E233" s="129" t="n">
        <v>0</v>
      </c>
      <c r="F233" s="89" t="n">
        <v>0</v>
      </c>
      <c r="G233" s="89" t="n">
        <v>0</v>
      </c>
      <c r="H233" s="110" t="inlineStr">
        <is>
          <t>Serviços da equipe para Horas cursos de normas e reciclagem ou visitas</t>
        </is>
      </c>
    </row>
    <row r="234" ht="15" customHeight="1" s="64">
      <c r="A234" s="110" t="inlineStr">
        <is>
          <t>ABRIL/2026</t>
        </is>
      </c>
      <c r="B234" s="110" t="inlineStr">
        <is>
          <t>TIC</t>
        </is>
      </c>
      <c r="C234" s="110" t="inlineStr">
        <is>
          <t>E-mail Dtel</t>
        </is>
      </c>
      <c r="D234" s="110" t="inlineStr">
        <is>
          <t>DX2</t>
        </is>
      </c>
      <c r="E234" s="129" t="n">
        <v>2</v>
      </c>
      <c r="F234" s="89" t="n">
        <v>50</v>
      </c>
      <c r="G234" s="89" t="n">
        <v>100</v>
      </c>
      <c r="H234" s="110" t="inlineStr">
        <is>
          <t>Utilização de email corporativo</t>
        </is>
      </c>
    </row>
    <row r="235" ht="15" customHeight="1" s="64">
      <c r="A235" s="110" t="inlineStr">
        <is>
          <t>ABRIL/2026</t>
        </is>
      </c>
      <c r="B235" s="110" t="inlineStr">
        <is>
          <t>TIC</t>
        </is>
      </c>
      <c r="C235" s="110" t="inlineStr">
        <is>
          <t>E-mail Dtel</t>
        </is>
      </c>
      <c r="D235" s="110" t="inlineStr">
        <is>
          <t>Soares e Lins</t>
        </is>
      </c>
      <c r="E235" s="129" t="n">
        <v>1</v>
      </c>
      <c r="F235" s="89" t="n">
        <v>10</v>
      </c>
      <c r="G235" s="89" t="n">
        <v>10</v>
      </c>
      <c r="H235" s="110" t="inlineStr">
        <is>
          <t>Utilização de email corporativo</t>
        </is>
      </c>
    </row>
    <row r="236" ht="15" customHeight="1" s="64">
      <c r="A236" s="110" t="inlineStr">
        <is>
          <t>ABRIL/2026</t>
        </is>
      </c>
      <c r="B236" s="110" t="inlineStr">
        <is>
          <t>TIC</t>
        </is>
      </c>
      <c r="C236" s="110" t="inlineStr">
        <is>
          <t>E-mail Dtel</t>
        </is>
      </c>
      <c r="D236" s="110" t="inlineStr">
        <is>
          <t>Soares e Silva</t>
        </is>
      </c>
      <c r="E236" s="129" t="n">
        <v>1</v>
      </c>
      <c r="F236" s="89" t="n">
        <v>10</v>
      </c>
      <c r="G236" s="89" t="n">
        <v>10</v>
      </c>
      <c r="H236" s="110" t="inlineStr">
        <is>
          <t>Utilização de email corporativo</t>
        </is>
      </c>
    </row>
    <row r="237" ht="15" customHeight="1" s="64">
      <c r="A237" s="110" t="inlineStr">
        <is>
          <t>ABRIL/2026</t>
        </is>
      </c>
      <c r="B237" s="110" t="inlineStr">
        <is>
          <t>TIC</t>
        </is>
      </c>
      <c r="C237" s="110" t="inlineStr">
        <is>
          <t>E-mail Dtel</t>
        </is>
      </c>
      <c r="D237" s="110" t="inlineStr">
        <is>
          <t>Soares e Silva</t>
        </is>
      </c>
      <c r="E237" s="129" t="n">
        <v>5</v>
      </c>
      <c r="F237" s="89" t="n">
        <v>50</v>
      </c>
      <c r="G237" s="89" t="n">
        <v>250</v>
      </c>
      <c r="H237" s="110" t="inlineStr">
        <is>
          <t>Utilização de email corporativo</t>
        </is>
      </c>
    </row>
    <row r="238" ht="15" customHeight="1" s="64">
      <c r="A238" s="110" t="inlineStr">
        <is>
          <t>ABRIL/2026</t>
        </is>
      </c>
      <c r="B238" s="110" t="inlineStr">
        <is>
          <t>TIC</t>
        </is>
      </c>
      <c r="C238" s="110" t="inlineStr">
        <is>
          <t>E-mail Dtel</t>
        </is>
      </c>
      <c r="D238" s="110" t="inlineStr">
        <is>
          <t>Solon Araújo</t>
        </is>
      </c>
      <c r="E238" s="129" t="n">
        <v>2</v>
      </c>
      <c r="F238" s="89" t="n">
        <v>50</v>
      </c>
      <c r="G238" s="89" t="n">
        <v>100</v>
      </c>
      <c r="H238" s="110" t="inlineStr">
        <is>
          <t>Utilização de email corporativo</t>
        </is>
      </c>
    </row>
    <row r="239" ht="15" customHeight="1" s="64">
      <c r="A239" s="110" t="inlineStr">
        <is>
          <t>ABRIL/2026</t>
        </is>
      </c>
      <c r="B239" s="110" t="inlineStr">
        <is>
          <t>TIC</t>
        </is>
      </c>
      <c r="C239" s="110" t="inlineStr">
        <is>
          <t>E-mail Dtel</t>
        </is>
      </c>
      <c r="D239" s="110" t="inlineStr">
        <is>
          <t>Souza e Silva</t>
        </is>
      </c>
      <c r="E239" s="129" t="n">
        <v>1</v>
      </c>
      <c r="F239" s="89" t="n">
        <v>50</v>
      </c>
      <c r="G239" s="89" t="n">
        <v>50</v>
      </c>
      <c r="H239" s="110" t="inlineStr">
        <is>
          <t>Utilização de email corporativo</t>
        </is>
      </c>
    </row>
    <row r="240" ht="15" customHeight="1" s="64">
      <c r="A240" s="110" t="inlineStr">
        <is>
          <t>ABRIL/2026</t>
        </is>
      </c>
      <c r="B240" s="110" t="inlineStr">
        <is>
          <t>TIC</t>
        </is>
      </c>
      <c r="C240" s="110" t="inlineStr">
        <is>
          <t>E-mail Dtel</t>
        </is>
      </c>
      <c r="D240" s="110" t="inlineStr">
        <is>
          <t>Voicenet</t>
        </is>
      </c>
      <c r="E240" s="129" t="n">
        <v>1</v>
      </c>
      <c r="F240" s="89" t="n">
        <v>90</v>
      </c>
      <c r="G240" s="89" t="n">
        <v>90</v>
      </c>
      <c r="H240" s="110" t="inlineStr">
        <is>
          <t>Utilização de email corporativo</t>
        </is>
      </c>
    </row>
    <row r="241" ht="15" customHeight="1" s="64">
      <c r="A241" s="110" t="inlineStr">
        <is>
          <t>ABRIL/2026</t>
        </is>
      </c>
      <c r="B241" s="110" t="inlineStr">
        <is>
          <t>TIC</t>
        </is>
      </c>
      <c r="C241" s="110" t="inlineStr">
        <is>
          <t>E-mail Dtel</t>
        </is>
      </c>
      <c r="D241" s="110" t="inlineStr">
        <is>
          <t>Voicenet</t>
        </is>
      </c>
      <c r="E241" s="129" t="n">
        <v>2</v>
      </c>
      <c r="F241" s="89" t="n">
        <v>10</v>
      </c>
      <c r="G241" s="89" t="n">
        <v>20</v>
      </c>
      <c r="H241" s="110" t="inlineStr">
        <is>
          <t>Utilização de email corporativo</t>
        </is>
      </c>
    </row>
    <row r="242" ht="15" customHeight="1" s="64">
      <c r="A242" s="110" t="inlineStr">
        <is>
          <t>ABRIL/2026</t>
        </is>
      </c>
      <c r="B242" s="110" t="inlineStr">
        <is>
          <t>TIC</t>
        </is>
      </c>
      <c r="C242" s="110" t="inlineStr">
        <is>
          <t>E-mail Dtel</t>
        </is>
      </c>
      <c r="D242" s="110" t="inlineStr">
        <is>
          <t>Voicenet</t>
        </is>
      </c>
      <c r="E242" s="129" t="n">
        <v>3</v>
      </c>
      <c r="F242" s="89" t="n">
        <v>50</v>
      </c>
      <c r="G242" s="89" t="n">
        <v>150</v>
      </c>
      <c r="H242" s="110" t="inlineStr">
        <is>
          <t>Utilização de email corporativo</t>
        </is>
      </c>
    </row>
    <row r="243" ht="15" customHeight="1" s="64">
      <c r="A243" s="110" t="inlineStr">
        <is>
          <t>MAIO/2026</t>
        </is>
      </c>
      <c r="B243" s="110" t="inlineStr">
        <is>
          <t>Adm Atendimento</t>
        </is>
      </c>
      <c r="C243" s="110" t="inlineStr">
        <is>
          <t>Adm atendimento presencial</t>
        </is>
      </c>
      <c r="D243" s="110" t="inlineStr">
        <is>
          <t>H&amp;A</t>
        </is>
      </c>
      <c r="E243" s="129" t="n">
        <v>13402</v>
      </c>
      <c r="F243" s="89" t="n">
        <v>0.369625478903327</v>
      </c>
      <c r="G243" s="89" t="n">
        <v>4953.72066826238</v>
      </c>
      <c r="H243" s="110" t="inlineStr">
        <is>
          <t>Cálculo por número de clientes ativos</t>
        </is>
      </c>
    </row>
    <row r="244" ht="15" customHeight="1" s="64">
      <c r="A244" s="110" t="inlineStr">
        <is>
          <t>MAIO/2026</t>
        </is>
      </c>
      <c r="B244" s="110" t="inlineStr">
        <is>
          <t>Adm Qualidade</t>
        </is>
      </c>
      <c r="C244" s="110" t="inlineStr">
        <is>
          <t>Qualidade</t>
        </is>
      </c>
      <c r="D244" s="110" t="inlineStr">
        <is>
          <t>H&amp;A</t>
        </is>
      </c>
      <c r="E244" s="129" t="n">
        <v>13402</v>
      </c>
      <c r="F244" s="89" t="n">
        <v>0.213162125376571</v>
      </c>
      <c r="G244" s="89" t="n">
        <v>2856.7988042968</v>
      </c>
      <c r="H244" s="110" t="inlineStr">
        <is>
          <t>Cálculo por número de clientes ativos</t>
        </is>
      </c>
    </row>
    <row r="245" ht="15" customHeight="1" s="64">
      <c r="A245" s="110" t="inlineStr">
        <is>
          <t>MAIO/2026</t>
        </is>
      </c>
      <c r="B245" s="110" t="inlineStr">
        <is>
          <t>Atendimento</t>
        </is>
      </c>
      <c r="C245" s="110" t="inlineStr">
        <is>
          <t>Material de escritório</t>
        </is>
      </c>
      <c r="D245" s="110" t="inlineStr">
        <is>
          <t>DTEL</t>
        </is>
      </c>
      <c r="E245" s="129" t="n">
        <v>1</v>
      </c>
      <c r="F245" s="89" t="n">
        <v>1391.04</v>
      </c>
      <c r="G245" s="89" t="n">
        <v>1391.04</v>
      </c>
      <c r="H245" s="110" t="inlineStr">
        <is>
          <t>Preenchido da planilha de materiais (materiais recebidos em 05-2026.xlsx)</t>
        </is>
      </c>
    </row>
    <row r="246" ht="15" customHeight="1" s="64">
      <c r="A246" s="110" t="inlineStr">
        <is>
          <t>MAIO/2026</t>
        </is>
      </c>
      <c r="B246" s="110" t="inlineStr">
        <is>
          <t>Atendimento</t>
        </is>
      </c>
      <c r="C246" s="110" t="inlineStr">
        <is>
          <t>Material de uso coletivo</t>
        </is>
      </c>
      <c r="D246" s="110" t="inlineStr">
        <is>
          <t>DTEL</t>
        </is>
      </c>
      <c r="E246" s="129" t="n">
        <v>1</v>
      </c>
      <c r="F246" s="89" t="n">
        <v>6752.06</v>
      </c>
      <c r="G246" s="89" t="n">
        <v>6752.06</v>
      </c>
      <c r="H246" s="110" t="inlineStr">
        <is>
          <t>Preenchido da planilha de materiais (materiais recebidos em 05-2026.xlsx)</t>
        </is>
      </c>
    </row>
    <row r="247" ht="15" customHeight="1" s="64">
      <c r="A247" s="110" t="inlineStr">
        <is>
          <t>MAIO/2026</t>
        </is>
      </c>
      <c r="B247" s="110" t="inlineStr">
        <is>
          <t>Atendimento</t>
        </is>
      </c>
      <c r="C247" s="110" t="inlineStr">
        <is>
          <t>Material de escritório</t>
        </is>
      </c>
      <c r="D247" s="110" t="inlineStr">
        <is>
          <t>DX2</t>
        </is>
      </c>
      <c r="E247" s="129" t="n">
        <v>0</v>
      </c>
      <c r="F247" s="89" t="n">
        <v>0</v>
      </c>
      <c r="G247" s="89" t="n">
        <v>0</v>
      </c>
      <c r="H247" s="110" t="inlineStr">
        <is>
          <t>Capa de carnê</t>
        </is>
      </c>
    </row>
    <row r="248" ht="15" customHeight="1" s="64">
      <c r="A248" s="110" t="inlineStr">
        <is>
          <t>MAIO/2026</t>
        </is>
      </c>
      <c r="B248" s="110" t="inlineStr">
        <is>
          <t>Atendimento</t>
        </is>
      </c>
      <c r="C248" s="110" t="inlineStr">
        <is>
          <t>Material de uso coletivo</t>
        </is>
      </c>
      <c r="D248" s="110" t="inlineStr">
        <is>
          <t>DX2</t>
        </is>
      </c>
      <c r="E248" s="129" t="n">
        <v>1</v>
      </c>
      <c r="F248" s="89" t="n">
        <v>71.25</v>
      </c>
      <c r="G248" s="89" t="n">
        <v>71.25</v>
      </c>
      <c r="H248" s="110" t="inlineStr">
        <is>
          <t>Preenchido da planilha de materiais (materiais recebidos em 05-2026.xlsx)</t>
        </is>
      </c>
    </row>
    <row r="249" ht="15" customHeight="1" s="64">
      <c r="A249" s="110" t="inlineStr">
        <is>
          <t>MAIO/2026</t>
        </is>
      </c>
      <c r="B249" s="110" t="inlineStr">
        <is>
          <t>Atendimento</t>
        </is>
      </c>
      <c r="C249" s="110" t="inlineStr">
        <is>
          <t>Material de escritório</t>
        </is>
      </c>
      <c r="D249" s="110" t="inlineStr">
        <is>
          <t>H&amp;A</t>
        </is>
      </c>
      <c r="E249" s="129" t="n">
        <v>0</v>
      </c>
      <c r="F249" s="89" t="n">
        <v>0</v>
      </c>
      <c r="G249" s="89" t="n">
        <v>0</v>
      </c>
      <c r="H249" s="110" t="inlineStr">
        <is>
          <t>Porta panfleto</t>
        </is>
      </c>
    </row>
    <row r="250" ht="15" customHeight="1" s="64">
      <c r="A250" s="110" t="inlineStr">
        <is>
          <t>MAIO/2026</t>
        </is>
      </c>
      <c r="B250" s="110" t="inlineStr">
        <is>
          <t>Atendimento</t>
        </is>
      </c>
      <c r="C250" s="110" t="inlineStr">
        <is>
          <t>Promotor autonomo Erika sonara</t>
        </is>
      </c>
      <c r="D250" s="110" t="inlineStr">
        <is>
          <t>H&amp;A</t>
        </is>
      </c>
      <c r="E250" s="129" t="n">
        <v>0</v>
      </c>
      <c r="F250" s="89" t="n">
        <v>0</v>
      </c>
      <c r="G250" s="89" t="n">
        <v>0</v>
      </c>
      <c r="H250" s="110" t="inlineStr">
        <is>
          <t>Comissionamento de vendas realizadas na h&amp;a paga pela Dtel fev.</t>
        </is>
      </c>
    </row>
    <row r="251" ht="15" customHeight="1" s="64">
      <c r="A251" s="110" t="inlineStr">
        <is>
          <t>MAIO/2026</t>
        </is>
      </c>
      <c r="B251" s="110" t="inlineStr">
        <is>
          <t>Atendimento</t>
        </is>
      </c>
      <c r="C251" s="110" t="inlineStr">
        <is>
          <t>Material de escritório</t>
        </is>
      </c>
      <c r="D251" s="110" t="inlineStr">
        <is>
          <t>Soares e Lins</t>
        </is>
      </c>
      <c r="E251" s="129" t="n">
        <v>0</v>
      </c>
      <c r="F251" s="89" t="n">
        <v>0</v>
      </c>
      <c r="G251" s="89" t="n">
        <v>0</v>
      </c>
      <c r="H251" s="110" t="inlineStr">
        <is>
          <t>Porta panfleto</t>
        </is>
      </c>
    </row>
    <row r="252" ht="15" customHeight="1" s="64">
      <c r="A252" s="110" t="inlineStr">
        <is>
          <t>MAIO/2026</t>
        </is>
      </c>
      <c r="B252" s="110" t="inlineStr">
        <is>
          <t>Atendimento</t>
        </is>
      </c>
      <c r="C252" s="110" t="inlineStr">
        <is>
          <t>Material de uso coletivo</t>
        </is>
      </c>
      <c r="D252" s="110" t="inlineStr">
        <is>
          <t>Soares e Lins</t>
        </is>
      </c>
      <c r="E252" s="129" t="n">
        <v>1</v>
      </c>
      <c r="F252" s="89" t="n">
        <v>38.5</v>
      </c>
      <c r="G252" s="89" t="n">
        <v>38.5</v>
      </c>
      <c r="H252" s="110" t="inlineStr">
        <is>
          <t>Preenchido da planilha de materiais (materiais recebidos em 05-2026.xlsx)</t>
        </is>
      </c>
    </row>
    <row r="253" ht="15" customHeight="1" s="64">
      <c r="A253" s="110" t="inlineStr">
        <is>
          <t>MAIO/2026</t>
        </is>
      </c>
      <c r="B253" s="110" t="inlineStr">
        <is>
          <t>Atendimento</t>
        </is>
      </c>
      <c r="C253" s="110" t="inlineStr">
        <is>
          <t>Material de escritório</t>
        </is>
      </c>
      <c r="D253" s="110" t="inlineStr">
        <is>
          <t>Soares e Silva</t>
        </is>
      </c>
      <c r="E253" s="129" t="n">
        <v>0</v>
      </c>
      <c r="F253" s="89" t="n">
        <v>0</v>
      </c>
      <c r="G253" s="89" t="n">
        <v>0</v>
      </c>
      <c r="H253" s="110" t="inlineStr">
        <is>
          <t>Capa de carnê</t>
        </is>
      </c>
    </row>
    <row r="254" ht="15" customHeight="1" s="64">
      <c r="A254" s="110" t="inlineStr">
        <is>
          <t>MAIO/2026</t>
        </is>
      </c>
      <c r="B254" s="110" t="inlineStr">
        <is>
          <t>Atendimento</t>
        </is>
      </c>
      <c r="C254" s="110" t="inlineStr">
        <is>
          <t>Material de uso coletivo</t>
        </is>
      </c>
      <c r="D254" s="110" t="inlineStr">
        <is>
          <t>Soares e Silva</t>
        </is>
      </c>
      <c r="E254" s="129" t="n">
        <v>0</v>
      </c>
      <c r="F254" s="89" t="n">
        <v>0</v>
      </c>
      <c r="G254" s="89" t="n">
        <v>0</v>
      </c>
      <c r="H254" s="110" t="inlineStr">
        <is>
          <t>Agua mineral</t>
        </is>
      </c>
    </row>
    <row r="255" ht="15" customHeight="1" s="64">
      <c r="A255" s="110" t="inlineStr">
        <is>
          <t>MAIO/2026</t>
        </is>
      </c>
      <c r="B255" s="110" t="inlineStr">
        <is>
          <t>Atendimento</t>
        </is>
      </c>
      <c r="C255" s="110" t="inlineStr">
        <is>
          <t>Material de escritório</t>
        </is>
      </c>
      <c r="D255" s="110" t="inlineStr">
        <is>
          <t>Solon Araújo</t>
        </is>
      </c>
      <c r="E255" s="129" t="n">
        <v>0</v>
      </c>
      <c r="F255" s="89" t="n">
        <v>0</v>
      </c>
      <c r="G255" s="89" t="n">
        <v>0</v>
      </c>
      <c r="H255" s="110" t="inlineStr">
        <is>
          <t>Caixa de resma</t>
        </is>
      </c>
    </row>
    <row r="256" ht="15" customHeight="1" s="64">
      <c r="A256" s="110" t="inlineStr">
        <is>
          <t>MAIO/2026</t>
        </is>
      </c>
      <c r="B256" s="110" t="inlineStr">
        <is>
          <t>Atendimento</t>
        </is>
      </c>
      <c r="C256" s="110" t="inlineStr">
        <is>
          <t>Material de uso coletivo</t>
        </is>
      </c>
      <c r="D256" s="110" t="inlineStr">
        <is>
          <t>Solon Araújo</t>
        </is>
      </c>
      <c r="E256" s="129" t="n">
        <v>1</v>
      </c>
      <c r="F256" s="89" t="n">
        <v>114</v>
      </c>
      <c r="G256" s="89" t="n">
        <v>114</v>
      </c>
      <c r="H256" s="110" t="inlineStr">
        <is>
          <t>Preenchido da planilha de materiais (materiais recebidos em 05-2026.xlsx)</t>
        </is>
      </c>
    </row>
    <row r="257" ht="15" customHeight="1" s="64">
      <c r="A257" s="110" t="inlineStr">
        <is>
          <t>MAIO/2026</t>
        </is>
      </c>
      <c r="B257" s="110" t="inlineStr">
        <is>
          <t>Atendimento</t>
        </is>
      </c>
      <c r="C257" s="110" t="inlineStr">
        <is>
          <t>Material de uso coletivo</t>
        </is>
      </c>
      <c r="D257" s="110" t="inlineStr">
        <is>
          <t>Solon Araújo</t>
        </is>
      </c>
      <c r="E257" s="129" t="n">
        <v>0</v>
      </c>
      <c r="F257" s="89" t="n">
        <v>0</v>
      </c>
      <c r="G257" s="89" t="n">
        <v>0</v>
      </c>
      <c r="H257" s="110" t="inlineStr">
        <is>
          <t>Água mineral</t>
        </is>
      </c>
    </row>
    <row r="258" ht="15" customHeight="1" s="64">
      <c r="A258" s="110" t="inlineStr">
        <is>
          <t>MAIO/2026</t>
        </is>
      </c>
      <c r="B258" s="110" t="inlineStr">
        <is>
          <t>Atendimento</t>
        </is>
      </c>
      <c r="C258" s="110" t="inlineStr">
        <is>
          <t>Material de escritório</t>
        </is>
      </c>
      <c r="D258" s="110" t="inlineStr">
        <is>
          <t>Souza e Silva</t>
        </is>
      </c>
      <c r="E258" s="129" t="n">
        <v>0</v>
      </c>
      <c r="F258" s="89" t="n">
        <v>0</v>
      </c>
      <c r="G258" s="89" t="n">
        <v>0</v>
      </c>
      <c r="H258" s="110" t="inlineStr">
        <is>
          <t>Porta panfleto</t>
        </is>
      </c>
    </row>
    <row r="259" ht="15" customHeight="1" s="64">
      <c r="A259" s="110" t="inlineStr">
        <is>
          <t>MAIO/2026</t>
        </is>
      </c>
      <c r="B259" s="110" t="inlineStr">
        <is>
          <t>Atendimento</t>
        </is>
      </c>
      <c r="C259" s="110" t="inlineStr">
        <is>
          <t>Material de escritório</t>
        </is>
      </c>
      <c r="D259" s="110" t="inlineStr">
        <is>
          <t>Souza e Silva</t>
        </is>
      </c>
      <c r="E259" s="129" t="n">
        <v>0</v>
      </c>
      <c r="F259" s="89" t="n">
        <v>0</v>
      </c>
      <c r="G259" s="89" t="n">
        <v>0</v>
      </c>
      <c r="H259" s="110" t="inlineStr">
        <is>
          <t>Panfletos</t>
        </is>
      </c>
    </row>
    <row r="260" ht="15" customHeight="1" s="64">
      <c r="A260" s="110" t="inlineStr">
        <is>
          <t>MAIO/2026</t>
        </is>
      </c>
      <c r="B260" s="110" t="inlineStr">
        <is>
          <t>COE</t>
        </is>
      </c>
      <c r="C260" s="110" t="inlineStr">
        <is>
          <t>Serviços do C.O.E distribuição de serviços</t>
        </is>
      </c>
      <c r="D260" s="110" t="inlineStr">
        <is>
          <t>Soares e Lins</t>
        </is>
      </c>
      <c r="E260" s="129" t="n">
        <v>3650</v>
      </c>
      <c r="F260" s="89" t="n">
        <v>0.4347261411092</v>
      </c>
      <c r="G260" s="89" t="n">
        <v>1586.750415</v>
      </c>
      <c r="H260" s="110" t="inlineStr">
        <is>
          <t>Cálculo por número de clientes ativos</t>
        </is>
      </c>
    </row>
    <row r="261" ht="15" customHeight="1" s="64">
      <c r="A261" s="110" t="inlineStr">
        <is>
          <t>MAIO/2026</t>
        </is>
      </c>
      <c r="B261" s="110" t="inlineStr">
        <is>
          <t>COE</t>
        </is>
      </c>
      <c r="C261" s="110" t="inlineStr">
        <is>
          <t>Serviços do C.O.E distribuição de serviços</t>
        </is>
      </c>
      <c r="D261" s="110" t="inlineStr">
        <is>
          <t>Soares e Silva</t>
        </is>
      </c>
      <c r="E261" s="129" t="n">
        <v>6396</v>
      </c>
      <c r="F261" s="89" t="n">
        <v>0.4347261411092</v>
      </c>
      <c r="G261" s="89" t="n">
        <v>2780.508399</v>
      </c>
      <c r="H261" s="110" t="inlineStr">
        <is>
          <t>Cálculo por número de clientes ativos</t>
        </is>
      </c>
    </row>
    <row r="262" ht="15" customHeight="1" s="64">
      <c r="A262" s="110" t="inlineStr">
        <is>
          <t>MAIO/2026</t>
        </is>
      </c>
      <c r="B262" s="110" t="inlineStr">
        <is>
          <t>COE</t>
        </is>
      </c>
      <c r="C262" s="110" t="inlineStr">
        <is>
          <t>Serviços do C.O.E distribuição de serviços</t>
        </is>
      </c>
      <c r="D262" s="110" t="inlineStr">
        <is>
          <t>Solon Araújo</t>
        </is>
      </c>
      <c r="E262" s="129" t="n">
        <v>14331</v>
      </c>
      <c r="F262" s="89" t="n">
        <v>0.4347261411092</v>
      </c>
      <c r="G262" s="89" t="n">
        <v>6230.060328</v>
      </c>
      <c r="H262" s="110" t="inlineStr">
        <is>
          <t>Cálculo por número de clientes ativos</t>
        </is>
      </c>
    </row>
    <row r="263" ht="15" customHeight="1" s="64">
      <c r="A263" s="110" t="inlineStr">
        <is>
          <t>MAIO/2026</t>
        </is>
      </c>
      <c r="B263" s="110" t="inlineStr">
        <is>
          <t>COE</t>
        </is>
      </c>
      <c r="C263" s="110" t="inlineStr">
        <is>
          <t>Serviços do C.O.E distribuição de serviços</t>
        </is>
      </c>
      <c r="D263" s="110" t="inlineStr">
        <is>
          <t>Voicenet</t>
        </is>
      </c>
      <c r="E263" s="129" t="n">
        <v>4782</v>
      </c>
      <c r="F263" s="89" t="n">
        <v>0.4347261411092</v>
      </c>
      <c r="G263" s="89" t="n">
        <v>2078.860407</v>
      </c>
      <c r="H263" s="110" t="inlineStr">
        <is>
          <t>Cálculo por número de clientes ativos</t>
        </is>
      </c>
    </row>
    <row r="264" ht="15" customHeight="1" s="64">
      <c r="A264" s="110" t="inlineStr">
        <is>
          <t>MAIO/2026</t>
        </is>
      </c>
      <c r="B264" s="110" t="inlineStr">
        <is>
          <t>Comercial</t>
        </is>
      </c>
      <c r="C264" s="110" t="inlineStr">
        <is>
          <t>Consultas e análises de crédito</t>
        </is>
      </c>
      <c r="D264" s="110" t="inlineStr">
        <is>
          <t>DTEL</t>
        </is>
      </c>
      <c r="E264" s="129" t="n">
        <v>4995</v>
      </c>
      <c r="F264" s="89" t="n">
        <v>1.86</v>
      </c>
      <c r="G264" s="89" t="n">
        <v>9290.700000000001</v>
      </c>
      <c r="H264" s="110" t="inlineStr">
        <is>
          <t>Vendas cadastradas e consultadas pelo argos (Consultas e analise de credito - Maio26.xlsx)</t>
        </is>
      </c>
    </row>
    <row r="265" ht="15" customHeight="1" s="64">
      <c r="A265" s="110" t="inlineStr">
        <is>
          <t>MAIO/2026</t>
        </is>
      </c>
      <c r="B265" s="110" t="inlineStr">
        <is>
          <t>Comercial</t>
        </is>
      </c>
      <c r="C265" s="110" t="inlineStr">
        <is>
          <t>Consultas e análises de crédito</t>
        </is>
      </c>
      <c r="D265" s="110" t="inlineStr">
        <is>
          <t>DTEL</t>
        </is>
      </c>
      <c r="E265" s="129" t="n">
        <v>4995</v>
      </c>
      <c r="F265" s="89" t="n">
        <v>1.86</v>
      </c>
      <c r="G265" s="89" t="n">
        <v>9290.700000000001</v>
      </c>
      <c r="H265" s="110" t="inlineStr">
        <is>
          <t>Vendas cadastradas e consultadas pelo argos (Consultas e analise de credito - Maio26.xlsx)</t>
        </is>
      </c>
    </row>
    <row r="266" ht="15" customHeight="1" s="64">
      <c r="A266" s="110" t="inlineStr">
        <is>
          <t>MAIO/2026</t>
        </is>
      </c>
      <c r="B266" s="110" t="inlineStr">
        <is>
          <t>Comercial</t>
        </is>
      </c>
      <c r="C266" s="110" t="inlineStr">
        <is>
          <t>Consultas e análises de crédito</t>
        </is>
      </c>
      <c r="D266" s="110" t="inlineStr">
        <is>
          <t>DX2</t>
        </is>
      </c>
      <c r="E266" s="129" t="n">
        <v>305</v>
      </c>
      <c r="F266" s="89" t="n">
        <v>1.86</v>
      </c>
      <c r="G266" s="89" t="n">
        <v>567.3</v>
      </c>
      <c r="H266" s="110" t="inlineStr">
        <is>
          <t>Vendas cadastradas e consultadas pelo argos (Consultas e analise de credito - Maio26.xlsx)</t>
        </is>
      </c>
    </row>
    <row r="267" ht="15" customHeight="1" s="64">
      <c r="A267" s="110" t="inlineStr">
        <is>
          <t>MAIO/2026</t>
        </is>
      </c>
      <c r="B267" s="110" t="inlineStr">
        <is>
          <t>Comercial</t>
        </is>
      </c>
      <c r="C267" s="110" t="inlineStr">
        <is>
          <t>Consultas e análises de crédito</t>
        </is>
      </c>
      <c r="D267" s="110" t="inlineStr">
        <is>
          <t>DX2</t>
        </is>
      </c>
      <c r="E267" s="129" t="n">
        <v>305</v>
      </c>
      <c r="F267" s="89" t="n">
        <v>1.86</v>
      </c>
      <c r="G267" s="89" t="n">
        <v>567.3</v>
      </c>
      <c r="H267" s="110" t="inlineStr">
        <is>
          <t>Vendas cadastradas e consultadas pelo argos (Consultas e analise de credito - Maio26.xlsx)</t>
        </is>
      </c>
    </row>
    <row r="268" ht="15" customHeight="1" s="64">
      <c r="A268" s="110" t="inlineStr">
        <is>
          <t>MAIO/2026</t>
        </is>
      </c>
      <c r="B268" s="110" t="inlineStr">
        <is>
          <t>Comercial</t>
        </is>
      </c>
      <c r="C268" s="110" t="inlineStr">
        <is>
          <t>Despesa do consultor BARTOLOMEU</t>
        </is>
      </c>
      <c r="D268" s="110" t="inlineStr">
        <is>
          <t>DX2</t>
        </is>
      </c>
      <c r="E268" s="129" t="n">
        <v>2</v>
      </c>
      <c r="F268" s="89" t="n">
        <v>383.56</v>
      </c>
      <c r="G268" s="89" t="n">
        <v>767.12</v>
      </c>
      <c r="H268" s="110" t="inlineStr">
        <is>
          <t>Despesa trabalhista e combustivel do consultor dividido pelo total de vendas</t>
        </is>
      </c>
    </row>
    <row r="269" ht="15" customHeight="1" s="64">
      <c r="A269" s="110" t="inlineStr">
        <is>
          <t>MAIO/2026</t>
        </is>
      </c>
      <c r="B269" s="110" t="inlineStr">
        <is>
          <t>Comercial</t>
        </is>
      </c>
      <c r="C269" s="110" t="inlineStr">
        <is>
          <t>Despesa do consultor PAULO MELO</t>
        </is>
      </c>
      <c r="D269" s="110" t="inlineStr">
        <is>
          <t>DX2</t>
        </is>
      </c>
      <c r="E269" s="129" t="n">
        <v>0</v>
      </c>
      <c r="F269" s="89" t="n">
        <v>0</v>
      </c>
      <c r="G269" s="89" t="n">
        <v>0</v>
      </c>
      <c r="H269" s="110" t="inlineStr">
        <is>
          <t>Despesa trabalhista e combustível do consultor dividido pelo total de vendas</t>
        </is>
      </c>
    </row>
    <row r="270" ht="15" customHeight="1" s="64">
      <c r="A270" s="110" t="inlineStr">
        <is>
          <t>MAIO/2026</t>
        </is>
      </c>
      <c r="B270" s="110" t="inlineStr">
        <is>
          <t>Comercial</t>
        </is>
      </c>
      <c r="C270" s="110" t="inlineStr">
        <is>
          <t>Despesa do consultor PEDRO GREGO</t>
        </is>
      </c>
      <c r="D270" s="110" t="inlineStr">
        <is>
          <t>DX2</t>
        </is>
      </c>
      <c r="E270" s="129" t="n">
        <v>0</v>
      </c>
      <c r="F270" s="89" t="n">
        <v>0</v>
      </c>
      <c r="G270" s="89" t="n">
        <v>0</v>
      </c>
      <c r="H270" s="110" t="inlineStr">
        <is>
          <t>Despesa trabalhista e combustível do consultor dividido pelo total de vendas (cliente 12195,12634,12408)</t>
        </is>
      </c>
    </row>
    <row r="271" ht="15" customHeight="1" s="64">
      <c r="A271" s="110" t="inlineStr">
        <is>
          <t>MAIO/2026</t>
        </is>
      </c>
      <c r="B271" s="110" t="inlineStr">
        <is>
          <t>Comercial</t>
        </is>
      </c>
      <c r="C271" s="110" t="inlineStr">
        <is>
          <t>Despesa do coordenador TIAGO, pela gestão da equipe</t>
        </is>
      </c>
      <c r="D271" s="110" t="inlineStr">
        <is>
          <t>DX2</t>
        </is>
      </c>
      <c r="E271" s="129" t="n">
        <v>-1</v>
      </c>
      <c r="F271" s="89" t="n">
        <v>774.2</v>
      </c>
      <c r="G271" s="89" t="n">
        <v>-774.2</v>
      </c>
      <c r="H271" s="110" t="inlineStr">
        <is>
          <t>Crédito por despesa com combustível e utilização de veÍculo dx2</t>
        </is>
      </c>
    </row>
    <row r="272" ht="15" customHeight="1" s="64">
      <c r="A272" s="110" t="inlineStr">
        <is>
          <t>MAIO/2026</t>
        </is>
      </c>
      <c r="B272" s="110" t="inlineStr">
        <is>
          <t>Comercial</t>
        </is>
      </c>
      <c r="C272" s="110" t="inlineStr">
        <is>
          <t>Despesa do coordenador TIAGO, pela gestão da equipe</t>
        </is>
      </c>
      <c r="D272" s="110" t="inlineStr">
        <is>
          <t>DX2</t>
        </is>
      </c>
      <c r="E272" s="129" t="n">
        <v>-1</v>
      </c>
      <c r="F272" s="89" t="n">
        <v>4167</v>
      </c>
      <c r="G272" s="89" t="n">
        <v>-4167</v>
      </c>
      <c r="H272" s="110" t="inlineStr">
        <is>
          <t>Crédito por participação do coordenador na base h&amp;a e soares e silva</t>
        </is>
      </c>
    </row>
    <row r="273" ht="15" customHeight="1" s="64">
      <c r="A273" s="110" t="inlineStr">
        <is>
          <t>MAIO/2026</t>
        </is>
      </c>
      <c r="B273" s="110" t="inlineStr">
        <is>
          <t>Comercial</t>
        </is>
      </c>
      <c r="C273" s="110" t="inlineStr">
        <is>
          <t>Vendas da equipe DX2 porta a porta P/ H&amp;A</t>
        </is>
      </c>
      <c r="D273" s="110" t="inlineStr">
        <is>
          <t>DX2</t>
        </is>
      </c>
      <c r="E273" s="129" t="n">
        <v>3</v>
      </c>
      <c r="F273" s="89" t="n">
        <v>0</v>
      </c>
      <c r="G273" s="89" t="n">
        <v>0</v>
      </c>
      <c r="H273" s="110" t="inlineStr">
        <is>
          <t>Vendas instaladas</t>
        </is>
      </c>
    </row>
    <row r="274" ht="15" customHeight="1" s="64">
      <c r="A274" s="110" t="inlineStr">
        <is>
          <t>MAIO/2026</t>
        </is>
      </c>
      <c r="B274" s="110" t="inlineStr">
        <is>
          <t>Comercial</t>
        </is>
      </c>
      <c r="C274" s="110" t="inlineStr">
        <is>
          <t>Vendas da equipe Dtel porta a porta</t>
        </is>
      </c>
      <c r="D274" s="110" t="inlineStr">
        <is>
          <t>DX2</t>
        </is>
      </c>
      <c r="E274" s="129" t="n">
        <v>0</v>
      </c>
      <c r="F274" s="89" t="n">
        <v>0</v>
      </c>
      <c r="G274" s="89" t="n">
        <v>0</v>
      </c>
      <c r="H274" s="110" t="inlineStr">
        <is>
          <t>Vendas instaladas</t>
        </is>
      </c>
    </row>
    <row r="275" ht="15" customHeight="1" s="64">
      <c r="A275" s="110" t="inlineStr">
        <is>
          <t>MAIO/2026</t>
        </is>
      </c>
      <c r="B275" s="110" t="inlineStr">
        <is>
          <t>Comercial</t>
        </is>
      </c>
      <c r="C275" s="110" t="inlineStr">
        <is>
          <t>Vendas da equipe Dx2 porta a porta p/ Dtel</t>
        </is>
      </c>
      <c r="D275" s="110" t="inlineStr">
        <is>
          <t>DX2</t>
        </is>
      </c>
      <c r="E275" s="129" t="n">
        <v>0</v>
      </c>
      <c r="F275" s="89" t="n">
        <v>0</v>
      </c>
      <c r="G275" s="89" t="n">
        <v>0</v>
      </c>
      <c r="H275" s="110" t="inlineStr">
        <is>
          <t>Vendas instaladas</t>
        </is>
      </c>
    </row>
    <row r="276" ht="15" customHeight="1" s="64">
      <c r="A276" s="110" t="inlineStr">
        <is>
          <t>MAIO/2026</t>
        </is>
      </c>
      <c r="B276" s="110" t="inlineStr">
        <is>
          <t>Comercial</t>
        </is>
      </c>
      <c r="C276" s="110" t="inlineStr">
        <is>
          <t>Vendas da equipe H&amp;A porta a porta P/ DX2</t>
        </is>
      </c>
      <c r="D276" s="110" t="inlineStr">
        <is>
          <t>DX2</t>
        </is>
      </c>
      <c r="E276" s="129" t="n">
        <v>5</v>
      </c>
      <c r="F276" s="89" t="n">
        <v>0</v>
      </c>
      <c r="G276" s="89" t="n">
        <v>0</v>
      </c>
      <c r="H276" s="110" t="inlineStr">
        <is>
          <t>Vendas instaladas</t>
        </is>
      </c>
    </row>
    <row r="277" ht="15" customHeight="1" s="64">
      <c r="A277" s="110" t="inlineStr">
        <is>
          <t>MAIO/2026</t>
        </is>
      </c>
      <c r="B277" s="110" t="inlineStr">
        <is>
          <t>Comercial</t>
        </is>
      </c>
      <c r="C277" s="110" t="inlineStr">
        <is>
          <t>Vendas da equipe VOICENET porta a porta P/  DX2</t>
        </is>
      </c>
      <c r="D277" s="110" t="inlineStr">
        <is>
          <t>DX2</t>
        </is>
      </c>
      <c r="E277" s="129" t="n">
        <v>0</v>
      </c>
      <c r="F277" s="89" t="n">
        <v>0</v>
      </c>
      <c r="G277" s="89" t="n">
        <v>0</v>
      </c>
      <c r="H277" s="110" t="inlineStr">
        <is>
          <t>Vendas instaladas</t>
        </is>
      </c>
    </row>
    <row r="278" ht="15" customHeight="1" s="64">
      <c r="A278" s="110" t="inlineStr">
        <is>
          <t>MAIO/2026</t>
        </is>
      </c>
      <c r="B278" s="110" t="inlineStr">
        <is>
          <t>Comercial</t>
        </is>
      </c>
      <c r="C278" s="110" t="inlineStr">
        <is>
          <t>Comissão de manutenção da Totum</t>
        </is>
      </c>
      <c r="D278" s="110" t="inlineStr">
        <is>
          <t>H&amp;A</t>
        </is>
      </c>
      <c r="E278" s="129" t="n">
        <v>1</v>
      </c>
      <c r="F278" s="89" t="n">
        <v>33.5</v>
      </c>
      <c r="G278" s="89" t="n">
        <v>33.5</v>
      </c>
      <c r="H278" s="110" t="inlineStr">
        <is>
          <t>Conselho regional de enfermagem de PE</t>
        </is>
      </c>
    </row>
    <row r="279" ht="15" customHeight="1" s="64">
      <c r="A279" s="110" t="inlineStr">
        <is>
          <t>MAIO/2026</t>
        </is>
      </c>
      <c r="B279" s="110" t="inlineStr">
        <is>
          <t>Comercial</t>
        </is>
      </c>
      <c r="C279" s="110" t="inlineStr">
        <is>
          <t>Comissão de manutenção da Totum</t>
        </is>
      </c>
      <c r="D279" s="110" t="inlineStr">
        <is>
          <t>H&amp;A</t>
        </is>
      </c>
      <c r="E279" s="129" t="n">
        <v>1</v>
      </c>
      <c r="F279" s="89" t="n">
        <v>22</v>
      </c>
      <c r="G279" s="89" t="n">
        <v>22</v>
      </c>
      <c r="H279" s="110" t="inlineStr">
        <is>
          <t>71 Batalhão De Infantaria Motorizado</t>
        </is>
      </c>
    </row>
    <row r="280" ht="15" customHeight="1" s="64">
      <c r="A280" s="110" t="inlineStr">
        <is>
          <t>MAIO/2026</t>
        </is>
      </c>
      <c r="B280" s="110" t="inlineStr">
        <is>
          <t>Comercial</t>
        </is>
      </c>
      <c r="C280" s="110" t="inlineStr">
        <is>
          <t>Consultas e análises de crédito</t>
        </is>
      </c>
      <c r="D280" s="110" t="inlineStr">
        <is>
          <t>H&amp;A</t>
        </is>
      </c>
      <c r="E280" s="129" t="n">
        <v>322</v>
      </c>
      <c r="F280" s="89" t="n">
        <v>1.86</v>
      </c>
      <c r="G280" s="89" t="n">
        <v>598.92</v>
      </c>
      <c r="H280" s="110" t="inlineStr">
        <is>
          <t>Vendas cadastradas e consultadas pelo argos (Consultas e analise de credito - Maio26.xlsx)</t>
        </is>
      </c>
    </row>
    <row r="281" ht="15" customHeight="1" s="64">
      <c r="A281" s="110" t="inlineStr">
        <is>
          <t>MAIO/2026</t>
        </is>
      </c>
      <c r="B281" s="110" t="inlineStr">
        <is>
          <t>Comercial</t>
        </is>
      </c>
      <c r="C281" s="110" t="inlineStr">
        <is>
          <t>Consultas e análises de crédito</t>
        </is>
      </c>
      <c r="D281" s="110" t="inlineStr">
        <is>
          <t>H&amp;A</t>
        </is>
      </c>
      <c r="E281" s="129" t="n">
        <v>322</v>
      </c>
      <c r="F281" s="89" t="n">
        <v>1.86</v>
      </c>
      <c r="G281" s="89" t="n">
        <v>598.92</v>
      </c>
      <c r="H281" s="110" t="inlineStr">
        <is>
          <t>Vendas cadastradas e consultadas pelo argos (Consultas e analise de credito - Maio26.xlsx)</t>
        </is>
      </c>
    </row>
    <row r="282" ht="15" customHeight="1" s="64">
      <c r="A282" s="110" t="inlineStr">
        <is>
          <t>MAIO/2026</t>
        </is>
      </c>
      <c r="B282" s="110" t="inlineStr">
        <is>
          <t>Comercial</t>
        </is>
      </c>
      <c r="C282" s="110" t="inlineStr">
        <is>
          <t>Despesa do consultor BARTOLOMEU</t>
        </is>
      </c>
      <c r="D282" s="110" t="inlineStr">
        <is>
          <t>H&amp;A</t>
        </is>
      </c>
      <c r="E282" s="129" t="n">
        <v>5</v>
      </c>
      <c r="F282" s="89" t="n">
        <v>383.56</v>
      </c>
      <c r="G282" s="89" t="n">
        <v>1917.8</v>
      </c>
      <c r="H282" s="110" t="inlineStr">
        <is>
          <t>Despesa trabalhista e combustível do consultor dividido pelo total de vendas (cliente 29895,29928,29948,29974,29930)</t>
        </is>
      </c>
    </row>
    <row r="283" ht="15" customHeight="1" s="64">
      <c r="A283" s="110" t="inlineStr">
        <is>
          <t>MAIO/2026</t>
        </is>
      </c>
      <c r="B283" s="110" t="inlineStr">
        <is>
          <t>Comercial</t>
        </is>
      </c>
      <c r="C283" s="110" t="inlineStr">
        <is>
          <t>Despesa do consultor PAULO MELO</t>
        </is>
      </c>
      <c r="D283" s="110" t="inlineStr">
        <is>
          <t>H&amp;A</t>
        </is>
      </c>
      <c r="E283" s="129" t="n">
        <v>1</v>
      </c>
      <c r="F283" s="89" t="n">
        <v>338.53</v>
      </c>
      <c r="G283" s="89" t="n">
        <v>338.53</v>
      </c>
      <c r="H283" s="110" t="inlineStr">
        <is>
          <t>Despesa trabalhista e combustível do consultor dividido pelo total de vendas(cliente 30172,29955,30042)</t>
        </is>
      </c>
    </row>
    <row r="284" ht="15" customHeight="1" s="64">
      <c r="A284" s="110" t="inlineStr">
        <is>
          <t>MAIO/2026</t>
        </is>
      </c>
      <c r="B284" s="110" t="inlineStr">
        <is>
          <t>Comercial</t>
        </is>
      </c>
      <c r="C284" s="110" t="inlineStr">
        <is>
          <t>Despesa do consultor PEDRO GREGO</t>
        </is>
      </c>
      <c r="D284" s="110" t="inlineStr">
        <is>
          <t>H&amp;A</t>
        </is>
      </c>
      <c r="E284" s="129" t="n">
        <v>1</v>
      </c>
      <c r="F284" s="89" t="n">
        <v>400.26</v>
      </c>
      <c r="G284" s="89" t="n">
        <v>400.26</v>
      </c>
      <c r="H284" s="110" t="inlineStr">
        <is>
          <t>Despesa trabalhista e combustível do consultor dividido pelo total de vendas (ciente 29740,30064,30038,30076)</t>
        </is>
      </c>
    </row>
    <row r="285" ht="15" customHeight="1" s="64">
      <c r="A285" s="110" t="inlineStr">
        <is>
          <t>MAIO/2026</t>
        </is>
      </c>
      <c r="B285" s="110" t="inlineStr">
        <is>
          <t>Comercial</t>
        </is>
      </c>
      <c r="C285" s="110" t="inlineStr">
        <is>
          <t>Despesa do coordenador TIAGO, pela gestão da equipe</t>
        </is>
      </c>
      <c r="D285" s="110" t="inlineStr">
        <is>
          <t>H&amp;A</t>
        </is>
      </c>
      <c r="E285" s="129" t="n">
        <v>1</v>
      </c>
      <c r="F285" s="89" t="n">
        <v>324</v>
      </c>
      <c r="G285" s="89" t="n">
        <v>324</v>
      </c>
      <c r="H285" s="110" t="inlineStr">
        <is>
          <t>Despesa com combustÍvel e utilização de veiculo dx2</t>
        </is>
      </c>
    </row>
    <row r="286" ht="15" customHeight="1" s="64">
      <c r="A286" s="110" t="inlineStr">
        <is>
          <t>MAIO/2026</t>
        </is>
      </c>
      <c r="B286" s="110" t="inlineStr">
        <is>
          <t>Comercial</t>
        </is>
      </c>
      <c r="C286" s="110" t="inlineStr">
        <is>
          <t>Despesa do coordenador TIAGO, pela gestão da equipe</t>
        </is>
      </c>
      <c r="D286" s="110" t="inlineStr">
        <is>
          <t>H&amp;A</t>
        </is>
      </c>
      <c r="E286" s="129" t="n">
        <v>64</v>
      </c>
      <c r="F286" s="89" t="n">
        <v>23.15</v>
      </c>
      <c r="G286" s="89" t="n">
        <v>1481.6</v>
      </c>
      <c r="H286" s="110" t="inlineStr">
        <is>
          <t>Despesa trabalhista dividida pela quantidade de vendas</t>
        </is>
      </c>
    </row>
    <row r="287" ht="15" customHeight="1" s="64">
      <c r="A287" s="110" t="inlineStr">
        <is>
          <t>MAIO/2026</t>
        </is>
      </c>
      <c r="B287" s="110" t="inlineStr">
        <is>
          <t>Comercial</t>
        </is>
      </c>
      <c r="C287" s="110" t="inlineStr">
        <is>
          <t>Vendas da equipe DX2 para H&amp;A</t>
        </is>
      </c>
      <c r="D287" s="110" t="inlineStr">
        <is>
          <t>H&amp;A</t>
        </is>
      </c>
      <c r="E287" s="129" t="n">
        <v>3</v>
      </c>
      <c r="F287" s="89" t="n">
        <v>0</v>
      </c>
      <c r="G287" s="89" t="n">
        <v>0</v>
      </c>
      <c r="H287" s="110" t="inlineStr">
        <is>
          <t>Vendas instaladas</t>
        </is>
      </c>
    </row>
    <row r="288" ht="15" customHeight="1" s="64">
      <c r="A288" s="110" t="inlineStr">
        <is>
          <t>MAIO/2026</t>
        </is>
      </c>
      <c r="B288" s="110" t="inlineStr">
        <is>
          <t>Comercial</t>
        </is>
      </c>
      <c r="C288" s="110" t="inlineStr">
        <is>
          <t>Vendas da equipe Dtel porta a porta</t>
        </is>
      </c>
      <c r="D288" s="110" t="inlineStr">
        <is>
          <t>H&amp;A</t>
        </is>
      </c>
      <c r="E288" s="129" t="n">
        <v>1</v>
      </c>
      <c r="F288" s="89" t="n">
        <v>0</v>
      </c>
      <c r="G288" s="89" t="n">
        <v>0</v>
      </c>
      <c r="H288" s="110" t="inlineStr">
        <is>
          <t>Vendas instaladas</t>
        </is>
      </c>
    </row>
    <row r="289" ht="15" customHeight="1" s="64">
      <c r="A289" s="110" t="inlineStr">
        <is>
          <t>MAIO/2026</t>
        </is>
      </c>
      <c r="B289" s="110" t="inlineStr">
        <is>
          <t>Comercial</t>
        </is>
      </c>
      <c r="C289" s="110" t="inlineStr">
        <is>
          <t>Vendas da equipe H&amp;A P/ VOICENET</t>
        </is>
      </c>
      <c r="D289" s="110" t="inlineStr">
        <is>
          <t>H&amp;A</t>
        </is>
      </c>
      <c r="E289" s="129" t="n">
        <v>0</v>
      </c>
      <c r="F289" s="89" t="n">
        <v>0</v>
      </c>
      <c r="G289" s="89" t="n">
        <v>0</v>
      </c>
      <c r="H289" s="110" t="inlineStr">
        <is>
          <t>Vendas instaladas</t>
        </is>
      </c>
    </row>
    <row r="290" ht="15" customHeight="1" s="64">
      <c r="A290" s="110" t="inlineStr">
        <is>
          <t>MAIO/2026</t>
        </is>
      </c>
      <c r="B290" s="110" t="inlineStr">
        <is>
          <t>Comercial</t>
        </is>
      </c>
      <c r="C290" s="110" t="inlineStr">
        <is>
          <t>Vendas da equipe H&amp;A para Dtel</t>
        </is>
      </c>
      <c r="D290" s="110" t="inlineStr">
        <is>
          <t>H&amp;A</t>
        </is>
      </c>
      <c r="E290" s="129" t="n">
        <v>2</v>
      </c>
      <c r="F290" s="89" t="n">
        <v>0</v>
      </c>
      <c r="G290" s="89" t="n">
        <v>0</v>
      </c>
      <c r="H290" s="110" t="inlineStr">
        <is>
          <t>Vendas instaladas</t>
        </is>
      </c>
    </row>
    <row r="291" ht="15" customHeight="1" s="64">
      <c r="A291" s="110" t="inlineStr">
        <is>
          <t>MAIO/2026</t>
        </is>
      </c>
      <c r="B291" s="110" t="inlineStr">
        <is>
          <t>Comercial</t>
        </is>
      </c>
      <c r="C291" s="110" t="inlineStr">
        <is>
          <t>Vendas da equipe H&amp;A para Dx2</t>
        </is>
      </c>
      <c r="D291" s="110" t="inlineStr">
        <is>
          <t>H&amp;A</t>
        </is>
      </c>
      <c r="E291" s="129" t="n">
        <v>5</v>
      </c>
      <c r="F291" s="89" t="n">
        <v>0</v>
      </c>
      <c r="G291" s="89" t="n">
        <v>0</v>
      </c>
      <c r="H291" s="110" t="inlineStr">
        <is>
          <t>Vendas instaladas</t>
        </is>
      </c>
    </row>
    <row r="292" ht="15" customHeight="1" s="64">
      <c r="A292" s="110" t="inlineStr">
        <is>
          <t>MAIO/2026</t>
        </is>
      </c>
      <c r="B292" s="110" t="inlineStr">
        <is>
          <t>Comercial</t>
        </is>
      </c>
      <c r="C292" s="110" t="inlineStr">
        <is>
          <t>Vendas da equipe H&amp;A para soares e silva</t>
        </is>
      </c>
      <c r="D292" s="110" t="inlineStr">
        <is>
          <t>H&amp;A</t>
        </is>
      </c>
      <c r="E292" s="129" t="n">
        <v>0</v>
      </c>
      <c r="F292" s="89" t="n">
        <v>0</v>
      </c>
      <c r="G292" s="89" t="n">
        <v>0</v>
      </c>
      <c r="H292" s="110" t="inlineStr">
        <is>
          <t>Vendas instaladas</t>
        </is>
      </c>
    </row>
    <row r="293" ht="15" customHeight="1" s="64">
      <c r="A293" s="110" t="inlineStr">
        <is>
          <t>MAIO/2026</t>
        </is>
      </c>
      <c r="B293" s="110" t="inlineStr">
        <is>
          <t>Comercial</t>
        </is>
      </c>
      <c r="C293" s="110" t="inlineStr">
        <is>
          <t>Consultas e análises de crédito</t>
        </is>
      </c>
      <c r="D293" s="110" t="inlineStr">
        <is>
          <t>Soares e Lins</t>
        </is>
      </c>
      <c r="E293" s="129" t="n">
        <v>240</v>
      </c>
      <c r="F293" s="89" t="n">
        <v>1.86</v>
      </c>
      <c r="G293" s="89" t="n">
        <v>446.4</v>
      </c>
      <c r="H293" s="110" t="inlineStr">
        <is>
          <t>Vendas cadastradas e consultadas pelo argos (Consultas e analise de credito - Maio26.xlsx)</t>
        </is>
      </c>
    </row>
    <row r="294" ht="15" customHeight="1" s="64">
      <c r="A294" s="110" t="inlineStr">
        <is>
          <t>MAIO/2026</t>
        </is>
      </c>
      <c r="B294" s="110" t="inlineStr">
        <is>
          <t>Comercial</t>
        </is>
      </c>
      <c r="C294" s="110" t="inlineStr">
        <is>
          <t>Consultas e análises de crédito</t>
        </is>
      </c>
      <c r="D294" s="110" t="inlineStr">
        <is>
          <t>Soares e Lins</t>
        </is>
      </c>
      <c r="E294" s="129" t="n">
        <v>240</v>
      </c>
      <c r="F294" s="89" t="n">
        <v>1.86</v>
      </c>
      <c r="G294" s="89" t="n">
        <v>446.4</v>
      </c>
      <c r="H294" s="110" t="inlineStr">
        <is>
          <t>Vendas cadastradas e consultadas pelo argos (Consultas e analise de credito - Maio26.xlsx)</t>
        </is>
      </c>
    </row>
    <row r="295" ht="15" customHeight="1" s="64">
      <c r="A295" s="110" t="inlineStr">
        <is>
          <t>MAIO/2026</t>
        </is>
      </c>
      <c r="B295" s="110" t="inlineStr">
        <is>
          <t>Comercial</t>
        </is>
      </c>
      <c r="C295" s="110" t="inlineStr">
        <is>
          <t>Despesa do consultor BARTOLOMEU</t>
        </is>
      </c>
      <c r="D295" s="110" t="inlineStr">
        <is>
          <t>Soares e Lins</t>
        </is>
      </c>
      <c r="E295" s="129" t="n">
        <v>0</v>
      </c>
      <c r="F295" s="89" t="n">
        <v>0</v>
      </c>
      <c r="G295" s="89" t="n">
        <v>0</v>
      </c>
      <c r="H295" s="110" t="inlineStr">
        <is>
          <t>Despesa trabalhista e combustivel do consultor dividido pelo total de vendas</t>
        </is>
      </c>
    </row>
    <row r="296" ht="15" customHeight="1" s="64">
      <c r="A296" s="110" t="inlineStr">
        <is>
          <t>MAIO/2026</t>
        </is>
      </c>
      <c r="B296" s="110" t="inlineStr">
        <is>
          <t>Comercial</t>
        </is>
      </c>
      <c r="C296" s="110" t="inlineStr">
        <is>
          <t>Despesa do consultor PAULO MELO</t>
        </is>
      </c>
      <c r="D296" s="110" t="inlineStr">
        <is>
          <t>Soares e Lins</t>
        </is>
      </c>
      <c r="E296" s="129" t="n">
        <v>2</v>
      </c>
      <c r="F296" s="89" t="n">
        <v>338.53</v>
      </c>
      <c r="G296" s="89" t="n">
        <v>677.0599999999999</v>
      </c>
      <c r="H296" s="110" t="inlineStr">
        <is>
          <t>Despesa trabalhista e combustivel do consultor dividido pelo total de vendas</t>
        </is>
      </c>
    </row>
    <row r="297" ht="15" customHeight="1" s="64">
      <c r="A297" s="110" t="inlineStr">
        <is>
          <t>MAIO/2026</t>
        </is>
      </c>
      <c r="B297" s="110" t="inlineStr">
        <is>
          <t>Comercial</t>
        </is>
      </c>
      <c r="C297" s="110" t="inlineStr">
        <is>
          <t>Despesa do consultor PEDRO GREGO</t>
        </is>
      </c>
      <c r="D297" s="110" t="inlineStr">
        <is>
          <t>Soares e Lins</t>
        </is>
      </c>
      <c r="E297" s="129" t="n">
        <v>0</v>
      </c>
      <c r="F297" s="89" t="n">
        <v>0</v>
      </c>
      <c r="G297" s="89" t="n">
        <v>0</v>
      </c>
      <c r="H297" s="110" t="inlineStr">
        <is>
          <t>Despesa trabalhista e combustível do consultor dividido pelo total de vendas(cliente 7777)</t>
        </is>
      </c>
    </row>
    <row r="298" ht="15" customHeight="1" s="64">
      <c r="A298" s="110" t="inlineStr">
        <is>
          <t>MAIO/2026</t>
        </is>
      </c>
      <c r="B298" s="110" t="inlineStr">
        <is>
          <t>Comercial</t>
        </is>
      </c>
      <c r="C298" s="110" t="inlineStr">
        <is>
          <t>Vendas da equipe Dtel porta a porta</t>
        </is>
      </c>
      <c r="D298" s="110" t="inlineStr">
        <is>
          <t>Soares e Lins</t>
        </is>
      </c>
      <c r="E298" s="129" t="n">
        <v>1</v>
      </c>
      <c r="F298" s="89" t="n">
        <v>0</v>
      </c>
      <c r="G298" s="89" t="n">
        <v>0</v>
      </c>
      <c r="H298" s="110" t="inlineStr">
        <is>
          <t>Vendas instaladas</t>
        </is>
      </c>
    </row>
    <row r="299" ht="15" customHeight="1" s="64">
      <c r="A299" s="110" t="inlineStr">
        <is>
          <t>MAIO/2026</t>
        </is>
      </c>
      <c r="B299" s="110" t="inlineStr">
        <is>
          <t>Comercial</t>
        </is>
      </c>
      <c r="C299" s="110" t="inlineStr">
        <is>
          <t>Vendas da equipe Soares e lins p/ Dtel</t>
        </is>
      </c>
      <c r="D299" s="110" t="inlineStr">
        <is>
          <t>Soares e Lins</t>
        </is>
      </c>
      <c r="E299" s="129" t="n">
        <v>3</v>
      </c>
      <c r="F299" s="89" t="n">
        <v>0</v>
      </c>
      <c r="G299" s="89" t="n">
        <v>0</v>
      </c>
      <c r="H299" s="110" t="inlineStr">
        <is>
          <t>Vendas instaladas</t>
        </is>
      </c>
    </row>
    <row r="300" ht="15" customHeight="1" s="64">
      <c r="A300" s="110" t="inlineStr">
        <is>
          <t>MAIO/2026</t>
        </is>
      </c>
      <c r="B300" s="110" t="inlineStr">
        <is>
          <t>Comercial</t>
        </is>
      </c>
      <c r="C300" s="110" t="inlineStr">
        <is>
          <t>Vendas da equipe Soares e lins p/ solon</t>
        </is>
      </c>
      <c r="D300" s="110" t="inlineStr">
        <is>
          <t>Soares e Lins</t>
        </is>
      </c>
      <c r="E300" s="129" t="n">
        <v>0</v>
      </c>
      <c r="F300" s="89" t="n">
        <v>0</v>
      </c>
      <c r="G300" s="89" t="n">
        <v>0</v>
      </c>
      <c r="H300" s="110" t="inlineStr">
        <is>
          <t>Vendas instaladas</t>
        </is>
      </c>
    </row>
    <row r="301" ht="15" customHeight="1" s="64">
      <c r="A301" s="110" t="inlineStr">
        <is>
          <t>MAIO/2026</t>
        </is>
      </c>
      <c r="B301" s="110" t="inlineStr">
        <is>
          <t>Comercial</t>
        </is>
      </c>
      <c r="C301" s="110" t="inlineStr">
        <is>
          <t>Vendas da equipe voicenet P/ SOARES E LINS</t>
        </is>
      </c>
      <c r="D301" s="110" t="inlineStr">
        <is>
          <t>Soares e Lins</t>
        </is>
      </c>
      <c r="E301" s="129" t="n">
        <v>0</v>
      </c>
      <c r="F301" s="89" t="n">
        <v>0</v>
      </c>
      <c r="G301" s="89" t="n">
        <v>0</v>
      </c>
      <c r="H301" s="110" t="inlineStr">
        <is>
          <t>Vendas instaladas</t>
        </is>
      </c>
    </row>
    <row r="302" ht="15" customHeight="1" s="64">
      <c r="A302" s="110" t="inlineStr">
        <is>
          <t>MAIO/2026</t>
        </is>
      </c>
      <c r="B302" s="110" t="inlineStr">
        <is>
          <t>Comercial</t>
        </is>
      </c>
      <c r="C302" s="110" t="inlineStr">
        <is>
          <t>Consultas e análises de crédito</t>
        </is>
      </c>
      <c r="D302" s="110" t="inlineStr">
        <is>
          <t>Soares e Silva</t>
        </is>
      </c>
      <c r="E302" s="129" t="n">
        <v>679</v>
      </c>
      <c r="F302" s="89" t="n">
        <v>1.86</v>
      </c>
      <c r="G302" s="89" t="n">
        <v>1262.94</v>
      </c>
      <c r="H302" s="110" t="inlineStr">
        <is>
          <t>Vendas cadastradas e consultadas pelo argos (Consultas e analise de credito - Maio26.xlsx)</t>
        </is>
      </c>
    </row>
    <row r="303" ht="15" customHeight="1" s="64">
      <c r="A303" s="110" t="inlineStr">
        <is>
          <t>MAIO/2026</t>
        </is>
      </c>
      <c r="B303" s="110" t="inlineStr">
        <is>
          <t>Comercial</t>
        </is>
      </c>
      <c r="C303" s="110" t="inlineStr">
        <is>
          <t>Consultas e análises de crédito</t>
        </is>
      </c>
      <c r="D303" s="110" t="inlineStr">
        <is>
          <t>Soares e Silva</t>
        </is>
      </c>
      <c r="E303" s="129" t="n">
        <v>679</v>
      </c>
      <c r="F303" s="89" t="n">
        <v>1.86</v>
      </c>
      <c r="G303" s="89" t="n">
        <v>1262.94</v>
      </c>
      <c r="H303" s="110" t="inlineStr">
        <is>
          <t>Vendas cadastradas e consultadas pelo argos (Consultas e analise de credito - Maio26.xlsx)</t>
        </is>
      </c>
    </row>
    <row r="304" ht="15" customHeight="1" s="64">
      <c r="A304" s="110" t="inlineStr">
        <is>
          <t>MAIO/2026</t>
        </is>
      </c>
      <c r="B304" s="110" t="inlineStr">
        <is>
          <t>Comercial</t>
        </is>
      </c>
      <c r="C304" s="110" t="inlineStr">
        <is>
          <t>Despesa do consultor BARTOLOMEU</t>
        </is>
      </c>
      <c r="D304" s="110" t="inlineStr">
        <is>
          <t>Soares e Silva</t>
        </is>
      </c>
      <c r="E304" s="129" t="n">
        <v>4</v>
      </c>
      <c r="F304" s="89" t="n">
        <v>383.56</v>
      </c>
      <c r="G304" s="89" t="n">
        <v>1534.24</v>
      </c>
      <c r="H304" s="110" t="inlineStr">
        <is>
          <t>Despesa trabalhista e combustÍvel do consultor dividido pelo total de vendas (cliente 11663,11670,11886)</t>
        </is>
      </c>
    </row>
    <row r="305" ht="15" customHeight="1" s="64">
      <c r="A305" s="110" t="inlineStr">
        <is>
          <t>MAIO/2026</t>
        </is>
      </c>
      <c r="B305" s="110" t="inlineStr">
        <is>
          <t>Comercial</t>
        </is>
      </c>
      <c r="C305" s="110" t="inlineStr">
        <is>
          <t>Despesa do consultor PAULO MELO</t>
        </is>
      </c>
      <c r="D305" s="110" t="inlineStr">
        <is>
          <t>Soares e Silva</t>
        </is>
      </c>
      <c r="E305" s="129" t="n">
        <v>4</v>
      </c>
      <c r="F305" s="89" t="n">
        <v>338.53</v>
      </c>
      <c r="G305" s="89" t="n">
        <v>1354.12</v>
      </c>
      <c r="H305" s="110" t="inlineStr">
        <is>
          <t>Despesa trabalhista e combustÍvel dividida pela quantidade de vendas(cliente 12023,11614)</t>
        </is>
      </c>
    </row>
    <row r="306" ht="15" customHeight="1" s="64">
      <c r="A306" s="110" t="inlineStr">
        <is>
          <t>MAIO/2026</t>
        </is>
      </c>
      <c r="B306" s="110" t="inlineStr">
        <is>
          <t>Comercial</t>
        </is>
      </c>
      <c r="C306" s="110" t="inlineStr">
        <is>
          <t>Despesa do consultor PEDRO GREGO</t>
        </is>
      </c>
      <c r="D306" s="110" t="inlineStr">
        <is>
          <t>Soares e Silva</t>
        </is>
      </c>
      <c r="E306" s="129" t="n">
        <v>2</v>
      </c>
      <c r="F306" s="89" t="n">
        <v>400.26</v>
      </c>
      <c r="G306" s="89" t="n">
        <v>800.52</v>
      </c>
      <c r="H306" s="110" t="inlineStr">
        <is>
          <t>Despesa trabalhista e combustÍvel dividida pela quantidade de vendas (cliente 11395,11810)</t>
        </is>
      </c>
    </row>
    <row r="307" ht="15" customHeight="1" s="64">
      <c r="A307" s="110" t="inlineStr">
        <is>
          <t>MAIO/2026</t>
        </is>
      </c>
      <c r="B307" s="110" t="inlineStr">
        <is>
          <t>Comercial</t>
        </is>
      </c>
      <c r="C307" s="110" t="inlineStr">
        <is>
          <t>Despesa do coordenador TIAGO, pela gestão da equipe</t>
        </is>
      </c>
      <c r="D307" s="110" t="inlineStr">
        <is>
          <t>Soares e Silva</t>
        </is>
      </c>
      <c r="E307" s="129" t="n">
        <v>1</v>
      </c>
      <c r="F307" s="89" t="n">
        <v>448</v>
      </c>
      <c r="G307" s="89" t="n">
        <v>448</v>
      </c>
      <c r="H307" s="110" t="inlineStr">
        <is>
          <t>Despesa com combustÍvel e utilização de veÍculo dx2</t>
        </is>
      </c>
    </row>
    <row r="308" ht="15" customHeight="1" s="64">
      <c r="A308" s="110" t="inlineStr">
        <is>
          <t>MAIO/2026</t>
        </is>
      </c>
      <c r="B308" s="110" t="inlineStr">
        <is>
          <t>Comercial</t>
        </is>
      </c>
      <c r="C308" s="110" t="inlineStr">
        <is>
          <t>Despesa do coordenador TIAGO, pela gestão da equipe</t>
        </is>
      </c>
      <c r="D308" s="110" t="inlineStr">
        <is>
          <t>Soares e Silva</t>
        </is>
      </c>
      <c r="E308" s="129" t="n">
        <v>116</v>
      </c>
      <c r="F308" s="89" t="n">
        <v>23.15</v>
      </c>
      <c r="G308" s="89" t="n">
        <v>2685.4</v>
      </c>
      <c r="H308" s="110" t="inlineStr">
        <is>
          <t>Despesa trabalhista e pela quantidade de vendas</t>
        </is>
      </c>
    </row>
    <row r="309" ht="15" customHeight="1" s="64">
      <c r="A309" s="110" t="inlineStr">
        <is>
          <t>MAIO/2026</t>
        </is>
      </c>
      <c r="B309" s="110" t="inlineStr">
        <is>
          <t>Comercial</t>
        </is>
      </c>
      <c r="C309" s="110" t="inlineStr">
        <is>
          <t>Vendas da equipe Dtel porta a porta p/ Soares e silva</t>
        </is>
      </c>
      <c r="D309" s="110" t="inlineStr">
        <is>
          <t>Soares e Silva</t>
        </is>
      </c>
      <c r="E309" s="129" t="n">
        <v>2</v>
      </c>
      <c r="F309" s="89" t="n">
        <v>0</v>
      </c>
      <c r="G309" s="89" t="n">
        <v>0</v>
      </c>
      <c r="H309" s="110" t="inlineStr">
        <is>
          <t>Vendas instaladas</t>
        </is>
      </c>
    </row>
    <row r="310" ht="15" customHeight="1" s="64">
      <c r="A310" s="110" t="inlineStr">
        <is>
          <t>MAIO/2026</t>
        </is>
      </c>
      <c r="B310" s="110" t="inlineStr">
        <is>
          <t>Comercial</t>
        </is>
      </c>
      <c r="C310" s="110" t="inlineStr">
        <is>
          <t>Vendas da equipe H&amp;A para Soares e Silva</t>
        </is>
      </c>
      <c r="D310" s="110" t="inlineStr">
        <is>
          <t>Soares e Silva</t>
        </is>
      </c>
      <c r="E310" s="129" t="n">
        <v>0</v>
      </c>
      <c r="F310" s="89" t="n">
        <v>0</v>
      </c>
      <c r="G310" s="89" t="n">
        <v>0</v>
      </c>
      <c r="H310" s="110" t="inlineStr">
        <is>
          <t>Vendas instaladas</t>
        </is>
      </c>
    </row>
    <row r="311" ht="15" customHeight="1" s="64">
      <c r="A311" s="110" t="inlineStr">
        <is>
          <t>MAIO/2026</t>
        </is>
      </c>
      <c r="B311" s="110" t="inlineStr">
        <is>
          <t>Comercial</t>
        </is>
      </c>
      <c r="C311" s="110" t="inlineStr">
        <is>
          <t>Vendas da equipe Soares e Silva p/ DTEL</t>
        </is>
      </c>
      <c r="D311" s="110" t="inlineStr">
        <is>
          <t>Soares e Silva</t>
        </is>
      </c>
      <c r="E311" s="129" t="n">
        <v>0</v>
      </c>
      <c r="F311" s="89" t="n">
        <v>0</v>
      </c>
      <c r="G311" s="89" t="n">
        <v>0</v>
      </c>
      <c r="H311" s="110" t="inlineStr">
        <is>
          <t>Vendas instaladas</t>
        </is>
      </c>
    </row>
    <row r="312" ht="15" customHeight="1" s="64">
      <c r="A312" s="110" t="inlineStr">
        <is>
          <t>MAIO/2026</t>
        </is>
      </c>
      <c r="B312" s="110" t="inlineStr">
        <is>
          <t>Comercial</t>
        </is>
      </c>
      <c r="C312" s="110" t="inlineStr">
        <is>
          <t>Vendas da equipe soares e lins porta a porta p/ Soares e silva</t>
        </is>
      </c>
      <c r="D312" s="110" t="inlineStr">
        <is>
          <t>Soares e Silva</t>
        </is>
      </c>
      <c r="E312" s="129" t="n">
        <v>0</v>
      </c>
      <c r="F312" s="89" t="n">
        <v>0</v>
      </c>
      <c r="G312" s="89" t="n">
        <v>0</v>
      </c>
      <c r="H312" s="110" t="inlineStr">
        <is>
          <t>Vendas instaladas</t>
        </is>
      </c>
    </row>
    <row r="313" ht="15" customHeight="1" s="64">
      <c r="A313" s="110" t="inlineStr">
        <is>
          <t>MAIO/2026</t>
        </is>
      </c>
      <c r="B313" s="110" t="inlineStr">
        <is>
          <t>Comercial</t>
        </is>
      </c>
      <c r="C313" s="110" t="inlineStr">
        <is>
          <t>Consultas e análises de crédito</t>
        </is>
      </c>
      <c r="D313" s="110" t="inlineStr">
        <is>
          <t>Solon Araújo</t>
        </is>
      </c>
      <c r="E313" s="129" t="n">
        <v>508</v>
      </c>
      <c r="F313" s="89" t="n">
        <v>1.86</v>
      </c>
      <c r="G313" s="89" t="n">
        <v>944.88</v>
      </c>
      <c r="H313" s="110" t="inlineStr">
        <is>
          <t>Vendas cadastradas e consultadas pelo argos (Consultas e analise de credito - Maio26.xlsx)</t>
        </is>
      </c>
    </row>
    <row r="314" ht="15" customHeight="1" s="64">
      <c r="A314" s="110" t="inlineStr">
        <is>
          <t>MAIO/2026</t>
        </is>
      </c>
      <c r="B314" s="110" t="inlineStr">
        <is>
          <t>Comercial</t>
        </is>
      </c>
      <c r="C314" s="110" t="inlineStr">
        <is>
          <t>Consultas e análises de crédito</t>
        </is>
      </c>
      <c r="D314" s="110" t="inlineStr">
        <is>
          <t>Solon Araújo</t>
        </is>
      </c>
      <c r="E314" s="129" t="n">
        <v>508</v>
      </c>
      <c r="F314" s="89" t="n">
        <v>1.86</v>
      </c>
      <c r="G314" s="89" t="n">
        <v>944.88</v>
      </c>
      <c r="H314" s="110" t="inlineStr">
        <is>
          <t>Vendas cadastradas e consultadas pelo argos (Consultas e analise de credito - Maio26.xlsx)</t>
        </is>
      </c>
    </row>
    <row r="315" ht="15" customHeight="1" s="64">
      <c r="A315" s="110" t="inlineStr">
        <is>
          <t>MAIO/2026</t>
        </is>
      </c>
      <c r="B315" s="110" t="inlineStr">
        <is>
          <t>Comercial</t>
        </is>
      </c>
      <c r="C315" s="110" t="inlineStr">
        <is>
          <t>Despesa do consultor BARTOLOMEU</t>
        </is>
      </c>
      <c r="D315" s="110" t="inlineStr">
        <is>
          <t>Solon Araújo</t>
        </is>
      </c>
      <c r="E315" s="129" t="n">
        <v>1</v>
      </c>
      <c r="F315" s="89" t="n">
        <v>383.56</v>
      </c>
      <c r="G315" s="89" t="n">
        <v>383.56</v>
      </c>
      <c r="H315" s="110" t="inlineStr">
        <is>
          <t>Despesa trabalhista e combustível do consultor dividido pelo total de vendas (cliente 28304,27900)</t>
        </is>
      </c>
    </row>
    <row r="316" ht="15" customHeight="1" s="64">
      <c r="A316" s="110" t="inlineStr">
        <is>
          <t>MAIO/2026</t>
        </is>
      </c>
      <c r="B316" s="110" t="inlineStr">
        <is>
          <t>Comercial</t>
        </is>
      </c>
      <c r="C316" s="110" t="inlineStr">
        <is>
          <t>Despesa do consultor PAULO MELO</t>
        </is>
      </c>
      <c r="D316" s="110" t="inlineStr">
        <is>
          <t>Solon Araújo</t>
        </is>
      </c>
      <c r="E316" s="129" t="n">
        <v>4</v>
      </c>
      <c r="F316" s="89" t="n">
        <v>338.53</v>
      </c>
      <c r="G316" s="89" t="n">
        <v>1354.12</v>
      </c>
      <c r="H316" s="110" t="inlineStr">
        <is>
          <t>Despesa trabalhista e combustível dividida pela quantidade de vendas(cliente 28844)</t>
        </is>
      </c>
    </row>
    <row r="317" ht="15" customHeight="1" s="64">
      <c r="A317" s="110" t="inlineStr">
        <is>
          <t>MAIO/2026</t>
        </is>
      </c>
      <c r="B317" s="110" t="inlineStr">
        <is>
          <t>Comercial</t>
        </is>
      </c>
      <c r="C317" s="110" t="inlineStr">
        <is>
          <t>Despesa do consultor PEDRO GREGO</t>
        </is>
      </c>
      <c r="D317" s="110" t="inlineStr">
        <is>
          <t>Solon Araújo</t>
        </is>
      </c>
      <c r="E317" s="129" t="n">
        <v>1</v>
      </c>
      <c r="F317" s="89" t="n">
        <v>400.26</v>
      </c>
      <c r="G317" s="89" t="n">
        <v>400.26</v>
      </c>
      <c r="H317" s="110" t="inlineStr">
        <is>
          <t>Despesa trabalhista e combustível dividida pela quantidade de vendas (cliente 28561,28511,28473,28474)</t>
        </is>
      </c>
    </row>
    <row r="318" ht="15" customHeight="1" s="64">
      <c r="A318" s="110" t="inlineStr">
        <is>
          <t>MAIO/2026</t>
        </is>
      </c>
      <c r="B318" s="110" t="inlineStr">
        <is>
          <t>Comercial</t>
        </is>
      </c>
      <c r="C318" s="110" t="inlineStr">
        <is>
          <t>Despesa do coordenador TARCIZIO, pela gestão da equipe</t>
        </is>
      </c>
      <c r="D318" s="110" t="inlineStr">
        <is>
          <t>Solon Araújo</t>
        </is>
      </c>
      <c r="E318" s="129" t="n">
        <v>1</v>
      </c>
      <c r="F318" s="89" t="n">
        <v>443</v>
      </c>
      <c r="G318" s="89" t="n">
        <v>443</v>
      </c>
      <c r="H318" s="110" t="inlineStr">
        <is>
          <t>Despesa com combustivel e utilização carro dtel</t>
        </is>
      </c>
    </row>
    <row r="319" ht="15" customHeight="1" s="64">
      <c r="A319" s="110" t="inlineStr">
        <is>
          <t>MAIO/2026</t>
        </is>
      </c>
      <c r="B319" s="110" t="inlineStr">
        <is>
          <t>Comercial</t>
        </is>
      </c>
      <c r="C319" s="110" t="inlineStr">
        <is>
          <t>Despesa do coordenador TARCIZIO, pela gestão da equipe</t>
        </is>
      </c>
      <c r="D319" s="110" t="inlineStr">
        <is>
          <t>Solon Araújo</t>
        </is>
      </c>
      <c r="E319" s="129" t="n">
        <v>182</v>
      </c>
      <c r="F319" s="89" t="n">
        <v>12.34</v>
      </c>
      <c r="G319" s="89" t="n">
        <v>2245.88</v>
      </c>
      <c r="H319" s="110" t="inlineStr">
        <is>
          <t>Despesa trabalhista dividida pela quantidade de vendas</t>
        </is>
      </c>
    </row>
    <row r="320" ht="15" customHeight="1" s="64">
      <c r="A320" s="110" t="inlineStr">
        <is>
          <t>MAIO/2026</t>
        </is>
      </c>
      <c r="B320" s="110" t="inlineStr">
        <is>
          <t>Comercial</t>
        </is>
      </c>
      <c r="C320" s="110" t="inlineStr">
        <is>
          <t>Vendas da equipe Dtel porta a porta</t>
        </is>
      </c>
      <c r="D320" s="110" t="inlineStr">
        <is>
          <t>Solon Araújo</t>
        </is>
      </c>
      <c r="E320" s="129" t="n">
        <v>15</v>
      </c>
      <c r="F320" s="89" t="n">
        <v>0</v>
      </c>
      <c r="G320" s="89" t="n">
        <v>0</v>
      </c>
      <c r="H320" s="110" t="inlineStr">
        <is>
          <t>Vendas instaladas</t>
        </is>
      </c>
    </row>
    <row r="321" ht="15" customHeight="1" s="64">
      <c r="A321" s="110" t="inlineStr">
        <is>
          <t>MAIO/2026</t>
        </is>
      </c>
      <c r="B321" s="110" t="inlineStr">
        <is>
          <t>Comercial</t>
        </is>
      </c>
      <c r="C321" s="110" t="inlineStr">
        <is>
          <t>Vendas da equipe Litoral p/ Dtel</t>
        </is>
      </c>
      <c r="D321" s="110" t="inlineStr">
        <is>
          <t>Solon Araújo</t>
        </is>
      </c>
      <c r="E321" s="129" t="n">
        <v>0</v>
      </c>
      <c r="F321" s="89" t="n">
        <v>0</v>
      </c>
      <c r="G321" s="89" t="n">
        <v>0</v>
      </c>
      <c r="H321" s="110" t="inlineStr">
        <is>
          <t>Vendas instaladas</t>
        </is>
      </c>
    </row>
    <row r="322" ht="15" customHeight="1" s="64">
      <c r="A322" s="110" t="inlineStr">
        <is>
          <t>MAIO/2026</t>
        </is>
      </c>
      <c r="B322" s="110" t="inlineStr">
        <is>
          <t>Comercial</t>
        </is>
      </c>
      <c r="C322" s="110" t="inlineStr">
        <is>
          <t>Vendas da equipe Voicenet p/ Solon</t>
        </is>
      </c>
      <c r="D322" s="110" t="inlineStr">
        <is>
          <t>Solon Araújo</t>
        </is>
      </c>
      <c r="E322" s="129" t="n">
        <v>0</v>
      </c>
      <c r="F322" s="89" t="n">
        <v>0</v>
      </c>
      <c r="G322" s="89" t="n">
        <v>0</v>
      </c>
      <c r="H322" s="110" t="inlineStr">
        <is>
          <t>Vendas instaladas</t>
        </is>
      </c>
    </row>
    <row r="323" ht="15" customHeight="1" s="64">
      <c r="A323" s="110" t="inlineStr">
        <is>
          <t>MAIO/2026</t>
        </is>
      </c>
      <c r="B323" s="110" t="inlineStr">
        <is>
          <t>Comercial</t>
        </is>
      </c>
      <c r="C323" s="110" t="inlineStr">
        <is>
          <t>Vendas da equipe da soares e lins para Solon</t>
        </is>
      </c>
      <c r="D323" s="110" t="inlineStr">
        <is>
          <t>Solon Araújo</t>
        </is>
      </c>
      <c r="E323" s="129" t="n">
        <v>0</v>
      </c>
      <c r="F323" s="89" t="n">
        <v>0</v>
      </c>
      <c r="G323" s="89" t="n">
        <v>0</v>
      </c>
      <c r="H323" s="110" t="inlineStr">
        <is>
          <t>Vendas instaladas</t>
        </is>
      </c>
    </row>
    <row r="324" ht="15" customHeight="1" s="64">
      <c r="A324" s="110" t="inlineStr">
        <is>
          <t>MAIO/2026</t>
        </is>
      </c>
      <c r="B324" s="110" t="inlineStr">
        <is>
          <t>Comercial</t>
        </is>
      </c>
      <c r="C324" s="110" t="inlineStr">
        <is>
          <t>Consultas e análises de crédito</t>
        </is>
      </c>
      <c r="D324" s="110" t="inlineStr">
        <is>
          <t>Souza e Silva</t>
        </is>
      </c>
      <c r="E324" s="129" t="n">
        <v>111</v>
      </c>
      <c r="F324" s="89" t="n">
        <v>1.86</v>
      </c>
      <c r="G324" s="89" t="n">
        <v>206.46</v>
      </c>
      <c r="H324" s="110" t="inlineStr">
        <is>
          <t>Vendas cadastradas e consultadas pelo argos (Consultas e analise de credito - Maio26.xlsx)</t>
        </is>
      </c>
    </row>
    <row r="325" ht="15" customHeight="1" s="64">
      <c r="A325" s="110" t="inlineStr">
        <is>
          <t>MAIO/2026</t>
        </is>
      </c>
      <c r="B325" s="110" t="inlineStr">
        <is>
          <t>Comercial</t>
        </is>
      </c>
      <c r="C325" s="110" t="inlineStr">
        <is>
          <t>Consultas e análises de crédito</t>
        </is>
      </c>
      <c r="D325" s="110" t="inlineStr">
        <is>
          <t>Souza e Silva</t>
        </is>
      </c>
      <c r="E325" s="129" t="n">
        <v>111</v>
      </c>
      <c r="F325" s="89" t="n">
        <v>1.86</v>
      </c>
      <c r="G325" s="89" t="n">
        <v>206.46</v>
      </c>
      <c r="H325" s="110" t="inlineStr">
        <is>
          <t>Vendas cadastradas e consultadas pelo argos (Consultas e analise de credito - Maio26.xlsx)</t>
        </is>
      </c>
    </row>
    <row r="326" ht="15" customHeight="1" s="64">
      <c r="A326" s="110" t="inlineStr">
        <is>
          <t>MAIO/2026</t>
        </is>
      </c>
      <c r="B326" s="110" t="inlineStr">
        <is>
          <t>Comercial</t>
        </is>
      </c>
      <c r="C326" s="110" t="inlineStr">
        <is>
          <t>Despesa do consultor BARTOLOMEU</t>
        </is>
      </c>
      <c r="D326" s="110" t="inlineStr">
        <is>
          <t>Souza e Silva</t>
        </is>
      </c>
      <c r="E326" s="129" t="n">
        <v>1</v>
      </c>
      <c r="F326" s="89" t="n">
        <v>383.56</v>
      </c>
      <c r="G326" s="89" t="n">
        <v>383.56</v>
      </c>
      <c r="H326" s="110" t="inlineStr">
        <is>
          <t>Despesa trabalhista e combustível do consultor dividido pelo total de vendas (9691,9772,9805)</t>
        </is>
      </c>
    </row>
    <row r="327" ht="15" customHeight="1" s="64">
      <c r="A327" s="110" t="inlineStr">
        <is>
          <t>MAIO/2026</t>
        </is>
      </c>
      <c r="B327" s="110" t="inlineStr">
        <is>
          <t>Comercial</t>
        </is>
      </c>
      <c r="C327" s="110" t="inlineStr">
        <is>
          <t>Despesa do consultor PAULO MELO</t>
        </is>
      </c>
      <c r="D327" s="110" t="inlineStr">
        <is>
          <t>Souza e Silva</t>
        </is>
      </c>
      <c r="E327" s="129" t="n">
        <v>0</v>
      </c>
      <c r="F327" s="89" t="n">
        <v>0</v>
      </c>
      <c r="G327" s="89" t="n">
        <v>0</v>
      </c>
      <c r="H327" s="110" t="inlineStr">
        <is>
          <t>Despesa trabalhista e combustivel dividida pela quantidade de vendas</t>
        </is>
      </c>
    </row>
    <row r="328" ht="15" customHeight="1" s="64">
      <c r="A328" s="110" t="inlineStr">
        <is>
          <t>MAIO/2026</t>
        </is>
      </c>
      <c r="B328" s="110" t="inlineStr">
        <is>
          <t>Comercial</t>
        </is>
      </c>
      <c r="C328" s="110" t="inlineStr">
        <is>
          <t>Despesa do consultor PEDRO GREGO</t>
        </is>
      </c>
      <c r="D328" s="110" t="inlineStr">
        <is>
          <t>Souza e Silva</t>
        </is>
      </c>
      <c r="E328" s="129" t="n">
        <v>1</v>
      </c>
      <c r="F328" s="89" t="n">
        <v>400.26</v>
      </c>
      <c r="G328" s="89" t="n">
        <v>400.26</v>
      </c>
      <c r="H328" s="110" t="inlineStr">
        <is>
          <t>Despesa trabalhista e combustivel do consultor dividido pelo total de vendas</t>
        </is>
      </c>
    </row>
    <row r="329" ht="15" customHeight="1" s="64">
      <c r="A329" s="110" t="inlineStr">
        <is>
          <t>MAIO/2026</t>
        </is>
      </c>
      <c r="B329" s="110" t="inlineStr">
        <is>
          <t>Comercial</t>
        </is>
      </c>
      <c r="C329" s="110" t="inlineStr">
        <is>
          <t>Despesa do coordenador TARCIZIO, pela gestão da equipe</t>
        </is>
      </c>
      <c r="D329" s="110" t="inlineStr">
        <is>
          <t>Souza e Silva</t>
        </is>
      </c>
      <c r="E329" s="129" t="n">
        <v>1</v>
      </c>
      <c r="F329" s="89" t="n">
        <v>867</v>
      </c>
      <c r="G329" s="89" t="n">
        <v>867</v>
      </c>
      <c r="H329" s="110" t="inlineStr">
        <is>
          <t>Despesa com combustível e utilização carro dtel</t>
        </is>
      </c>
    </row>
    <row r="330" ht="15" customHeight="1" s="64">
      <c r="A330" s="110" t="inlineStr">
        <is>
          <t>MAIO/2026</t>
        </is>
      </c>
      <c r="B330" s="110" t="inlineStr">
        <is>
          <t>Comercial</t>
        </is>
      </c>
      <c r="C330" s="110" t="inlineStr">
        <is>
          <t>Despesa do coordenador TARCIZIO, pela gestão da equipe</t>
        </is>
      </c>
      <c r="D330" s="110" t="inlineStr">
        <is>
          <t>Souza e Silva</t>
        </is>
      </c>
      <c r="E330" s="129" t="n">
        <v>96</v>
      </c>
      <c r="F330" s="89" t="n">
        <v>12.34</v>
      </c>
      <c r="G330" s="89" t="n">
        <v>1184.64</v>
      </c>
      <c r="H330" s="110" t="inlineStr">
        <is>
          <t>Despesa trabalhista dividida pela quantidade de vendas</t>
        </is>
      </c>
    </row>
    <row r="331" ht="15" customHeight="1" s="64">
      <c r="A331" s="110" t="inlineStr">
        <is>
          <t>MAIO/2026</t>
        </is>
      </c>
      <c r="B331" s="110" t="inlineStr">
        <is>
          <t>Comercial</t>
        </is>
      </c>
      <c r="C331" s="110" t="inlineStr">
        <is>
          <t>Vendas da equipe Dtel porta a porta</t>
        </is>
      </c>
      <c r="D331" s="110" t="inlineStr">
        <is>
          <t>Souza e Silva</t>
        </is>
      </c>
      <c r="E331" s="129" t="n">
        <v>1</v>
      </c>
      <c r="F331" s="89" t="n">
        <v>0</v>
      </c>
      <c r="G331" s="89" t="n">
        <v>0</v>
      </c>
      <c r="H331" s="110" t="inlineStr">
        <is>
          <t>Vendas instaladas</t>
        </is>
      </c>
    </row>
    <row r="332" ht="15" customHeight="1" s="64">
      <c r="A332" s="110" t="inlineStr">
        <is>
          <t>MAIO/2026</t>
        </is>
      </c>
      <c r="B332" s="110" t="inlineStr">
        <is>
          <t>Comercial</t>
        </is>
      </c>
      <c r="C332" s="110" t="inlineStr">
        <is>
          <t>Vendas da equipe Souza e silva p/ DTEL</t>
        </is>
      </c>
      <c r="D332" s="110" t="inlineStr">
        <is>
          <t>Souza e Silva</t>
        </is>
      </c>
      <c r="E332" s="129" t="n">
        <v>2</v>
      </c>
      <c r="F332" s="89" t="n">
        <v>0</v>
      </c>
      <c r="G332" s="89" t="n">
        <v>0</v>
      </c>
      <c r="H332" s="110" t="inlineStr">
        <is>
          <t>Vendas instaladas</t>
        </is>
      </c>
    </row>
    <row r="333" ht="15" customHeight="1" s="64">
      <c r="A333" s="110" t="inlineStr">
        <is>
          <t>MAIO/2026</t>
        </is>
      </c>
      <c r="B333" s="110" t="inlineStr">
        <is>
          <t>Comercial</t>
        </is>
      </c>
      <c r="C333" s="110" t="inlineStr">
        <is>
          <t>Comissão de manutenção da Totum</t>
        </is>
      </c>
      <c r="D333" s="110" t="inlineStr">
        <is>
          <t>Voicenet</t>
        </is>
      </c>
      <c r="E333" s="129" t="n">
        <v>1</v>
      </c>
      <c r="F333" s="89" t="n">
        <v>25.5</v>
      </c>
      <c r="G333" s="89" t="n">
        <v>25.5</v>
      </c>
      <c r="H333" s="110" t="inlineStr">
        <is>
          <t>Conselho regional de farmacia do estado de PE</t>
        </is>
      </c>
    </row>
    <row r="334" ht="15" customHeight="1" s="64">
      <c r="A334" s="110" t="inlineStr">
        <is>
          <t>MAIO/2026</t>
        </is>
      </c>
      <c r="B334" s="110" t="inlineStr">
        <is>
          <t>Comercial</t>
        </is>
      </c>
      <c r="C334" s="110" t="inlineStr">
        <is>
          <t>Consultas e análises de crédito</t>
        </is>
      </c>
      <c r="D334" s="110" t="inlineStr">
        <is>
          <t>Voicenet</t>
        </is>
      </c>
      <c r="E334" s="129" t="n">
        <v>285</v>
      </c>
      <c r="F334" s="89" t="n">
        <v>1.86</v>
      </c>
      <c r="G334" s="89" t="n">
        <v>530.1</v>
      </c>
      <c r="H334" s="110" t="inlineStr">
        <is>
          <t>Vendas cadastradas e consultadas pelo argos (Consultas e analise de credito - Maio26.xlsx)</t>
        </is>
      </c>
    </row>
    <row r="335" ht="15" customHeight="1" s="64">
      <c r="A335" s="110" t="inlineStr">
        <is>
          <t>MAIO/2026</t>
        </is>
      </c>
      <c r="B335" s="110" t="inlineStr">
        <is>
          <t>Comercial</t>
        </is>
      </c>
      <c r="C335" s="110" t="inlineStr">
        <is>
          <t>Consultas e análises de crédito</t>
        </is>
      </c>
      <c r="D335" s="110" t="inlineStr">
        <is>
          <t>Voicenet</t>
        </is>
      </c>
      <c r="E335" s="129" t="n">
        <v>0</v>
      </c>
      <c r="F335" s="89" t="n">
        <v>0</v>
      </c>
      <c r="G335" s="89" t="n">
        <v>0</v>
      </c>
      <c r="H335" s="110" t="inlineStr">
        <is>
          <t>Vendas cadastradas e consultadas pelo argos</t>
        </is>
      </c>
    </row>
    <row r="336" ht="15" customHeight="1" s="64">
      <c r="A336" s="110" t="inlineStr">
        <is>
          <t>MAIO/2026</t>
        </is>
      </c>
      <c r="B336" s="110" t="inlineStr">
        <is>
          <t>Comercial</t>
        </is>
      </c>
      <c r="C336" s="110" t="inlineStr">
        <is>
          <t>Consultas e análises de crédito</t>
        </is>
      </c>
      <c r="D336" s="110" t="inlineStr">
        <is>
          <t>Voicenet</t>
        </is>
      </c>
      <c r="E336" s="129" t="n">
        <v>285</v>
      </c>
      <c r="F336" s="89" t="n">
        <v>1.86</v>
      </c>
      <c r="G336" s="89" t="n">
        <v>530.1</v>
      </c>
      <c r="H336" s="110" t="inlineStr">
        <is>
          <t>Vendas cadastradas e consultadas pelo argos (Consultas e analise de credito - Maio26.xlsx)</t>
        </is>
      </c>
    </row>
    <row r="337" ht="15" customHeight="1" s="64">
      <c r="A337" s="110" t="inlineStr">
        <is>
          <t>MAIO/2026</t>
        </is>
      </c>
      <c r="B337" s="110" t="inlineStr">
        <is>
          <t>Comercial</t>
        </is>
      </c>
      <c r="C337" s="110" t="inlineStr">
        <is>
          <t>Despesa do consultor BARTOLOMEU</t>
        </is>
      </c>
      <c r="D337" s="110" t="inlineStr">
        <is>
          <t>Voicenet</t>
        </is>
      </c>
      <c r="E337" s="129" t="n">
        <v>1</v>
      </c>
      <c r="F337" s="89" t="n">
        <v>383.56</v>
      </c>
      <c r="G337" s="89" t="n">
        <v>383.56</v>
      </c>
      <c r="H337" s="110" t="inlineStr">
        <is>
          <t>Despesa trabalhista e combustivel dividida pela quantidade de vendas (cliente 15595)</t>
        </is>
      </c>
    </row>
    <row r="338" ht="15" customHeight="1" s="64">
      <c r="A338" s="110" t="inlineStr">
        <is>
          <t>MAIO/2026</t>
        </is>
      </c>
      <c r="B338" s="110" t="inlineStr">
        <is>
          <t>Comercial</t>
        </is>
      </c>
      <c r="C338" s="110" t="inlineStr">
        <is>
          <t>Despesa do consultor PAULO MELO</t>
        </is>
      </c>
      <c r="D338" s="110" t="inlineStr">
        <is>
          <t>Voicenet</t>
        </is>
      </c>
      <c r="E338" s="129" t="n">
        <v>2</v>
      </c>
      <c r="F338" s="89" t="n">
        <v>338.53</v>
      </c>
      <c r="G338" s="89" t="n">
        <v>677.0599999999999</v>
      </c>
      <c r="H338" s="110" t="inlineStr">
        <is>
          <t>Despesa trabalhista e combustivel do consultor dividido pelo total de vendas(cliente 15826, 15746)</t>
        </is>
      </c>
    </row>
    <row r="339" ht="15" customHeight="1" s="64">
      <c r="A339" s="110" t="inlineStr">
        <is>
          <t>MAIO/2026</t>
        </is>
      </c>
      <c r="B339" s="110" t="inlineStr">
        <is>
          <t>Comercial</t>
        </is>
      </c>
      <c r="C339" s="110" t="inlineStr">
        <is>
          <t>Despesa do consultor PEDRO GREGO</t>
        </is>
      </c>
      <c r="D339" s="110" t="inlineStr">
        <is>
          <t>Voicenet</t>
        </is>
      </c>
      <c r="E339" s="129" t="n">
        <v>2</v>
      </c>
      <c r="F339" s="89" t="n">
        <v>400.26</v>
      </c>
      <c r="G339" s="89" t="n">
        <v>800.52</v>
      </c>
      <c r="H339" s="110" t="inlineStr">
        <is>
          <t>Despesa trabalhista e combustivel dividida pela quantidade de vendas(cliente 15745,15735)</t>
        </is>
      </c>
    </row>
    <row r="340" ht="15" customHeight="1" s="64">
      <c r="A340" s="110" t="inlineStr">
        <is>
          <t>MAIO/2026</t>
        </is>
      </c>
      <c r="B340" s="110" t="inlineStr">
        <is>
          <t>Comercial</t>
        </is>
      </c>
      <c r="C340" s="110" t="inlineStr">
        <is>
          <t>Vendas da equipe Dtel porta a porta</t>
        </is>
      </c>
      <c r="D340" s="110" t="inlineStr">
        <is>
          <t>Voicenet</t>
        </is>
      </c>
      <c r="E340" s="129" t="n">
        <v>4</v>
      </c>
      <c r="F340" s="89" t="n">
        <v>0</v>
      </c>
      <c r="G340" s="89" t="n">
        <v>0</v>
      </c>
      <c r="H340" s="110" t="inlineStr">
        <is>
          <t>Vendas instaladas</t>
        </is>
      </c>
    </row>
    <row r="341" ht="15" customHeight="1" s="64">
      <c r="A341" s="110" t="inlineStr">
        <is>
          <t>MAIO/2026</t>
        </is>
      </c>
      <c r="B341" s="110" t="inlineStr">
        <is>
          <t>Comercial</t>
        </is>
      </c>
      <c r="C341" s="110" t="inlineStr">
        <is>
          <t>Vendas da equipe H&amp;A p/ voice</t>
        </is>
      </c>
      <c r="D341" s="110" t="inlineStr">
        <is>
          <t>Voicenet</t>
        </is>
      </c>
      <c r="E341" s="129" t="n">
        <v>0</v>
      </c>
      <c r="F341" s="89" t="n">
        <v>0</v>
      </c>
      <c r="G341" s="89" t="n">
        <v>0</v>
      </c>
      <c r="H341" s="110" t="inlineStr">
        <is>
          <t>Vendas instaladas</t>
        </is>
      </c>
    </row>
    <row r="342" ht="15" customHeight="1" s="64">
      <c r="A342" s="110" t="inlineStr">
        <is>
          <t>MAIO/2026</t>
        </is>
      </c>
      <c r="B342" s="110" t="inlineStr">
        <is>
          <t>Comercial</t>
        </is>
      </c>
      <c r="C342" s="110" t="inlineStr">
        <is>
          <t>Vendas da equipe Voicenet para Dtel</t>
        </is>
      </c>
      <c r="D342" s="110" t="inlineStr">
        <is>
          <t>Voicenet</t>
        </is>
      </c>
      <c r="E342" s="129" t="n">
        <v>-15</v>
      </c>
      <c r="F342" s="89" t="n">
        <v>0</v>
      </c>
      <c r="G342" s="89" t="n">
        <v>0</v>
      </c>
      <c r="H342" s="110" t="inlineStr">
        <is>
          <t>Vendas instaladas</t>
        </is>
      </c>
    </row>
    <row r="343" ht="15" customHeight="1" s="64">
      <c r="A343" s="110" t="inlineStr">
        <is>
          <t>MAIO/2026</t>
        </is>
      </c>
      <c r="B343" s="110" t="inlineStr">
        <is>
          <t>Comercial</t>
        </is>
      </c>
      <c r="C343" s="110" t="inlineStr">
        <is>
          <t>Vendas da equipe da Voicenet para S &amp; L</t>
        </is>
      </c>
      <c r="D343" s="110" t="inlineStr">
        <is>
          <t>Voicenet</t>
        </is>
      </c>
      <c r="E343" s="129" t="n">
        <v>0</v>
      </c>
      <c r="F343" s="89" t="n">
        <v>0</v>
      </c>
      <c r="G343" s="89" t="n">
        <v>0</v>
      </c>
      <c r="H343" s="110" t="inlineStr">
        <is>
          <t>Vendas instaladas</t>
        </is>
      </c>
    </row>
    <row r="344" ht="15" customHeight="1" s="64">
      <c r="A344" s="110" t="inlineStr">
        <is>
          <t>MAIO/2026</t>
        </is>
      </c>
      <c r="B344" s="110" t="inlineStr">
        <is>
          <t>Comercial</t>
        </is>
      </c>
      <c r="C344" s="110" t="inlineStr">
        <is>
          <t>Vendas da equipe voicenet p/ Solon</t>
        </is>
      </c>
      <c r="D344" s="110" t="inlineStr">
        <is>
          <t>Voicenet</t>
        </is>
      </c>
      <c r="E344" s="129" t="n">
        <v>0</v>
      </c>
      <c r="F344" s="89" t="n">
        <v>0</v>
      </c>
      <c r="G344" s="89" t="n">
        <v>0</v>
      </c>
      <c r="H344" s="110" t="inlineStr">
        <is>
          <t>Vendas instaladas</t>
        </is>
      </c>
    </row>
    <row r="345" ht="15" customHeight="1" s="64">
      <c r="A345" s="110" t="inlineStr">
        <is>
          <t>MAIO/2026</t>
        </is>
      </c>
      <c r="B345" s="110" t="inlineStr">
        <is>
          <t>Configuração</t>
        </is>
      </c>
      <c r="C345" s="110" t="inlineStr">
        <is>
          <t>Serviços de configuração e suporte ao Técnico</t>
        </is>
      </c>
      <c r="D345" s="110" t="inlineStr">
        <is>
          <t>DX2</t>
        </is>
      </c>
      <c r="E345" s="129" t="n">
        <v>6280</v>
      </c>
      <c r="F345" s="89" t="n">
        <v>0.212371943123151</v>
      </c>
      <c r="G345" s="89" t="n">
        <v>1333.69580281339</v>
      </c>
      <c r="H345" s="110" t="inlineStr">
        <is>
          <t>Cálculo por número de clientes ativos</t>
        </is>
      </c>
    </row>
    <row r="346" ht="15" customHeight="1" s="64">
      <c r="A346" s="110" t="inlineStr">
        <is>
          <t>MAIO/2026</t>
        </is>
      </c>
      <c r="B346" s="110" t="inlineStr">
        <is>
          <t>Configuração</t>
        </is>
      </c>
      <c r="C346" s="110" t="inlineStr">
        <is>
          <t>Serviços de configuração e suporte ao Técnico</t>
        </is>
      </c>
      <c r="D346" s="110" t="inlineStr">
        <is>
          <t>H&amp;A</t>
        </is>
      </c>
      <c r="E346" s="129" t="n">
        <v>13402</v>
      </c>
      <c r="F346" s="89" t="n">
        <v>0.212371943123151</v>
      </c>
      <c r="G346" s="89" t="n">
        <v>2846.20878173647</v>
      </c>
      <c r="H346" s="110" t="inlineStr">
        <is>
          <t>Cálculo por número de clientes ativos</t>
        </is>
      </c>
    </row>
    <row r="347" ht="15" customHeight="1" s="64">
      <c r="A347" s="110" t="inlineStr">
        <is>
          <t>MAIO/2026</t>
        </is>
      </c>
      <c r="B347" s="110" t="inlineStr">
        <is>
          <t>Configuração</t>
        </is>
      </c>
      <c r="C347" s="110" t="inlineStr">
        <is>
          <t>Serviços de configuração e suporte ao Técnico</t>
        </is>
      </c>
      <c r="D347" s="110" t="inlineStr">
        <is>
          <t>Soares e Lins</t>
        </is>
      </c>
      <c r="E347" s="129" t="n">
        <v>3650</v>
      </c>
      <c r="F347" s="89" t="n">
        <v>0.212371943123151</v>
      </c>
      <c r="G347" s="89" t="n">
        <v>775.157592399501</v>
      </c>
      <c r="H347" s="110" t="inlineStr">
        <is>
          <t>Cálculo por número de clientes ativos</t>
        </is>
      </c>
    </row>
    <row r="348" ht="15" customHeight="1" s="64">
      <c r="A348" s="110" t="inlineStr">
        <is>
          <t>MAIO/2026</t>
        </is>
      </c>
      <c r="B348" s="110" t="inlineStr">
        <is>
          <t>Configuração</t>
        </is>
      </c>
      <c r="C348" s="110" t="inlineStr">
        <is>
          <t>Serviços de configuração e suporte ao Técnico</t>
        </is>
      </c>
      <c r="D348" s="110" t="inlineStr">
        <is>
          <t>Soares e Silva</t>
        </is>
      </c>
      <c r="E348" s="129" t="n">
        <v>6396</v>
      </c>
      <c r="F348" s="89" t="n">
        <v>0.212371943123151</v>
      </c>
      <c r="G348" s="89" t="n">
        <v>1358.33094821567</v>
      </c>
      <c r="H348" s="110" t="inlineStr">
        <is>
          <t>Cálculo por número de clientes ativos</t>
        </is>
      </c>
    </row>
    <row r="349" ht="15" customHeight="1" s="64">
      <c r="A349" s="110" t="inlineStr">
        <is>
          <t>MAIO/2026</t>
        </is>
      </c>
      <c r="B349" s="110" t="inlineStr">
        <is>
          <t>Configuração</t>
        </is>
      </c>
      <c r="C349" s="110" t="inlineStr">
        <is>
          <t>Serviços de configuração e suporte ao Técnico</t>
        </is>
      </c>
      <c r="D349" s="110" t="inlineStr">
        <is>
          <t>Solon Araújo</t>
        </is>
      </c>
      <c r="E349" s="129" t="n">
        <v>14331</v>
      </c>
      <c r="F349" s="89" t="n">
        <v>0.212371943123151</v>
      </c>
      <c r="G349" s="89" t="n">
        <v>3043.50231689788</v>
      </c>
      <c r="H349" s="110" t="inlineStr">
        <is>
          <t>Cálculo por número de clientes ativos</t>
        </is>
      </c>
    </row>
    <row r="350" ht="15" customHeight="1" s="64">
      <c r="A350" s="110" t="inlineStr">
        <is>
          <t>MAIO/2026</t>
        </is>
      </c>
      <c r="B350" s="110" t="inlineStr">
        <is>
          <t>Configuração</t>
        </is>
      </c>
      <c r="C350" s="110" t="inlineStr">
        <is>
          <t>Serviços de configuração e suporte ao Técnico</t>
        </is>
      </c>
      <c r="D350" s="110" t="inlineStr">
        <is>
          <t>Souza e Silva</t>
        </is>
      </c>
      <c r="E350" s="129" t="n">
        <v>4730</v>
      </c>
      <c r="F350" s="89" t="n">
        <v>0.212371943123151</v>
      </c>
      <c r="G350" s="89" t="n">
        <v>1004.5192909725</v>
      </c>
      <c r="H350" s="110" t="inlineStr">
        <is>
          <t>Cálculo por número de clientes ativos</t>
        </is>
      </c>
    </row>
    <row r="351" ht="15" customHeight="1" s="64">
      <c r="A351" s="110" t="inlineStr">
        <is>
          <t>MAIO/2026</t>
        </is>
      </c>
      <c r="B351" s="110" t="inlineStr">
        <is>
          <t>Configuração</t>
        </is>
      </c>
      <c r="C351" s="110" t="inlineStr">
        <is>
          <t>Serviços de configuração e suporte ao Técnico</t>
        </is>
      </c>
      <c r="D351" s="110" t="inlineStr">
        <is>
          <t>Voicenet</t>
        </is>
      </c>
      <c r="E351" s="129" t="n">
        <v>4782</v>
      </c>
      <c r="F351" s="89" t="n">
        <v>0.212371943123151</v>
      </c>
      <c r="G351" s="89" t="n">
        <v>1015.56263201491</v>
      </c>
      <c r="H351" s="110" t="inlineStr">
        <is>
          <t>Cálculo por número de clientes ativos</t>
        </is>
      </c>
    </row>
    <row r="352" ht="15" customHeight="1" s="64">
      <c r="A352" s="110" t="inlineStr">
        <is>
          <t>MAIO/2026</t>
        </is>
      </c>
      <c r="B352" s="110" t="inlineStr">
        <is>
          <t>Desenvolvimento</t>
        </is>
      </c>
      <c r="C352" s="110" t="inlineStr">
        <is>
          <t>Setor de Desenvolvimento</t>
        </is>
      </c>
      <c r="D352" s="110" t="inlineStr">
        <is>
          <t>H&amp;A</t>
        </is>
      </c>
      <c r="E352" s="129" t="n">
        <v>13402</v>
      </c>
      <c r="F352" s="89" t="n">
        <v>0.0959225828032635</v>
      </c>
      <c r="G352" s="89" t="n">
        <v>1285.554455</v>
      </c>
      <c r="H352" s="110" t="inlineStr">
        <is>
          <t>Cálculo por número de clientes ativos</t>
        </is>
      </c>
    </row>
    <row r="353" ht="15" customHeight="1" s="64">
      <c r="A353" s="110" t="inlineStr">
        <is>
          <t>MAIO/2026</t>
        </is>
      </c>
      <c r="B353" s="110" t="inlineStr">
        <is>
          <t>Engenharia</t>
        </is>
      </c>
      <c r="C353" s="110" t="inlineStr">
        <is>
          <t>Uso mútuo de Postes</t>
        </is>
      </c>
      <c r="D353" s="110" t="inlineStr">
        <is>
          <t>DX2</t>
        </is>
      </c>
      <c r="E353" s="129" t="n">
        <v>1</v>
      </c>
      <c r="F353" s="89" t="n">
        <v>9145.68</v>
      </c>
      <c r="G353" s="89" t="n">
        <v>9145.68</v>
      </c>
      <c r="H353" s="110" t="inlineStr">
        <is>
          <t>Contrato das empresas que está em nome da Dtel</t>
        </is>
      </c>
    </row>
    <row r="354" ht="15" customHeight="1" s="64">
      <c r="A354" s="110" t="inlineStr">
        <is>
          <t>MAIO/2026</t>
        </is>
      </c>
      <c r="B354" s="110" t="inlineStr">
        <is>
          <t>Engenharia</t>
        </is>
      </c>
      <c r="C354" s="110" t="inlineStr">
        <is>
          <t>Uso mútuo de Postes</t>
        </is>
      </c>
      <c r="D354" s="110" t="inlineStr">
        <is>
          <t>Soares e Lins</t>
        </is>
      </c>
      <c r="E354" s="129" t="n">
        <v>1</v>
      </c>
      <c r="F354" s="89" t="n">
        <v>3372.11</v>
      </c>
      <c r="G354" s="89" t="n">
        <v>3372.11</v>
      </c>
      <c r="H354" s="110" t="inlineStr">
        <is>
          <t>Contrato das empresas que está em nome da Dtel</t>
        </is>
      </c>
    </row>
    <row r="355" ht="15" customHeight="1" s="64">
      <c r="A355" s="110" t="inlineStr">
        <is>
          <t>MAIO/2026</t>
        </is>
      </c>
      <c r="B355" s="110" t="inlineStr">
        <is>
          <t>Engenharia</t>
        </is>
      </c>
      <c r="C355" s="110" t="inlineStr">
        <is>
          <t>Uso mútuo de Postes</t>
        </is>
      </c>
      <c r="D355" s="110" t="inlineStr">
        <is>
          <t>Souza e Silva</t>
        </is>
      </c>
      <c r="E355" s="129" t="n">
        <v>1</v>
      </c>
      <c r="F355" s="89" t="n">
        <v>15695.77</v>
      </c>
      <c r="G355" s="89" t="n">
        <v>15695.77</v>
      </c>
      <c r="H355" s="110" t="inlineStr">
        <is>
          <t>Contrato das empresas que está em nome da Dtel</t>
        </is>
      </c>
    </row>
    <row r="356" ht="15" customHeight="1" s="64">
      <c r="A356" s="110" t="inlineStr">
        <is>
          <t>MAIO/2026</t>
        </is>
      </c>
      <c r="B356" s="110" t="inlineStr">
        <is>
          <t>Engenharia</t>
        </is>
      </c>
      <c r="C356" s="110" t="inlineStr">
        <is>
          <t>Despesas da equipe de Engenharia</t>
        </is>
      </c>
      <c r="D356" s="110" t="inlineStr">
        <is>
          <t>Voicenet</t>
        </is>
      </c>
      <c r="E356" s="129" t="n">
        <v>0</v>
      </c>
      <c r="F356" s="89" t="n">
        <v>0</v>
      </c>
      <c r="G356" s="89" t="n">
        <v>0</v>
      </c>
      <c r="H356" s="110" t="inlineStr">
        <is>
          <t>Combustível, alimentação</t>
        </is>
      </c>
    </row>
    <row r="357" ht="15" customHeight="1" s="64">
      <c r="A357" s="110" t="inlineStr">
        <is>
          <t>MAIO/2026</t>
        </is>
      </c>
      <c r="B357" s="110" t="inlineStr">
        <is>
          <t>Engenharia</t>
        </is>
      </c>
      <c r="C357" s="110" t="inlineStr">
        <is>
          <t>Manutenção predial</t>
        </is>
      </c>
      <c r="D357" s="110" t="inlineStr">
        <is>
          <t>Voicenet</t>
        </is>
      </c>
      <c r="E357" s="129" t="n">
        <v>1</v>
      </c>
      <c r="F357" s="89" t="n">
        <v>22320</v>
      </c>
      <c r="G357" s="89" t="n">
        <v>22320</v>
      </c>
      <c r="H357" s="110" t="inlineStr">
        <is>
          <t>Serviços executados em projeto neoenergia (800 pontos)</t>
        </is>
      </c>
    </row>
    <row r="358" ht="15" customHeight="1" s="64">
      <c r="A358" s="110" t="inlineStr">
        <is>
          <t>MAIO/2026</t>
        </is>
      </c>
      <c r="B358" s="110" t="inlineStr">
        <is>
          <t>Estoque</t>
        </is>
      </c>
      <c r="C358" s="110" t="inlineStr">
        <is>
          <t>Serviços realizados pelo estoque</t>
        </is>
      </c>
      <c r="D358" s="110" t="inlineStr">
        <is>
          <t>DX2</t>
        </is>
      </c>
      <c r="E358" s="129" t="n">
        <v>1</v>
      </c>
      <c r="F358" s="89" t="n">
        <v>676.8</v>
      </c>
      <c r="G358" s="89" t="n">
        <v>676.8</v>
      </c>
      <c r="H358" s="110" t="inlineStr">
        <is>
          <t>Serviços de marcação de equipamentos</t>
        </is>
      </c>
    </row>
    <row r="359" ht="15" customHeight="1" s="64">
      <c r="A359" s="110" t="inlineStr">
        <is>
          <t>MAIO/2026</t>
        </is>
      </c>
      <c r="B359" s="110" t="inlineStr">
        <is>
          <t>Estoque</t>
        </is>
      </c>
      <c r="C359" s="110" t="inlineStr">
        <is>
          <t>Serviços realizados pelo estoque</t>
        </is>
      </c>
      <c r="D359" s="110" t="inlineStr">
        <is>
          <t>Soares e Lins</t>
        </is>
      </c>
      <c r="E359" s="129" t="n">
        <v>1</v>
      </c>
      <c r="F359" s="89" t="n">
        <v>676.8</v>
      </c>
      <c r="G359" s="89" t="n">
        <v>676.8</v>
      </c>
      <c r="H359" s="110" t="inlineStr">
        <is>
          <t>Serviços de marcação de equipamentos</t>
        </is>
      </c>
    </row>
    <row r="360" ht="15" customHeight="1" s="64">
      <c r="A360" s="110" t="inlineStr">
        <is>
          <t>MAIO/2026</t>
        </is>
      </c>
      <c r="B360" s="110" t="inlineStr">
        <is>
          <t>Estoque</t>
        </is>
      </c>
      <c r="C360" s="110" t="inlineStr">
        <is>
          <t>Serviços realizados pelo estoque</t>
        </is>
      </c>
      <c r="D360" s="110" t="inlineStr">
        <is>
          <t>Soares e Silva</t>
        </is>
      </c>
      <c r="E360" s="129" t="n">
        <v>1</v>
      </c>
      <c r="F360" s="89" t="n">
        <v>676.8</v>
      </c>
      <c r="G360" s="89" t="n">
        <v>676.8</v>
      </c>
      <c r="H360" s="110" t="inlineStr">
        <is>
          <t>Horas trabalhas em serviços realizado da oficina Dtel p/ soares e silva</t>
        </is>
      </c>
    </row>
    <row r="361" ht="15" customHeight="1" s="64">
      <c r="A361" s="110" t="inlineStr">
        <is>
          <t>MAIO/2026</t>
        </is>
      </c>
      <c r="B361" s="110" t="inlineStr">
        <is>
          <t>Estoque</t>
        </is>
      </c>
      <c r="C361" s="110" t="inlineStr">
        <is>
          <t>Serviços realizados pelo estoque</t>
        </is>
      </c>
      <c r="D361" s="110" t="inlineStr">
        <is>
          <t>Soares e Silva</t>
        </is>
      </c>
      <c r="E361" s="129" t="n">
        <v>1</v>
      </c>
      <c r="F361" s="89" t="n">
        <v>676.8</v>
      </c>
      <c r="G361" s="89" t="n">
        <v>676.8</v>
      </c>
      <c r="H361" s="110" t="inlineStr">
        <is>
          <t>Serviços de marcação de equipamentos</t>
        </is>
      </c>
    </row>
    <row r="362" ht="15" customHeight="1" s="64">
      <c r="A362" s="110" t="inlineStr">
        <is>
          <t>MAIO/2026</t>
        </is>
      </c>
      <c r="B362" s="110" t="inlineStr">
        <is>
          <t>Estoque</t>
        </is>
      </c>
      <c r="C362" s="110" t="inlineStr">
        <is>
          <t>Serviços realizados pelo estoque</t>
        </is>
      </c>
      <c r="D362" s="110" t="inlineStr">
        <is>
          <t>Solon Araújo</t>
        </is>
      </c>
      <c r="E362" s="129" t="n">
        <v>1</v>
      </c>
      <c r="F362" s="89" t="n">
        <v>676.8</v>
      </c>
      <c r="G362" s="89" t="n">
        <v>676.8</v>
      </c>
      <c r="H362" s="110" t="inlineStr">
        <is>
          <t>Horas trabalhas em serviços realizado da oficina Dtel p/ litoral</t>
        </is>
      </c>
    </row>
    <row r="363" ht="15" customHeight="1" s="64">
      <c r="A363" s="110" t="inlineStr">
        <is>
          <t>MAIO/2026</t>
        </is>
      </c>
      <c r="B363" s="110" t="inlineStr">
        <is>
          <t>Estoque</t>
        </is>
      </c>
      <c r="C363" s="110" t="inlineStr">
        <is>
          <t>Serviços realizados pelo estoque</t>
        </is>
      </c>
      <c r="D363" s="110" t="inlineStr">
        <is>
          <t>Solon Araújo</t>
        </is>
      </c>
      <c r="E363" s="129" t="n">
        <v>1</v>
      </c>
      <c r="F363" s="89" t="n">
        <v>676.8</v>
      </c>
      <c r="G363" s="89" t="n">
        <v>676.8</v>
      </c>
      <c r="H363" s="110" t="inlineStr">
        <is>
          <t>Serviços de marcação de equipamentos</t>
        </is>
      </c>
    </row>
    <row r="364" ht="15" customHeight="1" s="64">
      <c r="A364" s="110" t="inlineStr">
        <is>
          <t>MAIO/2026</t>
        </is>
      </c>
      <c r="B364" s="110" t="inlineStr">
        <is>
          <t>Estoque</t>
        </is>
      </c>
      <c r="C364" s="110" t="inlineStr">
        <is>
          <t>Serviços realizados pelo estoque</t>
        </is>
      </c>
      <c r="D364" s="110" t="inlineStr">
        <is>
          <t>Souza e Silva</t>
        </is>
      </c>
      <c r="E364" s="129" t="n">
        <v>1</v>
      </c>
      <c r="F364" s="89" t="n">
        <v>676.8</v>
      </c>
      <c r="G364" s="89" t="n">
        <v>676.8</v>
      </c>
      <c r="H364" s="110" t="inlineStr">
        <is>
          <t>Serviços de marcação de equipamentos</t>
        </is>
      </c>
    </row>
    <row r="365" ht="15" customHeight="1" s="64">
      <c r="A365" s="110" t="inlineStr">
        <is>
          <t>MAIO/2026</t>
        </is>
      </c>
      <c r="B365" s="110" t="inlineStr">
        <is>
          <t>Estoque</t>
        </is>
      </c>
      <c r="C365" s="110" t="inlineStr">
        <is>
          <t>Serviços realizados pelo estoque</t>
        </is>
      </c>
      <c r="D365" s="110" t="inlineStr">
        <is>
          <t>Voicenet</t>
        </is>
      </c>
      <c r="E365" s="129" t="n">
        <v>1</v>
      </c>
      <c r="F365" s="89" t="n">
        <v>676.8</v>
      </c>
      <c r="G365" s="89" t="n">
        <v>676.8</v>
      </c>
      <c r="H365" s="110" t="inlineStr">
        <is>
          <t>Serviços de marcação de equipamentos</t>
        </is>
      </c>
    </row>
    <row r="366" ht="15" customHeight="1" s="64">
      <c r="A366" s="110" t="inlineStr">
        <is>
          <t>MAIO/2026</t>
        </is>
      </c>
      <c r="B366" s="110" t="inlineStr">
        <is>
          <t>Frota</t>
        </is>
      </c>
      <c r="C366" s="110" t="inlineStr">
        <is>
          <t>Abastecimento</t>
        </is>
      </c>
      <c r="D366" s="110" t="inlineStr">
        <is>
          <t>DX2</t>
        </is>
      </c>
      <c r="E366" s="129" t="n">
        <v>0</v>
      </c>
      <c r="F366" s="89" t="n">
        <v>0</v>
      </c>
      <c r="G366" s="89" t="n">
        <v>0</v>
      </c>
      <c r="H366" s="110" t="inlineStr">
        <is>
          <t>Abastecimento da van da dx2 com cartao Dtel</t>
        </is>
      </c>
    </row>
    <row r="367" ht="15" customHeight="1" s="64">
      <c r="A367" s="110" t="inlineStr">
        <is>
          <t>MAIO/2026</t>
        </is>
      </c>
      <c r="B367" s="110" t="inlineStr">
        <is>
          <t>Frota</t>
        </is>
      </c>
      <c r="C367" s="110" t="inlineStr">
        <is>
          <t>Locação de veículos</t>
        </is>
      </c>
      <c r="D367" s="110" t="inlineStr">
        <is>
          <t>DX2</t>
        </is>
      </c>
      <c r="E367" s="129" t="n">
        <v>0</v>
      </c>
      <c r="F367" s="89" t="n">
        <v>0</v>
      </c>
      <c r="G367" s="89" t="n">
        <v>0</v>
      </c>
      <c r="H367" s="110" t="inlineStr">
        <is>
          <t>Veiculos Dtel emprestado para serviços na DX2 (2 carros)</t>
        </is>
      </c>
    </row>
    <row r="368" ht="15" customHeight="1" s="64">
      <c r="A368" s="110" t="inlineStr">
        <is>
          <t>MAIO/2026</t>
        </is>
      </c>
      <c r="B368" s="110" t="inlineStr">
        <is>
          <t>Frota</t>
        </is>
      </c>
      <c r="C368" s="110" t="inlineStr">
        <is>
          <t>Rastreamento veicular</t>
        </is>
      </c>
      <c r="D368" s="110" t="inlineStr">
        <is>
          <t>DX2</t>
        </is>
      </c>
      <c r="E368" s="129" t="n">
        <v>10</v>
      </c>
      <c r="F368" s="89" t="n">
        <v>20</v>
      </c>
      <c r="G368" s="89" t="n">
        <v>200</v>
      </c>
      <c r="H368" s="110" t="inlineStr">
        <is>
          <t>Rastreamento dos veículos</t>
        </is>
      </c>
    </row>
    <row r="369" ht="15" customHeight="1" s="64">
      <c r="A369" s="110" t="inlineStr">
        <is>
          <t>MAIO/2026</t>
        </is>
      </c>
      <c r="B369" s="110" t="inlineStr">
        <is>
          <t>Frota</t>
        </is>
      </c>
      <c r="C369" s="110" t="inlineStr">
        <is>
          <t>Transporte de produtos</t>
        </is>
      </c>
      <c r="D369" s="110" t="inlineStr">
        <is>
          <t>DX2</t>
        </is>
      </c>
      <c r="E369" s="129" t="n">
        <v>1</v>
      </c>
      <c r="F369" s="89" t="n">
        <v>745.21</v>
      </c>
      <c r="G369" s="89" t="n">
        <v>745.21</v>
      </c>
      <c r="H369" s="110" t="inlineStr">
        <is>
          <t>Transportes entre CD01 e empresas no rateio da rota</t>
        </is>
      </c>
    </row>
    <row r="370" ht="15" customHeight="1" s="64">
      <c r="A370" s="110" t="inlineStr">
        <is>
          <t>MAIO/2026</t>
        </is>
      </c>
      <c r="B370" s="110" t="inlineStr">
        <is>
          <t>Frota</t>
        </is>
      </c>
      <c r="C370" s="110" t="inlineStr">
        <is>
          <t>Troca de Oleo e Filtro</t>
        </is>
      </c>
      <c r="D370" s="110" t="inlineStr">
        <is>
          <t>DX2</t>
        </is>
      </c>
      <c r="E370" s="129" t="n">
        <v>0</v>
      </c>
      <c r="F370" s="89" t="n">
        <v>0</v>
      </c>
      <c r="G370" s="89" t="n">
        <v>0</v>
      </c>
      <c r="H370" s="110" t="inlineStr">
        <is>
          <t>Manutenção veicular</t>
        </is>
      </c>
    </row>
    <row r="371" ht="15" customHeight="1" s="64">
      <c r="A371" s="110" t="inlineStr">
        <is>
          <t>MAIO/2026</t>
        </is>
      </c>
      <c r="B371" s="110" t="inlineStr">
        <is>
          <t>Frota</t>
        </is>
      </c>
      <c r="C371" s="110" t="inlineStr">
        <is>
          <t>Transporte de produtos</t>
        </is>
      </c>
      <c r="D371" s="110" t="inlineStr">
        <is>
          <t>H&amp;A</t>
        </is>
      </c>
      <c r="E371" s="129" t="n">
        <v>0</v>
      </c>
      <c r="F371" s="89" t="n">
        <v>0</v>
      </c>
      <c r="G371" s="89" t="n">
        <v>0</v>
      </c>
      <c r="H371" s="110" t="inlineStr">
        <is>
          <t>Transportes entre CD01 e empresas no rateio da rota</t>
        </is>
      </c>
    </row>
    <row r="372" ht="15" customHeight="1" s="64">
      <c r="A372" s="110" t="inlineStr">
        <is>
          <t>MAIO/2026</t>
        </is>
      </c>
      <c r="B372" s="110" t="inlineStr">
        <is>
          <t>Frota</t>
        </is>
      </c>
      <c r="C372" s="110" t="inlineStr">
        <is>
          <t>Rastreamento veicular</t>
        </is>
      </c>
      <c r="D372" s="110" t="inlineStr">
        <is>
          <t>Soares e Lins</t>
        </is>
      </c>
      <c r="E372" s="129" t="n">
        <v>3</v>
      </c>
      <c r="F372" s="89" t="n">
        <v>20</v>
      </c>
      <c r="G372" s="89" t="n">
        <v>60</v>
      </c>
      <c r="H372" s="110" t="inlineStr">
        <is>
          <t>Rastreamento dos veículos</t>
        </is>
      </c>
    </row>
    <row r="373" ht="15" customHeight="1" s="64">
      <c r="A373" s="110" t="inlineStr">
        <is>
          <t>MAIO/2026</t>
        </is>
      </c>
      <c r="B373" s="110" t="inlineStr">
        <is>
          <t>Frota</t>
        </is>
      </c>
      <c r="C373" s="110" t="inlineStr">
        <is>
          <t>Transporte de produtos</t>
        </is>
      </c>
      <c r="D373" s="110" t="inlineStr">
        <is>
          <t>Soares e Lins</t>
        </is>
      </c>
      <c r="E373" s="129" t="n">
        <v>1</v>
      </c>
      <c r="F373" s="89" t="n">
        <v>373.15</v>
      </c>
      <c r="G373" s="89" t="n">
        <v>373.15</v>
      </c>
      <c r="H373" s="110" t="inlineStr">
        <is>
          <t>Transportes entre CD01 e empresas no rateio da rota</t>
        </is>
      </c>
    </row>
    <row r="374" ht="15" customHeight="1" s="64">
      <c r="A374" s="110" t="inlineStr">
        <is>
          <t>MAIO/2026</t>
        </is>
      </c>
      <c r="B374" s="110" t="inlineStr">
        <is>
          <t>Frota</t>
        </is>
      </c>
      <c r="C374" s="110" t="inlineStr">
        <is>
          <t>Troca de Oleo e Filtro</t>
        </is>
      </c>
      <c r="D374" s="110" t="inlineStr">
        <is>
          <t>Soares e Lins</t>
        </is>
      </c>
      <c r="E374" s="129" t="n">
        <v>0</v>
      </c>
      <c r="F374" s="89" t="n">
        <v>0</v>
      </c>
      <c r="G374" s="89" t="n">
        <v>0</v>
      </c>
      <c r="H374" s="110" t="inlineStr">
        <is>
          <t>Manutenção veicular</t>
        </is>
      </c>
    </row>
    <row r="375" ht="15" customHeight="1" s="64">
      <c r="A375" s="110" t="inlineStr">
        <is>
          <t>MAIO/2026</t>
        </is>
      </c>
      <c r="B375" s="110" t="inlineStr">
        <is>
          <t>Frota</t>
        </is>
      </c>
      <c r="C375" s="110" t="inlineStr">
        <is>
          <t>Abastecimento</t>
        </is>
      </c>
      <c r="D375" s="110" t="inlineStr">
        <is>
          <t>Soares e Silva</t>
        </is>
      </c>
      <c r="E375" s="129" t="n">
        <v>0</v>
      </c>
      <c r="F375" s="89" t="n">
        <v>0</v>
      </c>
      <c r="G375" s="89" t="n">
        <v>0</v>
      </c>
      <c r="H375" s="110" t="inlineStr">
        <is>
          <t>Abastecimento de 2 veiculos</t>
        </is>
      </c>
    </row>
    <row r="376" ht="15" customHeight="1" s="64">
      <c r="A376" s="110" t="inlineStr">
        <is>
          <t>MAIO/2026</t>
        </is>
      </c>
      <c r="B376" s="110" t="inlineStr">
        <is>
          <t>Frota</t>
        </is>
      </c>
      <c r="C376" s="110" t="inlineStr">
        <is>
          <t>Locação de veículos</t>
        </is>
      </c>
      <c r="D376" s="110" t="inlineStr">
        <is>
          <t>Soares e Silva</t>
        </is>
      </c>
      <c r="E376" s="129" t="n">
        <v>0</v>
      </c>
      <c r="F376" s="89" t="n">
        <v>0</v>
      </c>
      <c r="G376" s="89" t="n">
        <v>0</v>
      </c>
      <c r="H376" s="110" t="inlineStr">
        <is>
          <t>Veiculos Dtel emprestado para serviços 2 carros</t>
        </is>
      </c>
    </row>
    <row r="377" ht="15" customHeight="1" s="64">
      <c r="A377" s="110" t="inlineStr">
        <is>
          <t>MAIO/2026</t>
        </is>
      </c>
      <c r="B377" s="110" t="inlineStr">
        <is>
          <t>Frota</t>
        </is>
      </c>
      <c r="C377" s="110" t="inlineStr">
        <is>
          <t>Manutenção de veiculo</t>
        </is>
      </c>
      <c r="D377" s="110" t="inlineStr">
        <is>
          <t>Soares e Silva</t>
        </is>
      </c>
      <c r="E377" s="129" t="n">
        <v>0</v>
      </c>
      <c r="F377" s="89" t="n">
        <v>0</v>
      </c>
      <c r="G377" s="89" t="n">
        <v>0</v>
      </c>
      <c r="H377" s="110" t="inlineStr">
        <is>
          <t>Manutenção veicular</t>
        </is>
      </c>
    </row>
    <row r="378" ht="15" customHeight="1" s="64">
      <c r="A378" s="110" t="inlineStr">
        <is>
          <t>MAIO/2026</t>
        </is>
      </c>
      <c r="B378" s="110" t="inlineStr">
        <is>
          <t>Frota</t>
        </is>
      </c>
      <c r="C378" s="110" t="inlineStr">
        <is>
          <t>Rastreamento veicular</t>
        </is>
      </c>
      <c r="D378" s="110" t="inlineStr">
        <is>
          <t>Soares e Silva</t>
        </is>
      </c>
      <c r="E378" s="129" t="n">
        <v>13</v>
      </c>
      <c r="F378" s="89" t="n">
        <v>20</v>
      </c>
      <c r="G378" s="89" t="n">
        <v>260</v>
      </c>
      <c r="H378" s="110" t="inlineStr">
        <is>
          <t>Rastreamento dos veículos</t>
        </is>
      </c>
    </row>
    <row r="379" ht="15" customHeight="1" s="64">
      <c r="A379" s="110" t="inlineStr">
        <is>
          <t>MAIO/2026</t>
        </is>
      </c>
      <c r="B379" s="110" t="inlineStr">
        <is>
          <t>Frota</t>
        </is>
      </c>
      <c r="C379" s="110" t="inlineStr">
        <is>
          <t>Transporte de produtos</t>
        </is>
      </c>
      <c r="D379" s="110" t="inlineStr">
        <is>
          <t>Soares e Silva</t>
        </is>
      </c>
      <c r="E379" s="129" t="n">
        <v>0</v>
      </c>
      <c r="F379" s="89" t="n">
        <v>0</v>
      </c>
      <c r="G379" s="89" t="n">
        <v>0</v>
      </c>
      <c r="H379" s="110" t="inlineStr">
        <is>
          <t>Transportes entre CD01 e empresas no rateio da rota</t>
        </is>
      </c>
    </row>
    <row r="380" ht="15" customHeight="1" s="64">
      <c r="A380" s="110" t="inlineStr">
        <is>
          <t>MAIO/2026</t>
        </is>
      </c>
      <c r="B380" s="110" t="inlineStr">
        <is>
          <t>Frota</t>
        </is>
      </c>
      <c r="C380" s="110" t="inlineStr">
        <is>
          <t>Troca de Oleo e Filtro</t>
        </is>
      </c>
      <c r="D380" s="110" t="inlineStr">
        <is>
          <t>Soares e Silva</t>
        </is>
      </c>
      <c r="E380" s="129" t="n">
        <v>0</v>
      </c>
      <c r="F380" s="89" t="n">
        <v>0</v>
      </c>
      <c r="G380" s="89" t="n">
        <v>0</v>
      </c>
      <c r="H380" s="110" t="inlineStr">
        <is>
          <t>Manutenção veicular</t>
        </is>
      </c>
    </row>
    <row r="381" ht="15" customHeight="1" s="64">
      <c r="A381" s="110" t="inlineStr">
        <is>
          <t>MAIO/2026</t>
        </is>
      </c>
      <c r="B381" s="110" t="inlineStr">
        <is>
          <t>Frota</t>
        </is>
      </c>
      <c r="C381" s="110" t="inlineStr">
        <is>
          <t>Rastreamento veicular</t>
        </is>
      </c>
      <c r="D381" s="110" t="inlineStr">
        <is>
          <t>Solon Araújo</t>
        </is>
      </c>
      <c r="E381" s="129" t="n">
        <v>19</v>
      </c>
      <c r="F381" s="89" t="n">
        <v>20</v>
      </c>
      <c r="G381" s="89" t="n">
        <v>380</v>
      </c>
      <c r="H381" s="110" t="inlineStr">
        <is>
          <t>Rastreamento dos veículos</t>
        </is>
      </c>
    </row>
    <row r="382" ht="15" customHeight="1" s="64">
      <c r="A382" s="110" t="inlineStr">
        <is>
          <t>MAIO/2026</t>
        </is>
      </c>
      <c r="B382" s="110" t="inlineStr">
        <is>
          <t>Frota</t>
        </is>
      </c>
      <c r="C382" s="110" t="inlineStr">
        <is>
          <t>Transporte de produtos</t>
        </is>
      </c>
      <c r="D382" s="110" t="inlineStr">
        <is>
          <t>Solon Araújo</t>
        </is>
      </c>
      <c r="E382" s="129" t="n">
        <v>1</v>
      </c>
      <c r="F382" s="89" t="n">
        <v>1381.14</v>
      </c>
      <c r="G382" s="89" t="n">
        <v>1381.14</v>
      </c>
      <c r="H382" s="110" t="inlineStr">
        <is>
          <t>Transportes entre CD01 e empresas no rateio da rota</t>
        </is>
      </c>
    </row>
    <row r="383" ht="15" customHeight="1" s="64">
      <c r="A383" s="110" t="inlineStr">
        <is>
          <t>MAIO/2026</t>
        </is>
      </c>
      <c r="B383" s="110" t="inlineStr">
        <is>
          <t>Frota</t>
        </is>
      </c>
      <c r="C383" s="110" t="inlineStr">
        <is>
          <t>Troca de Óleo e Filtro</t>
        </is>
      </c>
      <c r="D383" s="110" t="inlineStr">
        <is>
          <t>Solon Araújo</t>
        </is>
      </c>
      <c r="E383" s="129" t="n">
        <v>0</v>
      </c>
      <c r="F383" s="89" t="n">
        <v>0</v>
      </c>
      <c r="G383" s="89" t="n">
        <v>0</v>
      </c>
      <c r="H383" s="110" t="inlineStr">
        <is>
          <t>Manutenção veicular</t>
        </is>
      </c>
    </row>
    <row r="384" ht="15" customHeight="1" s="64">
      <c r="A384" s="110" t="inlineStr">
        <is>
          <t>MAIO/2026</t>
        </is>
      </c>
      <c r="B384" s="110" t="inlineStr">
        <is>
          <t>Frota</t>
        </is>
      </c>
      <c r="C384" s="110" t="inlineStr">
        <is>
          <t>Manutenção de veiculo</t>
        </is>
      </c>
      <c r="D384" s="110" t="inlineStr">
        <is>
          <t>Souza e Silva</t>
        </is>
      </c>
      <c r="E384" s="129" t="n">
        <v>0</v>
      </c>
      <c r="F384" s="89" t="n">
        <v>0</v>
      </c>
      <c r="G384" s="89" t="n">
        <v>0</v>
      </c>
      <c r="H384" s="110" t="inlineStr">
        <is>
          <t>Reboque de carro</t>
        </is>
      </c>
    </row>
    <row r="385" ht="15" customHeight="1" s="64">
      <c r="A385" s="110" t="inlineStr">
        <is>
          <t>MAIO/2026</t>
        </is>
      </c>
      <c r="B385" s="110" t="inlineStr">
        <is>
          <t>Frota</t>
        </is>
      </c>
      <c r="C385" s="110" t="inlineStr">
        <is>
          <t>Rastreamento veicular</t>
        </is>
      </c>
      <c r="D385" s="110" t="inlineStr">
        <is>
          <t>Souza e Silva</t>
        </is>
      </c>
      <c r="E385" s="129" t="n">
        <v>4</v>
      </c>
      <c r="F385" s="89" t="n">
        <v>20</v>
      </c>
      <c r="G385" s="89" t="n">
        <v>80</v>
      </c>
      <c r="H385" s="110" t="inlineStr">
        <is>
          <t>Rastreamento dos veículos</t>
        </is>
      </c>
    </row>
    <row r="386" ht="15" customHeight="1" s="64">
      <c r="A386" s="110" t="inlineStr">
        <is>
          <t>MAIO/2026</t>
        </is>
      </c>
      <c r="B386" s="110" t="inlineStr">
        <is>
          <t>Frota</t>
        </is>
      </c>
      <c r="C386" s="110" t="inlineStr">
        <is>
          <t>Transporte de produtos</t>
        </is>
      </c>
      <c r="D386" s="110" t="inlineStr">
        <is>
          <t>Souza e Silva</t>
        </is>
      </c>
      <c r="E386" s="129" t="n">
        <v>0</v>
      </c>
      <c r="F386" s="89" t="n">
        <v>0</v>
      </c>
      <c r="G386" s="89" t="n">
        <v>0</v>
      </c>
      <c r="H386" s="110" t="inlineStr">
        <is>
          <t>Transportes entre CD01 e empresas no rateio da rota</t>
        </is>
      </c>
    </row>
    <row r="387" ht="15" customHeight="1" s="64">
      <c r="A387" s="110" t="inlineStr">
        <is>
          <t>MAIO/2026</t>
        </is>
      </c>
      <c r="B387" s="110" t="inlineStr">
        <is>
          <t>Frota</t>
        </is>
      </c>
      <c r="C387" s="110" t="inlineStr">
        <is>
          <t>Troca de Óleo e Filtro</t>
        </is>
      </c>
      <c r="D387" s="110" t="inlineStr">
        <is>
          <t>Souza e Silva</t>
        </is>
      </c>
      <c r="E387" s="129" t="n">
        <v>0</v>
      </c>
      <c r="F387" s="89" t="n">
        <v>0</v>
      </c>
      <c r="G387" s="89" t="n">
        <v>0</v>
      </c>
      <c r="H387" s="110" t="inlineStr">
        <is>
          <t>Manutenção veicular</t>
        </is>
      </c>
    </row>
    <row r="388" ht="15" customHeight="1" s="64">
      <c r="A388" s="110" t="inlineStr">
        <is>
          <t>MAIO/2026</t>
        </is>
      </c>
      <c r="B388" s="110" t="inlineStr">
        <is>
          <t>Frota</t>
        </is>
      </c>
      <c r="C388" s="110" t="inlineStr">
        <is>
          <t>Abastecimento</t>
        </is>
      </c>
      <c r="D388" s="110" t="inlineStr">
        <is>
          <t>Voicenet</t>
        </is>
      </c>
      <c r="E388" s="129" t="n">
        <v>0</v>
      </c>
      <c r="F388" s="89" t="n">
        <v>0</v>
      </c>
      <c r="G388" s="89" t="n">
        <v>0</v>
      </c>
      <c r="H388" s="110" t="inlineStr">
        <is>
          <t>Abastecimento de veiculos</t>
        </is>
      </c>
    </row>
    <row r="389" ht="15" customHeight="1" s="64">
      <c r="A389" s="110" t="inlineStr">
        <is>
          <t>MAIO/2026</t>
        </is>
      </c>
      <c r="B389" s="110" t="inlineStr">
        <is>
          <t>Frota</t>
        </is>
      </c>
      <c r="C389" s="110" t="inlineStr">
        <is>
          <t>Rastreamento veicular</t>
        </is>
      </c>
      <c r="D389" s="110" t="inlineStr">
        <is>
          <t>Voicenet</t>
        </is>
      </c>
      <c r="E389" s="129" t="n">
        <v>8</v>
      </c>
      <c r="F389" s="89" t="n">
        <v>20</v>
      </c>
      <c r="G389" s="89" t="n">
        <v>160</v>
      </c>
      <c r="H389" s="110" t="inlineStr">
        <is>
          <t>Rastreamento dos veículos</t>
        </is>
      </c>
    </row>
    <row r="390" ht="15" customHeight="1" s="64">
      <c r="A390" s="110" t="inlineStr">
        <is>
          <t>MAIO/2026</t>
        </is>
      </c>
      <c r="B390" s="110" t="inlineStr">
        <is>
          <t>Frota</t>
        </is>
      </c>
      <c r="C390" s="110" t="inlineStr">
        <is>
          <t>Transporte de produtos</t>
        </is>
      </c>
      <c r="D390" s="110" t="inlineStr">
        <is>
          <t>Voicenet</t>
        </is>
      </c>
      <c r="E390" s="129" t="n">
        <v>1</v>
      </c>
      <c r="F390" s="89" t="n">
        <v>414.35</v>
      </c>
      <c r="G390" s="89" t="n">
        <v>414.35</v>
      </c>
      <c r="H390" s="110" t="inlineStr">
        <is>
          <t>Transportes entre CD01 e empresas no rateio da rota</t>
        </is>
      </c>
    </row>
    <row r="391" ht="15" customHeight="1" s="64">
      <c r="A391" s="110" t="inlineStr">
        <is>
          <t>MAIO/2026</t>
        </is>
      </c>
      <c r="B391" s="110" t="inlineStr">
        <is>
          <t>Frota</t>
        </is>
      </c>
      <c r="C391" s="110" t="inlineStr">
        <is>
          <t>Troca de Oleo e Filtro</t>
        </is>
      </c>
      <c r="D391" s="110" t="inlineStr">
        <is>
          <t>Voicenet</t>
        </is>
      </c>
      <c r="E391" s="129" t="n">
        <v>0</v>
      </c>
      <c r="F391" s="89" t="n">
        <v>0</v>
      </c>
      <c r="G391" s="89" t="n">
        <v>0</v>
      </c>
      <c r="H391" s="110" t="inlineStr">
        <is>
          <t>Manutenção veicular</t>
        </is>
      </c>
    </row>
    <row r="392" ht="15" customHeight="1" s="64">
      <c r="A392" s="110" t="inlineStr">
        <is>
          <t>MAIO/2026</t>
        </is>
      </c>
      <c r="B392" s="110" t="inlineStr">
        <is>
          <t>Instalação</t>
        </is>
      </c>
      <c r="C392" s="110" t="inlineStr">
        <is>
          <t>KM rodado para serviços técnicos DX2 para SOLON</t>
        </is>
      </c>
      <c r="D392" s="110" t="inlineStr">
        <is>
          <t>DX2</t>
        </is>
      </c>
      <c r="E392" s="129" t="n">
        <v>0</v>
      </c>
      <c r="F392" s="89" t="n">
        <v>0</v>
      </c>
      <c r="G392" s="89" t="n">
        <v>0</v>
      </c>
      <c r="H392" s="110" t="inlineStr">
        <is>
          <t>Serviços das equipes dx2 p/ solon</t>
        </is>
      </c>
    </row>
    <row r="393" ht="15" customHeight="1" s="64">
      <c r="A393" s="110" t="inlineStr">
        <is>
          <t>MAIO/2026</t>
        </is>
      </c>
      <c r="B393" s="110" t="inlineStr">
        <is>
          <t>Instalação</t>
        </is>
      </c>
      <c r="C393" s="110" t="inlineStr">
        <is>
          <t>KM rodado para serviços técnicos Dx2 p/ Soares &amp; silva</t>
        </is>
      </c>
      <c r="D393" s="110" t="inlineStr">
        <is>
          <t>DX2</t>
        </is>
      </c>
      <c r="E393" s="129" t="n">
        <v>0</v>
      </c>
      <c r="F393" s="89" t="n">
        <v>0</v>
      </c>
      <c r="G393" s="89" t="n">
        <v>0</v>
      </c>
      <c r="H393" s="110" t="inlineStr">
        <is>
          <t>Serviços das equipes dx2 p/ soares e silva</t>
        </is>
      </c>
    </row>
    <row r="394" ht="15" customHeight="1" s="64">
      <c r="A394" s="110" t="inlineStr">
        <is>
          <t>MAIO/2026</t>
        </is>
      </c>
      <c r="B394" s="110" t="inlineStr">
        <is>
          <t>Instalação</t>
        </is>
      </c>
      <c r="C394" s="110" t="inlineStr">
        <is>
          <t>Serviços técnicos da DX2 P/ SOLON</t>
        </is>
      </c>
      <c r="D394" s="110" t="inlineStr">
        <is>
          <t>DX2</t>
        </is>
      </c>
      <c r="E394" s="129" t="n">
        <v>0</v>
      </c>
      <c r="F394" s="89" t="n">
        <v>0</v>
      </c>
      <c r="G394" s="89" t="n">
        <v>0</v>
      </c>
      <c r="H394" s="110" t="inlineStr">
        <is>
          <t>Serviços das equipes técnicas Dx2 p/ solon</t>
        </is>
      </c>
    </row>
    <row r="395" ht="15" customHeight="1" s="64">
      <c r="A395" s="110" t="inlineStr">
        <is>
          <t>MAIO/2026</t>
        </is>
      </c>
      <c r="B395" s="110" t="inlineStr">
        <is>
          <t>Instalação</t>
        </is>
      </c>
      <c r="C395" s="110" t="inlineStr">
        <is>
          <t>Serviços técnicos da Dx2 p/ Soares &amp; Silva</t>
        </is>
      </c>
      <c r="D395" s="110" t="inlineStr">
        <is>
          <t>DX2</t>
        </is>
      </c>
      <c r="E395" s="129" t="n">
        <v>0</v>
      </c>
      <c r="F395" s="89" t="n">
        <v>0</v>
      </c>
      <c r="G395" s="89" t="n">
        <v>0</v>
      </c>
      <c r="H395" s="110" t="inlineStr">
        <is>
          <t>Serviços das equipes técnicas Dx2 p/ soares e silva</t>
        </is>
      </c>
    </row>
    <row r="396" ht="15" customHeight="1" s="64">
      <c r="A396" s="110" t="inlineStr">
        <is>
          <t>MAIO/2026</t>
        </is>
      </c>
      <c r="B396" s="110" t="inlineStr">
        <is>
          <t>Instalação</t>
        </is>
      </c>
      <c r="C396" s="110" t="inlineStr">
        <is>
          <t>Serviços técnicos da DX2 P/ H&amp;A</t>
        </is>
      </c>
      <c r="D396" s="110" t="inlineStr">
        <is>
          <t>H&amp;A</t>
        </is>
      </c>
      <c r="E396" s="129" t="n">
        <v>1</v>
      </c>
      <c r="F396" s="89" t="n">
        <v>315.66</v>
      </c>
      <c r="G396" s="89" t="n">
        <v>315.66</v>
      </c>
      <c r="H396" s="110" t="inlineStr">
        <is>
          <t>Deslocamento de equipes</t>
        </is>
      </c>
    </row>
    <row r="397" ht="15" customHeight="1" s="64">
      <c r="A397" s="110" t="inlineStr">
        <is>
          <t>MAIO/2026</t>
        </is>
      </c>
      <c r="B397" s="110" t="inlineStr">
        <is>
          <t>Instalação</t>
        </is>
      </c>
      <c r="C397" s="110" t="inlineStr">
        <is>
          <t>km rodado da equipe DX2 para H&amp;A</t>
        </is>
      </c>
      <c r="D397" s="110" t="inlineStr">
        <is>
          <t>H&amp;A</t>
        </is>
      </c>
      <c r="E397" s="129" t="n">
        <v>1</v>
      </c>
      <c r="F397" s="89" t="n">
        <v>345.94</v>
      </c>
      <c r="G397" s="89" t="n">
        <v>345.94</v>
      </c>
      <c r="H397" s="110" t="inlineStr">
        <is>
          <t>Serviços das equipes técnicas Dtel</t>
        </is>
      </c>
    </row>
    <row r="398" ht="15" customHeight="1" s="64">
      <c r="A398" s="110" t="inlineStr">
        <is>
          <t>MAIO/2026</t>
        </is>
      </c>
      <c r="B398" s="110" t="inlineStr">
        <is>
          <t>Instalação</t>
        </is>
      </c>
      <c r="C398" s="110" t="inlineStr">
        <is>
          <t>KM rodado para serviços técnicos Dtel p/ S&amp;L</t>
        </is>
      </c>
      <c r="D398" s="110" t="inlineStr">
        <is>
          <t>Soares e Lins</t>
        </is>
      </c>
      <c r="E398" s="129" t="n">
        <v>0</v>
      </c>
      <c r="F398" s="89" t="n">
        <v>0</v>
      </c>
      <c r="G398" s="89" t="n">
        <v>0</v>
      </c>
      <c r="H398" s="110" t="inlineStr">
        <is>
          <t>Deslocamento de equipes dtel</t>
        </is>
      </c>
    </row>
    <row r="399" ht="15" customHeight="1" s="64">
      <c r="A399" s="110" t="inlineStr">
        <is>
          <t>MAIO/2026</t>
        </is>
      </c>
      <c r="B399" s="110" t="inlineStr">
        <is>
          <t>Instalação</t>
        </is>
      </c>
      <c r="C399" s="110" t="inlineStr">
        <is>
          <t>KM rodado para serviços técnicos S&amp;L para DTEL</t>
        </is>
      </c>
      <c r="D399" s="110" t="inlineStr">
        <is>
          <t>Soares e Lins</t>
        </is>
      </c>
      <c r="E399" s="129" t="n">
        <v>0</v>
      </c>
      <c r="F399" s="89" t="n">
        <v>0</v>
      </c>
      <c r="G399" s="89" t="n">
        <v>0</v>
      </c>
      <c r="H399" s="110" t="inlineStr">
        <is>
          <t>Deslocamento de equipes soares e lins</t>
        </is>
      </c>
    </row>
    <row r="400" ht="15" customHeight="1" s="64">
      <c r="A400" s="110" t="inlineStr">
        <is>
          <t>MAIO/2026</t>
        </is>
      </c>
      <c r="B400" s="110" t="inlineStr">
        <is>
          <t>Instalação</t>
        </is>
      </c>
      <c r="C400" s="110" t="inlineStr">
        <is>
          <t>KM rodado para serviços técnicos da S&amp;L para DTEL</t>
        </is>
      </c>
      <c r="D400" s="110" t="inlineStr">
        <is>
          <t>Soares e Lins</t>
        </is>
      </c>
      <c r="E400" s="129" t="n">
        <v>0</v>
      </c>
      <c r="F400" s="89" t="n">
        <v>0</v>
      </c>
      <c r="G400" s="89" t="n">
        <v>0</v>
      </c>
      <c r="H400" s="110" t="inlineStr">
        <is>
          <t>Deslocamento de equipes</t>
        </is>
      </c>
    </row>
    <row r="401" ht="15" customHeight="1" s="64">
      <c r="A401" s="110" t="inlineStr">
        <is>
          <t>MAIO/2026</t>
        </is>
      </c>
      <c r="B401" s="110" t="inlineStr">
        <is>
          <t>Instalação</t>
        </is>
      </c>
      <c r="C401" s="110" t="inlineStr">
        <is>
          <t>Serviços técnicos da Dtel para S&amp;L</t>
        </is>
      </c>
      <c r="D401" s="110" t="inlineStr">
        <is>
          <t>Soares e Lins</t>
        </is>
      </c>
      <c r="E401" s="129" t="n">
        <v>0</v>
      </c>
      <c r="F401" s="89" t="n">
        <v>0</v>
      </c>
      <c r="G401" s="89" t="n">
        <v>0</v>
      </c>
      <c r="H401" s="110" t="inlineStr">
        <is>
          <t>Serviços da equipe técnica</t>
        </is>
      </c>
    </row>
    <row r="402" ht="15" customHeight="1" s="64">
      <c r="A402" s="110" t="inlineStr">
        <is>
          <t>MAIO/2026</t>
        </is>
      </c>
      <c r="B402" s="110" t="inlineStr">
        <is>
          <t>Instalação</t>
        </is>
      </c>
      <c r="C402" s="110" t="inlineStr">
        <is>
          <t>Serviços técnicos da S&amp;L para DTEL</t>
        </is>
      </c>
      <c r="D402" s="110" t="inlineStr">
        <is>
          <t>Soares e Lins</t>
        </is>
      </c>
      <c r="E402" s="129" t="n">
        <v>0</v>
      </c>
      <c r="F402" s="89" t="n">
        <v>0</v>
      </c>
      <c r="G402" s="89" t="n">
        <v>0</v>
      </c>
      <c r="H402" s="110" t="inlineStr">
        <is>
          <t>Serviços da equipe técnica</t>
        </is>
      </c>
    </row>
    <row r="403" ht="15" customHeight="1" s="64">
      <c r="A403" s="110" t="inlineStr">
        <is>
          <t>MAIO/2026</t>
        </is>
      </c>
      <c r="B403" s="110" t="inlineStr">
        <is>
          <t>Instalação</t>
        </is>
      </c>
      <c r="C403" s="110" t="inlineStr">
        <is>
          <t>Supervisor JOSUE DE MOURA SILVA JUNIOR</t>
        </is>
      </c>
      <c r="D403" s="110" t="inlineStr">
        <is>
          <t>Soares e Lins</t>
        </is>
      </c>
      <c r="E403" s="129" t="n">
        <v>1</v>
      </c>
      <c r="F403" s="89" t="n">
        <v>2438.04</v>
      </c>
      <c r="G403" s="89" t="n">
        <v>2438.04</v>
      </c>
      <c r="H403" s="110" t="inlineStr">
        <is>
          <t>Despesa dividida entre s&amp;l e dtel pelo supervisor JOSUE estar assumindo as bases</t>
        </is>
      </c>
    </row>
    <row r="404" ht="15" customHeight="1" s="64">
      <c r="A404" s="110" t="inlineStr">
        <is>
          <t>MAIO/2026</t>
        </is>
      </c>
      <c r="B404" s="110" t="inlineStr">
        <is>
          <t>Instalação</t>
        </is>
      </c>
      <c r="C404" s="110" t="inlineStr">
        <is>
          <t>KM rodado para serviços técnicos Dx2 p/ soares e silva</t>
        </is>
      </c>
      <c r="D404" s="110" t="inlineStr">
        <is>
          <t>Soares e Silva</t>
        </is>
      </c>
      <c r="E404" s="129" t="n">
        <v>0</v>
      </c>
      <c r="F404" s="89" t="n">
        <v>0</v>
      </c>
      <c r="G404" s="89" t="n">
        <v>0</v>
      </c>
      <c r="H404" s="110" t="inlineStr">
        <is>
          <t>Deslocamento de equipes</t>
        </is>
      </c>
    </row>
    <row r="405" ht="15" customHeight="1" s="64">
      <c r="A405" s="110" t="inlineStr">
        <is>
          <t>MAIO/2026</t>
        </is>
      </c>
      <c r="B405" s="110" t="inlineStr">
        <is>
          <t>Instalação</t>
        </is>
      </c>
      <c r="C405" s="110" t="inlineStr">
        <is>
          <t>Serviços técnicos da Dx2 p/ soares e silva</t>
        </is>
      </c>
      <c r="D405" s="110" t="inlineStr">
        <is>
          <t>Soares e Silva</t>
        </is>
      </c>
      <c r="E405" s="129" t="n">
        <v>0</v>
      </c>
      <c r="F405" s="89" t="n">
        <v>0</v>
      </c>
      <c r="G405" s="89" t="n">
        <v>0</v>
      </c>
      <c r="H405" s="110" t="inlineStr">
        <is>
          <t>Serviços das equipes técnicas</t>
        </is>
      </c>
    </row>
    <row r="406" ht="15" customHeight="1" s="64">
      <c r="A406" s="110" t="inlineStr">
        <is>
          <t>MAIO/2026</t>
        </is>
      </c>
      <c r="B406" s="110" t="inlineStr">
        <is>
          <t>Instalação</t>
        </is>
      </c>
      <c r="C406" s="110" t="inlineStr">
        <is>
          <t>KM rodado para serviços técnicos Souza e Silva p/ Solon</t>
        </is>
      </c>
      <c r="D406" s="110" t="inlineStr">
        <is>
          <t>Solon Araújo</t>
        </is>
      </c>
      <c r="E406" s="129" t="n">
        <v>0</v>
      </c>
      <c r="F406" s="89" t="n">
        <v>0</v>
      </c>
      <c r="G406" s="89" t="n">
        <v>0</v>
      </c>
      <c r="H406" s="110" t="inlineStr">
        <is>
          <t>Deslocamento de equipes da DTEL</t>
        </is>
      </c>
    </row>
    <row r="407" ht="15" customHeight="1" s="64">
      <c r="A407" s="110" t="inlineStr">
        <is>
          <t>MAIO/2026</t>
        </is>
      </c>
      <c r="B407" s="110" t="inlineStr">
        <is>
          <t>Instalação</t>
        </is>
      </c>
      <c r="C407" s="110" t="inlineStr">
        <is>
          <t>KM rodado para serviços técnicos dx2 p/ Solon</t>
        </is>
      </c>
      <c r="D407" s="110" t="inlineStr">
        <is>
          <t>Solon Araújo</t>
        </is>
      </c>
      <c r="E407" s="129" t="n">
        <v>0</v>
      </c>
      <c r="F407" s="89" t="n">
        <v>0</v>
      </c>
      <c r="G407" s="89" t="n">
        <v>0</v>
      </c>
      <c r="H407" s="110" t="inlineStr">
        <is>
          <t>Serviços das equipes dx2 p/ solon</t>
        </is>
      </c>
    </row>
    <row r="408" ht="15" customHeight="1" s="64">
      <c r="A408" s="110" t="inlineStr">
        <is>
          <t>MAIO/2026</t>
        </is>
      </c>
      <c r="B408" s="110" t="inlineStr">
        <is>
          <t>Instalação</t>
        </is>
      </c>
      <c r="C408" s="110" t="inlineStr">
        <is>
          <t>Serviços técnicos da Dx2 p/ Solon</t>
        </is>
      </c>
      <c r="D408" s="110" t="inlineStr">
        <is>
          <t>Solon Araújo</t>
        </is>
      </c>
      <c r="E408" s="129" t="n">
        <v>0</v>
      </c>
      <c r="F408" s="89" t="n">
        <v>0</v>
      </c>
      <c r="G408" s="89" t="n">
        <v>0</v>
      </c>
      <c r="H408" s="110" t="inlineStr">
        <is>
          <t>Serviços das equipes técnicas Dx2 p/ solon</t>
        </is>
      </c>
    </row>
    <row r="409" ht="15" customHeight="1" s="64">
      <c r="A409" s="110" t="inlineStr">
        <is>
          <t>MAIO/2026</t>
        </is>
      </c>
      <c r="B409" s="110" t="inlineStr">
        <is>
          <t>Instalação</t>
        </is>
      </c>
      <c r="C409" s="110" t="inlineStr">
        <is>
          <t>Serviços técnicos da Souza p/ Solon</t>
        </is>
      </c>
      <c r="D409" s="110" t="inlineStr">
        <is>
          <t>Solon Araújo</t>
        </is>
      </c>
      <c r="E409" s="129" t="n">
        <v>0</v>
      </c>
      <c r="F409" s="89" t="n">
        <v>0</v>
      </c>
      <c r="G409" s="89" t="n">
        <v>0</v>
      </c>
      <c r="H409" s="110" t="inlineStr">
        <is>
          <t>Serviços das equipes técnicas Dtel</t>
        </is>
      </c>
    </row>
    <row r="410" ht="15" customHeight="1" s="64">
      <c r="A410" s="110" t="inlineStr">
        <is>
          <t>MAIO/2026</t>
        </is>
      </c>
      <c r="B410" s="110" t="inlineStr">
        <is>
          <t>Instalação</t>
        </is>
      </c>
      <c r="C410" s="110" t="inlineStr">
        <is>
          <t>KM rodado para serviços técnicos Souza e Silva p/ Solon</t>
        </is>
      </c>
      <c r="D410" s="110" t="inlineStr">
        <is>
          <t>Souza e Silva</t>
        </is>
      </c>
      <c r="E410" s="129" t="n">
        <v>0</v>
      </c>
      <c r="F410" s="89" t="n">
        <v>0</v>
      </c>
      <c r="G410" s="89" t="n">
        <v>0</v>
      </c>
      <c r="H410" s="110" t="inlineStr">
        <is>
          <t>Deslocamento de equipes</t>
        </is>
      </c>
    </row>
    <row r="411" ht="15" customHeight="1" s="64">
      <c r="A411" s="110" t="inlineStr">
        <is>
          <t>MAIO/2026</t>
        </is>
      </c>
      <c r="B411" s="110" t="inlineStr">
        <is>
          <t>Instalação</t>
        </is>
      </c>
      <c r="C411" s="110" t="inlineStr">
        <is>
          <t>KM rodado para serviços técnicos Souza e silva p/ soares e silva</t>
        </is>
      </c>
      <c r="D411" s="110" t="inlineStr">
        <is>
          <t>Souza e Silva</t>
        </is>
      </c>
      <c r="E411" s="129" t="n">
        <v>0</v>
      </c>
      <c r="F411" s="89" t="n">
        <v>0</v>
      </c>
      <c r="G411" s="89" t="n">
        <v>0</v>
      </c>
      <c r="H411" s="110" t="inlineStr">
        <is>
          <t>Deslocamento de equipes</t>
        </is>
      </c>
    </row>
    <row r="412" ht="15" customHeight="1" s="64">
      <c r="A412" s="110" t="inlineStr">
        <is>
          <t>MAIO/2026</t>
        </is>
      </c>
      <c r="B412" s="110" t="inlineStr">
        <is>
          <t>Instalação</t>
        </is>
      </c>
      <c r="C412" s="110" t="inlineStr">
        <is>
          <t>Serviços técnicos da Souza e silva p/ soares e silva</t>
        </is>
      </c>
      <c r="D412" s="110" t="inlineStr">
        <is>
          <t>Souza e Silva</t>
        </is>
      </c>
      <c r="E412" s="129" t="n">
        <v>0</v>
      </c>
      <c r="F412" s="89" t="n">
        <v>0</v>
      </c>
      <c r="G412" s="89" t="n">
        <v>0</v>
      </c>
      <c r="H412" s="110" t="inlineStr">
        <is>
          <t>Serviços das equipes técnicas</t>
        </is>
      </c>
    </row>
    <row r="413" ht="15" customHeight="1" s="64">
      <c r="A413" s="110" t="inlineStr">
        <is>
          <t>MAIO/2026</t>
        </is>
      </c>
      <c r="B413" s="110" t="inlineStr">
        <is>
          <t>Instalação</t>
        </is>
      </c>
      <c r="C413" s="110" t="inlineStr">
        <is>
          <t>Serviços técnicos da Souza p/ Solon</t>
        </is>
      </c>
      <c r="D413" s="110" t="inlineStr">
        <is>
          <t>Souza e Silva</t>
        </is>
      </c>
      <c r="E413" s="129" t="n">
        <v>0</v>
      </c>
      <c r="F413" s="89" t="n">
        <v>0</v>
      </c>
      <c r="G413" s="89" t="n">
        <v>0</v>
      </c>
      <c r="H413" s="110" t="inlineStr">
        <is>
          <t>Serviços das equipes técnicas da Dtel</t>
        </is>
      </c>
    </row>
    <row r="414" ht="15" customHeight="1" s="64">
      <c r="A414" s="110" t="inlineStr">
        <is>
          <t>MAIO/2026</t>
        </is>
      </c>
      <c r="B414" s="110" t="inlineStr">
        <is>
          <t>Instalação</t>
        </is>
      </c>
      <c r="C414" s="110" t="inlineStr">
        <is>
          <t>Gestão Regional MICHELANGELO</t>
        </is>
      </c>
      <c r="D414" s="110" t="inlineStr">
        <is>
          <t>Voicenet</t>
        </is>
      </c>
      <c r="E414" s="129" t="n">
        <v>4782</v>
      </c>
      <c r="F414" s="89" t="n">
        <v>1.01</v>
      </c>
      <c r="G414" s="89" t="n">
        <v>4829.82</v>
      </c>
      <c r="H414" s="110" t="inlineStr">
        <is>
          <t>Cálculo por número de clientes ativos</t>
        </is>
      </c>
    </row>
    <row r="415" ht="15" customHeight="1" s="64">
      <c r="A415" s="110" t="inlineStr">
        <is>
          <t>MAIO/2026</t>
        </is>
      </c>
      <c r="B415" s="110" t="inlineStr">
        <is>
          <t>Instalação</t>
        </is>
      </c>
      <c r="C415" s="110" t="inlineStr">
        <is>
          <t>KM rodado para serviços técnicos Dtel para Voicenet</t>
        </is>
      </c>
      <c r="D415" s="110" t="inlineStr">
        <is>
          <t>Voicenet</t>
        </is>
      </c>
      <c r="E415" s="129" t="n">
        <v>1</v>
      </c>
      <c r="F415" s="89" t="n">
        <v>2480.38</v>
      </c>
      <c r="G415" s="89" t="n">
        <v>2480.38</v>
      </c>
      <c r="H415" s="110" t="inlineStr">
        <is>
          <t>Deslocamento de equipes</t>
        </is>
      </c>
    </row>
    <row r="416" ht="15" customHeight="1" s="64">
      <c r="A416" s="110" t="inlineStr">
        <is>
          <t>MAIO/2026</t>
        </is>
      </c>
      <c r="B416" s="110" t="inlineStr">
        <is>
          <t>Instalação</t>
        </is>
      </c>
      <c r="C416" s="110" t="inlineStr">
        <is>
          <t>KM rodado para serviços técnicos Voicenet p/ Dtel</t>
        </is>
      </c>
      <c r="D416" s="110" t="inlineStr">
        <is>
          <t>Voicenet</t>
        </is>
      </c>
      <c r="E416" s="129" t="n">
        <v>0</v>
      </c>
      <c r="F416" s="89" t="n">
        <v>0</v>
      </c>
      <c r="G416" s="89" t="n">
        <v>0</v>
      </c>
      <c r="H416" s="110" t="inlineStr">
        <is>
          <t>Deslocamento de equipes</t>
        </is>
      </c>
    </row>
    <row r="417" ht="15" customHeight="1" s="64">
      <c r="A417" s="110" t="inlineStr">
        <is>
          <t>MAIO/2026</t>
        </is>
      </c>
      <c r="B417" s="110" t="inlineStr">
        <is>
          <t>Instalação</t>
        </is>
      </c>
      <c r="C417" s="110" t="inlineStr">
        <is>
          <t>Serviços técnicos da Dtel para voice net</t>
        </is>
      </c>
      <c r="D417" s="110" t="inlineStr">
        <is>
          <t>Voicenet</t>
        </is>
      </c>
      <c r="E417" s="129" t="n">
        <v>1</v>
      </c>
      <c r="F417" s="89" t="n">
        <v>13877.08</v>
      </c>
      <c r="G417" s="89" t="n">
        <v>13877.08</v>
      </c>
      <c r="H417" s="110" t="inlineStr">
        <is>
          <t>Serviços das equipes técnicas da Dtel</t>
        </is>
      </c>
    </row>
    <row r="418" ht="15" customHeight="1" s="64">
      <c r="A418" s="110" t="inlineStr">
        <is>
          <t>MAIO/2026</t>
        </is>
      </c>
      <c r="B418" s="110" t="inlineStr">
        <is>
          <t>Instalação</t>
        </is>
      </c>
      <c r="C418" s="110" t="inlineStr">
        <is>
          <t>Serviços técnicos da voicenet p/ Dtel</t>
        </is>
      </c>
      <c r="D418" s="110" t="inlineStr">
        <is>
          <t>Voicenet</t>
        </is>
      </c>
      <c r="E418" s="129" t="n">
        <v>0</v>
      </c>
      <c r="F418" s="89" t="n">
        <v>0</v>
      </c>
      <c r="G418" s="89" t="n">
        <v>0</v>
      </c>
      <c r="H418" s="110" t="inlineStr">
        <is>
          <t>Serviços das equipes técnicas</t>
        </is>
      </c>
    </row>
    <row r="419" ht="15" customHeight="1" s="64">
      <c r="A419" s="110" t="inlineStr">
        <is>
          <t>MAIO/2026</t>
        </is>
      </c>
      <c r="B419" s="110" t="inlineStr">
        <is>
          <t>Licitação</t>
        </is>
      </c>
      <c r="C419" s="110" t="inlineStr">
        <is>
          <t>Conselho Regional De Enfermagem De Alagoas</t>
        </is>
      </c>
      <c r="D419" s="110" t="inlineStr">
        <is>
          <t>H&amp;A</t>
        </is>
      </c>
      <c r="E419" s="129" t="n">
        <v>1</v>
      </c>
      <c r="F419" s="89" t="n">
        <v>238.88</v>
      </c>
      <c r="G419" s="89" t="n">
        <v>238.88</v>
      </c>
      <c r="H419" s="110" t="inlineStr">
        <is>
          <t>Mensalidade recebida pela H&amp;A (parcela maio)</t>
        </is>
      </c>
    </row>
    <row r="420" ht="15" customHeight="1" s="64">
      <c r="A420" s="110" t="inlineStr">
        <is>
          <t>MAIO/2026</t>
        </is>
      </c>
      <c r="B420" s="110" t="inlineStr">
        <is>
          <t>Licitação</t>
        </is>
      </c>
      <c r="C420" s="110" t="inlineStr">
        <is>
          <t>Conselho Regional de Enfermagem de Pernambuco - Coren PE</t>
        </is>
      </c>
      <c r="D420" s="110" t="inlineStr">
        <is>
          <t>H&amp;A</t>
        </is>
      </c>
      <c r="E420" s="129" t="n">
        <v>1</v>
      </c>
      <c r="F420" s="89" t="n">
        <v>609.17</v>
      </c>
      <c r="G420" s="89" t="n">
        <v>609.17</v>
      </c>
      <c r="H420" s="110" t="inlineStr">
        <is>
          <t>Mensalidade recebida pela H&amp;A (parcela maio)</t>
        </is>
      </c>
    </row>
    <row r="421" ht="15" customHeight="1" s="64">
      <c r="A421" s="110" t="inlineStr">
        <is>
          <t>MAIO/2026</t>
        </is>
      </c>
      <c r="B421" s="110" t="inlineStr">
        <is>
          <t>Licitação</t>
        </is>
      </c>
      <c r="C421" s="110" t="inlineStr">
        <is>
          <t>Conselho regional de farmacia dos estado de pernambuco</t>
        </is>
      </c>
      <c r="D421" s="110" t="inlineStr">
        <is>
          <t>H&amp;A</t>
        </is>
      </c>
      <c r="E421" s="129" t="n">
        <v>1</v>
      </c>
      <c r="F421" s="89" t="n">
        <v>510</v>
      </c>
      <c r="G421" s="89" t="n">
        <v>510</v>
      </c>
      <c r="H421" s="110" t="inlineStr">
        <is>
          <t>Mensalidade recebida pela H&amp;A (parcela maio)</t>
        </is>
      </c>
    </row>
    <row r="422" ht="15" customHeight="1" s="64">
      <c r="A422" s="110" t="inlineStr">
        <is>
          <t>MAIO/2026</t>
        </is>
      </c>
      <c r="B422" s="110" t="inlineStr">
        <is>
          <t>Licitação</t>
        </is>
      </c>
      <c r="C422" s="110" t="inlineStr">
        <is>
          <t>Câmara de vereadores-Vitória de Stº Antão</t>
        </is>
      </c>
      <c r="D422" s="110" t="inlineStr">
        <is>
          <t>H&amp;A</t>
        </is>
      </c>
      <c r="E422" s="129" t="n">
        <v>1</v>
      </c>
      <c r="F422" s="89" t="n">
        <v>333.1</v>
      </c>
      <c r="G422" s="89" t="n">
        <v>333.1</v>
      </c>
      <c r="H422" s="110" t="inlineStr">
        <is>
          <t>Mensalidade recebida pela H&amp;A (parcela junho)</t>
        </is>
      </c>
    </row>
    <row r="423" ht="15" customHeight="1" s="64">
      <c r="A423" s="110" t="inlineStr">
        <is>
          <t>MAIO/2026</t>
        </is>
      </c>
      <c r="B423" s="110" t="inlineStr">
        <is>
          <t>Licitação</t>
        </is>
      </c>
      <c r="C423" s="110" t="inlineStr">
        <is>
          <t>FUNDO MUNICIPAL DE ASSISTÊNCIA SOCIAL DE PRIMAVERA</t>
        </is>
      </c>
      <c r="D423" s="110" t="inlineStr">
        <is>
          <t>H&amp;A</t>
        </is>
      </c>
      <c r="E423" s="129" t="n">
        <v>1</v>
      </c>
      <c r="F423" s="89" t="n">
        <v>1833.24</v>
      </c>
      <c r="G423" s="89" t="n">
        <v>1833.24</v>
      </c>
      <c r="H423" s="110" t="inlineStr">
        <is>
          <t>Mensalidade recebida pela H&amp;A (parcela maio)</t>
        </is>
      </c>
    </row>
    <row r="424" ht="15" customHeight="1" s="64">
      <c r="A424" s="110" t="inlineStr">
        <is>
          <t>MAIO/2026</t>
        </is>
      </c>
      <c r="B424" s="110" t="inlineStr">
        <is>
          <t>Licitação</t>
        </is>
      </c>
      <c r="C424" s="110" t="inlineStr">
        <is>
          <t>Fundo Municipal De Saude De Primavera</t>
        </is>
      </c>
      <c r="D424" s="110" t="inlineStr">
        <is>
          <t>H&amp;A</t>
        </is>
      </c>
      <c r="E424" s="129" t="n">
        <v>1</v>
      </c>
      <c r="F424" s="89" t="n">
        <v>2973.2</v>
      </c>
      <c r="G424" s="89" t="n">
        <v>2973.2</v>
      </c>
      <c r="H424" s="110" t="inlineStr">
        <is>
          <t>Mensalidade recebida pela H&amp;A (parcela maio)</t>
        </is>
      </c>
    </row>
    <row r="425" ht="15" customHeight="1" s="64">
      <c r="A425" s="110" t="inlineStr">
        <is>
          <t>MAIO/2026</t>
        </is>
      </c>
      <c r="B425" s="110" t="inlineStr">
        <is>
          <t>Licitação</t>
        </is>
      </c>
      <c r="C425" s="110" t="inlineStr">
        <is>
          <t>Municipio De Primavera</t>
        </is>
      </c>
      <c r="D425" s="110" t="inlineStr">
        <is>
          <t>H&amp;A</t>
        </is>
      </c>
      <c r="E425" s="129" t="n">
        <v>1</v>
      </c>
      <c r="F425" s="89" t="n">
        <v>7615.46</v>
      </c>
      <c r="G425" s="89" t="n">
        <v>7615.46</v>
      </c>
      <c r="H425" s="110" t="inlineStr">
        <is>
          <t>Mensalidade recebida pela H&amp;A (parcela maio)</t>
        </is>
      </c>
    </row>
    <row r="426" ht="15" customHeight="1" s="64">
      <c r="A426" s="110" t="inlineStr">
        <is>
          <t>MAIO/2026</t>
        </is>
      </c>
      <c r="B426" s="110" t="inlineStr">
        <is>
          <t>Licitação</t>
        </is>
      </c>
      <c r="C426" s="110" t="inlineStr">
        <is>
          <t>AGÊNCIA REGULADORA DOS SERVIÇOS PÚBLICOS DO ESTADO DE ALAGOAS - ARSAL</t>
        </is>
      </c>
      <c r="D426" s="110" t="inlineStr">
        <is>
          <t>Soares e Silva</t>
        </is>
      </c>
      <c r="E426" s="129" t="n">
        <v>-1</v>
      </c>
      <c r="F426" s="89" t="n">
        <v>837.25</v>
      </c>
      <c r="G426" s="89" t="n">
        <v>-837.25</v>
      </c>
      <c r="H426" s="110" t="inlineStr">
        <is>
          <t>Mensalidade recebida pela Dtel (parcela abril)</t>
        </is>
      </c>
    </row>
    <row r="427" ht="15" customHeight="1" s="64">
      <c r="A427" s="110" t="inlineStr">
        <is>
          <t>MAIO/2026</t>
        </is>
      </c>
      <c r="B427" s="110" t="inlineStr">
        <is>
          <t>Licitação</t>
        </is>
      </c>
      <c r="C427" s="110" t="inlineStr">
        <is>
          <t>Conselho Regional De Enfermagem De Alagoas</t>
        </is>
      </c>
      <c r="D427" s="110" t="inlineStr">
        <is>
          <t>Soares e Silva</t>
        </is>
      </c>
      <c r="E427" s="129" t="n">
        <v>-1</v>
      </c>
      <c r="F427" s="89" t="n">
        <v>238.88</v>
      </c>
      <c r="G427" s="89" t="n">
        <v>-238.88</v>
      </c>
      <c r="H427" s="110" t="inlineStr">
        <is>
          <t>Imposto pago pela h&amp;a sob o recebimento da licitação</t>
        </is>
      </c>
    </row>
    <row r="428" ht="15" customHeight="1" s="64">
      <c r="A428" s="110" t="inlineStr">
        <is>
          <t>MAIO/2026</t>
        </is>
      </c>
      <c r="B428" s="110" t="inlineStr">
        <is>
          <t>Licitação</t>
        </is>
      </c>
      <c r="C428" s="110" t="inlineStr">
        <is>
          <t>Conselho Regional De Enfermagem De Alagoas</t>
        </is>
      </c>
      <c r="D428" s="110" t="inlineStr">
        <is>
          <t>Soares e Silva</t>
        </is>
      </c>
      <c r="E428" s="129" t="n">
        <v>-1</v>
      </c>
      <c r="F428" s="89" t="n">
        <v>238.88</v>
      </c>
      <c r="G428" s="89" t="n">
        <v>-238.88</v>
      </c>
      <c r="H428" s="110" t="inlineStr">
        <is>
          <t>Mensalidade recebida pela H&amp;A (parcela maio)</t>
        </is>
      </c>
    </row>
    <row r="429" ht="15" customHeight="1" s="64">
      <c r="A429" s="110" t="inlineStr">
        <is>
          <t>MAIO/2026</t>
        </is>
      </c>
      <c r="B429" s="110" t="inlineStr">
        <is>
          <t>Licitação</t>
        </is>
      </c>
      <c r="C429" s="110" t="inlineStr">
        <is>
          <t>Conselho regional de farmacia dos estado de pernambuco</t>
        </is>
      </c>
      <c r="D429" s="110" t="inlineStr">
        <is>
          <t>Voicenet</t>
        </is>
      </c>
      <c r="E429" s="129" t="n">
        <v>1</v>
      </c>
      <c r="F429" s="89" t="n">
        <v>67.33</v>
      </c>
      <c r="G429" s="89" t="n">
        <v>67.33</v>
      </c>
      <c r="H429" s="110" t="inlineStr">
        <is>
          <t>Imposto pago pela h&amp;a, pelo recebimento da licitação</t>
        </is>
      </c>
    </row>
    <row r="430" ht="15" customHeight="1" s="64">
      <c r="A430" s="110" t="inlineStr">
        <is>
          <t>MAIO/2026</t>
        </is>
      </c>
      <c r="B430" s="110" t="inlineStr">
        <is>
          <t>Licitação</t>
        </is>
      </c>
      <c r="C430" s="110" t="inlineStr">
        <is>
          <t>Conselho regional de farmacia dos estado de pernambuco</t>
        </is>
      </c>
      <c r="D430" s="110" t="inlineStr">
        <is>
          <t>Voicenet</t>
        </is>
      </c>
      <c r="E430" s="129" t="n">
        <v>-1</v>
      </c>
      <c r="F430" s="89" t="n">
        <v>510</v>
      </c>
      <c r="G430" s="89" t="n">
        <v>-510</v>
      </c>
      <c r="H430" s="110" t="inlineStr">
        <is>
          <t>Mensalidade recebida pela H&amp;A (parcela maio)</t>
        </is>
      </c>
    </row>
    <row r="431" ht="15" customHeight="1" s="64">
      <c r="A431" s="110" t="inlineStr">
        <is>
          <t>MAIO/2026</t>
        </is>
      </c>
      <c r="B431" s="110" t="inlineStr">
        <is>
          <t>Manutenção Predial</t>
        </is>
      </c>
      <c r="C431" s="110" t="inlineStr">
        <is>
          <t>Manutenção predial</t>
        </is>
      </c>
      <c r="D431" s="110" t="inlineStr">
        <is>
          <t>DX2</t>
        </is>
      </c>
      <c r="E431" s="129" t="n">
        <v>1</v>
      </c>
      <c r="F431" s="89" t="n">
        <v>1583.45</v>
      </c>
      <c r="G431" s="89" t="n">
        <v>1583.45</v>
      </c>
      <c r="H431" s="110" t="inlineStr">
        <is>
          <t>Serviços para verificação de tacaimbó, e projeto de expansão de pesqueira</t>
        </is>
      </c>
    </row>
    <row r="432" ht="15" customHeight="1" s="64">
      <c r="A432" s="110" t="inlineStr">
        <is>
          <t>MAIO/2026</t>
        </is>
      </c>
      <c r="B432" s="110" t="inlineStr">
        <is>
          <t>Manutenção Predial</t>
        </is>
      </c>
      <c r="C432" s="110" t="inlineStr">
        <is>
          <t>Manutenção predial</t>
        </is>
      </c>
      <c r="D432" s="110" t="inlineStr">
        <is>
          <t>H&amp;A</t>
        </is>
      </c>
      <c r="E432" s="129" t="n">
        <v>1</v>
      </c>
      <c r="F432" s="89" t="n">
        <v>1138.52</v>
      </c>
      <c r="G432" s="89" t="n">
        <v>1138.52</v>
      </c>
      <c r="H432" s="110" t="inlineStr">
        <is>
          <t>Despesa com combust. e colaborador para manutenção de ar condicionado e instalação de led da fachada</t>
        </is>
      </c>
    </row>
    <row r="433" ht="15" customHeight="1" s="64">
      <c r="A433" s="110" t="inlineStr">
        <is>
          <t>MAIO/2026</t>
        </is>
      </c>
      <c r="B433" s="110" t="inlineStr">
        <is>
          <t>Manutenção Predial</t>
        </is>
      </c>
      <c r="C433" s="110" t="inlineStr">
        <is>
          <t>Manutenção predial</t>
        </is>
      </c>
      <c r="D433" s="110" t="inlineStr">
        <is>
          <t>Soares e Lins</t>
        </is>
      </c>
      <c r="E433" s="129" t="n">
        <v>0</v>
      </c>
      <c r="F433" s="89" t="n">
        <v>0</v>
      </c>
      <c r="G433" s="89" t="n">
        <v>0</v>
      </c>
      <c r="H433" s="110" t="inlineStr">
        <is>
          <t>Serviços executados</t>
        </is>
      </c>
    </row>
    <row r="434" ht="15" customHeight="1" s="64">
      <c r="A434" s="110" t="inlineStr">
        <is>
          <t>MAIO/2026</t>
        </is>
      </c>
      <c r="B434" s="110" t="inlineStr">
        <is>
          <t>Manutenção Predial</t>
        </is>
      </c>
      <c r="C434" s="110" t="inlineStr">
        <is>
          <t>Manutenção predial</t>
        </is>
      </c>
      <c r="D434" s="110" t="inlineStr">
        <is>
          <t>Soares e Silva</t>
        </is>
      </c>
      <c r="E434" s="129" t="n">
        <v>1</v>
      </c>
      <c r="F434" s="89" t="n">
        <v>1989.74</v>
      </c>
      <c r="G434" s="89" t="n">
        <v>1989.74</v>
      </c>
      <c r="H434" s="110" t="inlineStr">
        <is>
          <t>Serviços executados, despesa com combustÍvel e colaborador inst. dos aramados do pop novo, troca de retificadora</t>
        </is>
      </c>
    </row>
    <row r="435" ht="15" customHeight="1" s="64">
      <c r="A435" s="110" t="inlineStr">
        <is>
          <t>MAIO/2026</t>
        </is>
      </c>
      <c r="B435" s="110" t="inlineStr">
        <is>
          <t>Manutenção Predial</t>
        </is>
      </c>
      <c r="C435" s="110" t="inlineStr">
        <is>
          <t>Manutenção predial</t>
        </is>
      </c>
      <c r="D435" s="110" t="inlineStr">
        <is>
          <t>Solon Araújo</t>
        </is>
      </c>
      <c r="E435" s="129" t="n">
        <v>0</v>
      </c>
      <c r="F435" s="89" t="n">
        <v>0</v>
      </c>
      <c r="G435" s="89" t="n">
        <v>0</v>
      </c>
      <c r="H435" s="110" t="inlineStr">
        <is>
          <t>Despesa com material, combust, e colaborador para manut. de ar, e manut. de telhado</t>
        </is>
      </c>
    </row>
    <row r="436" ht="15" customHeight="1" s="64">
      <c r="A436" s="110" t="inlineStr">
        <is>
          <t>MAIO/2026</t>
        </is>
      </c>
      <c r="B436" s="110" t="inlineStr">
        <is>
          <t>Manutenção Predial</t>
        </is>
      </c>
      <c r="C436" s="110" t="inlineStr">
        <is>
          <t>Manutenção predial</t>
        </is>
      </c>
      <c r="D436" s="110" t="inlineStr">
        <is>
          <t>Souza e Silva</t>
        </is>
      </c>
      <c r="E436" s="129" t="n">
        <v>0</v>
      </c>
      <c r="F436" s="89" t="n">
        <v>0</v>
      </c>
      <c r="G436" s="89" t="n">
        <v>0</v>
      </c>
      <c r="H436" s="110" t="inlineStr">
        <is>
          <t>Serviços executados</t>
        </is>
      </c>
    </row>
    <row r="437" ht="15" customHeight="1" s="64">
      <c r="A437" s="110" t="inlineStr">
        <is>
          <t>MAIO/2026</t>
        </is>
      </c>
      <c r="B437" s="110" t="inlineStr">
        <is>
          <t>Marketing</t>
        </is>
      </c>
      <c r="C437" s="110" t="inlineStr">
        <is>
          <t>Vendas do site Mundiale</t>
        </is>
      </c>
      <c r="D437" s="110" t="inlineStr">
        <is>
          <t>DTEL</t>
        </is>
      </c>
      <c r="E437" s="129" t="n">
        <v>119</v>
      </c>
      <c r="F437" s="89" t="n">
        <v>122.31</v>
      </c>
      <c r="G437" s="89" t="n">
        <v>14554.89</v>
      </c>
      <c r="H437" s="110" t="inlineStr">
        <is>
          <t>Vendas instaladas do impulsionamento site mundiale (VENDAS MUNDIALE - MAIO 2026.xlsx)</t>
        </is>
      </c>
    </row>
    <row r="438" ht="15" customHeight="1" s="64">
      <c r="A438" s="110" t="inlineStr">
        <is>
          <t>MAIO/2026</t>
        </is>
      </c>
      <c r="B438" s="110" t="inlineStr">
        <is>
          <t>Marketing</t>
        </is>
      </c>
      <c r="C438" s="110" t="inlineStr">
        <is>
          <t>Vendas do site Mundiale</t>
        </is>
      </c>
      <c r="D438" s="110" t="inlineStr">
        <is>
          <t>DTEL</t>
        </is>
      </c>
      <c r="E438" s="129" t="n">
        <v>119</v>
      </c>
      <c r="F438" s="89" t="n">
        <v>122.31</v>
      </c>
      <c r="G438" s="89" t="n">
        <v>14554.89</v>
      </c>
      <c r="H438" s="110" t="inlineStr">
        <is>
          <t>Vendas instaladas do impulsionamento site mundiale (VENDAS MUNDIALE - MAIO 2026.xlsx)</t>
        </is>
      </c>
    </row>
    <row r="439" ht="15" customHeight="1" s="64">
      <c r="A439" s="110" t="inlineStr">
        <is>
          <t>MAIO/2026</t>
        </is>
      </c>
      <c r="B439" s="110" t="inlineStr">
        <is>
          <t>Marketing</t>
        </is>
      </c>
      <c r="C439" s="110" t="inlineStr">
        <is>
          <t>Vendas do site Mundiale</t>
        </is>
      </c>
      <c r="D439" s="110" t="inlineStr">
        <is>
          <t>DX2</t>
        </is>
      </c>
      <c r="E439" s="129" t="n">
        <v>4</v>
      </c>
      <c r="F439" s="89" t="n">
        <v>127.35</v>
      </c>
      <c r="G439" s="89" t="n">
        <v>509.4</v>
      </c>
      <c r="H439" s="110" t="inlineStr">
        <is>
          <t>Vendas instaladas do impulsionamento site mundiale (VENDAS MUNDIALE - MAIO 2026.xlsx)</t>
        </is>
      </c>
    </row>
    <row r="440" ht="15" customHeight="1" s="64">
      <c r="A440" s="110" t="inlineStr">
        <is>
          <t>MAIO/2026</t>
        </is>
      </c>
      <c r="B440" s="110" t="inlineStr">
        <is>
          <t>Marketing</t>
        </is>
      </c>
      <c r="C440" s="110" t="inlineStr">
        <is>
          <t>Vendas do site Mundiale</t>
        </is>
      </c>
      <c r="D440" s="110" t="inlineStr">
        <is>
          <t>DX2</t>
        </is>
      </c>
      <c r="E440" s="129" t="n">
        <v>4</v>
      </c>
      <c r="F440" s="89" t="n">
        <v>127.35</v>
      </c>
      <c r="G440" s="89" t="n">
        <v>509.4</v>
      </c>
      <c r="H440" s="110" t="inlineStr">
        <is>
          <t>Vendas instaladas do impulsionamento site mundiale (VENDAS MUNDIALE - MAIO 2026.xlsx)</t>
        </is>
      </c>
    </row>
    <row r="441" ht="15" customHeight="1" s="64">
      <c r="A441" s="110" t="inlineStr">
        <is>
          <t>MAIO/2026</t>
        </is>
      </c>
      <c r="B441" s="110" t="inlineStr">
        <is>
          <t>Marketing</t>
        </is>
      </c>
      <c r="C441" s="110" t="inlineStr">
        <is>
          <t>Vendas do site Mundiale</t>
        </is>
      </c>
      <c r="D441" s="110" t="inlineStr">
        <is>
          <t>H&amp;A</t>
        </is>
      </c>
      <c r="E441" s="129" t="n">
        <v>18</v>
      </c>
      <c r="F441" s="89" t="n">
        <v>128.18</v>
      </c>
      <c r="G441" s="89" t="n">
        <v>2307.24</v>
      </c>
      <c r="H441" s="110" t="inlineStr">
        <is>
          <t>Vendas instaladas do impulsionamento site mundiale (VENDAS MUNDIALE - MAIO 2026.xlsx)</t>
        </is>
      </c>
    </row>
    <row r="442" ht="15" customHeight="1" s="64">
      <c r="A442" s="110" t="inlineStr">
        <is>
          <t>MAIO/2026</t>
        </is>
      </c>
      <c r="B442" s="110" t="inlineStr">
        <is>
          <t>Marketing</t>
        </is>
      </c>
      <c r="C442" s="110" t="inlineStr">
        <is>
          <t>Vendas do site Mundiale</t>
        </is>
      </c>
      <c r="D442" s="110" t="inlineStr">
        <is>
          <t>H&amp;A</t>
        </is>
      </c>
      <c r="E442" s="129" t="n">
        <v>18</v>
      </c>
      <c r="F442" s="89" t="n">
        <v>128.18</v>
      </c>
      <c r="G442" s="89" t="n">
        <v>2307.24</v>
      </c>
      <c r="H442" s="110" t="inlineStr">
        <is>
          <t>Vendas instaladas do impulsionamento site mundiale (VENDAS MUNDIALE - MAIO 2026.xlsx)</t>
        </is>
      </c>
    </row>
    <row r="443" ht="15" customHeight="1" s="64">
      <c r="A443" s="110" t="inlineStr">
        <is>
          <t>MAIO/2026</t>
        </is>
      </c>
      <c r="B443" s="110" t="inlineStr">
        <is>
          <t>Marketing</t>
        </is>
      </c>
      <c r="C443" s="110" t="inlineStr">
        <is>
          <t>Vendas do site Mundiale</t>
        </is>
      </c>
      <c r="D443" s="110" t="inlineStr">
        <is>
          <t>Soares e Lins</t>
        </is>
      </c>
      <c r="E443" s="129" t="n">
        <v>11</v>
      </c>
      <c r="F443" s="89" t="n">
        <v>122.58</v>
      </c>
      <c r="G443" s="89" t="n">
        <v>1348.38</v>
      </c>
      <c r="H443" s="110" t="inlineStr">
        <is>
          <t>Vendas instaladas do impulsionamento site mundiale (VENDAS MUNDIALE - MAIO 2026.xlsx)</t>
        </is>
      </c>
    </row>
    <row r="444" ht="15" customHeight="1" s="64">
      <c r="A444" s="110" t="inlineStr">
        <is>
          <t>MAIO/2026</t>
        </is>
      </c>
      <c r="B444" s="110" t="inlineStr">
        <is>
          <t>Marketing</t>
        </is>
      </c>
      <c r="C444" s="110" t="inlineStr">
        <is>
          <t>Vendas do site Mundiale</t>
        </is>
      </c>
      <c r="D444" s="110" t="inlineStr">
        <is>
          <t>Soares e Lins</t>
        </is>
      </c>
      <c r="E444" s="129" t="n">
        <v>11</v>
      </c>
      <c r="F444" s="89" t="n">
        <v>122.58</v>
      </c>
      <c r="G444" s="89" t="n">
        <v>1348.38</v>
      </c>
      <c r="H444" s="110" t="inlineStr">
        <is>
          <t>Vendas instaladas do impulsionamento site mundiale (VENDAS MUNDIALE - MAIO 2026.xlsx)</t>
        </is>
      </c>
    </row>
    <row r="445" ht="15" customHeight="1" s="64">
      <c r="A445" s="110" t="inlineStr">
        <is>
          <t>MAIO/2026</t>
        </is>
      </c>
      <c r="B445" s="110" t="inlineStr">
        <is>
          <t>Marketing</t>
        </is>
      </c>
      <c r="C445" s="110" t="inlineStr">
        <is>
          <t>Vendas do site Mundiale</t>
        </is>
      </c>
      <c r="D445" s="110" t="inlineStr">
        <is>
          <t>Soares e Silva</t>
        </is>
      </c>
      <c r="E445" s="129" t="n">
        <v>20</v>
      </c>
      <c r="F445" s="89" t="n">
        <v>134.1</v>
      </c>
      <c r="G445" s="89" t="n">
        <v>2682</v>
      </c>
      <c r="H445" s="110" t="inlineStr">
        <is>
          <t>Vendas instaladas do impulsionamento site mundiale (VENDAS MUNDIALE - MAIO 2026.xlsx)</t>
        </is>
      </c>
    </row>
    <row r="446" ht="15" customHeight="1" s="64">
      <c r="A446" s="110" t="inlineStr">
        <is>
          <t>MAIO/2026</t>
        </is>
      </c>
      <c r="B446" s="110" t="inlineStr">
        <is>
          <t>Marketing</t>
        </is>
      </c>
      <c r="C446" s="110" t="inlineStr">
        <is>
          <t>Vendas do site Mundiale</t>
        </is>
      </c>
      <c r="D446" s="110" t="inlineStr">
        <is>
          <t>Soares e Silva</t>
        </is>
      </c>
      <c r="E446" s="129" t="n">
        <v>1</v>
      </c>
      <c r="F446" s="89" t="n">
        <v>119.85</v>
      </c>
      <c r="G446" s="89" t="n">
        <v>119.85</v>
      </c>
      <c r="H446" s="110" t="inlineStr">
        <is>
          <t>Vendas instaladas do impulsionamento site mundiale (VENDAS MUNDIALE - junho26.xlsx)</t>
        </is>
      </c>
    </row>
    <row r="447" ht="15" customHeight="1" s="64">
      <c r="A447" s="110" t="inlineStr">
        <is>
          <t>MAIO/2026</t>
        </is>
      </c>
      <c r="B447" s="110" t="inlineStr">
        <is>
          <t>Marketing</t>
        </is>
      </c>
      <c r="C447" s="110" t="inlineStr">
        <is>
          <t>Vendas do site Mundiale</t>
        </is>
      </c>
      <c r="D447" s="110" t="inlineStr">
        <is>
          <t>Solon Araújo</t>
        </is>
      </c>
      <c r="E447" s="129" t="n">
        <v>4</v>
      </c>
      <c r="F447" s="89" t="n">
        <v>119.85</v>
      </c>
      <c r="G447" s="89" t="n">
        <v>479.4</v>
      </c>
      <c r="H447" s="110" t="inlineStr">
        <is>
          <t>Vendas instaladas do impulsionamento site mundiale (VENDAS MUNDIALE - MAIO 2026.xlsx)</t>
        </is>
      </c>
    </row>
    <row r="448" ht="15" customHeight="1" s="64">
      <c r="A448" s="110" t="inlineStr">
        <is>
          <t>MAIO/2026</t>
        </is>
      </c>
      <c r="B448" s="110" t="inlineStr">
        <is>
          <t>Marketing</t>
        </is>
      </c>
      <c r="C448" s="110" t="inlineStr">
        <is>
          <t>Vendas do site Mundiale</t>
        </is>
      </c>
      <c r="D448" s="110" t="inlineStr">
        <is>
          <t>Solon Araújo</t>
        </is>
      </c>
      <c r="E448" s="129" t="n">
        <v>4</v>
      </c>
      <c r="F448" s="89" t="n">
        <v>119.85</v>
      </c>
      <c r="G448" s="89" t="n">
        <v>479.4</v>
      </c>
      <c r="H448" s="110" t="inlineStr">
        <is>
          <t>Vendas instaladas do impulsionamento site mundiale (VENDAS MUNDIALE - MAIO 2026.xlsx)</t>
        </is>
      </c>
    </row>
    <row r="449" ht="15" customHeight="1" s="64">
      <c r="A449" s="110" t="inlineStr">
        <is>
          <t>MAIO/2026</t>
        </is>
      </c>
      <c r="B449" s="110" t="inlineStr">
        <is>
          <t>Marketing</t>
        </is>
      </c>
      <c r="C449" s="110" t="inlineStr">
        <is>
          <t>Vendas do site Mundiale</t>
        </is>
      </c>
      <c r="D449" s="110" t="inlineStr">
        <is>
          <t>Souza e Silva</t>
        </is>
      </c>
      <c r="E449" s="129" t="n">
        <v>0</v>
      </c>
      <c r="F449" s="89" t="n">
        <v>0</v>
      </c>
      <c r="G449" s="89" t="n">
        <v>0</v>
      </c>
      <c r="H449" s="110" t="inlineStr">
        <is>
          <t>Vendas instaladas do impulsionamento site mundiale</t>
        </is>
      </c>
    </row>
    <row r="450" ht="15" customHeight="1" s="64">
      <c r="A450" s="110" t="inlineStr">
        <is>
          <t>MAIO/2026</t>
        </is>
      </c>
      <c r="B450" s="110" t="inlineStr">
        <is>
          <t>Marketing</t>
        </is>
      </c>
      <c r="C450" s="110" t="inlineStr">
        <is>
          <t>Vendas do site Mundiale</t>
        </is>
      </c>
      <c r="D450" s="110" t="inlineStr">
        <is>
          <t>Voicenet</t>
        </is>
      </c>
      <c r="E450" s="129" t="n">
        <v>8</v>
      </c>
      <c r="F450" s="89" t="n">
        <v>123.6</v>
      </c>
      <c r="G450" s="89" t="n">
        <v>988.8</v>
      </c>
      <c r="H450" s="110" t="inlineStr">
        <is>
          <t>Vendas instaladas do impulsionamento site mundiale (VENDAS MUNDIALE - MAIO 2026.xlsx)</t>
        </is>
      </c>
    </row>
    <row r="451" ht="15" customHeight="1" s="64">
      <c r="A451" s="110" t="inlineStr">
        <is>
          <t>MAIO/2026</t>
        </is>
      </c>
      <c r="B451" s="110" t="inlineStr">
        <is>
          <t>Marketing</t>
        </is>
      </c>
      <c r="C451" s="110" t="inlineStr">
        <is>
          <t>Vendas do site Mundiale</t>
        </is>
      </c>
      <c r="D451" s="110" t="inlineStr">
        <is>
          <t>Voicenet</t>
        </is>
      </c>
      <c r="E451" s="129" t="n">
        <v>1</v>
      </c>
      <c r="F451" s="89" t="n">
        <v>988.8</v>
      </c>
      <c r="G451" s="89" t="n">
        <v>988.8</v>
      </c>
      <c r="H451" s="110" t="inlineStr">
        <is>
          <t>Vendas instaladas do impulsionamento site mundiale</t>
        </is>
      </c>
    </row>
    <row r="452" ht="15" customHeight="1" s="64">
      <c r="A452" s="110" t="inlineStr">
        <is>
          <t>MAIO/2026</t>
        </is>
      </c>
      <c r="B452" s="110" t="inlineStr">
        <is>
          <t>RH</t>
        </is>
      </c>
      <c r="C452" s="110" t="inlineStr">
        <is>
          <t>Fardamentos</t>
        </is>
      </c>
      <c r="D452" s="110" t="inlineStr">
        <is>
          <t>DX2</t>
        </is>
      </c>
      <c r="E452" s="129" t="n">
        <v>0</v>
      </c>
      <c r="F452" s="89" t="n">
        <v>0</v>
      </c>
      <c r="G452" s="89" t="n">
        <v>0</v>
      </c>
      <c r="H452" s="110" t="inlineStr">
        <is>
          <t>Solicitações de fardamentos administrativos</t>
        </is>
      </c>
    </row>
    <row r="453" ht="15" customHeight="1" s="64">
      <c r="A453" s="110" t="inlineStr">
        <is>
          <t>MAIO/2026</t>
        </is>
      </c>
      <c r="B453" s="110" t="inlineStr">
        <is>
          <t>RH</t>
        </is>
      </c>
      <c r="C453" s="110" t="inlineStr">
        <is>
          <t>Treinamentos/integração</t>
        </is>
      </c>
      <c r="D453" s="110" t="inlineStr">
        <is>
          <t>DX2</t>
        </is>
      </c>
      <c r="E453" s="129" t="n">
        <v>0</v>
      </c>
      <c r="F453" s="89" t="n">
        <v>0</v>
      </c>
      <c r="G453" s="89" t="n">
        <v>0</v>
      </c>
      <c r="H453" s="110" t="inlineStr">
        <is>
          <t>Despesas com seleção, treinamentos...</t>
        </is>
      </c>
    </row>
    <row r="454" ht="15" customHeight="1" s="64">
      <c r="A454" s="110" t="inlineStr">
        <is>
          <t>MAIO/2026</t>
        </is>
      </c>
      <c r="B454" s="110" t="inlineStr">
        <is>
          <t>RH</t>
        </is>
      </c>
      <c r="C454" s="110" t="inlineStr">
        <is>
          <t>Fardamentos</t>
        </is>
      </c>
      <c r="D454" s="110" t="inlineStr">
        <is>
          <t>Soares e Lins</t>
        </is>
      </c>
      <c r="E454" s="129" t="n">
        <v>0</v>
      </c>
      <c r="F454" s="89" t="n">
        <v>0</v>
      </c>
      <c r="G454" s="89" t="n">
        <v>0</v>
      </c>
      <c r="H454" s="110" t="inlineStr">
        <is>
          <t>Solicitações de fardamentos administrativos</t>
        </is>
      </c>
    </row>
    <row r="455" ht="15" customHeight="1" s="64">
      <c r="A455" s="110" t="inlineStr">
        <is>
          <t>MAIO/2026</t>
        </is>
      </c>
      <c r="B455" s="110" t="inlineStr">
        <is>
          <t>RH</t>
        </is>
      </c>
      <c r="C455" s="110" t="inlineStr">
        <is>
          <t>Treinamentos/integração</t>
        </is>
      </c>
      <c r="D455" s="110" t="inlineStr">
        <is>
          <t>Soares e Lins</t>
        </is>
      </c>
      <c r="E455" s="129" t="n">
        <v>0</v>
      </c>
      <c r="F455" s="89" t="n">
        <v>0</v>
      </c>
      <c r="G455" s="89" t="n">
        <v>0</v>
      </c>
      <c r="H455" s="110" t="inlineStr">
        <is>
          <t>Despesa com integração/alimentação</t>
        </is>
      </c>
    </row>
    <row r="456" ht="15" customHeight="1" s="64">
      <c r="A456" s="110" t="inlineStr">
        <is>
          <t>MAIO/2026</t>
        </is>
      </c>
      <c r="B456" s="110" t="inlineStr">
        <is>
          <t>RH</t>
        </is>
      </c>
      <c r="C456" s="110" t="inlineStr">
        <is>
          <t>Fardamentos</t>
        </is>
      </c>
      <c r="D456" s="110" t="inlineStr">
        <is>
          <t>Soares e Silva</t>
        </is>
      </c>
      <c r="E456" s="129" t="n">
        <v>0</v>
      </c>
      <c r="F456" s="89" t="n">
        <v>0</v>
      </c>
      <c r="G456" s="89" t="n">
        <v>0</v>
      </c>
      <c r="H456" s="110" t="inlineStr">
        <is>
          <t>Solicitações de fardamentos administrativos</t>
        </is>
      </c>
    </row>
    <row r="457" ht="15" customHeight="1" s="64">
      <c r="A457" s="110" t="inlineStr">
        <is>
          <t>MAIO/2026</t>
        </is>
      </c>
      <c r="B457" s="110" t="inlineStr">
        <is>
          <t>RH</t>
        </is>
      </c>
      <c r="C457" s="110" t="inlineStr">
        <is>
          <t>Fardamentos</t>
        </is>
      </c>
      <c r="D457" s="110" t="inlineStr">
        <is>
          <t>Soares e Silva</t>
        </is>
      </c>
      <c r="E457" s="129" t="n">
        <v>0</v>
      </c>
      <c r="F457" s="89" t="n">
        <v>0</v>
      </c>
      <c r="G457" s="89" t="n">
        <v>0</v>
      </c>
      <c r="H457" s="110" t="inlineStr">
        <is>
          <t>Solicitações de fardamentos administrativos</t>
        </is>
      </c>
    </row>
    <row r="458" ht="15" customHeight="1" s="64">
      <c r="A458" s="110" t="inlineStr">
        <is>
          <t>MAIO/2026</t>
        </is>
      </c>
      <c r="B458" s="110" t="inlineStr">
        <is>
          <t>RH</t>
        </is>
      </c>
      <c r="C458" s="110" t="inlineStr">
        <is>
          <t>Fardamentos</t>
        </is>
      </c>
      <c r="D458" s="110" t="inlineStr">
        <is>
          <t>Solon Araújo</t>
        </is>
      </c>
      <c r="E458" s="129" t="n">
        <v>0</v>
      </c>
      <c r="F458" s="89" t="n">
        <v>0</v>
      </c>
      <c r="G458" s="89" t="n">
        <v>0</v>
      </c>
      <c r="H458" s="110" t="inlineStr">
        <is>
          <t>Solicitações de fardamentos administrativos</t>
        </is>
      </c>
    </row>
    <row r="459" ht="15" customHeight="1" s="64">
      <c r="A459" s="110" t="inlineStr">
        <is>
          <t>MAIO/2026</t>
        </is>
      </c>
      <c r="B459" s="110" t="inlineStr">
        <is>
          <t>RH</t>
        </is>
      </c>
      <c r="C459" s="110" t="inlineStr">
        <is>
          <t>Treinamentos/integração</t>
        </is>
      </c>
      <c r="D459" s="110" t="inlineStr">
        <is>
          <t>Solon Araújo</t>
        </is>
      </c>
      <c r="E459" s="129" t="n">
        <v>0</v>
      </c>
      <c r="F459" s="89" t="n">
        <v>0</v>
      </c>
      <c r="G459" s="89" t="n">
        <v>0</v>
      </c>
      <c r="H459" s="110" t="inlineStr">
        <is>
          <t>Despesas com seleção, treinamentos...</t>
        </is>
      </c>
    </row>
    <row r="460" ht="15" customHeight="1" s="64">
      <c r="A460" s="110" t="inlineStr">
        <is>
          <t>MAIO/2026</t>
        </is>
      </c>
      <c r="B460" s="110" t="inlineStr">
        <is>
          <t>RH</t>
        </is>
      </c>
      <c r="C460" s="110" t="inlineStr">
        <is>
          <t>Fardamentos</t>
        </is>
      </c>
      <c r="D460" s="110" t="inlineStr">
        <is>
          <t>Souza e Silva</t>
        </is>
      </c>
      <c r="E460" s="129" t="n">
        <v>0</v>
      </c>
      <c r="F460" s="89" t="n">
        <v>0</v>
      </c>
      <c r="G460" s="89" t="n">
        <v>0</v>
      </c>
      <c r="H460" s="110" t="inlineStr">
        <is>
          <t>Solicitações de fardamentos administrativos</t>
        </is>
      </c>
    </row>
    <row r="461" ht="15" customHeight="1" s="64">
      <c r="A461" s="110" t="inlineStr">
        <is>
          <t>MAIO/2026</t>
        </is>
      </c>
      <c r="B461" s="110" t="inlineStr">
        <is>
          <t>RH</t>
        </is>
      </c>
      <c r="C461" s="110" t="inlineStr">
        <is>
          <t>Fardamentos</t>
        </is>
      </c>
      <c r="D461" s="110" t="inlineStr">
        <is>
          <t>Voicenet</t>
        </is>
      </c>
      <c r="E461" s="129" t="n">
        <v>0</v>
      </c>
      <c r="F461" s="89" t="n">
        <v>0</v>
      </c>
      <c r="G461" s="89" t="n">
        <v>0</v>
      </c>
      <c r="H461" s="110" t="inlineStr">
        <is>
          <t>Solicitações de fardamentos administrativos</t>
        </is>
      </c>
    </row>
    <row r="462" ht="15" customHeight="1" s="64">
      <c r="A462" s="110" t="inlineStr">
        <is>
          <t>MAIO/2026</t>
        </is>
      </c>
      <c r="B462" s="110" t="inlineStr">
        <is>
          <t>RH</t>
        </is>
      </c>
      <c r="C462" s="110" t="inlineStr">
        <is>
          <t>Treinamentos/integração</t>
        </is>
      </c>
      <c r="D462" s="110" t="inlineStr">
        <is>
          <t>Voicenet</t>
        </is>
      </c>
      <c r="E462" s="129" t="n">
        <v>0</v>
      </c>
      <c r="F462" s="89" t="n">
        <v>0</v>
      </c>
      <c r="G462" s="89" t="n">
        <v>0</v>
      </c>
      <c r="H462" s="110" t="inlineStr">
        <is>
          <t>Despesa de alimentação de colaboradores em integração</t>
        </is>
      </c>
    </row>
    <row r="463" ht="15" customHeight="1" s="64">
      <c r="A463" s="110" t="inlineStr">
        <is>
          <t>MAIO/2026</t>
        </is>
      </c>
      <c r="B463" s="110" t="inlineStr">
        <is>
          <t>Relacionamento</t>
        </is>
      </c>
      <c r="C463" s="110" t="inlineStr">
        <is>
          <t>Relacionamento Dtel</t>
        </is>
      </c>
      <c r="D463" s="110" t="inlineStr">
        <is>
          <t>H&amp;A</t>
        </is>
      </c>
      <c r="E463" s="129" t="n">
        <v>13402</v>
      </c>
      <c r="F463" s="89" t="n">
        <v>2.35573300476439</v>
      </c>
      <c r="G463" s="89" t="n">
        <v>31571.53373</v>
      </c>
      <c r="H463" s="110" t="inlineStr">
        <is>
          <t>Cálculo por número de clientes ativos</t>
        </is>
      </c>
    </row>
    <row r="464" ht="15" customHeight="1" s="64">
      <c r="A464" s="110" t="inlineStr">
        <is>
          <t>MAIO/2026</t>
        </is>
      </c>
      <c r="B464" s="110" t="inlineStr">
        <is>
          <t>Segurança do Trabalho</t>
        </is>
      </c>
      <c r="C464" s="110" t="inlineStr">
        <is>
          <t>Equipamentos de Segurança</t>
        </is>
      </c>
      <c r="D464" s="110" t="inlineStr">
        <is>
          <t>DX2</t>
        </is>
      </c>
      <c r="E464" s="129" t="n">
        <v>1</v>
      </c>
      <c r="F464" s="89" t="n">
        <v>4343.82</v>
      </c>
      <c r="G464" s="89" t="n">
        <v>4343.82</v>
      </c>
      <c r="H464" s="110" t="inlineStr">
        <is>
          <t>EPI/Equipamentos do mês (CUSTO DE SEGURANÇA - MAIO26.xlsx)</t>
        </is>
      </c>
    </row>
    <row r="465" ht="15" customHeight="1" s="64">
      <c r="A465" s="110" t="inlineStr">
        <is>
          <t>MAIO/2026</t>
        </is>
      </c>
      <c r="B465" s="110" t="inlineStr">
        <is>
          <t>Segurança do Trabalho</t>
        </is>
      </c>
      <c r="C465" s="110" t="inlineStr">
        <is>
          <t>Equipamentos de Segurança</t>
        </is>
      </c>
      <c r="D465" s="110" t="inlineStr">
        <is>
          <t>H&amp;A</t>
        </is>
      </c>
      <c r="E465" s="129" t="n">
        <v>1</v>
      </c>
      <c r="F465" s="89" t="n">
        <v>4773.1</v>
      </c>
      <c r="G465" s="89" t="n">
        <v>4773.1</v>
      </c>
      <c r="H465" s="110" t="inlineStr">
        <is>
          <t>EPI/Equipamentos do mês (CUSTO DE SEGURANÇA - MAIO26.xlsx)</t>
        </is>
      </c>
    </row>
    <row r="466" ht="15" customHeight="1" s="64">
      <c r="A466" s="110" t="inlineStr">
        <is>
          <t>MAIO/2026</t>
        </is>
      </c>
      <c r="B466" s="110" t="inlineStr">
        <is>
          <t>Segurança do Trabalho</t>
        </is>
      </c>
      <c r="C466" s="110" t="inlineStr">
        <is>
          <t>Km rodado Segurança e Saúde do Trabalho dtel p/ H&amp;a</t>
        </is>
      </c>
      <c r="D466" s="110" t="inlineStr">
        <is>
          <t>H&amp;A</t>
        </is>
      </c>
      <c r="E466" s="129" t="n">
        <v>0</v>
      </c>
      <c r="F466" s="89" t="n">
        <v>0</v>
      </c>
      <c r="G466" s="89" t="n">
        <v>0</v>
      </c>
      <c r="H466" s="110" t="inlineStr">
        <is>
          <t>Deslocamento da equipe para Horas cursos de normas e reciclagem ou visitas</t>
        </is>
      </c>
    </row>
    <row r="467" ht="15" customHeight="1" s="64">
      <c r="A467" s="110" t="inlineStr">
        <is>
          <t>MAIO/2026</t>
        </is>
      </c>
      <c r="B467" s="110" t="inlineStr">
        <is>
          <t>Segurança do Trabalho</t>
        </is>
      </c>
      <c r="C467" s="110" t="inlineStr">
        <is>
          <t>Saude e segurança no trabalho</t>
        </is>
      </c>
      <c r="D467" s="110" t="inlineStr">
        <is>
          <t>H&amp;A</t>
        </is>
      </c>
      <c r="E467" s="129" t="n">
        <v>0</v>
      </c>
      <c r="F467" s="89" t="n">
        <v>0</v>
      </c>
      <c r="G467" s="89" t="n">
        <v>0</v>
      </c>
      <c r="H467" s="110" t="inlineStr">
        <is>
          <t>Rateio do departamento (despesa por colaborador, mês de jan fev e março)</t>
        </is>
      </c>
    </row>
    <row r="468" ht="15" customHeight="1" s="64">
      <c r="A468" s="110" t="inlineStr">
        <is>
          <t>MAIO/2026</t>
        </is>
      </c>
      <c r="B468" s="110" t="inlineStr">
        <is>
          <t>Segurança do Trabalho</t>
        </is>
      </c>
      <c r="C468" s="110" t="inlineStr">
        <is>
          <t>Serviços prestados pela equipe Segurança do trabalho dtel p/ h&amp;a</t>
        </is>
      </c>
      <c r="D468" s="110" t="inlineStr">
        <is>
          <t>H&amp;A</t>
        </is>
      </c>
      <c r="E468" s="129" t="n">
        <v>0</v>
      </c>
      <c r="F468" s="89" t="n">
        <v>0</v>
      </c>
      <c r="G468" s="89" t="n">
        <v>0</v>
      </c>
      <c r="H468" s="110" t="inlineStr">
        <is>
          <t>Serviços da equipe para Horas cursos de normas e reciclagem ou visitas</t>
        </is>
      </c>
    </row>
    <row r="469" ht="15" customHeight="1" s="64">
      <c r="A469" s="110" t="inlineStr">
        <is>
          <t>MAIO/2026</t>
        </is>
      </c>
      <c r="B469" s="110" t="inlineStr">
        <is>
          <t>Segurança do Trabalho</t>
        </is>
      </c>
      <c r="C469" s="110" t="inlineStr">
        <is>
          <t>Equipamentos de Segurança</t>
        </is>
      </c>
      <c r="D469" s="110" t="inlineStr">
        <is>
          <t>Soares e Lins</t>
        </is>
      </c>
      <c r="E469" s="129" t="n">
        <v>1</v>
      </c>
      <c r="F469" s="89" t="n">
        <v>1019.8</v>
      </c>
      <c r="G469" s="89" t="n">
        <v>1019.8</v>
      </c>
      <c r="H469" s="110" t="inlineStr">
        <is>
          <t>EPI/Equipamentos do mês (CUSTO DE SEGURANÇA - MAIO26.xlsx)</t>
        </is>
      </c>
    </row>
    <row r="470" ht="15" customHeight="1" s="64">
      <c r="A470" s="110" t="inlineStr">
        <is>
          <t>MAIO/2026</t>
        </is>
      </c>
      <c r="B470" s="110" t="inlineStr">
        <is>
          <t>Segurança do Trabalho</t>
        </is>
      </c>
      <c r="C470" s="110" t="inlineStr">
        <is>
          <t>Equipamentos de Segurança</t>
        </is>
      </c>
      <c r="D470" s="110" t="inlineStr">
        <is>
          <t>Soares e Lins</t>
        </is>
      </c>
      <c r="E470" s="129" t="n">
        <v>0</v>
      </c>
      <c r="F470" s="89" t="n">
        <v>0</v>
      </c>
      <c r="G470" s="89" t="n">
        <v>0</v>
      </c>
      <c r="H470" s="110" t="inlineStr">
        <is>
          <t>EPI, EPC, Fardamento</t>
        </is>
      </c>
    </row>
    <row r="471" ht="15" customHeight="1" s="64">
      <c r="A471" s="110" t="inlineStr">
        <is>
          <t>MAIO/2026</t>
        </is>
      </c>
      <c r="B471" s="110" t="inlineStr">
        <is>
          <t>Segurança do Trabalho</t>
        </is>
      </c>
      <c r="C471" s="110" t="inlineStr">
        <is>
          <t>Km rodado Segurança e Saúde do Trabalho dtel p/ soares e lins</t>
        </is>
      </c>
      <c r="D471" s="110" t="inlineStr">
        <is>
          <t>Soares e Lins</t>
        </is>
      </c>
      <c r="E471" s="129" t="n">
        <v>0</v>
      </c>
      <c r="F471" s="89" t="n">
        <v>0</v>
      </c>
      <c r="G471" s="89" t="n">
        <v>0</v>
      </c>
      <c r="H471" s="110" t="inlineStr">
        <is>
          <t>Deslocamento da equipe para Horas cursos de normas e reciclagem ou visitas</t>
        </is>
      </c>
    </row>
    <row r="472" ht="15" customHeight="1" s="64">
      <c r="A472" s="110" t="inlineStr">
        <is>
          <t>MAIO/2026</t>
        </is>
      </c>
      <c r="B472" s="110" t="inlineStr">
        <is>
          <t>Segurança do Trabalho</t>
        </is>
      </c>
      <c r="C472" s="110" t="inlineStr">
        <is>
          <t>Serviços prestados pela equipe Segurança do trabalho</t>
        </is>
      </c>
      <c r="D472" s="110" t="inlineStr">
        <is>
          <t>Soares e Lins</t>
        </is>
      </c>
      <c r="E472" s="129" t="n">
        <v>0</v>
      </c>
      <c r="F472" s="89" t="n">
        <v>0</v>
      </c>
      <c r="G472" s="89" t="n">
        <v>0</v>
      </c>
      <c r="H472" s="110" t="inlineStr">
        <is>
          <t>Serviços da equipe para Horas cursos de normas e reciclagem ou visitas</t>
        </is>
      </c>
    </row>
    <row r="473" ht="15" customHeight="1" s="64">
      <c r="A473" s="110" t="inlineStr">
        <is>
          <t>MAIO/2026</t>
        </is>
      </c>
      <c r="B473" s="110" t="inlineStr">
        <is>
          <t>Segurança do Trabalho</t>
        </is>
      </c>
      <c r="C473" s="110" t="inlineStr">
        <is>
          <t>Equipamentos de Segurança</t>
        </is>
      </c>
      <c r="D473" s="110" t="inlineStr">
        <is>
          <t>Soares e Silva</t>
        </is>
      </c>
      <c r="E473" s="129" t="n">
        <v>1</v>
      </c>
      <c r="F473" s="89" t="n">
        <v>2399.73</v>
      </c>
      <c r="G473" s="89" t="n">
        <v>2399.73</v>
      </c>
      <c r="H473" s="110" t="inlineStr">
        <is>
          <t>EPI/Equipamentos do mês (CUSTO DE SEGURANÇA - MAIO26.xlsx)</t>
        </is>
      </c>
    </row>
    <row r="474" ht="15" customHeight="1" s="64">
      <c r="A474" s="110" t="inlineStr">
        <is>
          <t>MAIO/2026</t>
        </is>
      </c>
      <c r="B474" s="110" t="inlineStr">
        <is>
          <t>Segurança do Trabalho</t>
        </is>
      </c>
      <c r="C474" s="110" t="inlineStr">
        <is>
          <t>Km rodado Segurança e Saúde do Trabalho soares e silva p/ Dtel</t>
        </is>
      </c>
      <c r="D474" s="110" t="inlineStr">
        <is>
          <t>Soares e Silva</t>
        </is>
      </c>
      <c r="E474" s="129" t="n">
        <v>0</v>
      </c>
      <c r="F474" s="89" t="n">
        <v>0</v>
      </c>
      <c r="G474" s="89" t="n">
        <v>0</v>
      </c>
      <c r="H474" s="110" t="inlineStr">
        <is>
          <t>Deslocamento da equipe para Horas cursos de normas e reciclagem ou visitas</t>
        </is>
      </c>
    </row>
    <row r="475" ht="15" customHeight="1" s="64">
      <c r="A475" s="110" t="inlineStr">
        <is>
          <t>MAIO/2026</t>
        </is>
      </c>
      <c r="B475" s="110" t="inlineStr">
        <is>
          <t>Segurança do Trabalho</t>
        </is>
      </c>
      <c r="C475" s="110" t="inlineStr">
        <is>
          <t>Km rodado Segurança e Saúde do Trabalho soares e silva p/ LITORAL</t>
        </is>
      </c>
      <c r="D475" s="110" t="inlineStr">
        <is>
          <t>Soares e Silva</t>
        </is>
      </c>
      <c r="E475" s="129" t="n">
        <v>0</v>
      </c>
      <c r="F475" s="89" t="n">
        <v>0</v>
      </c>
      <c r="G475" s="89" t="n">
        <v>0</v>
      </c>
      <c r="H475" s="110" t="inlineStr">
        <is>
          <t>Deslocamento da equipe para Horas cursos de normas e reciclagem ou visitas</t>
        </is>
      </c>
    </row>
    <row r="476" ht="15" customHeight="1" s="64">
      <c r="A476" s="110" t="inlineStr">
        <is>
          <t>MAIO/2026</t>
        </is>
      </c>
      <c r="B476" s="110" t="inlineStr">
        <is>
          <t>Segurança do Trabalho</t>
        </is>
      </c>
      <c r="C476" s="110" t="inlineStr">
        <is>
          <t>Serviços prestados pela equipe Segurança do trabalho soares e silva p/ LITORAL</t>
        </is>
      </c>
      <c r="D476" s="110" t="inlineStr">
        <is>
          <t>Soares e Silva</t>
        </is>
      </c>
      <c r="E476" s="129" t="n">
        <v>0</v>
      </c>
      <c r="F476" s="89" t="n">
        <v>0</v>
      </c>
      <c r="G476" s="89" t="n">
        <v>0</v>
      </c>
      <c r="H476" s="110" t="inlineStr">
        <is>
          <t>Serviços da equipe para Horas cursos de normas e reciclagem ou visitas</t>
        </is>
      </c>
    </row>
    <row r="477" ht="15" customHeight="1" s="64">
      <c r="A477" s="110" t="inlineStr">
        <is>
          <t>MAIO/2026</t>
        </is>
      </c>
      <c r="B477" s="110" t="inlineStr">
        <is>
          <t>Segurança do Trabalho</t>
        </is>
      </c>
      <c r="C477" s="110" t="inlineStr">
        <is>
          <t>Serviços prestados pela equipe Segurança do trabalho soares e silva p/ dtel</t>
        </is>
      </c>
      <c r="D477" s="110" t="inlineStr">
        <is>
          <t>Soares e Silva</t>
        </is>
      </c>
      <c r="E477" s="129" t="n">
        <v>0</v>
      </c>
      <c r="F477" s="89" t="n">
        <v>0</v>
      </c>
      <c r="G477" s="89" t="n">
        <v>0</v>
      </c>
      <c r="H477" s="110" t="inlineStr">
        <is>
          <t>Serviços da equipe para Horas cursos de normas e reciclagem ou visitas</t>
        </is>
      </c>
    </row>
    <row r="478" ht="15" customHeight="1" s="64">
      <c r="A478" s="110" t="inlineStr">
        <is>
          <t>MAIO/2026</t>
        </is>
      </c>
      <c r="B478" s="110" t="inlineStr">
        <is>
          <t>Segurança do Trabalho</t>
        </is>
      </c>
      <c r="C478" s="110" t="inlineStr">
        <is>
          <t>Equipamentos de Segurança</t>
        </is>
      </c>
      <c r="D478" s="110" t="inlineStr">
        <is>
          <t>Solon Araújo</t>
        </is>
      </c>
      <c r="E478" s="129" t="n">
        <v>0</v>
      </c>
      <c r="F478" s="89" t="n">
        <v>0</v>
      </c>
      <c r="G478" s="89" t="n">
        <v>0</v>
      </c>
      <c r="H478" s="110" t="inlineStr">
        <is>
          <t>Devolução de Crédito</t>
        </is>
      </c>
    </row>
    <row r="479" ht="15" customHeight="1" s="64">
      <c r="A479" s="110" t="inlineStr">
        <is>
          <t>MAIO/2026</t>
        </is>
      </c>
      <c r="B479" s="110" t="inlineStr">
        <is>
          <t>Segurança do Trabalho</t>
        </is>
      </c>
      <c r="C479" s="110" t="inlineStr">
        <is>
          <t>Equipamentos de Segurança</t>
        </is>
      </c>
      <c r="D479" s="110" t="inlineStr">
        <is>
          <t>Solon Araújo</t>
        </is>
      </c>
      <c r="E479" s="129" t="n">
        <v>1</v>
      </c>
      <c r="F479" s="89" t="n">
        <v>4808.82</v>
      </c>
      <c r="G479" s="89" t="n">
        <v>4808.82</v>
      </c>
      <c r="H479" s="110" t="inlineStr">
        <is>
          <t>EPI, EPC, Fardamento</t>
        </is>
      </c>
    </row>
    <row r="480" ht="15" customHeight="1" s="64">
      <c r="A480" s="110" t="inlineStr">
        <is>
          <t>MAIO/2026</t>
        </is>
      </c>
      <c r="B480" s="110" t="inlineStr">
        <is>
          <t>Segurança do Trabalho</t>
        </is>
      </c>
      <c r="C480" s="110" t="inlineStr">
        <is>
          <t>Km rodado Segurança e Saúde do Trabalho soares e silva p/ LITORAL</t>
        </is>
      </c>
      <c r="D480" s="110" t="inlineStr">
        <is>
          <t>Solon Araújo</t>
        </is>
      </c>
      <c r="E480" s="129" t="n">
        <v>0</v>
      </c>
      <c r="F480" s="89" t="n">
        <v>0</v>
      </c>
      <c r="G480" s="89" t="n">
        <v>0</v>
      </c>
      <c r="H480" s="110" t="inlineStr">
        <is>
          <t>Serviços da equipe para Horas cursos de normas e reciclagem ou visitas</t>
        </is>
      </c>
    </row>
    <row r="481" ht="15" customHeight="1" s="64">
      <c r="A481" s="110" t="inlineStr">
        <is>
          <t>MAIO/2026</t>
        </is>
      </c>
      <c r="B481" s="110" t="inlineStr">
        <is>
          <t>Segurança do Trabalho</t>
        </is>
      </c>
      <c r="C481" s="110" t="inlineStr">
        <is>
          <t>Serviços prestados pela equipe Segurança do trabalho soares e silva p/ LITORAL</t>
        </is>
      </c>
      <c r="D481" s="110" t="inlineStr">
        <is>
          <t>Solon Araújo</t>
        </is>
      </c>
      <c r="E481" s="129" t="n">
        <v>0</v>
      </c>
      <c r="F481" s="89" t="n">
        <v>0</v>
      </c>
      <c r="G481" s="89" t="n">
        <v>0</v>
      </c>
      <c r="H481" s="110" t="inlineStr">
        <is>
          <t>Serviços da equipe para Horas cursos de normas e reciclagem ou visitas</t>
        </is>
      </c>
    </row>
    <row r="482" ht="15" customHeight="1" s="64">
      <c r="A482" s="110" t="inlineStr">
        <is>
          <t>MAIO/2026</t>
        </is>
      </c>
      <c r="B482" s="110" t="inlineStr">
        <is>
          <t>Segurança do Trabalho</t>
        </is>
      </c>
      <c r="C482" s="110" t="inlineStr">
        <is>
          <t>Equipamentos de Segurança</t>
        </is>
      </c>
      <c r="D482" s="110" t="inlineStr">
        <is>
          <t>Souza e Silva</t>
        </is>
      </c>
      <c r="E482" s="129" t="n">
        <v>1</v>
      </c>
      <c r="F482" s="89" t="n">
        <v>111.44</v>
      </c>
      <c r="G482" s="89" t="n">
        <v>111.44</v>
      </c>
      <c r="H482" s="110" t="inlineStr">
        <is>
          <t>EPI/Equipamentos do mês (CUSTO DE SEGURANÇA - MAIO26.xlsx)</t>
        </is>
      </c>
    </row>
    <row r="483" ht="15" customHeight="1" s="64">
      <c r="A483" s="110" t="inlineStr">
        <is>
          <t>MAIO/2026</t>
        </is>
      </c>
      <c r="B483" s="110" t="inlineStr">
        <is>
          <t>Segurança do Trabalho</t>
        </is>
      </c>
      <c r="C483" s="110" t="inlineStr">
        <is>
          <t>Equipamentos de Segurança</t>
        </is>
      </c>
      <c r="D483" s="110" t="inlineStr">
        <is>
          <t>Souza e Silva</t>
        </is>
      </c>
      <c r="E483" s="129" t="n">
        <v>0</v>
      </c>
      <c r="F483" s="89" t="n">
        <v>0</v>
      </c>
      <c r="G483" s="89" t="n">
        <v>0</v>
      </c>
      <c r="H483" s="110" t="inlineStr">
        <is>
          <t>Devolução de Crédito</t>
        </is>
      </c>
    </row>
    <row r="484" ht="15" customHeight="1" s="64">
      <c r="A484" s="110" t="inlineStr">
        <is>
          <t>MAIO/2026</t>
        </is>
      </c>
      <c r="B484" s="110" t="inlineStr">
        <is>
          <t>Segurança do Trabalho</t>
        </is>
      </c>
      <c r="C484" s="110" t="inlineStr">
        <is>
          <t>Equipamentos de Segurança</t>
        </is>
      </c>
      <c r="D484" s="110" t="inlineStr">
        <is>
          <t>Voicenet</t>
        </is>
      </c>
      <c r="E484" s="129" t="n">
        <v>1</v>
      </c>
      <c r="F484" s="89" t="n">
        <v>4028.26</v>
      </c>
      <c r="G484" s="89" t="n">
        <v>4028.26</v>
      </c>
      <c r="H484" s="110" t="inlineStr">
        <is>
          <t>EPI/Equipamentos do mês (CUSTO DE SEGURANÇA - MAIO26.xlsx)</t>
        </is>
      </c>
    </row>
    <row r="485" ht="15" customHeight="1" s="64">
      <c r="A485" s="110" t="inlineStr">
        <is>
          <t>MAIO/2026</t>
        </is>
      </c>
      <c r="B485" s="110" t="inlineStr">
        <is>
          <t>Segurança do Trabalho</t>
        </is>
      </c>
      <c r="C485" s="110" t="inlineStr">
        <is>
          <t>Equipamentos de Segurança</t>
        </is>
      </c>
      <c r="D485" s="110" t="inlineStr">
        <is>
          <t>Voicenet</t>
        </is>
      </c>
      <c r="E485" s="129" t="n">
        <v>0</v>
      </c>
      <c r="F485" s="89" t="n">
        <v>0</v>
      </c>
      <c r="G485" s="89" t="n">
        <v>0</v>
      </c>
      <c r="H485" s="110" t="inlineStr">
        <is>
          <t>Devolução de Crédito</t>
        </is>
      </c>
    </row>
    <row r="486" ht="15" customHeight="1" s="64">
      <c r="A486" s="110" t="inlineStr">
        <is>
          <t>MAIO/2026</t>
        </is>
      </c>
      <c r="B486" s="110" t="inlineStr">
        <is>
          <t>Segurança do Trabalho</t>
        </is>
      </c>
      <c r="C486" s="110" t="inlineStr">
        <is>
          <t>Km rodado Segurança e Saúde do Trabalho dtel p/ voice net</t>
        </is>
      </c>
      <c r="D486" s="110" t="inlineStr">
        <is>
          <t>Voicenet</t>
        </is>
      </c>
      <c r="E486" s="129" t="n">
        <v>0</v>
      </c>
      <c r="F486" s="89" t="n">
        <v>0</v>
      </c>
      <c r="G486" s="89" t="n">
        <v>0</v>
      </c>
      <c r="H486" s="110" t="inlineStr">
        <is>
          <t>Deslocamento da equipe para Horas cursos de normas e reciclagem ou visitas</t>
        </is>
      </c>
    </row>
    <row r="487" ht="15" customHeight="1" s="64">
      <c r="A487" s="110" t="inlineStr">
        <is>
          <t>MAIO/2026</t>
        </is>
      </c>
      <c r="B487" s="110" t="inlineStr">
        <is>
          <t>Segurança do Trabalho</t>
        </is>
      </c>
      <c r="C487" s="110" t="inlineStr">
        <is>
          <t>Serviços prestados pela equipe Segurança do trabalho</t>
        </is>
      </c>
      <c r="D487" s="110" t="inlineStr">
        <is>
          <t>Voicenet</t>
        </is>
      </c>
      <c r="E487" s="129" t="n">
        <v>0</v>
      </c>
      <c r="F487" s="89" t="n">
        <v>0</v>
      </c>
      <c r="G487" s="89" t="n">
        <v>0</v>
      </c>
      <c r="H487" s="110" t="inlineStr">
        <is>
          <t>Serviços da equipe para Horas cursos de normas e reciclagem ou visitas</t>
        </is>
      </c>
    </row>
    <row r="488" ht="15" customHeight="1" s="64">
      <c r="A488" s="110" t="inlineStr">
        <is>
          <t>MAIO/2026</t>
        </is>
      </c>
      <c r="B488" s="110" t="inlineStr">
        <is>
          <t>TIC</t>
        </is>
      </c>
      <c r="C488" s="110" t="inlineStr">
        <is>
          <t>E-mail Dtel</t>
        </is>
      </c>
      <c r="D488" s="110" t="inlineStr">
        <is>
          <t>DX2</t>
        </is>
      </c>
      <c r="E488" s="129" t="n">
        <v>2</v>
      </c>
      <c r="F488" s="89" t="n">
        <v>50</v>
      </c>
      <c r="G488" s="89" t="n">
        <v>100</v>
      </c>
      <c r="H488" s="110" t="inlineStr">
        <is>
          <t>Utilização de email corporativo</t>
        </is>
      </c>
    </row>
    <row r="489" ht="15" customHeight="1" s="64">
      <c r="A489" s="110" t="inlineStr">
        <is>
          <t>MAIO/2026</t>
        </is>
      </c>
      <c r="B489" s="110" t="inlineStr">
        <is>
          <t>TIC</t>
        </is>
      </c>
      <c r="C489" s="110" t="inlineStr">
        <is>
          <t>E-mail Dtel</t>
        </is>
      </c>
      <c r="D489" s="110" t="inlineStr">
        <is>
          <t>Soares e Lins</t>
        </is>
      </c>
      <c r="E489" s="129" t="n">
        <v>1</v>
      </c>
      <c r="F489" s="89" t="n">
        <v>10</v>
      </c>
      <c r="G489" s="89" t="n">
        <v>10</v>
      </c>
      <c r="H489" s="110" t="inlineStr">
        <is>
          <t>Utilização de email corporativo</t>
        </is>
      </c>
    </row>
    <row r="490" ht="15" customHeight="1" s="64">
      <c r="A490" s="110" t="inlineStr">
        <is>
          <t>MAIO/2026</t>
        </is>
      </c>
      <c r="B490" s="110" t="inlineStr">
        <is>
          <t>TIC</t>
        </is>
      </c>
      <c r="C490" s="110" t="inlineStr">
        <is>
          <t>E-mail Dtel</t>
        </is>
      </c>
      <c r="D490" s="110" t="inlineStr">
        <is>
          <t>Soares e Silva</t>
        </is>
      </c>
      <c r="E490" s="129" t="n">
        <v>1</v>
      </c>
      <c r="F490" s="89" t="n">
        <v>10</v>
      </c>
      <c r="G490" s="89" t="n">
        <v>10</v>
      </c>
      <c r="H490" s="110" t="inlineStr">
        <is>
          <t>Utilização de email corporativo</t>
        </is>
      </c>
    </row>
    <row r="491" ht="15" customHeight="1" s="64">
      <c r="A491" s="110" t="inlineStr">
        <is>
          <t>MAIO/2026</t>
        </is>
      </c>
      <c r="B491" s="110" t="inlineStr">
        <is>
          <t>TIC</t>
        </is>
      </c>
      <c r="C491" s="110" t="inlineStr">
        <is>
          <t>E-mail Dtel</t>
        </is>
      </c>
      <c r="D491" s="110" t="inlineStr">
        <is>
          <t>Soares e Silva</t>
        </is>
      </c>
      <c r="E491" s="129" t="n">
        <v>5</v>
      </c>
      <c r="F491" s="89" t="n">
        <v>50</v>
      </c>
      <c r="G491" s="89" t="n">
        <v>250</v>
      </c>
      <c r="H491" s="110" t="inlineStr">
        <is>
          <t>Utilização de email corporativo</t>
        </is>
      </c>
    </row>
    <row r="492" ht="15" customHeight="1" s="64">
      <c r="A492" s="110" t="inlineStr">
        <is>
          <t>MAIO/2026</t>
        </is>
      </c>
      <c r="B492" s="110" t="inlineStr">
        <is>
          <t>TIC</t>
        </is>
      </c>
      <c r="C492" s="110" t="inlineStr">
        <is>
          <t>E-mail Dtel</t>
        </is>
      </c>
      <c r="D492" s="110" t="inlineStr">
        <is>
          <t>Solon Araújo</t>
        </is>
      </c>
      <c r="E492" s="129" t="n">
        <v>2</v>
      </c>
      <c r="F492" s="89" t="n">
        <v>50</v>
      </c>
      <c r="G492" s="89" t="n">
        <v>100</v>
      </c>
      <c r="H492" s="110" t="inlineStr">
        <is>
          <t>Utilização de email corporativo</t>
        </is>
      </c>
    </row>
    <row r="493" ht="15" customHeight="1" s="64">
      <c r="A493" s="110" t="inlineStr">
        <is>
          <t>MAIO/2026</t>
        </is>
      </c>
      <c r="B493" s="110" t="inlineStr">
        <is>
          <t>TIC</t>
        </is>
      </c>
      <c r="C493" s="110" t="inlineStr">
        <is>
          <t>E-mail Dtel</t>
        </is>
      </c>
      <c r="D493" s="110" t="inlineStr">
        <is>
          <t>Souza e Silva</t>
        </is>
      </c>
      <c r="E493" s="129" t="n">
        <v>1</v>
      </c>
      <c r="F493" s="89" t="n">
        <v>50</v>
      </c>
      <c r="G493" s="89" t="n">
        <v>50</v>
      </c>
      <c r="H493" s="110" t="inlineStr">
        <is>
          <t>Utilização de email corporativo</t>
        </is>
      </c>
    </row>
    <row r="494" ht="15" customHeight="1" s="64">
      <c r="A494" s="110" t="inlineStr">
        <is>
          <t>MAIO/2026</t>
        </is>
      </c>
      <c r="B494" s="110" t="inlineStr">
        <is>
          <t>TIC</t>
        </is>
      </c>
      <c r="C494" s="110" t="inlineStr">
        <is>
          <t>E-mail Dtel</t>
        </is>
      </c>
      <c r="D494" s="110" t="inlineStr">
        <is>
          <t>Voicenet</t>
        </is>
      </c>
      <c r="E494" s="129" t="n">
        <v>1</v>
      </c>
      <c r="F494" s="89" t="n">
        <v>90</v>
      </c>
      <c r="G494" s="89" t="n">
        <v>90</v>
      </c>
      <c r="H494" s="110" t="inlineStr">
        <is>
          <t>Utilização de email corporativo</t>
        </is>
      </c>
    </row>
    <row r="495" ht="15" customHeight="1" s="64">
      <c r="A495" s="110" t="inlineStr">
        <is>
          <t>MAIO/2026</t>
        </is>
      </c>
      <c r="B495" s="110" t="inlineStr">
        <is>
          <t>TIC</t>
        </is>
      </c>
      <c r="C495" s="110" t="inlineStr">
        <is>
          <t>E-mail Dtel</t>
        </is>
      </c>
      <c r="D495" s="110" t="inlineStr">
        <is>
          <t>Voicenet</t>
        </is>
      </c>
      <c r="E495" s="129" t="n">
        <v>2</v>
      </c>
      <c r="F495" s="89" t="n">
        <v>10</v>
      </c>
      <c r="G495" s="89" t="n">
        <v>20</v>
      </c>
      <c r="H495" s="110" t="inlineStr">
        <is>
          <t>Utilização de email corporativo</t>
        </is>
      </c>
    </row>
    <row r="496" ht="15" customHeight="1" s="64">
      <c r="A496" s="110" t="inlineStr">
        <is>
          <t>MAIO/2026</t>
        </is>
      </c>
      <c r="B496" s="110" t="inlineStr">
        <is>
          <t>TIC</t>
        </is>
      </c>
      <c r="C496" s="110" t="inlineStr">
        <is>
          <t>E-mail Dtel</t>
        </is>
      </c>
      <c r="D496" s="110" t="inlineStr">
        <is>
          <t>Voicenet</t>
        </is>
      </c>
      <c r="E496" s="129" t="n">
        <v>3</v>
      </c>
      <c r="F496" s="89" t="n">
        <v>50</v>
      </c>
      <c r="G496" s="89" t="n">
        <v>150</v>
      </c>
      <c r="H496" s="110" t="inlineStr">
        <is>
          <t>Utilização de email corporativo</t>
        </is>
      </c>
    </row>
    <row r="497" ht="15" customHeight="1" s="64">
      <c r="A497" s="110" t="inlineStr">
        <is>
          <t>JUNHO/2026</t>
        </is>
      </c>
      <c r="B497" s="110" t="inlineStr">
        <is>
          <t>Adm Atendimento</t>
        </is>
      </c>
      <c r="C497" s="110" t="inlineStr">
        <is>
          <t>Adm atendimento presencial</t>
        </is>
      </c>
      <c r="D497" s="110" t="inlineStr">
        <is>
          <t>H&amp;A</t>
        </is>
      </c>
      <c r="E497" s="129" t="n">
        <v>13418</v>
      </c>
      <c r="F497" s="89" t="n">
        <v>0.427453957585064</v>
      </c>
      <c r="G497" s="89" t="n">
        <v>5735.57720287639</v>
      </c>
      <c r="H497" s="110" t="inlineStr">
        <is>
          <t>Cálculo por número de clientes ativos</t>
        </is>
      </c>
    </row>
    <row r="498" ht="15" customHeight="1" s="64">
      <c r="A498" s="110" t="inlineStr">
        <is>
          <t>JUNHO/2026</t>
        </is>
      </c>
      <c r="B498" s="110" t="inlineStr">
        <is>
          <t>Adm Qualidade</t>
        </is>
      </c>
      <c r="C498" s="110" t="inlineStr">
        <is>
          <t>Qualidade</t>
        </is>
      </c>
      <c r="D498" s="110" t="inlineStr">
        <is>
          <t>H&amp;A</t>
        </is>
      </c>
      <c r="E498" s="129" t="n">
        <v>13418</v>
      </c>
      <c r="F498" s="89" t="n">
        <v>0.266574828615826</v>
      </c>
      <c r="G498" s="89" t="n">
        <v>3576.90105036715</v>
      </c>
      <c r="H498" s="110" t="inlineStr">
        <is>
          <t>Cálculo por número de clientes ativos</t>
        </is>
      </c>
    </row>
    <row r="499" ht="15" customHeight="1" s="64">
      <c r="A499" s="110" t="inlineStr">
        <is>
          <t>JUNHO/2026</t>
        </is>
      </c>
      <c r="B499" s="110" t="inlineStr">
        <is>
          <t>Atendimento</t>
        </is>
      </c>
      <c r="C499" s="110" t="inlineStr">
        <is>
          <t>Material de escritório</t>
        </is>
      </c>
      <c r="D499" s="110" t="inlineStr">
        <is>
          <t>DTEL</t>
        </is>
      </c>
      <c r="E499" s="129" t="n">
        <v>1</v>
      </c>
      <c r="F499" s="89" t="n">
        <v>1222.09</v>
      </c>
      <c r="G499" s="89" t="n">
        <v>1222.09</v>
      </c>
      <c r="H499" s="110" t="inlineStr">
        <is>
          <t>Preenchido da planilha de materiais (materiais recebidos em 06-2026.xlsx)</t>
        </is>
      </c>
    </row>
    <row r="500" ht="15" customHeight="1" s="64">
      <c r="A500" s="110" t="inlineStr">
        <is>
          <t>JUNHO/2026</t>
        </is>
      </c>
      <c r="B500" s="110" t="inlineStr">
        <is>
          <t>Atendimento</t>
        </is>
      </c>
      <c r="C500" s="110" t="inlineStr">
        <is>
          <t>Material de uso coletivo</t>
        </is>
      </c>
      <c r="D500" s="110" t="inlineStr">
        <is>
          <t>DTEL</t>
        </is>
      </c>
      <c r="E500" s="129" t="n">
        <v>0</v>
      </c>
      <c r="F500" s="89" t="n">
        <v>0</v>
      </c>
      <c r="G500" s="89" t="n">
        <v>0</v>
      </c>
      <c r="H500" s="110" t="inlineStr">
        <is>
          <t>Preenchido da planilha de materiais (materiais recebidos em 05-2026.xlsx)</t>
        </is>
      </c>
    </row>
    <row r="501" ht="15" customHeight="1" s="64">
      <c r="A501" s="110" t="inlineStr">
        <is>
          <t>JUNHO/2026</t>
        </is>
      </c>
      <c r="B501" s="110" t="inlineStr">
        <is>
          <t>Atendimento</t>
        </is>
      </c>
      <c r="C501" s="110" t="inlineStr">
        <is>
          <t>Material de escritório</t>
        </is>
      </c>
      <c r="D501" s="110" t="inlineStr">
        <is>
          <t>DX2</t>
        </is>
      </c>
      <c r="E501" s="129" t="n">
        <v>0</v>
      </c>
      <c r="F501" s="89" t="n">
        <v>0</v>
      </c>
      <c r="G501" s="89" t="n">
        <v>0</v>
      </c>
      <c r="H501" s="110" t="inlineStr">
        <is>
          <t>Capa de carnê</t>
        </is>
      </c>
    </row>
    <row r="502" ht="15" customHeight="1" s="64">
      <c r="A502" s="110" t="inlineStr">
        <is>
          <t>JUNHO/2026</t>
        </is>
      </c>
      <c r="B502" s="110" t="inlineStr">
        <is>
          <t>Atendimento</t>
        </is>
      </c>
      <c r="C502" s="110" t="inlineStr">
        <is>
          <t>Material de uso coletivo</t>
        </is>
      </c>
      <c r="D502" s="110" t="inlineStr">
        <is>
          <t>DX2</t>
        </is>
      </c>
      <c r="E502" s="129" t="n">
        <v>0</v>
      </c>
      <c r="F502" s="89" t="n">
        <v>0</v>
      </c>
      <c r="G502" s="89" t="n">
        <v>0</v>
      </c>
      <c r="H502" s="110" t="inlineStr">
        <is>
          <t>Preenchido da planilha de materiais (materiais recebidos em 05-2026.xlsx)</t>
        </is>
      </c>
    </row>
    <row r="503" ht="15" customHeight="1" s="64">
      <c r="A503" s="110" t="inlineStr">
        <is>
          <t>JUNHO/2026</t>
        </is>
      </c>
      <c r="B503" s="110" t="inlineStr">
        <is>
          <t>Atendimento</t>
        </is>
      </c>
      <c r="C503" s="110" t="inlineStr">
        <is>
          <t>Material de escritório</t>
        </is>
      </c>
      <c r="D503" s="110" t="inlineStr">
        <is>
          <t>H&amp;A</t>
        </is>
      </c>
      <c r="E503" s="129" t="n">
        <v>0</v>
      </c>
      <c r="F503" s="89" t="n">
        <v>0</v>
      </c>
      <c r="G503" s="89" t="n">
        <v>0</v>
      </c>
      <c r="H503" s="110" t="inlineStr">
        <is>
          <t>Porta panfleto</t>
        </is>
      </c>
    </row>
    <row r="504" ht="15" customHeight="1" s="64">
      <c r="A504" s="110" t="inlineStr">
        <is>
          <t>JUNHO/2026</t>
        </is>
      </c>
      <c r="B504" s="110" t="inlineStr">
        <is>
          <t>Atendimento</t>
        </is>
      </c>
      <c r="C504" s="110" t="inlineStr">
        <is>
          <t>Promotor autonomo Erika sonara</t>
        </is>
      </c>
      <c r="D504" s="110" t="inlineStr">
        <is>
          <t>H&amp;A</t>
        </is>
      </c>
      <c r="E504" s="129" t="n">
        <v>0</v>
      </c>
      <c r="F504" s="89" t="n">
        <v>0</v>
      </c>
      <c r="G504" s="89" t="n">
        <v>0</v>
      </c>
      <c r="H504" s="110" t="inlineStr">
        <is>
          <t>Comissionamento de vendas realizadas na h&amp;a paga pela Dtel fev.</t>
        </is>
      </c>
    </row>
    <row r="505" ht="15" customHeight="1" s="64">
      <c r="A505" s="110" t="inlineStr">
        <is>
          <t>JUNHO/2026</t>
        </is>
      </c>
      <c r="B505" s="110" t="inlineStr">
        <is>
          <t>Atendimento</t>
        </is>
      </c>
      <c r="C505" s="110" t="inlineStr">
        <is>
          <t>Material de escritório</t>
        </is>
      </c>
      <c r="D505" s="110" t="inlineStr">
        <is>
          <t>Soares e Lins</t>
        </is>
      </c>
      <c r="E505" s="129" t="n">
        <v>0</v>
      </c>
      <c r="F505" s="89" t="n">
        <v>0</v>
      </c>
      <c r="G505" s="89" t="n">
        <v>0</v>
      </c>
      <c r="H505" s="110" t="inlineStr">
        <is>
          <t>Porta panfleto</t>
        </is>
      </c>
    </row>
    <row r="506" ht="15" customHeight="1" s="64">
      <c r="A506" s="110" t="inlineStr">
        <is>
          <t>JUNHO/2026</t>
        </is>
      </c>
      <c r="B506" s="110" t="inlineStr">
        <is>
          <t>Atendimento</t>
        </is>
      </c>
      <c r="C506" s="110" t="inlineStr">
        <is>
          <t>Material de uso coletivo</t>
        </is>
      </c>
      <c r="D506" s="110" t="inlineStr">
        <is>
          <t>Soares e Lins</t>
        </is>
      </c>
      <c r="E506" s="129" t="n">
        <v>0</v>
      </c>
      <c r="F506" s="89" t="n">
        <v>0</v>
      </c>
      <c r="G506" s="89" t="n">
        <v>0</v>
      </c>
      <c r="H506" s="110" t="inlineStr">
        <is>
          <t>Preenchido da planilha de materiais (materiais recebidos em 05-2026.xlsx)</t>
        </is>
      </c>
    </row>
    <row r="507" ht="15" customHeight="1" s="64">
      <c r="A507" s="110" t="inlineStr">
        <is>
          <t>JUNHO/2026</t>
        </is>
      </c>
      <c r="B507" s="110" t="inlineStr">
        <is>
          <t>Atendimento</t>
        </is>
      </c>
      <c r="C507" s="110" t="inlineStr">
        <is>
          <t>Material de escritório</t>
        </is>
      </c>
      <c r="D507" s="110" t="inlineStr">
        <is>
          <t>Soares e Silva</t>
        </is>
      </c>
      <c r="E507" s="129" t="n">
        <v>0</v>
      </c>
      <c r="F507" s="89" t="n">
        <v>0</v>
      </c>
      <c r="G507" s="89" t="n">
        <v>0</v>
      </c>
      <c r="H507" s="110" t="inlineStr">
        <is>
          <t>Capa de carnê</t>
        </is>
      </c>
    </row>
    <row r="508" ht="15" customHeight="1" s="64">
      <c r="A508" s="110" t="inlineStr">
        <is>
          <t>JUNHO/2026</t>
        </is>
      </c>
      <c r="B508" s="110" t="inlineStr">
        <is>
          <t>Atendimento</t>
        </is>
      </c>
      <c r="C508" s="110" t="inlineStr">
        <is>
          <t>Material de uso coletivo</t>
        </is>
      </c>
      <c r="D508" s="110" t="inlineStr">
        <is>
          <t>Soares e Silva</t>
        </is>
      </c>
      <c r="E508" s="129" t="n">
        <v>0</v>
      </c>
      <c r="F508" s="89" t="n">
        <v>0</v>
      </c>
      <c r="G508" s="89" t="n">
        <v>0</v>
      </c>
      <c r="H508" s="110" t="inlineStr">
        <is>
          <t>Água mineral</t>
        </is>
      </c>
    </row>
    <row r="509" ht="15" customHeight="1" s="64">
      <c r="A509" s="110" t="inlineStr">
        <is>
          <t>JUNHO/2026</t>
        </is>
      </c>
      <c r="B509" s="110" t="inlineStr">
        <is>
          <t>Atendimento</t>
        </is>
      </c>
      <c r="C509" s="110" t="inlineStr">
        <is>
          <t>Material de escritório</t>
        </is>
      </c>
      <c r="D509" s="110" t="inlineStr">
        <is>
          <t>Solon Araújo</t>
        </is>
      </c>
      <c r="E509" s="129" t="n">
        <v>0</v>
      </c>
      <c r="F509" s="89" t="n">
        <v>0</v>
      </c>
      <c r="G509" s="89" t="n">
        <v>0</v>
      </c>
      <c r="H509" s="110" t="inlineStr">
        <is>
          <t>Caixa de resma</t>
        </is>
      </c>
    </row>
    <row r="510" ht="15" customHeight="1" s="64">
      <c r="A510" s="110" t="inlineStr">
        <is>
          <t>JUNHO/2026</t>
        </is>
      </c>
      <c r="B510" s="110" t="inlineStr">
        <is>
          <t>Atendimento</t>
        </is>
      </c>
      <c r="C510" s="110" t="inlineStr">
        <is>
          <t>Material de uso coletivo</t>
        </is>
      </c>
      <c r="D510" s="110" t="inlineStr">
        <is>
          <t>Solon Araújo</t>
        </is>
      </c>
      <c r="E510" s="129" t="n">
        <v>0</v>
      </c>
      <c r="F510" s="89" t="n">
        <v>0</v>
      </c>
      <c r="G510" s="89" t="n">
        <v>0</v>
      </c>
      <c r="H510" s="110" t="inlineStr">
        <is>
          <t>Preenchido da planilha de materiais (materiais recebidos em 05-2026.xlsx)</t>
        </is>
      </c>
    </row>
    <row r="511" ht="15" customHeight="1" s="64">
      <c r="A511" s="110" t="inlineStr">
        <is>
          <t>JUNHO/2026</t>
        </is>
      </c>
      <c r="B511" s="110" t="inlineStr">
        <is>
          <t>Atendimento</t>
        </is>
      </c>
      <c r="C511" s="110" t="inlineStr">
        <is>
          <t>Material de uso coletivo</t>
        </is>
      </c>
      <c r="D511" s="110" t="inlineStr">
        <is>
          <t>Solon Araújo</t>
        </is>
      </c>
      <c r="E511" s="129" t="n">
        <v>0</v>
      </c>
      <c r="F511" s="89" t="n">
        <v>0</v>
      </c>
      <c r="G511" s="89" t="n">
        <v>0</v>
      </c>
      <c r="H511" s="110" t="inlineStr">
        <is>
          <t>Água mineral</t>
        </is>
      </c>
    </row>
    <row r="512" ht="15" customHeight="1" s="64">
      <c r="A512" s="110" t="inlineStr">
        <is>
          <t>JUNHO/2026</t>
        </is>
      </c>
      <c r="B512" s="110" t="inlineStr">
        <is>
          <t>Atendimento</t>
        </is>
      </c>
      <c r="C512" s="110" t="inlineStr">
        <is>
          <t>Material de escritório</t>
        </is>
      </c>
      <c r="D512" s="110" t="inlineStr">
        <is>
          <t>Souza e Silva</t>
        </is>
      </c>
      <c r="E512" s="129" t="n">
        <v>0</v>
      </c>
      <c r="F512" s="89" t="n">
        <v>0</v>
      </c>
      <c r="G512" s="89" t="n">
        <v>0</v>
      </c>
      <c r="H512" s="110" t="inlineStr">
        <is>
          <t>Porta panfleto</t>
        </is>
      </c>
    </row>
    <row r="513" ht="15" customHeight="1" s="64">
      <c r="A513" s="110" t="inlineStr">
        <is>
          <t>JUNHO/2026</t>
        </is>
      </c>
      <c r="B513" s="110" t="inlineStr">
        <is>
          <t>Atendimento</t>
        </is>
      </c>
      <c r="C513" s="110" t="inlineStr">
        <is>
          <t>Material de escritório</t>
        </is>
      </c>
      <c r="D513" s="110" t="inlineStr">
        <is>
          <t>Souza e Silva</t>
        </is>
      </c>
      <c r="E513" s="129" t="n">
        <v>0</v>
      </c>
      <c r="F513" s="89" t="n">
        <v>0</v>
      </c>
      <c r="G513" s="89" t="n">
        <v>0</v>
      </c>
      <c r="H513" s="110" t="inlineStr">
        <is>
          <t>Panfletos</t>
        </is>
      </c>
    </row>
    <row r="514" ht="15" customHeight="1" s="64">
      <c r="A514" s="110" t="inlineStr">
        <is>
          <t>JUNHO/2026</t>
        </is>
      </c>
      <c r="B514" s="110" t="inlineStr">
        <is>
          <t>COE</t>
        </is>
      </c>
      <c r="C514" s="110" t="inlineStr">
        <is>
          <t>Serviços do C.O.E distribuição de serviços</t>
        </is>
      </c>
      <c r="D514" s="110" t="inlineStr">
        <is>
          <t>Soares e Lins</t>
        </is>
      </c>
      <c r="E514" s="129" t="n">
        <v>3704</v>
      </c>
      <c r="F514" s="89" t="n">
        <v>0.486320943015659</v>
      </c>
      <c r="G514" s="89" t="n">
        <v>1801.332773</v>
      </c>
      <c r="H514" s="110" t="inlineStr">
        <is>
          <t>Cálculo por número de clientes ativos</t>
        </is>
      </c>
    </row>
    <row r="515" ht="15" customHeight="1" s="64">
      <c r="A515" s="110" t="inlineStr">
        <is>
          <t>JUNHO/2026</t>
        </is>
      </c>
      <c r="B515" s="110" t="inlineStr">
        <is>
          <t>COE</t>
        </is>
      </c>
      <c r="C515" s="110" t="inlineStr">
        <is>
          <t>Serviços do C.O.E distribuição de serviços</t>
        </is>
      </c>
      <c r="D515" s="110" t="inlineStr">
        <is>
          <t>Soares e Silva</t>
        </is>
      </c>
      <c r="E515" s="129" t="n">
        <v>6434</v>
      </c>
      <c r="F515" s="89" t="n">
        <v>0.486320943015659</v>
      </c>
      <c r="G515" s="89" t="n">
        <v>3128.988947</v>
      </c>
      <c r="H515" s="110" t="inlineStr">
        <is>
          <t>Cálculo por número de clientes ativos</t>
        </is>
      </c>
    </row>
    <row r="516" ht="15" customHeight="1" s="64">
      <c r="A516" s="110" t="inlineStr">
        <is>
          <t>JUNHO/2026</t>
        </is>
      </c>
      <c r="B516" s="110" t="inlineStr">
        <is>
          <t>COE</t>
        </is>
      </c>
      <c r="C516" s="110" t="inlineStr">
        <is>
          <t>Serviços do C.O.E distribuição de serviços</t>
        </is>
      </c>
      <c r="D516" s="110" t="inlineStr">
        <is>
          <t>Solon Araújo</t>
        </is>
      </c>
      <c r="E516" s="129" t="n">
        <v>14441</v>
      </c>
      <c r="F516" s="89" t="n">
        <v>0.486320943015659</v>
      </c>
      <c r="G516" s="89" t="n">
        <v>7022.960738</v>
      </c>
      <c r="H516" s="110" t="inlineStr">
        <is>
          <t>Cálculo por número de clientes ativos</t>
        </is>
      </c>
    </row>
    <row r="517" ht="15" customHeight="1" s="64">
      <c r="A517" s="110" t="inlineStr">
        <is>
          <t>JUNHO/2026</t>
        </is>
      </c>
      <c r="B517" s="110" t="inlineStr">
        <is>
          <t>COE</t>
        </is>
      </c>
      <c r="C517" s="110" t="inlineStr">
        <is>
          <t>Serviços do C.O.E distribuição de serviços</t>
        </is>
      </c>
      <c r="D517" s="110" t="inlineStr">
        <is>
          <t>Voicenet</t>
        </is>
      </c>
      <c r="E517" s="129" t="n">
        <v>4795</v>
      </c>
      <c r="F517" s="89" t="n">
        <v>0.486320943015659</v>
      </c>
      <c r="G517" s="89" t="n">
        <v>2331.908922</v>
      </c>
      <c r="H517" s="110" t="inlineStr">
        <is>
          <t>Cálculo por número de clientes ativos</t>
        </is>
      </c>
    </row>
    <row r="518" ht="15" customHeight="1" s="64">
      <c r="A518" s="110" t="inlineStr">
        <is>
          <t>JUNHO/2026</t>
        </is>
      </c>
      <c r="B518" s="110" t="inlineStr">
        <is>
          <t>Comercial</t>
        </is>
      </c>
      <c r="C518" s="110" t="inlineStr">
        <is>
          <t>Consultas e análises de crédito</t>
        </is>
      </c>
      <c r="D518" s="110" t="inlineStr">
        <is>
          <t>DTEL</t>
        </is>
      </c>
      <c r="E518" s="129" t="n">
        <v>5160</v>
      </c>
      <c r="F518" s="89" t="n">
        <v>1.86</v>
      </c>
      <c r="G518" s="89" t="n">
        <v>9597.6</v>
      </c>
      <c r="H518" s="110" t="inlineStr">
        <is>
          <t>Vendas cadastradas e consultadas pelo argos (Consultas e analise de credito - junho26.xlsx)</t>
        </is>
      </c>
    </row>
    <row r="519" ht="15" customHeight="1" s="64">
      <c r="A519" s="110" t="inlineStr">
        <is>
          <t>JUNHO/2026</t>
        </is>
      </c>
      <c r="B519" s="110" t="inlineStr">
        <is>
          <t>Comercial</t>
        </is>
      </c>
      <c r="C519" s="110" t="inlineStr">
        <is>
          <t>Consultas e análises de crédito</t>
        </is>
      </c>
      <c r="D519" s="110" t="inlineStr">
        <is>
          <t>DX2</t>
        </is>
      </c>
      <c r="E519" s="129" t="n">
        <v>333</v>
      </c>
      <c r="F519" s="89" t="n">
        <v>1.86</v>
      </c>
      <c r="G519" s="89" t="n">
        <v>619.38</v>
      </c>
      <c r="H519" s="110" t="inlineStr">
        <is>
          <t>Vendas cadastradas e consultadas pelo argos (Consultas e analise de credito - junho26.xlsx)</t>
        </is>
      </c>
    </row>
    <row r="520" ht="15" customHeight="1" s="64">
      <c r="A520" s="110" t="inlineStr">
        <is>
          <t>JUNHO/2026</t>
        </is>
      </c>
      <c r="B520" s="110" t="inlineStr">
        <is>
          <t>Comercial</t>
        </is>
      </c>
      <c r="C520" s="110" t="inlineStr">
        <is>
          <t>Despesa com alimentação da itinerante pap</t>
        </is>
      </c>
      <c r="D520" s="110" t="inlineStr">
        <is>
          <t>DX2</t>
        </is>
      </c>
      <c r="E520" s="129" t="n">
        <v>-1</v>
      </c>
      <c r="F520" s="89" t="n">
        <v>350</v>
      </c>
      <c r="G520" s="89" t="n">
        <v>-350</v>
      </c>
      <c r="H520" s="110" t="inlineStr">
        <is>
          <t>Crédito por despesa com alimentação da equipe Dx2, em inauguração de loja h&amp;a</t>
        </is>
      </c>
    </row>
    <row r="521" ht="15" customHeight="1" s="64">
      <c r="A521" s="110" t="inlineStr">
        <is>
          <t>JUNHO/2026</t>
        </is>
      </c>
      <c r="B521" s="110" t="inlineStr">
        <is>
          <t>Comercial</t>
        </is>
      </c>
      <c r="C521" s="110" t="inlineStr">
        <is>
          <t>Despesa da van DX2</t>
        </is>
      </c>
      <c r="D521" s="110" t="inlineStr">
        <is>
          <t>DX2</t>
        </is>
      </c>
      <c r="E521" s="129" t="n">
        <v>-1</v>
      </c>
      <c r="F521" s="89" t="n">
        <v>206.78</v>
      </c>
      <c r="G521" s="89" t="n">
        <v>-206.78</v>
      </c>
      <c r="H521" s="110" t="inlineStr">
        <is>
          <t>Crédito por despesa com combustivel da van</t>
        </is>
      </c>
    </row>
    <row r="522" ht="15" customHeight="1" s="64">
      <c r="A522" s="110" t="inlineStr">
        <is>
          <t>JUNHO/2026</t>
        </is>
      </c>
      <c r="B522" s="110" t="inlineStr">
        <is>
          <t>Comercial</t>
        </is>
      </c>
      <c r="C522" s="110" t="inlineStr">
        <is>
          <t>Despesa do consultor BARTOLOMEU</t>
        </is>
      </c>
      <c r="D522" s="110" t="inlineStr">
        <is>
          <t>DX2</t>
        </is>
      </c>
      <c r="E522" s="129" t="n">
        <v>0</v>
      </c>
      <c r="F522" s="89" t="n">
        <v>0</v>
      </c>
      <c r="G522" s="89" t="n">
        <v>0</v>
      </c>
      <c r="H522" s="110" t="inlineStr">
        <is>
          <t>Despesa trabalhista e combustivel do consultor dividido pelo total de vendas</t>
        </is>
      </c>
    </row>
    <row r="523" ht="15" customHeight="1" s="64">
      <c r="A523" s="110" t="inlineStr">
        <is>
          <t>JUNHO/2026</t>
        </is>
      </c>
      <c r="B523" s="110" t="inlineStr">
        <is>
          <t>Comercial</t>
        </is>
      </c>
      <c r="C523" s="110" t="inlineStr">
        <is>
          <t>Despesa do consultor PAULO MELO</t>
        </is>
      </c>
      <c r="D523" s="110" t="inlineStr">
        <is>
          <t>DX2</t>
        </is>
      </c>
      <c r="E523" s="129" t="n">
        <v>1</v>
      </c>
      <c r="F523" s="89" t="n">
        <v>439.28</v>
      </c>
      <c r="G523" s="89" t="n">
        <v>439.28</v>
      </c>
      <c r="H523" s="110" t="inlineStr">
        <is>
          <t>Despesa trabalhista e combustível do consultor dividido pelo total de vendas</t>
        </is>
      </c>
    </row>
    <row r="524" ht="15" customHeight="1" s="64">
      <c r="A524" s="110" t="inlineStr">
        <is>
          <t>JUNHO/2026</t>
        </is>
      </c>
      <c r="B524" s="110" t="inlineStr">
        <is>
          <t>Comercial</t>
        </is>
      </c>
      <c r="C524" s="110" t="inlineStr">
        <is>
          <t>Despesa do consultor PEDRO GREGO</t>
        </is>
      </c>
      <c r="D524" s="110" t="inlineStr">
        <is>
          <t>DX2</t>
        </is>
      </c>
      <c r="E524" s="129" t="n">
        <v>0</v>
      </c>
      <c r="F524" s="89" t="n">
        <v>0</v>
      </c>
      <c r="G524" s="89" t="n">
        <v>0</v>
      </c>
      <c r="H524" s="110" t="inlineStr">
        <is>
          <t>Despesa trabalhista e combustível do consultor dividido pelo total de vendas</t>
        </is>
      </c>
    </row>
    <row r="525" ht="15" customHeight="1" s="64">
      <c r="A525" s="110" t="inlineStr">
        <is>
          <t>JUNHO/2026</t>
        </is>
      </c>
      <c r="B525" s="110" t="inlineStr">
        <is>
          <t>Comercial</t>
        </is>
      </c>
      <c r="C525" s="110" t="inlineStr">
        <is>
          <t>Despesa do coordenador TIAGO, pela gestão da equipe</t>
        </is>
      </c>
      <c r="D525" s="110" t="inlineStr">
        <is>
          <t>DX2</t>
        </is>
      </c>
      <c r="E525" s="129" t="n">
        <v>-1</v>
      </c>
      <c r="F525" s="89" t="n">
        <v>756.5599999999999</v>
      </c>
      <c r="G525" s="89" t="n">
        <v>-756.5599999999999</v>
      </c>
      <c r="H525" s="110" t="inlineStr">
        <is>
          <t>Crédito por despesa com combustível e utilização de veÍculo dx2</t>
        </is>
      </c>
    </row>
    <row r="526" ht="15" customHeight="1" s="64">
      <c r="A526" s="110" t="inlineStr">
        <is>
          <t>JUNHO/2026</t>
        </is>
      </c>
      <c r="B526" s="110" t="inlineStr">
        <is>
          <t>Comercial</t>
        </is>
      </c>
      <c r="C526" s="110" t="inlineStr">
        <is>
          <t>Despesa do coordenador TIAGO, pela gestão da equipe</t>
        </is>
      </c>
      <c r="D526" s="110" t="inlineStr">
        <is>
          <t>DX2</t>
        </is>
      </c>
      <c r="E526" s="129" t="n">
        <v>-1</v>
      </c>
      <c r="F526" s="89" t="n">
        <v>4211.32</v>
      </c>
      <c r="G526" s="89" t="n">
        <v>-4211.32</v>
      </c>
      <c r="H526" s="110" t="inlineStr">
        <is>
          <t>Crédito por participação do coordenador na base h&amp;a e soares e silva</t>
        </is>
      </c>
    </row>
    <row r="527" ht="15" customHeight="1" s="64">
      <c r="A527" s="110" t="inlineStr">
        <is>
          <t>JUNHO/2026</t>
        </is>
      </c>
      <c r="B527" s="110" t="inlineStr">
        <is>
          <t>Comercial</t>
        </is>
      </c>
      <c r="C527" s="110" t="inlineStr">
        <is>
          <t>Vendas da equipe DX2 porta a porta P/ H&amp;A</t>
        </is>
      </c>
      <c r="D527" s="110" t="inlineStr">
        <is>
          <t>DX2</t>
        </is>
      </c>
      <c r="E527" s="129" t="n">
        <v>-5</v>
      </c>
      <c r="F527" s="89" t="n">
        <v>410.699645390071</v>
      </c>
      <c r="G527" s="89" t="n">
        <v>-2053.49822695035</v>
      </c>
      <c r="H527" s="110" t="inlineStr">
        <is>
          <t>Vendas comercial varejo.xlsx (maio/2026)</t>
        </is>
      </c>
    </row>
    <row r="528" ht="15" customHeight="1" s="64">
      <c r="A528" s="110" t="inlineStr">
        <is>
          <t>JUNHO/2026</t>
        </is>
      </c>
      <c r="B528" s="110" t="inlineStr">
        <is>
          <t>Comercial</t>
        </is>
      </c>
      <c r="C528" s="110" t="inlineStr">
        <is>
          <t>Vendas da equipe Dtel porta a porta</t>
        </is>
      </c>
      <c r="D528" s="110" t="inlineStr">
        <is>
          <t>DX2</t>
        </is>
      </c>
      <c r="E528" s="129" t="n">
        <v>0</v>
      </c>
      <c r="F528" s="89" t="n">
        <v>0</v>
      </c>
      <c r="G528" s="89" t="n">
        <v>0</v>
      </c>
      <c r="H528" s="110" t="inlineStr">
        <is>
          <t>Vendas instaladas</t>
        </is>
      </c>
    </row>
    <row r="529" ht="15" customHeight="1" s="64">
      <c r="A529" s="110" t="inlineStr">
        <is>
          <t>JUNHO/2026</t>
        </is>
      </c>
      <c r="B529" s="110" t="inlineStr">
        <is>
          <t>Comercial</t>
        </is>
      </c>
      <c r="C529" s="110" t="inlineStr">
        <is>
          <t>Vendas da equipe Dx2 porta a porta p/ Dtel</t>
        </is>
      </c>
      <c r="D529" s="110" t="inlineStr">
        <is>
          <t>DX2</t>
        </is>
      </c>
      <c r="E529" s="129" t="n">
        <v>0</v>
      </c>
      <c r="F529" s="89" t="n">
        <v>0</v>
      </c>
      <c r="G529" s="89" t="n">
        <v>0</v>
      </c>
      <c r="H529" s="110" t="inlineStr">
        <is>
          <t>Vendas instaladas</t>
        </is>
      </c>
    </row>
    <row r="530" ht="15" customHeight="1" s="64">
      <c r="A530" s="110" t="inlineStr">
        <is>
          <t>JUNHO/2026</t>
        </is>
      </c>
      <c r="B530" s="110" t="inlineStr">
        <is>
          <t>Comercial</t>
        </is>
      </c>
      <c r="C530" s="110" t="inlineStr">
        <is>
          <t>Vendas da equipe H&amp;A porta a porta P/ DX2</t>
        </is>
      </c>
      <c r="D530" s="110" t="inlineStr">
        <is>
          <t>DX2</t>
        </is>
      </c>
      <c r="E530" s="129" t="n">
        <v>3</v>
      </c>
      <c r="F530" s="89" t="n">
        <v>278.600873702422</v>
      </c>
      <c r="G530" s="89" t="n">
        <v>835.802621107267</v>
      </c>
      <c r="H530" s="110" t="inlineStr">
        <is>
          <t>Vendas comercial varejo.xlsx (maio/2026)</t>
        </is>
      </c>
    </row>
    <row r="531" ht="15" customHeight="1" s="64">
      <c r="A531" s="110" t="inlineStr">
        <is>
          <t>JUNHO/2026</t>
        </is>
      </c>
      <c r="B531" s="110" t="inlineStr">
        <is>
          <t>Comercial</t>
        </is>
      </c>
      <c r="C531" s="110" t="inlineStr">
        <is>
          <t>Vendas da equipe VOICENET porta a porta P/  DX2</t>
        </is>
      </c>
      <c r="D531" s="110" t="inlineStr">
        <is>
          <t>DX2</t>
        </is>
      </c>
      <c r="E531" s="129" t="n">
        <v>0</v>
      </c>
      <c r="F531" s="89" t="n">
        <v>0</v>
      </c>
      <c r="G531" s="89" t="n">
        <v>0</v>
      </c>
      <c r="H531" s="110" t="inlineStr">
        <is>
          <t>Vendas instaladas</t>
        </is>
      </c>
    </row>
    <row r="532" ht="15" customHeight="1" s="64">
      <c r="A532" s="110" t="inlineStr">
        <is>
          <t>JUNHO/2026</t>
        </is>
      </c>
      <c r="B532" s="110" t="inlineStr">
        <is>
          <t>Comercial</t>
        </is>
      </c>
      <c r="C532" s="110" t="inlineStr">
        <is>
          <t>Comissão de manutenção da Totum</t>
        </is>
      </c>
      <c r="D532" s="110" t="inlineStr">
        <is>
          <t>H&amp;A</t>
        </is>
      </c>
      <c r="E532" s="129" t="n">
        <v>1</v>
      </c>
      <c r="F532" s="89" t="n">
        <v>33.5</v>
      </c>
      <c r="G532" s="89" t="n">
        <v>33.5</v>
      </c>
      <c r="H532" s="110" t="inlineStr">
        <is>
          <t>Conselho regional de enfermagem de PE</t>
        </is>
      </c>
    </row>
    <row r="533" ht="15" customHeight="1" s="64">
      <c r="A533" s="110" t="inlineStr">
        <is>
          <t>JUNHO/2026</t>
        </is>
      </c>
      <c r="B533" s="110" t="inlineStr">
        <is>
          <t>Comercial</t>
        </is>
      </c>
      <c r="C533" s="110" t="inlineStr">
        <is>
          <t>Comissão de manutenção da Totum</t>
        </is>
      </c>
      <c r="D533" s="110" t="inlineStr">
        <is>
          <t>H&amp;A</t>
        </is>
      </c>
      <c r="E533" s="129" t="n">
        <v>1</v>
      </c>
      <c r="F533" s="89" t="n">
        <v>22</v>
      </c>
      <c r="G533" s="89" t="n">
        <v>22</v>
      </c>
      <c r="H533" s="110" t="inlineStr">
        <is>
          <t>71 Batalhão De Infantaria Motorizado</t>
        </is>
      </c>
    </row>
    <row r="534" ht="15" customHeight="1" s="64">
      <c r="A534" s="110" t="inlineStr">
        <is>
          <t>JUNHO/2026</t>
        </is>
      </c>
      <c r="B534" s="110" t="inlineStr">
        <is>
          <t>Comercial</t>
        </is>
      </c>
      <c r="C534" s="110" t="inlineStr">
        <is>
          <t>Consultas e análises de crédito</t>
        </is>
      </c>
      <c r="D534" s="110" t="inlineStr">
        <is>
          <t>H&amp;A</t>
        </is>
      </c>
      <c r="E534" s="129" t="n">
        <v>258</v>
      </c>
      <c r="F534" s="89" t="n">
        <v>1.86</v>
      </c>
      <c r="G534" s="89" t="n">
        <v>479.88</v>
      </c>
      <c r="H534" s="110" t="inlineStr">
        <is>
          <t>Vendas cadastradas e consultadas pelo argos (Consultas e analise de credito - junho26.xlsx)</t>
        </is>
      </c>
    </row>
    <row r="535" ht="15" customHeight="1" s="64">
      <c r="A535" s="110" t="inlineStr">
        <is>
          <t>JUNHO/2026</t>
        </is>
      </c>
      <c r="B535" s="110" t="inlineStr">
        <is>
          <t>Comercial</t>
        </is>
      </c>
      <c r="C535" s="110" t="inlineStr">
        <is>
          <t>Despesa com alimentação da itinerante pap</t>
        </is>
      </c>
      <c r="D535" s="110" t="inlineStr">
        <is>
          <t>H&amp;A</t>
        </is>
      </c>
      <c r="E535" s="129" t="n">
        <v>1</v>
      </c>
      <c r="F535" s="89" t="n">
        <v>350</v>
      </c>
      <c r="G535" s="89" t="n">
        <v>350</v>
      </c>
      <c r="H535" s="110" t="inlineStr">
        <is>
          <t>Despesa com alimentação da equipe Dx2, em inauguração de loja h&amp;a</t>
        </is>
      </c>
    </row>
    <row r="536" ht="15" customHeight="1" s="64">
      <c r="A536" s="110" t="inlineStr">
        <is>
          <t>JUNHO/2026</t>
        </is>
      </c>
      <c r="B536" s="110" t="inlineStr">
        <is>
          <t>Comercial</t>
        </is>
      </c>
      <c r="C536" s="110" t="inlineStr">
        <is>
          <t>Despesa do consultor BARTOLOMEU</t>
        </is>
      </c>
      <c r="D536" s="110" t="inlineStr">
        <is>
          <t>H&amp;A</t>
        </is>
      </c>
      <c r="E536" s="129" t="n">
        <v>2</v>
      </c>
      <c r="F536" s="89" t="n">
        <v>393.04</v>
      </c>
      <c r="G536" s="89" t="n">
        <v>786.08</v>
      </c>
      <c r="H536" s="110" t="inlineStr">
        <is>
          <t>Despesa trabalhista e combustível do consultor dividido pelo total de vendas</t>
        </is>
      </c>
    </row>
    <row r="537" ht="15" customHeight="1" s="64">
      <c r="A537" s="110" t="inlineStr">
        <is>
          <t>JUNHO/2026</t>
        </is>
      </c>
      <c r="B537" s="110" t="inlineStr">
        <is>
          <t>Comercial</t>
        </is>
      </c>
      <c r="C537" s="110" t="inlineStr">
        <is>
          <t>Despesa do consultor PAULO MELO</t>
        </is>
      </c>
      <c r="D537" s="110" t="inlineStr">
        <is>
          <t>H&amp;A</t>
        </is>
      </c>
      <c r="E537" s="129" t="n">
        <v>2</v>
      </c>
      <c r="F537" s="89" t="n">
        <v>439.28</v>
      </c>
      <c r="G537" s="89" t="n">
        <v>878.5599999999999</v>
      </c>
      <c r="H537" s="110" t="inlineStr">
        <is>
          <t>Despesa trabalhista e combustível do consultor dividido pelo total de vendas</t>
        </is>
      </c>
    </row>
    <row r="538" ht="15" customHeight="1" s="64">
      <c r="A538" s="110" t="inlineStr">
        <is>
          <t>JUNHO/2026</t>
        </is>
      </c>
      <c r="B538" s="110" t="inlineStr">
        <is>
          <t>Comercial</t>
        </is>
      </c>
      <c r="C538" s="110" t="inlineStr">
        <is>
          <t>Despesa do consultor PEDRO GREGO</t>
        </is>
      </c>
      <c r="D538" s="110" t="inlineStr">
        <is>
          <t>H&amp;A</t>
        </is>
      </c>
      <c r="E538" s="129" t="n">
        <v>1</v>
      </c>
      <c r="F538" s="89" t="n">
        <v>407.27</v>
      </c>
      <c r="G538" s="89" t="n">
        <v>407.27</v>
      </c>
      <c r="H538" s="110" t="inlineStr">
        <is>
          <t>Despesa trabalhista e combustível do consultor dividido pelo total de vendas</t>
        </is>
      </c>
    </row>
    <row r="539" ht="15" customHeight="1" s="64">
      <c r="A539" s="110" t="inlineStr">
        <is>
          <t>JUNHO/2026</t>
        </is>
      </c>
      <c r="B539" s="110" t="inlineStr">
        <is>
          <t>Comercial</t>
        </is>
      </c>
      <c r="C539" s="110" t="inlineStr">
        <is>
          <t>Despesa do coordenador TIAGO, pela gestão da equipe</t>
        </is>
      </c>
      <c r="D539" s="110" t="inlineStr">
        <is>
          <t>H&amp;A</t>
        </is>
      </c>
      <c r="E539" s="129" t="n">
        <v>1</v>
      </c>
      <c r="F539" s="89" t="n">
        <v>206.78</v>
      </c>
      <c r="G539" s="89" t="n">
        <v>206.78</v>
      </c>
      <c r="H539" s="110" t="inlineStr">
        <is>
          <t>Despesa com combustÍvel e utilização da van dx2</t>
        </is>
      </c>
    </row>
    <row r="540" ht="15" customHeight="1" s="64">
      <c r="A540" s="110" t="inlineStr">
        <is>
          <t>JUNHO/2026</t>
        </is>
      </c>
      <c r="B540" s="110" t="inlineStr">
        <is>
          <t>Comercial</t>
        </is>
      </c>
      <c r="C540" s="110" t="inlineStr">
        <is>
          <t>Despesa do coordenador TIAGO, pela gestão da equipe</t>
        </is>
      </c>
      <c r="D540" s="110" t="inlineStr">
        <is>
          <t>H&amp;A</t>
        </is>
      </c>
      <c r="E540" s="129" t="n">
        <v>1</v>
      </c>
      <c r="F540" s="89" t="n">
        <v>317.52</v>
      </c>
      <c r="G540" s="89" t="n">
        <v>317.52</v>
      </c>
      <c r="H540" s="110" t="inlineStr">
        <is>
          <t>Despesa com combustÍvel e utilização de veiculo dx2</t>
        </is>
      </c>
    </row>
    <row r="541" ht="15" customHeight="1" s="64">
      <c r="A541" s="110" t="inlineStr">
        <is>
          <t>JUNHO/2026</t>
        </is>
      </c>
      <c r="B541" s="110" t="inlineStr">
        <is>
          <t>Comercial</t>
        </is>
      </c>
      <c r="C541" s="110" t="inlineStr">
        <is>
          <t>Despesa do coordenador TIAGO, pela gestão da equipe</t>
        </is>
      </c>
      <c r="D541" s="110" t="inlineStr">
        <is>
          <t>H&amp;A</t>
        </is>
      </c>
      <c r="E541" s="129" t="n">
        <v>49</v>
      </c>
      <c r="F541" s="89" t="n">
        <v>33.16</v>
      </c>
      <c r="G541" s="89" t="n">
        <v>1624.84</v>
      </c>
      <c r="H541" s="110" t="inlineStr">
        <is>
          <t>Despesa trabalhista dividida pela quantidade de vendas</t>
        </is>
      </c>
    </row>
    <row r="542" ht="15" customHeight="1" s="64">
      <c r="A542" s="110" t="inlineStr">
        <is>
          <t>JUNHO/2026</t>
        </is>
      </c>
      <c r="B542" s="110" t="inlineStr">
        <is>
          <t>Comercial</t>
        </is>
      </c>
      <c r="C542" s="110" t="inlineStr">
        <is>
          <t>Vendas da equipe DX2 para H&amp;A</t>
        </is>
      </c>
      <c r="D542" s="110" t="inlineStr">
        <is>
          <t>H&amp;A</t>
        </is>
      </c>
      <c r="E542" s="129" t="n">
        <v>5</v>
      </c>
      <c r="F542" s="89" t="n">
        <v>410.699645390071</v>
      </c>
      <c r="G542" s="89" t="n">
        <v>2053.49822695035</v>
      </c>
      <c r="H542" s="110" t="inlineStr">
        <is>
          <t>Vendas comercial varejo.xlsx (maio/2026)</t>
        </is>
      </c>
    </row>
    <row r="543" ht="15" customHeight="1" s="64">
      <c r="A543" s="110" t="inlineStr">
        <is>
          <t>JUNHO/2026</t>
        </is>
      </c>
      <c r="B543" s="110" t="inlineStr">
        <is>
          <t>Comercial</t>
        </is>
      </c>
      <c r="C543" s="110" t="inlineStr">
        <is>
          <t>Vendas da equipe Dtel porta a porta</t>
        </is>
      </c>
      <c r="D543" s="110" t="inlineStr">
        <is>
          <t>H&amp;A</t>
        </is>
      </c>
      <c r="E543" s="129" t="n">
        <v>2</v>
      </c>
      <c r="F543" s="89" t="n">
        <v>278.600873702422</v>
      </c>
      <c r="G543" s="89" t="n">
        <v>557.201747404844</v>
      </c>
      <c r="H543" s="110" t="inlineStr">
        <is>
          <t>Vendas comercial varejo.xlsx (maio/2026)</t>
        </is>
      </c>
    </row>
    <row r="544" ht="15" customHeight="1" s="64">
      <c r="A544" s="110" t="inlineStr">
        <is>
          <t>JUNHO/2026</t>
        </is>
      </c>
      <c r="B544" s="110" t="inlineStr">
        <is>
          <t>Comercial</t>
        </is>
      </c>
      <c r="C544" s="110" t="inlineStr">
        <is>
          <t>Vendas da equipe H&amp;A P/ VOICENET</t>
        </is>
      </c>
      <c r="D544" s="110" t="inlineStr">
        <is>
          <t>H&amp;A</t>
        </is>
      </c>
      <c r="E544" s="129" t="n">
        <v>0</v>
      </c>
      <c r="F544" s="89" t="n">
        <v>0</v>
      </c>
      <c r="G544" s="89" t="n">
        <v>0</v>
      </c>
      <c r="H544" s="110" t="inlineStr">
        <is>
          <t>Vendas instaladas</t>
        </is>
      </c>
    </row>
    <row r="545" ht="15" customHeight="1" s="64">
      <c r="A545" s="110" t="inlineStr">
        <is>
          <t>JUNHO/2026</t>
        </is>
      </c>
      <c r="B545" s="110" t="inlineStr">
        <is>
          <t>Comercial</t>
        </is>
      </c>
      <c r="C545" s="110" t="inlineStr">
        <is>
          <t>Vendas da equipe H&amp;A para Dtel</t>
        </is>
      </c>
      <c r="D545" s="110" t="inlineStr">
        <is>
          <t>H&amp;A</t>
        </is>
      </c>
      <c r="E545" s="129" t="n">
        <v>-2</v>
      </c>
      <c r="F545" s="89" t="n">
        <v>278.600873702422</v>
      </c>
      <c r="G545" s="89" t="n">
        <v>-557.201747404844</v>
      </c>
      <c r="H545" s="110" t="inlineStr">
        <is>
          <t>Vendas comercial varejo.xlsx (maio/2026)</t>
        </is>
      </c>
    </row>
    <row r="546" ht="15" customHeight="1" s="64">
      <c r="A546" s="110" t="inlineStr">
        <is>
          <t>JUNHO/2026</t>
        </is>
      </c>
      <c r="B546" s="110" t="inlineStr">
        <is>
          <t>Comercial</t>
        </is>
      </c>
      <c r="C546" s="110" t="inlineStr">
        <is>
          <t>Vendas da equipe H&amp;A para Dx2</t>
        </is>
      </c>
      <c r="D546" s="110" t="inlineStr">
        <is>
          <t>H&amp;A</t>
        </is>
      </c>
      <c r="E546" s="129" t="n">
        <v>-3</v>
      </c>
      <c r="F546" s="89" t="n">
        <v>278.600873702422</v>
      </c>
      <c r="G546" s="89" t="n">
        <v>-835.802621107267</v>
      </c>
      <c r="H546" s="110" t="inlineStr">
        <is>
          <t>Vendas comercial varejo.xlsx (maio/2026)</t>
        </is>
      </c>
    </row>
    <row r="547" ht="15" customHeight="1" s="64">
      <c r="A547" s="110" t="inlineStr">
        <is>
          <t>JUNHO/2026</t>
        </is>
      </c>
      <c r="B547" s="110" t="inlineStr">
        <is>
          <t>Comercial</t>
        </is>
      </c>
      <c r="C547" s="110" t="inlineStr">
        <is>
          <t>Vendas da equipe H&amp;A para soares e silva</t>
        </is>
      </c>
      <c r="D547" s="110" t="inlineStr">
        <is>
          <t>H&amp;A</t>
        </is>
      </c>
      <c r="E547" s="129" t="n">
        <v>-1</v>
      </c>
      <c r="F547" s="89" t="n">
        <v>278.600873702422</v>
      </c>
      <c r="G547" s="89" t="n">
        <v>-278.600873702422</v>
      </c>
      <c r="H547" s="110" t="inlineStr">
        <is>
          <t>Vendas comercial varejo.xlsx (maio/2026)</t>
        </is>
      </c>
    </row>
    <row r="548" ht="15" customHeight="1" s="64">
      <c r="A548" s="110" t="inlineStr">
        <is>
          <t>JUNHO/2026</t>
        </is>
      </c>
      <c r="B548" s="110" t="inlineStr">
        <is>
          <t>Comercial</t>
        </is>
      </c>
      <c r="C548" s="110" t="inlineStr">
        <is>
          <t>Consultas e análises de crédito</t>
        </is>
      </c>
      <c r="D548" s="110" t="inlineStr">
        <is>
          <t>Soares e Lins</t>
        </is>
      </c>
      <c r="E548" s="129" t="n">
        <v>266</v>
      </c>
      <c r="F548" s="89" t="n">
        <v>1.86</v>
      </c>
      <c r="G548" s="89" t="n">
        <v>494.76</v>
      </c>
      <c r="H548" s="110" t="inlineStr">
        <is>
          <t>Vendas cadastradas e consultadas pelo argos (Consultas e analise de credito - junho26.xlsx)</t>
        </is>
      </c>
    </row>
    <row r="549" ht="15" customHeight="1" s="64">
      <c r="A549" s="110" t="inlineStr">
        <is>
          <t>JUNHO/2026</t>
        </is>
      </c>
      <c r="B549" s="110" t="inlineStr">
        <is>
          <t>Comercial</t>
        </is>
      </c>
      <c r="C549" s="110" t="inlineStr">
        <is>
          <t>Despesa do consultor BARTOLOMEU</t>
        </is>
      </c>
      <c r="D549" s="110" t="inlineStr">
        <is>
          <t>Soares e Lins</t>
        </is>
      </c>
      <c r="E549" s="129" t="n">
        <v>1</v>
      </c>
      <c r="F549" s="89" t="n">
        <v>393.04</v>
      </c>
      <c r="G549" s="89" t="n">
        <v>393.04</v>
      </c>
      <c r="H549" s="110" t="inlineStr">
        <is>
          <t>Despesa trabalhista e combustivel do consultor dividido pelo total de vendas</t>
        </is>
      </c>
    </row>
    <row r="550" ht="15" customHeight="1" s="64">
      <c r="A550" s="110" t="inlineStr">
        <is>
          <t>JUNHO/2026</t>
        </is>
      </c>
      <c r="B550" s="110" t="inlineStr">
        <is>
          <t>Comercial</t>
        </is>
      </c>
      <c r="C550" s="110" t="inlineStr">
        <is>
          <t>Despesa do consultor PAULO MELO</t>
        </is>
      </c>
      <c r="D550" s="110" t="inlineStr">
        <is>
          <t>Soares e Lins</t>
        </is>
      </c>
      <c r="E550" s="129" t="n">
        <v>1</v>
      </c>
      <c r="F550" s="89" t="n">
        <v>439.28</v>
      </c>
      <c r="G550" s="89" t="n">
        <v>439.28</v>
      </c>
      <c r="H550" s="110" t="inlineStr">
        <is>
          <t>Despesa trabalhista e combustivel do consultor dividido pelo total de vendas</t>
        </is>
      </c>
    </row>
    <row r="551" ht="15" customHeight="1" s="64">
      <c r="A551" s="110" t="inlineStr">
        <is>
          <t>JUNHO/2026</t>
        </is>
      </c>
      <c r="B551" s="110" t="inlineStr">
        <is>
          <t>Comercial</t>
        </is>
      </c>
      <c r="C551" s="110" t="inlineStr">
        <is>
          <t>Despesa do consultor PEDRO GREGO</t>
        </is>
      </c>
      <c r="D551" s="110" t="inlineStr">
        <is>
          <t>Soares e Lins</t>
        </is>
      </c>
      <c r="E551" s="129" t="n">
        <v>0</v>
      </c>
      <c r="F551" s="89" t="n">
        <v>0</v>
      </c>
      <c r="G551" s="89" t="n">
        <v>0</v>
      </c>
      <c r="H551" s="110" t="inlineStr">
        <is>
          <t>Despesa trabalhista e combustível do consultor dividido pelo total de vendas</t>
        </is>
      </c>
    </row>
    <row r="552" ht="15" customHeight="1" s="64">
      <c r="A552" s="110" t="inlineStr">
        <is>
          <t>JUNHO/2026</t>
        </is>
      </c>
      <c r="B552" s="110" t="inlineStr">
        <is>
          <t>Comercial</t>
        </is>
      </c>
      <c r="C552" s="110" t="inlineStr">
        <is>
          <t>Vendas da equipe Dtel porta a porta</t>
        </is>
      </c>
      <c r="D552" s="110" t="inlineStr">
        <is>
          <t>Soares e Lins</t>
        </is>
      </c>
      <c r="E552" s="129" t="n">
        <v>3</v>
      </c>
      <c r="F552" s="89" t="n">
        <v>278.600873702422</v>
      </c>
      <c r="G552" s="89" t="n">
        <v>835.802621107267</v>
      </c>
      <c r="H552" s="110" t="inlineStr">
        <is>
          <t>Vendas comercial varejo.xlsx (maio/2026)</t>
        </is>
      </c>
    </row>
    <row r="553" ht="15" customHeight="1" s="64">
      <c r="A553" s="110" t="inlineStr">
        <is>
          <t>JUNHO/2026</t>
        </is>
      </c>
      <c r="B553" s="110" t="inlineStr">
        <is>
          <t>Comercial</t>
        </is>
      </c>
      <c r="C553" s="110" t="inlineStr">
        <is>
          <t>Vendas da equipe Soares e lins p/ Dtel</t>
        </is>
      </c>
      <c r="D553" s="110" t="inlineStr">
        <is>
          <t>Soares e Lins</t>
        </is>
      </c>
      <c r="E553" s="129" t="n">
        <v>-1</v>
      </c>
      <c r="F553" s="89" t="n">
        <v>7.02923076923077</v>
      </c>
      <c r="G553" s="89" t="n">
        <v>-7.02923076923077</v>
      </c>
      <c r="H553" s="110" t="inlineStr">
        <is>
          <t>Vendas comercial varejo.xlsx (maio/2026)</t>
        </is>
      </c>
    </row>
    <row r="554" ht="15" customHeight="1" s="64">
      <c r="A554" s="110" t="inlineStr">
        <is>
          <t>JUNHO/2026</t>
        </is>
      </c>
      <c r="B554" s="110" t="inlineStr">
        <is>
          <t>Comercial</t>
        </is>
      </c>
      <c r="C554" s="110" t="inlineStr">
        <is>
          <t>Vendas da equipe Soares e lins p/ solon</t>
        </is>
      </c>
      <c r="D554" s="110" t="inlineStr">
        <is>
          <t>Soares e Lins</t>
        </is>
      </c>
      <c r="E554" s="129" t="n">
        <v>0</v>
      </c>
      <c r="F554" s="89" t="n">
        <v>0</v>
      </c>
      <c r="G554" s="89" t="n">
        <v>0</v>
      </c>
    </row>
    <row r="555" ht="15" customHeight="1" s="64">
      <c r="A555" s="110" t="inlineStr">
        <is>
          <t>JUNHO/2026</t>
        </is>
      </c>
      <c r="B555" s="110" t="inlineStr">
        <is>
          <t>Comercial</t>
        </is>
      </c>
      <c r="C555" s="110" t="inlineStr">
        <is>
          <t>Vendas da equipe voicenet P/ SOARES E LINS</t>
        </is>
      </c>
      <c r="D555" s="110" t="inlineStr">
        <is>
          <t>Soares e Lins</t>
        </is>
      </c>
      <c r="E555" s="129" t="n">
        <v>0</v>
      </c>
      <c r="F555" s="89" t="n">
        <v>0</v>
      </c>
      <c r="G555" s="89" t="n">
        <v>0</v>
      </c>
      <c r="H555" s="110" t="inlineStr">
        <is>
          <t>Vendas instaladas</t>
        </is>
      </c>
    </row>
    <row r="556" ht="15" customHeight="1" s="64">
      <c r="A556" s="110" t="inlineStr">
        <is>
          <t>JUNHO/2026</t>
        </is>
      </c>
      <c r="B556" s="110" t="inlineStr">
        <is>
          <t>Comercial</t>
        </is>
      </c>
      <c r="C556" s="110" t="inlineStr">
        <is>
          <t>Consultas e análises de crédito</t>
        </is>
      </c>
      <c r="D556" s="110" t="inlineStr">
        <is>
          <t>Soares e Silva</t>
        </is>
      </c>
      <c r="E556" s="129" t="n">
        <v>601</v>
      </c>
      <c r="F556" s="89" t="n">
        <v>1.86</v>
      </c>
      <c r="G556" s="89" t="n">
        <v>1117.86</v>
      </c>
      <c r="H556" s="110" t="inlineStr">
        <is>
          <t>Vendas cadastradas e consultadas pelo argos (Consultas e analise de credito - junho26.xlsx)</t>
        </is>
      </c>
    </row>
    <row r="557" ht="15" customHeight="1" s="64">
      <c r="A557" s="110" t="inlineStr">
        <is>
          <t>JUNHO/2026</t>
        </is>
      </c>
      <c r="B557" s="110" t="inlineStr">
        <is>
          <t>Comercial</t>
        </is>
      </c>
      <c r="C557" s="110" t="inlineStr">
        <is>
          <t>Despesa do consultor BARTOLOMEU</t>
        </is>
      </c>
      <c r="D557" s="110" t="inlineStr">
        <is>
          <t>Soares e Silva</t>
        </is>
      </c>
      <c r="E557" s="129" t="n">
        <v>3</v>
      </c>
      <c r="F557" s="89" t="n">
        <v>393.04</v>
      </c>
      <c r="G557" s="89" t="n">
        <v>1179.12</v>
      </c>
      <c r="H557" s="110" t="inlineStr">
        <is>
          <t>Despesa trabalhista e combustÍvel do consultor dividido pelo total de vendas</t>
        </is>
      </c>
    </row>
    <row r="558" ht="15" customHeight="1" s="64">
      <c r="A558" s="110" t="inlineStr">
        <is>
          <t>JUNHO/2026</t>
        </is>
      </c>
      <c r="B558" s="110" t="inlineStr">
        <is>
          <t>Comercial</t>
        </is>
      </c>
      <c r="C558" s="110" t="inlineStr">
        <is>
          <t>Despesa do consultor PAULO MELO</t>
        </is>
      </c>
      <c r="D558" s="110" t="inlineStr">
        <is>
          <t>Soares e Silva</t>
        </is>
      </c>
      <c r="E558" s="129" t="n">
        <v>1</v>
      </c>
      <c r="F558" s="89" t="n">
        <v>439.28</v>
      </c>
      <c r="G558" s="89" t="n">
        <v>439.28</v>
      </c>
      <c r="H558" s="110" t="inlineStr">
        <is>
          <t>Despesa trabalhista e combustÍvel dividida pela quantidade de vendas</t>
        </is>
      </c>
    </row>
    <row r="559" ht="15" customHeight="1" s="64">
      <c r="A559" s="110" t="inlineStr">
        <is>
          <t>JUNHO/2026</t>
        </is>
      </c>
      <c r="B559" s="110" t="inlineStr">
        <is>
          <t>Comercial</t>
        </is>
      </c>
      <c r="C559" s="110" t="inlineStr">
        <is>
          <t>Despesa do consultor PEDRO GREGO</t>
        </is>
      </c>
      <c r="D559" s="110" t="inlineStr">
        <is>
          <t>Soares e Silva</t>
        </is>
      </c>
      <c r="E559" s="129" t="n">
        <v>4</v>
      </c>
      <c r="F559" s="89" t="n">
        <v>407.27</v>
      </c>
      <c r="G559" s="89" t="n">
        <v>1629.08</v>
      </c>
      <c r="H559" s="110" t="inlineStr">
        <is>
          <t>Despesa trabalhista e combustÍvel dividida pela quantidade de vendas</t>
        </is>
      </c>
    </row>
    <row r="560" ht="15" customHeight="1" s="64">
      <c r="A560" s="110" t="inlineStr">
        <is>
          <t>JUNHO/2026</t>
        </is>
      </c>
      <c r="B560" s="110" t="inlineStr">
        <is>
          <t>Comercial</t>
        </is>
      </c>
      <c r="C560" s="110" t="inlineStr">
        <is>
          <t>Despesa do coordenador TIAGO, pela gestão da equipe</t>
        </is>
      </c>
      <c r="D560" s="110" t="inlineStr">
        <is>
          <t>Soares e Silva</t>
        </is>
      </c>
      <c r="E560" s="129" t="n">
        <v>1</v>
      </c>
      <c r="F560" s="89" t="n">
        <v>439.04</v>
      </c>
      <c r="G560" s="89" t="n">
        <v>439.04</v>
      </c>
      <c r="H560" s="110" t="inlineStr">
        <is>
          <t>Despesa com combustÍvel e utilização de veÍculo dx2</t>
        </is>
      </c>
    </row>
    <row r="561" ht="15" customHeight="1" s="64">
      <c r="A561" s="110" t="inlineStr">
        <is>
          <t>JUNHO/2026</t>
        </is>
      </c>
      <c r="B561" s="110" t="inlineStr">
        <is>
          <t>Comercial</t>
        </is>
      </c>
      <c r="C561" s="110" t="inlineStr">
        <is>
          <t>Despesa do coordenador TIAGO, pela gestão da equipe</t>
        </is>
      </c>
      <c r="D561" s="110" t="inlineStr">
        <is>
          <t>Soares e Silva</t>
        </is>
      </c>
      <c r="E561" s="129" t="n">
        <v>78</v>
      </c>
      <c r="F561" s="89" t="n">
        <v>33.16</v>
      </c>
      <c r="G561" s="89" t="n">
        <v>2586.48</v>
      </c>
      <c r="H561" s="110" t="inlineStr">
        <is>
          <t>Despesa trabalhista e pela quantidade de vendas</t>
        </is>
      </c>
    </row>
    <row r="562" ht="15" customHeight="1" s="64">
      <c r="A562" s="110" t="inlineStr">
        <is>
          <t>JUNHO/2026</t>
        </is>
      </c>
      <c r="B562" s="110" t="inlineStr">
        <is>
          <t>Comercial</t>
        </is>
      </c>
      <c r="C562" s="110" t="inlineStr">
        <is>
          <t>Vendas da equipe Dtel porta a porta p/ Soares e silva</t>
        </is>
      </c>
      <c r="D562" s="110" t="inlineStr">
        <is>
          <t>Soares e Silva</t>
        </is>
      </c>
      <c r="E562" s="129" t="n">
        <v>0</v>
      </c>
      <c r="F562" s="89" t="n">
        <v>0</v>
      </c>
      <c r="G562" s="89" t="n">
        <v>0</v>
      </c>
    </row>
    <row r="563" ht="15" customHeight="1" s="64">
      <c r="A563" s="110" t="inlineStr">
        <is>
          <t>JUNHO/2026</t>
        </is>
      </c>
      <c r="B563" s="110" t="inlineStr">
        <is>
          <t>Comercial</t>
        </is>
      </c>
      <c r="C563" s="110" t="inlineStr">
        <is>
          <t>Vendas da equipe H&amp;A para Soares e Silva</t>
        </is>
      </c>
      <c r="D563" s="110" t="inlineStr">
        <is>
          <t>Soares e Silva</t>
        </is>
      </c>
      <c r="E563" s="129" t="n">
        <v>1</v>
      </c>
      <c r="F563" s="89" t="n">
        <v>278.600873702422</v>
      </c>
      <c r="G563" s="89" t="n">
        <v>278.600873702422</v>
      </c>
      <c r="H563" s="110" t="inlineStr">
        <is>
          <t>Vendas comercial varejo.xlsx (maio/2026)</t>
        </is>
      </c>
    </row>
    <row r="564" ht="15" customHeight="1" s="64">
      <c r="A564" s="110" t="inlineStr">
        <is>
          <t>JUNHO/2026</t>
        </is>
      </c>
      <c r="B564" s="110" t="inlineStr">
        <is>
          <t>Comercial</t>
        </is>
      </c>
      <c r="C564" s="110" t="inlineStr">
        <is>
          <t>Vendas da equipe Soares e Silva p/ DTEL</t>
        </is>
      </c>
      <c r="D564" s="110" t="inlineStr">
        <is>
          <t>Soares e Silva</t>
        </is>
      </c>
      <c r="E564" s="129" t="n">
        <v>0</v>
      </c>
      <c r="F564" s="89" t="n">
        <v>0</v>
      </c>
      <c r="G564" s="89" t="n">
        <v>0</v>
      </c>
    </row>
    <row r="565" ht="15" customHeight="1" s="64">
      <c r="A565" s="110" t="inlineStr">
        <is>
          <t>JUNHO/2026</t>
        </is>
      </c>
      <c r="B565" s="110" t="inlineStr">
        <is>
          <t>Comercial</t>
        </is>
      </c>
      <c r="C565" s="110" t="inlineStr">
        <is>
          <t>Vendas da equipe voicenet porta a porta p/ Soares e silva</t>
        </is>
      </c>
      <c r="D565" s="110" t="inlineStr">
        <is>
          <t>Soares e Silva</t>
        </is>
      </c>
      <c r="E565" s="129" t="n">
        <v>1</v>
      </c>
      <c r="F565" s="89" t="n">
        <v>26.326</v>
      </c>
      <c r="G565" s="89" t="n">
        <v>26.326</v>
      </c>
      <c r="H565" s="110" t="inlineStr">
        <is>
          <t>Vendas instaladas</t>
        </is>
      </c>
    </row>
    <row r="566" ht="15" customHeight="1" s="64">
      <c r="A566" s="110" t="inlineStr">
        <is>
          <t>JUNHO/2026</t>
        </is>
      </c>
      <c r="B566" s="110" t="inlineStr">
        <is>
          <t>Comercial</t>
        </is>
      </c>
      <c r="C566" s="110" t="inlineStr">
        <is>
          <t>Consultas e análises de crédito</t>
        </is>
      </c>
      <c r="D566" s="110" t="inlineStr">
        <is>
          <t>Solon Araújo</t>
        </is>
      </c>
      <c r="E566" s="129" t="n">
        <v>461</v>
      </c>
      <c r="F566" s="89" t="n">
        <v>1.86</v>
      </c>
      <c r="G566" s="89" t="n">
        <v>857.46</v>
      </c>
      <c r="H566" s="110" t="inlineStr">
        <is>
          <t>Vendas cadastradas e consultadas pelo argos (Consultas e analise de credito - junho26.xlsx)</t>
        </is>
      </c>
    </row>
    <row r="567" ht="15" customHeight="1" s="64">
      <c r="A567" s="110" t="inlineStr">
        <is>
          <t>JUNHO/2026</t>
        </is>
      </c>
      <c r="B567" s="110" t="inlineStr">
        <is>
          <t>Comercial</t>
        </is>
      </c>
      <c r="C567" s="110" t="inlineStr">
        <is>
          <t>Despesa do consultor BARTOLOMEU</t>
        </is>
      </c>
      <c r="D567" s="110" t="inlineStr">
        <is>
          <t>Solon Araújo</t>
        </is>
      </c>
      <c r="E567" s="129" t="n">
        <v>4</v>
      </c>
      <c r="F567" s="89" t="n">
        <v>393.04</v>
      </c>
      <c r="G567" s="89" t="n">
        <v>1572.16</v>
      </c>
      <c r="H567" s="110" t="inlineStr">
        <is>
          <t>Despesa trabalhista e combustível do consultor dividido pelo total de vendas</t>
        </is>
      </c>
    </row>
    <row r="568" ht="15" customHeight="1" s="64">
      <c r="A568" s="110" t="inlineStr">
        <is>
          <t>JUNHO/2026</t>
        </is>
      </c>
      <c r="B568" s="110" t="inlineStr">
        <is>
          <t>Comercial</t>
        </is>
      </c>
      <c r="C568" s="110" t="inlineStr">
        <is>
          <t>Despesa do consultor PAULO MELO</t>
        </is>
      </c>
      <c r="D568" s="110" t="inlineStr">
        <is>
          <t>Solon Araújo</t>
        </is>
      </c>
      <c r="E568" s="129" t="n">
        <v>4</v>
      </c>
      <c r="F568" s="89" t="n">
        <v>439.28</v>
      </c>
      <c r="G568" s="89" t="n">
        <v>1757.12</v>
      </c>
      <c r="H568" s="110" t="inlineStr">
        <is>
          <t>Despesa trabalhista e combustível dividida pela quantidade de vendas</t>
        </is>
      </c>
    </row>
    <row r="569" ht="15" customHeight="1" s="64">
      <c r="A569" s="110" t="inlineStr">
        <is>
          <t>JUNHO/2026</t>
        </is>
      </c>
      <c r="B569" s="110" t="inlineStr">
        <is>
          <t>Comercial</t>
        </is>
      </c>
      <c r="C569" s="110" t="inlineStr">
        <is>
          <t>Despesa do consultor PEDRO GREGO</t>
        </is>
      </c>
      <c r="D569" s="110" t="inlineStr">
        <is>
          <t>Solon Araújo</t>
        </is>
      </c>
      <c r="E569" s="129" t="n">
        <v>6</v>
      </c>
      <c r="F569" s="89" t="n">
        <v>407.27</v>
      </c>
      <c r="G569" s="89" t="n">
        <v>2443.62</v>
      </c>
      <c r="H569" s="110" t="inlineStr">
        <is>
          <t>Despesa trabalhista e combustível dividida pela quantidade de vendas</t>
        </is>
      </c>
    </row>
    <row r="570" ht="15" customHeight="1" s="64">
      <c r="A570" s="110" t="inlineStr">
        <is>
          <t>JUNHO/2026</t>
        </is>
      </c>
      <c r="B570" s="110" t="inlineStr">
        <is>
          <t>Comercial</t>
        </is>
      </c>
      <c r="C570" s="110" t="inlineStr">
        <is>
          <t>Despesa do coordenador TARCIZIO, pela gestão da equipe</t>
        </is>
      </c>
      <c r="D570" s="110" t="inlineStr">
        <is>
          <t>Solon Araújo</t>
        </is>
      </c>
      <c r="E570" s="129" t="n">
        <v>1</v>
      </c>
      <c r="F570" s="89" t="n">
        <v>738.92</v>
      </c>
      <c r="G570" s="89" t="n">
        <v>738.92</v>
      </c>
      <c r="H570" s="110" t="inlineStr">
        <is>
          <t>Despesa com combustivel e utilização carro dtel</t>
        </is>
      </c>
    </row>
    <row r="571" ht="15" customHeight="1" s="64">
      <c r="A571" s="110" t="inlineStr">
        <is>
          <t>JUNHO/2026</t>
        </is>
      </c>
      <c r="B571" s="110" t="inlineStr">
        <is>
          <t>Comercial</t>
        </is>
      </c>
      <c r="C571" s="110" t="inlineStr">
        <is>
          <t>Despesa do coordenador TARCIZIO, pela gestão da equipe</t>
        </is>
      </c>
      <c r="D571" s="110" t="inlineStr">
        <is>
          <t>Solon Araújo</t>
        </is>
      </c>
      <c r="E571" s="129" t="n">
        <v>25</v>
      </c>
      <c r="F571" s="89" t="n">
        <v>19.53</v>
      </c>
      <c r="G571" s="89" t="n">
        <v>488.25</v>
      </c>
      <c r="H571" s="110" t="inlineStr">
        <is>
          <t>Despesa trabalhista dividida pela quantidade de vendas</t>
        </is>
      </c>
    </row>
    <row r="572" ht="15" customHeight="1" s="64">
      <c r="A572" s="110" t="inlineStr">
        <is>
          <t>JUNHO/2026</t>
        </is>
      </c>
      <c r="B572" s="110" t="inlineStr">
        <is>
          <t>Comercial</t>
        </is>
      </c>
      <c r="C572" s="110" t="inlineStr">
        <is>
          <t>Vendas da equipe Dtel porta a porta</t>
        </is>
      </c>
      <c r="D572" s="110" t="inlineStr">
        <is>
          <t>Solon Araújo</t>
        </is>
      </c>
      <c r="E572" s="129" t="n">
        <v>21</v>
      </c>
      <c r="F572" s="89" t="n">
        <v>278.600873702422</v>
      </c>
      <c r="G572" s="89" t="n">
        <v>5850.61834775087</v>
      </c>
      <c r="H572" s="110" t="inlineStr">
        <is>
          <t>Vendas comercial varejo.xlsx (maio/2026)</t>
        </is>
      </c>
    </row>
    <row r="573" ht="15" customHeight="1" s="64">
      <c r="A573" s="110" t="inlineStr">
        <is>
          <t>JUNHO/2026</t>
        </is>
      </c>
      <c r="B573" s="110" t="inlineStr">
        <is>
          <t>Comercial</t>
        </is>
      </c>
      <c r="C573" s="110" t="inlineStr">
        <is>
          <t>Vendas da equipe Litoral p/ Dtel</t>
        </is>
      </c>
      <c r="D573" s="110" t="inlineStr">
        <is>
          <t>Solon Araújo</t>
        </is>
      </c>
      <c r="E573" s="129" t="n">
        <v>0</v>
      </c>
      <c r="F573" s="89" t="n">
        <v>0</v>
      </c>
      <c r="G573" s="89" t="n">
        <v>0</v>
      </c>
      <c r="H573" s="110" t="inlineStr">
        <is>
          <t>Vendas instaladas</t>
        </is>
      </c>
    </row>
    <row r="574" ht="15" customHeight="1" s="64">
      <c r="A574" s="110" t="inlineStr">
        <is>
          <t>JUNHO/2026</t>
        </is>
      </c>
      <c r="B574" s="110" t="inlineStr">
        <is>
          <t>Comercial</t>
        </is>
      </c>
      <c r="C574" s="110" t="inlineStr">
        <is>
          <t>Vendas da equipe Voicenet p/ Solon</t>
        </is>
      </c>
      <c r="D574" s="110" t="inlineStr">
        <is>
          <t>Solon Araújo</t>
        </is>
      </c>
      <c r="E574" s="129" t="n">
        <v>0</v>
      </c>
      <c r="F574" s="89" t="n">
        <v>0</v>
      </c>
      <c r="G574" s="89" t="n">
        <v>0</v>
      </c>
      <c r="H574" s="110" t="inlineStr">
        <is>
          <t>Vendas instaladas</t>
        </is>
      </c>
    </row>
    <row r="575" ht="15" customHeight="1" s="64">
      <c r="A575" s="110" t="inlineStr">
        <is>
          <t>JUNHO/2026</t>
        </is>
      </c>
      <c r="B575" s="110" t="inlineStr">
        <is>
          <t>Comercial</t>
        </is>
      </c>
      <c r="C575" s="110" t="inlineStr">
        <is>
          <t>Vendas da equipe da soares e lins para Solon</t>
        </is>
      </c>
      <c r="D575" s="110" t="inlineStr">
        <is>
          <t>Solon Araújo</t>
        </is>
      </c>
      <c r="E575" s="129" t="n">
        <v>0</v>
      </c>
      <c r="F575" s="89" t="n">
        <v>0</v>
      </c>
      <c r="G575" s="89" t="n">
        <v>0</v>
      </c>
      <c r="H575" s="110" t="inlineStr">
        <is>
          <t>Vendas instaladas</t>
        </is>
      </c>
    </row>
    <row r="576" ht="15" customHeight="1" s="64">
      <c r="A576" s="110" t="inlineStr">
        <is>
          <t>JUNHO/2026</t>
        </is>
      </c>
      <c r="B576" s="110" t="inlineStr">
        <is>
          <t>Comercial</t>
        </is>
      </c>
      <c r="C576" s="110" t="inlineStr">
        <is>
          <t>Consultas e análises de crédito</t>
        </is>
      </c>
      <c r="D576" s="110" t="inlineStr">
        <is>
          <t>Souza e Silva</t>
        </is>
      </c>
      <c r="E576" s="129" t="n">
        <v>112</v>
      </c>
      <c r="F576" s="89" t="n">
        <v>1.86</v>
      </c>
      <c r="G576" s="89" t="n">
        <v>208.32</v>
      </c>
      <c r="H576" s="110" t="inlineStr">
        <is>
          <t>Vendas cadastradas e consultadas pelo argos (Consultas e analise de credito - junho26.xlsx)</t>
        </is>
      </c>
    </row>
    <row r="577" ht="15" customHeight="1" s="64">
      <c r="A577" s="110" t="inlineStr">
        <is>
          <t>JUNHO/2026</t>
        </is>
      </c>
      <c r="B577" s="110" t="inlineStr">
        <is>
          <t>Comercial</t>
        </is>
      </c>
      <c r="C577" s="110" t="inlineStr">
        <is>
          <t>Despesa do consultor BARTOLOMEU</t>
        </is>
      </c>
      <c r="D577" s="110" t="inlineStr">
        <is>
          <t>Souza e Silva</t>
        </is>
      </c>
      <c r="E577" s="129" t="n">
        <v>1</v>
      </c>
      <c r="F577" s="89" t="n">
        <v>393.04</v>
      </c>
      <c r="G577" s="89" t="n">
        <v>393.04</v>
      </c>
      <c r="H577" s="110" t="inlineStr">
        <is>
          <t>Despesa trabalhista e combustível do consultor dividido pelo total de vendas</t>
        </is>
      </c>
    </row>
    <row r="578" ht="15" customHeight="1" s="64">
      <c r="A578" s="110" t="inlineStr">
        <is>
          <t>JUNHO/2026</t>
        </is>
      </c>
      <c r="B578" s="110" t="inlineStr">
        <is>
          <t>Comercial</t>
        </is>
      </c>
      <c r="C578" s="110" t="inlineStr">
        <is>
          <t>Despesa do consultor PAULO MELO</t>
        </is>
      </c>
      <c r="D578" s="110" t="inlineStr">
        <is>
          <t>Souza e Silva</t>
        </is>
      </c>
      <c r="E578" s="129" t="n">
        <v>0</v>
      </c>
      <c r="F578" s="89" t="n">
        <v>0</v>
      </c>
      <c r="G578" s="89" t="n">
        <v>0</v>
      </c>
      <c r="H578" s="110" t="inlineStr">
        <is>
          <t>Despesa trabalhista e combustivel dividida pela quantidade de vendas</t>
        </is>
      </c>
    </row>
    <row r="579" ht="15" customHeight="1" s="64">
      <c r="A579" s="110" t="inlineStr">
        <is>
          <t>JUNHO/2026</t>
        </is>
      </c>
      <c r="B579" s="110" t="inlineStr">
        <is>
          <t>Comercial</t>
        </is>
      </c>
      <c r="C579" s="110" t="inlineStr">
        <is>
          <t>Despesa do consultor PEDRO GREGO</t>
        </is>
      </c>
      <c r="D579" s="110" t="inlineStr">
        <is>
          <t>Souza e Silva</t>
        </is>
      </c>
      <c r="E579" s="129" t="n">
        <v>0</v>
      </c>
      <c r="F579" s="89" t="n">
        <v>0</v>
      </c>
      <c r="G579" s="89" t="n">
        <v>0</v>
      </c>
      <c r="H579" s="110" t="inlineStr">
        <is>
          <t>Despesa trabalhista e combustivel do consultor dividido pelo total de vendas</t>
        </is>
      </c>
    </row>
    <row r="580" ht="15" customHeight="1" s="64">
      <c r="A580" s="110" t="inlineStr">
        <is>
          <t>JUNHO/2026</t>
        </is>
      </c>
      <c r="B580" s="110" t="inlineStr">
        <is>
          <t>Comercial</t>
        </is>
      </c>
      <c r="C580" s="110" t="inlineStr">
        <is>
          <t>Despesa do coordenador TARCIZIO, pela gestão da equipe</t>
        </is>
      </c>
      <c r="D580" s="110" t="inlineStr">
        <is>
          <t>Souza e Silva</t>
        </is>
      </c>
      <c r="E580" s="129" t="n">
        <v>1</v>
      </c>
      <c r="F580" s="89" t="n">
        <v>607.6</v>
      </c>
      <c r="G580" s="89" t="n">
        <v>607.6</v>
      </c>
      <c r="H580" s="110" t="inlineStr">
        <is>
          <t>Despesa com combustível e utilização carro dtel</t>
        </is>
      </c>
    </row>
    <row r="581" ht="15" customHeight="1" s="64">
      <c r="A581" s="110" t="inlineStr">
        <is>
          <t>JUNHO/2026</t>
        </is>
      </c>
      <c r="B581" s="110" t="inlineStr">
        <is>
          <t>Comercial</t>
        </is>
      </c>
      <c r="C581" s="110" t="inlineStr">
        <is>
          <t>Despesa do coordenador TARCIZIO, pela gestão da equipe</t>
        </is>
      </c>
      <c r="D581" s="110" t="inlineStr">
        <is>
          <t>Souza e Silva</t>
        </is>
      </c>
      <c r="E581" s="129" t="n">
        <v>42</v>
      </c>
      <c r="F581" s="89" t="n">
        <v>19.53</v>
      </c>
      <c r="G581" s="89" t="n">
        <v>820.26</v>
      </c>
      <c r="H581" s="110" t="inlineStr">
        <is>
          <t>Despesa trabalhista dividida pela quantidade de vendas</t>
        </is>
      </c>
    </row>
    <row r="582" ht="15" customHeight="1" s="64">
      <c r="A582" s="110" t="inlineStr">
        <is>
          <t>JUNHO/2026</t>
        </is>
      </c>
      <c r="B582" s="110" t="inlineStr">
        <is>
          <t>Comercial</t>
        </is>
      </c>
      <c r="C582" s="110" t="inlineStr">
        <is>
          <t>Vendas da equipe Dtel porta a porta</t>
        </is>
      </c>
      <c r="D582" s="110" t="inlineStr">
        <is>
          <t>Souza e Silva</t>
        </is>
      </c>
      <c r="E582" s="129" t="n">
        <v>2</v>
      </c>
      <c r="F582" s="89" t="n">
        <v>278.600873702422</v>
      </c>
      <c r="G582" s="89" t="n">
        <v>557.201747404844</v>
      </c>
      <c r="H582" s="110" t="inlineStr">
        <is>
          <t>Vendas comercial varejo.xlsx (maio/2026)</t>
        </is>
      </c>
    </row>
    <row r="583" ht="15" customHeight="1" s="64">
      <c r="A583" s="110" t="inlineStr">
        <is>
          <t>JUNHO/2026</t>
        </is>
      </c>
      <c r="B583" s="110" t="inlineStr">
        <is>
          <t>Comercial</t>
        </is>
      </c>
      <c r="C583" s="110" t="inlineStr">
        <is>
          <t>Vendas da equipe Souza e silva p/ DTEL</t>
        </is>
      </c>
      <c r="D583" s="110" t="inlineStr">
        <is>
          <t>Souza e Silva</t>
        </is>
      </c>
      <c r="E583" s="129" t="n">
        <v>-1</v>
      </c>
      <c r="F583" s="89" t="n">
        <v>370.462380952381</v>
      </c>
      <c r="G583" s="89" t="n">
        <v>-370.462380952381</v>
      </c>
      <c r="H583" s="110" t="inlineStr">
        <is>
          <t>Vendas comercial varejo.xlsx (maio/2026)</t>
        </is>
      </c>
    </row>
    <row r="584" ht="15" customHeight="1" s="64">
      <c r="A584" s="110" t="inlineStr">
        <is>
          <t>JUNHO/2026</t>
        </is>
      </c>
      <c r="B584" s="110" t="inlineStr">
        <is>
          <t>Comercial</t>
        </is>
      </c>
      <c r="C584" s="110" t="inlineStr">
        <is>
          <t>Comissão de manutenção da Totum</t>
        </is>
      </c>
      <c r="D584" s="110" t="inlineStr">
        <is>
          <t>Voicenet</t>
        </is>
      </c>
      <c r="E584" s="129" t="n">
        <v>1</v>
      </c>
      <c r="F584" s="89" t="n">
        <v>25.5</v>
      </c>
      <c r="G584" s="89" t="n">
        <v>25.5</v>
      </c>
      <c r="H584" s="110" t="inlineStr">
        <is>
          <t>Conselho regional de farmacia do estado de PE</t>
        </is>
      </c>
    </row>
    <row r="585" ht="15" customHeight="1" s="64">
      <c r="A585" s="110" t="inlineStr">
        <is>
          <t>JUNHO/2026</t>
        </is>
      </c>
      <c r="B585" s="110" t="inlineStr">
        <is>
          <t>Comercial</t>
        </is>
      </c>
      <c r="C585" s="110" t="inlineStr">
        <is>
          <t>Consultas e análises de crédito</t>
        </is>
      </c>
      <c r="D585" s="110" t="inlineStr">
        <is>
          <t>Voicenet</t>
        </is>
      </c>
      <c r="E585" s="129" t="n">
        <v>0</v>
      </c>
      <c r="F585" s="89" t="n">
        <v>0</v>
      </c>
      <c r="G585" s="89" t="n">
        <v>0</v>
      </c>
      <c r="H585" s="110" t="inlineStr">
        <is>
          <t>Vendas cadastradas e consultadas pelo argos</t>
        </is>
      </c>
    </row>
    <row r="586" ht="15" customHeight="1" s="64">
      <c r="A586" s="110" t="inlineStr">
        <is>
          <t>JUNHO/2026</t>
        </is>
      </c>
      <c r="B586" s="110" t="inlineStr">
        <is>
          <t>Comercial</t>
        </is>
      </c>
      <c r="C586" s="110" t="inlineStr">
        <is>
          <t>Consultas e análises de crédito</t>
        </is>
      </c>
      <c r="D586" s="110" t="inlineStr">
        <is>
          <t>Voicenet</t>
        </is>
      </c>
      <c r="E586" s="129" t="n">
        <v>261</v>
      </c>
      <c r="F586" s="89" t="n">
        <v>1.86</v>
      </c>
      <c r="G586" s="89" t="n">
        <v>485.46</v>
      </c>
      <c r="H586" s="110" t="inlineStr">
        <is>
          <t>Vendas cadastradas e consultadas pelo argos (Consultas e analise de credito - junho26.xlsx)</t>
        </is>
      </c>
    </row>
    <row r="587" ht="15" customHeight="1" s="64">
      <c r="A587" s="110" t="inlineStr">
        <is>
          <t>JUNHO/2026</t>
        </is>
      </c>
      <c r="B587" s="110" t="inlineStr">
        <is>
          <t>Comercial</t>
        </is>
      </c>
      <c r="C587" s="110" t="inlineStr">
        <is>
          <t>Despesa do consultor BARTOLOMEU</t>
        </is>
      </c>
      <c r="D587" s="110" t="inlineStr">
        <is>
          <t>Voicenet</t>
        </is>
      </c>
      <c r="E587" s="129" t="n">
        <v>3</v>
      </c>
      <c r="F587" s="89" t="n">
        <v>393.04</v>
      </c>
      <c r="G587" s="89" t="n">
        <v>1179.12</v>
      </c>
      <c r="H587" s="110" t="inlineStr">
        <is>
          <t>Despesa trabalhista e combustivel dividida pela quantidade de vendas</t>
        </is>
      </c>
    </row>
    <row r="588" ht="15" customHeight="1" s="64">
      <c r="A588" s="110" t="inlineStr">
        <is>
          <t>JUNHO/2026</t>
        </is>
      </c>
      <c r="B588" s="110" t="inlineStr">
        <is>
          <t>Comercial</t>
        </is>
      </c>
      <c r="C588" s="110" t="inlineStr">
        <is>
          <t>Despesa do consultor PAULO MELO</t>
        </is>
      </c>
      <c r="D588" s="110" t="inlineStr">
        <is>
          <t>Voicenet</t>
        </is>
      </c>
      <c r="E588" s="129" t="n">
        <v>2</v>
      </c>
      <c r="F588" s="89" t="n">
        <v>439.28</v>
      </c>
      <c r="G588" s="89" t="n">
        <v>878.5599999999999</v>
      </c>
      <c r="H588" s="110" t="inlineStr">
        <is>
          <t>Despesa trabalhista e combustivel do consultor dividido pelo total de vendas</t>
        </is>
      </c>
    </row>
    <row r="589" ht="15" customHeight="1" s="64">
      <c r="A589" s="110" t="inlineStr">
        <is>
          <t>JUNHO/2026</t>
        </is>
      </c>
      <c r="B589" s="110" t="inlineStr">
        <is>
          <t>Comercial</t>
        </is>
      </c>
      <c r="C589" s="110" t="inlineStr">
        <is>
          <t>Despesa do consultor PEDRO GREGO</t>
        </is>
      </c>
      <c r="D589" s="110" t="inlineStr">
        <is>
          <t>Voicenet</t>
        </is>
      </c>
      <c r="E589" s="129" t="n">
        <v>3</v>
      </c>
      <c r="F589" s="89" t="n">
        <v>407.27</v>
      </c>
      <c r="G589" s="89" t="n">
        <v>1221.81</v>
      </c>
      <c r="H589" s="110" t="inlineStr">
        <is>
          <t>Despesa trabalhista e combustivel dividida pela quantidade de vendas</t>
        </is>
      </c>
    </row>
    <row r="590" ht="15" customHeight="1" s="64">
      <c r="A590" s="110" t="inlineStr">
        <is>
          <t>JUNHO/2026</t>
        </is>
      </c>
      <c r="B590" s="110" t="inlineStr">
        <is>
          <t>Comercial</t>
        </is>
      </c>
      <c r="C590" s="110" t="inlineStr">
        <is>
          <t>Vendas da equipe Dtel porta a porta</t>
        </is>
      </c>
      <c r="D590" s="110" t="inlineStr">
        <is>
          <t>Voicenet</t>
        </is>
      </c>
      <c r="E590" s="129" t="n">
        <v>4</v>
      </c>
      <c r="F590" s="89" t="n">
        <v>278.600873702422</v>
      </c>
      <c r="G590" s="89" t="n">
        <v>1114.40349480969</v>
      </c>
      <c r="H590" s="110" t="inlineStr">
        <is>
          <t>Vendas comercial varejo.xlsx (maio/2026)</t>
        </is>
      </c>
    </row>
    <row r="591" ht="15" customHeight="1" s="64">
      <c r="A591" s="110" t="inlineStr">
        <is>
          <t>JUNHO/2026</t>
        </is>
      </c>
      <c r="B591" s="110" t="inlineStr">
        <is>
          <t>Comercial</t>
        </is>
      </c>
      <c r="C591" s="110" t="inlineStr">
        <is>
          <t>Vendas da equipe H&amp;A p/ voice</t>
        </is>
      </c>
      <c r="D591" s="110" t="inlineStr">
        <is>
          <t>Voicenet</t>
        </is>
      </c>
      <c r="E591" s="129" t="n">
        <v>0</v>
      </c>
      <c r="F591" s="89" t="n">
        <v>0</v>
      </c>
      <c r="G591" s="89" t="n">
        <v>0</v>
      </c>
    </row>
    <row r="592" ht="15" customHeight="1" s="64">
      <c r="A592" s="110" t="inlineStr">
        <is>
          <t>JUNHO/2026</t>
        </is>
      </c>
      <c r="B592" s="110" t="inlineStr">
        <is>
          <t>Comercial</t>
        </is>
      </c>
      <c r="C592" s="110" t="inlineStr">
        <is>
          <t>Vendas da equipe Voicenet para Dtel</t>
        </is>
      </c>
      <c r="D592" s="110" t="inlineStr">
        <is>
          <t>Voicenet</t>
        </is>
      </c>
      <c r="E592" s="129" t="n">
        <v>-12</v>
      </c>
      <c r="F592" s="89" t="n">
        <v>26.326</v>
      </c>
      <c r="G592" s="89" t="n">
        <v>-315.912</v>
      </c>
      <c r="H592" s="110" t="inlineStr">
        <is>
          <t>Vendas comercial varejo.xlsx (maio/2026)</t>
        </is>
      </c>
    </row>
    <row r="593" ht="15" customHeight="1" s="64">
      <c r="A593" s="110" t="inlineStr">
        <is>
          <t>JUNHO/2026</t>
        </is>
      </c>
      <c r="B593" s="110" t="inlineStr">
        <is>
          <t>Comercial</t>
        </is>
      </c>
      <c r="C593" s="110" t="inlineStr">
        <is>
          <t>Vendas da equipe da Voicenet para soares e silva</t>
        </is>
      </c>
      <c r="D593" s="110" t="inlineStr">
        <is>
          <t>Voicenet</t>
        </is>
      </c>
      <c r="E593" s="129" t="n">
        <v>-1</v>
      </c>
      <c r="F593" s="89" t="n">
        <v>26.326</v>
      </c>
      <c r="G593" s="89" t="n">
        <v>-26.326</v>
      </c>
      <c r="H593" s="110" t="inlineStr">
        <is>
          <t>Vendas instaladas</t>
        </is>
      </c>
    </row>
    <row r="594" ht="15" customHeight="1" s="64">
      <c r="A594" s="110" t="inlineStr">
        <is>
          <t>JUNHO/2026</t>
        </is>
      </c>
      <c r="B594" s="110" t="inlineStr">
        <is>
          <t>Comercial</t>
        </is>
      </c>
      <c r="C594" s="110" t="inlineStr">
        <is>
          <t>Vendas da equipe voicenet p/ Solon</t>
        </is>
      </c>
      <c r="D594" s="110" t="inlineStr">
        <is>
          <t>Voicenet</t>
        </is>
      </c>
      <c r="E594" s="129" t="n">
        <v>0</v>
      </c>
      <c r="F594" s="89" t="n">
        <v>0</v>
      </c>
      <c r="G594" s="89" t="n">
        <v>0</v>
      </c>
    </row>
    <row r="595" ht="15" customHeight="1" s="64">
      <c r="A595" s="110" t="inlineStr">
        <is>
          <t>JUNHO/2026</t>
        </is>
      </c>
      <c r="B595" s="110" t="inlineStr">
        <is>
          <t>Configuração</t>
        </is>
      </c>
      <c r="C595" s="110" t="inlineStr">
        <is>
          <t>Serviços de configuração e suporte ao Técnico</t>
        </is>
      </c>
      <c r="D595" s="110" t="inlineStr">
        <is>
          <t>DX2</t>
        </is>
      </c>
      <c r="E595" s="129" t="n">
        <v>6445</v>
      </c>
      <c r="F595" s="89" t="n">
        <v>0.253754640366083</v>
      </c>
      <c r="G595" s="89" t="n">
        <v>1635.4486571594</v>
      </c>
      <c r="H595" s="110" t="inlineStr">
        <is>
          <t>Cálculo por número de clientes ativos</t>
        </is>
      </c>
    </row>
    <row r="596" ht="15" customHeight="1" s="64">
      <c r="A596" s="110" t="inlineStr">
        <is>
          <t>JUNHO/2026</t>
        </is>
      </c>
      <c r="B596" s="110" t="inlineStr">
        <is>
          <t>Configuração</t>
        </is>
      </c>
      <c r="C596" s="110" t="inlineStr">
        <is>
          <t>Serviços de configuração e suporte ao Técnico</t>
        </is>
      </c>
      <c r="D596" s="110" t="inlineStr">
        <is>
          <t>H&amp;A</t>
        </is>
      </c>
      <c r="E596" s="129" t="n">
        <v>13418</v>
      </c>
      <c r="F596" s="89" t="n">
        <v>0.253754640366083</v>
      </c>
      <c r="G596" s="89" t="n">
        <v>3404.8797644321</v>
      </c>
      <c r="H596" s="110" t="inlineStr">
        <is>
          <t>Cálculo por número de clientes ativos</t>
        </is>
      </c>
    </row>
    <row r="597" ht="15" customHeight="1" s="64">
      <c r="A597" s="110" t="inlineStr">
        <is>
          <t>JUNHO/2026</t>
        </is>
      </c>
      <c r="B597" s="110" t="inlineStr">
        <is>
          <t>Configuração</t>
        </is>
      </c>
      <c r="C597" s="110" t="inlineStr">
        <is>
          <t>Serviços de configuração e suporte ao Técnico</t>
        </is>
      </c>
      <c r="D597" s="110" t="inlineStr">
        <is>
          <t>Soares e Lins</t>
        </is>
      </c>
      <c r="E597" s="129" t="n">
        <v>3704</v>
      </c>
      <c r="F597" s="89" t="n">
        <v>0.253754640366083</v>
      </c>
      <c r="G597" s="89" t="n">
        <v>939.90718791597</v>
      </c>
      <c r="H597" s="110" t="inlineStr">
        <is>
          <t>Cálculo por número de clientes ativos</t>
        </is>
      </c>
    </row>
    <row r="598" ht="15" customHeight="1" s="64">
      <c r="A598" s="110" t="inlineStr">
        <is>
          <t>JUNHO/2026</t>
        </is>
      </c>
      <c r="B598" s="110" t="inlineStr">
        <is>
          <t>Configuração</t>
        </is>
      </c>
      <c r="C598" s="110" t="inlineStr">
        <is>
          <t>Serviços de configuração e suporte ao Técnico</t>
        </is>
      </c>
      <c r="D598" s="110" t="inlineStr">
        <is>
          <t>Soares e Silva</t>
        </is>
      </c>
      <c r="E598" s="129" t="n">
        <v>6434</v>
      </c>
      <c r="F598" s="89" t="n">
        <v>0.253754640366083</v>
      </c>
      <c r="G598" s="89" t="n">
        <v>1632.65735611538</v>
      </c>
      <c r="H598" s="110" t="inlineStr">
        <is>
          <t>Cálculo por número de clientes ativos</t>
        </is>
      </c>
    </row>
    <row r="599" ht="15" customHeight="1" s="64">
      <c r="A599" s="110" t="inlineStr">
        <is>
          <t>JUNHO/2026</t>
        </is>
      </c>
      <c r="B599" s="110" t="inlineStr">
        <is>
          <t>Configuração</t>
        </is>
      </c>
      <c r="C599" s="110" t="inlineStr">
        <is>
          <t>Serviços de configuração e suporte ao Técnico</t>
        </is>
      </c>
      <c r="D599" s="110" t="inlineStr">
        <is>
          <t>Solon Araújo</t>
        </is>
      </c>
      <c r="E599" s="129" t="n">
        <v>14441</v>
      </c>
      <c r="F599" s="89" t="n">
        <v>0.253754640366083</v>
      </c>
      <c r="G599" s="89" t="n">
        <v>3664.4707615266</v>
      </c>
      <c r="H599" s="110" t="inlineStr">
        <is>
          <t>Cálculo por número de clientes ativos</t>
        </is>
      </c>
    </row>
    <row r="600" ht="15" customHeight="1" s="64">
      <c r="A600" s="110" t="inlineStr">
        <is>
          <t>JUNHO/2026</t>
        </is>
      </c>
      <c r="B600" s="110" t="inlineStr">
        <is>
          <t>Configuração</t>
        </is>
      </c>
      <c r="C600" s="110" t="inlineStr">
        <is>
          <t>Serviços de configuração e suporte ao Técnico</t>
        </is>
      </c>
      <c r="D600" s="110" t="inlineStr">
        <is>
          <t>Souza e Silva</t>
        </is>
      </c>
      <c r="E600" s="129" t="n">
        <v>4749</v>
      </c>
      <c r="F600" s="89" t="n">
        <v>0.253754640366083</v>
      </c>
      <c r="G600" s="89" t="n">
        <v>1205.08078709853</v>
      </c>
      <c r="H600" s="110" t="inlineStr">
        <is>
          <t>Cálculo por número de clientes ativos</t>
        </is>
      </c>
    </row>
    <row r="601" ht="15" customHeight="1" s="64">
      <c r="A601" s="110" t="inlineStr">
        <is>
          <t>JUNHO/2026</t>
        </is>
      </c>
      <c r="B601" s="110" t="inlineStr">
        <is>
          <t>Configuração</t>
        </is>
      </c>
      <c r="C601" s="110" t="inlineStr">
        <is>
          <t>Serviços de configuração e suporte ao Técnico</t>
        </is>
      </c>
      <c r="D601" s="110" t="inlineStr">
        <is>
          <t>Voicenet</t>
        </is>
      </c>
      <c r="E601" s="129" t="n">
        <v>4795</v>
      </c>
      <c r="F601" s="89" t="n">
        <v>0.253754640366083</v>
      </c>
      <c r="G601" s="89" t="n">
        <v>1216.75350055537</v>
      </c>
      <c r="H601" s="110" t="inlineStr">
        <is>
          <t>Cálculo por número de clientes ativos</t>
        </is>
      </c>
    </row>
    <row r="602" ht="15" customHeight="1" s="64">
      <c r="A602" s="110" t="inlineStr">
        <is>
          <t>JUNHO/2026</t>
        </is>
      </c>
      <c r="B602" s="110" t="inlineStr">
        <is>
          <t>Desenvolvimento</t>
        </is>
      </c>
      <c r="C602" s="110" t="inlineStr">
        <is>
          <t>Setor de Desenvolvimento</t>
        </is>
      </c>
      <c r="D602" s="110" t="inlineStr">
        <is>
          <t>H&amp;A</t>
        </is>
      </c>
      <c r="E602" s="129" t="n">
        <v>13418</v>
      </c>
      <c r="F602" s="89" t="n">
        <v>0.105895207936646</v>
      </c>
      <c r="G602" s="89" t="n">
        <v>1420.9019</v>
      </c>
      <c r="H602" s="110" t="inlineStr">
        <is>
          <t>Cálculo por número de clientes ativos</t>
        </is>
      </c>
    </row>
    <row r="603" ht="15" customHeight="1" s="64">
      <c r="A603" s="110" t="inlineStr">
        <is>
          <t>JUNHO/2026</t>
        </is>
      </c>
      <c r="B603" s="110" t="inlineStr">
        <is>
          <t>Engenharia</t>
        </is>
      </c>
      <c r="C603" s="110" t="inlineStr">
        <is>
          <t>Uso mútuo de Postes</t>
        </is>
      </c>
      <c r="D603" s="110" t="inlineStr">
        <is>
          <t>DX2</t>
        </is>
      </c>
      <c r="E603" s="129" t="n">
        <v>1</v>
      </c>
      <c r="F603" s="89" t="n">
        <v>9145.68</v>
      </c>
      <c r="G603" s="89" t="n">
        <v>9145.68</v>
      </c>
      <c r="H603" s="110" t="inlineStr">
        <is>
          <t>Contrato das empresas que está em nome da Dtel</t>
        </is>
      </c>
    </row>
    <row r="604" ht="15" customHeight="1" s="64">
      <c r="A604" s="110" t="inlineStr">
        <is>
          <t>JUNHO/2026</t>
        </is>
      </c>
      <c r="B604" s="110" t="inlineStr">
        <is>
          <t>Engenharia</t>
        </is>
      </c>
      <c r="C604" s="110" t="inlineStr">
        <is>
          <t>Uso mútuo de Postes</t>
        </is>
      </c>
      <c r="D604" s="110" t="inlineStr">
        <is>
          <t>Soares e Lins</t>
        </is>
      </c>
      <c r="E604" s="129" t="n">
        <v>1</v>
      </c>
      <c r="F604" s="89" t="n">
        <v>3372.11</v>
      </c>
      <c r="G604" s="89" t="n">
        <v>3372.11</v>
      </c>
      <c r="H604" s="110" t="inlineStr">
        <is>
          <t>Contrato das empresas que está em nome da Dtel</t>
        </is>
      </c>
    </row>
    <row r="605" ht="15" customHeight="1" s="64">
      <c r="A605" s="110" t="inlineStr">
        <is>
          <t>JUNHO/2026</t>
        </is>
      </c>
      <c r="B605" s="110" t="inlineStr">
        <is>
          <t>Engenharia</t>
        </is>
      </c>
      <c r="C605" s="110" t="inlineStr">
        <is>
          <t>Uso mútuo de Postes</t>
        </is>
      </c>
      <c r="D605" s="110" t="inlineStr">
        <is>
          <t>Souza e Silva</t>
        </is>
      </c>
      <c r="E605" s="129" t="n">
        <v>1</v>
      </c>
      <c r="F605" s="89" t="n">
        <v>15695.77</v>
      </c>
      <c r="G605" s="89" t="n">
        <v>15695.77</v>
      </c>
      <c r="H605" s="110" t="inlineStr">
        <is>
          <t>Contrato das empresas que está em nome da Dtel</t>
        </is>
      </c>
    </row>
    <row r="606" ht="15" customHeight="1" s="64">
      <c r="A606" s="110" t="inlineStr">
        <is>
          <t>JUNHO/2026</t>
        </is>
      </c>
      <c r="B606" s="110" t="inlineStr">
        <is>
          <t>Engenharia</t>
        </is>
      </c>
      <c r="C606" s="110" t="inlineStr">
        <is>
          <t>Despesas da equipe de Engenharia</t>
        </is>
      </c>
      <c r="D606" s="110" t="inlineStr">
        <is>
          <t>Voicenet</t>
        </is>
      </c>
      <c r="E606" s="129" t="n">
        <v>0</v>
      </c>
      <c r="F606" s="89" t="n">
        <v>0</v>
      </c>
      <c r="G606" s="89" t="n">
        <v>0</v>
      </c>
      <c r="H606" s="110" t="inlineStr">
        <is>
          <t>Combustível, alimentação</t>
        </is>
      </c>
    </row>
    <row r="607" ht="15" customHeight="1" s="64">
      <c r="A607" s="110" t="inlineStr">
        <is>
          <t>JUNHO/2026</t>
        </is>
      </c>
      <c r="B607" s="110" t="inlineStr">
        <is>
          <t>Estoque</t>
        </is>
      </c>
      <c r="C607" s="110" t="inlineStr">
        <is>
          <t>Serviços realizados pelo estoque</t>
        </is>
      </c>
      <c r="D607" s="110" t="inlineStr">
        <is>
          <t>DX2</t>
        </is>
      </c>
      <c r="E607" s="129" t="n">
        <v>0</v>
      </c>
      <c r="F607" s="89" t="n">
        <v>0</v>
      </c>
      <c r="G607" s="89" t="n">
        <v>0</v>
      </c>
      <c r="H607" s="110" t="inlineStr">
        <is>
          <t>Serviços de marcação de equipamentos</t>
        </is>
      </c>
    </row>
    <row r="608" ht="15" customHeight="1" s="64">
      <c r="A608" s="110" t="inlineStr">
        <is>
          <t>JUNHO/2026</t>
        </is>
      </c>
      <c r="B608" s="110" t="inlineStr">
        <is>
          <t>Estoque</t>
        </is>
      </c>
      <c r="C608" s="110" t="inlineStr">
        <is>
          <t>Serviços realizados pelo estoque</t>
        </is>
      </c>
      <c r="D608" s="110" t="inlineStr">
        <is>
          <t>Soares e Lins</t>
        </is>
      </c>
      <c r="E608" s="129" t="n">
        <v>0</v>
      </c>
      <c r="F608" s="89" t="n">
        <v>0</v>
      </c>
      <c r="G608" s="89" t="n">
        <v>0</v>
      </c>
      <c r="H608" s="110" t="inlineStr">
        <is>
          <t>Serviços de marcação de equipamentos</t>
        </is>
      </c>
    </row>
    <row r="609" ht="15" customHeight="1" s="64">
      <c r="A609" s="110" t="inlineStr">
        <is>
          <t>JUNHO/2026</t>
        </is>
      </c>
      <c r="B609" s="110" t="inlineStr">
        <is>
          <t>Estoque</t>
        </is>
      </c>
      <c r="C609" s="110" t="inlineStr">
        <is>
          <t>Serviços realizados pelo estoque</t>
        </is>
      </c>
      <c r="D609" s="110" t="inlineStr">
        <is>
          <t>Soares e Silva</t>
        </is>
      </c>
      <c r="E609" s="129" t="n">
        <v>0</v>
      </c>
      <c r="F609" s="89" t="n">
        <v>0</v>
      </c>
      <c r="G609" s="89" t="n">
        <v>0</v>
      </c>
      <c r="H609" s="110" t="inlineStr">
        <is>
          <t>Horas trabalhas em serviços realizado da oficina Dtel p/ soares e silva</t>
        </is>
      </c>
    </row>
    <row r="610" ht="15" customHeight="1" s="64">
      <c r="A610" s="110" t="inlineStr">
        <is>
          <t>JUNHO/2026</t>
        </is>
      </c>
      <c r="B610" s="110" t="inlineStr">
        <is>
          <t>Estoque</t>
        </is>
      </c>
      <c r="C610" s="110" t="inlineStr">
        <is>
          <t>Serviços realizados pelo estoque</t>
        </is>
      </c>
      <c r="D610" s="110" t="inlineStr">
        <is>
          <t>Soares e Silva</t>
        </is>
      </c>
      <c r="E610" s="129" t="n">
        <v>0</v>
      </c>
      <c r="F610" s="89" t="n">
        <v>0</v>
      </c>
      <c r="G610" s="89" t="n">
        <v>0</v>
      </c>
      <c r="H610" s="110" t="inlineStr">
        <is>
          <t>Serviços de marcação de equipamentos</t>
        </is>
      </c>
    </row>
    <row r="611" ht="15" customHeight="1" s="64">
      <c r="A611" s="110" t="inlineStr">
        <is>
          <t>JUNHO/2026</t>
        </is>
      </c>
      <c r="B611" s="110" t="inlineStr">
        <is>
          <t>Estoque</t>
        </is>
      </c>
      <c r="C611" s="110" t="inlineStr">
        <is>
          <t>Serviços realizados pelo estoque</t>
        </is>
      </c>
      <c r="D611" s="110" t="inlineStr">
        <is>
          <t>Solon Araújo</t>
        </is>
      </c>
      <c r="E611" s="129" t="n">
        <v>0</v>
      </c>
      <c r="F611" s="89" t="n">
        <v>0</v>
      </c>
      <c r="G611" s="89" t="n">
        <v>0</v>
      </c>
      <c r="H611" s="110" t="inlineStr">
        <is>
          <t>Horas trabalhas em serviços realizado da oficina Dtel p/ litoral</t>
        </is>
      </c>
    </row>
    <row r="612" ht="15" customHeight="1" s="64">
      <c r="A612" s="110" t="inlineStr">
        <is>
          <t>JUNHO/2026</t>
        </is>
      </c>
      <c r="B612" s="110" t="inlineStr">
        <is>
          <t>Estoque</t>
        </is>
      </c>
      <c r="C612" s="110" t="inlineStr">
        <is>
          <t>Serviços realizados pelo estoque</t>
        </is>
      </c>
      <c r="D612" s="110" t="inlineStr">
        <is>
          <t>Solon Araújo</t>
        </is>
      </c>
      <c r="E612" s="129" t="n">
        <v>0</v>
      </c>
      <c r="F612" s="89" t="n">
        <v>0</v>
      </c>
      <c r="G612" s="89" t="n">
        <v>0</v>
      </c>
      <c r="H612" s="110" t="inlineStr">
        <is>
          <t>Serviços de marcação de equipamentos</t>
        </is>
      </c>
    </row>
    <row r="613" ht="15" customHeight="1" s="64">
      <c r="A613" s="110" t="inlineStr">
        <is>
          <t>JUNHO/2026</t>
        </is>
      </c>
      <c r="B613" s="110" t="inlineStr">
        <is>
          <t>Estoque</t>
        </is>
      </c>
      <c r="C613" s="110" t="inlineStr">
        <is>
          <t>Serviços realizados pelo estoque</t>
        </is>
      </c>
      <c r="D613" s="110" t="inlineStr">
        <is>
          <t>Souza e Silva</t>
        </is>
      </c>
      <c r="E613" s="129" t="n">
        <v>0</v>
      </c>
      <c r="F613" s="89" t="n">
        <v>0</v>
      </c>
      <c r="G613" s="89" t="n">
        <v>0</v>
      </c>
      <c r="H613" s="110" t="inlineStr">
        <is>
          <t>Serviços de marcação de equipamentos</t>
        </is>
      </c>
    </row>
    <row r="614" ht="15" customHeight="1" s="64">
      <c r="A614" s="110" t="inlineStr">
        <is>
          <t>JUNHO/2026</t>
        </is>
      </c>
      <c r="B614" s="110" t="inlineStr">
        <is>
          <t>Estoque</t>
        </is>
      </c>
      <c r="C614" s="110" t="inlineStr">
        <is>
          <t>Serviços realizados pelo estoque</t>
        </is>
      </c>
      <c r="D614" s="110" t="inlineStr">
        <is>
          <t>Voicenet</t>
        </is>
      </c>
      <c r="E614" s="129" t="n">
        <v>0</v>
      </c>
      <c r="F614" s="89" t="n">
        <v>0</v>
      </c>
      <c r="G614" s="89" t="n">
        <v>0</v>
      </c>
      <c r="H614" s="110" t="inlineStr">
        <is>
          <t>Serviços de marcação de equipamentos</t>
        </is>
      </c>
    </row>
    <row r="615" ht="15" customHeight="1" s="64">
      <c r="A615" s="110" t="inlineStr">
        <is>
          <t>JUNHO/2026</t>
        </is>
      </c>
      <c r="B615" s="110" t="inlineStr">
        <is>
          <t>Frota</t>
        </is>
      </c>
      <c r="C615" s="110" t="inlineStr">
        <is>
          <t>Abastecimento</t>
        </is>
      </c>
      <c r="D615" s="110" t="inlineStr">
        <is>
          <t>DX2</t>
        </is>
      </c>
      <c r="E615" s="129" t="n">
        <v>0</v>
      </c>
      <c r="F615" s="89" t="n">
        <v>0</v>
      </c>
      <c r="G615" s="89" t="n">
        <v>0</v>
      </c>
      <c r="H615" s="110" t="inlineStr">
        <is>
          <t>Abastecimento da van da dx2 com cartao Dtel</t>
        </is>
      </c>
    </row>
    <row r="616" ht="15" customHeight="1" s="64">
      <c r="A616" s="110" t="inlineStr">
        <is>
          <t>JUNHO/2026</t>
        </is>
      </c>
      <c r="B616" s="110" t="inlineStr">
        <is>
          <t>Frota</t>
        </is>
      </c>
      <c r="C616" s="110" t="inlineStr">
        <is>
          <t>Locação de veículos</t>
        </is>
      </c>
      <c r="D616" s="110" t="inlineStr">
        <is>
          <t>DX2</t>
        </is>
      </c>
      <c r="E616" s="129" t="n">
        <v>0</v>
      </c>
      <c r="F616" s="89" t="n">
        <v>0</v>
      </c>
      <c r="G616" s="89" t="n">
        <v>0</v>
      </c>
      <c r="H616" s="110" t="inlineStr">
        <is>
          <t>Veiculos Dtel emprestado para serviços na DX2 (2 carros)</t>
        </is>
      </c>
    </row>
    <row r="617" ht="15" customHeight="1" s="64">
      <c r="A617" s="110" t="inlineStr">
        <is>
          <t>JUNHO/2026</t>
        </is>
      </c>
      <c r="B617" s="110" t="inlineStr">
        <is>
          <t>Frota</t>
        </is>
      </c>
      <c r="C617" s="110" t="inlineStr">
        <is>
          <t>Manutenção de veículo</t>
        </is>
      </c>
      <c r="D617" s="110" t="inlineStr">
        <is>
          <t>DX2</t>
        </is>
      </c>
      <c r="E617" s="129" t="n">
        <v>1</v>
      </c>
      <c r="F617" s="89" t="n">
        <v>96</v>
      </c>
      <c r="G617" s="89" t="n">
        <v>96</v>
      </c>
      <c r="H617" s="110" t="inlineStr">
        <is>
          <t>Transporte de produtos - Frota.xlsx (referente maio/2026)</t>
        </is>
      </c>
    </row>
    <row r="618" ht="15" customHeight="1" s="64">
      <c r="A618" s="110" t="inlineStr">
        <is>
          <t>JUNHO/2026</t>
        </is>
      </c>
      <c r="B618" s="110" t="inlineStr">
        <is>
          <t>Frota</t>
        </is>
      </c>
      <c r="C618" s="110" t="inlineStr">
        <is>
          <t>Rastreamento veicular</t>
        </is>
      </c>
      <c r="D618" s="110" t="inlineStr">
        <is>
          <t>DX2</t>
        </is>
      </c>
      <c r="E618" s="129" t="n">
        <v>10</v>
      </c>
      <c r="F618" s="89" t="n">
        <v>20</v>
      </c>
      <c r="G618" s="89" t="n">
        <v>200</v>
      </c>
      <c r="H618" s="110" t="inlineStr">
        <is>
          <t>Rastreamento dos veículos</t>
        </is>
      </c>
    </row>
    <row r="619" ht="15" customHeight="1" s="64">
      <c r="A619" s="110" t="inlineStr">
        <is>
          <t>JUNHO/2026</t>
        </is>
      </c>
      <c r="B619" s="110" t="inlineStr">
        <is>
          <t>Frota</t>
        </is>
      </c>
      <c r="C619" s="110" t="inlineStr">
        <is>
          <t>Transporte de produtos</t>
        </is>
      </c>
      <c r="D619" s="110" t="inlineStr">
        <is>
          <t>DX2</t>
        </is>
      </c>
      <c r="E619" s="129" t="n">
        <v>1</v>
      </c>
      <c r="F619" s="89" t="n">
        <v>682.73</v>
      </c>
      <c r="G619" s="89" t="n">
        <v>682.73</v>
      </c>
      <c r="H619" s="110" t="inlineStr">
        <is>
          <t>Transporte de produtos - Frota.xlsx (referente junho/2026)</t>
        </is>
      </c>
    </row>
    <row r="620" ht="15" customHeight="1" s="64">
      <c r="A620" s="110" t="inlineStr">
        <is>
          <t>JUNHO/2026</t>
        </is>
      </c>
      <c r="B620" s="110" t="inlineStr">
        <is>
          <t>Frota</t>
        </is>
      </c>
      <c r="C620" s="110" t="inlineStr">
        <is>
          <t>Transporte de produtos</t>
        </is>
      </c>
      <c r="D620" s="110" t="inlineStr">
        <is>
          <t>DX2</t>
        </is>
      </c>
      <c r="E620" s="129" t="n">
        <v>1</v>
      </c>
      <c r="F620" s="89" t="n">
        <v>894.25</v>
      </c>
      <c r="G620" s="89" t="n">
        <v>894.25</v>
      </c>
      <c r="H620" s="110" t="inlineStr">
        <is>
          <t>Referente MAIO/2026 - não cobrado em maio</t>
        </is>
      </c>
    </row>
    <row r="621" ht="15" customHeight="1" s="64">
      <c r="A621" s="110" t="inlineStr">
        <is>
          <t>JUNHO/2026</t>
        </is>
      </c>
      <c r="B621" s="110" t="inlineStr">
        <is>
          <t>Frota</t>
        </is>
      </c>
      <c r="C621" s="110" t="inlineStr">
        <is>
          <t>Troca de Oleo e Filtro</t>
        </is>
      </c>
      <c r="D621" s="110" t="inlineStr">
        <is>
          <t>DX2</t>
        </is>
      </c>
      <c r="E621" s="129" t="n">
        <v>0</v>
      </c>
      <c r="F621" s="89" t="n">
        <v>0</v>
      </c>
      <c r="G621" s="89" t="n">
        <v>0</v>
      </c>
      <c r="H621" s="110" t="inlineStr">
        <is>
          <t>Transporte de produtos - Frota.xlsx (referente maio/2026)</t>
        </is>
      </c>
    </row>
    <row r="622" ht="15" customHeight="1" s="64">
      <c r="A622" s="110" t="inlineStr">
        <is>
          <t>JUNHO/2026</t>
        </is>
      </c>
      <c r="B622" s="110" t="inlineStr">
        <is>
          <t>Frota</t>
        </is>
      </c>
      <c r="C622" s="110" t="inlineStr">
        <is>
          <t>Troca de Oleo e Filtro</t>
        </is>
      </c>
      <c r="D622" s="110" t="inlineStr">
        <is>
          <t>DX2</t>
        </is>
      </c>
      <c r="E622" s="129" t="n">
        <v>1</v>
      </c>
      <c r="F622" s="89" t="n">
        <v>86</v>
      </c>
      <c r="G622" s="89" t="n">
        <v>86</v>
      </c>
      <c r="H622" s="110" t="inlineStr">
        <is>
          <t>Referente MAIO/2026 - não cobrado em maio</t>
        </is>
      </c>
    </row>
    <row r="623" ht="15" customHeight="1" s="64">
      <c r="A623" s="110" t="inlineStr">
        <is>
          <t>JUNHO/2026</t>
        </is>
      </c>
      <c r="B623" s="110" t="inlineStr">
        <is>
          <t>Frota</t>
        </is>
      </c>
      <c r="C623" s="110" t="inlineStr">
        <is>
          <t>Transporte de produtos</t>
        </is>
      </c>
      <c r="D623" s="110" t="inlineStr">
        <is>
          <t>H&amp;A</t>
        </is>
      </c>
      <c r="E623" s="129" t="n">
        <v>0</v>
      </c>
      <c r="F623" s="89" t="n">
        <v>0</v>
      </c>
      <c r="G623" s="89" t="n">
        <v>0</v>
      </c>
      <c r="H623" s="110" t="inlineStr">
        <is>
          <t>Transportes entre CD01 e empresas no rateio da rota</t>
        </is>
      </c>
    </row>
    <row r="624" ht="15" customHeight="1" s="64">
      <c r="A624" s="110" t="inlineStr">
        <is>
          <t>JUNHO/2026</t>
        </is>
      </c>
      <c r="B624" s="110" t="inlineStr">
        <is>
          <t>Frota</t>
        </is>
      </c>
      <c r="C624" s="110" t="inlineStr">
        <is>
          <t>Rastreamento veicular</t>
        </is>
      </c>
      <c r="D624" s="110" t="inlineStr">
        <is>
          <t>Soares e Lins</t>
        </is>
      </c>
      <c r="E624" s="129" t="n">
        <v>3</v>
      </c>
      <c r="F624" s="89" t="n">
        <v>20</v>
      </c>
      <c r="G624" s="89" t="n">
        <v>60</v>
      </c>
      <c r="H624" s="110" t="inlineStr">
        <is>
          <t>Rastreamento dos veículos</t>
        </is>
      </c>
    </row>
    <row r="625" ht="15" customHeight="1" s="64">
      <c r="A625" s="110" t="inlineStr">
        <is>
          <t>JUNHO/2026</t>
        </is>
      </c>
      <c r="B625" s="110" t="inlineStr">
        <is>
          <t>Frota</t>
        </is>
      </c>
      <c r="C625" s="110" t="inlineStr">
        <is>
          <t>Transporte de produtos</t>
        </is>
      </c>
      <c r="D625" s="110" t="inlineStr">
        <is>
          <t>Soares e Lins</t>
        </is>
      </c>
      <c r="E625" s="129" t="n">
        <v>1</v>
      </c>
      <c r="F625" s="89" t="n">
        <v>556.03</v>
      </c>
      <c r="G625" s="89" t="n">
        <v>556.03</v>
      </c>
      <c r="H625" s="110" t="inlineStr">
        <is>
          <t>Transporte de produtos - Frota.xlsx (referente maio/2026)</t>
        </is>
      </c>
    </row>
    <row r="626" ht="15" customHeight="1" s="64">
      <c r="A626" s="110" t="inlineStr">
        <is>
          <t>JUNHO/2026</t>
        </is>
      </c>
      <c r="B626" s="110" t="inlineStr">
        <is>
          <t>Frota</t>
        </is>
      </c>
      <c r="C626" s="110" t="inlineStr">
        <is>
          <t>Transporte de produtos</t>
        </is>
      </c>
      <c r="D626" s="110" t="inlineStr">
        <is>
          <t>Soares e Lins</t>
        </is>
      </c>
      <c r="E626" s="129" t="n">
        <v>1</v>
      </c>
      <c r="F626" s="89" t="n">
        <v>447.78</v>
      </c>
      <c r="G626" s="89" t="n">
        <v>447.78</v>
      </c>
      <c r="H626" s="110" t="inlineStr">
        <is>
          <t>Referente MAIO/2026 - não cobrado em maio</t>
        </is>
      </c>
    </row>
    <row r="627" ht="15" customHeight="1" s="64">
      <c r="A627" s="110" t="inlineStr">
        <is>
          <t>JUNHO/2026</t>
        </is>
      </c>
      <c r="B627" s="110" t="inlineStr">
        <is>
          <t>Frota</t>
        </is>
      </c>
      <c r="C627" s="110" t="inlineStr">
        <is>
          <t>Troca de Oleo e Filtro</t>
        </is>
      </c>
      <c r="D627" s="110" t="inlineStr">
        <is>
          <t>Soares e Lins</t>
        </is>
      </c>
      <c r="E627" s="129" t="n">
        <v>0</v>
      </c>
      <c r="F627" s="89" t="n">
        <v>0</v>
      </c>
      <c r="G627" s="89" t="n">
        <v>0</v>
      </c>
      <c r="H627" s="110" t="inlineStr">
        <is>
          <t>Manutenção veicular</t>
        </is>
      </c>
    </row>
    <row r="628" ht="15" customHeight="1" s="64">
      <c r="A628" s="110" t="inlineStr">
        <is>
          <t>JUNHO/2026</t>
        </is>
      </c>
      <c r="B628" s="110" t="inlineStr">
        <is>
          <t>Frota</t>
        </is>
      </c>
      <c r="C628" s="110" t="inlineStr">
        <is>
          <t>Abastecimento</t>
        </is>
      </c>
      <c r="D628" s="110" t="inlineStr">
        <is>
          <t>Soares e Silva</t>
        </is>
      </c>
      <c r="E628" s="129" t="n">
        <v>0</v>
      </c>
      <c r="F628" s="89" t="n">
        <v>0</v>
      </c>
      <c r="G628" s="89" t="n">
        <v>0</v>
      </c>
      <c r="H628" s="110" t="inlineStr">
        <is>
          <t>Abastecimento de 2 veiculos</t>
        </is>
      </c>
    </row>
    <row r="629" ht="15" customHeight="1" s="64">
      <c r="A629" s="110" t="inlineStr">
        <is>
          <t>JUNHO/2026</t>
        </is>
      </c>
      <c r="B629" s="110" t="inlineStr">
        <is>
          <t>Frota</t>
        </is>
      </c>
      <c r="C629" s="110" t="inlineStr">
        <is>
          <t>Locação de veículos</t>
        </is>
      </c>
      <c r="D629" s="110" t="inlineStr">
        <is>
          <t>Soares e Silva</t>
        </is>
      </c>
      <c r="E629" s="129" t="n">
        <v>0</v>
      </c>
      <c r="F629" s="89" t="n">
        <v>0</v>
      </c>
      <c r="G629" s="89" t="n">
        <v>0</v>
      </c>
      <c r="H629" s="110" t="inlineStr">
        <is>
          <t>Veiculos Dtel emprestado para serviços 2 carros</t>
        </is>
      </c>
    </row>
    <row r="630" ht="15" customHeight="1" s="64">
      <c r="A630" s="110" t="inlineStr">
        <is>
          <t>JUNHO/2026</t>
        </is>
      </c>
      <c r="B630" s="110" t="inlineStr">
        <is>
          <t>Frota</t>
        </is>
      </c>
      <c r="C630" s="110" t="inlineStr">
        <is>
          <t>Manutenção de veiculo</t>
        </is>
      </c>
      <c r="D630" s="110" t="inlineStr">
        <is>
          <t>Soares e Silva</t>
        </is>
      </c>
      <c r="E630" s="129" t="n">
        <v>0</v>
      </c>
      <c r="F630" s="89" t="n">
        <v>0</v>
      </c>
      <c r="G630" s="89" t="n">
        <v>0</v>
      </c>
      <c r="H630" s="110" t="inlineStr">
        <is>
          <t>Transporte de produtos - Frota.xlsx (referente maio/2026)</t>
        </is>
      </c>
    </row>
    <row r="631" ht="15" customHeight="1" s="64">
      <c r="A631" s="110" t="inlineStr">
        <is>
          <t>JUNHO/2026</t>
        </is>
      </c>
      <c r="B631" s="110" t="inlineStr">
        <is>
          <t>Frota</t>
        </is>
      </c>
      <c r="C631" s="110" t="inlineStr">
        <is>
          <t>Manutenção de veiculo</t>
        </is>
      </c>
      <c r="D631" s="110" t="inlineStr">
        <is>
          <t>Soares e Silva</t>
        </is>
      </c>
      <c r="E631" s="129" t="n">
        <v>1</v>
      </c>
      <c r="F631" s="89" t="n">
        <v>1150</v>
      </c>
      <c r="G631" s="89" t="n">
        <v>1150</v>
      </c>
      <c r="H631" s="110" t="inlineStr">
        <is>
          <t>Referente MAIO/2026 - não cobrado em maio</t>
        </is>
      </c>
    </row>
    <row r="632" ht="15" customHeight="1" s="64">
      <c r="A632" s="110" t="inlineStr">
        <is>
          <t>JUNHO/2026</t>
        </is>
      </c>
      <c r="B632" s="110" t="inlineStr">
        <is>
          <t>Frota</t>
        </is>
      </c>
      <c r="C632" s="110" t="inlineStr">
        <is>
          <t>Rastreamento veicular</t>
        </is>
      </c>
      <c r="D632" s="110" t="inlineStr">
        <is>
          <t>Soares e Silva</t>
        </is>
      </c>
      <c r="E632" s="129" t="n">
        <v>13</v>
      </c>
      <c r="F632" s="89" t="n">
        <v>20</v>
      </c>
      <c r="G632" s="89" t="n">
        <v>260</v>
      </c>
      <c r="H632" s="110" t="inlineStr">
        <is>
          <t>Rastreamento dos veículos</t>
        </is>
      </c>
    </row>
    <row r="633" ht="15" customHeight="1" s="64">
      <c r="A633" s="110" t="inlineStr">
        <is>
          <t>JUNHO/2026</t>
        </is>
      </c>
      <c r="B633" s="110" t="inlineStr">
        <is>
          <t>Frota</t>
        </is>
      </c>
      <c r="C633" s="110" t="inlineStr">
        <is>
          <t>Transporte de produtos</t>
        </is>
      </c>
      <c r="D633" s="110" t="inlineStr">
        <is>
          <t>Soares e Silva</t>
        </is>
      </c>
      <c r="E633" s="129" t="n">
        <v>0</v>
      </c>
      <c r="F633" s="89" t="n">
        <v>0</v>
      </c>
      <c r="G633" s="89" t="n">
        <v>0</v>
      </c>
      <c r="H633" s="110" t="inlineStr">
        <is>
          <t>Transportes entre CD01 e empresas no rateio da rota</t>
        </is>
      </c>
    </row>
    <row r="634" ht="15" customHeight="1" s="64">
      <c r="A634" s="110" t="inlineStr">
        <is>
          <t>JUNHO/2026</t>
        </is>
      </c>
      <c r="B634" s="110" t="inlineStr">
        <is>
          <t>Frota</t>
        </is>
      </c>
      <c r="C634" s="110" t="inlineStr">
        <is>
          <t>Troca de Oleo e Filtro</t>
        </is>
      </c>
      <c r="D634" s="110" t="inlineStr">
        <is>
          <t>Soares e Silva</t>
        </is>
      </c>
      <c r="E634" s="129" t="n">
        <v>0</v>
      </c>
      <c r="F634" s="89" t="n">
        <v>0</v>
      </c>
      <c r="G634" s="89" t="n">
        <v>0</v>
      </c>
      <c r="H634" s="110" t="inlineStr">
        <is>
          <t>Transporte de produtos - Frota.xlsx (referente maio/2026)</t>
        </is>
      </c>
    </row>
    <row r="635" ht="15" customHeight="1" s="64">
      <c r="A635" s="110" t="inlineStr">
        <is>
          <t>JUNHO/2026</t>
        </is>
      </c>
      <c r="B635" s="110" t="inlineStr">
        <is>
          <t>Frota</t>
        </is>
      </c>
      <c r="C635" s="110" t="inlineStr">
        <is>
          <t>Troca de Oleo e Filtro</t>
        </is>
      </c>
      <c r="D635" s="110" t="inlineStr">
        <is>
          <t>Soares e Silva</t>
        </is>
      </c>
      <c r="E635" s="129" t="n">
        <v>1</v>
      </c>
      <c r="F635" s="89" t="n">
        <v>475.21</v>
      </c>
      <c r="G635" s="89" t="n">
        <v>475.21</v>
      </c>
      <c r="H635" s="110" t="inlineStr">
        <is>
          <t>Referente MAIO/2026 - não cobrado em maio</t>
        </is>
      </c>
    </row>
    <row r="636" ht="15" customHeight="1" s="64">
      <c r="A636" s="110" t="inlineStr">
        <is>
          <t>JUNHO/2026</t>
        </is>
      </c>
      <c r="B636" s="110" t="inlineStr">
        <is>
          <t>Frota</t>
        </is>
      </c>
      <c r="C636" s="110" t="inlineStr">
        <is>
          <t>Manutenção de veículo</t>
        </is>
      </c>
      <c r="D636" s="110" t="inlineStr">
        <is>
          <t>Solon Araújo</t>
        </is>
      </c>
      <c r="E636" s="129" t="n">
        <v>1</v>
      </c>
      <c r="F636" s="89" t="n">
        <v>132</v>
      </c>
      <c r="G636" s="89" t="n">
        <v>132</v>
      </c>
      <c r="H636" s="110" t="inlineStr">
        <is>
          <t>Transporte de produtos - Frota.xlsx (referente maio/2026)</t>
        </is>
      </c>
    </row>
    <row r="637" ht="15" customHeight="1" s="64">
      <c r="A637" s="110" t="inlineStr">
        <is>
          <t>JUNHO/2026</t>
        </is>
      </c>
      <c r="B637" s="110" t="inlineStr">
        <is>
          <t>Frota</t>
        </is>
      </c>
      <c r="C637" s="110" t="inlineStr">
        <is>
          <t>Rastreamento veicular</t>
        </is>
      </c>
      <c r="D637" s="110" t="inlineStr">
        <is>
          <t>Solon Araújo</t>
        </is>
      </c>
      <c r="E637" s="129" t="n">
        <v>19</v>
      </c>
      <c r="F637" s="89" t="n">
        <v>20</v>
      </c>
      <c r="G637" s="89" t="n">
        <v>380</v>
      </c>
      <c r="H637" s="110" t="inlineStr">
        <is>
          <t>Rastreamento dos veículos</t>
        </is>
      </c>
    </row>
    <row r="638" ht="15" customHeight="1" s="64">
      <c r="A638" s="110" t="inlineStr">
        <is>
          <t>JUNHO/2026</t>
        </is>
      </c>
      <c r="B638" s="110" t="inlineStr">
        <is>
          <t>Frota</t>
        </is>
      </c>
      <c r="C638" s="110" t="inlineStr">
        <is>
          <t>Transporte de produtos</t>
        </is>
      </c>
      <c r="D638" s="110" t="inlineStr">
        <is>
          <t>Solon Araújo</t>
        </is>
      </c>
      <c r="E638" s="129" t="n">
        <v>1</v>
      </c>
      <c r="F638" s="89" t="n">
        <v>1035.78</v>
      </c>
      <c r="G638" s="89" t="n">
        <v>1035.78</v>
      </c>
      <c r="H638" s="110" t="inlineStr">
        <is>
          <t>Transporte de produtos - Frota.xlsx (referente maio/2026)</t>
        </is>
      </c>
    </row>
    <row r="639" ht="15" customHeight="1" s="64">
      <c r="A639" s="110" t="inlineStr">
        <is>
          <t>JUNHO/2026</t>
        </is>
      </c>
      <c r="B639" s="110" t="inlineStr">
        <is>
          <t>Frota</t>
        </is>
      </c>
      <c r="C639" s="110" t="inlineStr">
        <is>
          <t>Transporte de produtos</t>
        </is>
      </c>
      <c r="D639" s="110" t="inlineStr">
        <is>
          <t>Solon Araújo</t>
        </is>
      </c>
      <c r="E639" s="129" t="n">
        <v>1</v>
      </c>
      <c r="F639" s="89" t="n">
        <v>1381.14</v>
      </c>
      <c r="G639" s="89" t="n">
        <v>1381.14</v>
      </c>
      <c r="H639" s="110" t="inlineStr">
        <is>
          <t>Referente MAIO/2026 - não cobrado em maio</t>
        </is>
      </c>
    </row>
    <row r="640" ht="15" customHeight="1" s="64">
      <c r="A640" s="110" t="inlineStr">
        <is>
          <t>JUNHO/2026</t>
        </is>
      </c>
      <c r="B640" s="110" t="inlineStr">
        <is>
          <t>Frota</t>
        </is>
      </c>
      <c r="C640" s="110" t="inlineStr">
        <is>
          <t>Troca de Óleo e Filtro</t>
        </is>
      </c>
      <c r="D640" s="110" t="inlineStr">
        <is>
          <t>Solon Araújo</t>
        </is>
      </c>
      <c r="E640" s="129" t="n">
        <v>0</v>
      </c>
      <c r="F640" s="89" t="n">
        <v>0</v>
      </c>
      <c r="G640" s="89" t="n">
        <v>0</v>
      </c>
      <c r="H640" s="110" t="inlineStr">
        <is>
          <t>Transporte de produtos - Frota.xlsx (referente maio/2026)</t>
        </is>
      </c>
    </row>
    <row r="641" ht="15" customHeight="1" s="64">
      <c r="A641" s="110" t="inlineStr">
        <is>
          <t>JUNHO/2026</t>
        </is>
      </c>
      <c r="B641" s="110" t="inlineStr">
        <is>
          <t>Frota</t>
        </is>
      </c>
      <c r="C641" s="110" t="inlineStr">
        <is>
          <t>Troca de Óleo e Filtro</t>
        </is>
      </c>
      <c r="D641" s="110" t="inlineStr">
        <is>
          <t>Solon Araújo</t>
        </is>
      </c>
      <c r="E641" s="129" t="n">
        <v>1</v>
      </c>
      <c r="F641" s="89" t="n">
        <v>264</v>
      </c>
      <c r="G641" s="89" t="n">
        <v>264</v>
      </c>
      <c r="H641" s="110" t="inlineStr">
        <is>
          <t>Referente MAIO/2026 - não cobrado em maio</t>
        </is>
      </c>
    </row>
    <row r="642" ht="15" customHeight="1" s="64">
      <c r="A642" s="110" t="inlineStr">
        <is>
          <t>JUNHO/2026</t>
        </is>
      </c>
      <c r="B642" s="110" t="inlineStr">
        <is>
          <t>Frota</t>
        </is>
      </c>
      <c r="C642" s="110" t="inlineStr">
        <is>
          <t>Manutenção de veiculo</t>
        </is>
      </c>
      <c r="D642" s="110" t="inlineStr">
        <is>
          <t>Souza e Silva</t>
        </is>
      </c>
      <c r="E642" s="129" t="n">
        <v>0</v>
      </c>
      <c r="F642" s="89" t="n">
        <v>0</v>
      </c>
      <c r="G642" s="89" t="n">
        <v>0</v>
      </c>
      <c r="H642" s="110" t="inlineStr">
        <is>
          <t>Reboque de carro</t>
        </is>
      </c>
    </row>
    <row r="643" ht="15" customHeight="1" s="64">
      <c r="A643" s="110" t="inlineStr">
        <is>
          <t>JUNHO/2026</t>
        </is>
      </c>
      <c r="B643" s="110" t="inlineStr">
        <is>
          <t>Frota</t>
        </is>
      </c>
      <c r="C643" s="110" t="inlineStr">
        <is>
          <t>Rastreamento veicular</t>
        </is>
      </c>
      <c r="D643" s="110" t="inlineStr">
        <is>
          <t>Souza e Silva</t>
        </is>
      </c>
      <c r="E643" s="129" t="n">
        <v>4</v>
      </c>
      <c r="F643" s="89" t="n">
        <v>20</v>
      </c>
      <c r="G643" s="89" t="n">
        <v>80</v>
      </c>
      <c r="H643" s="110" t="inlineStr">
        <is>
          <t>Rastreamento dos veículos</t>
        </is>
      </c>
    </row>
    <row r="644" ht="15" customHeight="1" s="64">
      <c r="A644" s="110" t="inlineStr">
        <is>
          <t>JUNHO/2026</t>
        </is>
      </c>
      <c r="B644" s="110" t="inlineStr">
        <is>
          <t>Frota</t>
        </is>
      </c>
      <c r="C644" s="110" t="inlineStr">
        <is>
          <t>Transporte de produtos</t>
        </is>
      </c>
      <c r="D644" s="110" t="inlineStr">
        <is>
          <t>Souza e Silva</t>
        </is>
      </c>
      <c r="E644" s="129" t="n">
        <v>0</v>
      </c>
      <c r="F644" s="89" t="n">
        <v>0</v>
      </c>
      <c r="G644" s="89" t="n">
        <v>0</v>
      </c>
      <c r="H644" s="110" t="inlineStr">
        <is>
          <t>Transportes entre CD01 e empresas no rateio da rota</t>
        </is>
      </c>
    </row>
    <row r="645" ht="15" customHeight="1" s="64">
      <c r="A645" s="110" t="inlineStr">
        <is>
          <t>JUNHO/2026</t>
        </is>
      </c>
      <c r="B645" s="110" t="inlineStr">
        <is>
          <t>Frota</t>
        </is>
      </c>
      <c r="C645" s="110" t="inlineStr">
        <is>
          <t>Troca de Óleo e Filtro</t>
        </is>
      </c>
      <c r="D645" s="110" t="inlineStr">
        <is>
          <t>Souza e Silva</t>
        </is>
      </c>
      <c r="E645" s="129" t="n">
        <v>0</v>
      </c>
      <c r="F645" s="89" t="n">
        <v>0</v>
      </c>
      <c r="G645" s="89" t="n">
        <v>0</v>
      </c>
      <c r="H645" s="110" t="inlineStr">
        <is>
          <t>Manutenção veicular</t>
        </is>
      </c>
    </row>
    <row r="646" ht="15" customHeight="1" s="64">
      <c r="A646" s="110" t="inlineStr">
        <is>
          <t>JUNHO/2026</t>
        </is>
      </c>
      <c r="B646" s="110" t="inlineStr">
        <is>
          <t>Frota</t>
        </is>
      </c>
      <c r="C646" s="110" t="inlineStr">
        <is>
          <t>Abastecimento</t>
        </is>
      </c>
      <c r="D646" s="110" t="inlineStr">
        <is>
          <t>Voicenet</t>
        </is>
      </c>
      <c r="E646" s="129" t="n">
        <v>0</v>
      </c>
      <c r="F646" s="89" t="n">
        <v>0</v>
      </c>
      <c r="G646" s="89" t="n">
        <v>0</v>
      </c>
      <c r="H646" s="110" t="inlineStr">
        <is>
          <t>Abastecimento de veiculos</t>
        </is>
      </c>
    </row>
    <row r="647" ht="15" customHeight="1" s="64">
      <c r="A647" s="110" t="inlineStr">
        <is>
          <t>JUNHO/2026</t>
        </is>
      </c>
      <c r="B647" s="110" t="inlineStr">
        <is>
          <t>Frota</t>
        </is>
      </c>
      <c r="C647" s="110" t="inlineStr">
        <is>
          <t>Rastreamento veicular</t>
        </is>
      </c>
      <c r="D647" s="110" t="inlineStr">
        <is>
          <t>Voicenet</t>
        </is>
      </c>
      <c r="E647" s="129" t="n">
        <v>8</v>
      </c>
      <c r="F647" s="89" t="n">
        <v>20</v>
      </c>
      <c r="G647" s="89" t="n">
        <v>160</v>
      </c>
      <c r="H647" s="110" t="inlineStr">
        <is>
          <t>Rastreamento dos veículos</t>
        </is>
      </c>
    </row>
    <row r="648" ht="15" customHeight="1" s="64">
      <c r="A648" s="110" t="inlineStr">
        <is>
          <t>JUNHO/2026</t>
        </is>
      </c>
      <c r="B648" s="110" t="inlineStr">
        <is>
          <t>Frota</t>
        </is>
      </c>
      <c r="C648" s="110" t="inlineStr">
        <is>
          <t>Transporte de produtos</t>
        </is>
      </c>
      <c r="D648" s="110" t="inlineStr">
        <is>
          <t>Voicenet</t>
        </is>
      </c>
      <c r="E648" s="129" t="n">
        <v>1</v>
      </c>
      <c r="F648" s="89" t="n">
        <v>1209.07</v>
      </c>
      <c r="G648" s="89" t="n">
        <v>1209.07</v>
      </c>
      <c r="H648" s="110" t="inlineStr">
        <is>
          <t>Transporte de produtos - Frota.xlsx (referente maio/2026)</t>
        </is>
      </c>
    </row>
    <row r="649" ht="15" customHeight="1" s="64">
      <c r="A649" s="110" t="inlineStr">
        <is>
          <t>JUNHO/2026</t>
        </is>
      </c>
      <c r="B649" s="110" t="inlineStr">
        <is>
          <t>Frota</t>
        </is>
      </c>
      <c r="C649" s="110" t="inlineStr">
        <is>
          <t>Transporte de produtos</t>
        </is>
      </c>
      <c r="D649" s="110" t="inlineStr">
        <is>
          <t>Voicenet</t>
        </is>
      </c>
      <c r="E649" s="129" t="n">
        <v>1</v>
      </c>
      <c r="F649" s="89" t="n">
        <v>497.22</v>
      </c>
      <c r="G649" s="89" t="n">
        <v>497.22</v>
      </c>
      <c r="H649" s="110" t="inlineStr">
        <is>
          <t>Referente MAIO/2026 - não cobrado em maio</t>
        </is>
      </c>
    </row>
    <row r="650" ht="15" customHeight="1" s="64">
      <c r="A650" s="110" t="inlineStr">
        <is>
          <t>JUNHO/2026</t>
        </is>
      </c>
      <c r="B650" s="110" t="inlineStr">
        <is>
          <t>Frota</t>
        </is>
      </c>
      <c r="C650" s="110" t="inlineStr">
        <is>
          <t>Troca de Oleo e Filtro</t>
        </is>
      </c>
      <c r="D650" s="110" t="inlineStr">
        <is>
          <t>Voicenet</t>
        </is>
      </c>
      <c r="E650" s="129" t="n">
        <v>1</v>
      </c>
      <c r="F650" s="89" t="n">
        <v>230.72</v>
      </c>
      <c r="G650" s="89" t="n">
        <v>230.72</v>
      </c>
      <c r="H650" s="110" t="inlineStr">
        <is>
          <t>Transporte de produtos - Frota.xlsx (referente maio/2026)</t>
        </is>
      </c>
    </row>
    <row r="651" ht="15" customHeight="1" s="64">
      <c r="A651" s="110" t="inlineStr">
        <is>
          <t>JUNHO/2026</t>
        </is>
      </c>
      <c r="B651" s="110" t="inlineStr">
        <is>
          <t>Frota</t>
        </is>
      </c>
      <c r="C651" s="110" t="inlineStr">
        <is>
          <t>Troca de Oleo e Filtro</t>
        </is>
      </c>
      <c r="D651" s="110" t="inlineStr">
        <is>
          <t>Voicenet</t>
        </is>
      </c>
      <c r="E651" s="129" t="n">
        <v>1</v>
      </c>
      <c r="F651" s="89" t="n">
        <v>381.6</v>
      </c>
      <c r="G651" s="89" t="n">
        <v>381.6</v>
      </c>
      <c r="H651" s="110" t="inlineStr">
        <is>
          <t>Referente MAIO/2026 - não cobrado em maio</t>
        </is>
      </c>
    </row>
    <row r="652" ht="15" customHeight="1" s="64">
      <c r="A652" s="110" t="inlineStr">
        <is>
          <t>JUNHO/2026</t>
        </is>
      </c>
      <c r="B652" s="110" t="inlineStr">
        <is>
          <t>Instalação</t>
        </is>
      </c>
      <c r="C652" s="110" t="inlineStr">
        <is>
          <t>KM rodado para serviços técnicos DX2 p/ Soares &amp; silva</t>
        </is>
      </c>
      <c r="D652" s="110" t="inlineStr">
        <is>
          <t>DX2</t>
        </is>
      </c>
      <c r="E652" s="129" t="n">
        <v>0</v>
      </c>
      <c r="F652" s="89" t="n">
        <v>0</v>
      </c>
      <c r="G652" s="89" t="n">
        <v>0</v>
      </c>
      <c r="H652" s="110" t="inlineStr">
        <is>
          <t>Serviços das equipes dx2 p/ soares e silva</t>
        </is>
      </c>
    </row>
    <row r="653" ht="15" customHeight="1" s="64">
      <c r="A653" s="110" t="inlineStr">
        <is>
          <t>JUNHO/2026</t>
        </is>
      </c>
      <c r="B653" s="110" t="inlineStr">
        <is>
          <t>Instalação</t>
        </is>
      </c>
      <c r="C653" s="110" t="inlineStr">
        <is>
          <t>KM rodado para serviços técnicos DX2 para SOLON</t>
        </is>
      </c>
      <c r="D653" s="110" t="inlineStr">
        <is>
          <t>DX2</t>
        </is>
      </c>
      <c r="E653" s="129" t="n">
        <v>0</v>
      </c>
      <c r="F653" s="89" t="n">
        <v>0</v>
      </c>
      <c r="G653" s="89" t="n">
        <v>0</v>
      </c>
      <c r="H653" s="110" t="inlineStr">
        <is>
          <t>Serviços das equipes dx2 p/ solon</t>
        </is>
      </c>
    </row>
    <row r="654" ht="15" customHeight="1" s="64">
      <c r="A654" s="110" t="inlineStr">
        <is>
          <t>JUNHO/2026</t>
        </is>
      </c>
      <c r="B654" s="110" t="inlineStr">
        <is>
          <t>Instalação</t>
        </is>
      </c>
      <c r="C654" s="110" t="inlineStr">
        <is>
          <t>Serviços técnicos da DX2 P/ SOLON</t>
        </is>
      </c>
      <c r="D654" s="110" t="inlineStr">
        <is>
          <t>DX2</t>
        </is>
      </c>
      <c r="E654" s="129" t="n">
        <v>0</v>
      </c>
      <c r="F654" s="89" t="n">
        <v>0</v>
      </c>
      <c r="G654" s="89" t="n">
        <v>0</v>
      </c>
      <c r="H654" s="110" t="inlineStr">
        <is>
          <t>Serviços das equipes técnicas Dx2 p/ solon</t>
        </is>
      </c>
    </row>
    <row r="655" ht="15" customHeight="1" s="64">
      <c r="A655" s="110" t="inlineStr">
        <is>
          <t>JUNHO/2026</t>
        </is>
      </c>
      <c r="B655" s="110" t="inlineStr">
        <is>
          <t>Instalação</t>
        </is>
      </c>
      <c r="C655" s="110" t="inlineStr">
        <is>
          <t>Serviços técnicos da DX2 p/ Soares &amp; Silva</t>
        </is>
      </c>
      <c r="D655" s="110" t="inlineStr">
        <is>
          <t>DX2</t>
        </is>
      </c>
      <c r="E655" s="129" t="n">
        <v>0</v>
      </c>
      <c r="F655" s="89" t="n">
        <v>0</v>
      </c>
      <c r="G655" s="89" t="n">
        <v>0</v>
      </c>
      <c r="H655" s="110" t="inlineStr">
        <is>
          <t>Serviços das equipes técnicas Dx2 p/ soares e silva</t>
        </is>
      </c>
    </row>
    <row r="656" ht="15" customHeight="1" s="64">
      <c r="A656" s="110" t="inlineStr">
        <is>
          <t>JUNHO/2026</t>
        </is>
      </c>
      <c r="B656" s="110" t="inlineStr">
        <is>
          <t>Instalação</t>
        </is>
      </c>
      <c r="C656" s="110" t="inlineStr">
        <is>
          <t>Serviços técnicos da DX2 P/ H&amp;A</t>
        </is>
      </c>
      <c r="D656" s="110" t="inlineStr">
        <is>
          <t>H&amp;A</t>
        </is>
      </c>
      <c r="E656" s="129" t="n">
        <v>0</v>
      </c>
      <c r="F656" s="89" t="n">
        <v>0</v>
      </c>
      <c r="G656" s="89" t="n">
        <v>0</v>
      </c>
      <c r="H656" s="110" t="inlineStr">
        <is>
          <t>Deslocamento de equipes</t>
        </is>
      </c>
    </row>
    <row r="657" ht="15" customHeight="1" s="64">
      <c r="A657" s="110" t="inlineStr">
        <is>
          <t>JUNHO/2026</t>
        </is>
      </c>
      <c r="B657" s="110" t="inlineStr">
        <is>
          <t>Instalação</t>
        </is>
      </c>
      <c r="C657" s="110" t="inlineStr">
        <is>
          <t>km rodado da equipe DX2 para H&amp;A</t>
        </is>
      </c>
      <c r="D657" s="110" t="inlineStr">
        <is>
          <t>H&amp;A</t>
        </is>
      </c>
      <c r="E657" s="129" t="n">
        <v>0</v>
      </c>
      <c r="F657" s="89" t="n">
        <v>0</v>
      </c>
      <c r="G657" s="89" t="n">
        <v>0</v>
      </c>
      <c r="H657" s="110" t="inlineStr">
        <is>
          <t>Serviços das equipes técnicas Dtel</t>
        </is>
      </c>
    </row>
    <row r="658" ht="15" customHeight="1" s="64">
      <c r="A658" s="110" t="inlineStr">
        <is>
          <t>JUNHO/2026</t>
        </is>
      </c>
      <c r="B658" s="110" t="inlineStr">
        <is>
          <t>Instalação</t>
        </is>
      </c>
      <c r="C658" s="110" t="inlineStr">
        <is>
          <t>KM rodado para serviços técnicos Dtel p/ S&amp;L</t>
        </is>
      </c>
      <c r="D658" s="110" t="inlineStr">
        <is>
          <t>Soares e Lins</t>
        </is>
      </c>
      <c r="E658" s="129" t="n">
        <v>0</v>
      </c>
      <c r="F658" s="89" t="n">
        <v>0</v>
      </c>
      <c r="G658" s="89" t="n">
        <v>0</v>
      </c>
      <c r="H658" s="110" t="inlineStr">
        <is>
          <t>Deslocamento de equipes dtel</t>
        </is>
      </c>
    </row>
    <row r="659" ht="15" customHeight="1" s="64">
      <c r="A659" s="110" t="inlineStr">
        <is>
          <t>JUNHO/2026</t>
        </is>
      </c>
      <c r="B659" s="110" t="inlineStr">
        <is>
          <t>Instalação</t>
        </is>
      </c>
      <c r="C659" s="110" t="inlineStr">
        <is>
          <t>KM rodado para serviços técnicos S&amp;L para DTEL</t>
        </is>
      </c>
      <c r="D659" s="110" t="inlineStr">
        <is>
          <t>Soares e Lins</t>
        </is>
      </c>
      <c r="E659" s="129" t="n">
        <v>0</v>
      </c>
      <c r="F659" s="89" t="n">
        <v>0</v>
      </c>
      <c r="G659" s="89" t="n">
        <v>0</v>
      </c>
      <c r="H659" s="110" t="inlineStr">
        <is>
          <t>Deslocamento de equipes soares e lins</t>
        </is>
      </c>
    </row>
    <row r="660" ht="15" customHeight="1" s="64">
      <c r="A660" s="110" t="inlineStr">
        <is>
          <t>JUNHO/2026</t>
        </is>
      </c>
      <c r="B660" s="110" t="inlineStr">
        <is>
          <t>Instalação</t>
        </is>
      </c>
      <c r="C660" s="110" t="inlineStr">
        <is>
          <t>KM rodado para serviços técnicos da S&amp;L para DTEL</t>
        </is>
      </c>
      <c r="D660" s="110" t="inlineStr">
        <is>
          <t>Soares e Lins</t>
        </is>
      </c>
      <c r="E660" s="129" t="n">
        <v>0</v>
      </c>
      <c r="F660" s="89" t="n">
        <v>0</v>
      </c>
      <c r="G660" s="89" t="n">
        <v>0</v>
      </c>
      <c r="H660" s="110" t="inlineStr">
        <is>
          <t>Deslocamento de equipes</t>
        </is>
      </c>
    </row>
    <row r="661" ht="15" customHeight="1" s="64">
      <c r="A661" s="110" t="inlineStr">
        <is>
          <t>JUNHO/2026</t>
        </is>
      </c>
      <c r="B661" s="110" t="inlineStr">
        <is>
          <t>Instalação</t>
        </is>
      </c>
      <c r="C661" s="110" t="inlineStr">
        <is>
          <t>Serviços técnicos da Dtel para S&amp;L</t>
        </is>
      </c>
      <c r="D661" s="110" t="inlineStr">
        <is>
          <t>Soares e Lins</t>
        </is>
      </c>
      <c r="E661" s="129" t="n">
        <v>0</v>
      </c>
      <c r="F661" s="89" t="n">
        <v>0</v>
      </c>
      <c r="G661" s="89" t="n">
        <v>0</v>
      </c>
      <c r="H661" s="110" t="inlineStr">
        <is>
          <t>Serviços da equipe técnica</t>
        </is>
      </c>
    </row>
    <row r="662" ht="15" customHeight="1" s="64">
      <c r="A662" s="110" t="inlineStr">
        <is>
          <t>JUNHO/2026</t>
        </is>
      </c>
      <c r="B662" s="110" t="inlineStr">
        <is>
          <t>Instalação</t>
        </is>
      </c>
      <c r="C662" s="110" t="inlineStr">
        <is>
          <t>Serviços técnicos da S&amp;L para DTEL</t>
        </is>
      </c>
      <c r="D662" s="110" t="inlineStr">
        <is>
          <t>Soares e Lins</t>
        </is>
      </c>
      <c r="E662" s="129" t="n">
        <v>0</v>
      </c>
      <c r="F662" s="89" t="n">
        <v>0</v>
      </c>
      <c r="G662" s="89" t="n">
        <v>0</v>
      </c>
      <c r="H662" s="110" t="inlineStr">
        <is>
          <t>Serviços da equipe técnica</t>
        </is>
      </c>
    </row>
    <row r="663" ht="15" customHeight="1" s="64">
      <c r="A663" s="110" t="inlineStr">
        <is>
          <t>JUNHO/2026</t>
        </is>
      </c>
      <c r="B663" s="110" t="inlineStr">
        <is>
          <t>Instalação</t>
        </is>
      </c>
      <c r="C663" s="110" t="inlineStr">
        <is>
          <t>Supervisor JOSUE DE MOURA SILVA JUNIOR</t>
        </is>
      </c>
      <c r="D663" s="110" t="inlineStr">
        <is>
          <t>Soares e Lins</t>
        </is>
      </c>
      <c r="E663" s="129" t="n">
        <v>1</v>
      </c>
      <c r="F663" s="89" t="n">
        <v>3430.14</v>
      </c>
      <c r="G663" s="89" t="n">
        <v>3430.14</v>
      </c>
      <c r="H663" s="110" t="inlineStr">
        <is>
          <t>Despesa dividida entre s&amp;l e dtel pelo supervisor JOSUE estar assumindo as bases</t>
        </is>
      </c>
    </row>
    <row r="664" ht="15" customHeight="1" s="64">
      <c r="A664" s="110" t="inlineStr">
        <is>
          <t>JUNHO/2026</t>
        </is>
      </c>
      <c r="B664" s="110" t="inlineStr">
        <is>
          <t>Instalação</t>
        </is>
      </c>
      <c r="C664" s="110" t="inlineStr">
        <is>
          <t>KM rodado para serviços técnicos Dx2 p/ soares e silva</t>
        </is>
      </c>
      <c r="D664" s="110" t="inlineStr">
        <is>
          <t>Soares e Silva</t>
        </is>
      </c>
      <c r="E664" s="129" t="n">
        <v>0</v>
      </c>
      <c r="F664" s="89" t="n">
        <v>0</v>
      </c>
      <c r="G664" s="89" t="n">
        <v>0</v>
      </c>
      <c r="H664" s="110" t="inlineStr">
        <is>
          <t>Deslocamento de equipes</t>
        </is>
      </c>
    </row>
    <row r="665" ht="15" customHeight="1" s="64">
      <c r="A665" s="110" t="inlineStr">
        <is>
          <t>JUNHO/2026</t>
        </is>
      </c>
      <c r="B665" s="110" t="inlineStr">
        <is>
          <t>Instalação</t>
        </is>
      </c>
      <c r="C665" s="110" t="inlineStr">
        <is>
          <t>Serviços técnicos da Dx2 p/ soares e silva</t>
        </is>
      </c>
      <c r="D665" s="110" t="inlineStr">
        <is>
          <t>Soares e Silva</t>
        </is>
      </c>
      <c r="E665" s="129" t="n">
        <v>0</v>
      </c>
      <c r="F665" s="89" t="n">
        <v>0</v>
      </c>
      <c r="G665" s="89" t="n">
        <v>0</v>
      </c>
      <c r="H665" s="110" t="inlineStr">
        <is>
          <t>Serviços das equipes técnicas</t>
        </is>
      </c>
    </row>
    <row r="666" ht="15" customHeight="1" s="64">
      <c r="A666" s="110" t="inlineStr">
        <is>
          <t>JUNHO/2026</t>
        </is>
      </c>
      <c r="B666" s="110" t="inlineStr">
        <is>
          <t>Instalação</t>
        </is>
      </c>
      <c r="C666" s="110" t="inlineStr">
        <is>
          <t>KM rodado para serviços técnicos Souza e Silva p/ Solon</t>
        </is>
      </c>
      <c r="D666" s="110" t="inlineStr">
        <is>
          <t>Solon Araújo</t>
        </is>
      </c>
      <c r="E666" s="129" t="n">
        <v>0</v>
      </c>
      <c r="F666" s="89" t="n">
        <v>0</v>
      </c>
      <c r="G666" s="89" t="n">
        <v>0</v>
      </c>
      <c r="H666" s="110" t="inlineStr">
        <is>
          <t>Deslocamento de equipes da DTEL</t>
        </is>
      </c>
    </row>
    <row r="667" ht="15" customHeight="1" s="64">
      <c r="A667" s="110" t="inlineStr">
        <is>
          <t>JUNHO/2026</t>
        </is>
      </c>
      <c r="B667" s="110" t="inlineStr">
        <is>
          <t>Instalação</t>
        </is>
      </c>
      <c r="C667" s="110" t="inlineStr">
        <is>
          <t>KM rodado para serviços técnicos dx2 p/ Solon</t>
        </is>
      </c>
      <c r="D667" s="110" t="inlineStr">
        <is>
          <t>Solon Araújo</t>
        </is>
      </c>
      <c r="E667" s="129" t="n">
        <v>0</v>
      </c>
      <c r="F667" s="89" t="n">
        <v>0</v>
      </c>
      <c r="G667" s="89" t="n">
        <v>0</v>
      </c>
      <c r="H667" s="110" t="inlineStr">
        <is>
          <t>Serviços das equipes dx2 p/ solon</t>
        </is>
      </c>
    </row>
    <row r="668" ht="15" customHeight="1" s="64">
      <c r="A668" s="110" t="inlineStr">
        <is>
          <t>JUNHO/2026</t>
        </is>
      </c>
      <c r="B668" s="110" t="inlineStr">
        <is>
          <t>Instalação</t>
        </is>
      </c>
      <c r="C668" s="110" t="inlineStr">
        <is>
          <t>Serviços técnicos da Dx2 p/ Solon</t>
        </is>
      </c>
      <c r="D668" s="110" t="inlineStr">
        <is>
          <t>Solon Araújo</t>
        </is>
      </c>
      <c r="E668" s="129" t="n">
        <v>0</v>
      </c>
      <c r="F668" s="89" t="n">
        <v>0</v>
      </c>
      <c r="G668" s="89" t="n">
        <v>0</v>
      </c>
      <c r="H668" s="110" t="inlineStr">
        <is>
          <t>Serviços das equipes técnicas Dx2 p/ solon</t>
        </is>
      </c>
    </row>
    <row r="669" ht="15" customHeight="1" s="64">
      <c r="A669" s="110" t="inlineStr">
        <is>
          <t>JUNHO/2026</t>
        </is>
      </c>
      <c r="B669" s="110" t="inlineStr">
        <is>
          <t>Instalação</t>
        </is>
      </c>
      <c r="C669" s="110" t="inlineStr">
        <is>
          <t>Serviços técnicos da Souza p/ Solon</t>
        </is>
      </c>
      <c r="D669" s="110" t="inlineStr">
        <is>
          <t>Solon Araújo</t>
        </is>
      </c>
      <c r="E669" s="129" t="n">
        <v>0</v>
      </c>
      <c r="F669" s="89" t="n">
        <v>0</v>
      </c>
      <c r="G669" s="89" t="n">
        <v>0</v>
      </c>
      <c r="H669" s="110" t="inlineStr">
        <is>
          <t>Serviços das equipes técnicas Dtel</t>
        </is>
      </c>
    </row>
    <row r="670" ht="15" customHeight="1" s="64">
      <c r="A670" s="110" t="inlineStr">
        <is>
          <t>JUNHO/2026</t>
        </is>
      </c>
      <c r="B670" s="110" t="inlineStr">
        <is>
          <t>Instalação</t>
        </is>
      </c>
      <c r="C670" s="110" t="inlineStr">
        <is>
          <t>KM rodado para serviços técnicos Souza e Silva p/ Solon</t>
        </is>
      </c>
      <c r="D670" s="110" t="inlineStr">
        <is>
          <t>Souza e Silva</t>
        </is>
      </c>
      <c r="E670" s="129" t="n">
        <v>0</v>
      </c>
      <c r="F670" s="89" t="n">
        <v>0</v>
      </c>
      <c r="G670" s="89" t="n">
        <v>0</v>
      </c>
      <c r="H670" s="110" t="inlineStr">
        <is>
          <t>Deslocamento de equipes</t>
        </is>
      </c>
    </row>
    <row r="671" ht="15" customHeight="1" s="64">
      <c r="A671" s="110" t="inlineStr">
        <is>
          <t>JUNHO/2026</t>
        </is>
      </c>
      <c r="B671" s="110" t="inlineStr">
        <is>
          <t>Instalação</t>
        </is>
      </c>
      <c r="C671" s="110" t="inlineStr">
        <is>
          <t>KM rodado para serviços técnicos Souza e silva p/ soares e silva</t>
        </is>
      </c>
      <c r="D671" s="110" t="inlineStr">
        <is>
          <t>Souza e Silva</t>
        </is>
      </c>
      <c r="E671" s="129" t="n">
        <v>0</v>
      </c>
      <c r="F671" s="89" t="n">
        <v>0</v>
      </c>
      <c r="G671" s="89" t="n">
        <v>0</v>
      </c>
      <c r="H671" s="110" t="inlineStr">
        <is>
          <t>Deslocamento de equipes</t>
        </is>
      </c>
    </row>
    <row r="672" ht="15" customHeight="1" s="64">
      <c r="A672" s="110" t="inlineStr">
        <is>
          <t>JUNHO/2026</t>
        </is>
      </c>
      <c r="B672" s="110" t="inlineStr">
        <is>
          <t>Instalação</t>
        </is>
      </c>
      <c r="C672" s="110" t="inlineStr">
        <is>
          <t>Serviços técnicos da Souza e silva p/ soares e silva</t>
        </is>
      </c>
      <c r="D672" s="110" t="inlineStr">
        <is>
          <t>Souza e Silva</t>
        </is>
      </c>
      <c r="E672" s="129" t="n">
        <v>0</v>
      </c>
      <c r="F672" s="89" t="n">
        <v>0</v>
      </c>
      <c r="G672" s="89" t="n">
        <v>0</v>
      </c>
      <c r="H672" s="110" t="inlineStr">
        <is>
          <t>Serviços das equipes técnicas</t>
        </is>
      </c>
    </row>
    <row r="673" ht="15" customHeight="1" s="64">
      <c r="A673" s="110" t="inlineStr">
        <is>
          <t>JUNHO/2026</t>
        </is>
      </c>
      <c r="B673" s="110" t="inlineStr">
        <is>
          <t>Instalação</t>
        </is>
      </c>
      <c r="C673" s="110" t="inlineStr">
        <is>
          <t>Serviços técnicos da Souza p/ Solon</t>
        </is>
      </c>
      <c r="D673" s="110" t="inlineStr">
        <is>
          <t>Souza e Silva</t>
        </is>
      </c>
      <c r="E673" s="129" t="n">
        <v>0</v>
      </c>
      <c r="F673" s="89" t="n">
        <v>0</v>
      </c>
      <c r="G673" s="89" t="n">
        <v>0</v>
      </c>
      <c r="H673" s="110" t="inlineStr">
        <is>
          <t>Serviços das equipes técnicas da Dtel</t>
        </is>
      </c>
    </row>
    <row r="674" ht="15" customHeight="1" s="64">
      <c r="A674" s="110" t="inlineStr">
        <is>
          <t>JUNHO/2026</t>
        </is>
      </c>
      <c r="B674" s="110" t="inlineStr">
        <is>
          <t>Instalação</t>
        </is>
      </c>
      <c r="C674" s="110" t="inlineStr">
        <is>
          <t>Gestão Regional MICHELANGELO</t>
        </is>
      </c>
      <c r="D674" s="110" t="inlineStr">
        <is>
          <t>Voicenet</t>
        </is>
      </c>
      <c r="E674" s="129" t="n">
        <v>4795</v>
      </c>
      <c r="F674" s="89" t="n">
        <v>0.66</v>
      </c>
      <c r="G674" s="89" t="n">
        <v>3164.7</v>
      </c>
      <c r="H674" s="110" t="inlineStr">
        <is>
          <t>Cálculo por número de clientes ativos</t>
        </is>
      </c>
    </row>
    <row r="675" ht="15" customHeight="1" s="64">
      <c r="A675" s="110" t="inlineStr">
        <is>
          <t>JUNHO/2026</t>
        </is>
      </c>
      <c r="B675" s="110" t="inlineStr">
        <is>
          <t>Instalação</t>
        </is>
      </c>
      <c r="C675" s="110" t="inlineStr">
        <is>
          <t>KM rodado para serviços técnicos Dtel para Voicenet</t>
        </is>
      </c>
      <c r="D675" s="110" t="inlineStr">
        <is>
          <t>Voicenet</t>
        </is>
      </c>
      <c r="E675" s="129" t="n">
        <v>1</v>
      </c>
      <c r="F675" s="89" t="n">
        <v>2736.16</v>
      </c>
      <c r="G675" s="89" t="n">
        <v>2736.16</v>
      </c>
      <c r="H675" s="110" t="inlineStr">
        <is>
          <t>Deslocamento de equipes</t>
        </is>
      </c>
    </row>
    <row r="676" ht="15" customHeight="1" s="64">
      <c r="A676" s="110" t="inlineStr">
        <is>
          <t>JUNHO/2026</t>
        </is>
      </c>
      <c r="B676" s="110" t="inlineStr">
        <is>
          <t>Instalação</t>
        </is>
      </c>
      <c r="C676" s="110" t="inlineStr">
        <is>
          <t>KM rodado para serviços técnicos Voicenet p/ Dtel</t>
        </is>
      </c>
      <c r="D676" s="110" t="inlineStr">
        <is>
          <t>Voicenet</t>
        </is>
      </c>
      <c r="E676" s="129" t="n">
        <v>0</v>
      </c>
      <c r="F676" s="89" t="n">
        <v>0</v>
      </c>
      <c r="G676" s="89" t="n">
        <v>0</v>
      </c>
      <c r="H676" s="110" t="inlineStr">
        <is>
          <t>Deslocamento de equipes</t>
        </is>
      </c>
    </row>
    <row r="677" ht="15" customHeight="1" s="64">
      <c r="A677" s="110" t="inlineStr">
        <is>
          <t>JUNHO/2026</t>
        </is>
      </c>
      <c r="B677" s="110" t="inlineStr">
        <is>
          <t>Instalação</t>
        </is>
      </c>
      <c r="C677" s="110" t="inlineStr">
        <is>
          <t>Serviços técnicos da Dtel para voice net</t>
        </is>
      </c>
      <c r="D677" s="110" t="inlineStr">
        <is>
          <t>Voicenet</t>
        </is>
      </c>
      <c r="E677" s="129" t="n">
        <v>1</v>
      </c>
      <c r="F677" s="89" t="n">
        <v>13845.81</v>
      </c>
      <c r="G677" s="89" t="n">
        <v>13845.81</v>
      </c>
      <c r="H677" s="110" t="inlineStr">
        <is>
          <t>Serviços das equipes técnicas da Dtel</t>
        </is>
      </c>
    </row>
    <row r="678" ht="15" customHeight="1" s="64">
      <c r="A678" s="110" t="inlineStr">
        <is>
          <t>JUNHO/2026</t>
        </is>
      </c>
      <c r="B678" s="110" t="inlineStr">
        <is>
          <t>Instalação</t>
        </is>
      </c>
      <c r="C678" s="110" t="inlineStr">
        <is>
          <t>Serviços técnicos da voicenet p/ Dtel</t>
        </is>
      </c>
      <c r="D678" s="110" t="inlineStr">
        <is>
          <t>Voicenet</t>
        </is>
      </c>
      <c r="E678" s="129" t="n">
        <v>0</v>
      </c>
      <c r="F678" s="89" t="n">
        <v>0</v>
      </c>
      <c r="G678" s="89" t="n">
        <v>0</v>
      </c>
      <c r="H678" s="110" t="inlineStr">
        <is>
          <t>Serviços das equipes técnicas</t>
        </is>
      </c>
    </row>
    <row r="679" ht="15" customHeight="1" s="64">
      <c r="A679" s="110" t="inlineStr">
        <is>
          <t>JUNHO/2026</t>
        </is>
      </c>
      <c r="B679" s="110" t="inlineStr">
        <is>
          <t>Licitação</t>
        </is>
      </c>
      <c r="C679" s="110" t="inlineStr">
        <is>
          <t>Conselho Regional De Enfermagem De Alagoas</t>
        </is>
      </c>
      <c r="D679" s="110" t="inlineStr">
        <is>
          <t>H&amp;A</t>
        </is>
      </c>
      <c r="E679" s="129" t="n">
        <v>1</v>
      </c>
      <c r="F679" s="89" t="n">
        <v>238.88</v>
      </c>
      <c r="G679" s="89" t="n">
        <v>238.88</v>
      </c>
      <c r="H679" s="110" t="inlineStr">
        <is>
          <t>Mensalidade recebida pela H&amp;A (parcela junho)</t>
        </is>
      </c>
    </row>
    <row r="680" ht="15" customHeight="1" s="64">
      <c r="A680" s="110" t="inlineStr">
        <is>
          <t>JUNHO/2026</t>
        </is>
      </c>
      <c r="B680" s="110" t="inlineStr">
        <is>
          <t>Licitação</t>
        </is>
      </c>
      <c r="C680" s="110" t="inlineStr">
        <is>
          <t>Conselho Regional de Enfermagem de Pernambuco - Coren PE</t>
        </is>
      </c>
      <c r="D680" s="110" t="inlineStr">
        <is>
          <t>H&amp;A</t>
        </is>
      </c>
      <c r="E680" s="129" t="n">
        <v>1</v>
      </c>
      <c r="F680" s="89" t="n">
        <v>609.17</v>
      </c>
      <c r="G680" s="89" t="n">
        <v>609.17</v>
      </c>
      <c r="H680" s="110" t="inlineStr">
        <is>
          <t>Mensalidade recebida pela H&amp;A (parcela junho)</t>
        </is>
      </c>
    </row>
    <row r="681" ht="15" customHeight="1" s="64">
      <c r="A681" s="110" t="inlineStr">
        <is>
          <t>JUNHO/2026</t>
        </is>
      </c>
      <c r="B681" s="110" t="inlineStr">
        <is>
          <t>Licitação</t>
        </is>
      </c>
      <c r="C681" s="110" t="inlineStr">
        <is>
          <t>Conselho regional de farmacia dos estado de pernambuco</t>
        </is>
      </c>
      <c r="D681" s="110" t="inlineStr">
        <is>
          <t>H&amp;A</t>
        </is>
      </c>
      <c r="E681" s="129" t="n">
        <v>1</v>
      </c>
      <c r="F681" s="89" t="n">
        <v>510</v>
      </c>
      <c r="G681" s="89" t="n">
        <v>510</v>
      </c>
      <c r="H681" s="110" t="inlineStr">
        <is>
          <t>Mensalidade recebida pela H&amp;A (parcela junho)</t>
        </is>
      </c>
    </row>
    <row r="682" ht="15" customHeight="1" s="64">
      <c r="A682" s="110" t="inlineStr">
        <is>
          <t>JUNHO/2026</t>
        </is>
      </c>
      <c r="B682" s="110" t="inlineStr">
        <is>
          <t>Licitação</t>
        </is>
      </c>
      <c r="C682" s="110" t="inlineStr">
        <is>
          <t>Câmara de vereadores-Vitória de Stº Antão</t>
        </is>
      </c>
      <c r="D682" s="110" t="inlineStr">
        <is>
          <t>H&amp;A</t>
        </is>
      </c>
      <c r="E682" s="129" t="n">
        <v>1</v>
      </c>
      <c r="F682" s="89" t="n">
        <v>333.1</v>
      </c>
      <c r="G682" s="89" t="n">
        <v>333.1</v>
      </c>
      <c r="H682" s="110" t="inlineStr">
        <is>
          <t>Mensalidade recebida pela H&amp;A (parcela junho)</t>
        </is>
      </c>
    </row>
    <row r="683" ht="15" customHeight="1" s="64">
      <c r="A683" s="110" t="inlineStr">
        <is>
          <t>JUNHO/2026</t>
        </is>
      </c>
      <c r="B683" s="110" t="inlineStr">
        <is>
          <t>Licitação</t>
        </is>
      </c>
      <c r="C683" s="110" t="inlineStr">
        <is>
          <t>Fundo Municipal De Saude De Primavera</t>
        </is>
      </c>
      <c r="D683" s="110" t="inlineStr">
        <is>
          <t>H&amp;A</t>
        </is>
      </c>
      <c r="E683" s="129" t="n">
        <v>1</v>
      </c>
      <c r="F683" s="89" t="n">
        <v>2973.2</v>
      </c>
      <c r="G683" s="89" t="n">
        <v>2973.2</v>
      </c>
      <c r="H683" s="110" t="inlineStr">
        <is>
          <t>Mensalidade recebida pela H&amp;A (parcela junho)</t>
        </is>
      </c>
    </row>
    <row r="684" ht="15" customHeight="1" s="64">
      <c r="A684" s="110" t="inlineStr">
        <is>
          <t>JUNHO/2026</t>
        </is>
      </c>
      <c r="B684" s="110" t="inlineStr">
        <is>
          <t>Licitação</t>
        </is>
      </c>
      <c r="C684" s="110" t="inlineStr">
        <is>
          <t>Fundo Municipal de assistencia social de primavera</t>
        </is>
      </c>
      <c r="D684" s="110" t="inlineStr">
        <is>
          <t>H&amp;A</t>
        </is>
      </c>
      <c r="E684" s="129" t="n">
        <v>1</v>
      </c>
      <c r="F684" s="89" t="n">
        <v>1833.24</v>
      </c>
      <c r="G684" s="89" t="n">
        <v>1833.24</v>
      </c>
      <c r="H684" s="110" t="inlineStr">
        <is>
          <t>Mensalidade recebida pela H&amp;A (parcela junho)</t>
        </is>
      </c>
    </row>
    <row r="685" ht="15" customHeight="1" s="64">
      <c r="A685" s="110" t="inlineStr">
        <is>
          <t>JUNHO/2026</t>
        </is>
      </c>
      <c r="B685" s="110" t="inlineStr">
        <is>
          <t>Licitação</t>
        </is>
      </c>
      <c r="C685" s="110" t="inlineStr">
        <is>
          <t>Municipio De Primavera</t>
        </is>
      </c>
      <c r="D685" s="110" t="inlineStr">
        <is>
          <t>H&amp;A</t>
        </is>
      </c>
      <c r="E685" s="129" t="n">
        <v>1</v>
      </c>
      <c r="F685" s="89" t="n">
        <v>7615.46</v>
      </c>
      <c r="G685" s="89" t="n">
        <v>7615.46</v>
      </c>
      <c r="H685" s="110" t="inlineStr">
        <is>
          <t>Mensalidade recebida pela H&amp;A (parcela junho)</t>
        </is>
      </c>
    </row>
    <row r="686" ht="15" customHeight="1" s="64">
      <c r="A686" s="110" t="inlineStr">
        <is>
          <t>JUNHO/2026</t>
        </is>
      </c>
      <c r="B686" s="110" t="inlineStr">
        <is>
          <t>Licitação</t>
        </is>
      </c>
      <c r="C686" s="110" t="inlineStr">
        <is>
          <t>Agência reguladora dos serviços públicos do estado de Alagoas - ARSAL</t>
        </is>
      </c>
      <c r="D686" s="110" t="inlineStr">
        <is>
          <t>Soares e Silva</t>
        </is>
      </c>
      <c r="E686" s="129" t="n">
        <v>-1</v>
      </c>
      <c r="F686" s="89" t="n">
        <v>1046.56</v>
      </c>
      <c r="G686" s="89" t="n">
        <v>-1046.56</v>
      </c>
      <c r="H686" s="110" t="inlineStr">
        <is>
          <t>Mensalidade recebida pela Dtel (parcela junho)</t>
        </is>
      </c>
    </row>
    <row r="687" ht="15" customHeight="1" s="64">
      <c r="A687" s="110" t="inlineStr">
        <is>
          <t>JUNHO/2026</t>
        </is>
      </c>
      <c r="B687" s="110" t="inlineStr">
        <is>
          <t>Licitação</t>
        </is>
      </c>
      <c r="C687" s="110" t="inlineStr">
        <is>
          <t>Conselho Regional De Enfermagem De Alagoas</t>
        </is>
      </c>
      <c r="D687" s="110" t="inlineStr">
        <is>
          <t>Soares e Silva</t>
        </is>
      </c>
      <c r="E687" s="129" t="n">
        <v>-1</v>
      </c>
      <c r="F687" s="89" t="n">
        <v>238.88</v>
      </c>
      <c r="G687" s="89" t="n">
        <v>-238.88</v>
      </c>
      <c r="H687" s="110" t="inlineStr">
        <is>
          <t>Imposto pago pela h&amp;a sob o recebimento da licitação</t>
        </is>
      </c>
    </row>
    <row r="688" ht="15" customHeight="1" s="64">
      <c r="A688" s="110" t="inlineStr">
        <is>
          <t>JUNHO/2026</t>
        </is>
      </c>
      <c r="B688" s="110" t="inlineStr">
        <is>
          <t>Licitação</t>
        </is>
      </c>
      <c r="C688" s="110" t="inlineStr">
        <is>
          <t>Conselho Regional De Enfermagem De Alagoas</t>
        </is>
      </c>
      <c r="D688" s="110" t="inlineStr">
        <is>
          <t>Soares e Silva</t>
        </is>
      </c>
      <c r="E688" s="129" t="n">
        <v>-1</v>
      </c>
      <c r="F688" s="89" t="n">
        <v>238.88</v>
      </c>
      <c r="G688" s="89" t="n">
        <v>-238.88</v>
      </c>
      <c r="H688" s="110" t="inlineStr">
        <is>
          <t>Mensalidade recebida pela H&amp;A (parcela junho)</t>
        </is>
      </c>
    </row>
    <row r="689" ht="15" customHeight="1" s="64">
      <c r="A689" s="110" t="inlineStr">
        <is>
          <t>JUNHO/2026</t>
        </is>
      </c>
      <c r="B689" s="110" t="inlineStr">
        <is>
          <t>Licitação</t>
        </is>
      </c>
      <c r="C689" s="110" t="inlineStr">
        <is>
          <t>Conselho regional de farmacia dos estado de pernambuco</t>
        </is>
      </c>
      <c r="D689" s="110" t="inlineStr">
        <is>
          <t>Voicenet</t>
        </is>
      </c>
      <c r="E689" s="129" t="n">
        <v>1</v>
      </c>
      <c r="F689" s="89" t="n">
        <v>67.33</v>
      </c>
      <c r="G689" s="89" t="n">
        <v>67.33</v>
      </c>
      <c r="H689" s="110" t="inlineStr">
        <is>
          <t>Imposto pago pela h&amp;a, pelo recebimento da licitação</t>
        </is>
      </c>
    </row>
    <row r="690" ht="15" customHeight="1" s="64">
      <c r="A690" s="110" t="inlineStr">
        <is>
          <t>JUNHO/2026</t>
        </is>
      </c>
      <c r="B690" s="110" t="inlineStr">
        <is>
          <t>Licitação</t>
        </is>
      </c>
      <c r="C690" s="110" t="inlineStr">
        <is>
          <t>Conselho regional de farmacia dos estado de pernambuco</t>
        </is>
      </c>
      <c r="D690" s="110" t="inlineStr">
        <is>
          <t>Voicenet</t>
        </is>
      </c>
      <c r="E690" s="129" t="n">
        <v>-1</v>
      </c>
      <c r="F690" s="89" t="n">
        <v>510</v>
      </c>
      <c r="G690" s="89" t="n">
        <v>-510</v>
      </c>
      <c r="H690" s="110" t="inlineStr">
        <is>
          <t>Mensalidade recebida pela H&amp;A (parcela junho)</t>
        </is>
      </c>
    </row>
    <row r="691" ht="15" customHeight="1" s="64">
      <c r="A691" s="110" t="inlineStr">
        <is>
          <t>JUNHO/2026</t>
        </is>
      </c>
      <c r="B691" s="110" t="inlineStr">
        <is>
          <t>Manutenção Predial</t>
        </is>
      </c>
      <c r="C691" s="110" t="inlineStr">
        <is>
          <t>Manutenção predial</t>
        </is>
      </c>
      <c r="D691" s="110" t="inlineStr">
        <is>
          <t>DX2</t>
        </is>
      </c>
      <c r="E691" s="129" t="n">
        <v>0</v>
      </c>
      <c r="F691" s="89" t="n">
        <v>0</v>
      </c>
      <c r="G691" s="89" t="n">
        <v>0</v>
      </c>
      <c r="H691" s="110" t="inlineStr">
        <is>
          <t>Serviços executados para verificação de tacaimbó, e manut. de alarme e sensor loja pesqueira, despesa com comb. e colab.</t>
        </is>
      </c>
    </row>
    <row r="692" ht="15" customHeight="1" s="64">
      <c r="A692" s="110" t="inlineStr">
        <is>
          <t>JUNHO/2026</t>
        </is>
      </c>
      <c r="B692" s="110" t="inlineStr">
        <is>
          <t>Manutenção Predial</t>
        </is>
      </c>
      <c r="C692" s="110" t="inlineStr">
        <is>
          <t>Manutenção predial</t>
        </is>
      </c>
      <c r="D692" s="110" t="inlineStr">
        <is>
          <t>H&amp;A</t>
        </is>
      </c>
      <c r="E692" s="129" t="n">
        <v>0</v>
      </c>
      <c r="F692" s="89" t="n">
        <v>0</v>
      </c>
      <c r="G692" s="89" t="n">
        <v>0</v>
      </c>
      <c r="H692" s="110" t="inlineStr">
        <is>
          <t>Despesa com combust. e colaborador para manutenção de ar condicionado do estoque</t>
        </is>
      </c>
    </row>
    <row r="693" ht="15" customHeight="1" s="64">
      <c r="A693" s="110" t="inlineStr">
        <is>
          <t>JUNHO/2026</t>
        </is>
      </c>
      <c r="B693" s="110" t="inlineStr">
        <is>
          <t>Manutenção Predial</t>
        </is>
      </c>
      <c r="C693" s="110" t="inlineStr">
        <is>
          <t>Manutenção predial</t>
        </is>
      </c>
      <c r="D693" s="110" t="inlineStr">
        <is>
          <t>Soares e Lins</t>
        </is>
      </c>
      <c r="E693" s="129" t="n">
        <v>0</v>
      </c>
      <c r="F693" s="89" t="n">
        <v>0</v>
      </c>
      <c r="G693" s="89" t="n">
        <v>0</v>
      </c>
      <c r="H693" s="110" t="inlineStr">
        <is>
          <t>Serviços executados</t>
        </is>
      </c>
    </row>
    <row r="694" ht="15" customHeight="1" s="64">
      <c r="A694" s="110" t="inlineStr">
        <is>
          <t>JUNHO/2026</t>
        </is>
      </c>
      <c r="B694" s="110" t="inlineStr">
        <is>
          <t>Manutenção Predial</t>
        </is>
      </c>
      <c r="C694" s="110" t="inlineStr">
        <is>
          <t>Manutenção predial</t>
        </is>
      </c>
      <c r="D694" s="110" t="inlineStr">
        <is>
          <t>Soares e Silva</t>
        </is>
      </c>
      <c r="E694" s="129" t="n">
        <v>0</v>
      </c>
      <c r="F694" s="89" t="n">
        <v>0</v>
      </c>
      <c r="G694" s="89" t="n">
        <v>0</v>
      </c>
      <c r="H694" s="110" t="inlineStr">
        <is>
          <t>Serviços executados, despesa com combustÍvel e colaborador para reforma pop b, e passagem de tubulação de condensadora</t>
        </is>
      </c>
    </row>
    <row r="695" ht="15" customHeight="1" s="64">
      <c r="A695" s="110" t="inlineStr">
        <is>
          <t>JUNHO/2026</t>
        </is>
      </c>
      <c r="B695" s="110" t="inlineStr">
        <is>
          <t>Manutenção Predial</t>
        </is>
      </c>
      <c r="C695" s="110" t="inlineStr">
        <is>
          <t>Manutenção predial</t>
        </is>
      </c>
      <c r="D695" s="110" t="inlineStr">
        <is>
          <t>Solon Araújo</t>
        </is>
      </c>
      <c r="E695" s="129" t="n">
        <v>0</v>
      </c>
      <c r="F695" s="89" t="n">
        <v>0</v>
      </c>
      <c r="G695" s="89" t="n">
        <v>0</v>
      </c>
      <c r="H695" s="110" t="inlineStr">
        <is>
          <t>Despesa com material, combust, e colaborador para manut. de ar, e manut. de telhado</t>
        </is>
      </c>
    </row>
    <row r="696" ht="15" customHeight="1" s="64">
      <c r="A696" s="110" t="inlineStr">
        <is>
          <t>JUNHO/2026</t>
        </is>
      </c>
      <c r="B696" s="110" t="inlineStr">
        <is>
          <t>Manutenção Predial</t>
        </is>
      </c>
      <c r="C696" s="110" t="inlineStr">
        <is>
          <t>Manutenção predial</t>
        </is>
      </c>
      <c r="D696" s="110" t="inlineStr">
        <is>
          <t>Souza e Silva</t>
        </is>
      </c>
      <c r="E696" s="129" t="n">
        <v>0</v>
      </c>
      <c r="F696" s="89" t="n">
        <v>0</v>
      </c>
      <c r="G696" s="89" t="n">
        <v>0</v>
      </c>
      <c r="H696" s="110" t="inlineStr">
        <is>
          <t>Serviços executados</t>
        </is>
      </c>
    </row>
    <row r="697" ht="15" customHeight="1" s="64">
      <c r="A697" s="110" t="inlineStr">
        <is>
          <t>JUNHO/2026</t>
        </is>
      </c>
      <c r="B697" s="110" t="inlineStr">
        <is>
          <t>Manutenção Predial</t>
        </is>
      </c>
      <c r="C697" s="110" t="inlineStr">
        <is>
          <t>Manutenção predial</t>
        </is>
      </c>
      <c r="D697" s="110" t="inlineStr">
        <is>
          <t>Voicenet</t>
        </is>
      </c>
      <c r="E697" s="129" t="n">
        <v>0</v>
      </c>
      <c r="F697" s="89" t="n">
        <v>0</v>
      </c>
      <c r="G697" s="89" t="n">
        <v>0</v>
      </c>
      <c r="H697" s="110" t="inlineStr">
        <is>
          <t>Serviços executados despesas com comb. e colaborador para urgencia na base</t>
        </is>
      </c>
    </row>
    <row r="698" ht="15" customHeight="1" s="64">
      <c r="A698" s="110" t="inlineStr">
        <is>
          <t>JUNHO/2026</t>
        </is>
      </c>
      <c r="B698" s="110" t="inlineStr">
        <is>
          <t>Marketing</t>
        </is>
      </c>
      <c r="C698" s="110" t="inlineStr">
        <is>
          <t>Vendas do site Mundiale</t>
        </is>
      </c>
      <c r="D698" s="110" t="inlineStr">
        <is>
          <t>DTEL</t>
        </is>
      </c>
      <c r="E698" s="129" t="n">
        <v>144</v>
      </c>
      <c r="F698" s="89" t="n">
        <v>123.13</v>
      </c>
      <c r="G698" s="89" t="n">
        <v>17730.72</v>
      </c>
      <c r="H698" s="110" t="inlineStr">
        <is>
          <t>Vendas instaladas do impulsionamento site mundiale (VENDAS MUNDIALE - junho26.xlsx)</t>
        </is>
      </c>
    </row>
    <row r="699" ht="15" customHeight="1" s="64">
      <c r="A699" s="110" t="inlineStr">
        <is>
          <t>JUNHO/2026</t>
        </is>
      </c>
      <c r="B699" s="110" t="inlineStr">
        <is>
          <t>Marketing</t>
        </is>
      </c>
      <c r="C699" s="110" t="inlineStr">
        <is>
          <t>Vendas do site Mundiale</t>
        </is>
      </c>
      <c r="D699" s="110" t="inlineStr">
        <is>
          <t>DX2</t>
        </is>
      </c>
      <c r="E699" s="129" t="n">
        <v>3</v>
      </c>
      <c r="F699" s="89" t="n">
        <v>155.82</v>
      </c>
      <c r="G699" s="89" t="n">
        <v>467.46</v>
      </c>
      <c r="H699" s="110" t="inlineStr">
        <is>
          <t>Vendas instaladas do impulsionamento site mundiale (VENDAS MUNDIALE - junho26.xlsx)</t>
        </is>
      </c>
    </row>
    <row r="700" ht="15" customHeight="1" s="64">
      <c r="A700" s="110" t="inlineStr">
        <is>
          <t>JUNHO/2026</t>
        </is>
      </c>
      <c r="B700" s="110" t="inlineStr">
        <is>
          <t>Marketing</t>
        </is>
      </c>
      <c r="C700" s="110" t="inlineStr">
        <is>
          <t>Vendas do site Mundiale</t>
        </is>
      </c>
      <c r="D700" s="110" t="inlineStr">
        <is>
          <t>H&amp;A</t>
        </is>
      </c>
      <c r="E700" s="129" t="n">
        <v>18</v>
      </c>
      <c r="F700" s="89" t="n">
        <v>139.33</v>
      </c>
      <c r="G700" s="89" t="n">
        <v>2507.94</v>
      </c>
      <c r="H700" s="110" t="inlineStr">
        <is>
          <t>Vendas instaladas do impulsionamento site mundiale</t>
        </is>
      </c>
    </row>
    <row r="701" ht="15" customHeight="1" s="64">
      <c r="A701" s="110" t="inlineStr">
        <is>
          <t>JUNHO/2026</t>
        </is>
      </c>
      <c r="B701" s="110" t="inlineStr">
        <is>
          <t>Marketing</t>
        </is>
      </c>
      <c r="C701" s="110" t="inlineStr">
        <is>
          <t>Vendas do site Mundiale</t>
        </is>
      </c>
      <c r="D701" s="110" t="inlineStr">
        <is>
          <t>Soares e Lins</t>
        </is>
      </c>
      <c r="E701" s="129" t="n">
        <v>15</v>
      </c>
      <c r="F701" s="89" t="n">
        <v>158.22</v>
      </c>
      <c r="G701" s="89" t="n">
        <v>2373.3</v>
      </c>
      <c r="H701" s="110" t="inlineStr">
        <is>
          <t>Vendas instaladas do impulsionamento site mundiale</t>
        </is>
      </c>
    </row>
    <row r="702" ht="15" customHeight="1" s="64">
      <c r="A702" s="110" t="inlineStr">
        <is>
          <t>JUNHO/2026</t>
        </is>
      </c>
      <c r="B702" s="110" t="inlineStr">
        <is>
          <t>Marketing</t>
        </is>
      </c>
      <c r="C702" s="110" t="inlineStr">
        <is>
          <t>Vendas do site Mundiale</t>
        </is>
      </c>
      <c r="D702" s="110" t="inlineStr">
        <is>
          <t>Soares e Silva</t>
        </is>
      </c>
      <c r="E702" s="129" t="n">
        <v>26</v>
      </c>
      <c r="F702" s="89" t="n">
        <v>155.59</v>
      </c>
      <c r="G702" s="89" t="n">
        <v>4045.34</v>
      </c>
      <c r="H702" s="110" t="inlineStr">
        <is>
          <t>Vendas instaladas do impulsionamento site mundiale</t>
        </is>
      </c>
    </row>
    <row r="703" ht="15" customHeight="1" s="64">
      <c r="A703" s="110" t="inlineStr">
        <is>
          <t>JUNHO/2026</t>
        </is>
      </c>
      <c r="B703" s="110" t="inlineStr">
        <is>
          <t>Marketing</t>
        </is>
      </c>
      <c r="C703" s="110" t="inlineStr">
        <is>
          <t>Vendas do site Mundiale</t>
        </is>
      </c>
      <c r="D703" s="110" t="inlineStr">
        <is>
          <t>Solon Araújo</t>
        </is>
      </c>
      <c r="E703" s="129" t="n">
        <v>11</v>
      </c>
      <c r="F703" s="89" t="n">
        <v>106.24</v>
      </c>
      <c r="G703" s="89" t="n">
        <v>1168.64</v>
      </c>
      <c r="H703" s="110" t="inlineStr">
        <is>
          <t>Vendas instaladas do impulsionamento site mundiale</t>
        </is>
      </c>
    </row>
    <row r="704" ht="15" customHeight="1" s="64">
      <c r="A704" s="110" t="inlineStr">
        <is>
          <t>JUNHO/2026</t>
        </is>
      </c>
      <c r="B704" s="110" t="inlineStr">
        <is>
          <t>Marketing</t>
        </is>
      </c>
      <c r="C704" s="110" t="inlineStr">
        <is>
          <t>Vendas do site Mundiale</t>
        </is>
      </c>
      <c r="D704" s="110" t="inlineStr">
        <is>
          <t>Souza e Silva</t>
        </is>
      </c>
      <c r="E704" s="129" t="n">
        <v>2</v>
      </c>
      <c r="F704" s="89" t="n">
        <v>143.82</v>
      </c>
      <c r="G704" s="89" t="n">
        <v>287.64</v>
      </c>
      <c r="H704" s="110" t="inlineStr">
        <is>
          <t>Vendas instaladas do impulsionamento site mundiale</t>
        </is>
      </c>
    </row>
    <row r="705" ht="15" customHeight="1" s="64">
      <c r="A705" s="110" t="inlineStr">
        <is>
          <t>JUNHO/2026</t>
        </is>
      </c>
      <c r="B705" s="110" t="inlineStr">
        <is>
          <t>Marketing</t>
        </is>
      </c>
      <c r="C705" s="110" t="inlineStr">
        <is>
          <t>Vendas do site Mundiale</t>
        </is>
      </c>
      <c r="D705" s="110" t="inlineStr">
        <is>
          <t>Voicenet</t>
        </is>
      </c>
      <c r="E705" s="129" t="n">
        <v>10</v>
      </c>
      <c r="F705" s="89" t="n">
        <v>146.53</v>
      </c>
      <c r="G705" s="89" t="n">
        <v>1465.3</v>
      </c>
      <c r="H705" s="110" t="inlineStr">
        <is>
          <t>Vendas instaladas do impulsionamento site mundiale</t>
        </is>
      </c>
    </row>
    <row r="706" ht="15" customHeight="1" s="64">
      <c r="A706" s="110" t="inlineStr">
        <is>
          <t>JUNHO/2026</t>
        </is>
      </c>
      <c r="B706" s="110" t="inlineStr">
        <is>
          <t>Marketing</t>
        </is>
      </c>
      <c r="C706" s="110" t="inlineStr">
        <is>
          <t>Vendas do site Mundiale</t>
        </is>
      </c>
      <c r="D706" s="110" t="inlineStr">
        <is>
          <t>Voicenet</t>
        </is>
      </c>
      <c r="E706" s="129" t="n">
        <v>10</v>
      </c>
      <c r="F706" s="89" t="n">
        <v>122.11</v>
      </c>
      <c r="G706" s="89" t="n">
        <v>1221.1</v>
      </c>
      <c r="H706" s="110" t="inlineStr">
        <is>
          <t>Vendas instaladas do impulsionamento site mundiale (VENDAS MUNDIALE - junho26.xlsx)</t>
        </is>
      </c>
    </row>
    <row r="707" ht="15" customHeight="1" s="64">
      <c r="A707" s="110" t="inlineStr">
        <is>
          <t>JUNHO/2026</t>
        </is>
      </c>
      <c r="B707" s="110" t="inlineStr">
        <is>
          <t>RH</t>
        </is>
      </c>
      <c r="C707" s="110" t="inlineStr">
        <is>
          <t>Fardamentos</t>
        </is>
      </c>
      <c r="D707" s="110" t="inlineStr">
        <is>
          <t>DX2</t>
        </is>
      </c>
      <c r="E707" s="129" t="n">
        <v>0</v>
      </c>
      <c r="F707" s="89" t="n">
        <v>0</v>
      </c>
      <c r="G707" s="89" t="n">
        <v>0</v>
      </c>
      <c r="H707" s="110" t="inlineStr">
        <is>
          <t>Solicitações de fardamentos administrativos</t>
        </is>
      </c>
    </row>
    <row r="708" ht="15" customHeight="1" s="64">
      <c r="A708" s="110" t="inlineStr">
        <is>
          <t>JUNHO/2026</t>
        </is>
      </c>
      <c r="B708" s="110" t="inlineStr">
        <is>
          <t>RH</t>
        </is>
      </c>
      <c r="C708" s="110" t="inlineStr">
        <is>
          <t>Treinamentos/integração</t>
        </is>
      </c>
      <c r="D708" s="110" t="inlineStr">
        <is>
          <t>DX2</t>
        </is>
      </c>
      <c r="E708" s="129" t="n">
        <v>0</v>
      </c>
      <c r="F708" s="89" t="n">
        <v>0</v>
      </c>
      <c r="G708" s="89" t="n">
        <v>0</v>
      </c>
      <c r="H708" s="110" t="inlineStr">
        <is>
          <t>Despesas com seleção, treinamentos...</t>
        </is>
      </c>
    </row>
    <row r="709" ht="15" customHeight="1" s="64">
      <c r="A709" s="110" t="inlineStr">
        <is>
          <t>JUNHO/2026</t>
        </is>
      </c>
      <c r="B709" s="110" t="inlineStr">
        <is>
          <t>RH</t>
        </is>
      </c>
      <c r="C709" s="110" t="inlineStr">
        <is>
          <t>Fardamentos</t>
        </is>
      </c>
      <c r="D709" s="110" t="inlineStr">
        <is>
          <t>Soares e Lins</t>
        </is>
      </c>
      <c r="E709" s="129" t="n">
        <v>0</v>
      </c>
      <c r="F709" s="89" t="n">
        <v>0</v>
      </c>
      <c r="G709" s="89" t="n">
        <v>0</v>
      </c>
      <c r="H709" s="110" t="inlineStr">
        <is>
          <t>Solicitações de fardamentos administrativos</t>
        </is>
      </c>
    </row>
    <row r="710" ht="15" customHeight="1" s="64">
      <c r="A710" s="110" t="inlineStr">
        <is>
          <t>JUNHO/2026</t>
        </is>
      </c>
      <c r="B710" s="110" t="inlineStr">
        <is>
          <t>RH</t>
        </is>
      </c>
      <c r="C710" s="110" t="inlineStr">
        <is>
          <t>Treinamentos/integração</t>
        </is>
      </c>
      <c r="D710" s="110" t="inlineStr">
        <is>
          <t>Soares e Lins</t>
        </is>
      </c>
      <c r="E710" s="129" t="n">
        <v>0</v>
      </c>
      <c r="F710" s="89" t="n">
        <v>0</v>
      </c>
      <c r="G710" s="89" t="n">
        <v>0</v>
      </c>
      <c r="H710" s="110" t="inlineStr">
        <is>
          <t>Despesa com integração/alimentação</t>
        </is>
      </c>
    </row>
    <row r="711" ht="15" customHeight="1" s="64">
      <c r="A711" s="110" t="inlineStr">
        <is>
          <t>JUNHO/2026</t>
        </is>
      </c>
      <c r="B711" s="110" t="inlineStr">
        <is>
          <t>RH</t>
        </is>
      </c>
      <c r="C711" s="110" t="inlineStr">
        <is>
          <t>Fardamentos</t>
        </is>
      </c>
      <c r="D711" s="110" t="inlineStr">
        <is>
          <t>Soares e Silva</t>
        </is>
      </c>
      <c r="E711" s="129" t="n">
        <v>0</v>
      </c>
      <c r="F711" s="89" t="n">
        <v>0</v>
      </c>
      <c r="G711" s="89" t="n">
        <v>0</v>
      </c>
      <c r="H711" s="110" t="inlineStr">
        <is>
          <t>Solicitações de fardamentos administrativos</t>
        </is>
      </c>
    </row>
    <row r="712" ht="15" customHeight="1" s="64">
      <c r="A712" s="110" t="inlineStr">
        <is>
          <t>JUNHO/2026</t>
        </is>
      </c>
      <c r="B712" s="110" t="inlineStr">
        <is>
          <t>RH</t>
        </is>
      </c>
      <c r="C712" s="110" t="inlineStr">
        <is>
          <t>Fardamentos</t>
        </is>
      </c>
      <c r="D712" s="110" t="inlineStr">
        <is>
          <t>Soares e Silva</t>
        </is>
      </c>
      <c r="E712" s="129" t="n">
        <v>0</v>
      </c>
      <c r="F712" s="89" t="n">
        <v>0</v>
      </c>
      <c r="G712" s="89" t="n">
        <v>0</v>
      </c>
      <c r="H712" s="110" t="inlineStr">
        <is>
          <t>Solicitações de fardamentos administrativos</t>
        </is>
      </c>
    </row>
    <row r="713" ht="15" customHeight="1" s="64">
      <c r="A713" s="110" t="inlineStr">
        <is>
          <t>JUNHO/2026</t>
        </is>
      </c>
      <c r="B713" s="110" t="inlineStr">
        <is>
          <t>RH</t>
        </is>
      </c>
      <c r="C713" s="110" t="inlineStr">
        <is>
          <t>Fardamentos</t>
        </is>
      </c>
      <c r="D713" s="110" t="inlineStr">
        <is>
          <t>Solon Araújo</t>
        </is>
      </c>
      <c r="E713" s="129" t="n">
        <v>0</v>
      </c>
      <c r="F713" s="89" t="n">
        <v>0</v>
      </c>
      <c r="G713" s="89" t="n">
        <v>0</v>
      </c>
      <c r="H713" s="110" t="inlineStr">
        <is>
          <t>Solicitações de fardamentos administrativos</t>
        </is>
      </c>
    </row>
    <row r="714" ht="15" customHeight="1" s="64">
      <c r="A714" s="110" t="inlineStr">
        <is>
          <t>JUNHO/2026</t>
        </is>
      </c>
      <c r="B714" s="110" t="inlineStr">
        <is>
          <t>RH</t>
        </is>
      </c>
      <c r="C714" s="110" t="inlineStr">
        <is>
          <t>Treinamentos/integração</t>
        </is>
      </c>
      <c r="D714" s="110" t="inlineStr">
        <is>
          <t>Solon Araújo</t>
        </is>
      </c>
      <c r="E714" s="129" t="n">
        <v>0</v>
      </c>
      <c r="F714" s="89" t="n">
        <v>0</v>
      </c>
      <c r="G714" s="89" t="n">
        <v>0</v>
      </c>
      <c r="H714" s="110" t="inlineStr">
        <is>
          <t>Despesas com seleção, treinamentos...</t>
        </is>
      </c>
    </row>
    <row r="715" ht="15" customHeight="1" s="64">
      <c r="A715" s="110" t="inlineStr">
        <is>
          <t>JUNHO/2026</t>
        </is>
      </c>
      <c r="B715" s="110" t="inlineStr">
        <is>
          <t>RH</t>
        </is>
      </c>
      <c r="C715" s="110" t="inlineStr">
        <is>
          <t>Fardamentos</t>
        </is>
      </c>
      <c r="D715" s="110" t="inlineStr">
        <is>
          <t>Souza e Silva</t>
        </is>
      </c>
      <c r="E715" s="129" t="n">
        <v>0</v>
      </c>
      <c r="F715" s="89" t="n">
        <v>0</v>
      </c>
      <c r="G715" s="89" t="n">
        <v>0</v>
      </c>
      <c r="H715" s="110" t="inlineStr">
        <is>
          <t>Solicitações de fardamentos administrativos</t>
        </is>
      </c>
    </row>
    <row r="716" ht="15" customHeight="1" s="64">
      <c r="A716" s="110" t="inlineStr">
        <is>
          <t>JUNHO/2026</t>
        </is>
      </c>
      <c r="B716" s="110" t="inlineStr">
        <is>
          <t>RH</t>
        </is>
      </c>
      <c r="C716" s="110" t="inlineStr">
        <is>
          <t>Fardamentos</t>
        </is>
      </c>
      <c r="D716" s="110" t="inlineStr">
        <is>
          <t>Voicenet</t>
        </is>
      </c>
      <c r="E716" s="129" t="n">
        <v>0</v>
      </c>
      <c r="F716" s="89" t="n">
        <v>0</v>
      </c>
      <c r="G716" s="89" t="n">
        <v>0</v>
      </c>
      <c r="H716" s="110" t="inlineStr">
        <is>
          <t>Solicitações de fardamentos administrativos</t>
        </is>
      </c>
    </row>
    <row r="717" ht="15" customHeight="1" s="64">
      <c r="A717" s="110" t="inlineStr">
        <is>
          <t>JUNHO/2026</t>
        </is>
      </c>
      <c r="B717" s="110" t="inlineStr">
        <is>
          <t>RH</t>
        </is>
      </c>
      <c r="C717" s="110" t="inlineStr">
        <is>
          <t>Treinamentos/integração</t>
        </is>
      </c>
      <c r="D717" s="110" t="inlineStr">
        <is>
          <t>Voicenet</t>
        </is>
      </c>
      <c r="E717" s="129" t="n">
        <v>0</v>
      </c>
      <c r="F717" s="89" t="n">
        <v>0</v>
      </c>
      <c r="G717" s="89" t="n">
        <v>0</v>
      </c>
      <c r="H717" s="110" t="inlineStr">
        <is>
          <t>Despesa de alimentação de colaboradores em integração</t>
        </is>
      </c>
    </row>
    <row r="718" ht="15" customHeight="1" s="64">
      <c r="A718" s="110" t="inlineStr">
        <is>
          <t>JUNHO/2026</t>
        </is>
      </c>
      <c r="B718" s="110" t="inlineStr">
        <is>
          <t>Relacionamento</t>
        </is>
      </c>
      <c r="C718" s="110" t="inlineStr">
        <is>
          <t>Relacionamento Dtel</t>
        </is>
      </c>
      <c r="D718" s="110" t="inlineStr">
        <is>
          <t>H&amp;A</t>
        </is>
      </c>
      <c r="E718" s="129" t="n">
        <v>13418</v>
      </c>
      <c r="F718" s="89" t="n">
        <v>2.99991610765306</v>
      </c>
      <c r="G718" s="89" t="n">
        <v>40252.874332</v>
      </c>
      <c r="H718" s="110" t="inlineStr">
        <is>
          <t>Cálculo por número de clientes ativos</t>
        </is>
      </c>
    </row>
    <row r="719" ht="15" customHeight="1" s="64">
      <c r="A719" s="110" t="inlineStr">
        <is>
          <t>JUNHO/2026</t>
        </is>
      </c>
      <c r="B719" s="110" t="inlineStr">
        <is>
          <t>Segurança do Trabalho</t>
        </is>
      </c>
      <c r="C719" s="110" t="inlineStr">
        <is>
          <t>Equipamentos de Segurança</t>
        </is>
      </c>
      <c r="D719" s="110" t="inlineStr">
        <is>
          <t>DX2</t>
        </is>
      </c>
      <c r="E719" s="129" t="n">
        <v>-1</v>
      </c>
      <c r="F719" s="89" t="n">
        <v>514.86</v>
      </c>
      <c r="G719" s="89" t="n">
        <v>-514.86</v>
      </c>
      <c r="H719" s="110" t="inlineStr">
        <is>
          <t>EPI/Equipamentos do mês (CUSTO DE SEGURANÇA - JUN26.xlsx)</t>
        </is>
      </c>
    </row>
    <row r="720" ht="15" customHeight="1" s="64">
      <c r="A720" s="110" t="inlineStr">
        <is>
          <t>JUNHO/2026</t>
        </is>
      </c>
      <c r="B720" s="110" t="inlineStr">
        <is>
          <t>Segurança do Trabalho</t>
        </is>
      </c>
      <c r="C720" s="110" t="inlineStr">
        <is>
          <t>Equipamentos de Segurança</t>
        </is>
      </c>
      <c r="D720" s="110" t="inlineStr">
        <is>
          <t>H&amp;A</t>
        </is>
      </c>
      <c r="E720" s="129" t="n">
        <v>0</v>
      </c>
      <c r="F720" s="89" t="n">
        <v>0</v>
      </c>
      <c r="G720" s="89" t="n">
        <v>0</v>
      </c>
      <c r="H720" s="110" t="inlineStr">
        <is>
          <t>EPI/Equipamentos do mês</t>
        </is>
      </c>
    </row>
    <row r="721" ht="15" customHeight="1" s="64">
      <c r="A721" s="110" t="inlineStr">
        <is>
          <t>JUNHO/2026</t>
        </is>
      </c>
      <c r="B721" s="110" t="inlineStr">
        <is>
          <t>Segurança do Trabalho</t>
        </is>
      </c>
      <c r="C721" s="110" t="inlineStr">
        <is>
          <t>Km rodado Segurança e Saúde do Trabalho dtel p/ H&amp;a</t>
        </is>
      </c>
      <c r="D721" s="110" t="inlineStr">
        <is>
          <t>H&amp;A</t>
        </is>
      </c>
      <c r="E721" s="129" t="n">
        <v>0</v>
      </c>
      <c r="F721" s="89" t="n">
        <v>0</v>
      </c>
      <c r="G721" s="89" t="n">
        <v>0</v>
      </c>
      <c r="H721" s="110" t="inlineStr">
        <is>
          <t>Deslocamento da equipe para Horas cursos de normas e reciclagem ou visitas</t>
        </is>
      </c>
    </row>
    <row r="722" ht="15" customHeight="1" s="64">
      <c r="A722" s="110" t="inlineStr">
        <is>
          <t>JUNHO/2026</t>
        </is>
      </c>
      <c r="B722" s="110" t="inlineStr">
        <is>
          <t>Segurança do Trabalho</t>
        </is>
      </c>
      <c r="C722" s="110" t="inlineStr">
        <is>
          <t>Saude e segurança no trabalho</t>
        </is>
      </c>
      <c r="D722" s="110" t="inlineStr">
        <is>
          <t>H&amp;A</t>
        </is>
      </c>
      <c r="E722" s="129" t="n">
        <v>0</v>
      </c>
      <c r="F722" s="89" t="n">
        <v>0</v>
      </c>
      <c r="G722" s="89" t="n">
        <v>0</v>
      </c>
      <c r="H722" s="110" t="inlineStr">
        <is>
          <t>Rateio do departamento (despesa por colaborador, mês de jan fev e março)</t>
        </is>
      </c>
    </row>
    <row r="723" ht="15" customHeight="1" s="64">
      <c r="A723" s="110" t="inlineStr">
        <is>
          <t>JUNHO/2026</t>
        </is>
      </c>
      <c r="B723" s="110" t="inlineStr">
        <is>
          <t>Segurança do Trabalho</t>
        </is>
      </c>
      <c r="C723" s="110" t="inlineStr">
        <is>
          <t>Serviços prestados pela equipe Segurança do trabalho dtel p/ h&amp;a</t>
        </is>
      </c>
      <c r="D723" s="110" t="inlineStr">
        <is>
          <t>H&amp;A</t>
        </is>
      </c>
      <c r="E723" s="129" t="n">
        <v>0</v>
      </c>
      <c r="F723" s="89" t="n">
        <v>0</v>
      </c>
      <c r="G723" s="89" t="n">
        <v>0</v>
      </c>
      <c r="H723" s="110" t="inlineStr">
        <is>
          <t>Serviços da equipe para Horas cursos de normas e reciclagem ou visitas</t>
        </is>
      </c>
    </row>
    <row r="724" ht="15" customHeight="1" s="64">
      <c r="A724" s="110" t="inlineStr">
        <is>
          <t>JUNHO/2026</t>
        </is>
      </c>
      <c r="B724" s="110" t="inlineStr">
        <is>
          <t>Segurança do Trabalho</t>
        </is>
      </c>
      <c r="C724" s="110" t="inlineStr">
        <is>
          <t>Equipamentos de Segurança</t>
        </is>
      </c>
      <c r="D724" s="110" t="inlineStr">
        <is>
          <t>Soares e Lins</t>
        </is>
      </c>
      <c r="E724" s="129" t="n">
        <v>1</v>
      </c>
      <c r="F724" s="89" t="n">
        <v>987.11</v>
      </c>
      <c r="G724" s="89" t="n">
        <v>987.11</v>
      </c>
      <c r="H724" s="110" t="inlineStr">
        <is>
          <t>EPI/Equipamentos do mês</t>
        </is>
      </c>
    </row>
    <row r="725" ht="15" customHeight="1" s="64">
      <c r="A725" s="110" t="inlineStr">
        <is>
          <t>JUNHO/2026</t>
        </is>
      </c>
      <c r="B725" s="110" t="inlineStr">
        <is>
          <t>Segurança do Trabalho</t>
        </is>
      </c>
      <c r="C725" s="110" t="inlineStr">
        <is>
          <t>Equipamentos de Segurança</t>
        </is>
      </c>
      <c r="D725" s="110" t="inlineStr">
        <is>
          <t>Soares e Lins</t>
        </is>
      </c>
      <c r="E725" s="129" t="n">
        <v>0</v>
      </c>
      <c r="F725" s="89" t="n">
        <v>0</v>
      </c>
      <c r="G725" s="89" t="n">
        <v>0</v>
      </c>
      <c r="H725" s="110" t="inlineStr">
        <is>
          <t>EPI, EPC, Fardamento</t>
        </is>
      </c>
    </row>
    <row r="726" ht="15" customHeight="1" s="64">
      <c r="A726" s="110" t="inlineStr">
        <is>
          <t>JUNHO/2026</t>
        </is>
      </c>
      <c r="B726" s="110" t="inlineStr">
        <is>
          <t>Segurança do Trabalho</t>
        </is>
      </c>
      <c r="C726" s="110" t="inlineStr">
        <is>
          <t>Km rodado Segurança e Saúde do Trabalho dtel p/ soares e lins</t>
        </is>
      </c>
      <c r="D726" s="110" t="inlineStr">
        <is>
          <t>Soares e Lins</t>
        </is>
      </c>
      <c r="E726" s="129" t="n">
        <v>0</v>
      </c>
      <c r="F726" s="89" t="n">
        <v>0</v>
      </c>
      <c r="G726" s="89" t="n">
        <v>0</v>
      </c>
      <c r="H726" s="110" t="inlineStr">
        <is>
          <t>Deslocamento da equipe para Horas cursos de normas e reciclagem ou visitas</t>
        </is>
      </c>
    </row>
    <row r="727" ht="15" customHeight="1" s="64">
      <c r="A727" s="110" t="inlineStr">
        <is>
          <t>JUNHO/2026</t>
        </is>
      </c>
      <c r="B727" s="110" t="inlineStr">
        <is>
          <t>Segurança do Trabalho</t>
        </is>
      </c>
      <c r="C727" s="110" t="inlineStr">
        <is>
          <t>Serviços prestados pela equipe Segurança do trabalho</t>
        </is>
      </c>
      <c r="D727" s="110" t="inlineStr">
        <is>
          <t>Soares e Lins</t>
        </is>
      </c>
      <c r="E727" s="129" t="n">
        <v>0</v>
      </c>
      <c r="F727" s="89" t="n">
        <v>0</v>
      </c>
      <c r="G727" s="89" t="n">
        <v>0</v>
      </c>
      <c r="H727" s="110" t="inlineStr">
        <is>
          <t>Serviços da equipe para Horas cursos de normas e reciclagem ou visitas</t>
        </is>
      </c>
    </row>
    <row r="728" ht="15" customHeight="1" s="64">
      <c r="A728" s="110" t="inlineStr">
        <is>
          <t>JUNHO/2026</t>
        </is>
      </c>
      <c r="B728" s="110" t="inlineStr">
        <is>
          <t>Segurança do Trabalho</t>
        </is>
      </c>
      <c r="C728" s="110" t="inlineStr">
        <is>
          <t>Equipamentos de Segurança</t>
        </is>
      </c>
      <c r="D728" s="110" t="inlineStr">
        <is>
          <t>Soares e Silva</t>
        </is>
      </c>
      <c r="E728" s="129" t="n">
        <v>1</v>
      </c>
      <c r="F728" s="89" t="n">
        <v>3707.87</v>
      </c>
      <c r="G728" s="89" t="n">
        <v>3707.87</v>
      </c>
      <c r="H728" s="110" t="inlineStr">
        <is>
          <t>EPI/Equipamentos do mês</t>
        </is>
      </c>
    </row>
    <row r="729" ht="15" customHeight="1" s="64">
      <c r="A729" s="110" t="inlineStr">
        <is>
          <t>JUNHO/2026</t>
        </is>
      </c>
      <c r="B729" s="110" t="inlineStr">
        <is>
          <t>Segurança do Trabalho</t>
        </is>
      </c>
      <c r="C729" s="110" t="inlineStr">
        <is>
          <t>Km rodado Segurança e Saúde do Trabalho soares e silva p/ Dtel</t>
        </is>
      </c>
      <c r="D729" s="110" t="inlineStr">
        <is>
          <t>Soares e Silva</t>
        </is>
      </c>
      <c r="E729" s="129" t="n">
        <v>-1</v>
      </c>
      <c r="F729" s="89" t="n">
        <v>245.98</v>
      </c>
      <c r="G729" s="89" t="n">
        <v>-245.98</v>
      </c>
      <c r="H729" s="110" t="inlineStr">
        <is>
          <t>Deslocamento da equipe para Horas cursos de normas e reciclagem ou visitas</t>
        </is>
      </c>
    </row>
    <row r="730" ht="15" customHeight="1" s="64">
      <c r="A730" s="110" t="inlineStr">
        <is>
          <t>JUNHO/2026</t>
        </is>
      </c>
      <c r="B730" s="110" t="inlineStr">
        <is>
          <t>Segurança do Trabalho</t>
        </is>
      </c>
      <c r="C730" s="110" t="inlineStr">
        <is>
          <t>Km rodado Segurança e Saúde do Trabalho soares e silva p/ LITORAL</t>
        </is>
      </c>
      <c r="D730" s="110" t="inlineStr">
        <is>
          <t>Soares e Silva</t>
        </is>
      </c>
      <c r="E730" s="129" t="n">
        <v>-1</v>
      </c>
      <c r="F730" s="89" t="n">
        <v>451.06</v>
      </c>
      <c r="G730" s="89" t="n">
        <v>-451.06</v>
      </c>
      <c r="H730" s="110" t="inlineStr">
        <is>
          <t>Deslocamento da equipe para Horas cursos de normas e reciclagem ou visitas</t>
        </is>
      </c>
    </row>
    <row r="731" ht="15" customHeight="1" s="64">
      <c r="A731" s="110" t="inlineStr">
        <is>
          <t>JUNHO/2026</t>
        </is>
      </c>
      <c r="B731" s="110" t="inlineStr">
        <is>
          <t>Segurança do Trabalho</t>
        </is>
      </c>
      <c r="C731" s="110" t="inlineStr">
        <is>
          <t>Serviços prestados pela equipe Segurança do trabalho soares e silva p/ dtel</t>
        </is>
      </c>
      <c r="D731" s="110" t="inlineStr">
        <is>
          <t>Soares e Silva</t>
        </is>
      </c>
      <c r="E731" s="129" t="n">
        <v>-1</v>
      </c>
      <c r="F731" s="89" t="n">
        <v>589.14</v>
      </c>
      <c r="G731" s="89" t="n">
        <v>-589.14</v>
      </c>
      <c r="H731" s="110" t="inlineStr">
        <is>
          <t>Serviços da equipe para Horas cursos de normas e reciclagem ou visitas</t>
        </is>
      </c>
    </row>
    <row r="732" ht="15" customHeight="1" s="64">
      <c r="A732" s="110" t="inlineStr">
        <is>
          <t>JUNHO/2026</t>
        </is>
      </c>
      <c r="B732" s="110" t="inlineStr">
        <is>
          <t>Segurança do Trabalho</t>
        </is>
      </c>
      <c r="C732" s="110" t="inlineStr">
        <is>
          <t>Serviços prestados pela equipe Segurança do trabalho soares e silva p/ dtel</t>
        </is>
      </c>
      <c r="D732" s="110" t="inlineStr">
        <is>
          <t>Soares e Silva</t>
        </is>
      </c>
      <c r="E732" s="129" t="n">
        <v>-1</v>
      </c>
      <c r="F732" s="89" t="n">
        <v>171.62</v>
      </c>
      <c r="G732" s="89" t="n">
        <v>-171.62</v>
      </c>
      <c r="H732" s="110" t="inlineStr">
        <is>
          <t>Devolução de Crédito</t>
        </is>
      </c>
    </row>
    <row r="733" ht="15" customHeight="1" s="64">
      <c r="A733" s="110" t="inlineStr">
        <is>
          <t>JUNHO/2026</t>
        </is>
      </c>
      <c r="B733" s="110" t="inlineStr">
        <is>
          <t>Segurança do Trabalho</t>
        </is>
      </c>
      <c r="C733" s="110" t="inlineStr">
        <is>
          <t>Serviços prestados pela equipe Segurança do trabalho soares e silva p/ litoral</t>
        </is>
      </c>
      <c r="D733" s="110" t="inlineStr">
        <is>
          <t>Soares e Silva</t>
        </is>
      </c>
      <c r="E733" s="129" t="n">
        <v>-1</v>
      </c>
      <c r="F733" s="89" t="n">
        <v>158.76</v>
      </c>
      <c r="G733" s="89" t="n">
        <v>-158.76</v>
      </c>
      <c r="H733" s="110" t="inlineStr">
        <is>
          <t>Serviços da equipe para Horas cursos de normas e reciclagem ou visitas</t>
        </is>
      </c>
    </row>
    <row r="734" ht="15" customHeight="1" s="64">
      <c r="A734" s="110" t="inlineStr">
        <is>
          <t>JUNHO/2026</t>
        </is>
      </c>
      <c r="B734" s="110" t="inlineStr">
        <is>
          <t>Segurança do Trabalho</t>
        </is>
      </c>
      <c r="C734" s="110" t="inlineStr">
        <is>
          <t>Equipamentos de Segurança</t>
        </is>
      </c>
      <c r="D734" s="110" t="inlineStr">
        <is>
          <t>Solon Araújo</t>
        </is>
      </c>
      <c r="E734" s="129" t="n">
        <v>1</v>
      </c>
      <c r="F734" s="89" t="n">
        <v>4497.36</v>
      </c>
      <c r="G734" s="89" t="n">
        <v>4497.36</v>
      </c>
      <c r="H734" s="110" t="inlineStr">
        <is>
          <t>EPI, EPC, Fardamento</t>
        </is>
      </c>
    </row>
    <row r="735" ht="15" customHeight="1" s="64">
      <c r="A735" s="110" t="inlineStr">
        <is>
          <t>JUNHO/2026</t>
        </is>
      </c>
      <c r="B735" s="110" t="inlineStr">
        <is>
          <t>Segurança do Trabalho</t>
        </is>
      </c>
      <c r="C735" s="110" t="inlineStr">
        <is>
          <t>Equipamentos de Segurança</t>
        </is>
      </c>
      <c r="D735" s="110" t="inlineStr">
        <is>
          <t>Solon Araújo</t>
        </is>
      </c>
      <c r="E735" s="129" t="n">
        <v>0</v>
      </c>
      <c r="F735" s="89" t="n">
        <v>0</v>
      </c>
      <c r="G735" s="89" t="n">
        <v>0</v>
      </c>
      <c r="H735" s="110" t="inlineStr">
        <is>
          <t>EPI, EPC, Fardamento</t>
        </is>
      </c>
    </row>
    <row r="736" ht="15" customHeight="1" s="64">
      <c r="A736" s="110" t="inlineStr">
        <is>
          <t>JUNHO/2026</t>
        </is>
      </c>
      <c r="B736" s="110" t="inlineStr">
        <is>
          <t>Segurança do Trabalho</t>
        </is>
      </c>
      <c r="C736" s="110" t="inlineStr">
        <is>
          <t>Km rodado Segurança e Saúde do Trabalho soares e silva p/ LITORAL</t>
        </is>
      </c>
      <c r="D736" s="110" t="inlineStr">
        <is>
          <t>Solon Araújo</t>
        </is>
      </c>
      <c r="E736" s="129" t="n">
        <v>1</v>
      </c>
      <c r="F736" s="89" t="n">
        <v>158.76</v>
      </c>
      <c r="G736" s="89" t="n">
        <v>158.76</v>
      </c>
      <c r="H736" s="110" t="inlineStr">
        <is>
          <t>Serviços da equipe para Horas cursos de normas e reciclagem ou visitas</t>
        </is>
      </c>
    </row>
    <row r="737" ht="15" customHeight="1" s="64">
      <c r="A737" s="110" t="inlineStr">
        <is>
          <t>JUNHO/2026</t>
        </is>
      </c>
      <c r="B737" s="110" t="inlineStr">
        <is>
          <t>Segurança do Trabalho</t>
        </is>
      </c>
      <c r="C737" s="110" t="inlineStr">
        <is>
          <t>Serviços prestados pela equipe Segurança do trabalho soares e silva p/ LITORAL</t>
        </is>
      </c>
      <c r="D737" s="110" t="inlineStr">
        <is>
          <t>Solon Araújo</t>
        </is>
      </c>
      <c r="E737" s="129" t="n">
        <v>1</v>
      </c>
      <c r="F737" s="89" t="n">
        <v>451.06</v>
      </c>
      <c r="G737" s="89" t="n">
        <v>451.06</v>
      </c>
      <c r="H737" s="110" t="inlineStr">
        <is>
          <t>Serviços da equipe para Horas cursos de normas e reciclagem ou visitas</t>
        </is>
      </c>
    </row>
    <row r="738" ht="15" customHeight="1" s="64">
      <c r="A738" s="110" t="inlineStr">
        <is>
          <t>JUNHO/2026</t>
        </is>
      </c>
      <c r="B738" s="110" t="inlineStr">
        <is>
          <t>Segurança do Trabalho</t>
        </is>
      </c>
      <c r="C738" s="110" t="inlineStr">
        <is>
          <t>Equipamentos de Segurança</t>
        </is>
      </c>
      <c r="D738" s="110" t="inlineStr">
        <is>
          <t>Souza e Silva</t>
        </is>
      </c>
      <c r="E738" s="129" t="n">
        <v>1</v>
      </c>
      <c r="F738" s="89" t="n">
        <v>368.28</v>
      </c>
      <c r="G738" s="89" t="n">
        <v>368.28</v>
      </c>
      <c r="H738" s="110" t="inlineStr">
        <is>
          <t>EPI/Equipamentos do mês</t>
        </is>
      </c>
    </row>
    <row r="739" ht="15" customHeight="1" s="64">
      <c r="A739" s="110" t="inlineStr">
        <is>
          <t>JUNHO/2026</t>
        </is>
      </c>
      <c r="B739" s="110" t="inlineStr">
        <is>
          <t>Segurança do Trabalho</t>
        </is>
      </c>
      <c r="C739" s="110" t="inlineStr">
        <is>
          <t>Equipamentos de Segurança</t>
        </is>
      </c>
      <c r="D739" s="110" t="inlineStr">
        <is>
          <t>Souza e Silva</t>
        </is>
      </c>
      <c r="E739" s="129" t="n">
        <v>0</v>
      </c>
      <c r="F739" s="89" t="n">
        <v>0</v>
      </c>
      <c r="G739" s="89" t="n">
        <v>0</v>
      </c>
      <c r="H739" s="110" t="inlineStr">
        <is>
          <t>Devolução de Crédito</t>
        </is>
      </c>
    </row>
    <row r="740" ht="15" customHeight="1" s="64">
      <c r="A740" s="110" t="inlineStr">
        <is>
          <t>JUNHO/2026</t>
        </is>
      </c>
      <c r="B740" s="110" t="inlineStr">
        <is>
          <t>Segurança do Trabalho</t>
        </is>
      </c>
      <c r="C740" s="110" t="inlineStr">
        <is>
          <t>Equipamentos de Segurança</t>
        </is>
      </c>
      <c r="D740" s="110" t="inlineStr">
        <is>
          <t>Voicenet</t>
        </is>
      </c>
      <c r="E740" s="129" t="n">
        <v>1</v>
      </c>
      <c r="F740" s="89" t="n">
        <v>1043.05</v>
      </c>
      <c r="G740" s="89" t="n">
        <v>1043.05</v>
      </c>
      <c r="H740" s="110" t="inlineStr">
        <is>
          <t>EPI/Equipamentos do mês</t>
        </is>
      </c>
    </row>
    <row r="741" ht="15" customHeight="1" s="64">
      <c r="A741" s="110" t="inlineStr">
        <is>
          <t>JUNHO/2026</t>
        </is>
      </c>
      <c r="B741" s="110" t="inlineStr">
        <is>
          <t>Segurança do Trabalho</t>
        </is>
      </c>
      <c r="C741" s="110" t="inlineStr">
        <is>
          <t>Equipamentos de Segurança</t>
        </is>
      </c>
      <c r="D741" s="110" t="inlineStr">
        <is>
          <t>Voicenet</t>
        </is>
      </c>
      <c r="E741" s="129" t="n">
        <v>-1</v>
      </c>
      <c r="F741" s="89" t="n">
        <v>4096.89</v>
      </c>
      <c r="G741" s="89" t="n">
        <v>-4096.89</v>
      </c>
      <c r="H741" s="110" t="inlineStr">
        <is>
          <t>Devolução de Crédito</t>
        </is>
      </c>
    </row>
    <row r="742" ht="15" customHeight="1" s="64">
      <c r="A742" s="110" t="inlineStr">
        <is>
          <t>JUNHO/2026</t>
        </is>
      </c>
      <c r="B742" s="110" t="inlineStr">
        <is>
          <t>Segurança do Trabalho</t>
        </is>
      </c>
      <c r="C742" s="110" t="inlineStr">
        <is>
          <t>Km rodado Segurança e Saúde do Trabalho dtel p/ voice net</t>
        </is>
      </c>
      <c r="D742" s="110" t="inlineStr">
        <is>
          <t>Voicenet</t>
        </is>
      </c>
      <c r="E742" s="129" t="n">
        <v>0</v>
      </c>
      <c r="F742" s="89" t="n">
        <v>0</v>
      </c>
      <c r="G742" s="89" t="n">
        <v>0</v>
      </c>
      <c r="H742" s="110" t="inlineStr">
        <is>
          <t>Deslocamento da equipe para Horas cursos de normas e reciclagem ou visitas</t>
        </is>
      </c>
    </row>
    <row r="743" ht="15" customHeight="1" s="64">
      <c r="A743" s="110" t="inlineStr">
        <is>
          <t>JUNHO/2026</t>
        </is>
      </c>
      <c r="B743" s="110" t="inlineStr">
        <is>
          <t>Segurança do Trabalho</t>
        </is>
      </c>
      <c r="C743" s="110" t="inlineStr">
        <is>
          <t>Serviços prestados pela equipe Segurança do trabalho</t>
        </is>
      </c>
      <c r="D743" s="110" t="inlineStr">
        <is>
          <t>Voicenet</t>
        </is>
      </c>
      <c r="E743" s="129" t="n">
        <v>0</v>
      </c>
      <c r="F743" s="89" t="n">
        <v>0</v>
      </c>
      <c r="G743" s="89" t="n">
        <v>0</v>
      </c>
      <c r="H743" s="110" t="inlineStr">
        <is>
          <t>Serviços da equipe para Horas cursos de normas e reciclagem ou visitas</t>
        </is>
      </c>
    </row>
    <row r="744" ht="15" customHeight="1" s="64">
      <c r="A744" s="110" t="inlineStr">
        <is>
          <t>JUNHO/2026</t>
        </is>
      </c>
      <c r="B744" s="110" t="inlineStr">
        <is>
          <t>TIC</t>
        </is>
      </c>
      <c r="C744" s="110" t="inlineStr">
        <is>
          <t>E-mail Dtel</t>
        </is>
      </c>
      <c r="D744" s="110" t="inlineStr">
        <is>
          <t>DX2</t>
        </is>
      </c>
      <c r="E744" s="129" t="n">
        <v>2</v>
      </c>
      <c r="F744" s="89" t="n">
        <v>50</v>
      </c>
      <c r="G744" s="89" t="n">
        <v>100</v>
      </c>
      <c r="H744" s="110" t="inlineStr">
        <is>
          <t>Utilização de email corporativo</t>
        </is>
      </c>
    </row>
    <row r="745" ht="15" customHeight="1" s="64">
      <c r="A745" s="110" t="inlineStr">
        <is>
          <t>JUNHO/2026</t>
        </is>
      </c>
      <c r="B745" s="110" t="inlineStr">
        <is>
          <t>TIC</t>
        </is>
      </c>
      <c r="C745" s="110" t="inlineStr">
        <is>
          <t>E-mail Dtel</t>
        </is>
      </c>
      <c r="D745" s="110" t="inlineStr">
        <is>
          <t>Soares e Lins</t>
        </is>
      </c>
      <c r="E745" s="129" t="n">
        <v>1</v>
      </c>
      <c r="F745" s="89" t="n">
        <v>10</v>
      </c>
      <c r="G745" s="89" t="n">
        <v>10</v>
      </c>
      <c r="H745" s="110" t="inlineStr">
        <is>
          <t>Utilização de email corporativo</t>
        </is>
      </c>
    </row>
    <row r="746" ht="15" customHeight="1" s="64">
      <c r="A746" s="110" t="inlineStr">
        <is>
          <t>JUNHO/2026</t>
        </is>
      </c>
      <c r="B746" s="110" t="inlineStr">
        <is>
          <t>TIC</t>
        </is>
      </c>
      <c r="C746" s="110" t="inlineStr">
        <is>
          <t>E-mail Dtel</t>
        </is>
      </c>
      <c r="D746" s="110" t="inlineStr">
        <is>
          <t>Soares e Silva</t>
        </is>
      </c>
      <c r="E746" s="129" t="n">
        <v>1</v>
      </c>
      <c r="F746" s="89" t="n">
        <v>10</v>
      </c>
      <c r="G746" s="89" t="n">
        <v>10</v>
      </c>
      <c r="H746" s="110" t="inlineStr">
        <is>
          <t>Utilização de email corporativo</t>
        </is>
      </c>
    </row>
    <row r="747" ht="15" customHeight="1" s="64">
      <c r="A747" s="110" t="inlineStr">
        <is>
          <t>JUNHO/2026</t>
        </is>
      </c>
      <c r="B747" s="110" t="inlineStr">
        <is>
          <t>TIC</t>
        </is>
      </c>
      <c r="C747" s="110" t="inlineStr">
        <is>
          <t>E-mail Dtel</t>
        </is>
      </c>
      <c r="D747" s="110" t="inlineStr">
        <is>
          <t>Soares e Silva</t>
        </is>
      </c>
      <c r="E747" s="129" t="n">
        <v>5</v>
      </c>
      <c r="F747" s="89" t="n">
        <v>50</v>
      </c>
      <c r="G747" s="89" t="n">
        <v>250</v>
      </c>
      <c r="H747" s="110" t="inlineStr">
        <is>
          <t>Utilização de email corporativo</t>
        </is>
      </c>
    </row>
    <row r="748" ht="15" customHeight="1" s="64">
      <c r="A748" s="110" t="inlineStr">
        <is>
          <t>JUNHO/2026</t>
        </is>
      </c>
      <c r="B748" s="110" t="inlineStr">
        <is>
          <t>TIC</t>
        </is>
      </c>
      <c r="C748" s="110" t="inlineStr">
        <is>
          <t>E-mail Dtel</t>
        </is>
      </c>
      <c r="D748" s="110" t="inlineStr">
        <is>
          <t>Solon Araújo</t>
        </is>
      </c>
      <c r="E748" s="129" t="n">
        <v>2</v>
      </c>
      <c r="F748" s="89" t="n">
        <v>50</v>
      </c>
      <c r="G748" s="89" t="n">
        <v>100</v>
      </c>
      <c r="H748" s="110" t="inlineStr">
        <is>
          <t>Utilização de email corporativo</t>
        </is>
      </c>
    </row>
    <row r="749" ht="15" customHeight="1" s="64">
      <c r="A749" s="110" t="inlineStr">
        <is>
          <t>JUNHO/2026</t>
        </is>
      </c>
      <c r="B749" s="110" t="inlineStr">
        <is>
          <t>TIC</t>
        </is>
      </c>
      <c r="C749" s="110" t="inlineStr">
        <is>
          <t>E-mail Dtel</t>
        </is>
      </c>
      <c r="D749" s="110" t="inlineStr">
        <is>
          <t>Souza e Silva</t>
        </is>
      </c>
      <c r="E749" s="129" t="n">
        <v>1</v>
      </c>
      <c r="F749" s="89" t="n">
        <v>50</v>
      </c>
      <c r="G749" s="89" t="n">
        <v>50</v>
      </c>
      <c r="H749" s="110" t="inlineStr">
        <is>
          <t>Utilização de email corporativo</t>
        </is>
      </c>
    </row>
    <row r="750" ht="15" customHeight="1" s="64">
      <c r="A750" s="110" t="inlineStr">
        <is>
          <t>JUNHO/2026</t>
        </is>
      </c>
      <c r="B750" s="110" t="inlineStr">
        <is>
          <t>TIC</t>
        </is>
      </c>
      <c r="C750" s="110" t="inlineStr">
        <is>
          <t>E-mail Dtel</t>
        </is>
      </c>
      <c r="D750" s="110" t="inlineStr">
        <is>
          <t>Voicenet</t>
        </is>
      </c>
      <c r="E750" s="129" t="n">
        <v>1</v>
      </c>
      <c r="F750" s="89" t="n">
        <v>90</v>
      </c>
      <c r="G750" s="89" t="n">
        <v>90</v>
      </c>
      <c r="H750" s="110" t="inlineStr">
        <is>
          <t>Utilização de email corporativo</t>
        </is>
      </c>
    </row>
    <row r="751" ht="15" customHeight="1" s="64">
      <c r="A751" s="110" t="inlineStr">
        <is>
          <t>JUNHO/2026</t>
        </is>
      </c>
      <c r="B751" s="110" t="inlineStr">
        <is>
          <t>TIC</t>
        </is>
      </c>
      <c r="C751" s="110" t="inlineStr">
        <is>
          <t>E-mail Dtel</t>
        </is>
      </c>
      <c r="D751" s="110" t="inlineStr">
        <is>
          <t>Voicenet</t>
        </is>
      </c>
      <c r="E751" s="129" t="n">
        <v>2</v>
      </c>
      <c r="F751" s="89" t="n">
        <v>10</v>
      </c>
      <c r="G751" s="89" t="n">
        <v>20</v>
      </c>
      <c r="H751" s="110" t="inlineStr">
        <is>
          <t>Utilização de email corporativo</t>
        </is>
      </c>
    </row>
    <row r="752" ht="15" customHeight="1" s="64">
      <c r="A752" s="110" t="inlineStr">
        <is>
          <t>JUNHO/2026</t>
        </is>
      </c>
      <c r="B752" s="110" t="inlineStr">
        <is>
          <t>TIC</t>
        </is>
      </c>
      <c r="C752" s="110" t="inlineStr">
        <is>
          <t>E-mail Dtel</t>
        </is>
      </c>
      <c r="D752" s="110" t="inlineStr">
        <is>
          <t>Voicenet</t>
        </is>
      </c>
      <c r="E752" s="129" t="n">
        <v>3</v>
      </c>
      <c r="F752" s="89" t="n">
        <v>50</v>
      </c>
      <c r="G752" s="89" t="n">
        <v>150</v>
      </c>
      <c r="H752" s="110" t="inlineStr">
        <is>
          <t>Utilização de email corporativo</t>
        </is>
      </c>
    </row>
    <row r="753" ht="15" customHeight="1" s="64">
      <c r="A753" s="110" t="inlineStr">
        <is>
          <t>JULHO/2026</t>
        </is>
      </c>
      <c r="B753" s="110" t="inlineStr">
        <is>
          <t>Adm Qualidade</t>
        </is>
      </c>
      <c r="C753" s="110" t="inlineStr">
        <is>
          <t>Qualidade</t>
        </is>
      </c>
      <c r="D753" s="110" t="inlineStr">
        <is>
          <t>H&amp;A</t>
        </is>
      </c>
      <c r="E753" s="129" t="n">
        <v>13530</v>
      </c>
      <c r="F753" s="89" t="n">
        <v>0.23</v>
      </c>
      <c r="G753" s="89" t="n">
        <v>3111.9</v>
      </c>
      <c r="H753" s="110" t="inlineStr">
        <is>
          <t>Cálculo por número de clientes ativos</t>
        </is>
      </c>
    </row>
    <row r="754" ht="15" customHeight="1" s="64">
      <c r="A754" s="110" t="inlineStr">
        <is>
          <t>JULHO/2026</t>
        </is>
      </c>
      <c r="B754" s="110" t="inlineStr">
        <is>
          <t>Atendimento</t>
        </is>
      </c>
      <c r="C754" s="110" t="inlineStr">
        <is>
          <t>Material de escritório</t>
        </is>
      </c>
      <c r="D754" s="110" t="inlineStr">
        <is>
          <t>DTEL</t>
        </is>
      </c>
      <c r="E754" s="129" t="n">
        <v>0</v>
      </c>
      <c r="F754" s="89" t="n">
        <v>0</v>
      </c>
      <c r="G754" s="89" t="n">
        <v>0</v>
      </c>
      <c r="H754" s="110" t="inlineStr">
        <is>
          <t>Preenchido da planilha de materiais (materiais recebidos em 06-2026.xlsx)</t>
        </is>
      </c>
    </row>
    <row r="755" ht="15" customHeight="1" s="64">
      <c r="A755" s="110" t="inlineStr">
        <is>
          <t>JULHO/2026</t>
        </is>
      </c>
      <c r="B755" s="110" t="inlineStr">
        <is>
          <t>Atendimento</t>
        </is>
      </c>
      <c r="C755" s="110" t="inlineStr">
        <is>
          <t>Material de uso coletivo</t>
        </is>
      </c>
      <c r="D755" s="110" t="inlineStr">
        <is>
          <t>DTEL</t>
        </is>
      </c>
      <c r="E755" s="129" t="n">
        <v>0</v>
      </c>
      <c r="F755" s="89" t="n">
        <v>0</v>
      </c>
      <c r="G755" s="89" t="n">
        <v>0</v>
      </c>
      <c r="H755" s="110" t="inlineStr">
        <is>
          <t>Preenchido da planilha de materiais (materiais recebidos em 05-2026.xlsx)</t>
        </is>
      </c>
    </row>
    <row r="756" ht="15" customHeight="1" s="64">
      <c r="A756" s="110" t="inlineStr">
        <is>
          <t>JULHO/2026</t>
        </is>
      </c>
      <c r="B756" s="110" t="inlineStr">
        <is>
          <t>Atendimento</t>
        </is>
      </c>
      <c r="C756" s="110" t="inlineStr">
        <is>
          <t>Material de escritório</t>
        </is>
      </c>
      <c r="D756" s="110" t="inlineStr">
        <is>
          <t>DX2</t>
        </is>
      </c>
      <c r="E756" s="129" t="n">
        <v>0</v>
      </c>
      <c r="F756" s="89" t="n">
        <v>0</v>
      </c>
      <c r="G756" s="89" t="n">
        <v>0</v>
      </c>
      <c r="H756" s="110" t="inlineStr">
        <is>
          <t>Capa de carnê</t>
        </is>
      </c>
    </row>
    <row r="757" ht="15" customHeight="1" s="64">
      <c r="A757" s="110" t="inlineStr">
        <is>
          <t>JULHO/2026</t>
        </is>
      </c>
      <c r="B757" s="110" t="inlineStr">
        <is>
          <t>Atendimento</t>
        </is>
      </c>
      <c r="C757" s="110" t="inlineStr">
        <is>
          <t>Material de uso coletivo</t>
        </is>
      </c>
      <c r="D757" s="110" t="inlineStr">
        <is>
          <t>DX2</t>
        </is>
      </c>
      <c r="E757" s="129" t="n">
        <v>0</v>
      </c>
      <c r="F757" s="89" t="n">
        <v>0</v>
      </c>
      <c r="G757" s="89" t="n">
        <v>0</v>
      </c>
      <c r="H757" s="110" t="inlineStr">
        <is>
          <t>Preenchido da planilha de materiais (materiais recebidos em 05-2026.xlsx)</t>
        </is>
      </c>
    </row>
    <row r="758" ht="15" customHeight="1" s="64">
      <c r="A758" s="110" t="inlineStr">
        <is>
          <t>JULHO/2026</t>
        </is>
      </c>
      <c r="B758" s="110" t="inlineStr">
        <is>
          <t>Atendimento</t>
        </is>
      </c>
      <c r="C758" s="110" t="inlineStr">
        <is>
          <t>Material de escritório</t>
        </is>
      </c>
      <c r="D758" s="110" t="inlineStr">
        <is>
          <t>H&amp;A</t>
        </is>
      </c>
      <c r="E758" s="129" t="n">
        <v>0</v>
      </c>
      <c r="F758" s="89" t="n">
        <v>0</v>
      </c>
      <c r="G758" s="89" t="n">
        <v>0</v>
      </c>
      <c r="H758" s="110" t="inlineStr">
        <is>
          <t>Porta panfleto</t>
        </is>
      </c>
    </row>
    <row r="759" ht="15" customHeight="1" s="64">
      <c r="A759" s="110" t="inlineStr">
        <is>
          <t>JULHO/2026</t>
        </is>
      </c>
      <c r="B759" s="110" t="inlineStr">
        <is>
          <t>Atendimento</t>
        </is>
      </c>
      <c r="C759" s="110" t="inlineStr">
        <is>
          <t>Promotor autonomo Erika sonara</t>
        </is>
      </c>
      <c r="D759" s="110" t="inlineStr">
        <is>
          <t>H&amp;A</t>
        </is>
      </c>
      <c r="E759" s="129" t="n">
        <v>0</v>
      </c>
      <c r="F759" s="89" t="n">
        <v>0</v>
      </c>
      <c r="G759" s="89" t="n">
        <v>0</v>
      </c>
      <c r="H759" s="110" t="inlineStr">
        <is>
          <t>Comissionamento de vendas realizadas na h&amp;a paga pela Dtel fev.</t>
        </is>
      </c>
    </row>
    <row r="760" ht="15" customHeight="1" s="64">
      <c r="A760" s="110" t="inlineStr">
        <is>
          <t>JULHO/2026</t>
        </is>
      </c>
      <c r="B760" s="110" t="inlineStr">
        <is>
          <t>Atendimento</t>
        </is>
      </c>
      <c r="C760" s="110" t="inlineStr">
        <is>
          <t>Material de escritório</t>
        </is>
      </c>
      <c r="D760" s="110" t="inlineStr">
        <is>
          <t>Soares e Lins</t>
        </is>
      </c>
      <c r="E760" s="129" t="n">
        <v>0</v>
      </c>
      <c r="F760" s="89" t="n">
        <v>0</v>
      </c>
      <c r="G760" s="89" t="n">
        <v>0</v>
      </c>
      <c r="H760" s="110" t="inlineStr">
        <is>
          <t>Porta panfleto</t>
        </is>
      </c>
    </row>
    <row r="761" ht="15" customHeight="1" s="64">
      <c r="A761" s="110" t="inlineStr">
        <is>
          <t>JULHO/2026</t>
        </is>
      </c>
      <c r="B761" s="110" t="inlineStr">
        <is>
          <t>Atendimento</t>
        </is>
      </c>
      <c r="C761" s="110" t="inlineStr">
        <is>
          <t>Material de uso coletivo</t>
        </is>
      </c>
      <c r="D761" s="110" t="inlineStr">
        <is>
          <t>Soares e Lins</t>
        </is>
      </c>
      <c r="E761" s="129" t="n">
        <v>0</v>
      </c>
      <c r="F761" s="89" t="n">
        <v>0</v>
      </c>
      <c r="G761" s="89" t="n">
        <v>0</v>
      </c>
      <c r="H761" s="110" t="inlineStr">
        <is>
          <t>Preenchido da planilha de materiais (materiais recebidos em 05-2026.xlsx)</t>
        </is>
      </c>
    </row>
    <row r="762" ht="15" customHeight="1" s="64">
      <c r="A762" s="110" t="inlineStr">
        <is>
          <t>JULHO/2026</t>
        </is>
      </c>
      <c r="B762" s="110" t="inlineStr">
        <is>
          <t>Atendimento</t>
        </is>
      </c>
      <c r="C762" s="110" t="inlineStr">
        <is>
          <t>Material de escritório</t>
        </is>
      </c>
      <c r="D762" s="110" t="inlineStr">
        <is>
          <t>Soares e Silva</t>
        </is>
      </c>
      <c r="E762" s="129" t="n">
        <v>0</v>
      </c>
      <c r="F762" s="89" t="n">
        <v>0</v>
      </c>
      <c r="G762" s="89" t="n">
        <v>0</v>
      </c>
      <c r="H762" s="110" t="inlineStr">
        <is>
          <t>Capa de carnê</t>
        </is>
      </c>
    </row>
    <row r="763" ht="15" customHeight="1" s="64">
      <c r="A763" s="110" t="inlineStr">
        <is>
          <t>JULHO/2026</t>
        </is>
      </c>
      <c r="B763" s="110" t="inlineStr">
        <is>
          <t>Atendimento</t>
        </is>
      </c>
      <c r="C763" s="110" t="inlineStr">
        <is>
          <t>Material de uso coletivo</t>
        </is>
      </c>
      <c r="D763" s="110" t="inlineStr">
        <is>
          <t>Soares e Silva</t>
        </is>
      </c>
      <c r="E763" s="129" t="n">
        <v>0</v>
      </c>
      <c r="F763" s="89" t="n">
        <v>0</v>
      </c>
      <c r="G763" s="89" t="n">
        <v>0</v>
      </c>
      <c r="H763" s="110" t="inlineStr">
        <is>
          <t>Água mineral</t>
        </is>
      </c>
    </row>
    <row r="764" ht="15" customHeight="1" s="64">
      <c r="A764" s="110" t="inlineStr">
        <is>
          <t>JULHO/2026</t>
        </is>
      </c>
      <c r="B764" s="110" t="inlineStr">
        <is>
          <t>Atendimento</t>
        </is>
      </c>
      <c r="C764" s="110" t="inlineStr">
        <is>
          <t>Material de escritório</t>
        </is>
      </c>
      <c r="D764" s="110" t="inlineStr">
        <is>
          <t>Solon Araújo</t>
        </is>
      </c>
      <c r="E764" s="129" t="n">
        <v>0</v>
      </c>
      <c r="F764" s="89" t="n">
        <v>0</v>
      </c>
      <c r="G764" s="89" t="n">
        <v>0</v>
      </c>
      <c r="H764" s="110" t="inlineStr">
        <is>
          <t>Caixa de resma</t>
        </is>
      </c>
    </row>
    <row r="765" ht="15" customHeight="1" s="64">
      <c r="A765" s="110" t="inlineStr">
        <is>
          <t>JULHO/2026</t>
        </is>
      </c>
      <c r="B765" s="110" t="inlineStr">
        <is>
          <t>Atendimento</t>
        </is>
      </c>
      <c r="C765" s="110" t="inlineStr">
        <is>
          <t>Material de uso coletivo</t>
        </is>
      </c>
      <c r="D765" s="110" t="inlineStr">
        <is>
          <t>Solon Araújo</t>
        </is>
      </c>
      <c r="E765" s="129" t="n">
        <v>0</v>
      </c>
      <c r="F765" s="89" t="n">
        <v>0</v>
      </c>
      <c r="G765" s="89" t="n">
        <v>0</v>
      </c>
      <c r="H765" s="110" t="inlineStr">
        <is>
          <t>Preenchido da planilha de materiais (materiais recebidos em 05-2026.xlsx)</t>
        </is>
      </c>
    </row>
    <row r="766" ht="15" customHeight="1" s="64">
      <c r="A766" s="110" t="inlineStr">
        <is>
          <t>JULHO/2026</t>
        </is>
      </c>
      <c r="B766" s="110" t="inlineStr">
        <is>
          <t>Atendimento</t>
        </is>
      </c>
      <c r="C766" s="110" t="inlineStr">
        <is>
          <t>Material de uso coletivo</t>
        </is>
      </c>
      <c r="D766" s="110" t="inlineStr">
        <is>
          <t>Solon Araújo</t>
        </is>
      </c>
      <c r="E766" s="129" t="n">
        <v>0</v>
      </c>
      <c r="F766" s="89" t="n">
        <v>0</v>
      </c>
      <c r="G766" s="89" t="n">
        <v>0</v>
      </c>
      <c r="H766" s="110" t="inlineStr">
        <is>
          <t>Água mineral</t>
        </is>
      </c>
    </row>
    <row r="767" ht="15" customHeight="1" s="64">
      <c r="A767" s="110" t="inlineStr">
        <is>
          <t>JULHO/2026</t>
        </is>
      </c>
      <c r="B767" s="110" t="inlineStr">
        <is>
          <t>Atendimento</t>
        </is>
      </c>
      <c r="C767" s="110" t="inlineStr">
        <is>
          <t>Material de escritório</t>
        </is>
      </c>
      <c r="D767" s="110" t="inlineStr">
        <is>
          <t>Souza e Silva</t>
        </is>
      </c>
      <c r="E767" s="129" t="n">
        <v>0</v>
      </c>
      <c r="F767" s="89" t="n">
        <v>0</v>
      </c>
      <c r="G767" s="89" t="n">
        <v>0</v>
      </c>
      <c r="H767" s="110" t="inlineStr">
        <is>
          <t>Porta panfleto</t>
        </is>
      </c>
    </row>
    <row r="768" ht="15" customHeight="1" s="64">
      <c r="A768" s="110" t="inlineStr">
        <is>
          <t>JULHO/2026</t>
        </is>
      </c>
      <c r="B768" s="110" t="inlineStr">
        <is>
          <t>Atendimento</t>
        </is>
      </c>
      <c r="C768" s="110" t="inlineStr">
        <is>
          <t>Material de escritório</t>
        </is>
      </c>
      <c r="D768" s="110" t="inlineStr">
        <is>
          <t>Souza e Silva</t>
        </is>
      </c>
      <c r="E768" s="129" t="n">
        <v>0</v>
      </c>
      <c r="F768" s="89" t="n">
        <v>0</v>
      </c>
      <c r="G768" s="89" t="n">
        <v>0</v>
      </c>
      <c r="H768" s="110" t="inlineStr">
        <is>
          <t>Panfletos</t>
        </is>
      </c>
    </row>
    <row r="769" ht="15" customHeight="1" s="64">
      <c r="A769" s="110" t="inlineStr">
        <is>
          <t>JULHO/2026</t>
        </is>
      </c>
      <c r="B769" s="110" t="inlineStr">
        <is>
          <t>COE</t>
        </is>
      </c>
      <c r="C769" s="110" t="inlineStr">
        <is>
          <t>Serviços do C.O.E distribuição de serviços</t>
        </is>
      </c>
      <c r="D769" s="110" t="inlineStr">
        <is>
          <t>Soares e Lins</t>
        </is>
      </c>
      <c r="E769" s="129" t="n">
        <v>3765</v>
      </c>
      <c r="F769" s="89" t="n">
        <v>0.39039808527428</v>
      </c>
      <c r="G769" s="89" t="n">
        <v>1469.848791</v>
      </c>
      <c r="H769" s="110" t="inlineStr">
        <is>
          <t>Cálculo por número de clientes ativos</t>
        </is>
      </c>
    </row>
    <row r="770" ht="15" customHeight="1" s="64">
      <c r="A770" s="110" t="inlineStr">
        <is>
          <t>JULHO/2026</t>
        </is>
      </c>
      <c r="B770" s="110" t="inlineStr">
        <is>
          <t>COE</t>
        </is>
      </c>
      <c r="C770" s="110" t="inlineStr">
        <is>
          <t>Serviços do C.O.E distribuição de serviços</t>
        </is>
      </c>
      <c r="D770" s="110" t="inlineStr">
        <is>
          <t>Solon Araújo</t>
        </is>
      </c>
      <c r="E770" s="129" t="n">
        <v>14689</v>
      </c>
      <c r="F770" s="89" t="n">
        <v>0.39039808527428</v>
      </c>
      <c r="G770" s="89" t="n">
        <v>5734.557475</v>
      </c>
      <c r="H770" s="110" t="inlineStr">
        <is>
          <t>Cálculo por número de clientes ativos</t>
        </is>
      </c>
    </row>
    <row r="771" ht="15" customHeight="1" s="64">
      <c r="A771" s="110" t="inlineStr">
        <is>
          <t>JULHO/2026</t>
        </is>
      </c>
      <c r="B771" s="110" t="inlineStr">
        <is>
          <t>COE</t>
        </is>
      </c>
      <c r="C771" s="110" t="inlineStr">
        <is>
          <t>Serviços do C.O.E distribuição de serviços</t>
        </is>
      </c>
      <c r="D771" s="110" t="inlineStr">
        <is>
          <t>Voicenet</t>
        </is>
      </c>
      <c r="E771" s="129" t="n">
        <v>4806</v>
      </c>
      <c r="F771" s="89" t="n">
        <v>0.39039808527428</v>
      </c>
      <c r="G771" s="89" t="n">
        <v>1876.253198</v>
      </c>
      <c r="H771" s="110" t="inlineStr">
        <is>
          <t>Cálculo por número de clientes ativos</t>
        </is>
      </c>
    </row>
    <row r="772" ht="15" customHeight="1" s="64">
      <c r="A772" s="110" t="inlineStr">
        <is>
          <t>JULHO/2026</t>
        </is>
      </c>
      <c r="B772" s="110" t="inlineStr">
        <is>
          <t>Comercial</t>
        </is>
      </c>
      <c r="C772" s="110" t="inlineStr">
        <is>
          <t>Consultas e análises de crédito</t>
        </is>
      </c>
      <c r="D772" s="110" t="inlineStr">
        <is>
          <t>DTEL</t>
        </is>
      </c>
      <c r="E772" s="129" t="n">
        <v>6438</v>
      </c>
      <c r="F772" s="89" t="n">
        <v>1.86</v>
      </c>
      <c r="G772" s="89" t="n">
        <v>11974.68</v>
      </c>
      <c r="H772" s="110" t="inlineStr">
        <is>
          <t>Vendas cadastradas e consultadas pelo argos (Consulta e analise de crédito - Jul26.xlsx)</t>
        </is>
      </c>
    </row>
    <row r="773" ht="15" customHeight="1" s="64">
      <c r="A773" s="110" t="inlineStr">
        <is>
          <t>JULHO/2026</t>
        </is>
      </c>
      <c r="B773" s="110" t="inlineStr">
        <is>
          <t>Comercial</t>
        </is>
      </c>
      <c r="C773" s="110" t="inlineStr">
        <is>
          <t>Consultas e análises de crédito</t>
        </is>
      </c>
      <c r="D773" s="110" t="inlineStr">
        <is>
          <t>DX2</t>
        </is>
      </c>
      <c r="E773" s="129" t="n">
        <v>341</v>
      </c>
      <c r="F773" s="89" t="n">
        <v>1.86</v>
      </c>
      <c r="G773" s="89" t="n">
        <v>634.26</v>
      </c>
      <c r="H773" s="110" t="inlineStr">
        <is>
          <t>Vendas cadastradas e consultadas pelo argos (Consulta e analise de crédito - Jul26.xlsx)</t>
        </is>
      </c>
    </row>
    <row r="774" ht="15" customHeight="1" s="64">
      <c r="A774" s="110" t="inlineStr">
        <is>
          <t>JULHO/2026</t>
        </is>
      </c>
      <c r="B774" s="110" t="inlineStr">
        <is>
          <t>Comercial</t>
        </is>
      </c>
      <c r="C774" s="110" t="inlineStr">
        <is>
          <t>Despesa com alimentação da itinerante pap</t>
        </is>
      </c>
      <c r="D774" s="110" t="inlineStr">
        <is>
          <t>DX2</t>
        </is>
      </c>
      <c r="E774" s="129" t="n">
        <v>0</v>
      </c>
      <c r="F774" s="89" t="n">
        <v>0</v>
      </c>
      <c r="G774" s="89" t="n">
        <v>0</v>
      </c>
      <c r="H774" s="110" t="inlineStr">
        <is>
          <t>Crédito por despesa com alimentação da equipe Dx2, em inauguração de loja h&amp;a</t>
        </is>
      </c>
    </row>
    <row r="775" ht="15" customHeight="1" s="64">
      <c r="A775" s="110" t="inlineStr">
        <is>
          <t>JULHO/2026</t>
        </is>
      </c>
      <c r="B775" s="110" t="inlineStr">
        <is>
          <t>Comercial</t>
        </is>
      </c>
      <c r="C775" s="110" t="inlineStr">
        <is>
          <t>Despesa da van DX2</t>
        </is>
      </c>
      <c r="D775" s="110" t="inlineStr">
        <is>
          <t>DX2</t>
        </is>
      </c>
      <c r="E775" s="129" t="n">
        <v>0</v>
      </c>
      <c r="F775" s="89" t="n">
        <v>0</v>
      </c>
      <c r="G775" s="89" t="n">
        <v>0</v>
      </c>
      <c r="H775" s="110" t="inlineStr">
        <is>
          <t>Crédito por despesa com combustivel da van</t>
        </is>
      </c>
    </row>
    <row r="776" ht="15" customHeight="1" s="64">
      <c r="A776" s="110" t="inlineStr">
        <is>
          <t>JULHO/2026</t>
        </is>
      </c>
      <c r="B776" s="110" t="inlineStr">
        <is>
          <t>Comercial</t>
        </is>
      </c>
      <c r="C776" s="110" t="inlineStr">
        <is>
          <t>Despesa do coordenador TIAGO, pela gestão da equipe</t>
        </is>
      </c>
      <c r="D776" s="110" t="inlineStr">
        <is>
          <t>DX2</t>
        </is>
      </c>
      <c r="E776" s="129" t="n">
        <v>-1</v>
      </c>
      <c r="F776" s="89" t="n">
        <v>620.34</v>
      </c>
      <c r="G776" s="89" t="n">
        <v>-620.34</v>
      </c>
      <c r="H776" s="110" t="inlineStr">
        <is>
          <t>Crédito por despesa com combustível e utilização de veÍculo dx2</t>
        </is>
      </c>
    </row>
    <row r="777" ht="15" customHeight="1" s="64">
      <c r="A777" s="110" t="inlineStr">
        <is>
          <t>JULHO/2026</t>
        </is>
      </c>
      <c r="B777" s="110" t="inlineStr">
        <is>
          <t>Comercial</t>
        </is>
      </c>
      <c r="C777" s="110" t="inlineStr">
        <is>
          <t>Despesa do coordenador TIAGO, pela gestão da equipe</t>
        </is>
      </c>
      <c r="D777" s="110" t="inlineStr">
        <is>
          <t>DX2</t>
        </is>
      </c>
      <c r="E777" s="129" t="n">
        <v>-1</v>
      </c>
      <c r="F777" s="89" t="n">
        <v>2216.95</v>
      </c>
      <c r="G777" s="89" t="n">
        <v>-2216.95</v>
      </c>
      <c r="H777" s="110" t="inlineStr">
        <is>
          <t>Crédito por participação do coordenador na base h&amp;a e soares e silva</t>
        </is>
      </c>
    </row>
    <row r="778" ht="15" customHeight="1" s="64">
      <c r="A778" s="110" t="inlineStr">
        <is>
          <t>JULHO/2026</t>
        </is>
      </c>
      <c r="B778" s="110" t="inlineStr">
        <is>
          <t>Comercial</t>
        </is>
      </c>
      <c r="C778" s="110" t="inlineStr">
        <is>
          <t>Vendas da equipe DX2 porta a porta P/ H&amp;A</t>
        </is>
      </c>
      <c r="D778" s="110" t="inlineStr">
        <is>
          <t>DX2</t>
        </is>
      </c>
      <c r="E778" s="129" t="n">
        <v>-1</v>
      </c>
      <c r="F778" s="89" t="n">
        <v>260.108024691358</v>
      </c>
      <c r="G778" s="89" t="n">
        <v>-260.108024691358</v>
      </c>
      <c r="H778" s="110" t="inlineStr">
        <is>
          <t>Vendas comercial varejo.xlsx (junho/2026)</t>
        </is>
      </c>
    </row>
    <row r="779" ht="15" customHeight="1" s="64">
      <c r="A779" s="110" t="inlineStr">
        <is>
          <t>JULHO/2026</t>
        </is>
      </c>
      <c r="B779" s="110" t="inlineStr">
        <is>
          <t>Comercial</t>
        </is>
      </c>
      <c r="C779" s="110" t="inlineStr">
        <is>
          <t>Vendas da equipe Dtel porta a porta</t>
        </is>
      </c>
      <c r="D779" s="110" t="inlineStr">
        <is>
          <t>DX2</t>
        </is>
      </c>
      <c r="E779" s="129" t="n">
        <v>0</v>
      </c>
      <c r="F779" s="89" t="n">
        <v>0</v>
      </c>
      <c r="G779" s="89" t="n">
        <v>0</v>
      </c>
      <c r="H779" s="110" t="inlineStr">
        <is>
          <t>Vendas instaladas</t>
        </is>
      </c>
    </row>
    <row r="780" ht="15" customHeight="1" s="64">
      <c r="A780" s="110" t="inlineStr">
        <is>
          <t>JULHO/2026</t>
        </is>
      </c>
      <c r="B780" s="110" t="inlineStr">
        <is>
          <t>Comercial</t>
        </is>
      </c>
      <c r="C780" s="110" t="inlineStr">
        <is>
          <t>Vendas da equipe Dx2 porta a porta p/ Dtel</t>
        </is>
      </c>
      <c r="D780" s="110" t="inlineStr">
        <is>
          <t>DX2</t>
        </is>
      </c>
      <c r="E780" s="129" t="n">
        <v>0</v>
      </c>
      <c r="F780" s="89" t="n">
        <v>0</v>
      </c>
      <c r="G780" s="89" t="n">
        <v>0</v>
      </c>
      <c r="H780" s="110" t="inlineStr">
        <is>
          <t>Vendas instaladas</t>
        </is>
      </c>
    </row>
    <row r="781" ht="15" customHeight="1" s="64">
      <c r="A781" s="110" t="inlineStr">
        <is>
          <t>JULHO/2026</t>
        </is>
      </c>
      <c r="B781" s="110" t="inlineStr">
        <is>
          <t>Comercial</t>
        </is>
      </c>
      <c r="C781" s="110" t="inlineStr">
        <is>
          <t>Vendas da equipe H&amp;A porta a porta P/ DX2</t>
        </is>
      </c>
      <c r="D781" s="110" t="inlineStr">
        <is>
          <t>DX2</t>
        </is>
      </c>
      <c r="E781" s="129" t="n">
        <v>3</v>
      </c>
      <c r="F781" s="89" t="n">
        <v>221.785743509048</v>
      </c>
      <c r="G781" s="89" t="n">
        <v>665.357230527144</v>
      </c>
      <c r="H781" s="110" t="inlineStr">
        <is>
          <t>Vendas comercial varejo.xlsx (junho/2026)</t>
        </is>
      </c>
    </row>
    <row r="782" ht="15" customHeight="1" s="64">
      <c r="A782" s="110" t="inlineStr">
        <is>
          <t>JULHO/2026</t>
        </is>
      </c>
      <c r="B782" s="110" t="inlineStr">
        <is>
          <t>Comercial</t>
        </is>
      </c>
      <c r="C782" s="110" t="inlineStr">
        <is>
          <t>Vendas da equipe VOICENET porta a porta P/  DX2</t>
        </is>
      </c>
      <c r="D782" s="110" t="inlineStr">
        <is>
          <t>DX2</t>
        </is>
      </c>
      <c r="E782" s="129" t="n">
        <v>0</v>
      </c>
      <c r="F782" s="89" t="n">
        <v>0</v>
      </c>
      <c r="G782" s="89" t="n">
        <v>0</v>
      </c>
      <c r="H782" s="110" t="inlineStr">
        <is>
          <t>Vendas instaladas</t>
        </is>
      </c>
    </row>
    <row r="783" ht="15" customHeight="1" s="64">
      <c r="A783" s="110" t="inlineStr">
        <is>
          <t>JULHO/2026</t>
        </is>
      </c>
      <c r="B783" s="110" t="inlineStr">
        <is>
          <t>Comercial</t>
        </is>
      </c>
      <c r="C783" s="110" t="inlineStr">
        <is>
          <t>Comissão de manutenção da Totum</t>
        </is>
      </c>
      <c r="D783" s="110" t="inlineStr">
        <is>
          <t>H&amp;A</t>
        </is>
      </c>
      <c r="E783" s="129" t="n">
        <v>1</v>
      </c>
      <c r="F783" s="89" t="n">
        <v>33.5</v>
      </c>
      <c r="G783" s="89" t="n">
        <v>33.5</v>
      </c>
      <c r="H783" s="110" t="inlineStr">
        <is>
          <t>Conselho regional de enfermagem de PE</t>
        </is>
      </c>
    </row>
    <row r="784" ht="15" customHeight="1" s="64">
      <c r="A784" s="110" t="inlineStr">
        <is>
          <t>JULHO/2026</t>
        </is>
      </c>
      <c r="B784" s="110" t="inlineStr">
        <is>
          <t>Comercial</t>
        </is>
      </c>
      <c r="C784" s="110" t="inlineStr">
        <is>
          <t>Comissão de manutenção da Totum</t>
        </is>
      </c>
      <c r="D784" s="110" t="inlineStr">
        <is>
          <t>H&amp;A</t>
        </is>
      </c>
      <c r="E784" s="129" t="n">
        <v>1</v>
      </c>
      <c r="F784" s="89" t="n">
        <v>22</v>
      </c>
      <c r="G784" s="89" t="n">
        <v>22</v>
      </c>
      <c r="H784" s="110" t="inlineStr">
        <is>
          <t>71 Batalhão De Infantaria Motorizado</t>
        </is>
      </c>
    </row>
    <row r="785" ht="15" customHeight="1" s="64">
      <c r="A785" s="110" t="inlineStr">
        <is>
          <t>JULHO/2026</t>
        </is>
      </c>
      <c r="B785" s="110" t="inlineStr">
        <is>
          <t>Comercial</t>
        </is>
      </c>
      <c r="C785" s="110" t="inlineStr">
        <is>
          <t>Consultas e análises de crédito</t>
        </is>
      </c>
      <c r="D785" s="110" t="inlineStr">
        <is>
          <t>H&amp;A</t>
        </is>
      </c>
      <c r="E785" s="129" t="n">
        <v>312</v>
      </c>
      <c r="F785" s="89" t="n">
        <v>1.86</v>
      </c>
      <c r="G785" s="89" t="n">
        <v>580.3200000000001</v>
      </c>
      <c r="H785" s="110" t="inlineStr">
        <is>
          <t>Vendas cadastradas e consultadas pelo argos</t>
        </is>
      </c>
    </row>
    <row r="786" ht="15" customHeight="1" s="64">
      <c r="A786" s="110" t="inlineStr">
        <is>
          <t>JULHO/2026</t>
        </is>
      </c>
      <c r="B786" s="110" t="inlineStr">
        <is>
          <t>Comercial</t>
        </is>
      </c>
      <c r="C786" s="110" t="inlineStr">
        <is>
          <t>Despesa com alimentação da itinerante pap</t>
        </is>
      </c>
      <c r="D786" s="110" t="inlineStr">
        <is>
          <t>H&amp;A</t>
        </is>
      </c>
      <c r="E786" s="129" t="n">
        <v>0</v>
      </c>
      <c r="F786" s="89" t="n">
        <v>0</v>
      </c>
      <c r="G786" s="89" t="n">
        <v>0</v>
      </c>
      <c r="H786" s="110" t="inlineStr">
        <is>
          <t>Despesa com alimentação da equipe Dx2, em inauguração de loja h&amp;a</t>
        </is>
      </c>
    </row>
    <row r="787" ht="15" customHeight="1" s="64">
      <c r="A787" s="110" t="inlineStr">
        <is>
          <t>JULHO/2026</t>
        </is>
      </c>
      <c r="B787" s="110" t="inlineStr">
        <is>
          <t>Comercial</t>
        </is>
      </c>
      <c r="C787" s="110" t="inlineStr">
        <is>
          <t>Despesa do coordenador TIAGO, pela gestão da equipe</t>
        </is>
      </c>
      <c r="D787" s="110" t="inlineStr">
        <is>
          <t>H&amp;A</t>
        </is>
      </c>
      <c r="E787" s="129" t="n">
        <v>0</v>
      </c>
      <c r="F787" s="89" t="n">
        <v>0</v>
      </c>
      <c r="G787" s="89" t="n">
        <v>0</v>
      </c>
      <c r="H787" s="110" t="inlineStr">
        <is>
          <t>Despesa com combustÍvel e utilização da van dx2</t>
        </is>
      </c>
    </row>
    <row r="788" ht="15" customHeight="1" s="64">
      <c r="A788" s="110" t="inlineStr">
        <is>
          <t>JULHO/2026</t>
        </is>
      </c>
      <c r="B788" s="110" t="inlineStr">
        <is>
          <t>Comercial</t>
        </is>
      </c>
      <c r="C788" s="110" t="inlineStr">
        <is>
          <t>Despesa do coordenador TIAGO, pela gestão da equipe</t>
        </is>
      </c>
      <c r="D788" s="110" t="inlineStr">
        <is>
          <t>H&amp;A</t>
        </is>
      </c>
      <c r="E788" s="129" t="n">
        <v>1</v>
      </c>
      <c r="F788" s="89" t="n">
        <v>446.88</v>
      </c>
      <c r="G788" s="89" t="n">
        <v>446.88</v>
      </c>
      <c r="H788" s="110" t="inlineStr">
        <is>
          <t>Despesa com combustÍvel e utilização de veiculo dx2</t>
        </is>
      </c>
    </row>
    <row r="789" ht="15" customHeight="1" s="64">
      <c r="A789" s="110" t="inlineStr">
        <is>
          <t>JULHO/2026</t>
        </is>
      </c>
      <c r="B789" s="110" t="inlineStr">
        <is>
          <t>Comercial</t>
        </is>
      </c>
      <c r="C789" s="110" t="inlineStr">
        <is>
          <t>Despesa do coordenador TIAGO, pela gestão da equipe</t>
        </is>
      </c>
      <c r="D789" s="110" t="inlineStr">
        <is>
          <t>H&amp;A</t>
        </is>
      </c>
      <c r="E789" s="129" t="n">
        <v>36</v>
      </c>
      <c r="F789" s="89" t="n">
        <v>21.95</v>
      </c>
      <c r="G789" s="89" t="n">
        <v>790.2</v>
      </c>
      <c r="H789" s="110" t="inlineStr">
        <is>
          <t>Despesa trabalhista dividida pela quantidade de vendas</t>
        </is>
      </c>
    </row>
    <row r="790" ht="15" customHeight="1" s="64">
      <c r="A790" s="110" t="inlineStr">
        <is>
          <t>JULHO/2026</t>
        </is>
      </c>
      <c r="B790" s="110" t="inlineStr">
        <is>
          <t>Comercial</t>
        </is>
      </c>
      <c r="C790" s="110" t="inlineStr">
        <is>
          <t>Vendas da equipe DX2 para H&amp;A</t>
        </is>
      </c>
      <c r="D790" s="110" t="inlineStr">
        <is>
          <t>H&amp;A</t>
        </is>
      </c>
      <c r="E790" s="129" t="n">
        <v>1</v>
      </c>
      <c r="F790" s="89" t="n">
        <v>260.108024691358</v>
      </c>
      <c r="G790" s="89" t="n">
        <v>260.108024691358</v>
      </c>
      <c r="H790" s="110" t="inlineStr">
        <is>
          <t>Vendas comercial varejo.xlsx (junho/2026)</t>
        </is>
      </c>
    </row>
    <row r="791" ht="15" customHeight="1" s="64">
      <c r="A791" s="110" t="inlineStr">
        <is>
          <t>JULHO/2026</t>
        </is>
      </c>
      <c r="B791" s="110" t="inlineStr">
        <is>
          <t>Comercial</t>
        </is>
      </c>
      <c r="C791" s="110" t="inlineStr">
        <is>
          <t>Vendas da equipe Dtel porta a porta</t>
        </is>
      </c>
      <c r="D791" s="110" t="inlineStr">
        <is>
          <t>H&amp;A</t>
        </is>
      </c>
      <c r="E791" s="129" t="n">
        <v>2</v>
      </c>
      <c r="F791" s="89" t="n">
        <v>221.785743509048</v>
      </c>
      <c r="G791" s="89" t="n">
        <v>443.571487018096</v>
      </c>
      <c r="H791" s="110" t="inlineStr">
        <is>
          <t>Vendas comercial varejo.xlsx (junho/2026)</t>
        </is>
      </c>
    </row>
    <row r="792" ht="15" customHeight="1" s="64">
      <c r="A792" s="110" t="inlineStr">
        <is>
          <t>JULHO/2026</t>
        </is>
      </c>
      <c r="B792" s="110" t="inlineStr">
        <is>
          <t>Comercial</t>
        </is>
      </c>
      <c r="C792" s="110" t="inlineStr">
        <is>
          <t>Vendas da equipe H&amp;A P/ VOICENET</t>
        </is>
      </c>
      <c r="D792" s="110" t="inlineStr">
        <is>
          <t>H&amp;A</t>
        </is>
      </c>
      <c r="E792" s="129" t="n">
        <v>0</v>
      </c>
      <c r="F792" s="89" t="n">
        <v>0</v>
      </c>
      <c r="G792" s="89" t="n">
        <v>0</v>
      </c>
      <c r="H792" s="110" t="inlineStr">
        <is>
          <t>Vendas instaladas</t>
        </is>
      </c>
    </row>
    <row r="793" ht="15" customHeight="1" s="64">
      <c r="A793" s="110" t="inlineStr">
        <is>
          <t>JULHO/2026</t>
        </is>
      </c>
      <c r="B793" s="110" t="inlineStr">
        <is>
          <t>Comercial</t>
        </is>
      </c>
      <c r="C793" s="110" t="inlineStr">
        <is>
          <t>Vendas da equipe H&amp;A para Dtel</t>
        </is>
      </c>
      <c r="D793" s="110" t="inlineStr">
        <is>
          <t>H&amp;A</t>
        </is>
      </c>
      <c r="E793" s="129" t="n">
        <v>-6</v>
      </c>
      <c r="F793" s="89" t="n">
        <v>221.785743509048</v>
      </c>
      <c r="G793" s="89" t="n">
        <v>-1330.71446105429</v>
      </c>
      <c r="H793" s="110" t="inlineStr">
        <is>
          <t>Vendas comercial varejo.xlsx (junho/2026)</t>
        </is>
      </c>
    </row>
    <row r="794" ht="15" customHeight="1" s="64">
      <c r="A794" s="110" t="inlineStr">
        <is>
          <t>JULHO/2026</t>
        </is>
      </c>
      <c r="B794" s="110" t="inlineStr">
        <is>
          <t>Comercial</t>
        </is>
      </c>
      <c r="C794" s="110" t="inlineStr">
        <is>
          <t>Vendas da equipe H&amp;A para Dx2</t>
        </is>
      </c>
      <c r="D794" s="110" t="inlineStr">
        <is>
          <t>H&amp;A</t>
        </is>
      </c>
      <c r="E794" s="129" t="n">
        <v>-3</v>
      </c>
      <c r="F794" s="89" t="n">
        <v>221.785743509048</v>
      </c>
      <c r="G794" s="89" t="n">
        <v>-665.357230527144</v>
      </c>
      <c r="H794" s="110" t="inlineStr">
        <is>
          <t>Vendas comercial varejo.xlsx (junho/2026)</t>
        </is>
      </c>
    </row>
    <row r="795" ht="15" customHeight="1" s="64">
      <c r="A795" s="110" t="inlineStr">
        <is>
          <t>JULHO/2026</t>
        </is>
      </c>
      <c r="B795" s="110" t="inlineStr">
        <is>
          <t>Comercial</t>
        </is>
      </c>
      <c r="C795" s="110" t="inlineStr">
        <is>
          <t>Vendas da equipe H&amp;A para soares e silva</t>
        </is>
      </c>
      <c r="D795" s="110" t="inlineStr">
        <is>
          <t>H&amp;A</t>
        </is>
      </c>
      <c r="E795" s="129" t="n">
        <v>-2</v>
      </c>
      <c r="F795" s="89" t="n">
        <v>221.785743509048</v>
      </c>
      <c r="G795" s="89" t="n">
        <v>-443.571487018096</v>
      </c>
      <c r="H795" s="110" t="inlineStr">
        <is>
          <t>Vendas comercial varejo.xlsx (junho/2026)</t>
        </is>
      </c>
    </row>
    <row r="796" ht="15" customHeight="1" s="64">
      <c r="A796" s="110" t="inlineStr">
        <is>
          <t>JULHO/2026</t>
        </is>
      </c>
      <c r="B796" s="110" t="inlineStr">
        <is>
          <t>Comercial</t>
        </is>
      </c>
      <c r="C796" s="110" t="inlineStr">
        <is>
          <t>Consultas e análises de crédito</t>
        </is>
      </c>
      <c r="D796" s="110" t="inlineStr">
        <is>
          <t>Soares e Lins</t>
        </is>
      </c>
      <c r="E796" s="129" t="n">
        <v>222</v>
      </c>
      <c r="F796" s="89" t="n">
        <v>1.86</v>
      </c>
      <c r="G796" s="89" t="n">
        <v>412.92</v>
      </c>
      <c r="H796" s="110" t="inlineStr">
        <is>
          <t>Vendas cadastradas e consultadas pelo argos</t>
        </is>
      </c>
    </row>
    <row r="797" ht="15" customHeight="1" s="64">
      <c r="A797" s="110" t="inlineStr">
        <is>
          <t>JULHO/2026</t>
        </is>
      </c>
      <c r="B797" s="110" t="inlineStr">
        <is>
          <t>Comercial</t>
        </is>
      </c>
      <c r="C797" s="110" t="inlineStr">
        <is>
          <t>Vendas da equipe Dtel porta a porta</t>
        </is>
      </c>
      <c r="D797" s="110" t="inlineStr">
        <is>
          <t>Soares e Lins</t>
        </is>
      </c>
      <c r="E797" s="129" t="n">
        <v>1</v>
      </c>
      <c r="F797" s="89" t="n">
        <v>221.785743509048</v>
      </c>
      <c r="G797" s="89" t="n">
        <v>221.785743509048</v>
      </c>
      <c r="H797" s="110" t="inlineStr">
        <is>
          <t>Vendas comercial varejo.xlsx (junho/2026)</t>
        </is>
      </c>
    </row>
    <row r="798" ht="15" customHeight="1" s="64">
      <c r="A798" s="110" t="inlineStr">
        <is>
          <t>JULHO/2026</t>
        </is>
      </c>
      <c r="B798" s="110" t="inlineStr">
        <is>
          <t>Comercial</t>
        </is>
      </c>
      <c r="C798" s="110" t="inlineStr">
        <is>
          <t>Vendas da equipe Soares e lins p/ Dtel</t>
        </is>
      </c>
      <c r="D798" s="110" t="inlineStr">
        <is>
          <t>Soares e Lins</t>
        </is>
      </c>
      <c r="E798" s="129" t="n">
        <v>0</v>
      </c>
      <c r="F798" s="89" t="n">
        <v>0</v>
      </c>
      <c r="G798" s="89" t="n">
        <v>0</v>
      </c>
      <c r="H798" s="110" t="inlineStr">
        <is>
          <t>Vendas comercial varejo.xlsx (junho/2026)</t>
        </is>
      </c>
    </row>
    <row r="799" ht="15" customHeight="1" s="64">
      <c r="A799" s="110" t="inlineStr">
        <is>
          <t>JULHO/2026</t>
        </is>
      </c>
      <c r="B799" s="110" t="inlineStr">
        <is>
          <t>Comercial</t>
        </is>
      </c>
      <c r="C799" s="110" t="inlineStr">
        <is>
          <t>Vendas da equipe Soares e lins p/ solon</t>
        </is>
      </c>
      <c r="D799" s="110" t="inlineStr">
        <is>
          <t>Soares e Lins</t>
        </is>
      </c>
      <c r="E799" s="129" t="n">
        <v>0</v>
      </c>
      <c r="F799" s="89" t="n">
        <v>0</v>
      </c>
      <c r="G799" s="89" t="n">
        <v>0</v>
      </c>
    </row>
    <row r="800" ht="15" customHeight="1" s="64">
      <c r="A800" s="110" t="inlineStr">
        <is>
          <t>JULHO/2026</t>
        </is>
      </c>
      <c r="B800" s="110" t="inlineStr">
        <is>
          <t>Comercial</t>
        </is>
      </c>
      <c r="C800" s="110" t="inlineStr">
        <is>
          <t>Vendas da equipe voicenet P/ SOARES E LINS</t>
        </is>
      </c>
      <c r="D800" s="110" t="inlineStr">
        <is>
          <t>Soares e Lins</t>
        </is>
      </c>
      <c r="E800" s="129" t="n">
        <v>0</v>
      </c>
      <c r="F800" s="89" t="n">
        <v>0</v>
      </c>
      <c r="G800" s="89" t="n">
        <v>0</v>
      </c>
      <c r="H800" s="110" t="inlineStr">
        <is>
          <t>Vendas instaladas</t>
        </is>
      </c>
    </row>
    <row r="801" ht="15" customHeight="1" s="64">
      <c r="A801" s="110" t="inlineStr">
        <is>
          <t>JULHO/2026</t>
        </is>
      </c>
      <c r="B801" s="110" t="inlineStr">
        <is>
          <t>Comercial</t>
        </is>
      </c>
      <c r="C801" s="110" t="inlineStr">
        <is>
          <t>Consultas e análises de crédito</t>
        </is>
      </c>
      <c r="D801" s="110" t="inlineStr">
        <is>
          <t>Soares e Silva</t>
        </is>
      </c>
      <c r="E801" s="129" t="n">
        <v>669</v>
      </c>
      <c r="F801" s="89" t="n">
        <v>1.86</v>
      </c>
      <c r="G801" s="89" t="n">
        <v>1244.34</v>
      </c>
      <c r="H801" s="110" t="inlineStr">
        <is>
          <t>Vendas cadastradas e consultadas pelo argos</t>
        </is>
      </c>
    </row>
    <row r="802" ht="15" customHeight="1" s="64">
      <c r="A802" s="110" t="inlineStr">
        <is>
          <t>JULHO/2026</t>
        </is>
      </c>
      <c r="B802" s="110" t="inlineStr">
        <is>
          <t>Comercial</t>
        </is>
      </c>
      <c r="C802" s="110" t="inlineStr">
        <is>
          <t>Despesa do coordenador TIAGO, pela gestão da equipe</t>
        </is>
      </c>
      <c r="D802" s="110" t="inlineStr">
        <is>
          <t>Soares e Silva</t>
        </is>
      </c>
      <c r="E802" s="129" t="n">
        <v>1</v>
      </c>
      <c r="F802" s="89" t="n">
        <v>173.46</v>
      </c>
      <c r="G802" s="89" t="n">
        <v>173.46</v>
      </c>
      <c r="H802" s="110" t="inlineStr">
        <is>
          <t>Despesa com combustÍvel e utilização de veÍculo dx2</t>
        </is>
      </c>
    </row>
    <row r="803" ht="15" customHeight="1" s="64">
      <c r="A803" s="110" t="inlineStr">
        <is>
          <t>JULHO/2026</t>
        </is>
      </c>
      <c r="B803" s="110" t="inlineStr">
        <is>
          <t>Comercial</t>
        </is>
      </c>
      <c r="C803" s="110" t="inlineStr">
        <is>
          <t>Despesa do coordenador TIAGO, pela gestão da equipe</t>
        </is>
      </c>
      <c r="D803" s="110" t="inlineStr">
        <is>
          <t>Soares e Silva</t>
        </is>
      </c>
      <c r="E803" s="129" t="n">
        <v>65</v>
      </c>
      <c r="F803" s="89" t="n">
        <v>21.95</v>
      </c>
      <c r="G803" s="89" t="n">
        <v>1426.75</v>
      </c>
      <c r="H803" s="110" t="inlineStr">
        <is>
          <t>Despesa trabalhista e pela quantidade de vendas</t>
        </is>
      </c>
    </row>
    <row r="804" ht="15" customHeight="1" s="64">
      <c r="A804" s="110" t="inlineStr">
        <is>
          <t>JULHO/2026</t>
        </is>
      </c>
      <c r="B804" s="110" t="inlineStr">
        <is>
          <t>Comercial</t>
        </is>
      </c>
      <c r="C804" s="110" t="inlineStr">
        <is>
          <t>Vendas da equipe Dtel porta a porta p/ Soares e silva</t>
        </is>
      </c>
      <c r="D804" s="110" t="inlineStr">
        <is>
          <t>Soares e Silva</t>
        </is>
      </c>
      <c r="E804" s="129" t="n">
        <v>1</v>
      </c>
      <c r="F804" s="89" t="n">
        <v>221.785743509048</v>
      </c>
      <c r="G804" s="89" t="n">
        <v>221.785743509048</v>
      </c>
      <c r="H804" s="110" t="inlineStr">
        <is>
          <t>Vendas comercial varejo.xlsx (junho/2026)</t>
        </is>
      </c>
    </row>
    <row r="805" ht="15" customHeight="1" s="64">
      <c r="A805" s="110" t="inlineStr">
        <is>
          <t>JULHO/2026</t>
        </is>
      </c>
      <c r="B805" s="110" t="inlineStr">
        <is>
          <t>Comercial</t>
        </is>
      </c>
      <c r="C805" s="110" t="inlineStr">
        <is>
          <t>Vendas da equipe H&amp;A para Soares e Silva</t>
        </is>
      </c>
      <c r="D805" s="110" t="inlineStr">
        <is>
          <t>Soares e Silva</t>
        </is>
      </c>
      <c r="E805" s="129" t="n">
        <v>2</v>
      </c>
      <c r="F805" s="89" t="n">
        <v>221.785743509048</v>
      </c>
      <c r="G805" s="89" t="n">
        <v>443.571487018096</v>
      </c>
      <c r="H805" s="110" t="inlineStr">
        <is>
          <t>Vendas comercial varejo.xlsx (junho/2026)</t>
        </is>
      </c>
    </row>
    <row r="806" ht="15" customHeight="1" s="64">
      <c r="A806" s="110" t="inlineStr">
        <is>
          <t>JULHO/2026</t>
        </is>
      </c>
      <c r="B806" s="110" t="inlineStr">
        <is>
          <t>Comercial</t>
        </is>
      </c>
      <c r="C806" s="110" t="inlineStr">
        <is>
          <t>Vendas da equipe Soares e Silva p/ DTEL</t>
        </is>
      </c>
      <c r="D806" s="110" t="inlineStr">
        <is>
          <t>Soares e Silva</t>
        </is>
      </c>
      <c r="E806" s="129" t="n">
        <v>0</v>
      </c>
      <c r="F806" s="89" t="n">
        <v>0</v>
      </c>
      <c r="G806" s="89" t="n">
        <v>0</v>
      </c>
    </row>
    <row r="807" ht="15" customHeight="1" s="64">
      <c r="A807" s="110" t="inlineStr">
        <is>
          <t>JULHO/2026</t>
        </is>
      </c>
      <c r="B807" s="110" t="inlineStr">
        <is>
          <t>Comercial</t>
        </is>
      </c>
      <c r="C807" s="110" t="inlineStr">
        <is>
          <t>Vendas da equipe voicenet porta a porta p/ Soares e silva</t>
        </is>
      </c>
      <c r="D807" s="110" t="inlineStr">
        <is>
          <t>Soares e Silva</t>
        </is>
      </c>
      <c r="E807" s="129" t="n">
        <v>0</v>
      </c>
      <c r="F807" s="89" t="n">
        <v>0</v>
      </c>
      <c r="G807" s="89" t="n">
        <v>0</v>
      </c>
      <c r="H807" s="110" t="inlineStr">
        <is>
          <t>Vendas comercial varejo.xlsx (junho/2026)</t>
        </is>
      </c>
    </row>
    <row r="808" ht="15" customHeight="1" s="64">
      <c r="A808" s="110" t="inlineStr">
        <is>
          <t>JULHO/2026</t>
        </is>
      </c>
      <c r="B808" s="110" t="inlineStr">
        <is>
          <t>Comercial</t>
        </is>
      </c>
      <c r="C808" s="110" t="inlineStr">
        <is>
          <t>Consultas e análises de crédito</t>
        </is>
      </c>
      <c r="D808" s="110" t="inlineStr">
        <is>
          <t>Solon Araújo</t>
        </is>
      </c>
      <c r="E808" s="129" t="n">
        <v>510</v>
      </c>
      <c r="F808" s="89" t="n">
        <v>1.86</v>
      </c>
      <c r="G808" s="89" t="n">
        <v>948.6</v>
      </c>
      <c r="H808" s="110" t="inlineStr">
        <is>
          <t>Vendas cadastradas e consultadas pelo argos</t>
        </is>
      </c>
    </row>
    <row r="809" ht="15" customHeight="1" s="64">
      <c r="A809" s="110" t="inlineStr">
        <is>
          <t>JULHO/2026</t>
        </is>
      </c>
      <c r="B809" s="110" t="inlineStr">
        <is>
          <t>Comercial</t>
        </is>
      </c>
      <c r="C809" s="110" t="inlineStr">
        <is>
          <t>Despesa do coordenador TARCIZIO, pela gestão da equipe</t>
        </is>
      </c>
      <c r="D809" s="110" t="inlineStr">
        <is>
          <t>Solon Araújo</t>
        </is>
      </c>
      <c r="E809" s="129" t="n">
        <v>1</v>
      </c>
      <c r="F809" s="89" t="n">
        <v>542</v>
      </c>
      <c r="G809" s="89" t="n">
        <v>542</v>
      </c>
      <c r="H809" s="110" t="inlineStr">
        <is>
          <t>Despesa com combustivel e utilização carro dtel</t>
        </is>
      </c>
    </row>
    <row r="810" ht="15" customHeight="1" s="64">
      <c r="A810" s="110" t="inlineStr">
        <is>
          <t>JULHO/2026</t>
        </is>
      </c>
      <c r="B810" s="110" t="inlineStr">
        <is>
          <t>Comercial</t>
        </is>
      </c>
      <c r="C810" s="110" t="inlineStr">
        <is>
          <t>Despesa do coordenador TARCIZIO, pela gestão da equipe</t>
        </is>
      </c>
      <c r="D810" s="110" t="inlineStr">
        <is>
          <t>Solon Araújo</t>
        </is>
      </c>
      <c r="E810" s="129" t="n">
        <v>0</v>
      </c>
      <c r="F810" s="89" t="n">
        <v>0</v>
      </c>
      <c r="G810" s="89" t="n">
        <v>0</v>
      </c>
      <c r="H810" s="110" t="inlineStr">
        <is>
          <t>Despesa trabalhista dividida pela quantidade de vendas</t>
        </is>
      </c>
    </row>
    <row r="811" ht="15" customHeight="1" s="64">
      <c r="A811" s="110" t="inlineStr">
        <is>
          <t>JULHO/2026</t>
        </is>
      </c>
      <c r="B811" s="110" t="inlineStr">
        <is>
          <t>Comercial</t>
        </is>
      </c>
      <c r="C811" s="110" t="inlineStr">
        <is>
          <t>Vendas da equipe Dtel porta a porta</t>
        </is>
      </c>
      <c r="D811" s="110" t="inlineStr">
        <is>
          <t>Solon Araújo</t>
        </is>
      </c>
      <c r="E811" s="129" t="n">
        <v>6</v>
      </c>
      <c r="F811" s="89" t="n">
        <v>221.785743509048</v>
      </c>
      <c r="G811" s="89" t="n">
        <v>1330.71446105429</v>
      </c>
      <c r="H811" s="110" t="inlineStr">
        <is>
          <t>Vendas comercial varejo.xlsx (junho/2026)</t>
        </is>
      </c>
    </row>
    <row r="812" ht="15" customHeight="1" s="64">
      <c r="A812" s="110" t="inlineStr">
        <is>
          <t>JULHO/2026</t>
        </is>
      </c>
      <c r="B812" s="110" t="inlineStr">
        <is>
          <t>Comercial</t>
        </is>
      </c>
      <c r="C812" s="110" t="inlineStr">
        <is>
          <t>Vendas da equipe Voicenet p/ Solon</t>
        </is>
      </c>
      <c r="D812" s="110" t="inlineStr">
        <is>
          <t>Solon Araújo</t>
        </is>
      </c>
      <c r="E812" s="129" t="n">
        <v>0</v>
      </c>
      <c r="F812" s="89" t="n">
        <v>0</v>
      </c>
      <c r="G812" s="89" t="n">
        <v>0</v>
      </c>
      <c r="H812" s="110" t="inlineStr">
        <is>
          <t>Vendas instaladas</t>
        </is>
      </c>
    </row>
    <row r="813" ht="15" customHeight="1" s="64">
      <c r="A813" s="110" t="inlineStr">
        <is>
          <t>JULHO/2026</t>
        </is>
      </c>
      <c r="B813" s="110" t="inlineStr">
        <is>
          <t>Comercial</t>
        </is>
      </c>
      <c r="C813" s="110" t="inlineStr">
        <is>
          <t>Vendas da equipe da soares e lins para Solon</t>
        </is>
      </c>
      <c r="D813" s="110" t="inlineStr">
        <is>
          <t>Solon Araújo</t>
        </is>
      </c>
      <c r="E813" s="129" t="n">
        <v>0</v>
      </c>
      <c r="F813" s="89" t="n">
        <v>0</v>
      </c>
      <c r="G813" s="89" t="n">
        <v>0</v>
      </c>
      <c r="H813" s="110" t="inlineStr">
        <is>
          <t>Vendas instaladas</t>
        </is>
      </c>
    </row>
    <row r="814" ht="15" customHeight="1" s="64">
      <c r="A814" s="110" t="inlineStr">
        <is>
          <t>JULHO/2026</t>
        </is>
      </c>
      <c r="B814" s="110" t="inlineStr">
        <is>
          <t>Comercial</t>
        </is>
      </c>
      <c r="C814" s="110" t="inlineStr">
        <is>
          <t>Vendas da equipe solon p/ Dtel</t>
        </is>
      </c>
      <c r="D814" s="110" t="inlineStr">
        <is>
          <t>Solon Araújo</t>
        </is>
      </c>
      <c r="E814" s="129" t="n">
        <v>0</v>
      </c>
      <c r="F814" s="89" t="n">
        <v>0</v>
      </c>
      <c r="G814" s="89" t="n">
        <v>0</v>
      </c>
      <c r="H814" s="110" t="inlineStr">
        <is>
          <t>Vendas instaladas</t>
        </is>
      </c>
    </row>
    <row r="815" ht="15" customHeight="1" s="64">
      <c r="A815" s="110" t="inlineStr">
        <is>
          <t>JULHO/2026</t>
        </is>
      </c>
      <c r="B815" s="110" t="inlineStr">
        <is>
          <t>Comercial</t>
        </is>
      </c>
      <c r="C815" s="110" t="inlineStr">
        <is>
          <t>Consultas e análises de crédito</t>
        </is>
      </c>
      <c r="D815" s="110" t="inlineStr">
        <is>
          <t>Souza e Silva</t>
        </is>
      </c>
      <c r="E815" s="129" t="n">
        <v>154</v>
      </c>
      <c r="F815" s="89" t="n">
        <v>1.86</v>
      </c>
      <c r="G815" s="89" t="n">
        <v>286.44</v>
      </c>
      <c r="H815" s="110" t="inlineStr">
        <is>
          <t>Vendas cadastradas e consultadas pelo argos</t>
        </is>
      </c>
    </row>
    <row r="816" ht="15" customHeight="1" s="64">
      <c r="A816" s="110" t="inlineStr">
        <is>
          <t>JULHO/2026</t>
        </is>
      </c>
      <c r="B816" s="110" t="inlineStr">
        <is>
          <t>Comercial</t>
        </is>
      </c>
      <c r="C816" s="110" t="inlineStr">
        <is>
          <t>Despesa do coordenador TARCIZIO, pela gestão da equipe</t>
        </is>
      </c>
      <c r="D816" s="110" t="inlineStr">
        <is>
          <t>Souza e Silva</t>
        </is>
      </c>
      <c r="E816" s="129" t="n">
        <v>1</v>
      </c>
      <c r="F816" s="89" t="n">
        <v>729</v>
      </c>
      <c r="G816" s="89" t="n">
        <v>729</v>
      </c>
      <c r="H816" s="110" t="inlineStr">
        <is>
          <t>Despesa com combustível e utilização carro dtel</t>
        </is>
      </c>
    </row>
    <row r="817" ht="15" customHeight="1" s="64">
      <c r="A817" s="110" t="inlineStr">
        <is>
          <t>JULHO/2026</t>
        </is>
      </c>
      <c r="B817" s="110" t="inlineStr">
        <is>
          <t>Comercial</t>
        </is>
      </c>
      <c r="C817" s="110" t="inlineStr">
        <is>
          <t>Despesa do coordenador TARCIZIO, pela gestão da equipe</t>
        </is>
      </c>
      <c r="D817" s="110" t="inlineStr">
        <is>
          <t>Souza e Silva</t>
        </is>
      </c>
      <c r="E817" s="129" t="n">
        <v>35</v>
      </c>
      <c r="F817" s="89" t="n">
        <v>18.52</v>
      </c>
      <c r="G817" s="89" t="n">
        <v>648.2</v>
      </c>
      <c r="H817" s="110" t="inlineStr">
        <is>
          <t>Despesa trabalhista dividida pela quantidade de vendas</t>
        </is>
      </c>
    </row>
    <row r="818" ht="15" customHeight="1" s="64">
      <c r="A818" s="110" t="inlineStr">
        <is>
          <t>JULHO/2026</t>
        </is>
      </c>
      <c r="B818" s="110" t="inlineStr">
        <is>
          <t>Comercial</t>
        </is>
      </c>
      <c r="C818" s="110" t="inlineStr">
        <is>
          <t>Vendas da equipe Dtel porta a porta</t>
        </is>
      </c>
      <c r="D818" s="110" t="inlineStr">
        <is>
          <t>Souza e Silva</t>
        </is>
      </c>
      <c r="E818" s="129" t="n">
        <v>0</v>
      </c>
      <c r="F818" s="89" t="n">
        <v>0</v>
      </c>
      <c r="G818" s="89" t="n">
        <v>0</v>
      </c>
      <c r="H818" s="110" t="inlineStr">
        <is>
          <t>Vendas instaladas</t>
        </is>
      </c>
    </row>
    <row r="819" ht="15" customHeight="1" s="64">
      <c r="A819" s="110" t="inlineStr">
        <is>
          <t>JULHO/2026</t>
        </is>
      </c>
      <c r="B819" s="110" t="inlineStr">
        <is>
          <t>Comercial</t>
        </is>
      </c>
      <c r="C819" s="110" t="inlineStr">
        <is>
          <t>Vendas da equipe Souza e silva p/ DTEL</t>
        </is>
      </c>
      <c r="D819" s="110" t="inlineStr">
        <is>
          <t>Souza e Silva</t>
        </is>
      </c>
      <c r="E819" s="129" t="n">
        <v>-1</v>
      </c>
      <c r="F819" s="89" t="n">
        <v>519.806923076923</v>
      </c>
      <c r="G819" s="89" t="n">
        <v>-519.806923076923</v>
      </c>
      <c r="H819" s="110" t="inlineStr">
        <is>
          <t>Vendas comercial varejo.xlsx (junho/2026)</t>
        </is>
      </c>
    </row>
    <row r="820" ht="15" customHeight="1" s="64">
      <c r="A820" s="110" t="inlineStr">
        <is>
          <t>JULHO/2026</t>
        </is>
      </c>
      <c r="B820" s="110" t="inlineStr">
        <is>
          <t>Comercial</t>
        </is>
      </c>
      <c r="C820" s="110" t="inlineStr">
        <is>
          <t>Comissão de manutenção da Totum</t>
        </is>
      </c>
      <c r="D820" s="110" t="inlineStr">
        <is>
          <t>Voicenet</t>
        </is>
      </c>
      <c r="E820" s="129" t="n">
        <v>1</v>
      </c>
      <c r="F820" s="89" t="n">
        <v>25.5</v>
      </c>
      <c r="G820" s="89" t="n">
        <v>25.5</v>
      </c>
      <c r="H820" s="110" t="inlineStr">
        <is>
          <t>Conselho regional de farmacia do estado de PE</t>
        </is>
      </c>
    </row>
    <row r="821" ht="15" customHeight="1" s="64">
      <c r="A821" s="110" t="inlineStr">
        <is>
          <t>JULHO/2026</t>
        </is>
      </c>
      <c r="B821" s="110" t="inlineStr">
        <is>
          <t>Comercial</t>
        </is>
      </c>
      <c r="C821" s="110" t="inlineStr">
        <is>
          <t>Consultas e análises de crédito</t>
        </is>
      </c>
      <c r="D821" s="110" t="inlineStr">
        <is>
          <t>Voicenet</t>
        </is>
      </c>
      <c r="E821" s="129" t="n">
        <v>268</v>
      </c>
      <c r="F821" s="89" t="n">
        <v>1.86</v>
      </c>
      <c r="G821" s="89" t="n">
        <v>498.48</v>
      </c>
      <c r="H821" s="110" t="inlineStr">
        <is>
          <t>Vendas cadastradas e consultadas pelo argos</t>
        </is>
      </c>
    </row>
    <row r="822" ht="15" customHeight="1" s="64">
      <c r="A822" s="110" t="inlineStr">
        <is>
          <t>JULHO/2026</t>
        </is>
      </c>
      <c r="B822" s="110" t="inlineStr">
        <is>
          <t>Comercial</t>
        </is>
      </c>
      <c r="C822" s="110" t="inlineStr">
        <is>
          <t>Vendas da equipe Dtel porta a porta</t>
        </is>
      </c>
      <c r="D822" s="110" t="inlineStr">
        <is>
          <t>Voicenet</t>
        </is>
      </c>
      <c r="E822" s="129" t="n">
        <v>5</v>
      </c>
      <c r="F822" s="89" t="n">
        <v>221.785743509048</v>
      </c>
      <c r="G822" s="89" t="n">
        <v>1108.92871754524</v>
      </c>
      <c r="H822" s="110" t="inlineStr">
        <is>
          <t>Vendas comercial varejo</t>
        </is>
      </c>
    </row>
    <row r="823" ht="15" customHeight="1" s="64">
      <c r="A823" s="110" t="inlineStr">
        <is>
          <t>JULHO/2026</t>
        </is>
      </c>
      <c r="B823" s="110" t="inlineStr">
        <is>
          <t>Comercial</t>
        </is>
      </c>
      <c r="C823" s="110" t="inlineStr">
        <is>
          <t>Vendas da equipe H&amp;A p/ voice</t>
        </is>
      </c>
      <c r="D823" s="110" t="inlineStr">
        <is>
          <t>Voicenet</t>
        </is>
      </c>
      <c r="E823" s="129" t="n">
        <v>0</v>
      </c>
      <c r="F823" s="89" t="n">
        <v>0</v>
      </c>
      <c r="G823" s="89" t="n">
        <v>0</v>
      </c>
    </row>
    <row r="824" ht="15" customHeight="1" s="64">
      <c r="A824" s="110" t="inlineStr">
        <is>
          <t>JULHO/2026</t>
        </is>
      </c>
      <c r="B824" s="110" t="inlineStr">
        <is>
          <t>Comercial</t>
        </is>
      </c>
      <c r="C824" s="110" t="inlineStr">
        <is>
          <t>Vendas da equipe Voicenet para Dtel</t>
        </is>
      </c>
      <c r="D824" s="110" t="inlineStr">
        <is>
          <t>Voicenet</t>
        </is>
      </c>
      <c r="E824" s="129" t="n">
        <v>-8</v>
      </c>
      <c r="F824" s="89" t="n">
        <v>289.27</v>
      </c>
      <c r="G824" s="89" t="n">
        <v>-2314.16</v>
      </c>
      <c r="H824" s="110" t="inlineStr">
        <is>
          <t>Vendas comercial varejo.xlsx (junho/2026)</t>
        </is>
      </c>
    </row>
    <row r="825" ht="15" customHeight="1" s="64">
      <c r="A825" s="110" t="inlineStr">
        <is>
          <t>JULHO/2026</t>
        </is>
      </c>
      <c r="B825" s="110" t="inlineStr">
        <is>
          <t>Comercial</t>
        </is>
      </c>
      <c r="C825" s="110" t="inlineStr">
        <is>
          <t>Vendas da equipe da Voicenet para soares e silva</t>
        </is>
      </c>
      <c r="D825" s="110" t="inlineStr">
        <is>
          <t>Voicenet</t>
        </is>
      </c>
      <c r="E825" s="129" t="n">
        <v>0</v>
      </c>
      <c r="F825" s="89" t="n">
        <v>0</v>
      </c>
      <c r="G825" s="89" t="n">
        <v>0</v>
      </c>
      <c r="H825" s="110" t="inlineStr">
        <is>
          <t>Vendas instaladas</t>
        </is>
      </c>
    </row>
    <row r="826" ht="15" customHeight="1" s="64">
      <c r="A826" s="110" t="inlineStr">
        <is>
          <t>JULHO/2026</t>
        </is>
      </c>
      <c r="B826" s="110" t="inlineStr">
        <is>
          <t>Comercial</t>
        </is>
      </c>
      <c r="C826" s="110" t="inlineStr">
        <is>
          <t>Vendas da equipe voicenet p/ Solon</t>
        </is>
      </c>
      <c r="D826" s="110" t="inlineStr">
        <is>
          <t>Voicenet</t>
        </is>
      </c>
      <c r="E826" s="129" t="n">
        <v>0</v>
      </c>
      <c r="F826" s="89" t="n">
        <v>0</v>
      </c>
      <c r="G826" s="89" t="n">
        <v>0</v>
      </c>
    </row>
    <row r="827" ht="15" customHeight="1" s="64">
      <c r="A827" s="110" t="inlineStr">
        <is>
          <t>JULHO/2026</t>
        </is>
      </c>
      <c r="B827" s="110" t="inlineStr">
        <is>
          <t>Configuração</t>
        </is>
      </c>
      <c r="C827" s="110" t="inlineStr">
        <is>
          <t>Serviços de configuração e suporte ao Técnico</t>
        </is>
      </c>
      <c r="D827" s="110" t="inlineStr">
        <is>
          <t>DX2</t>
        </is>
      </c>
      <c r="E827" s="129" t="n">
        <v>6588</v>
      </c>
      <c r="F827" s="89" t="n">
        <v>0.2</v>
      </c>
      <c r="G827" s="89" t="n">
        <v>1317.6</v>
      </c>
      <c r="H827" s="110" t="inlineStr">
        <is>
          <t>Cálculo por número de clientes ativos</t>
        </is>
      </c>
    </row>
    <row r="828" ht="15" customHeight="1" s="64">
      <c r="A828" s="110" t="inlineStr">
        <is>
          <t>JULHO/2026</t>
        </is>
      </c>
      <c r="B828" s="110" t="inlineStr">
        <is>
          <t>Configuração</t>
        </is>
      </c>
      <c r="C828" s="110" t="inlineStr">
        <is>
          <t>Serviços de configuração e suporte ao Técnico</t>
        </is>
      </c>
      <c r="D828" s="110" t="inlineStr">
        <is>
          <t>H&amp;A</t>
        </is>
      </c>
      <c r="E828" s="129" t="n">
        <v>13530</v>
      </c>
      <c r="F828" s="89" t="n">
        <v>0.2</v>
      </c>
      <c r="G828" s="89" t="n">
        <v>2706</v>
      </c>
      <c r="H828" s="110" t="inlineStr">
        <is>
          <t>Cálculo por número de clientes ativos</t>
        </is>
      </c>
    </row>
    <row r="829" ht="15" customHeight="1" s="64">
      <c r="A829" s="110" t="inlineStr">
        <is>
          <t>JULHO/2026</t>
        </is>
      </c>
      <c r="B829" s="110" t="inlineStr">
        <is>
          <t>Configuração</t>
        </is>
      </c>
      <c r="C829" s="110" t="inlineStr">
        <is>
          <t>Serviços de configuração e suporte ao Técnico</t>
        </is>
      </c>
      <c r="D829" s="110" t="inlineStr">
        <is>
          <t>Soares e Lins</t>
        </is>
      </c>
      <c r="E829" s="129" t="n">
        <v>3765</v>
      </c>
      <c r="F829" s="89" t="n">
        <v>0.2</v>
      </c>
      <c r="G829" s="89" t="n">
        <v>753</v>
      </c>
      <c r="H829" s="110" t="inlineStr">
        <is>
          <t>Cálculo por número de clientes ativos</t>
        </is>
      </c>
    </row>
    <row r="830" ht="15" customHeight="1" s="64">
      <c r="A830" s="110" t="inlineStr">
        <is>
          <t>JULHO/2026</t>
        </is>
      </c>
      <c r="B830" s="110" t="inlineStr">
        <is>
          <t>Configuração</t>
        </is>
      </c>
      <c r="C830" s="110" t="inlineStr">
        <is>
          <t>Serviços de configuração e suporte ao Técnico</t>
        </is>
      </c>
      <c r="D830" s="110" t="inlineStr">
        <is>
          <t>Soares e Silva</t>
        </is>
      </c>
      <c r="E830" s="129" t="n">
        <v>6568</v>
      </c>
      <c r="F830" s="89" t="n">
        <v>0.2</v>
      </c>
      <c r="G830" s="89" t="n">
        <v>1313.6</v>
      </c>
      <c r="H830" s="110" t="inlineStr">
        <is>
          <t>Cálculo por número de clientes ativos</t>
        </is>
      </c>
    </row>
    <row r="831" ht="15" customHeight="1" s="64">
      <c r="A831" s="110" t="inlineStr">
        <is>
          <t>JULHO/2026</t>
        </is>
      </c>
      <c r="B831" s="110" t="inlineStr">
        <is>
          <t>Configuração</t>
        </is>
      </c>
      <c r="C831" s="110" t="inlineStr">
        <is>
          <t>Serviços de configuração e suporte ao Técnico</t>
        </is>
      </c>
      <c r="D831" s="110" t="inlineStr">
        <is>
          <t>Solon Araújo</t>
        </is>
      </c>
      <c r="E831" s="129" t="n">
        <v>14689</v>
      </c>
      <c r="F831" s="89" t="n">
        <v>0.2</v>
      </c>
      <c r="G831" s="89" t="n">
        <v>2937.8</v>
      </c>
      <c r="H831" s="110" t="inlineStr">
        <is>
          <t>Cálculo por número de clientes ativos</t>
        </is>
      </c>
    </row>
    <row r="832" ht="15" customHeight="1" s="64">
      <c r="A832" s="110" t="inlineStr">
        <is>
          <t>JULHO/2026</t>
        </is>
      </c>
      <c r="B832" s="110" t="inlineStr">
        <is>
          <t>Configuração</t>
        </is>
      </c>
      <c r="C832" s="110" t="inlineStr">
        <is>
          <t>Serviços de configuração e suporte ao Técnico</t>
        </is>
      </c>
      <c r="D832" s="110" t="inlineStr">
        <is>
          <t>Souza e Silva</t>
        </is>
      </c>
      <c r="E832" s="129" t="n">
        <v>4805</v>
      </c>
      <c r="F832" s="89" t="n">
        <v>0.2</v>
      </c>
      <c r="G832" s="89" t="n">
        <v>961</v>
      </c>
      <c r="H832" s="110" t="inlineStr">
        <is>
          <t>Cálculo por número de clientes ativos</t>
        </is>
      </c>
    </row>
    <row r="833" ht="15" customHeight="1" s="64">
      <c r="A833" s="110" t="inlineStr">
        <is>
          <t>JULHO/2026</t>
        </is>
      </c>
      <c r="B833" s="110" t="inlineStr">
        <is>
          <t>Configuração</t>
        </is>
      </c>
      <c r="C833" s="110" t="inlineStr">
        <is>
          <t>Serviços de configuração e suporte ao Técnico</t>
        </is>
      </c>
      <c r="D833" s="110" t="inlineStr">
        <is>
          <t>Voicenet</t>
        </is>
      </c>
      <c r="E833" s="129" t="n">
        <v>4806</v>
      </c>
      <c r="F833" s="89" t="n">
        <v>0.2</v>
      </c>
      <c r="G833" s="89" t="n">
        <v>961.2</v>
      </c>
      <c r="H833" s="110" t="inlineStr">
        <is>
          <t>Cálculo por número de clientes ativos</t>
        </is>
      </c>
    </row>
    <row r="834" ht="15" customHeight="1" s="64">
      <c r="A834" s="110" t="inlineStr">
        <is>
          <t>JULHO/2026</t>
        </is>
      </c>
      <c r="B834" s="110" t="inlineStr">
        <is>
          <t>Desenvolvimento</t>
        </is>
      </c>
      <c r="C834" s="110" t="inlineStr">
        <is>
          <t>Setor de Desenvolvimento</t>
        </is>
      </c>
      <c r="D834" s="110" t="inlineStr">
        <is>
          <t>H&amp;A</t>
        </is>
      </c>
      <c r="E834" s="129" t="n">
        <v>13530</v>
      </c>
      <c r="F834" s="89" t="n">
        <v>0.101057218436555</v>
      </c>
      <c r="G834" s="89" t="n">
        <v>1367.304165</v>
      </c>
      <c r="H834" s="110" t="inlineStr">
        <is>
          <t>Cálculo por número de clientes ativos</t>
        </is>
      </c>
    </row>
    <row r="835" ht="15" customHeight="1" s="64">
      <c r="A835" s="110" t="inlineStr">
        <is>
          <t>JULHO/2026</t>
        </is>
      </c>
      <c r="B835" s="110" t="inlineStr">
        <is>
          <t>Engenharia</t>
        </is>
      </c>
      <c r="C835" s="110" t="inlineStr">
        <is>
          <t>Uso mútuo de Postes</t>
        </is>
      </c>
      <c r="D835" s="110" t="inlineStr">
        <is>
          <t>DX2</t>
        </is>
      </c>
      <c r="E835" s="129" t="n">
        <v>1579</v>
      </c>
      <c r="F835" s="89" t="n">
        <v>7.19</v>
      </c>
      <c r="G835" s="89" t="n">
        <v>11353.01</v>
      </c>
      <c r="H835" s="110" t="inlineStr">
        <is>
          <t>Contrato das empresas que está em nome da Dtel</t>
        </is>
      </c>
    </row>
    <row r="836" ht="15" customHeight="1" s="64">
      <c r="A836" s="110" t="inlineStr">
        <is>
          <t>JULHO/2026</t>
        </is>
      </c>
      <c r="B836" s="110" t="inlineStr">
        <is>
          <t>Engenharia</t>
        </is>
      </c>
      <c r="C836" s="110" t="inlineStr">
        <is>
          <t>Uso mútuo de Postes</t>
        </is>
      </c>
      <c r="D836" s="110" t="inlineStr">
        <is>
          <t>Soares e Lins</t>
        </is>
      </c>
      <c r="E836" s="129" t="n">
        <v>469</v>
      </c>
      <c r="F836" s="89" t="n">
        <v>7.19</v>
      </c>
      <c r="G836" s="89" t="n">
        <v>3372.11</v>
      </c>
      <c r="H836" s="110" t="inlineStr">
        <is>
          <t>Contrato das empresas que está em nome da Dtel</t>
        </is>
      </c>
    </row>
    <row r="837" ht="15" customHeight="1" s="64">
      <c r="A837" s="110" t="inlineStr">
        <is>
          <t>JULHO/2026</t>
        </is>
      </c>
      <c r="B837" s="110" t="inlineStr">
        <is>
          <t>Engenharia</t>
        </is>
      </c>
      <c r="C837" s="110" t="inlineStr">
        <is>
          <t>Uso mútuo de Postes</t>
        </is>
      </c>
      <c r="D837" s="110" t="inlineStr">
        <is>
          <t>Soares e Silva</t>
        </is>
      </c>
      <c r="E837" s="129" t="n">
        <v>727</v>
      </c>
      <c r="F837" s="89" t="n">
        <v>7.20444291609354</v>
      </c>
      <c r="G837" s="89" t="n">
        <v>5237.63</v>
      </c>
      <c r="H837" s="110" t="inlineStr">
        <is>
          <t>Contrato das empresas que está em nome da Dtel</t>
        </is>
      </c>
    </row>
    <row r="838" ht="15" customHeight="1" s="64">
      <c r="A838" s="110" t="inlineStr">
        <is>
          <t>JULHO/2026</t>
        </is>
      </c>
      <c r="B838" s="110" t="inlineStr">
        <is>
          <t>Engenharia</t>
        </is>
      </c>
      <c r="C838" s="110" t="inlineStr">
        <is>
          <t>Uso mútuo de Postes</t>
        </is>
      </c>
      <c r="D838" s="110" t="inlineStr">
        <is>
          <t>Solon Araújo</t>
        </is>
      </c>
      <c r="E838" s="129" t="n">
        <v>2981</v>
      </c>
      <c r="F838" s="89" t="n">
        <v>7.19</v>
      </c>
      <c r="G838" s="89" t="n">
        <v>21433.39</v>
      </c>
      <c r="H838" s="110" t="inlineStr">
        <is>
          <t>Contrato das empresas que está em nome da Dtel</t>
        </is>
      </c>
    </row>
    <row r="839" ht="15" customHeight="1" s="64">
      <c r="A839" s="110" t="inlineStr">
        <is>
          <t>JULHO/2026</t>
        </is>
      </c>
      <c r="B839" s="110" t="inlineStr">
        <is>
          <t>Engenharia</t>
        </is>
      </c>
      <c r="C839" s="110" t="inlineStr">
        <is>
          <t>Uso mútuo de Postes</t>
        </is>
      </c>
      <c r="D839" s="110" t="inlineStr">
        <is>
          <t>Souza e Silva</t>
        </is>
      </c>
      <c r="E839" s="129" t="n">
        <v>2548</v>
      </c>
      <c r="F839" s="89" t="n">
        <v>7.19859497645212</v>
      </c>
      <c r="G839" s="89" t="n">
        <v>18342.02</v>
      </c>
      <c r="H839" s="110" t="inlineStr">
        <is>
          <t>Contrato das empresas que está em nome da Dtel</t>
        </is>
      </c>
    </row>
    <row r="840" ht="15" customHeight="1" s="64">
      <c r="A840" s="110" t="inlineStr">
        <is>
          <t>JULHO/2026</t>
        </is>
      </c>
      <c r="B840" s="110" t="inlineStr">
        <is>
          <t>Engenharia</t>
        </is>
      </c>
      <c r="C840" s="110" t="inlineStr">
        <is>
          <t>Despesas da equipe de Engenharia</t>
        </is>
      </c>
      <c r="D840" s="110" t="inlineStr">
        <is>
          <t>Voicenet</t>
        </is>
      </c>
      <c r="E840" s="129" t="n">
        <v>0</v>
      </c>
      <c r="F840" s="89" t="n">
        <v>0</v>
      </c>
      <c r="G840" s="89" t="n">
        <v>0</v>
      </c>
      <c r="H840" s="110" t="inlineStr">
        <is>
          <t>Combustível, alimentação</t>
        </is>
      </c>
    </row>
    <row r="841" ht="15" customHeight="1" s="64">
      <c r="A841" s="110" t="inlineStr">
        <is>
          <t>JULHO/2026</t>
        </is>
      </c>
      <c r="B841" s="110" t="inlineStr">
        <is>
          <t>Engenharia</t>
        </is>
      </c>
      <c r="C841" s="110" t="inlineStr">
        <is>
          <t>Uso mútuo de Postes</t>
        </is>
      </c>
      <c r="D841" s="110" t="inlineStr">
        <is>
          <t>Voicenet</t>
        </is>
      </c>
      <c r="E841" s="129" t="n">
        <v>1</v>
      </c>
      <c r="F841" s="89" t="n">
        <v>800</v>
      </c>
      <c r="G841" s="89" t="n">
        <v>800</v>
      </c>
      <c r="H841" s="110" t="inlineStr">
        <is>
          <t>Contrato das empresas que está em nome da Dtel</t>
        </is>
      </c>
    </row>
    <row r="842" ht="15" customHeight="1" s="64">
      <c r="A842" s="110" t="inlineStr">
        <is>
          <t>JULHO/2026</t>
        </is>
      </c>
      <c r="B842" s="110" t="inlineStr">
        <is>
          <t>Estoque</t>
        </is>
      </c>
      <c r="C842" s="110" t="inlineStr">
        <is>
          <t>Serviços realizados pelo estoque</t>
        </is>
      </c>
      <c r="D842" s="110" t="inlineStr">
        <is>
          <t>DX2</t>
        </is>
      </c>
      <c r="E842" s="129" t="n">
        <v>0</v>
      </c>
      <c r="F842" s="89" t="n">
        <v>0</v>
      </c>
      <c r="G842" s="89" t="n">
        <v>0</v>
      </c>
      <c r="H842" s="110" t="inlineStr">
        <is>
          <t>Serviços de marcação de equipamentos</t>
        </is>
      </c>
    </row>
    <row r="843" ht="15" customHeight="1" s="64">
      <c r="A843" s="110" t="inlineStr">
        <is>
          <t>JULHO/2026</t>
        </is>
      </c>
      <c r="B843" s="110" t="inlineStr">
        <is>
          <t>Estoque</t>
        </is>
      </c>
      <c r="C843" s="110" t="inlineStr">
        <is>
          <t>Serviços realizados pelo estoque</t>
        </is>
      </c>
      <c r="D843" s="110" t="inlineStr">
        <is>
          <t>Soares e Lins</t>
        </is>
      </c>
      <c r="E843" s="129" t="n">
        <v>0</v>
      </c>
      <c r="F843" s="89" t="n">
        <v>0</v>
      </c>
      <c r="G843" s="89" t="n">
        <v>0</v>
      </c>
      <c r="H843" s="110" t="inlineStr">
        <is>
          <t>Serviços de marcação de equipamentos</t>
        </is>
      </c>
    </row>
    <row r="844" ht="15" customHeight="1" s="64">
      <c r="A844" s="110" t="inlineStr">
        <is>
          <t>JULHO/2026</t>
        </is>
      </c>
      <c r="B844" s="110" t="inlineStr">
        <is>
          <t>Estoque</t>
        </is>
      </c>
      <c r="C844" s="110" t="inlineStr">
        <is>
          <t>Serviços realizados pelo estoque</t>
        </is>
      </c>
      <c r="D844" s="110" t="inlineStr">
        <is>
          <t>Soares e Silva</t>
        </is>
      </c>
      <c r="E844" s="129" t="n">
        <v>0</v>
      </c>
      <c r="F844" s="89" t="n">
        <v>0</v>
      </c>
      <c r="G844" s="89" t="n">
        <v>0</v>
      </c>
      <c r="H844" s="110" t="inlineStr">
        <is>
          <t>Horas trabalhas em serviços realizado da oficina Dtel p/ soares e silva</t>
        </is>
      </c>
    </row>
    <row r="845" ht="15" customHeight="1" s="64">
      <c r="A845" s="110" t="inlineStr">
        <is>
          <t>JULHO/2026</t>
        </is>
      </c>
      <c r="B845" s="110" t="inlineStr">
        <is>
          <t>Estoque</t>
        </is>
      </c>
      <c r="C845" s="110" t="inlineStr">
        <is>
          <t>Serviços realizados pelo estoque</t>
        </is>
      </c>
      <c r="D845" s="110" t="inlineStr">
        <is>
          <t>Soares e Silva</t>
        </is>
      </c>
      <c r="E845" s="129" t="n">
        <v>0</v>
      </c>
      <c r="F845" s="89" t="n">
        <v>0</v>
      </c>
      <c r="G845" s="89" t="n">
        <v>0</v>
      </c>
      <c r="H845" s="110" t="inlineStr">
        <is>
          <t>Serviços de marcação de equipamentos</t>
        </is>
      </c>
    </row>
    <row r="846" ht="15" customHeight="1" s="64">
      <c r="A846" s="110" t="inlineStr">
        <is>
          <t>JULHO/2026</t>
        </is>
      </c>
      <c r="B846" s="110" t="inlineStr">
        <is>
          <t>Estoque</t>
        </is>
      </c>
      <c r="C846" s="110" t="inlineStr">
        <is>
          <t>Serviços realizados pelo estoque</t>
        </is>
      </c>
      <c r="D846" s="110" t="inlineStr">
        <is>
          <t>Solon Araújo</t>
        </is>
      </c>
      <c r="E846" s="129" t="n">
        <v>0</v>
      </c>
      <c r="F846" s="89" t="n">
        <v>0</v>
      </c>
      <c r="G846" s="89" t="n">
        <v>0</v>
      </c>
      <c r="H846" s="110" t="inlineStr">
        <is>
          <t>Horas trabalhas em serviços realizado da oficina Dtel p/ litoral</t>
        </is>
      </c>
    </row>
    <row r="847" ht="15" customHeight="1" s="64">
      <c r="A847" s="110" t="inlineStr">
        <is>
          <t>JULHO/2026</t>
        </is>
      </c>
      <c r="B847" s="110" t="inlineStr">
        <is>
          <t>Estoque</t>
        </is>
      </c>
      <c r="C847" s="110" t="inlineStr">
        <is>
          <t>Serviços realizados pelo estoque</t>
        </is>
      </c>
      <c r="D847" s="110" t="inlineStr">
        <is>
          <t>Solon Araújo</t>
        </is>
      </c>
      <c r="E847" s="129" t="n">
        <v>0</v>
      </c>
      <c r="F847" s="89" t="n">
        <v>0</v>
      </c>
      <c r="G847" s="89" t="n">
        <v>0</v>
      </c>
      <c r="H847" s="110" t="inlineStr">
        <is>
          <t>Serviços de marcação de equipamentos</t>
        </is>
      </c>
    </row>
    <row r="848" ht="15" customHeight="1" s="64">
      <c r="A848" s="110" t="inlineStr">
        <is>
          <t>JULHO/2026</t>
        </is>
      </c>
      <c r="B848" s="110" t="inlineStr">
        <is>
          <t>Estoque</t>
        </is>
      </c>
      <c r="C848" s="110" t="inlineStr">
        <is>
          <t>Serviços realizados pelo estoque</t>
        </is>
      </c>
      <c r="D848" s="110" t="inlineStr">
        <is>
          <t>Souza e Silva</t>
        </is>
      </c>
      <c r="E848" s="129" t="n">
        <v>0</v>
      </c>
      <c r="F848" s="89" t="n">
        <v>0</v>
      </c>
      <c r="G848" s="89" t="n">
        <v>0</v>
      </c>
      <c r="H848" s="110" t="inlineStr">
        <is>
          <t>Serviços de marcação de equipamentos</t>
        </is>
      </c>
    </row>
    <row r="849" ht="15" customHeight="1" s="64">
      <c r="A849" s="110" t="inlineStr">
        <is>
          <t>JULHO/2026</t>
        </is>
      </c>
      <c r="B849" s="110" t="inlineStr">
        <is>
          <t>Estoque</t>
        </is>
      </c>
      <c r="C849" s="110" t="inlineStr">
        <is>
          <t>Serviços realizados pelo estoque</t>
        </is>
      </c>
      <c r="D849" s="110" t="inlineStr">
        <is>
          <t>Voicenet</t>
        </is>
      </c>
      <c r="E849" s="129" t="n">
        <v>0</v>
      </c>
      <c r="F849" s="89" t="n">
        <v>0</v>
      </c>
      <c r="G849" s="89" t="n">
        <v>0</v>
      </c>
      <c r="H849" s="110" t="inlineStr">
        <is>
          <t>Serviços de marcação de equipamentos</t>
        </is>
      </c>
    </row>
    <row r="850" ht="15" customHeight="1" s="64">
      <c r="A850" s="110" t="inlineStr">
        <is>
          <t>JULHO/2026</t>
        </is>
      </c>
      <c r="B850" s="110" t="inlineStr">
        <is>
          <t>Frota</t>
        </is>
      </c>
      <c r="C850" s="110" t="inlineStr">
        <is>
          <t>Abastecimento</t>
        </is>
      </c>
      <c r="D850" s="110" t="inlineStr">
        <is>
          <t>DX2</t>
        </is>
      </c>
      <c r="E850" s="129" t="n">
        <v>0</v>
      </c>
      <c r="F850" s="89" t="n">
        <v>0</v>
      </c>
      <c r="G850" s="89" t="n">
        <v>0</v>
      </c>
      <c r="H850" s="110" t="inlineStr">
        <is>
          <t>Abastecimento da van da dx2 com cartao Dtel</t>
        </is>
      </c>
    </row>
    <row r="851" ht="15" customHeight="1" s="64">
      <c r="A851" s="110" t="inlineStr">
        <is>
          <t>JULHO/2026</t>
        </is>
      </c>
      <c r="B851" s="110" t="inlineStr">
        <is>
          <t>Frota</t>
        </is>
      </c>
      <c r="C851" s="110" t="inlineStr">
        <is>
          <t>Locação de veículos</t>
        </is>
      </c>
      <c r="D851" s="110" t="inlineStr">
        <is>
          <t>DX2</t>
        </is>
      </c>
      <c r="E851" s="129" t="n">
        <v>0</v>
      </c>
      <c r="F851" s="89" t="n">
        <v>0</v>
      </c>
      <c r="G851" s="89" t="n">
        <v>0</v>
      </c>
      <c r="H851" s="110" t="inlineStr">
        <is>
          <t>Veiculos Dtel emprestado para serviços na DX2 (2 carros)</t>
        </is>
      </c>
    </row>
    <row r="852" ht="15" customHeight="1" s="64">
      <c r="A852" s="110" t="inlineStr">
        <is>
          <t>JULHO/2026</t>
        </is>
      </c>
      <c r="B852" s="110" t="inlineStr">
        <is>
          <t>Frota</t>
        </is>
      </c>
      <c r="C852" s="110" t="inlineStr">
        <is>
          <t>Rastreamento veicular</t>
        </is>
      </c>
      <c r="D852" s="110" t="inlineStr">
        <is>
          <t>DX2</t>
        </is>
      </c>
      <c r="E852" s="129" t="n">
        <v>10</v>
      </c>
      <c r="F852" s="89" t="n">
        <v>20</v>
      </c>
      <c r="G852" s="89" t="n">
        <v>200</v>
      </c>
      <c r="H852" s="110" t="inlineStr">
        <is>
          <t>Rastreamento dos veículos</t>
        </is>
      </c>
    </row>
    <row r="853" ht="15" customHeight="1" s="64">
      <c r="A853" s="110" t="inlineStr">
        <is>
          <t>JULHO/2026</t>
        </is>
      </c>
      <c r="B853" s="110" t="inlineStr">
        <is>
          <t>Frota</t>
        </is>
      </c>
      <c r="C853" s="110" t="inlineStr">
        <is>
          <t>Transporte de produtos</t>
        </is>
      </c>
      <c r="D853" s="110" t="inlineStr">
        <is>
          <t>DX2</t>
        </is>
      </c>
      <c r="E853" s="129" t="n">
        <v>1</v>
      </c>
      <c r="F853" s="89" t="n">
        <v>927.6900000000001</v>
      </c>
      <c r="G853" s="89" t="n">
        <v>927.6900000000001</v>
      </c>
      <c r="H853" s="110" t="inlineStr">
        <is>
          <t>Transporte de produtos - Frota.xlsx</t>
        </is>
      </c>
    </row>
    <row r="854" ht="15" customHeight="1" s="64">
      <c r="A854" s="110" t="inlineStr">
        <is>
          <t>JULHO/2026</t>
        </is>
      </c>
      <c r="B854" s="110" t="inlineStr">
        <is>
          <t>Frota</t>
        </is>
      </c>
      <c r="C854" s="110" t="inlineStr">
        <is>
          <t>Troca de Oleo e Filtro</t>
        </is>
      </c>
      <c r="D854" s="110" t="inlineStr">
        <is>
          <t>DX2</t>
        </is>
      </c>
      <c r="E854" s="129" t="n">
        <v>1</v>
      </c>
      <c r="F854" s="89" t="n">
        <v>480</v>
      </c>
      <c r="G854" s="89" t="n">
        <v>480</v>
      </c>
      <c r="H854" s="110" t="inlineStr">
        <is>
          <t>Manutenção veicular</t>
        </is>
      </c>
    </row>
    <row r="855" ht="15" customHeight="1" s="64">
      <c r="A855" s="110" t="inlineStr">
        <is>
          <t>JULHO/2026</t>
        </is>
      </c>
      <c r="B855" s="110" t="inlineStr">
        <is>
          <t>Frota</t>
        </is>
      </c>
      <c r="C855" s="110" t="inlineStr">
        <is>
          <t>Transporte de produtos</t>
        </is>
      </c>
      <c r="D855" s="110" t="inlineStr">
        <is>
          <t>H&amp;A</t>
        </is>
      </c>
      <c r="E855" s="129" t="n">
        <v>0</v>
      </c>
      <c r="F855" s="89" t="n">
        <v>0</v>
      </c>
      <c r="G855" s="89" t="n">
        <v>0</v>
      </c>
      <c r="H855" s="110" t="inlineStr">
        <is>
          <t>Transportes entre CD01 e empresas no rateio da rota</t>
        </is>
      </c>
    </row>
    <row r="856" ht="15" customHeight="1" s="64">
      <c r="A856" s="110" t="inlineStr">
        <is>
          <t>JULHO/2026</t>
        </is>
      </c>
      <c r="B856" s="110" t="inlineStr">
        <is>
          <t>Frota</t>
        </is>
      </c>
      <c r="C856" s="110" t="inlineStr">
        <is>
          <t>Rastreamento veicular</t>
        </is>
      </c>
      <c r="D856" s="110" t="inlineStr">
        <is>
          <t>Soares e Lins</t>
        </is>
      </c>
      <c r="E856" s="129" t="n">
        <v>3</v>
      </c>
      <c r="F856" s="89" t="n">
        <v>20</v>
      </c>
      <c r="G856" s="89" t="n">
        <v>60</v>
      </c>
      <c r="H856" s="110" t="inlineStr">
        <is>
          <t>Rastreamento dos veículos</t>
        </is>
      </c>
    </row>
    <row r="857" ht="15" customHeight="1" s="64">
      <c r="A857" s="110" t="inlineStr">
        <is>
          <t>JULHO/2026</t>
        </is>
      </c>
      <c r="B857" s="110" t="inlineStr">
        <is>
          <t>Frota</t>
        </is>
      </c>
      <c r="C857" s="110" t="inlineStr">
        <is>
          <t>Transporte de produtos</t>
        </is>
      </c>
      <c r="D857" s="110" t="inlineStr">
        <is>
          <t>Soares e Lins</t>
        </is>
      </c>
      <c r="E857" s="129" t="n">
        <v>0</v>
      </c>
      <c r="F857" s="89" t="n">
        <v>0</v>
      </c>
      <c r="G857" s="89" t="n">
        <v>0</v>
      </c>
      <c r="H857" s="110" t="inlineStr">
        <is>
          <t>Transporte de produtos - Frota.xlsx</t>
        </is>
      </c>
    </row>
    <row r="858" ht="15" customHeight="1" s="64">
      <c r="A858" s="110" t="inlineStr">
        <is>
          <t>JULHO/2026</t>
        </is>
      </c>
      <c r="B858" s="110" t="inlineStr">
        <is>
          <t>Frota</t>
        </is>
      </c>
      <c r="C858" s="110" t="inlineStr">
        <is>
          <t>Troca de Oleo e Filtro</t>
        </is>
      </c>
      <c r="D858" s="110" t="inlineStr">
        <is>
          <t>Soares e Lins</t>
        </is>
      </c>
      <c r="E858" s="129" t="n">
        <v>0</v>
      </c>
      <c r="F858" s="89" t="n">
        <v>0</v>
      </c>
      <c r="G858" s="89" t="n">
        <v>0</v>
      </c>
      <c r="H858" s="110" t="inlineStr">
        <is>
          <t>Manutenção veicular</t>
        </is>
      </c>
    </row>
    <row r="859" ht="15" customHeight="1" s="64">
      <c r="A859" s="110" t="inlineStr">
        <is>
          <t>JULHO/2026</t>
        </is>
      </c>
      <c r="B859" s="110" t="inlineStr">
        <is>
          <t>Frota</t>
        </is>
      </c>
      <c r="C859" s="110" t="inlineStr">
        <is>
          <t>Abastecimento</t>
        </is>
      </c>
      <c r="D859" s="110" t="inlineStr">
        <is>
          <t>Soares e Silva</t>
        </is>
      </c>
      <c r="E859" s="129" t="n">
        <v>0</v>
      </c>
      <c r="F859" s="89" t="n">
        <v>0</v>
      </c>
      <c r="G859" s="89" t="n">
        <v>0</v>
      </c>
      <c r="H859" s="110" t="inlineStr">
        <is>
          <t>Abastecimento de 2 veiculos</t>
        </is>
      </c>
    </row>
    <row r="860" ht="15" customHeight="1" s="64">
      <c r="A860" s="110" t="inlineStr">
        <is>
          <t>JULHO/2026</t>
        </is>
      </c>
      <c r="B860" s="110" t="inlineStr">
        <is>
          <t>Frota</t>
        </is>
      </c>
      <c r="C860" s="110" t="inlineStr">
        <is>
          <t>Locação de veículos</t>
        </is>
      </c>
      <c r="D860" s="110" t="inlineStr">
        <is>
          <t>Soares e Silva</t>
        </is>
      </c>
      <c r="E860" s="129" t="n">
        <v>0</v>
      </c>
      <c r="F860" s="89" t="n">
        <v>0</v>
      </c>
      <c r="G860" s="89" t="n">
        <v>0</v>
      </c>
      <c r="H860" s="110" t="inlineStr">
        <is>
          <t>Veiculos Dtel emprestado para serviços 2 carros</t>
        </is>
      </c>
    </row>
    <row r="861" ht="15" customHeight="1" s="64">
      <c r="A861" s="110" t="inlineStr">
        <is>
          <t>JULHO/2026</t>
        </is>
      </c>
      <c r="B861" s="110" t="inlineStr">
        <is>
          <t>Frota</t>
        </is>
      </c>
      <c r="C861" s="110" t="inlineStr">
        <is>
          <t>Rastreamento veicular</t>
        </is>
      </c>
      <c r="D861" s="110" t="inlineStr">
        <is>
          <t>Soares e Silva</t>
        </is>
      </c>
      <c r="E861" s="129" t="n">
        <v>13</v>
      </c>
      <c r="F861" s="89" t="n">
        <v>20</v>
      </c>
      <c r="G861" s="89" t="n">
        <v>260</v>
      </c>
      <c r="H861" s="110" t="inlineStr">
        <is>
          <t>Rastreamento dos veículos</t>
        </is>
      </c>
    </row>
    <row r="862" ht="15" customHeight="1" s="64">
      <c r="A862" s="110" t="inlineStr">
        <is>
          <t>JULHO/2026</t>
        </is>
      </c>
      <c r="B862" s="110" t="inlineStr">
        <is>
          <t>Frota</t>
        </is>
      </c>
      <c r="C862" s="110" t="inlineStr">
        <is>
          <t>Transporte de produtos</t>
        </is>
      </c>
      <c r="D862" s="110" t="inlineStr">
        <is>
          <t>Soares e Silva</t>
        </is>
      </c>
      <c r="E862" s="129" t="n">
        <v>1</v>
      </c>
      <c r="F862" s="89" t="n">
        <v>1454.08</v>
      </c>
      <c r="G862" s="89" t="n">
        <v>1454.08</v>
      </c>
      <c r="H862" s="110" t="inlineStr">
        <is>
          <t>Transporte de produtos - Frota.xlsx</t>
        </is>
      </c>
    </row>
    <row r="863" ht="15" customHeight="1" s="64">
      <c r="A863" s="110" t="inlineStr">
        <is>
          <t>JULHO/2026</t>
        </is>
      </c>
      <c r="B863" s="110" t="inlineStr">
        <is>
          <t>Frota</t>
        </is>
      </c>
      <c r="C863" s="110" t="inlineStr">
        <is>
          <t>Troca de Oleo e Filtro</t>
        </is>
      </c>
      <c r="D863" s="110" t="inlineStr">
        <is>
          <t>Soares e Silva</t>
        </is>
      </c>
      <c r="E863" s="129" t="n">
        <v>1</v>
      </c>
      <c r="F863" s="89" t="n">
        <v>456</v>
      </c>
      <c r="G863" s="89" t="n">
        <v>456</v>
      </c>
      <c r="H863" s="110" t="inlineStr">
        <is>
          <t>Manutenção veicular</t>
        </is>
      </c>
    </row>
    <row r="864" ht="15" customHeight="1" s="64">
      <c r="A864" s="110" t="inlineStr">
        <is>
          <t>JULHO/2026</t>
        </is>
      </c>
      <c r="B864" s="110" t="inlineStr">
        <is>
          <t>Frota</t>
        </is>
      </c>
      <c r="C864" s="110" t="inlineStr">
        <is>
          <t>Rastreamento veicular</t>
        </is>
      </c>
      <c r="D864" s="110" t="inlineStr">
        <is>
          <t>Solon Araújo</t>
        </is>
      </c>
      <c r="E864" s="129" t="n">
        <v>19</v>
      </c>
      <c r="F864" s="89" t="n">
        <v>20</v>
      </c>
      <c r="G864" s="89" t="n">
        <v>380</v>
      </c>
      <c r="H864" s="110" t="inlineStr">
        <is>
          <t>Rastreamento dos veículos</t>
        </is>
      </c>
    </row>
    <row r="865" ht="15" customHeight="1" s="64">
      <c r="A865" s="110" t="inlineStr">
        <is>
          <t>JULHO/2026</t>
        </is>
      </c>
      <c r="B865" s="110" t="inlineStr">
        <is>
          <t>Frota</t>
        </is>
      </c>
      <c r="C865" s="110" t="inlineStr">
        <is>
          <t>Transporte de produtos</t>
        </is>
      </c>
      <c r="D865" s="110" t="inlineStr">
        <is>
          <t>Solon Araújo</t>
        </is>
      </c>
      <c r="E865" s="129" t="n">
        <v>1</v>
      </c>
      <c r="F865" s="89" t="n">
        <v>1598.23</v>
      </c>
      <c r="G865" s="89" t="n">
        <v>1598.23</v>
      </c>
      <c r="H865" s="110" t="inlineStr">
        <is>
          <t>Transporte de produtos - Frota.xlsx</t>
        </is>
      </c>
    </row>
    <row r="866" ht="15" customHeight="1" s="64">
      <c r="A866" s="110" t="inlineStr">
        <is>
          <t>JULHO/2026</t>
        </is>
      </c>
      <c r="B866" s="110" t="inlineStr">
        <is>
          <t>Frota</t>
        </is>
      </c>
      <c r="C866" s="110" t="inlineStr">
        <is>
          <t>Troca de Óleo e Filtro</t>
        </is>
      </c>
      <c r="D866" s="110" t="inlineStr">
        <is>
          <t>Solon Araújo</t>
        </is>
      </c>
      <c r="E866" s="129" t="n">
        <v>0</v>
      </c>
      <c r="F866" s="89" t="n">
        <v>0</v>
      </c>
      <c r="G866" s="89" t="n">
        <v>0</v>
      </c>
      <c r="H866" s="110" t="inlineStr">
        <is>
          <t>Transporte de produtos - Frota.xlsx</t>
        </is>
      </c>
    </row>
    <row r="867" ht="15" customHeight="1" s="64">
      <c r="A867" s="110" t="inlineStr">
        <is>
          <t>JULHO/2026</t>
        </is>
      </c>
      <c r="B867" s="110" t="inlineStr">
        <is>
          <t>Frota</t>
        </is>
      </c>
      <c r="C867" s="110" t="inlineStr">
        <is>
          <t>Manutenção de veiculo</t>
        </is>
      </c>
      <c r="D867" s="110" t="inlineStr">
        <is>
          <t>Souza e Silva</t>
        </is>
      </c>
      <c r="E867" s="129" t="n">
        <v>0</v>
      </c>
      <c r="F867" s="89" t="n">
        <v>0</v>
      </c>
      <c r="G867" s="89" t="n">
        <v>0</v>
      </c>
      <c r="H867" s="110" t="inlineStr">
        <is>
          <t>Reboque de carro</t>
        </is>
      </c>
    </row>
    <row r="868" ht="15" customHeight="1" s="64">
      <c r="A868" s="110" t="inlineStr">
        <is>
          <t>JULHO/2026</t>
        </is>
      </c>
      <c r="B868" s="110" t="inlineStr">
        <is>
          <t>Frota</t>
        </is>
      </c>
      <c r="C868" s="110" t="inlineStr">
        <is>
          <t>Rastreamento veicular</t>
        </is>
      </c>
      <c r="D868" s="110" t="inlineStr">
        <is>
          <t>Souza e Silva</t>
        </is>
      </c>
      <c r="E868" s="129" t="n">
        <v>4</v>
      </c>
      <c r="F868" s="89" t="n">
        <v>20</v>
      </c>
      <c r="G868" s="89" t="n">
        <v>80</v>
      </c>
      <c r="H868" s="110" t="inlineStr">
        <is>
          <t>Rastreamento dos veículos</t>
        </is>
      </c>
    </row>
    <row r="869" ht="15" customHeight="1" s="64">
      <c r="A869" s="110" t="inlineStr">
        <is>
          <t>JULHO/2026</t>
        </is>
      </c>
      <c r="B869" s="110" t="inlineStr">
        <is>
          <t>Frota</t>
        </is>
      </c>
      <c r="C869" s="110" t="inlineStr">
        <is>
          <t>Transporte de produtos</t>
        </is>
      </c>
      <c r="D869" s="110" t="inlineStr">
        <is>
          <t>Souza e Silva</t>
        </is>
      </c>
      <c r="E869" s="129" t="n">
        <v>1</v>
      </c>
      <c r="F869" s="89" t="n">
        <v>415.62</v>
      </c>
      <c r="G869" s="89" t="n">
        <v>415.62</v>
      </c>
      <c r="H869" s="110" t="inlineStr">
        <is>
          <t>Transporte de produtos - Frota.xlsx</t>
        </is>
      </c>
    </row>
    <row r="870" ht="15" customHeight="1" s="64">
      <c r="A870" s="110" t="inlineStr">
        <is>
          <t>JULHO/2026</t>
        </is>
      </c>
      <c r="B870" s="110" t="inlineStr">
        <is>
          <t>Frota</t>
        </is>
      </c>
      <c r="C870" s="110" t="inlineStr">
        <is>
          <t>Troca de Óleo e Filtro</t>
        </is>
      </c>
      <c r="D870" s="110" t="inlineStr">
        <is>
          <t>Souza e Silva</t>
        </is>
      </c>
      <c r="E870" s="129" t="n">
        <v>1</v>
      </c>
      <c r="F870" s="89" t="n">
        <v>108</v>
      </c>
      <c r="G870" s="89" t="n">
        <v>108</v>
      </c>
      <c r="H870" s="110" t="inlineStr">
        <is>
          <t>Manutenção veicular</t>
        </is>
      </c>
    </row>
    <row r="871" ht="15" customHeight="1" s="64">
      <c r="A871" s="110" t="inlineStr">
        <is>
          <t>JULHO/2026</t>
        </is>
      </c>
      <c r="B871" s="110" t="inlineStr">
        <is>
          <t>Frota</t>
        </is>
      </c>
      <c r="C871" s="110" t="inlineStr">
        <is>
          <t>Abastecimento</t>
        </is>
      </c>
      <c r="D871" s="110" t="inlineStr">
        <is>
          <t>Voicenet</t>
        </is>
      </c>
      <c r="E871" s="129" t="n">
        <v>0</v>
      </c>
      <c r="F871" s="89" t="n">
        <v>0</v>
      </c>
      <c r="G871" s="89" t="n">
        <v>0</v>
      </c>
      <c r="H871" s="110" t="inlineStr">
        <is>
          <t>Abastecimento de veiculos</t>
        </is>
      </c>
    </row>
    <row r="872" ht="15" customHeight="1" s="64">
      <c r="A872" s="110" t="inlineStr">
        <is>
          <t>JULHO/2026</t>
        </is>
      </c>
      <c r="B872" s="110" t="inlineStr">
        <is>
          <t>Frota</t>
        </is>
      </c>
      <c r="C872" s="110" t="inlineStr">
        <is>
          <t>Rastreamento veicular</t>
        </is>
      </c>
      <c r="D872" s="110" t="inlineStr">
        <is>
          <t>Voicenet</t>
        </is>
      </c>
      <c r="E872" s="129" t="n">
        <v>8</v>
      </c>
      <c r="F872" s="89" t="n">
        <v>20</v>
      </c>
      <c r="G872" s="89" t="n">
        <v>160</v>
      </c>
      <c r="H872" s="110" t="inlineStr">
        <is>
          <t>Rastreamento dos veículos</t>
        </is>
      </c>
    </row>
    <row r="873" ht="15" customHeight="1" s="64">
      <c r="A873" s="110" t="inlineStr">
        <is>
          <t>JULHO/2026</t>
        </is>
      </c>
      <c r="B873" s="110" t="inlineStr">
        <is>
          <t>Frota</t>
        </is>
      </c>
      <c r="C873" s="110" t="inlineStr">
        <is>
          <t>Transporte de produtos</t>
        </is>
      </c>
      <c r="D873" s="110" t="inlineStr">
        <is>
          <t>Voicenet</t>
        </is>
      </c>
      <c r="E873" s="129" t="n">
        <v>1</v>
      </c>
      <c r="F873" s="89" t="n">
        <v>468.01</v>
      </c>
      <c r="G873" s="89" t="n">
        <v>468.01</v>
      </c>
      <c r="H873" s="110" t="inlineStr">
        <is>
          <t>Transporte de produtos</t>
        </is>
      </c>
    </row>
    <row r="874" ht="15" customHeight="1" s="64">
      <c r="A874" s="110" t="inlineStr">
        <is>
          <t>JULHO/2026</t>
        </is>
      </c>
      <c r="B874" s="110" t="inlineStr">
        <is>
          <t>Frota</t>
        </is>
      </c>
      <c r="C874" s="110" t="inlineStr">
        <is>
          <t>Troca de Oleo e Filtro</t>
        </is>
      </c>
      <c r="D874" s="110" t="inlineStr">
        <is>
          <t>Voicenet</t>
        </is>
      </c>
      <c r="E874" s="129" t="n">
        <v>1</v>
      </c>
      <c r="F874" s="89" t="n">
        <v>72</v>
      </c>
      <c r="G874" s="89" t="n">
        <v>72</v>
      </c>
      <c r="H874" s="110" t="inlineStr">
        <is>
          <t>Manutenção veicular</t>
        </is>
      </c>
    </row>
    <row r="875" ht="15" customHeight="1" s="64">
      <c r="A875" s="110" t="inlineStr">
        <is>
          <t>JULHO/2026</t>
        </is>
      </c>
      <c r="B875" s="110" t="inlineStr">
        <is>
          <t>Instalação</t>
        </is>
      </c>
      <c r="C875" s="110" t="inlineStr">
        <is>
          <t>KM rodado para serviços técnicos DX2 p/ Soares &amp; silva</t>
        </is>
      </c>
      <c r="D875" s="110" t="inlineStr">
        <is>
          <t>DX2</t>
        </is>
      </c>
      <c r="E875" s="129" t="n">
        <v>0</v>
      </c>
      <c r="F875" s="89" t="n">
        <v>0</v>
      </c>
      <c r="G875" s="89" t="n">
        <v>0</v>
      </c>
      <c r="H875" s="110" t="inlineStr">
        <is>
          <t>Serviços das equipes dx2 p/ soares e silva</t>
        </is>
      </c>
    </row>
    <row r="876" ht="15" customHeight="1" s="64">
      <c r="A876" s="110" t="inlineStr">
        <is>
          <t>JULHO/2026</t>
        </is>
      </c>
      <c r="B876" s="110" t="inlineStr">
        <is>
          <t>Instalação</t>
        </is>
      </c>
      <c r="C876" s="110" t="inlineStr">
        <is>
          <t>KM rodado para serviços técnicos DX2 para SOLON</t>
        </is>
      </c>
      <c r="D876" s="110" t="inlineStr">
        <is>
          <t>DX2</t>
        </is>
      </c>
      <c r="E876" s="129" t="n">
        <v>0</v>
      </c>
      <c r="F876" s="89" t="n">
        <v>0</v>
      </c>
      <c r="G876" s="89" t="n">
        <v>0</v>
      </c>
      <c r="H876" s="110" t="inlineStr">
        <is>
          <t>Serviços das equipes dx2 p/ solon</t>
        </is>
      </c>
    </row>
    <row r="877" ht="15" customHeight="1" s="64">
      <c r="A877" s="110" t="inlineStr">
        <is>
          <t>JULHO/2026</t>
        </is>
      </c>
      <c r="B877" s="110" t="inlineStr">
        <is>
          <t>Instalação</t>
        </is>
      </c>
      <c r="C877" s="110" t="inlineStr">
        <is>
          <t>Serviços técnicos da DX2 P/ SOLON</t>
        </is>
      </c>
      <c r="D877" s="110" t="inlineStr">
        <is>
          <t>DX2</t>
        </is>
      </c>
      <c r="E877" s="129" t="n">
        <v>0</v>
      </c>
      <c r="F877" s="89" t="n">
        <v>0</v>
      </c>
      <c r="G877" s="89" t="n">
        <v>0</v>
      </c>
      <c r="H877" s="110" t="inlineStr">
        <is>
          <t>Serviços das equipes técnicas Dx2 p/ solon</t>
        </is>
      </c>
    </row>
    <row r="878" ht="15" customHeight="1" s="64">
      <c r="A878" s="110" t="inlineStr">
        <is>
          <t>JULHO/2026</t>
        </is>
      </c>
      <c r="B878" s="110" t="inlineStr">
        <is>
          <t>Instalação</t>
        </is>
      </c>
      <c r="C878" s="110" t="inlineStr">
        <is>
          <t>Serviços técnicos da DX2 p/ Soares &amp; Silva</t>
        </is>
      </c>
      <c r="D878" s="110" t="inlineStr">
        <is>
          <t>DX2</t>
        </is>
      </c>
      <c r="E878" s="129" t="n">
        <v>0</v>
      </c>
      <c r="F878" s="89" t="n">
        <v>0</v>
      </c>
      <c r="G878" s="89" t="n">
        <v>0</v>
      </c>
      <c r="H878" s="110" t="inlineStr">
        <is>
          <t>Serviços das equipes técnicas Dx2 p/ soares e silva</t>
        </is>
      </c>
    </row>
    <row r="879" ht="15" customHeight="1" s="64">
      <c r="A879" s="110" t="inlineStr">
        <is>
          <t>JULHO/2026</t>
        </is>
      </c>
      <c r="B879" s="110" t="inlineStr">
        <is>
          <t>Instalação</t>
        </is>
      </c>
      <c r="C879" s="110" t="inlineStr">
        <is>
          <t>Serviços técnicos da DX2 P/ H&amp;A</t>
        </is>
      </c>
      <c r="D879" s="110" t="inlineStr">
        <is>
          <t>H&amp;A</t>
        </is>
      </c>
      <c r="E879" s="129" t="n">
        <v>0</v>
      </c>
      <c r="F879" s="89" t="n">
        <v>0</v>
      </c>
      <c r="G879" s="89" t="n">
        <v>0</v>
      </c>
      <c r="H879" s="110" t="inlineStr">
        <is>
          <t>Deslocamento de equipes</t>
        </is>
      </c>
    </row>
    <row r="880" ht="15" customHeight="1" s="64">
      <c r="A880" s="110" t="inlineStr">
        <is>
          <t>JULHO/2026</t>
        </is>
      </c>
      <c r="B880" s="110" t="inlineStr">
        <is>
          <t>Instalação</t>
        </is>
      </c>
      <c r="C880" s="110" t="inlineStr">
        <is>
          <t>km rodado da equipe DX2 para H&amp;A</t>
        </is>
      </c>
      <c r="D880" s="110" t="inlineStr">
        <is>
          <t>H&amp;A</t>
        </is>
      </c>
      <c r="E880" s="129" t="n">
        <v>0</v>
      </c>
      <c r="F880" s="89" t="n">
        <v>0</v>
      </c>
      <c r="G880" s="89" t="n">
        <v>0</v>
      </c>
      <c r="H880" s="110" t="inlineStr">
        <is>
          <t>Serviços das equipes técnicas Dtel</t>
        </is>
      </c>
    </row>
    <row r="881" ht="15" customHeight="1" s="64">
      <c r="A881" s="110" t="inlineStr">
        <is>
          <t>JULHO/2026</t>
        </is>
      </c>
      <c r="B881" s="110" t="inlineStr">
        <is>
          <t>Instalação</t>
        </is>
      </c>
      <c r="C881" s="110" t="inlineStr">
        <is>
          <t>KM rodado para serviços técnicos Dtel p/ S&amp;L</t>
        </is>
      </c>
      <c r="D881" s="110" t="inlineStr">
        <is>
          <t>Soares e Lins</t>
        </is>
      </c>
      <c r="E881" s="129" t="n">
        <v>0</v>
      </c>
      <c r="F881" s="89" t="n">
        <v>0</v>
      </c>
      <c r="G881" s="89" t="n">
        <v>0</v>
      </c>
      <c r="H881" s="110" t="inlineStr">
        <is>
          <t>Deslocamento de equipes dtel</t>
        </is>
      </c>
    </row>
    <row r="882" ht="15" customHeight="1" s="64">
      <c r="A882" s="110" t="inlineStr">
        <is>
          <t>JULHO/2026</t>
        </is>
      </c>
      <c r="B882" s="110" t="inlineStr">
        <is>
          <t>Instalação</t>
        </is>
      </c>
      <c r="C882" s="110" t="inlineStr">
        <is>
          <t>KM rodado para serviços técnicos S&amp;L para DTEL</t>
        </is>
      </c>
      <c r="D882" s="110" t="inlineStr">
        <is>
          <t>Soares e Lins</t>
        </is>
      </c>
      <c r="E882" s="129" t="n">
        <v>0</v>
      </c>
      <c r="F882" s="89" t="n">
        <v>0</v>
      </c>
      <c r="G882" s="89" t="n">
        <v>0</v>
      </c>
      <c r="H882" s="110" t="inlineStr">
        <is>
          <t>Deslocamento de equipes soares e lins</t>
        </is>
      </c>
    </row>
    <row r="883" ht="15" customHeight="1" s="64">
      <c r="A883" s="110" t="inlineStr">
        <is>
          <t>JULHO/2026</t>
        </is>
      </c>
      <c r="B883" s="110" t="inlineStr">
        <is>
          <t>Instalação</t>
        </is>
      </c>
      <c r="C883" s="110" t="inlineStr">
        <is>
          <t>KM rodado para serviços técnicos da S&amp;L para DTEL</t>
        </is>
      </c>
      <c r="D883" s="110" t="inlineStr">
        <is>
          <t>Soares e Lins</t>
        </is>
      </c>
      <c r="E883" s="129" t="n">
        <v>0</v>
      </c>
      <c r="F883" s="89" t="n">
        <v>0</v>
      </c>
      <c r="G883" s="89" t="n">
        <v>0</v>
      </c>
      <c r="H883" s="110" t="inlineStr">
        <is>
          <t>Deslocamento de equipes</t>
        </is>
      </c>
    </row>
    <row r="884" ht="15" customHeight="1" s="64">
      <c r="A884" s="110" t="inlineStr">
        <is>
          <t>JULHO/2026</t>
        </is>
      </c>
      <c r="B884" s="110" t="inlineStr">
        <is>
          <t>Instalação</t>
        </is>
      </c>
      <c r="C884" s="110" t="inlineStr">
        <is>
          <t>Serviços técnicos da Dtel para S&amp;L</t>
        </is>
      </c>
      <c r="D884" s="110" t="inlineStr">
        <is>
          <t>Soares e Lins</t>
        </is>
      </c>
      <c r="E884" s="129" t="n">
        <v>0</v>
      </c>
      <c r="F884" s="89" t="n">
        <v>0</v>
      </c>
      <c r="G884" s="89" t="n">
        <v>0</v>
      </c>
      <c r="H884" s="110" t="inlineStr">
        <is>
          <t>Serviços da equipe técnica</t>
        </is>
      </c>
    </row>
    <row r="885" ht="15" customHeight="1" s="64">
      <c r="A885" s="110" t="inlineStr">
        <is>
          <t>JULHO/2026</t>
        </is>
      </c>
      <c r="B885" s="110" t="inlineStr">
        <is>
          <t>Instalação</t>
        </is>
      </c>
      <c r="C885" s="110" t="inlineStr">
        <is>
          <t>Serviços técnicos da S&amp;L para DTEL</t>
        </is>
      </c>
      <c r="D885" s="110" t="inlineStr">
        <is>
          <t>Soares e Lins</t>
        </is>
      </c>
      <c r="E885" s="129" t="n">
        <v>0</v>
      </c>
      <c r="F885" s="89" t="n">
        <v>0</v>
      </c>
      <c r="G885" s="89" t="n">
        <v>0</v>
      </c>
      <c r="H885" s="110" t="inlineStr">
        <is>
          <t>Serviços da equipe técnica</t>
        </is>
      </c>
    </row>
    <row r="886" ht="15" customHeight="1" s="64">
      <c r="A886" s="110" t="inlineStr">
        <is>
          <t>JULHO/2026</t>
        </is>
      </c>
      <c r="B886" s="110" t="inlineStr">
        <is>
          <t>Instalação</t>
        </is>
      </c>
      <c r="C886" s="110" t="inlineStr">
        <is>
          <t>Supervisor JOSUE DE MOURA SILVA JUNIOR</t>
        </is>
      </c>
      <c r="D886" s="110" t="inlineStr">
        <is>
          <t>Soares e Lins</t>
        </is>
      </c>
      <c r="E886" s="129" t="n">
        <v>1</v>
      </c>
      <c r="F886" s="89" t="n">
        <v>3548.72</v>
      </c>
      <c r="G886" s="89" t="n">
        <v>3548.72</v>
      </c>
      <c r="H886" s="110" t="inlineStr">
        <is>
          <t>Despesa dividida entre s&amp;l e dtel pelo supervisor JOSUE estar assumindo as bases</t>
        </is>
      </c>
    </row>
    <row r="887" ht="15" customHeight="1" s="64">
      <c r="A887" s="110" t="inlineStr">
        <is>
          <t>JULHO/2026</t>
        </is>
      </c>
      <c r="B887" s="110" t="inlineStr">
        <is>
          <t>Instalação</t>
        </is>
      </c>
      <c r="C887" s="110" t="inlineStr">
        <is>
          <t>KM rodado para serviços técnicos Dx2 p/ soares e silva</t>
        </is>
      </c>
      <c r="D887" s="110" t="inlineStr">
        <is>
          <t>Soares e Silva</t>
        </is>
      </c>
      <c r="E887" s="129" t="n">
        <v>0</v>
      </c>
      <c r="F887" s="89" t="n">
        <v>0</v>
      </c>
      <c r="G887" s="89" t="n">
        <v>0</v>
      </c>
      <c r="H887" s="110" t="inlineStr">
        <is>
          <t>Deslocamento de equipes</t>
        </is>
      </c>
    </row>
    <row r="888" ht="15" customHeight="1" s="64">
      <c r="A888" s="110" t="inlineStr">
        <is>
          <t>JULHO/2026</t>
        </is>
      </c>
      <c r="B888" s="110" t="inlineStr">
        <is>
          <t>Instalação</t>
        </is>
      </c>
      <c r="C888" s="110" t="inlineStr">
        <is>
          <t>Serviços técnicos da Dx2 p/ soares e silva</t>
        </is>
      </c>
      <c r="D888" s="110" t="inlineStr">
        <is>
          <t>Soares e Silva</t>
        </is>
      </c>
      <c r="E888" s="129" t="n">
        <v>0</v>
      </c>
      <c r="F888" s="89" t="n">
        <v>0</v>
      </c>
      <c r="G888" s="89" t="n">
        <v>0</v>
      </c>
      <c r="H888" s="110" t="inlineStr">
        <is>
          <t>Serviços das equipes técnicas</t>
        </is>
      </c>
    </row>
    <row r="889" ht="15" customHeight="1" s="64">
      <c r="A889" s="110" t="inlineStr">
        <is>
          <t>JULHO/2026</t>
        </is>
      </c>
      <c r="B889" s="110" t="inlineStr">
        <is>
          <t>Instalação</t>
        </is>
      </c>
      <c r="C889" s="110" t="inlineStr">
        <is>
          <t>KM rodado para serviços técnicos Souza e Silva p/ Solon</t>
        </is>
      </c>
      <c r="D889" s="110" t="inlineStr">
        <is>
          <t>Solon Araújo</t>
        </is>
      </c>
      <c r="E889" s="129" t="n">
        <v>0</v>
      </c>
      <c r="F889" s="89" t="n">
        <v>0</v>
      </c>
      <c r="G889" s="89" t="n">
        <v>0</v>
      </c>
      <c r="H889" s="110" t="inlineStr">
        <is>
          <t>Deslocamento de equipes da DTEL</t>
        </is>
      </c>
    </row>
    <row r="890" ht="15" customHeight="1" s="64">
      <c r="A890" s="110" t="inlineStr">
        <is>
          <t>JULHO/2026</t>
        </is>
      </c>
      <c r="B890" s="110" t="inlineStr">
        <is>
          <t>Instalação</t>
        </is>
      </c>
      <c r="C890" s="110" t="inlineStr">
        <is>
          <t>KM rodado para serviços técnicos dx2 p/ Solon</t>
        </is>
      </c>
      <c r="D890" s="110" t="inlineStr">
        <is>
          <t>Solon Araújo</t>
        </is>
      </c>
      <c r="E890" s="129" t="n">
        <v>0</v>
      </c>
      <c r="F890" s="89" t="n">
        <v>0</v>
      </c>
      <c r="G890" s="89" t="n">
        <v>0</v>
      </c>
      <c r="H890" s="110" t="inlineStr">
        <is>
          <t>Serviços das equipes dx2 p/ solon</t>
        </is>
      </c>
    </row>
    <row r="891" ht="15" customHeight="1" s="64">
      <c r="A891" s="110" t="inlineStr">
        <is>
          <t>JULHO/2026</t>
        </is>
      </c>
      <c r="B891" s="110" t="inlineStr">
        <is>
          <t>Instalação</t>
        </is>
      </c>
      <c r="C891" s="110" t="inlineStr">
        <is>
          <t>Serviços técnicos da Dx2 p/ Solon</t>
        </is>
      </c>
      <c r="D891" s="110" t="inlineStr">
        <is>
          <t>Solon Araújo</t>
        </is>
      </c>
      <c r="E891" s="129" t="n">
        <v>0</v>
      </c>
      <c r="F891" s="89" t="n">
        <v>0</v>
      </c>
      <c r="G891" s="89" t="n">
        <v>0</v>
      </c>
      <c r="H891" s="110" t="inlineStr">
        <is>
          <t>Serviços das equipes técnicas Dx2 p/ solon</t>
        </is>
      </c>
    </row>
    <row r="892" ht="15" customHeight="1" s="64">
      <c r="A892" s="110" t="inlineStr">
        <is>
          <t>JULHO/2026</t>
        </is>
      </c>
      <c r="B892" s="110" t="inlineStr">
        <is>
          <t>Instalação</t>
        </is>
      </c>
      <c r="C892" s="110" t="inlineStr">
        <is>
          <t>Serviços técnicos da Souza p/ Solon</t>
        </is>
      </c>
      <c r="D892" s="110" t="inlineStr">
        <is>
          <t>Solon Araújo</t>
        </is>
      </c>
      <c r="E892" s="129" t="n">
        <v>0</v>
      </c>
      <c r="F892" s="89" t="n">
        <v>0</v>
      </c>
      <c r="G892" s="89" t="n">
        <v>0</v>
      </c>
      <c r="H892" s="110" t="inlineStr">
        <is>
          <t>Serviços das equipes técnicas Dtel</t>
        </is>
      </c>
    </row>
    <row r="893" ht="15" customHeight="1" s="64">
      <c r="A893" s="110" t="inlineStr">
        <is>
          <t>JULHO/2026</t>
        </is>
      </c>
      <c r="B893" s="110" t="inlineStr">
        <is>
          <t>Instalação</t>
        </is>
      </c>
      <c r="C893" s="110" t="inlineStr">
        <is>
          <t>KM rodado para serviços técnicos Souza e Silva p/ Solon</t>
        </is>
      </c>
      <c r="D893" s="110" t="inlineStr">
        <is>
          <t>Souza e Silva</t>
        </is>
      </c>
      <c r="E893" s="129" t="n">
        <v>0</v>
      </c>
      <c r="F893" s="89" t="n">
        <v>0</v>
      </c>
      <c r="G893" s="89" t="n">
        <v>0</v>
      </c>
      <c r="H893" s="110" t="inlineStr">
        <is>
          <t>Deslocamento de equipes</t>
        </is>
      </c>
    </row>
    <row r="894" ht="15" customHeight="1" s="64">
      <c r="A894" s="110" t="inlineStr">
        <is>
          <t>JULHO/2026</t>
        </is>
      </c>
      <c r="B894" s="110" t="inlineStr">
        <is>
          <t>Instalação</t>
        </is>
      </c>
      <c r="C894" s="110" t="inlineStr">
        <is>
          <t>KM rodado para serviços técnicos Souza e silva p/ soares e silva</t>
        </is>
      </c>
      <c r="D894" s="110" t="inlineStr">
        <is>
          <t>Souza e Silva</t>
        </is>
      </c>
      <c r="E894" s="129" t="n">
        <v>0</v>
      </c>
      <c r="F894" s="89" t="n">
        <v>0</v>
      </c>
      <c r="G894" s="89" t="n">
        <v>0</v>
      </c>
      <c r="H894" s="110" t="inlineStr">
        <is>
          <t>Deslocamento de equipes</t>
        </is>
      </c>
    </row>
    <row r="895" ht="15" customHeight="1" s="64">
      <c r="A895" s="110" t="inlineStr">
        <is>
          <t>JULHO/2026</t>
        </is>
      </c>
      <c r="B895" s="110" t="inlineStr">
        <is>
          <t>Instalação</t>
        </is>
      </c>
      <c r="C895" s="110" t="inlineStr">
        <is>
          <t>Serviços técnicos da Souza e silva p/ soares e silva</t>
        </is>
      </c>
      <c r="D895" s="110" t="inlineStr">
        <is>
          <t>Souza e Silva</t>
        </is>
      </c>
      <c r="E895" s="129" t="n">
        <v>0</v>
      </c>
      <c r="F895" s="89" t="n">
        <v>0</v>
      </c>
      <c r="G895" s="89" t="n">
        <v>0</v>
      </c>
      <c r="H895" s="110" t="inlineStr">
        <is>
          <t>Serviços das equipes técnicas</t>
        </is>
      </c>
    </row>
    <row r="896" ht="15" customHeight="1" s="64">
      <c r="A896" s="110" t="inlineStr">
        <is>
          <t>JULHO/2026</t>
        </is>
      </c>
      <c r="B896" s="110" t="inlineStr">
        <is>
          <t>Instalação</t>
        </is>
      </c>
      <c r="C896" s="110" t="inlineStr">
        <is>
          <t>Serviços técnicos da Souza p/ Solon</t>
        </is>
      </c>
      <c r="D896" s="110" t="inlineStr">
        <is>
          <t>Souza e Silva</t>
        </is>
      </c>
      <c r="E896" s="129" t="n">
        <v>0</v>
      </c>
      <c r="F896" s="89" t="n">
        <v>0</v>
      </c>
      <c r="G896" s="89" t="n">
        <v>0</v>
      </c>
      <c r="H896" s="110" t="inlineStr">
        <is>
          <t>Serviços das equipes técnicas da Dtel</t>
        </is>
      </c>
    </row>
    <row r="897" ht="15" customHeight="1" s="64">
      <c r="A897" s="110" t="inlineStr">
        <is>
          <t>JULHO/2026</t>
        </is>
      </c>
      <c r="B897" s="110" t="inlineStr">
        <is>
          <t>Instalação</t>
        </is>
      </c>
      <c r="C897" s="110" t="inlineStr">
        <is>
          <t>Gestão Regional MICHELANGELO</t>
        </is>
      </c>
      <c r="D897" s="110" t="inlineStr">
        <is>
          <t>Voicenet</t>
        </is>
      </c>
      <c r="E897" s="129" t="n">
        <v>4806</v>
      </c>
      <c r="F897" s="89" t="n">
        <v>0.62</v>
      </c>
      <c r="G897" s="89" t="n">
        <v>2979.72</v>
      </c>
      <c r="H897" s="110" t="inlineStr">
        <is>
          <t>Cálculo por número de clientes ativos</t>
        </is>
      </c>
    </row>
    <row r="898" ht="15" customHeight="1" s="64">
      <c r="A898" s="110" t="inlineStr">
        <is>
          <t>JULHO/2026</t>
        </is>
      </c>
      <c r="B898" s="110" t="inlineStr">
        <is>
          <t>Instalação</t>
        </is>
      </c>
      <c r="C898" s="110" t="inlineStr">
        <is>
          <t>KM rodado para serviços técnicos Dtel para Voicenet</t>
        </is>
      </c>
      <c r="D898" s="110" t="inlineStr">
        <is>
          <t>Voicenet</t>
        </is>
      </c>
      <c r="E898" s="129" t="n">
        <v>1</v>
      </c>
      <c r="F898" s="89" t="n">
        <v>561.64</v>
      </c>
      <c r="G898" s="89" t="n">
        <v>561.64</v>
      </c>
      <c r="H898" s="110" t="inlineStr">
        <is>
          <t>Deslocamento de equipes</t>
        </is>
      </c>
    </row>
    <row r="899" ht="15" customHeight="1" s="64">
      <c r="A899" s="110" t="inlineStr">
        <is>
          <t>JULHO/2026</t>
        </is>
      </c>
      <c r="B899" s="110" t="inlineStr">
        <is>
          <t>Instalação</t>
        </is>
      </c>
      <c r="C899" s="110" t="inlineStr">
        <is>
          <t>KM rodado para serviços técnicos Voicenet p/ Dtel</t>
        </is>
      </c>
      <c r="D899" s="110" t="inlineStr">
        <is>
          <t>Voicenet</t>
        </is>
      </c>
      <c r="E899" s="129" t="n">
        <v>0</v>
      </c>
      <c r="F899" s="89" t="n">
        <v>0</v>
      </c>
      <c r="G899" s="89" t="n">
        <v>0</v>
      </c>
      <c r="H899" s="110" t="inlineStr">
        <is>
          <t>Deslocamento de equipes</t>
        </is>
      </c>
    </row>
    <row r="900" ht="15" customHeight="1" s="64">
      <c r="A900" s="110" t="inlineStr">
        <is>
          <t>JULHO/2026</t>
        </is>
      </c>
      <c r="B900" s="110" t="inlineStr">
        <is>
          <t>Instalação</t>
        </is>
      </c>
      <c r="C900" s="110" t="inlineStr">
        <is>
          <t>Serviços técnicos da Dtel para voicenet</t>
        </is>
      </c>
      <c r="D900" s="110" t="inlineStr">
        <is>
          <t>Voicenet</t>
        </is>
      </c>
      <c r="E900" s="129" t="n">
        <v>1</v>
      </c>
      <c r="F900" s="89" t="n">
        <v>2033.5</v>
      </c>
      <c r="G900" s="89" t="n">
        <v>2033.5</v>
      </c>
      <c r="H900" s="110" t="inlineStr">
        <is>
          <t>Serviços das equipes técnicas da Dtel</t>
        </is>
      </c>
    </row>
    <row r="901" ht="15" customHeight="1" s="64">
      <c r="A901" s="110" t="inlineStr">
        <is>
          <t>JULHO/2026</t>
        </is>
      </c>
      <c r="B901" s="110" t="inlineStr">
        <is>
          <t>Instalação</t>
        </is>
      </c>
      <c r="C901" s="110" t="inlineStr">
        <is>
          <t>Serviços técnicos da voicenet p/ Dtel</t>
        </is>
      </c>
      <c r="D901" s="110" t="inlineStr">
        <is>
          <t>Voicenet</t>
        </is>
      </c>
      <c r="E901" s="129" t="n">
        <v>0</v>
      </c>
      <c r="F901" s="89" t="n">
        <v>0</v>
      </c>
      <c r="G901" s="89" t="n">
        <v>0</v>
      </c>
      <c r="H901" s="110" t="inlineStr">
        <is>
          <t>Serviços das equipes técnicas</t>
        </is>
      </c>
    </row>
    <row r="902" ht="15" customHeight="1" s="64">
      <c r="A902" s="110" t="inlineStr">
        <is>
          <t>JULHO/2026</t>
        </is>
      </c>
      <c r="B902" s="110" t="inlineStr">
        <is>
          <t>Licitação</t>
        </is>
      </c>
      <c r="C902" s="110" t="inlineStr">
        <is>
          <t>Conselho Regional De Enfermagem De Alagoas</t>
        </is>
      </c>
      <c r="D902" s="110" t="inlineStr">
        <is>
          <t>H&amp;A</t>
        </is>
      </c>
      <c r="E902" s="129" t="n">
        <v>1</v>
      </c>
      <c r="F902" s="89" t="n">
        <v>238.88</v>
      </c>
      <c r="G902" s="89" t="n">
        <v>238.88</v>
      </c>
      <c r="H902" s="110" t="inlineStr">
        <is>
          <t>Mensalidade recebida pela H&amp;A (parcela julho)</t>
        </is>
      </c>
    </row>
    <row r="903" ht="15" customHeight="1" s="64">
      <c r="A903" s="110" t="inlineStr">
        <is>
          <t>JULHO/2026</t>
        </is>
      </c>
      <c r="B903" s="110" t="inlineStr">
        <is>
          <t>Licitação</t>
        </is>
      </c>
      <c r="C903" s="110" t="inlineStr">
        <is>
          <t>Conselho Regional de Enfermagem de Pernambuco - Coren PE</t>
        </is>
      </c>
      <c r="D903" s="110" t="inlineStr">
        <is>
          <t>H&amp;A</t>
        </is>
      </c>
      <c r="E903" s="129" t="n">
        <v>1</v>
      </c>
      <c r="F903" s="89" t="n">
        <v>624.79</v>
      </c>
      <c r="G903" s="89" t="n">
        <v>624.79</v>
      </c>
      <c r="H903" s="110" t="inlineStr">
        <is>
          <t>Mensalidade recebida pela H&amp;A (parcela julho)</t>
        </is>
      </c>
    </row>
    <row r="904" ht="15" customHeight="1" s="64">
      <c r="A904" s="110" t="inlineStr">
        <is>
          <t>JULHO/2026</t>
        </is>
      </c>
      <c r="B904" s="110" t="inlineStr">
        <is>
          <t>Licitação</t>
        </is>
      </c>
      <c r="C904" s="110" t="inlineStr">
        <is>
          <t>Conselho regional de farmacia dos estado de pernambuco</t>
        </is>
      </c>
      <c r="D904" s="110" t="inlineStr">
        <is>
          <t>H&amp;A</t>
        </is>
      </c>
      <c r="E904" s="129" t="n">
        <v>1</v>
      </c>
      <c r="F904" s="89" t="n">
        <v>510</v>
      </c>
      <c r="G904" s="89" t="n">
        <v>510</v>
      </c>
      <c r="H904" s="110" t="inlineStr">
        <is>
          <t>Mensalidade recebida pela H&amp;A (parcela julho)</t>
        </is>
      </c>
    </row>
    <row r="905" ht="15" customHeight="1" s="64">
      <c r="A905" s="110" t="inlineStr">
        <is>
          <t>JULHO/2026</t>
        </is>
      </c>
      <c r="B905" s="110" t="inlineStr">
        <is>
          <t>Licitação</t>
        </is>
      </c>
      <c r="C905" s="110" t="inlineStr">
        <is>
          <t>Câmara de vereadores-Vitória de Stº Antão</t>
        </is>
      </c>
      <c r="D905" s="110" t="inlineStr">
        <is>
          <t>H&amp;A</t>
        </is>
      </c>
      <c r="E905" s="129" t="n">
        <v>1</v>
      </c>
      <c r="F905" s="89" t="n">
        <v>333.1</v>
      </c>
      <c r="G905" s="89" t="n">
        <v>333.1</v>
      </c>
      <c r="H905" s="110" t="inlineStr">
        <is>
          <t>Mensalidade recebida pela H&amp;A (parcela julho)</t>
        </is>
      </c>
    </row>
    <row r="906" ht="15" customHeight="1" s="64">
      <c r="A906" s="110" t="inlineStr">
        <is>
          <t>JULHO/2026</t>
        </is>
      </c>
      <c r="B906" s="110" t="inlineStr">
        <is>
          <t>Licitação</t>
        </is>
      </c>
      <c r="C906" s="110" t="inlineStr">
        <is>
          <t>Fundo Municipal De Saude De Primavera</t>
        </is>
      </c>
      <c r="D906" s="110" t="inlineStr">
        <is>
          <t>H&amp;A</t>
        </is>
      </c>
      <c r="E906" s="129" t="n">
        <v>1</v>
      </c>
      <c r="F906" s="89" t="n">
        <v>2973.2</v>
      </c>
      <c r="G906" s="89" t="n">
        <v>2973.2</v>
      </c>
      <c r="H906" s="110" t="inlineStr">
        <is>
          <t>Mensalidade recebida pela H&amp;A (parcela julho)</t>
        </is>
      </c>
    </row>
    <row r="907" ht="15" customHeight="1" s="64">
      <c r="A907" s="110" t="inlineStr">
        <is>
          <t>JULHO/2026</t>
        </is>
      </c>
      <c r="B907" s="110" t="inlineStr">
        <is>
          <t>Licitação</t>
        </is>
      </c>
      <c r="C907" s="110" t="inlineStr">
        <is>
          <t>Fundo Municipal de assistencia social de primavera</t>
        </is>
      </c>
      <c r="D907" s="110" t="inlineStr">
        <is>
          <t>H&amp;A</t>
        </is>
      </c>
      <c r="E907" s="129" t="n">
        <v>1</v>
      </c>
      <c r="F907" s="89" t="n">
        <v>1833.24</v>
      </c>
      <c r="G907" s="89" t="n">
        <v>1833.24</v>
      </c>
      <c r="H907" s="110" t="inlineStr">
        <is>
          <t>Mensalidade recebida pela H&amp;A (parcela julho)</t>
        </is>
      </c>
    </row>
    <row r="908" ht="15" customHeight="1" s="64">
      <c r="A908" s="110" t="inlineStr">
        <is>
          <t>JULHO/2026</t>
        </is>
      </c>
      <c r="B908" s="110" t="inlineStr">
        <is>
          <t>Licitação</t>
        </is>
      </c>
      <c r="C908" s="110" t="inlineStr">
        <is>
          <t>Municipio De Primavera</t>
        </is>
      </c>
      <c r="D908" s="110" t="inlineStr">
        <is>
          <t>H&amp;A</t>
        </is>
      </c>
      <c r="E908" s="129" t="n">
        <v>1</v>
      </c>
      <c r="F908" s="89" t="n">
        <v>7615.46</v>
      </c>
      <c r="G908" s="89" t="n">
        <v>7615.46</v>
      </c>
      <c r="H908" s="110" t="inlineStr">
        <is>
          <t>Mensalidade recebida pela H&amp;A (parcela julho)</t>
        </is>
      </c>
    </row>
    <row r="909" ht="15" customHeight="1" s="64">
      <c r="A909" s="110" t="inlineStr">
        <is>
          <t>JULHO/2026</t>
        </is>
      </c>
      <c r="B909" s="110" t="inlineStr">
        <is>
          <t>Licitação</t>
        </is>
      </c>
      <c r="C909" s="110" t="inlineStr">
        <is>
          <t>Agência reguladora dos serviços públicos do estado de Alagoas - ARSAL</t>
        </is>
      </c>
      <c r="D909" s="110" t="inlineStr">
        <is>
          <t>Soares e Silva</t>
        </is>
      </c>
      <c r="E909" s="129" t="n">
        <v>-1</v>
      </c>
      <c r="F909" s="89" t="n">
        <v>1046.56</v>
      </c>
      <c r="G909" s="89" t="n">
        <v>-1046.56</v>
      </c>
      <c r="H909" s="110" t="inlineStr">
        <is>
          <t>Mensalidade recebida pela Dtel (parcela junho)</t>
        </is>
      </c>
    </row>
    <row r="910" ht="15" customHeight="1" s="64">
      <c r="A910" s="110" t="inlineStr">
        <is>
          <t>JULHO/2026</t>
        </is>
      </c>
      <c r="B910" s="110" t="inlineStr">
        <is>
          <t>Licitação</t>
        </is>
      </c>
      <c r="C910" s="110" t="inlineStr">
        <is>
          <t>Conselho Regional De Enfermagem De Alagoas</t>
        </is>
      </c>
      <c r="D910" s="110" t="inlineStr">
        <is>
          <t>Soares e Silva</t>
        </is>
      </c>
      <c r="E910" s="129" t="n">
        <v>0</v>
      </c>
      <c r="F910" s="89" t="n">
        <v>0</v>
      </c>
      <c r="G910" s="89" t="n">
        <v>0</v>
      </c>
      <c r="H910" s="110" t="inlineStr">
        <is>
          <t>Imposto pago pela h&amp;a sob o recebimento da licitação</t>
        </is>
      </c>
    </row>
    <row r="911" ht="15" customHeight="1" s="64">
      <c r="A911" s="110" t="inlineStr">
        <is>
          <t>JULHO/2026</t>
        </is>
      </c>
      <c r="B911" s="110" t="inlineStr">
        <is>
          <t>Licitação</t>
        </is>
      </c>
      <c r="C911" s="110" t="inlineStr">
        <is>
          <t>Conselho Regional De Enfermagem De Alagoas</t>
        </is>
      </c>
      <c r="D911" s="110" t="inlineStr">
        <is>
          <t>Soares e Silva</t>
        </is>
      </c>
      <c r="E911" s="129" t="n">
        <v>-1</v>
      </c>
      <c r="F911" s="89" t="n">
        <v>238.88</v>
      </c>
      <c r="G911" s="89" t="n">
        <v>-238.88</v>
      </c>
      <c r="H911" s="110" t="inlineStr">
        <is>
          <t>Mensalidade recebida pela H&amp;A (parcela junho)</t>
        </is>
      </c>
    </row>
    <row r="912" ht="15" customHeight="1" s="64">
      <c r="A912" s="110" t="inlineStr">
        <is>
          <t>JULHO/2026</t>
        </is>
      </c>
      <c r="B912" s="110" t="inlineStr">
        <is>
          <t>Licitação</t>
        </is>
      </c>
      <c r="C912" s="110" t="inlineStr">
        <is>
          <t>Conselho regional de farmacia dos estado de pernambuco</t>
        </is>
      </c>
      <c r="D912" s="110" t="inlineStr">
        <is>
          <t>Voicenet</t>
        </is>
      </c>
      <c r="E912" s="129" t="n">
        <v>1</v>
      </c>
      <c r="F912" s="89" t="n">
        <v>67.33</v>
      </c>
      <c r="G912" s="89" t="n">
        <v>67.33</v>
      </c>
      <c r="H912" s="110" t="inlineStr">
        <is>
          <t>Imposto pago pela h&amp;a, pelo recebimento da licitação</t>
        </is>
      </c>
    </row>
    <row r="913" ht="15" customHeight="1" s="64">
      <c r="A913" s="110" t="inlineStr">
        <is>
          <t>JULHO/2026</t>
        </is>
      </c>
      <c r="B913" s="110" t="inlineStr">
        <is>
          <t>Licitação</t>
        </is>
      </c>
      <c r="C913" s="110" t="inlineStr">
        <is>
          <t>Conselho regional de farmacia dos estado de pernambuco</t>
        </is>
      </c>
      <c r="D913" s="110" t="inlineStr">
        <is>
          <t>Voicenet</t>
        </is>
      </c>
      <c r="E913" s="129" t="n">
        <v>-1</v>
      </c>
      <c r="F913" s="89" t="n">
        <v>510</v>
      </c>
      <c r="G913" s="89" t="n">
        <v>-510</v>
      </c>
      <c r="H913" s="110" t="inlineStr">
        <is>
          <t>Mensalidade recebida pela H&amp;A (parcela junho)</t>
        </is>
      </c>
    </row>
    <row r="914" ht="15" customHeight="1" s="64">
      <c r="A914" s="110" t="inlineStr">
        <is>
          <t>JULHO/2026</t>
        </is>
      </c>
      <c r="B914" s="110" t="inlineStr">
        <is>
          <t>Manutenção Predial</t>
        </is>
      </c>
      <c r="C914" s="110" t="inlineStr">
        <is>
          <t>Manutenção predial</t>
        </is>
      </c>
      <c r="D914" s="110" t="inlineStr">
        <is>
          <t>DX2</t>
        </is>
      </c>
      <c r="E914" s="129" t="n">
        <v>1</v>
      </c>
      <c r="F914" s="89" t="n">
        <v>1027.18</v>
      </c>
      <c r="G914" s="89" t="n">
        <v>1027.18</v>
      </c>
      <c r="H914" s="110" t="inlineStr">
        <is>
          <t>Despesa com combust. e colaborador para verificação obra tacaimbó</t>
        </is>
      </c>
    </row>
    <row r="915" ht="15" customHeight="1" s="64">
      <c r="A915" s="110" t="inlineStr">
        <is>
          <t>JULHO/2026</t>
        </is>
      </c>
      <c r="B915" s="110" t="inlineStr">
        <is>
          <t>Manutenção Predial</t>
        </is>
      </c>
      <c r="C915" s="110" t="inlineStr">
        <is>
          <t>Manutenção predial</t>
        </is>
      </c>
      <c r="D915" s="110" t="inlineStr">
        <is>
          <t>H&amp;A</t>
        </is>
      </c>
      <c r="E915" s="129" t="n">
        <v>0</v>
      </c>
      <c r="F915" s="89" t="n">
        <v>0</v>
      </c>
      <c r="G915" s="89" t="n">
        <v>0</v>
      </c>
      <c r="H915" s="110" t="inlineStr">
        <is>
          <t>Despesa com combust. e colaborador para manutenção de ar condicionado do estoque</t>
        </is>
      </c>
    </row>
    <row r="916" ht="15" customHeight="1" s="64">
      <c r="A916" s="110" t="inlineStr">
        <is>
          <t>JULHO/2026</t>
        </is>
      </c>
      <c r="B916" s="110" t="inlineStr">
        <is>
          <t>Manutenção Predial</t>
        </is>
      </c>
      <c r="C916" s="110" t="inlineStr">
        <is>
          <t>Manutenção predial</t>
        </is>
      </c>
      <c r="D916" s="110" t="inlineStr">
        <is>
          <t>Soares e Lins</t>
        </is>
      </c>
      <c r="E916" s="129" t="n">
        <v>0</v>
      </c>
      <c r="F916" s="89" t="n">
        <v>0</v>
      </c>
      <c r="G916" s="89" t="n">
        <v>0</v>
      </c>
      <c r="H916" s="110" t="inlineStr">
        <is>
          <t>Serviços executados</t>
        </is>
      </c>
    </row>
    <row r="917" ht="15" customHeight="1" s="64">
      <c r="A917" s="110" t="inlineStr">
        <is>
          <t>JULHO/2026</t>
        </is>
      </c>
      <c r="B917" s="110" t="inlineStr">
        <is>
          <t>Manutenção Predial</t>
        </is>
      </c>
      <c r="C917" s="110" t="inlineStr">
        <is>
          <t>Manutenção predial</t>
        </is>
      </c>
      <c r="D917" s="110" t="inlineStr">
        <is>
          <t>Soares e Silva</t>
        </is>
      </c>
      <c r="E917" s="129" t="n">
        <v>1</v>
      </c>
      <c r="F917" s="89" t="n">
        <v>9586.030000000001</v>
      </c>
      <c r="G917" s="89" t="n">
        <v>9586.030000000001</v>
      </c>
      <c r="H917" s="110" t="inlineStr">
        <is>
          <t>Despesa com material, combust., e colaborador para finalização pop b maceió</t>
        </is>
      </c>
    </row>
    <row r="918" ht="15" customHeight="1" s="64">
      <c r="A918" s="110" t="inlineStr">
        <is>
          <t>JULHO/2026</t>
        </is>
      </c>
      <c r="B918" s="110" t="inlineStr">
        <is>
          <t>Manutenção Predial</t>
        </is>
      </c>
      <c r="C918" s="110" t="inlineStr">
        <is>
          <t>Manutenção predial</t>
        </is>
      </c>
      <c r="D918" s="110" t="inlineStr">
        <is>
          <t>Solon Araújo</t>
        </is>
      </c>
      <c r="E918" s="129" t="n">
        <v>0</v>
      </c>
      <c r="F918" s="89" t="n">
        <v>0</v>
      </c>
      <c r="G918" s="89" t="n">
        <v>0</v>
      </c>
      <c r="H918" s="110" t="inlineStr">
        <is>
          <t>Despesa com material, combust, e colaborador para manut. de ar, e manut. de telhado</t>
        </is>
      </c>
    </row>
    <row r="919" ht="15" customHeight="1" s="64">
      <c r="A919" s="110" t="inlineStr">
        <is>
          <t>JULHO/2026</t>
        </is>
      </c>
      <c r="B919" s="110" t="inlineStr">
        <is>
          <t>Manutenção Predial</t>
        </is>
      </c>
      <c r="C919" s="110" t="inlineStr">
        <is>
          <t>Manutenção predial</t>
        </is>
      </c>
      <c r="D919" s="110" t="inlineStr">
        <is>
          <t>Souza e Silva</t>
        </is>
      </c>
      <c r="E919" s="129" t="n">
        <v>0</v>
      </c>
      <c r="F919" s="89" t="n">
        <v>0</v>
      </c>
      <c r="G919" s="89" t="n">
        <v>0</v>
      </c>
      <c r="H919" s="110" t="inlineStr">
        <is>
          <t>Serviços executados</t>
        </is>
      </c>
    </row>
    <row r="920" ht="15" customHeight="1" s="64">
      <c r="A920" s="110" t="inlineStr">
        <is>
          <t>JULHO/2026</t>
        </is>
      </c>
      <c r="B920" s="110" t="inlineStr">
        <is>
          <t>Manutenção Predial</t>
        </is>
      </c>
      <c r="C920" s="110" t="inlineStr">
        <is>
          <t>Manutenção predial</t>
        </is>
      </c>
      <c r="D920" s="110" t="inlineStr">
        <is>
          <t>Voicenet</t>
        </is>
      </c>
      <c r="E920" s="129" t="n">
        <v>1</v>
      </c>
      <c r="F920" s="89" t="n">
        <v>371.45</v>
      </c>
      <c r="G920" s="89" t="n">
        <v>371.45</v>
      </c>
      <c r="H920" s="110" t="inlineStr">
        <is>
          <t>Despesa com combust. e colaborador para verificação edf estação madalena</t>
        </is>
      </c>
    </row>
    <row r="921" ht="15" customHeight="1" s="64">
      <c r="A921" s="110" t="inlineStr">
        <is>
          <t>JULHO/2026</t>
        </is>
      </c>
      <c r="B921" s="110" t="inlineStr">
        <is>
          <t>Marketing</t>
        </is>
      </c>
      <c r="C921" s="110" t="inlineStr">
        <is>
          <t>Vendas do site Mundiale</t>
        </is>
      </c>
      <c r="D921" s="110" t="inlineStr">
        <is>
          <t>DTEL</t>
        </is>
      </c>
      <c r="E921" s="129" t="n">
        <v>149</v>
      </c>
      <c r="F921" s="89" t="n">
        <v>125.29</v>
      </c>
      <c r="G921" s="89" t="n">
        <v>18668.21</v>
      </c>
      <c r="H921" s="110" t="inlineStr">
        <is>
          <t>Vendas instaladas do impulsionamento site mundiale (VENDAS MUNDIALE jul26.xlsx)</t>
        </is>
      </c>
    </row>
    <row r="922" ht="15" customHeight="1" s="64">
      <c r="A922" s="110" t="inlineStr">
        <is>
          <t>JULHO/2026</t>
        </is>
      </c>
      <c r="B922" s="110" t="inlineStr">
        <is>
          <t>Marketing</t>
        </is>
      </c>
      <c r="C922" s="110" t="inlineStr">
        <is>
          <t>Vendas do site Mundiale</t>
        </is>
      </c>
      <c r="D922" s="110" t="inlineStr">
        <is>
          <t>DX2</t>
        </is>
      </c>
      <c r="E922" s="129" t="n">
        <v>2</v>
      </c>
      <c r="F922" s="89" t="n">
        <v>161.82</v>
      </c>
      <c r="G922" s="89" t="n">
        <v>323.64</v>
      </c>
      <c r="H922" s="110" t="inlineStr">
        <is>
          <t>Vendas instaladas do impulsionamento site mundiale (VENDAS MUNDIALE jul26.xlsx)</t>
        </is>
      </c>
    </row>
    <row r="923" ht="15" customHeight="1" s="64">
      <c r="A923" s="110" t="inlineStr">
        <is>
          <t>JULHO/2026</t>
        </is>
      </c>
      <c r="B923" s="110" t="inlineStr">
        <is>
          <t>Marketing</t>
        </is>
      </c>
      <c r="C923" s="110" t="inlineStr">
        <is>
          <t>Vendas do site Mundiale</t>
        </is>
      </c>
      <c r="D923" s="110" t="inlineStr">
        <is>
          <t>H&amp;A</t>
        </is>
      </c>
      <c r="E923" s="129" t="n">
        <v>22</v>
      </c>
      <c r="F923" s="89" t="n">
        <v>156.91</v>
      </c>
      <c r="G923" s="89" t="n">
        <v>3452.02</v>
      </c>
      <c r="H923" s="110" t="inlineStr">
        <is>
          <t>Vendas instaladas do impulsionamento site mundiale</t>
        </is>
      </c>
    </row>
    <row r="924" ht="15" customHeight="1" s="64">
      <c r="A924" s="110" t="inlineStr">
        <is>
          <t>JULHO/2026</t>
        </is>
      </c>
      <c r="B924" s="110" t="inlineStr">
        <is>
          <t>Marketing</t>
        </is>
      </c>
      <c r="C924" s="110" t="inlineStr">
        <is>
          <t>Vendas do site Mundiale</t>
        </is>
      </c>
      <c r="D924" s="110" t="inlineStr">
        <is>
          <t>Soares e Lins</t>
        </is>
      </c>
      <c r="E924" s="129" t="n">
        <v>11</v>
      </c>
      <c r="F924" s="89" t="n">
        <v>164.27</v>
      </c>
      <c r="G924" s="89" t="n">
        <v>1806.97</v>
      </c>
      <c r="H924" s="110" t="inlineStr">
        <is>
          <t>Vendas instaladas do impulsionamento site mundiale</t>
        </is>
      </c>
    </row>
    <row r="925" ht="15" customHeight="1" s="64">
      <c r="A925" s="110" t="inlineStr">
        <is>
          <t>JULHO/2026</t>
        </is>
      </c>
      <c r="B925" s="110" t="inlineStr">
        <is>
          <t>Marketing</t>
        </is>
      </c>
      <c r="C925" s="110" t="inlineStr">
        <is>
          <t>Vendas do site Mundiale</t>
        </is>
      </c>
      <c r="D925" s="110" t="inlineStr">
        <is>
          <t>Soares e Silva</t>
        </is>
      </c>
      <c r="E925" s="129" t="n">
        <v>24</v>
      </c>
      <c r="F925" s="89" t="n">
        <v>152.82</v>
      </c>
      <c r="G925" s="89" t="n">
        <v>3667.68</v>
      </c>
      <c r="H925" s="110" t="inlineStr">
        <is>
          <t>Vendas instaladas do impulsionamento site mundiale</t>
        </is>
      </c>
    </row>
    <row r="926" ht="15" customHeight="1" s="64">
      <c r="A926" s="110" t="inlineStr">
        <is>
          <t>JULHO/2026</t>
        </is>
      </c>
      <c r="B926" s="110" t="inlineStr">
        <is>
          <t>Marketing</t>
        </is>
      </c>
      <c r="C926" s="110" t="inlineStr">
        <is>
          <t>Vendas do site Mundiale</t>
        </is>
      </c>
      <c r="D926" s="110" t="inlineStr">
        <is>
          <t>Solon Araújo</t>
        </is>
      </c>
      <c r="E926" s="129" t="n">
        <v>10</v>
      </c>
      <c r="F926" s="89" t="n">
        <v>151.02</v>
      </c>
      <c r="G926" s="89" t="n">
        <v>1510.2</v>
      </c>
      <c r="H926" s="110" t="inlineStr">
        <is>
          <t>Vendas instaladas do impulsionamento site mundiale</t>
        </is>
      </c>
    </row>
    <row r="927" ht="15" customHeight="1" s="64">
      <c r="A927" s="110" t="inlineStr">
        <is>
          <t>JULHO/2026</t>
        </is>
      </c>
      <c r="B927" s="110" t="inlineStr">
        <is>
          <t>Marketing</t>
        </is>
      </c>
      <c r="C927" s="110" t="inlineStr">
        <is>
          <t>Vendas do site Mundiale</t>
        </is>
      </c>
      <c r="D927" s="110" t="inlineStr">
        <is>
          <t>Souza e Silva</t>
        </is>
      </c>
      <c r="E927" s="129" t="n">
        <v>0</v>
      </c>
      <c r="F927" s="89" t="n">
        <v>0</v>
      </c>
      <c r="G927" s="89" t="n">
        <v>0</v>
      </c>
      <c r="H927" s="110" t="inlineStr">
        <is>
          <t>Vendas instaladas do impulsionamento site mundiale</t>
        </is>
      </c>
    </row>
    <row r="928" ht="15" customHeight="1" s="64">
      <c r="A928" s="110" t="inlineStr">
        <is>
          <t>JULHO/2026</t>
        </is>
      </c>
      <c r="B928" s="110" t="inlineStr">
        <is>
          <t>Marketing</t>
        </is>
      </c>
      <c r="C928" s="110" t="inlineStr">
        <is>
          <t>Vendas do site Mundiale</t>
        </is>
      </c>
      <c r="D928" s="110" t="inlineStr">
        <is>
          <t>Voicenet</t>
        </is>
      </c>
      <c r="E928" s="129" t="n">
        <v>12</v>
      </c>
      <c r="F928" s="89" t="n">
        <v>157.32</v>
      </c>
      <c r="G928" s="89" t="n">
        <v>1887.84</v>
      </c>
      <c r="H928" s="110" t="inlineStr">
        <is>
          <t>Vendas instaladas do impulsionamento site mundiale</t>
        </is>
      </c>
    </row>
    <row r="929" ht="15" customHeight="1" s="64">
      <c r="A929" s="110" t="inlineStr">
        <is>
          <t>JULHO/2026</t>
        </is>
      </c>
      <c r="B929" s="110" t="inlineStr">
        <is>
          <t>RH</t>
        </is>
      </c>
      <c r="C929" s="110" t="inlineStr">
        <is>
          <t>Fardamentos</t>
        </is>
      </c>
      <c r="D929" s="110" t="inlineStr">
        <is>
          <t>DX2</t>
        </is>
      </c>
      <c r="E929" s="129" t="n">
        <v>1</v>
      </c>
      <c r="F929" s="89" t="n">
        <v>91.2</v>
      </c>
      <c r="G929" s="89" t="n">
        <v>91.2</v>
      </c>
      <c r="H929" s="110" t="inlineStr">
        <is>
          <t>Solicitações de fardamentos administrativos</t>
        </is>
      </c>
    </row>
    <row r="930" ht="15" customHeight="1" s="64">
      <c r="A930" s="110" t="inlineStr">
        <is>
          <t>JULHO/2026</t>
        </is>
      </c>
      <c r="B930" s="110" t="inlineStr">
        <is>
          <t>RH</t>
        </is>
      </c>
      <c r="C930" s="110" t="inlineStr">
        <is>
          <t>Treinamentos/integração</t>
        </is>
      </c>
      <c r="D930" s="110" t="inlineStr">
        <is>
          <t>DX2</t>
        </is>
      </c>
      <c r="E930" s="129" t="n">
        <v>0</v>
      </c>
      <c r="F930" s="89" t="n">
        <v>0</v>
      </c>
      <c r="G930" s="89" t="n">
        <v>0</v>
      </c>
      <c r="H930" s="110" t="inlineStr">
        <is>
          <t>Despesas com seleção, treinamentos...</t>
        </is>
      </c>
    </row>
    <row r="931" ht="15" customHeight="1" s="64">
      <c r="A931" s="110" t="inlineStr">
        <is>
          <t>JULHO/2026</t>
        </is>
      </c>
      <c r="B931" s="110" t="inlineStr">
        <is>
          <t>RH</t>
        </is>
      </c>
      <c r="C931" s="110" t="inlineStr">
        <is>
          <t>Fardamentos</t>
        </is>
      </c>
      <c r="D931" s="110" t="inlineStr">
        <is>
          <t>Soares e Lins</t>
        </is>
      </c>
      <c r="E931" s="129" t="n">
        <v>0</v>
      </c>
      <c r="F931" s="89" t="n">
        <v>0</v>
      </c>
      <c r="G931" s="89" t="n">
        <v>0</v>
      </c>
      <c r="H931" s="110" t="inlineStr">
        <is>
          <t>Solicitações de fardamentos administrativos</t>
        </is>
      </c>
    </row>
    <row r="932" ht="15" customHeight="1" s="64">
      <c r="A932" s="110" t="inlineStr">
        <is>
          <t>JULHO/2026</t>
        </is>
      </c>
      <c r="B932" s="110" t="inlineStr">
        <is>
          <t>RH</t>
        </is>
      </c>
      <c r="C932" s="110" t="inlineStr">
        <is>
          <t>Treinamentos/integração</t>
        </is>
      </c>
      <c r="D932" s="110" t="inlineStr">
        <is>
          <t>Soares e Lins</t>
        </is>
      </c>
      <c r="E932" s="129" t="n">
        <v>0</v>
      </c>
      <c r="F932" s="89" t="n">
        <v>0</v>
      </c>
      <c r="G932" s="89" t="n">
        <v>0</v>
      </c>
      <c r="H932" s="110" t="inlineStr">
        <is>
          <t>Despesa com integração/alimentação</t>
        </is>
      </c>
    </row>
    <row r="933" ht="15" customHeight="1" s="64">
      <c r="A933" s="110" t="inlineStr">
        <is>
          <t>JULHO/2026</t>
        </is>
      </c>
      <c r="B933" s="110" t="inlineStr">
        <is>
          <t>RH</t>
        </is>
      </c>
      <c r="C933" s="110" t="inlineStr">
        <is>
          <t>Fardamentos</t>
        </is>
      </c>
      <c r="D933" s="110" t="inlineStr">
        <is>
          <t>Soares e Silva</t>
        </is>
      </c>
      <c r="E933" s="129" t="n">
        <v>1</v>
      </c>
      <c r="F933" s="89" t="n">
        <v>696</v>
      </c>
      <c r="G933" s="89" t="n">
        <v>696</v>
      </c>
      <c r="H933" s="110" t="inlineStr">
        <is>
          <t>Solicitações de fardamentos administrativos</t>
        </is>
      </c>
    </row>
    <row r="934" ht="15" customHeight="1" s="64">
      <c r="A934" s="110" t="inlineStr">
        <is>
          <t>JULHO/2026</t>
        </is>
      </c>
      <c r="B934" s="110" t="inlineStr">
        <is>
          <t>RH</t>
        </is>
      </c>
      <c r="C934" s="110" t="inlineStr">
        <is>
          <t>Fardamentos</t>
        </is>
      </c>
      <c r="D934" s="110" t="inlineStr">
        <is>
          <t>Soares e Silva</t>
        </is>
      </c>
      <c r="E934" s="129" t="n">
        <v>0</v>
      </c>
      <c r="F934" s="89" t="n">
        <v>0</v>
      </c>
      <c r="G934" s="89" t="n">
        <v>0</v>
      </c>
      <c r="H934" s="110" t="inlineStr">
        <is>
          <t>Solicitações de fardamentos administrativos</t>
        </is>
      </c>
    </row>
    <row r="935" ht="15" customHeight="1" s="64">
      <c r="A935" s="110" t="inlineStr">
        <is>
          <t>JULHO/2026</t>
        </is>
      </c>
      <c r="B935" s="110" t="inlineStr">
        <is>
          <t>RH</t>
        </is>
      </c>
      <c r="C935" s="110" t="inlineStr">
        <is>
          <t>Fardamentos</t>
        </is>
      </c>
      <c r="D935" s="110" t="inlineStr">
        <is>
          <t>Solon Araújo</t>
        </is>
      </c>
      <c r="E935" s="129" t="n">
        <v>1</v>
      </c>
      <c r="F935" s="89" t="n">
        <v>980.4</v>
      </c>
      <c r="G935" s="89" t="n">
        <v>980.4</v>
      </c>
      <c r="H935" s="110" t="inlineStr">
        <is>
          <t>Solicitações de fardamentos administrativos</t>
        </is>
      </c>
    </row>
    <row r="936" ht="15" customHeight="1" s="64">
      <c r="A936" s="110" t="inlineStr">
        <is>
          <t>JULHO/2026</t>
        </is>
      </c>
      <c r="B936" s="110" t="inlineStr">
        <is>
          <t>RH</t>
        </is>
      </c>
      <c r="C936" s="110" t="inlineStr">
        <is>
          <t>Treinamentos/integração</t>
        </is>
      </c>
      <c r="D936" s="110" t="inlineStr">
        <is>
          <t>Solon Araújo</t>
        </is>
      </c>
      <c r="E936" s="129" t="n">
        <v>0</v>
      </c>
      <c r="F936" s="89" t="n">
        <v>0</v>
      </c>
      <c r="G936" s="89" t="n">
        <v>0</v>
      </c>
      <c r="H936" s="110" t="inlineStr">
        <is>
          <t>Despesas com seleção, treinamentos...</t>
        </is>
      </c>
    </row>
    <row r="937" ht="15" customHeight="1" s="64">
      <c r="A937" s="110" t="inlineStr">
        <is>
          <t>JULHO/2026</t>
        </is>
      </c>
      <c r="B937" s="110" t="inlineStr">
        <is>
          <t>RH</t>
        </is>
      </c>
      <c r="C937" s="110" t="inlineStr">
        <is>
          <t>Fardamentos</t>
        </is>
      </c>
      <c r="D937" s="110" t="inlineStr">
        <is>
          <t>Souza e Silva</t>
        </is>
      </c>
      <c r="E937" s="129" t="n">
        <v>0</v>
      </c>
      <c r="F937" s="89" t="n">
        <v>0</v>
      </c>
      <c r="G937" s="89" t="n">
        <v>0</v>
      </c>
      <c r="H937" s="110" t="inlineStr">
        <is>
          <t>Solicitações de fardamentos administrativos</t>
        </is>
      </c>
    </row>
    <row r="938" ht="15" customHeight="1" s="64">
      <c r="A938" s="110" t="inlineStr">
        <is>
          <t>JULHO/2026</t>
        </is>
      </c>
      <c r="B938" s="110" t="inlineStr">
        <is>
          <t>RH</t>
        </is>
      </c>
      <c r="C938" s="110" t="inlineStr">
        <is>
          <t>Fardamentos</t>
        </is>
      </c>
      <c r="D938" s="110" t="inlineStr">
        <is>
          <t>Voicenet</t>
        </is>
      </c>
      <c r="E938" s="129" t="n">
        <v>1</v>
      </c>
      <c r="F938" s="89" t="n">
        <v>314.6</v>
      </c>
      <c r="G938" s="89" t="n">
        <v>314.6</v>
      </c>
      <c r="H938" s="110" t="inlineStr">
        <is>
          <t>Solicitações de fardamentos administrativos</t>
        </is>
      </c>
    </row>
    <row r="939" ht="15" customHeight="1" s="64">
      <c r="A939" s="110" t="inlineStr">
        <is>
          <t>JULHO/2026</t>
        </is>
      </c>
      <c r="B939" s="110" t="inlineStr">
        <is>
          <t>RH</t>
        </is>
      </c>
      <c r="C939" s="110" t="inlineStr">
        <is>
          <t>Treinamentos/integração</t>
        </is>
      </c>
      <c r="D939" s="110" t="inlineStr">
        <is>
          <t>Voicenet</t>
        </is>
      </c>
      <c r="E939" s="129" t="n">
        <v>0</v>
      </c>
      <c r="F939" s="89" t="n">
        <v>0</v>
      </c>
      <c r="G939" s="89" t="n">
        <v>0</v>
      </c>
      <c r="H939" s="110" t="inlineStr">
        <is>
          <t>Despesa de alimentação de colaboradores em integração</t>
        </is>
      </c>
    </row>
    <row r="940" ht="15" customHeight="1" s="64">
      <c r="A940" s="110" t="inlineStr">
        <is>
          <t>JULHO/2026</t>
        </is>
      </c>
      <c r="B940" s="110" t="inlineStr">
        <is>
          <t>Relacionamento</t>
        </is>
      </c>
      <c r="C940" s="110" t="inlineStr">
        <is>
          <t>Relacionamento Dtel</t>
        </is>
      </c>
      <c r="D940" s="110" t="inlineStr">
        <is>
          <t>H&amp;A</t>
        </is>
      </c>
      <c r="E940" s="129" t="n">
        <v>13530</v>
      </c>
      <c r="F940" s="89" t="n">
        <v>3.18253026831306</v>
      </c>
      <c r="G940" s="89" t="n">
        <v>43059.63453</v>
      </c>
      <c r="H940" s="110" t="inlineStr">
        <is>
          <t>Cálculo por número de clientes ativos</t>
        </is>
      </c>
    </row>
    <row r="941" ht="15" customHeight="1" s="64">
      <c r="A941" s="110" t="inlineStr">
        <is>
          <t>JULHO/2026</t>
        </is>
      </c>
      <c r="B941" s="110" t="inlineStr">
        <is>
          <t>Segurança do Trabalho</t>
        </is>
      </c>
      <c r="C941" s="110" t="inlineStr">
        <is>
          <t>Equipamentos de Segurança</t>
        </is>
      </c>
      <c r="D941" s="110" t="inlineStr">
        <is>
          <t>DX2</t>
        </is>
      </c>
      <c r="E941" s="129" t="n">
        <v>-1</v>
      </c>
      <c r="F941" s="89" t="n">
        <v>847.7</v>
      </c>
      <c r="G941" s="89" t="n">
        <v>-847.7</v>
      </c>
      <c r="H941" s="110" t="inlineStr">
        <is>
          <t>Devolução de Crédito</t>
        </is>
      </c>
    </row>
    <row r="942" ht="15" customHeight="1" s="64">
      <c r="A942" s="110" t="inlineStr">
        <is>
          <t>JULHO/2026</t>
        </is>
      </c>
      <c r="B942" s="110" t="inlineStr">
        <is>
          <t>Segurança do Trabalho</t>
        </is>
      </c>
      <c r="C942" s="110" t="inlineStr">
        <is>
          <t>Equipamentos de Segurança</t>
        </is>
      </c>
      <c r="D942" s="110" t="inlineStr">
        <is>
          <t>DX2</t>
        </is>
      </c>
      <c r="E942" s="129" t="n">
        <v>1</v>
      </c>
      <c r="F942" s="89" t="n">
        <v>2959.45</v>
      </c>
      <c r="G942" s="89" t="n">
        <v>2959.45</v>
      </c>
      <c r="H942" s="110" t="inlineStr">
        <is>
          <t>EPI/Equipamentos do mês (CUSTO DE SEGURANÇA - JUl26.xlsx)</t>
        </is>
      </c>
    </row>
    <row r="943" ht="15" customHeight="1" s="64">
      <c r="A943" s="110" t="inlineStr">
        <is>
          <t>JULHO/2026</t>
        </is>
      </c>
      <c r="B943" s="110" t="inlineStr">
        <is>
          <t>Segurança do Trabalho</t>
        </is>
      </c>
      <c r="C943" s="110" t="inlineStr">
        <is>
          <t>Equipamentos de Segurança</t>
        </is>
      </c>
      <c r="D943" s="110" t="inlineStr">
        <is>
          <t>H&amp;A</t>
        </is>
      </c>
      <c r="E943" s="129" t="n">
        <v>1</v>
      </c>
      <c r="F943" s="89" t="n">
        <v>863</v>
      </c>
      <c r="G943" s="89" t="n">
        <v>863</v>
      </c>
      <c r="H943" s="110" t="inlineStr">
        <is>
          <t>EPI/Equipamentos do mês</t>
        </is>
      </c>
    </row>
    <row r="944" ht="15" customHeight="1" s="64">
      <c r="A944" s="110" t="inlineStr">
        <is>
          <t>JULHO/2026</t>
        </is>
      </c>
      <c r="B944" s="110" t="inlineStr">
        <is>
          <t>Segurança do Trabalho</t>
        </is>
      </c>
      <c r="C944" s="110" t="inlineStr">
        <is>
          <t>Km rodado Segurança e Saúde do Trabalho dtel p/ H&amp;a</t>
        </is>
      </c>
      <c r="D944" s="110" t="inlineStr">
        <is>
          <t>H&amp;A</t>
        </is>
      </c>
      <c r="E944" s="129" t="n">
        <v>0</v>
      </c>
      <c r="F944" s="89" t="n">
        <v>0</v>
      </c>
      <c r="G944" s="89" t="n">
        <v>0</v>
      </c>
      <c r="H944" s="110" t="inlineStr">
        <is>
          <t>Deslocamento da equipe para Horas cursos de normas e reciclagem ou visitas</t>
        </is>
      </c>
    </row>
    <row r="945" ht="15" customHeight="1" s="64">
      <c r="A945" s="110" t="inlineStr">
        <is>
          <t>JULHO/2026</t>
        </is>
      </c>
      <c r="B945" s="110" t="inlineStr">
        <is>
          <t>Segurança do Trabalho</t>
        </is>
      </c>
      <c r="C945" s="110" t="inlineStr">
        <is>
          <t>Saude e segurança no trabalho</t>
        </is>
      </c>
      <c r="D945" s="110" t="inlineStr">
        <is>
          <t>H&amp;A</t>
        </is>
      </c>
      <c r="E945" s="129" t="n">
        <v>0</v>
      </c>
      <c r="F945" s="89" t="n">
        <v>0</v>
      </c>
      <c r="G945" s="89" t="n">
        <v>0</v>
      </c>
      <c r="H945" s="110" t="inlineStr">
        <is>
          <t>Rateio do departamento (despesa por colaborador, mês de jan fev e março)</t>
        </is>
      </c>
    </row>
    <row r="946" ht="15" customHeight="1" s="64">
      <c r="A946" s="110" t="inlineStr">
        <is>
          <t>JULHO/2026</t>
        </is>
      </c>
      <c r="B946" s="110" t="inlineStr">
        <is>
          <t>Segurança do Trabalho</t>
        </is>
      </c>
      <c r="C946" s="110" t="inlineStr">
        <is>
          <t>Serviços prestados pela equipe Segurança do trabalho dtel p/ h&amp;a</t>
        </is>
      </c>
      <c r="D946" s="110" t="inlineStr">
        <is>
          <t>H&amp;A</t>
        </is>
      </c>
      <c r="E946" s="129" t="n">
        <v>1</v>
      </c>
      <c r="F946" s="89" t="n">
        <v>6471.5</v>
      </c>
      <c r="G946" s="89" t="n">
        <v>6471.5</v>
      </c>
      <c r="H946" s="110" t="inlineStr">
        <is>
          <t>Serviços da equipe para Horas cursos de normas e reciclagem ou visitas</t>
        </is>
      </c>
    </row>
    <row r="947" ht="15" customHeight="1" s="64">
      <c r="A947" s="110" t="inlineStr">
        <is>
          <t>JULHO/2026</t>
        </is>
      </c>
      <c r="B947" s="110" t="inlineStr">
        <is>
          <t>Segurança do Trabalho</t>
        </is>
      </c>
      <c r="C947" s="110" t="inlineStr">
        <is>
          <t>Equipamentos de Segurança</t>
        </is>
      </c>
      <c r="D947" s="110" t="inlineStr">
        <is>
          <t>Soares e Lins</t>
        </is>
      </c>
      <c r="E947" s="129" t="n">
        <v>1</v>
      </c>
      <c r="F947" s="89" t="n">
        <v>1119.06</v>
      </c>
      <c r="G947" s="89" t="n">
        <v>1119.06</v>
      </c>
      <c r="H947" s="110" t="inlineStr">
        <is>
          <t>EPI/Equipamentos do mês</t>
        </is>
      </c>
    </row>
    <row r="948" ht="15" customHeight="1" s="64">
      <c r="A948" s="110" t="inlineStr">
        <is>
          <t>JULHO/2026</t>
        </is>
      </c>
      <c r="B948" s="110" t="inlineStr">
        <is>
          <t>Segurança do Trabalho</t>
        </is>
      </c>
      <c r="C948" s="110" t="inlineStr">
        <is>
          <t>Equipamentos de Segurança</t>
        </is>
      </c>
      <c r="D948" s="110" t="inlineStr">
        <is>
          <t>Soares e Lins</t>
        </is>
      </c>
      <c r="E948" s="129" t="n">
        <v>-1</v>
      </c>
      <c r="F948" s="89" t="n">
        <v>155.9</v>
      </c>
      <c r="G948" s="89" t="n">
        <v>-155.9</v>
      </c>
      <c r="H948" s="110" t="inlineStr">
        <is>
          <t>Devolução de Crédito</t>
        </is>
      </c>
    </row>
    <row r="949" ht="15" customHeight="1" s="64">
      <c r="A949" s="110" t="inlineStr">
        <is>
          <t>JULHO/2026</t>
        </is>
      </c>
      <c r="B949" s="110" t="inlineStr">
        <is>
          <t>Segurança do Trabalho</t>
        </is>
      </c>
      <c r="C949" s="110" t="inlineStr">
        <is>
          <t>Km rodado Segurança e Saúde do Trabalho dtel p/ soares e lins</t>
        </is>
      </c>
      <c r="D949" s="110" t="inlineStr">
        <is>
          <t>Soares e Lins</t>
        </is>
      </c>
      <c r="E949" s="129" t="n">
        <v>0</v>
      </c>
      <c r="F949" s="89" t="n">
        <v>0</v>
      </c>
      <c r="G949" s="89" t="n">
        <v>0</v>
      </c>
      <c r="H949" s="110" t="inlineStr">
        <is>
          <t>Deslocamento da equipe para Horas cursos de normas e reciclagem ou visitas</t>
        </is>
      </c>
    </row>
    <row r="950" ht="15" customHeight="1" s="64">
      <c r="A950" s="110" t="inlineStr">
        <is>
          <t>JULHO/2026</t>
        </is>
      </c>
      <c r="B950" s="110" t="inlineStr">
        <is>
          <t>Segurança do Trabalho</t>
        </is>
      </c>
      <c r="C950" s="110" t="inlineStr">
        <is>
          <t>Serviços prestados pela equipe Segurança do trabalho</t>
        </is>
      </c>
      <c r="D950" s="110" t="inlineStr">
        <is>
          <t>Soares e Lins</t>
        </is>
      </c>
      <c r="E950" s="129" t="n">
        <v>0</v>
      </c>
      <c r="F950" s="89" t="n">
        <v>0</v>
      </c>
      <c r="G950" s="89" t="n">
        <v>0</v>
      </c>
      <c r="H950" s="110" t="inlineStr">
        <is>
          <t>Serviços da equipe para Horas cursos de normas e reciclagem ou visitas</t>
        </is>
      </c>
    </row>
    <row r="951" ht="15" customHeight="1" s="64">
      <c r="A951" s="110" t="inlineStr">
        <is>
          <t>JULHO/2026</t>
        </is>
      </c>
      <c r="B951" s="110" t="inlineStr">
        <is>
          <t>Segurança do Trabalho</t>
        </is>
      </c>
      <c r="C951" s="110" t="inlineStr">
        <is>
          <t>Equipamentos de Segurança</t>
        </is>
      </c>
      <c r="D951" s="110" t="inlineStr">
        <is>
          <t>Soares e Silva</t>
        </is>
      </c>
      <c r="E951" s="129" t="n">
        <v>1</v>
      </c>
      <c r="F951" s="89" t="n">
        <v>8439.17</v>
      </c>
      <c r="G951" s="89" t="n">
        <v>8439.17</v>
      </c>
      <c r="H951" s="110" t="inlineStr">
        <is>
          <t>EPI/Equipamentos do mês</t>
        </is>
      </c>
    </row>
    <row r="952" ht="15" customHeight="1" s="64">
      <c r="A952" s="110" t="inlineStr">
        <is>
          <t>JULHO/2026</t>
        </is>
      </c>
      <c r="B952" s="110" t="inlineStr">
        <is>
          <t>Segurança do Trabalho</t>
        </is>
      </c>
      <c r="C952" s="110" t="inlineStr">
        <is>
          <t>Km rodado Segurança e Saúde do Trabalho soares e silva p/ Dtel</t>
        </is>
      </c>
      <c r="D952" s="110" t="inlineStr">
        <is>
          <t>Soares e Silva</t>
        </is>
      </c>
      <c r="E952" s="129" t="n">
        <v>0</v>
      </c>
      <c r="F952" s="89" t="n">
        <v>0</v>
      </c>
      <c r="G952" s="89" t="n">
        <v>0</v>
      </c>
      <c r="H952" s="110" t="inlineStr">
        <is>
          <t>Deslocamento da equipe para Horas cursos de normas e reciclagem ou visitas</t>
        </is>
      </c>
    </row>
    <row r="953" ht="15" customHeight="1" s="64">
      <c r="A953" s="110" t="inlineStr">
        <is>
          <t>JULHO/2026</t>
        </is>
      </c>
      <c r="B953" s="110" t="inlineStr">
        <is>
          <t>Segurança do Trabalho</t>
        </is>
      </c>
      <c r="C953" s="110" t="inlineStr">
        <is>
          <t>Km rodado Segurança e Saúde do Trabalho soares e silva p/ LITORAL</t>
        </is>
      </c>
      <c r="D953" s="110" t="inlineStr">
        <is>
          <t>Soares e Silva</t>
        </is>
      </c>
      <c r="E953" s="129" t="n">
        <v>0</v>
      </c>
      <c r="F953" s="89" t="n">
        <v>0</v>
      </c>
      <c r="G953" s="89" t="n">
        <v>0</v>
      </c>
      <c r="H953" s="110" t="inlineStr">
        <is>
          <t>Deslocamento da equipe para Horas cursos de normas e reciclagem ou visitas</t>
        </is>
      </c>
    </row>
    <row r="954" ht="15" customHeight="1" s="64">
      <c r="A954" s="110" t="inlineStr">
        <is>
          <t>JULHO/2026</t>
        </is>
      </c>
      <c r="B954" s="110" t="inlineStr">
        <is>
          <t>Segurança do Trabalho</t>
        </is>
      </c>
      <c r="C954" s="110" t="inlineStr">
        <is>
          <t>Serviços prestados pela equipe Seg. soares e silva p/ dtel</t>
        </is>
      </c>
      <c r="D954" s="110" t="inlineStr">
        <is>
          <t>Soares e Silva</t>
        </is>
      </c>
      <c r="E954" s="129" t="n">
        <v>-1</v>
      </c>
      <c r="F954" s="89" t="n">
        <v>358.78</v>
      </c>
      <c r="G954" s="89" t="n">
        <v>-358.78</v>
      </c>
      <c r="H954" s="110" t="inlineStr">
        <is>
          <t>Devolução de Crédito</t>
        </is>
      </c>
    </row>
    <row r="955" ht="15" customHeight="1" s="64">
      <c r="A955" s="110" t="inlineStr">
        <is>
          <t>JULHO/2026</t>
        </is>
      </c>
      <c r="B955" s="110" t="inlineStr">
        <is>
          <t>Segurança do Trabalho</t>
        </is>
      </c>
      <c r="C955" s="110" t="inlineStr">
        <is>
          <t>Serviços prestados pela equipe Segurança do trabalho soares e silva p/ dtel</t>
        </is>
      </c>
      <c r="D955" s="110" t="inlineStr">
        <is>
          <t>Soares e Silva</t>
        </is>
      </c>
      <c r="E955" s="129" t="n">
        <v>0</v>
      </c>
      <c r="F955" s="89" t="n">
        <v>0</v>
      </c>
      <c r="G955" s="89" t="n">
        <v>0</v>
      </c>
      <c r="H955" s="110" t="inlineStr">
        <is>
          <t>Serviços da equipe para Horas cursos de normas e reciclagem ou visitas</t>
        </is>
      </c>
    </row>
    <row r="956" ht="15" customHeight="1" s="64">
      <c r="A956" s="110" t="inlineStr">
        <is>
          <t>JULHO/2026</t>
        </is>
      </c>
      <c r="B956" s="110" t="inlineStr">
        <is>
          <t>Segurança do Trabalho</t>
        </is>
      </c>
      <c r="C956" s="110" t="inlineStr">
        <is>
          <t>Serviços prestados pela equipe Segurança do trabalho soares e silva p/ litoral</t>
        </is>
      </c>
      <c r="D956" s="110" t="inlineStr">
        <is>
          <t>Soares e Silva</t>
        </is>
      </c>
      <c r="E956" s="129" t="n">
        <v>0</v>
      </c>
      <c r="F956" s="89" t="n">
        <v>0</v>
      </c>
      <c r="G956" s="89" t="n">
        <v>0</v>
      </c>
      <c r="H956" s="110" t="inlineStr">
        <is>
          <t>Serviços da equipe para Horas cursos de normas e reciclagem ou visitas</t>
        </is>
      </c>
    </row>
    <row r="957" ht="15" customHeight="1" s="64">
      <c r="A957" s="110" t="inlineStr">
        <is>
          <t>JULHO/2026</t>
        </is>
      </c>
      <c r="B957" s="110" t="inlineStr">
        <is>
          <t>Segurança do Trabalho</t>
        </is>
      </c>
      <c r="C957" s="110" t="inlineStr">
        <is>
          <t>Equipamentos de Segurança</t>
        </is>
      </c>
      <c r="D957" s="110" t="inlineStr">
        <is>
          <t>Solon Araújo</t>
        </is>
      </c>
      <c r="E957" s="129" t="n">
        <v>1</v>
      </c>
      <c r="F957" s="89" t="n">
        <v>3957</v>
      </c>
      <c r="G957" s="89" t="n">
        <v>3957</v>
      </c>
      <c r="H957" s="110" t="inlineStr">
        <is>
          <t>EPI, EPC, Fardamento</t>
        </is>
      </c>
    </row>
    <row r="958" ht="15" customHeight="1" s="64">
      <c r="A958" s="110" t="inlineStr">
        <is>
          <t>JULHO/2026</t>
        </is>
      </c>
      <c r="B958" s="110" t="inlineStr">
        <is>
          <t>Segurança do Trabalho</t>
        </is>
      </c>
      <c r="C958" s="110" t="inlineStr">
        <is>
          <t>Equipamentos de Segurança</t>
        </is>
      </c>
      <c r="D958" s="110" t="inlineStr">
        <is>
          <t>Solon Araújo</t>
        </is>
      </c>
      <c r="E958" s="129" t="n">
        <v>0</v>
      </c>
      <c r="F958" s="89" t="n">
        <v>0</v>
      </c>
      <c r="G958" s="89" t="n">
        <v>0</v>
      </c>
      <c r="H958" s="110" t="inlineStr">
        <is>
          <t>EPI, EPC, Fardamento</t>
        </is>
      </c>
    </row>
    <row r="959" ht="15" customHeight="1" s="64">
      <c r="A959" s="110" t="inlineStr">
        <is>
          <t>JULHO/2026</t>
        </is>
      </c>
      <c r="B959" s="110" t="inlineStr">
        <is>
          <t>Segurança do Trabalho</t>
        </is>
      </c>
      <c r="C959" s="110" t="inlineStr">
        <is>
          <t>Km rodado Segurança e Saúde do Trabalho soares e silva p/ LITORAL</t>
        </is>
      </c>
      <c r="D959" s="110" t="inlineStr">
        <is>
          <t>Solon Araújo</t>
        </is>
      </c>
      <c r="E959" s="129" t="n">
        <v>0</v>
      </c>
      <c r="F959" s="89" t="n">
        <v>0</v>
      </c>
      <c r="G959" s="89" t="n">
        <v>0</v>
      </c>
      <c r="H959" s="110" t="inlineStr">
        <is>
          <t>Serviços da equipe para Horas cursos de normas e reciclagem ou visitas</t>
        </is>
      </c>
    </row>
    <row r="960" ht="15" customHeight="1" s="64">
      <c r="A960" s="110" t="inlineStr">
        <is>
          <t>JULHO/2026</t>
        </is>
      </c>
      <c r="B960" s="110" t="inlineStr">
        <is>
          <t>Segurança do Trabalho</t>
        </is>
      </c>
      <c r="C960" s="110" t="inlineStr">
        <is>
          <t>Serviços prestados pela equipe Segurança do trabalho soares e silva p/ LITORAL</t>
        </is>
      </c>
      <c r="D960" s="110" t="inlineStr">
        <is>
          <t>Solon Araújo</t>
        </is>
      </c>
      <c r="E960" s="129" t="n">
        <v>0</v>
      </c>
      <c r="F960" s="89" t="n">
        <v>0</v>
      </c>
      <c r="G960" s="89" t="n">
        <v>0</v>
      </c>
      <c r="H960" s="110" t="inlineStr">
        <is>
          <t>Serviços da equipe para Horas cursos de normas e reciclagem ou visitas</t>
        </is>
      </c>
    </row>
    <row r="961" ht="15" customHeight="1" s="64">
      <c r="A961" s="110" t="inlineStr">
        <is>
          <t>JULHO/2026</t>
        </is>
      </c>
      <c r="B961" s="110" t="inlineStr">
        <is>
          <t>Segurança do Trabalho</t>
        </is>
      </c>
      <c r="C961" s="110" t="inlineStr">
        <is>
          <t>Equipamentos de Segurança</t>
        </is>
      </c>
      <c r="D961" s="110" t="inlineStr">
        <is>
          <t>Souza e Silva</t>
        </is>
      </c>
      <c r="E961" s="129" t="n">
        <v>1</v>
      </c>
      <c r="F961" s="89" t="n">
        <v>1010.04</v>
      </c>
      <c r="G961" s="89" t="n">
        <v>1010.04</v>
      </c>
      <c r="H961" s="110" t="inlineStr">
        <is>
          <t>EPI/Equipamentos do mês</t>
        </is>
      </c>
    </row>
    <row r="962" ht="15" customHeight="1" s="64">
      <c r="A962" s="110" t="inlineStr">
        <is>
          <t>JULHO/2026</t>
        </is>
      </c>
      <c r="B962" s="110" t="inlineStr">
        <is>
          <t>Segurança do Trabalho</t>
        </is>
      </c>
      <c r="C962" s="110" t="inlineStr">
        <is>
          <t>Equipamentos de Segurança</t>
        </is>
      </c>
      <c r="D962" s="110" t="inlineStr">
        <is>
          <t>Souza e Silva</t>
        </is>
      </c>
      <c r="E962" s="129" t="n">
        <v>0</v>
      </c>
      <c r="F962" s="89" t="n">
        <v>0</v>
      </c>
      <c r="G962" s="89" t="n">
        <v>0</v>
      </c>
      <c r="H962" s="110" t="inlineStr">
        <is>
          <t>Devolução de Crédito</t>
        </is>
      </c>
    </row>
    <row r="963" ht="15" customHeight="1" s="64">
      <c r="A963" s="110" t="inlineStr">
        <is>
          <t>JULHO/2026</t>
        </is>
      </c>
      <c r="B963" s="110" t="inlineStr">
        <is>
          <t>Segurança do Trabalho</t>
        </is>
      </c>
      <c r="C963" s="110" t="inlineStr">
        <is>
          <t>Equipamentos de Segurança</t>
        </is>
      </c>
      <c r="D963" s="110" t="inlineStr">
        <is>
          <t>Voicenet</t>
        </is>
      </c>
      <c r="E963" s="129" t="n">
        <v>1</v>
      </c>
      <c r="F963" s="89" t="n">
        <v>6035.94</v>
      </c>
      <c r="G963" s="89" t="n">
        <v>6035.94</v>
      </c>
      <c r="H963" s="110" t="inlineStr">
        <is>
          <t>EPI/Equipamentos do mês</t>
        </is>
      </c>
    </row>
    <row r="964" ht="15" customHeight="1" s="64">
      <c r="A964" s="110" t="inlineStr">
        <is>
          <t>JULHO/2026</t>
        </is>
      </c>
      <c r="B964" s="110" t="inlineStr">
        <is>
          <t>Segurança do Trabalho</t>
        </is>
      </c>
      <c r="C964" s="110" t="inlineStr">
        <is>
          <t>Equipamentos de Segurança</t>
        </is>
      </c>
      <c r="D964" s="110" t="inlineStr">
        <is>
          <t>Voicenet</t>
        </is>
      </c>
      <c r="E964" s="129" t="n">
        <v>-1</v>
      </c>
      <c r="F964" s="89" t="n">
        <v>1333.53</v>
      </c>
      <c r="G964" s="89" t="n">
        <v>-1333.53</v>
      </c>
      <c r="H964" s="110" t="inlineStr">
        <is>
          <t>Devolução de Crédito</t>
        </is>
      </c>
    </row>
    <row r="965" ht="15" customHeight="1" s="64">
      <c r="A965" s="110" t="inlineStr">
        <is>
          <t>JULHO/2026</t>
        </is>
      </c>
      <c r="B965" s="110" t="inlineStr">
        <is>
          <t>Segurança do Trabalho</t>
        </is>
      </c>
      <c r="C965" s="110" t="inlineStr">
        <is>
          <t>Km rodado Segurança e Saúde do Trabalho dtel p/ voice net</t>
        </is>
      </c>
      <c r="D965" s="110" t="inlineStr">
        <is>
          <t>Voicenet</t>
        </is>
      </c>
      <c r="E965" s="129" t="n">
        <v>0</v>
      </c>
      <c r="F965" s="89" t="n">
        <v>0</v>
      </c>
      <c r="G965" s="89" t="n">
        <v>0</v>
      </c>
      <c r="H965" s="110" t="inlineStr">
        <is>
          <t>Deslocamento da equipe para Horas cursos de normas e reciclagem ou visitas</t>
        </is>
      </c>
    </row>
    <row r="966" ht="15" customHeight="1" s="64">
      <c r="A966" s="110" t="inlineStr">
        <is>
          <t>JULHO/2026</t>
        </is>
      </c>
      <c r="B966" s="110" t="inlineStr">
        <is>
          <t>Segurança do Trabalho</t>
        </is>
      </c>
      <c r="C966" s="110" t="inlineStr">
        <is>
          <t>Serviços prestados pela equipe Segurança do trabalho</t>
        </is>
      </c>
      <c r="D966" s="110" t="inlineStr">
        <is>
          <t>Voicenet</t>
        </is>
      </c>
      <c r="E966" s="129" t="n">
        <v>0</v>
      </c>
      <c r="F966" s="89" t="n">
        <v>0</v>
      </c>
      <c r="G966" s="89" t="n">
        <v>0</v>
      </c>
      <c r="H966" s="110" t="inlineStr">
        <is>
          <t>Serviços da equipe para Horas cursos de normas e reciclagem ou visitas</t>
        </is>
      </c>
    </row>
    <row r="967" ht="15" customHeight="1" s="64">
      <c r="A967" s="110" t="inlineStr">
        <is>
          <t>JULHO/2026</t>
        </is>
      </c>
      <c r="B967" s="110" t="inlineStr">
        <is>
          <t>TIC</t>
        </is>
      </c>
      <c r="C967" s="110" t="inlineStr">
        <is>
          <t>E-mail Dtel</t>
        </is>
      </c>
      <c r="D967" s="110" t="inlineStr">
        <is>
          <t>DX2</t>
        </is>
      </c>
      <c r="E967" s="129" t="n">
        <v>2</v>
      </c>
      <c r="F967" s="89" t="n">
        <v>50</v>
      </c>
      <c r="G967" s="89" t="n">
        <v>100</v>
      </c>
      <c r="H967" s="110" t="inlineStr">
        <is>
          <t>Utilização de email corporativo</t>
        </is>
      </c>
    </row>
    <row r="968" ht="15" customHeight="1" s="64">
      <c r="A968" s="110" t="inlineStr">
        <is>
          <t>JULHO/2026</t>
        </is>
      </c>
      <c r="B968" s="110" t="inlineStr">
        <is>
          <t>TIC</t>
        </is>
      </c>
      <c r="C968" s="110" t="inlineStr">
        <is>
          <t>E-mail Dtel</t>
        </is>
      </c>
      <c r="D968" s="110" t="inlineStr">
        <is>
          <t>Soares e Lins</t>
        </is>
      </c>
      <c r="E968" s="129" t="n">
        <v>1</v>
      </c>
      <c r="F968" s="89" t="n">
        <v>10</v>
      </c>
      <c r="G968" s="89" t="n">
        <v>10</v>
      </c>
      <c r="H968" s="110" t="inlineStr">
        <is>
          <t>Utilização de email corporativo</t>
        </is>
      </c>
    </row>
    <row r="969" ht="15" customHeight="1" s="64">
      <c r="A969" s="110" t="inlineStr">
        <is>
          <t>JULHO/2026</t>
        </is>
      </c>
      <c r="B969" s="110" t="inlineStr">
        <is>
          <t>TIC</t>
        </is>
      </c>
      <c r="C969" s="110" t="inlineStr">
        <is>
          <t>E-mail Dtel</t>
        </is>
      </c>
      <c r="D969" s="110" t="inlineStr">
        <is>
          <t>Soares e Silva</t>
        </is>
      </c>
      <c r="E969" s="129" t="n">
        <v>1</v>
      </c>
      <c r="F969" s="89" t="n">
        <v>10</v>
      </c>
      <c r="G969" s="89" t="n">
        <v>10</v>
      </c>
      <c r="H969" s="110" t="inlineStr">
        <is>
          <t>Utilização de email corporativo</t>
        </is>
      </c>
    </row>
    <row r="970" ht="15" customHeight="1" s="64">
      <c r="A970" s="110" t="inlineStr">
        <is>
          <t>JULHO/2026</t>
        </is>
      </c>
      <c r="B970" s="110" t="inlineStr">
        <is>
          <t>TIC</t>
        </is>
      </c>
      <c r="C970" s="110" t="inlineStr">
        <is>
          <t>E-mail Dtel</t>
        </is>
      </c>
      <c r="D970" s="110" t="inlineStr">
        <is>
          <t>Soares e Silva</t>
        </is>
      </c>
      <c r="E970" s="129" t="n">
        <v>5</v>
      </c>
      <c r="F970" s="89" t="n">
        <v>50</v>
      </c>
      <c r="G970" s="89" t="n">
        <v>250</v>
      </c>
      <c r="H970" s="110" t="inlineStr">
        <is>
          <t>Utilização de email corporativo</t>
        </is>
      </c>
    </row>
    <row r="971" ht="15" customHeight="1" s="64">
      <c r="A971" s="110" t="inlineStr">
        <is>
          <t>JULHO/2026</t>
        </is>
      </c>
      <c r="B971" s="110" t="inlineStr">
        <is>
          <t>TIC</t>
        </is>
      </c>
      <c r="C971" s="110" t="inlineStr">
        <is>
          <t>E-mail Dtel</t>
        </is>
      </c>
      <c r="D971" s="110" t="inlineStr">
        <is>
          <t>Solon Araújo</t>
        </is>
      </c>
      <c r="E971" s="129" t="n">
        <v>1</v>
      </c>
      <c r="F971" s="89" t="n">
        <v>10</v>
      </c>
      <c r="G971" s="89" t="n">
        <v>10</v>
      </c>
      <c r="H971" s="110" t="inlineStr">
        <is>
          <t>Utilização de email corporativo</t>
        </is>
      </c>
    </row>
    <row r="972" ht="15" customHeight="1" s="64">
      <c r="A972" s="110" t="inlineStr">
        <is>
          <t>JULHO/2026</t>
        </is>
      </c>
      <c r="B972" s="110" t="inlineStr">
        <is>
          <t>TIC</t>
        </is>
      </c>
      <c r="C972" s="110" t="inlineStr">
        <is>
          <t>E-mail Dtel</t>
        </is>
      </c>
      <c r="D972" s="110" t="inlineStr">
        <is>
          <t>Solon Araújo</t>
        </is>
      </c>
      <c r="E972" s="129" t="n">
        <v>2</v>
      </c>
      <c r="F972" s="89" t="n">
        <v>50</v>
      </c>
      <c r="G972" s="89" t="n">
        <v>100</v>
      </c>
      <c r="H972" s="110" t="inlineStr">
        <is>
          <t>Utilização de email corporativo</t>
        </is>
      </c>
    </row>
    <row r="973" ht="15" customHeight="1" s="64">
      <c r="A973" s="110" t="inlineStr">
        <is>
          <t>JULHO/2026</t>
        </is>
      </c>
      <c r="B973" s="110" t="inlineStr">
        <is>
          <t>TIC</t>
        </is>
      </c>
      <c r="C973" s="110" t="inlineStr">
        <is>
          <t>E-mail Dtel</t>
        </is>
      </c>
      <c r="D973" s="110" t="inlineStr">
        <is>
          <t>Souza e Silva</t>
        </is>
      </c>
      <c r="E973" s="129" t="n">
        <v>1</v>
      </c>
      <c r="F973" s="89" t="n">
        <v>50</v>
      </c>
      <c r="G973" s="89" t="n">
        <v>50</v>
      </c>
      <c r="H973" s="110" t="inlineStr">
        <is>
          <t>Utilização de email corporativo</t>
        </is>
      </c>
    </row>
    <row r="974" ht="15" customHeight="1" s="64">
      <c r="A974" s="110" t="inlineStr">
        <is>
          <t>JULHO/2026</t>
        </is>
      </c>
      <c r="B974" s="110" t="inlineStr">
        <is>
          <t>TIC</t>
        </is>
      </c>
      <c r="C974" s="110" t="inlineStr">
        <is>
          <t>E-mail Dtel</t>
        </is>
      </c>
      <c r="D974" s="110" t="inlineStr">
        <is>
          <t>Voicenet</t>
        </is>
      </c>
      <c r="E974" s="129" t="n">
        <v>1</v>
      </c>
      <c r="F974" s="89" t="n">
        <v>90</v>
      </c>
      <c r="G974" s="89" t="n">
        <v>90</v>
      </c>
      <c r="H974" s="110" t="inlineStr">
        <is>
          <t>Utilização de email corporativo</t>
        </is>
      </c>
    </row>
    <row r="975" ht="15" customHeight="1" s="64">
      <c r="A975" s="110" t="inlineStr">
        <is>
          <t>JULHO/2026</t>
        </is>
      </c>
      <c r="B975" s="110" t="inlineStr">
        <is>
          <t>TIC</t>
        </is>
      </c>
      <c r="C975" s="110" t="inlineStr">
        <is>
          <t>E-mail Dtel</t>
        </is>
      </c>
      <c r="D975" s="110" t="inlineStr">
        <is>
          <t>Voicenet</t>
        </is>
      </c>
      <c r="E975" s="129" t="n">
        <v>2</v>
      </c>
      <c r="F975" s="89" t="n">
        <v>10</v>
      </c>
      <c r="G975" s="89" t="n">
        <v>20</v>
      </c>
      <c r="H975" s="110" t="inlineStr">
        <is>
          <t>Utilização de email corporativo</t>
        </is>
      </c>
    </row>
    <row r="976" ht="15" customHeight="1" s="64">
      <c r="A976" s="110" t="inlineStr">
        <is>
          <t>JULHO/2026</t>
        </is>
      </c>
      <c r="B976" s="110" t="inlineStr">
        <is>
          <t>TIC</t>
        </is>
      </c>
      <c r="C976" s="110" t="inlineStr">
        <is>
          <t>E-mail Dtel</t>
        </is>
      </c>
      <c r="D976" s="110" t="inlineStr">
        <is>
          <t>Voicenet</t>
        </is>
      </c>
      <c r="E976" s="129" t="n">
        <v>3</v>
      </c>
      <c r="F976" s="89" t="n">
        <v>50</v>
      </c>
      <c r="G976" s="89" t="n">
        <v>150</v>
      </c>
      <c r="H976" s="110" t="inlineStr">
        <is>
          <t>Utilização de email corporativo</t>
        </is>
      </c>
    </row>
    <row r="977" ht="15" customHeight="1" s="64">
      <c r="A977" s="110" t="inlineStr">
        <is>
          <t>JULHO/2026</t>
        </is>
      </c>
      <c r="B977" s="110" t="inlineStr">
        <is>
          <t>Compras</t>
        </is>
      </c>
      <c r="C977" s="110" t="inlineStr">
        <is>
          <t>Compras</t>
        </is>
      </c>
      <c r="D977" s="110" t="inlineStr">
        <is>
          <t>DX2</t>
        </is>
      </c>
      <c r="E977" s="129" t="n">
        <v>6588</v>
      </c>
      <c r="F977" s="89" t="n">
        <v>0.138633956355371</v>
      </c>
      <c r="G977" s="89" t="n">
        <v>913.320504</v>
      </c>
      <c r="H977" s="110" t="inlineStr">
        <is>
          <t>Cálculo por número de clientes ativos</t>
        </is>
      </c>
    </row>
    <row r="978" ht="15" customHeight="1" s="64">
      <c r="A978" s="110" t="inlineStr">
        <is>
          <t>JULHO/2026</t>
        </is>
      </c>
      <c r="B978" s="110" t="inlineStr">
        <is>
          <t>Compras</t>
        </is>
      </c>
      <c r="C978" s="110" t="inlineStr">
        <is>
          <t>Compras</t>
        </is>
      </c>
      <c r="D978" s="110" t="inlineStr">
        <is>
          <t>Soares e Lins</t>
        </is>
      </c>
      <c r="E978" s="129" t="n">
        <v>3765</v>
      </c>
      <c r="F978" s="89" t="n">
        <v>0.138633956355371</v>
      </c>
      <c r="G978" s="89" t="n">
        <v>521.956846</v>
      </c>
      <c r="H978" s="110" t="inlineStr">
        <is>
          <t>Cálculo por número de clientes ativos</t>
        </is>
      </c>
    </row>
    <row r="979" ht="15" customHeight="1" s="64">
      <c r="A979" s="110" t="inlineStr">
        <is>
          <t>JULHO/2026</t>
        </is>
      </c>
      <c r="B979" s="110" t="inlineStr">
        <is>
          <t>Compras</t>
        </is>
      </c>
      <c r="C979" s="110" t="inlineStr">
        <is>
          <t>Compras</t>
        </is>
      </c>
      <c r="D979" s="110" t="inlineStr">
        <is>
          <t>Soares e Silva</t>
        </is>
      </c>
      <c r="E979" s="129" t="n">
        <v>6568</v>
      </c>
      <c r="F979" s="89" t="n">
        <v>0.138633956355371</v>
      </c>
      <c r="G979" s="89" t="n">
        <v>910.547825</v>
      </c>
      <c r="H979" s="110" t="inlineStr">
        <is>
          <t>Cálculo por número de clientes ativos</t>
        </is>
      </c>
    </row>
    <row r="980" ht="15" customHeight="1" s="64">
      <c r="A980" s="110" t="inlineStr">
        <is>
          <t>JULHO/2026</t>
        </is>
      </c>
      <c r="B980" s="110" t="inlineStr">
        <is>
          <t>Compras</t>
        </is>
      </c>
      <c r="C980" s="110" t="inlineStr">
        <is>
          <t>Compras</t>
        </is>
      </c>
      <c r="D980" s="110" t="inlineStr">
        <is>
          <t>Solon Araújo</t>
        </is>
      </c>
      <c r="E980" s="129" t="n">
        <v>14689</v>
      </c>
      <c r="F980" s="89" t="n">
        <v>0.138633956355371</v>
      </c>
      <c r="G980" s="89" t="n">
        <v>2036.394185</v>
      </c>
      <c r="H980" s="110" t="inlineStr">
        <is>
          <t>Cálculo por número de clientes ativos</t>
        </is>
      </c>
    </row>
    <row r="981" ht="15" customHeight="1" s="64">
      <c r="A981" s="110" t="inlineStr">
        <is>
          <t>JULHO/2026</t>
        </is>
      </c>
      <c r="B981" s="110" t="inlineStr">
        <is>
          <t>Compras</t>
        </is>
      </c>
      <c r="C981" s="110" t="inlineStr">
        <is>
          <t>Compras</t>
        </is>
      </c>
      <c r="D981" s="110" t="inlineStr">
        <is>
          <t>Souza e Silva</t>
        </is>
      </c>
      <c r="E981" s="129" t="n">
        <v>4805</v>
      </c>
      <c r="F981" s="89" t="n">
        <v>0.138633956355371</v>
      </c>
      <c r="G981" s="89" t="n">
        <v>666.13616</v>
      </c>
      <c r="H981" s="110" t="inlineStr">
        <is>
          <t>Cálculo por número de clientes ativos</t>
        </is>
      </c>
    </row>
    <row r="982" ht="15" customHeight="1" s="64">
      <c r="A982" s="110" t="inlineStr">
        <is>
          <t>JULHO/2026</t>
        </is>
      </c>
      <c r="B982" s="110" t="inlineStr">
        <is>
          <t>Compras</t>
        </is>
      </c>
      <c r="C982" s="110" t="inlineStr">
        <is>
          <t>Compras</t>
        </is>
      </c>
      <c r="D982" s="110" t="inlineStr">
        <is>
          <t>Voicenet</t>
        </is>
      </c>
      <c r="E982" s="129" t="n">
        <v>4806</v>
      </c>
      <c r="F982" s="89" t="n">
        <v>0.138633956355371</v>
      </c>
      <c r="G982" s="89" t="n">
        <v>666.274794</v>
      </c>
      <c r="H982" s="110" t="inlineStr">
        <is>
          <t>Cálculo por número de clientes ativos</t>
        </is>
      </c>
    </row>
    <row r="983" ht="15" customHeight="1" s="64">
      <c r="A983" s="110" t="inlineStr">
        <is>
          <t>JULHO/2026</t>
        </is>
      </c>
      <c r="B983" s="110" t="inlineStr">
        <is>
          <t>Adm Qualidade</t>
        </is>
      </c>
      <c r="C983" s="110" t="inlineStr">
        <is>
          <t>Qualidade</t>
        </is>
      </c>
      <c r="D983" s="110" t="inlineStr">
        <is>
          <t>DX2</t>
        </is>
      </c>
      <c r="E983" s="129" t="n">
        <v>6588</v>
      </c>
      <c r="F983" s="89" t="n">
        <v>0.190684</v>
      </c>
      <c r="G983" s="89" t="n">
        <v>1256.226192</v>
      </c>
      <c r="H983" s="110" t="inlineStr">
        <is>
          <t>Cálculo por número de clientes ativos</t>
        </is>
      </c>
    </row>
    <row r="984" ht="15" customHeight="1" s="64">
      <c r="A984" s="110" t="inlineStr">
        <is>
          <t>JULHO/2026</t>
        </is>
      </c>
      <c r="B984" s="110" t="inlineStr">
        <is>
          <t>Adm Qualidade</t>
        </is>
      </c>
      <c r="C984" s="110" t="inlineStr">
        <is>
          <t>Qualidade</t>
        </is>
      </c>
      <c r="D984" s="110" t="inlineStr">
        <is>
          <t>Soares e Lins</t>
        </is>
      </c>
      <c r="E984" s="129" t="n">
        <v>3765</v>
      </c>
      <c r="F984" s="89" t="n">
        <v>0.190684</v>
      </c>
      <c r="G984" s="89" t="n">
        <v>717.92526</v>
      </c>
      <c r="H984" s="110" t="inlineStr">
        <is>
          <t>Cálculo por número de clientes ativos</t>
        </is>
      </c>
    </row>
    <row r="985" ht="15" customHeight="1" s="64">
      <c r="A985" s="110" t="inlineStr">
        <is>
          <t>JULHO/2026</t>
        </is>
      </c>
      <c r="B985" s="110" t="inlineStr">
        <is>
          <t>Adm Qualidade</t>
        </is>
      </c>
      <c r="C985" s="110" t="inlineStr">
        <is>
          <t>Qualidade</t>
        </is>
      </c>
      <c r="D985" s="110" t="inlineStr">
        <is>
          <t>Soares e Silva</t>
        </is>
      </c>
      <c r="E985" s="129" t="n">
        <v>6568</v>
      </c>
      <c r="F985" s="89" t="n">
        <v>0.190684</v>
      </c>
      <c r="G985" s="89" t="n">
        <v>1252.412512</v>
      </c>
      <c r="H985" s="110" t="inlineStr">
        <is>
          <t>Cálculo por número de clientes ativos</t>
        </is>
      </c>
    </row>
    <row r="986" ht="15" customHeight="1" s="64">
      <c r="A986" s="110" t="inlineStr">
        <is>
          <t>JULHO/2026</t>
        </is>
      </c>
      <c r="B986" s="110" t="inlineStr">
        <is>
          <t>Adm Qualidade</t>
        </is>
      </c>
      <c r="C986" s="110" t="inlineStr">
        <is>
          <t>Qualidade</t>
        </is>
      </c>
      <c r="D986" s="110" t="inlineStr">
        <is>
          <t>Solon Araújo</t>
        </is>
      </c>
      <c r="E986" s="129" t="n">
        <v>14689</v>
      </c>
      <c r="F986" s="89" t="n">
        <v>0.190684</v>
      </c>
      <c r="G986" s="89" t="n">
        <v>2800.957276</v>
      </c>
      <c r="H986" s="110" t="inlineStr">
        <is>
          <t>Cálculo por número de clientes ativos</t>
        </is>
      </c>
    </row>
    <row r="987" ht="15" customHeight="1" s="64">
      <c r="A987" s="110" t="inlineStr">
        <is>
          <t>JULHO/2026</t>
        </is>
      </c>
      <c r="B987" s="110" t="inlineStr">
        <is>
          <t>Adm Qualidade</t>
        </is>
      </c>
      <c r="C987" s="110" t="inlineStr">
        <is>
          <t>Qualidade</t>
        </is>
      </c>
      <c r="D987" s="110" t="inlineStr">
        <is>
          <t>Souza e Silva</t>
        </is>
      </c>
      <c r="E987" s="129" t="n">
        <v>4805</v>
      </c>
      <c r="F987" s="89" t="n">
        <v>0.190684</v>
      </c>
      <c r="G987" s="89" t="n">
        <v>916.23662</v>
      </c>
      <c r="H987" s="110" t="inlineStr">
        <is>
          <t>Cálculo por número de clientes ativos</t>
        </is>
      </c>
    </row>
    <row r="988" ht="15" customHeight="1" s="64">
      <c r="A988" s="110" t="inlineStr">
        <is>
          <t>JULHO/2026</t>
        </is>
      </c>
      <c r="B988" s="110" t="inlineStr">
        <is>
          <t>Adm Qualidade</t>
        </is>
      </c>
      <c r="C988" s="110" t="inlineStr">
        <is>
          <t>Qualidade</t>
        </is>
      </c>
      <c r="D988" s="110" t="inlineStr">
        <is>
          <t>Voicenet</t>
        </is>
      </c>
      <c r="E988" s="129" t="n">
        <v>4806</v>
      </c>
      <c r="F988" s="89" t="n">
        <v>0.190684</v>
      </c>
      <c r="G988" s="89" t="n">
        <v>916.427304</v>
      </c>
      <c r="H988" s="110" t="inlineStr">
        <is>
          <t>Cálculo por número de clientes ativos</t>
        </is>
      </c>
    </row>
    <row r="989" ht="15" customHeight="1" s="64">
      <c r="A989" s="110" t="inlineStr">
        <is>
          <t>JULHO/2026</t>
        </is>
      </c>
      <c r="B989" s="110" t="inlineStr">
        <is>
          <t>Fique Móvel</t>
        </is>
      </c>
      <c r="C989" s="110" t="inlineStr">
        <is>
          <t>Fique Móvel</t>
        </is>
      </c>
      <c r="D989" s="110" t="inlineStr">
        <is>
          <t>DX2</t>
        </is>
      </c>
      <c r="E989" s="129" t="n">
        <v>6588</v>
      </c>
      <c r="F989" s="89" t="n">
        <v>0.071167700671494</v>
      </c>
      <c r="G989" s="89" t="n">
        <v>468.852812</v>
      </c>
      <c r="H989" s="110" t="inlineStr">
        <is>
          <t>Cálculo por número de clientes ativos</t>
        </is>
      </c>
    </row>
    <row r="990" ht="15" customHeight="1" s="64">
      <c r="A990" s="110" t="inlineStr">
        <is>
          <t>JULHO/2026</t>
        </is>
      </c>
      <c r="B990" s="110" t="inlineStr">
        <is>
          <t>Fique Móvel</t>
        </is>
      </c>
      <c r="C990" s="110" t="inlineStr">
        <is>
          <t>Fique Móvel</t>
        </is>
      </c>
      <c r="D990" s="110" t="inlineStr">
        <is>
          <t>H&amp;A</t>
        </is>
      </c>
      <c r="E990" s="129" t="n">
        <v>13530</v>
      </c>
      <c r="F990" s="89" t="n">
        <v>0.071167700671494</v>
      </c>
      <c r="G990" s="89" t="n">
        <v>962.89899</v>
      </c>
      <c r="H990" s="110" t="inlineStr">
        <is>
          <t>Cálculo por número de clientes ativos</t>
        </is>
      </c>
    </row>
    <row r="991" ht="15" customHeight="1" s="64">
      <c r="A991" s="110" t="inlineStr">
        <is>
          <t>JULHO/2026</t>
        </is>
      </c>
      <c r="B991" s="110" t="inlineStr">
        <is>
          <t>Fique Móvel</t>
        </is>
      </c>
      <c r="C991" s="110" t="inlineStr">
        <is>
          <t>Fique Móvel</t>
        </is>
      </c>
      <c r="D991" s="110" t="inlineStr">
        <is>
          <t>Soares e Lins</t>
        </is>
      </c>
      <c r="E991" s="129" t="n">
        <v>3765</v>
      </c>
      <c r="F991" s="89" t="n">
        <v>0.071167700671494</v>
      </c>
      <c r="G991" s="89" t="n">
        <v>267.946393</v>
      </c>
      <c r="H991" s="110" t="inlineStr">
        <is>
          <t>Cálculo por número de clientes ativos</t>
        </is>
      </c>
    </row>
    <row r="992" ht="15" customHeight="1" s="64">
      <c r="A992" s="110" t="inlineStr">
        <is>
          <t>JULHO/2026</t>
        </is>
      </c>
      <c r="B992" s="110" t="inlineStr">
        <is>
          <t>Fique Móvel</t>
        </is>
      </c>
      <c r="C992" s="110" t="inlineStr">
        <is>
          <t>Fique Móvel</t>
        </is>
      </c>
      <c r="D992" s="110" t="inlineStr">
        <is>
          <t>Soares e Silva</t>
        </is>
      </c>
      <c r="E992" s="129" t="n">
        <v>6568</v>
      </c>
      <c r="F992" s="89" t="n">
        <v>0.071167700671494</v>
      </c>
      <c r="G992" s="89" t="n">
        <v>467.429458</v>
      </c>
      <c r="H992" s="110" t="inlineStr">
        <is>
          <t>Cálculo por número de clientes ativos</t>
        </is>
      </c>
    </row>
    <row r="993" ht="15" customHeight="1" s="64">
      <c r="A993" s="110" t="inlineStr">
        <is>
          <t>JULHO/2026</t>
        </is>
      </c>
      <c r="B993" s="110" t="inlineStr">
        <is>
          <t>Fique Móvel</t>
        </is>
      </c>
      <c r="C993" s="110" t="inlineStr">
        <is>
          <t>Fique Móvel</t>
        </is>
      </c>
      <c r="D993" s="110" t="inlineStr">
        <is>
          <t>Solon Araújo</t>
        </is>
      </c>
      <c r="E993" s="129" t="n">
        <v>14689</v>
      </c>
      <c r="F993" s="89" t="n">
        <v>0.071167700671494</v>
      </c>
      <c r="G993" s="89" t="n">
        <v>1045.382355</v>
      </c>
      <c r="H993" s="110" t="inlineStr">
        <is>
          <t>Cálculo por número de clientes ativos</t>
        </is>
      </c>
    </row>
    <row r="994" ht="15" customHeight="1" s="64">
      <c r="A994" s="110" t="inlineStr">
        <is>
          <t>JULHO/2026</t>
        </is>
      </c>
      <c r="B994" s="110" t="inlineStr">
        <is>
          <t>Fique Móvel</t>
        </is>
      </c>
      <c r="C994" s="110" t="inlineStr">
        <is>
          <t>Fique Móvel</t>
        </is>
      </c>
      <c r="D994" s="110" t="inlineStr">
        <is>
          <t>Souza e Silva</t>
        </is>
      </c>
      <c r="E994" s="129" t="n">
        <v>4805</v>
      </c>
      <c r="F994" s="89" t="n">
        <v>0.071167700671494</v>
      </c>
      <c r="G994" s="89" t="n">
        <v>341.960802</v>
      </c>
      <c r="H994" s="110" t="inlineStr">
        <is>
          <t>Cálculo por número de clientes ativos</t>
        </is>
      </c>
    </row>
    <row r="995" ht="15" customHeight="1" s="64">
      <c r="A995" s="110" t="inlineStr">
        <is>
          <t>JULHO/2026</t>
        </is>
      </c>
      <c r="B995" s="110" t="inlineStr">
        <is>
          <t>Fique Móvel</t>
        </is>
      </c>
      <c r="C995" s="110" t="inlineStr">
        <is>
          <t>Fique Móvel</t>
        </is>
      </c>
      <c r="D995" s="110" t="inlineStr">
        <is>
          <t>Voicenet</t>
        </is>
      </c>
      <c r="E995" s="129" t="n">
        <v>4806</v>
      </c>
      <c r="F995" s="89" t="n">
        <v>0.071167700671494</v>
      </c>
      <c r="G995" s="89" t="n">
        <v>342.031969</v>
      </c>
      <c r="H995" s="110" t="inlineStr">
        <is>
          <t>Cálculo por número de clientes ativos</t>
        </is>
      </c>
    </row>
    <row r="996" ht="15" customHeight="1" s="64">
      <c r="A996" s="110" t="inlineStr">
        <is>
          <t>JULHO/2026</t>
        </is>
      </c>
      <c r="B996" s="110" t="inlineStr">
        <is>
          <t>Financeiro</t>
        </is>
      </c>
      <c r="C996" s="110" t="inlineStr">
        <is>
          <t>Financeiro</t>
        </is>
      </c>
      <c r="D996" s="110" t="inlineStr">
        <is>
          <t>DX2</t>
        </is>
      </c>
      <c r="E996" s="129" t="n">
        <v>6588</v>
      </c>
      <c r="F996" s="89" t="n">
        <v>0.373762045947462</v>
      </c>
      <c r="G996" s="89" t="n">
        <v>2462.344359</v>
      </c>
      <c r="H996" s="110" t="inlineStr">
        <is>
          <t>Cálculo por número de clientes ativos</t>
        </is>
      </c>
    </row>
    <row r="997" ht="15" customHeight="1" s="64">
      <c r="A997" s="110" t="inlineStr">
        <is>
          <t>JULHO/2026</t>
        </is>
      </c>
      <c r="B997" s="110" t="inlineStr">
        <is>
          <t>Financeiro</t>
        </is>
      </c>
      <c r="C997" s="110" t="inlineStr">
        <is>
          <t>Financeiro</t>
        </is>
      </c>
      <c r="D997" s="110" t="inlineStr">
        <is>
          <t>Soares e Lins</t>
        </is>
      </c>
      <c r="E997" s="129" t="n">
        <v>3765</v>
      </c>
      <c r="F997" s="89" t="n">
        <v>0.373762045947462</v>
      </c>
      <c r="G997" s="89" t="n">
        <v>1407.214103</v>
      </c>
      <c r="H997" s="110" t="inlineStr">
        <is>
          <t>Cálculo por número de clientes ativos</t>
        </is>
      </c>
    </row>
    <row r="998" ht="15" customHeight="1" s="64">
      <c r="A998" s="110" t="inlineStr">
        <is>
          <t>JULHO/2026</t>
        </is>
      </c>
      <c r="B998" s="110" t="inlineStr">
        <is>
          <t>Financeiro</t>
        </is>
      </c>
      <c r="C998" s="110" t="inlineStr">
        <is>
          <t>Financeiro</t>
        </is>
      </c>
      <c r="D998" s="110" t="inlineStr">
        <is>
          <t>Soares e Silva</t>
        </is>
      </c>
      <c r="E998" s="129" t="n">
        <v>6568</v>
      </c>
      <c r="F998" s="89" t="n">
        <v>0.373762045947462</v>
      </c>
      <c r="G998" s="89" t="n">
        <v>2454.869118</v>
      </c>
      <c r="H998" s="110" t="inlineStr">
        <is>
          <t>Cálculo por número de clientes ativos</t>
        </is>
      </c>
    </row>
    <row r="999" ht="15" customHeight="1" s="64">
      <c r="A999" s="110" t="inlineStr">
        <is>
          <t>JULHO/2026</t>
        </is>
      </c>
      <c r="B999" s="110" t="inlineStr">
        <is>
          <t>Financeiro</t>
        </is>
      </c>
      <c r="C999" s="110" t="inlineStr">
        <is>
          <t>Financeiro</t>
        </is>
      </c>
      <c r="D999" s="110" t="inlineStr">
        <is>
          <t>Solon Araújo</t>
        </is>
      </c>
      <c r="E999" s="129" t="n">
        <v>14689</v>
      </c>
      <c r="F999" s="89" t="n">
        <v>0.373762045947462</v>
      </c>
      <c r="G999" s="89" t="n">
        <v>5490.190693</v>
      </c>
      <c r="H999" s="110" t="inlineStr">
        <is>
          <t>Cálculo por número de clientes ativos</t>
        </is>
      </c>
    </row>
    <row r="1000" ht="15" customHeight="1" s="64">
      <c r="A1000" s="110" t="inlineStr">
        <is>
          <t>JULHO/2026</t>
        </is>
      </c>
      <c r="B1000" s="110" t="inlineStr">
        <is>
          <t>Financeiro</t>
        </is>
      </c>
      <c r="C1000" s="110" t="inlineStr">
        <is>
          <t>Financeiro</t>
        </is>
      </c>
      <c r="D1000" s="110" t="inlineStr">
        <is>
          <t>Souza e Silva</t>
        </is>
      </c>
      <c r="E1000" s="129" t="n">
        <v>4805</v>
      </c>
      <c r="F1000" s="89" t="n">
        <v>0.373762045947462</v>
      </c>
      <c r="G1000" s="89" t="n">
        <v>1795.926631</v>
      </c>
      <c r="H1000" s="110" t="inlineStr">
        <is>
          <t>Cálculo por número de clientes ativos</t>
        </is>
      </c>
    </row>
    <row r="1001" ht="15" customHeight="1" s="64">
      <c r="A1001" s="110" t="inlineStr">
        <is>
          <t>JULHO/2026</t>
        </is>
      </c>
      <c r="B1001" s="110" t="inlineStr">
        <is>
          <t>Financeiro</t>
        </is>
      </c>
      <c r="C1001" s="110" t="inlineStr">
        <is>
          <t>Financeiro</t>
        </is>
      </c>
      <c r="D1001" s="110" t="inlineStr">
        <is>
          <t>Voicenet</t>
        </is>
      </c>
      <c r="E1001" s="129" t="n">
        <v>4806</v>
      </c>
      <c r="F1001" s="89" t="n">
        <v>0.373762045947462</v>
      </c>
      <c r="G1001" s="89" t="n">
        <v>1796.300393</v>
      </c>
      <c r="H1001" s="110" t="inlineStr">
        <is>
          <t>Cálculo por número de clientes ativos</t>
        </is>
      </c>
    </row>
    <row r="1002" ht="15" customHeight="1" s="64">
      <c r="A1002" s="110" t="inlineStr">
        <is>
          <t>JULHO/2026</t>
        </is>
      </c>
      <c r="B1002" s="110" t="inlineStr">
        <is>
          <t>Jurídico</t>
        </is>
      </c>
      <c r="C1002" s="110" t="inlineStr">
        <is>
          <t>Jurídico</t>
        </is>
      </c>
      <c r="D1002" s="110" t="inlineStr">
        <is>
          <t>DX2</t>
        </is>
      </c>
      <c r="E1002" s="129" t="n">
        <v>6588</v>
      </c>
      <c r="F1002" s="89" t="n">
        <v>0.07937530708567631</v>
      </c>
      <c r="G1002" s="89" t="n">
        <v>522.924523</v>
      </c>
      <c r="H1002" s="110" t="inlineStr">
        <is>
          <t>Cálculo por número de clientes ativos</t>
        </is>
      </c>
    </row>
    <row r="1003" ht="15" customHeight="1" s="64">
      <c r="A1003" s="110" t="inlineStr">
        <is>
          <t>JULHO/2026</t>
        </is>
      </c>
      <c r="B1003" s="110" t="inlineStr">
        <is>
          <t>Jurídico</t>
        </is>
      </c>
      <c r="C1003" s="110" t="inlineStr">
        <is>
          <t>Jurídico</t>
        </is>
      </c>
      <c r="D1003" s="110" t="inlineStr">
        <is>
          <t>Soares e Lins</t>
        </is>
      </c>
      <c r="E1003" s="129" t="n">
        <v>3765</v>
      </c>
      <c r="F1003" s="89" t="n">
        <v>0.07937530708567631</v>
      </c>
      <c r="G1003" s="89" t="n">
        <v>298.848031</v>
      </c>
      <c r="H1003" s="110" t="inlineStr">
        <is>
          <t>Cálculo por número de clientes ativos</t>
        </is>
      </c>
    </row>
    <row r="1004" ht="15" customHeight="1" s="64">
      <c r="A1004" s="110" t="inlineStr">
        <is>
          <t>JULHO/2026</t>
        </is>
      </c>
      <c r="B1004" s="110" t="inlineStr">
        <is>
          <t>Jurídico</t>
        </is>
      </c>
      <c r="C1004" s="110" t="inlineStr">
        <is>
          <t>Jurídico</t>
        </is>
      </c>
      <c r="D1004" s="110" t="inlineStr">
        <is>
          <t>Soares e Silva</t>
        </is>
      </c>
      <c r="E1004" s="129" t="n">
        <v>6568</v>
      </c>
      <c r="F1004" s="89" t="n">
        <v>0.07937530708567631</v>
      </c>
      <c r="G1004" s="89" t="n">
        <v>521.3370169999999</v>
      </c>
      <c r="H1004" s="110" t="inlineStr">
        <is>
          <t>Cálculo por número de clientes ativos</t>
        </is>
      </c>
    </row>
    <row r="1005" ht="15" customHeight="1" s="64">
      <c r="A1005" s="110" t="inlineStr">
        <is>
          <t>JULHO/2026</t>
        </is>
      </c>
      <c r="B1005" s="110" t="inlineStr">
        <is>
          <t>Jurídico</t>
        </is>
      </c>
      <c r="C1005" s="110" t="inlineStr">
        <is>
          <t>Jurídico</t>
        </is>
      </c>
      <c r="D1005" s="110" t="inlineStr">
        <is>
          <t>Solon Araújo</t>
        </is>
      </c>
      <c r="E1005" s="129" t="n">
        <v>14689</v>
      </c>
      <c r="F1005" s="89" t="n">
        <v>0.07937530708567631</v>
      </c>
      <c r="G1005" s="89" t="n">
        <v>1165.943886</v>
      </c>
      <c r="H1005" s="110" t="inlineStr">
        <is>
          <t>Cálculo por número de clientes ativos</t>
        </is>
      </c>
    </row>
    <row r="1006" ht="15" customHeight="1" s="64">
      <c r="A1006" s="110" t="inlineStr">
        <is>
          <t>JULHO/2026</t>
        </is>
      </c>
      <c r="B1006" s="110" t="inlineStr">
        <is>
          <t>Jurídico</t>
        </is>
      </c>
      <c r="C1006" s="110" t="inlineStr">
        <is>
          <t>Jurídico</t>
        </is>
      </c>
      <c r="D1006" s="110" t="inlineStr">
        <is>
          <t>Souza e Silva</t>
        </is>
      </c>
      <c r="E1006" s="129" t="n">
        <v>4805</v>
      </c>
      <c r="F1006" s="89" t="n">
        <v>0.07937530708567631</v>
      </c>
      <c r="G1006" s="89" t="n">
        <v>381.398351</v>
      </c>
      <c r="H1006" s="110" t="inlineStr">
        <is>
          <t>Cálculo por número de clientes ativos</t>
        </is>
      </c>
    </row>
    <row r="1007" ht="15" customHeight="1" s="64">
      <c r="A1007" s="110" t="inlineStr">
        <is>
          <t>JULHO/2026</t>
        </is>
      </c>
      <c r="B1007" s="110" t="inlineStr">
        <is>
          <t>Jurídico</t>
        </is>
      </c>
      <c r="C1007" s="110" t="inlineStr">
        <is>
          <t>Jurídico</t>
        </is>
      </c>
      <c r="D1007" s="110" t="inlineStr">
        <is>
          <t>Voicenet</t>
        </is>
      </c>
      <c r="E1007" s="129" t="n">
        <v>4806</v>
      </c>
      <c r="F1007" s="89" t="n">
        <v>0.07937530708567631</v>
      </c>
      <c r="G1007" s="89" t="n">
        <v>381.477726</v>
      </c>
      <c r="H1007" s="110" t="inlineStr">
        <is>
          <t>Cálculo por número de clientes ativos</t>
        </is>
      </c>
    </row>
    <row r="1008" ht="15" customHeight="1" s="64">
      <c r="A1008" s="110" t="inlineStr">
        <is>
          <t>JULHO/2026</t>
        </is>
      </c>
      <c r="B1008" s="110" t="inlineStr">
        <is>
          <t>NOC</t>
        </is>
      </c>
      <c r="C1008" s="110" t="inlineStr">
        <is>
          <t>NOC</t>
        </is>
      </c>
      <c r="D1008" s="110" t="inlineStr">
        <is>
          <t>DX2</t>
        </is>
      </c>
      <c r="E1008" s="129" t="n">
        <v>6588</v>
      </c>
      <c r="F1008" s="89" t="n">
        <v>0.371854</v>
      </c>
      <c r="G1008" s="89" t="n">
        <v>2449.774152</v>
      </c>
      <c r="H1008" s="110" t="inlineStr">
        <is>
          <t>Cálculo por número de clientes ativos</t>
        </is>
      </c>
    </row>
    <row r="1009" ht="15" customHeight="1" s="64">
      <c r="A1009" s="110" t="inlineStr">
        <is>
          <t>JULHO/2026</t>
        </is>
      </c>
      <c r="B1009" s="110" t="inlineStr">
        <is>
          <t>NOC</t>
        </is>
      </c>
      <c r="C1009" s="110" t="inlineStr">
        <is>
          <t>NOC</t>
        </is>
      </c>
      <c r="D1009" s="110" t="inlineStr">
        <is>
          <t>H&amp;A</t>
        </is>
      </c>
      <c r="E1009" s="129" t="n">
        <v>13530</v>
      </c>
      <c r="F1009" s="89" t="n">
        <v>0.371854</v>
      </c>
      <c r="G1009" s="89" t="n">
        <v>5031.18462</v>
      </c>
      <c r="H1009" s="110" t="inlineStr">
        <is>
          <t>Cálculo por número de clientes ativos</t>
        </is>
      </c>
    </row>
    <row r="1010" ht="15" customHeight="1" s="64">
      <c r="A1010" s="110" t="inlineStr">
        <is>
          <t>JULHO/2026</t>
        </is>
      </c>
      <c r="B1010" s="110" t="inlineStr">
        <is>
          <t>NOC</t>
        </is>
      </c>
      <c r="C1010" s="110" t="inlineStr">
        <is>
          <t>NOC</t>
        </is>
      </c>
      <c r="D1010" s="110" t="inlineStr">
        <is>
          <t>Soares e Lins</t>
        </is>
      </c>
      <c r="E1010" s="129" t="n">
        <v>3765</v>
      </c>
      <c r="F1010" s="89" t="n">
        <v>0.371854</v>
      </c>
      <c r="G1010" s="89" t="n">
        <v>1400.03031</v>
      </c>
      <c r="H1010" s="110" t="inlineStr">
        <is>
          <t>Cálculo por número de clientes ativos</t>
        </is>
      </c>
    </row>
    <row r="1011" ht="15" customHeight="1" s="64">
      <c r="A1011" s="110" t="inlineStr">
        <is>
          <t>JULHO/2026</t>
        </is>
      </c>
      <c r="B1011" s="110" t="inlineStr">
        <is>
          <t>NOC</t>
        </is>
      </c>
      <c r="C1011" s="110" t="inlineStr">
        <is>
          <t>NOC</t>
        </is>
      </c>
      <c r="D1011" s="110" t="inlineStr">
        <is>
          <t>Soares e Silva</t>
        </is>
      </c>
      <c r="E1011" s="129" t="n">
        <v>6568</v>
      </c>
      <c r="F1011" s="89" t="n">
        <v>0.371854</v>
      </c>
      <c r="G1011" s="89" t="n">
        <v>2442.337072</v>
      </c>
      <c r="H1011" s="110" t="inlineStr">
        <is>
          <t>Cálculo por número de clientes ativos</t>
        </is>
      </c>
    </row>
    <row r="1012" ht="15" customHeight="1" s="64">
      <c r="A1012" s="110" t="inlineStr">
        <is>
          <t>JULHO/2026</t>
        </is>
      </c>
      <c r="B1012" s="110" t="inlineStr">
        <is>
          <t>NOC</t>
        </is>
      </c>
      <c r="C1012" s="110" t="inlineStr">
        <is>
          <t>NOC</t>
        </is>
      </c>
      <c r="D1012" s="110" t="inlineStr">
        <is>
          <t>Solon Araújo</t>
        </is>
      </c>
      <c r="E1012" s="129" t="n">
        <v>14689</v>
      </c>
      <c r="F1012" s="89" t="n">
        <v>0.371854</v>
      </c>
      <c r="G1012" s="89" t="n">
        <v>5462.163406</v>
      </c>
      <c r="H1012" s="110" t="inlineStr">
        <is>
          <t>Cálculo por número de clientes ativos</t>
        </is>
      </c>
    </row>
    <row r="1013" ht="15" customHeight="1" s="64">
      <c r="A1013" s="110" t="inlineStr">
        <is>
          <t>JULHO/2026</t>
        </is>
      </c>
      <c r="B1013" s="110" t="inlineStr">
        <is>
          <t>NOC</t>
        </is>
      </c>
      <c r="C1013" s="110" t="inlineStr">
        <is>
          <t>NOC</t>
        </is>
      </c>
      <c r="D1013" s="110" t="inlineStr">
        <is>
          <t>Souza e Silva</t>
        </is>
      </c>
      <c r="E1013" s="129" t="n">
        <v>4805</v>
      </c>
      <c r="F1013" s="89" t="n">
        <v>0.371854</v>
      </c>
      <c r="G1013" s="89" t="n">
        <v>1786.75847</v>
      </c>
      <c r="H1013" s="110" t="inlineStr">
        <is>
          <t>Cálculo por número de clientes ativos</t>
        </is>
      </c>
    </row>
    <row r="1014" ht="15" customHeight="1" s="64">
      <c r="A1014" s="110" t="inlineStr">
        <is>
          <t>JULHO/2026</t>
        </is>
      </c>
      <c r="B1014" s="110" t="inlineStr">
        <is>
          <t>NOC</t>
        </is>
      </c>
      <c r="C1014" s="110" t="inlineStr">
        <is>
          <t>NOC</t>
        </is>
      </c>
      <c r="D1014" s="110" t="inlineStr">
        <is>
          <t>Voicenet</t>
        </is>
      </c>
      <c r="E1014" s="129" t="n">
        <v>4806</v>
      </c>
      <c r="F1014" s="89" t="n">
        <v>0.371854</v>
      </c>
      <c r="G1014" s="89" t="n">
        <v>1787.130324</v>
      </c>
      <c r="H1014" s="110" t="inlineStr">
        <is>
          <t>Cálculo por número de clientes ativos</t>
        </is>
      </c>
    </row>
    <row r="1015" ht="15" customHeight="1" s="64">
      <c r="A1015" s="110" t="inlineStr">
        <is>
          <t>JULHO/2026</t>
        </is>
      </c>
      <c r="B1015" s="110" t="inlineStr">
        <is>
          <t>RH</t>
        </is>
      </c>
      <c r="C1015" s="110" t="inlineStr">
        <is>
          <t>Custo do departamento de RH</t>
        </is>
      </c>
      <c r="D1015" s="110" t="inlineStr">
        <is>
          <t>DX2</t>
        </is>
      </c>
      <c r="E1015" s="129" t="n">
        <v>29</v>
      </c>
      <c r="F1015" s="89" t="n">
        <v>35.6374549100918</v>
      </c>
      <c r="G1015" s="89" t="n">
        <v>1033.486192</v>
      </c>
      <c r="H1015" s="110" t="inlineStr">
        <is>
          <t>Cálculo por número de funcionários ativos</t>
        </is>
      </c>
    </row>
    <row r="1016" ht="15" customHeight="1" s="64">
      <c r="A1016" s="110" t="inlineStr">
        <is>
          <t>JULHO/2026</t>
        </is>
      </c>
      <c r="B1016" s="110" t="inlineStr">
        <is>
          <t>RH</t>
        </is>
      </c>
      <c r="C1016" s="110" t="inlineStr">
        <is>
          <t>Custo do departamento de RH</t>
        </is>
      </c>
      <c r="D1016" s="110" t="inlineStr">
        <is>
          <t>Soares e Lins</t>
        </is>
      </c>
      <c r="E1016" s="129" t="n">
        <v>10</v>
      </c>
      <c r="F1016" s="89" t="n">
        <v>35.6374549100918</v>
      </c>
      <c r="G1016" s="89" t="n">
        <v>356.374549</v>
      </c>
      <c r="H1016" s="110" t="inlineStr">
        <is>
          <t>Cálculo por número de funcionários ativos</t>
        </is>
      </c>
    </row>
    <row r="1017" ht="15" customHeight="1" s="64">
      <c r="A1017" s="110" t="inlineStr">
        <is>
          <t>JULHO/2026</t>
        </is>
      </c>
      <c r="B1017" s="110" t="inlineStr">
        <is>
          <t>RH</t>
        </is>
      </c>
      <c r="C1017" s="110" t="inlineStr">
        <is>
          <t>Custo do departamento de RH</t>
        </is>
      </c>
      <c r="D1017" s="110" t="inlineStr">
        <is>
          <t>Soares e Silva</t>
        </is>
      </c>
      <c r="E1017" s="129" t="n">
        <v>43</v>
      </c>
      <c r="F1017" s="89" t="n">
        <v>35.6374549100918</v>
      </c>
      <c r="G1017" s="89" t="n">
        <v>1532.410561</v>
      </c>
      <c r="H1017" s="110" t="inlineStr">
        <is>
          <t>Cálculo por número de funcionários ativos</t>
        </is>
      </c>
    </row>
    <row r="1018" ht="15" customHeight="1" s="64">
      <c r="A1018" s="110" t="inlineStr">
        <is>
          <t>JULHO/2026</t>
        </is>
      </c>
      <c r="B1018" s="110" t="inlineStr">
        <is>
          <t>RH</t>
        </is>
      </c>
      <c r="C1018" s="110" t="inlineStr">
        <is>
          <t>Custo do departamento de RH</t>
        </is>
      </c>
      <c r="D1018" s="110" t="inlineStr">
        <is>
          <t>Solon Araújo</t>
        </is>
      </c>
      <c r="E1018" s="129" t="n">
        <v>45</v>
      </c>
      <c r="F1018" s="89" t="n">
        <v>35.6374549100918</v>
      </c>
      <c r="G1018" s="89" t="n">
        <v>1603.685471</v>
      </c>
      <c r="H1018" s="110" t="inlineStr">
        <is>
          <t>Cálculo por número de funcionários ativos</t>
        </is>
      </c>
    </row>
    <row r="1019" ht="15" customHeight="1" s="64">
      <c r="A1019" s="110" t="inlineStr">
        <is>
          <t>JULHO/2026</t>
        </is>
      </c>
      <c r="B1019" s="110" t="inlineStr">
        <is>
          <t>RH</t>
        </is>
      </c>
      <c r="C1019" s="110" t="inlineStr">
        <is>
          <t>Custo do departamento de RH</t>
        </is>
      </c>
      <c r="D1019" s="110" t="inlineStr">
        <is>
          <t>Souza e Silva</t>
        </is>
      </c>
      <c r="E1019" s="129" t="n">
        <v>18</v>
      </c>
      <c r="F1019" s="89" t="n">
        <v>35.6374549100918</v>
      </c>
      <c r="G1019" s="89" t="n">
        <v>641.474188</v>
      </c>
      <c r="H1019" s="110" t="inlineStr">
        <is>
          <t>Cálculo por número de funcionários ativos</t>
        </is>
      </c>
    </row>
    <row r="1020" ht="15" customHeight="1" s="64">
      <c r="A1020" s="110" t="inlineStr">
        <is>
          <t>JULHO/2026</t>
        </is>
      </c>
      <c r="B1020" s="110" t="inlineStr">
        <is>
          <t>RH</t>
        </is>
      </c>
      <c r="C1020" s="110" t="inlineStr">
        <is>
          <t>Custo do departamento de RH</t>
        </is>
      </c>
      <c r="D1020" s="110" t="inlineStr">
        <is>
          <t>Voicenet</t>
        </is>
      </c>
      <c r="E1020" s="129" t="n">
        <v>19</v>
      </c>
      <c r="F1020" s="89" t="n">
        <v>35.6374549100918</v>
      </c>
      <c r="G1020" s="89" t="n">
        <v>677.111643</v>
      </c>
      <c r="H1020" s="110" t="inlineStr">
        <is>
          <t>Cálculo por número de funcionários ativos</t>
        </is>
      </c>
    </row>
    <row r="1021" ht="15" customHeight="1" s="64">
      <c r="A1021" s="110" t="inlineStr">
        <is>
          <t>JULHO/2026</t>
        </is>
      </c>
      <c r="B1021" s="110" t="inlineStr">
        <is>
          <t>DP</t>
        </is>
      </c>
      <c r="C1021" s="110" t="inlineStr">
        <is>
          <t>Custo do departamento de DP</t>
        </is>
      </c>
      <c r="D1021" s="110" t="inlineStr">
        <is>
          <t>DX2</t>
        </is>
      </c>
      <c r="E1021" s="129" t="n">
        <v>29</v>
      </c>
      <c r="F1021" s="89" t="n">
        <v>52.434725412844</v>
      </c>
      <c r="G1021" s="89" t="n">
        <v>1520.607037</v>
      </c>
      <c r="H1021" s="110" t="inlineStr">
        <is>
          <t>Cálculo por número de funcionários ativos</t>
        </is>
      </c>
    </row>
    <row r="1022" ht="15" customHeight="1" s="64">
      <c r="A1022" s="110" t="inlineStr">
        <is>
          <t>JULHO/2026</t>
        </is>
      </c>
      <c r="B1022" s="110" t="inlineStr">
        <is>
          <t>DP</t>
        </is>
      </c>
      <c r="C1022" s="110" t="inlineStr">
        <is>
          <t>Custo do departamento de DP</t>
        </is>
      </c>
      <c r="D1022" s="110" t="inlineStr">
        <is>
          <t>Soares e Lins</t>
        </is>
      </c>
      <c r="E1022" s="129" t="n">
        <v>10</v>
      </c>
      <c r="F1022" s="89" t="n">
        <v>52.434725412844</v>
      </c>
      <c r="G1022" s="89" t="n">
        <v>524.347254</v>
      </c>
      <c r="H1022" s="110" t="inlineStr">
        <is>
          <t>Cálculo por número de funcionários ativos</t>
        </is>
      </c>
    </row>
    <row r="1023" ht="15" customHeight="1" s="64">
      <c r="A1023" s="110" t="inlineStr">
        <is>
          <t>JULHO/2026</t>
        </is>
      </c>
      <c r="B1023" s="110" t="inlineStr">
        <is>
          <t>DP</t>
        </is>
      </c>
      <c r="C1023" s="110" t="inlineStr">
        <is>
          <t>Custo do departamento de DP</t>
        </is>
      </c>
      <c r="D1023" s="110" t="inlineStr">
        <is>
          <t>Soares e Silva</t>
        </is>
      </c>
      <c r="E1023" s="129" t="n">
        <v>43</v>
      </c>
      <c r="F1023" s="89" t="n">
        <v>52.434725412844</v>
      </c>
      <c r="G1023" s="89" t="n">
        <v>2254.693193</v>
      </c>
      <c r="H1023" s="110" t="inlineStr">
        <is>
          <t>Cálculo por número de funcionários ativos</t>
        </is>
      </c>
    </row>
    <row r="1024" ht="15" customHeight="1" s="64">
      <c r="A1024" s="110" t="inlineStr">
        <is>
          <t>JULHO/2026</t>
        </is>
      </c>
      <c r="B1024" s="110" t="inlineStr">
        <is>
          <t>DP</t>
        </is>
      </c>
      <c r="C1024" s="110" t="inlineStr">
        <is>
          <t>Custo do departamento de DP</t>
        </is>
      </c>
      <c r="D1024" s="110" t="inlineStr">
        <is>
          <t>Solon Araújo</t>
        </is>
      </c>
      <c r="E1024" s="129" t="n">
        <v>45</v>
      </c>
      <c r="F1024" s="89" t="n">
        <v>52.434725412844</v>
      </c>
      <c r="G1024" s="89" t="n">
        <v>2359.562644</v>
      </c>
      <c r="H1024" s="110" t="inlineStr">
        <is>
          <t>Cálculo por número de funcionários ativos</t>
        </is>
      </c>
    </row>
    <row r="1025" ht="15" customHeight="1" s="64">
      <c r="A1025" s="110" t="inlineStr">
        <is>
          <t>JULHO/2026</t>
        </is>
      </c>
      <c r="B1025" s="110" t="inlineStr">
        <is>
          <t>DP</t>
        </is>
      </c>
      <c r="C1025" s="110" t="inlineStr">
        <is>
          <t>Custo do departamento de DP</t>
        </is>
      </c>
      <c r="D1025" s="110" t="inlineStr">
        <is>
          <t>Souza e Silva</t>
        </is>
      </c>
      <c r="E1025" s="129" t="n">
        <v>18</v>
      </c>
      <c r="F1025" s="89" t="n">
        <v>52.434725412844</v>
      </c>
      <c r="G1025" s="89" t="n">
        <v>943.825057</v>
      </c>
      <c r="H1025" s="110" t="inlineStr">
        <is>
          <t>Cálculo por número de funcionários ativos</t>
        </is>
      </c>
    </row>
    <row r="1026" ht="15" customHeight="1" s="64">
      <c r="A1026" s="110" t="inlineStr">
        <is>
          <t>JULHO/2026</t>
        </is>
      </c>
      <c r="B1026" s="110" t="inlineStr">
        <is>
          <t>DP</t>
        </is>
      </c>
      <c r="C1026" s="110" t="inlineStr">
        <is>
          <t>Custo do departamento de DP</t>
        </is>
      </c>
      <c r="D1026" s="110" t="inlineStr">
        <is>
          <t>Voicenet</t>
        </is>
      </c>
      <c r="E1026" s="129" t="n">
        <v>19</v>
      </c>
      <c r="F1026" s="89" t="n">
        <v>52.434725412844</v>
      </c>
      <c r="G1026" s="89" t="n">
        <v>996.259783</v>
      </c>
      <c r="H1026" s="110" t="inlineStr">
        <is>
          <t>Cálculo por número de funcionários ativos</t>
        </is>
      </c>
    </row>
    <row r="1027" ht="15" customHeight="1" s="64">
      <c r="A1027" s="110" t="inlineStr">
        <is>
          <t>JULHO/2026</t>
        </is>
      </c>
      <c r="B1027" s="110" t="inlineStr">
        <is>
          <t>Segurança do Trabalho</t>
        </is>
      </c>
      <c r="C1027" s="110" t="inlineStr">
        <is>
          <t>SST Administrativo</t>
        </is>
      </c>
      <c r="D1027" s="110" t="inlineStr">
        <is>
          <t>DX2</t>
        </is>
      </c>
      <c r="E1027" s="129" t="n">
        <v>29</v>
      </c>
      <c r="F1027" s="89" t="n">
        <v>60.0816569724771</v>
      </c>
      <c r="G1027" s="89" t="n">
        <v>1742.36805220184</v>
      </c>
      <c r="H1027" s="110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28" ht="15" customHeight="1" s="64">
      <c r="A1028" s="110" t="inlineStr">
        <is>
          <t>JULHO/2026</t>
        </is>
      </c>
      <c r="B1028" s="110" t="inlineStr">
        <is>
          <t>Segurança do Trabalho</t>
        </is>
      </c>
      <c r="C1028" s="110" t="inlineStr">
        <is>
          <t>SST Administrativo</t>
        </is>
      </c>
      <c r="D1028" s="110" t="inlineStr">
        <is>
          <t>H&amp;A</t>
        </is>
      </c>
      <c r="E1028" s="129" t="n">
        <v>37</v>
      </c>
      <c r="F1028" s="89" t="n">
        <v>60.0816569724771</v>
      </c>
      <c r="G1028" s="89" t="n">
        <v>2223.02130798165</v>
      </c>
      <c r="H1028" s="110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29" ht="15" customHeight="1" s="64">
      <c r="A1029" s="110" t="inlineStr">
        <is>
          <t>JULHO/2026</t>
        </is>
      </c>
      <c r="B1029" s="110" t="inlineStr">
        <is>
          <t>Segurança do Trabalho</t>
        </is>
      </c>
      <c r="C1029" s="110" t="inlineStr">
        <is>
          <t>SST Administrativo</t>
        </is>
      </c>
      <c r="D1029" s="110" t="inlineStr">
        <is>
          <t>Soares e Lins</t>
        </is>
      </c>
      <c r="E1029" s="129" t="n">
        <v>10</v>
      </c>
      <c r="F1029" s="89" t="n">
        <v>60.0816569724771</v>
      </c>
      <c r="G1029" s="89" t="n">
        <v>600.8165697247711</v>
      </c>
      <c r="H1029" s="110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30" ht="15" customHeight="1" s="64">
      <c r="A1030" s="110" t="inlineStr">
        <is>
          <t>JULHO/2026</t>
        </is>
      </c>
      <c r="B1030" s="110" t="inlineStr">
        <is>
          <t>Segurança do Trabalho</t>
        </is>
      </c>
      <c r="C1030" s="110" t="inlineStr">
        <is>
          <t>SST Administrativo</t>
        </is>
      </c>
      <c r="D1030" s="110" t="inlineStr">
        <is>
          <t>Soares e Silva</t>
        </is>
      </c>
      <c r="E1030" s="129" t="n">
        <v>43</v>
      </c>
      <c r="F1030" s="89" t="n">
        <v>60.0816569724771</v>
      </c>
      <c r="G1030" s="89" t="n">
        <v>2583.51124981652</v>
      </c>
      <c r="H1030" s="110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31" ht="15" customHeight="1" s="64">
      <c r="A1031" s="110" t="inlineStr">
        <is>
          <t>JULHO/2026</t>
        </is>
      </c>
      <c r="B1031" s="110" t="inlineStr">
        <is>
          <t>Segurança do Trabalho</t>
        </is>
      </c>
      <c r="C1031" s="110" t="inlineStr">
        <is>
          <t>SST Administrativo</t>
        </is>
      </c>
      <c r="D1031" s="110" t="inlineStr">
        <is>
          <t>Solon Araújo</t>
        </is>
      </c>
      <c r="E1031" s="129" t="n">
        <v>45</v>
      </c>
      <c r="F1031" s="89" t="n">
        <v>60.0816569724771</v>
      </c>
      <c r="G1031" s="89" t="n">
        <v>2703.67456376147</v>
      </c>
      <c r="H1031" s="110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32" ht="15" customHeight="1" s="64">
      <c r="A1032" s="110" t="inlineStr">
        <is>
          <t>JULHO/2026</t>
        </is>
      </c>
      <c r="B1032" s="110" t="inlineStr">
        <is>
          <t>Segurança do Trabalho</t>
        </is>
      </c>
      <c r="C1032" s="110" t="inlineStr">
        <is>
          <t>SST Administrativo</t>
        </is>
      </c>
      <c r="D1032" s="110" t="inlineStr">
        <is>
          <t>Souza e Silva</t>
        </is>
      </c>
      <c r="E1032" s="129" t="n">
        <v>18</v>
      </c>
      <c r="F1032" s="89" t="n">
        <v>60.0816569724771</v>
      </c>
      <c r="G1032" s="89" t="n">
        <v>1081.46982550459</v>
      </c>
      <c r="H1032" s="110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33" ht="15" customHeight="1" s="64">
      <c r="A1033" s="110" t="inlineStr">
        <is>
          <t>JULHO/2026</t>
        </is>
      </c>
      <c r="B1033" s="110" t="inlineStr">
        <is>
          <t>Segurança do Trabalho</t>
        </is>
      </c>
      <c r="C1033" s="110" t="inlineStr">
        <is>
          <t>SST Administrativo</t>
        </is>
      </c>
      <c r="D1033" s="110" t="inlineStr">
        <is>
          <t>Voicenet</t>
        </is>
      </c>
      <c r="E1033" s="129" t="n">
        <v>19</v>
      </c>
      <c r="F1033" s="89" t="n">
        <v>60.0816569724771</v>
      </c>
      <c r="G1033" s="89" t="n">
        <v>1141.55148247707</v>
      </c>
      <c r="H1033" s="110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34" ht="15" customHeight="1" s="64">
      <c r="A1034" s="110" t="inlineStr">
        <is>
          <t>MAIO/2026</t>
        </is>
      </c>
      <c r="B1034" s="110" t="inlineStr">
        <is>
          <t>Diretoria Adm</t>
        </is>
      </c>
      <c r="C1034" s="110" t="inlineStr">
        <is>
          <t>Diretoria Adm</t>
        </is>
      </c>
      <c r="D1034" s="110" t="inlineStr">
        <is>
          <t>DX2</t>
        </is>
      </c>
      <c r="E1034" s="129" t="n">
        <v>6280</v>
      </c>
      <c r="F1034" s="89" t="n">
        <v>0.154543612417484</v>
      </c>
      <c r="G1034" s="89" t="n">
        <v>970.5338859818</v>
      </c>
      <c r="H1034" s="110" t="inlineStr">
        <is>
          <t>Cálculo por número de clientes ativos</t>
        </is>
      </c>
    </row>
    <row r="1035" ht="15" customHeight="1" s="64">
      <c r="A1035" s="110" t="inlineStr">
        <is>
          <t>MAIO/2026</t>
        </is>
      </c>
      <c r="B1035" s="110" t="inlineStr">
        <is>
          <t>Diretoria Adm</t>
        </is>
      </c>
      <c r="C1035" s="110" t="inlineStr">
        <is>
          <t>Diretoria Adm</t>
        </is>
      </c>
      <c r="D1035" s="110" t="inlineStr">
        <is>
          <t>Solon Araújo</t>
        </is>
      </c>
      <c r="E1035" s="129" t="n">
        <v>14331</v>
      </c>
      <c r="F1035" s="89" t="n">
        <v>0.154543612417484</v>
      </c>
      <c r="G1035" s="89" t="n">
        <v>2214.76450955496</v>
      </c>
      <c r="H1035" s="110" t="inlineStr">
        <is>
          <t>Cálculo por número de clientes ativos</t>
        </is>
      </c>
    </row>
    <row r="1036" ht="15" customHeight="1" s="64">
      <c r="A1036" s="110" t="inlineStr">
        <is>
          <t>MAIO/2026</t>
        </is>
      </c>
      <c r="B1036" s="110" t="inlineStr">
        <is>
          <t>Diretoria Adm</t>
        </is>
      </c>
      <c r="C1036" s="110" t="inlineStr">
        <is>
          <t>Diretoria Adm</t>
        </is>
      </c>
      <c r="D1036" s="110" t="inlineStr">
        <is>
          <t>Soares e Lins</t>
        </is>
      </c>
      <c r="E1036" s="129" t="n">
        <v>3650</v>
      </c>
      <c r="F1036" s="89" t="n">
        <v>0.154543612417484</v>
      </c>
      <c r="G1036" s="89" t="n">
        <v>564.084185323817</v>
      </c>
      <c r="H1036" s="110" t="inlineStr">
        <is>
          <t>Cálculo por número de clientes ativos</t>
        </is>
      </c>
    </row>
    <row r="1037" ht="15" customHeight="1" s="64">
      <c r="A1037" s="110" t="inlineStr">
        <is>
          <t>MAIO/2026</t>
        </is>
      </c>
      <c r="B1037" s="110" t="inlineStr">
        <is>
          <t>Diretoria Adm</t>
        </is>
      </c>
      <c r="C1037" s="110" t="inlineStr">
        <is>
          <t>Diretoria Adm</t>
        </is>
      </c>
      <c r="D1037" s="110" t="inlineStr">
        <is>
          <t>Soares e Silva</t>
        </is>
      </c>
      <c r="E1037" s="129" t="n">
        <v>6396</v>
      </c>
      <c r="F1037" s="89" t="n">
        <v>0.154543612417484</v>
      </c>
      <c r="G1037" s="89" t="n">
        <v>988.460945022228</v>
      </c>
      <c r="H1037" s="110" t="inlineStr">
        <is>
          <t>Cálculo por número de clientes ativos</t>
        </is>
      </c>
    </row>
    <row r="1038" ht="15" customHeight="1" s="64">
      <c r="A1038" s="110" t="inlineStr">
        <is>
          <t>MAIO/2026</t>
        </is>
      </c>
      <c r="B1038" s="110" t="inlineStr">
        <is>
          <t>Diretoria Adm</t>
        </is>
      </c>
      <c r="C1038" s="110" t="inlineStr">
        <is>
          <t>Diretoria Adm</t>
        </is>
      </c>
      <c r="D1038" s="110" t="inlineStr">
        <is>
          <t>Souza e Silva</t>
        </is>
      </c>
      <c r="E1038" s="129" t="n">
        <v>4730</v>
      </c>
      <c r="F1038" s="89" t="n">
        <v>0.154543612417484</v>
      </c>
      <c r="G1038" s="89" t="n">
        <v>730.991286734699</v>
      </c>
      <c r="H1038" s="110" t="inlineStr">
        <is>
          <t>Cálculo por número de clientes ativos</t>
        </is>
      </c>
    </row>
    <row r="1039" ht="15" customHeight="1" s="64">
      <c r="A1039" s="110" t="inlineStr">
        <is>
          <t>MAIO/2026</t>
        </is>
      </c>
      <c r="B1039" s="110" t="inlineStr">
        <is>
          <t>Diretoria Adm</t>
        </is>
      </c>
      <c r="C1039" s="110" t="inlineStr">
        <is>
          <t>Diretoria Adm</t>
        </is>
      </c>
      <c r="D1039" s="110" t="inlineStr">
        <is>
          <t>Voicenet</t>
        </is>
      </c>
      <c r="E1039" s="129" t="n">
        <v>4782</v>
      </c>
      <c r="F1039" s="89" t="n">
        <v>0.154543612417484</v>
      </c>
      <c r="G1039" s="89" t="n">
        <v>739.027554580408</v>
      </c>
      <c r="H1039" s="110" t="inlineStr">
        <is>
          <t>Cálculo por número de clientes ativos</t>
        </is>
      </c>
    </row>
    <row r="1040" ht="15" customHeight="1" s="64">
      <c r="A1040" s="110" t="inlineStr">
        <is>
          <t>JUNHO/2026</t>
        </is>
      </c>
      <c r="B1040" s="110" t="inlineStr">
        <is>
          <t>Diretoria Adm</t>
        </is>
      </c>
      <c r="C1040" s="110" t="inlineStr">
        <is>
          <t>Diretoria Adm</t>
        </is>
      </c>
      <c r="D1040" s="110" t="inlineStr">
        <is>
          <t>DX2</t>
        </is>
      </c>
      <c r="E1040" s="129" t="n">
        <v>6445</v>
      </c>
      <c r="F1040" s="89" t="n">
        <v>0.150676625241861</v>
      </c>
      <c r="G1040" s="89" t="n">
        <v>971.110849683794</v>
      </c>
      <c r="H1040" s="110" t="inlineStr">
        <is>
          <t>Cálculo por número de clientes ativos</t>
        </is>
      </c>
    </row>
    <row r="1041" ht="15" customHeight="1" s="64">
      <c r="A1041" s="110" t="inlineStr">
        <is>
          <t>JUNHO/2026</t>
        </is>
      </c>
      <c r="B1041" s="110" t="inlineStr">
        <is>
          <t>Diretoria Adm</t>
        </is>
      </c>
      <c r="C1041" s="110" t="inlineStr">
        <is>
          <t>Diretoria Adm</t>
        </is>
      </c>
      <c r="D1041" s="110" t="inlineStr">
        <is>
          <t>Solon Araújo</t>
        </is>
      </c>
      <c r="E1041" s="129" t="n">
        <v>14441</v>
      </c>
      <c r="F1041" s="89" t="n">
        <v>0.150676625241861</v>
      </c>
      <c r="G1041" s="89" t="n">
        <v>2175.92114511772</v>
      </c>
      <c r="H1041" s="110" t="inlineStr">
        <is>
          <t>Cálculo por número de clientes ativos</t>
        </is>
      </c>
    </row>
    <row r="1042" ht="15" customHeight="1" s="64">
      <c r="A1042" s="110" t="inlineStr">
        <is>
          <t>JUNHO/2026</t>
        </is>
      </c>
      <c r="B1042" s="110" t="inlineStr">
        <is>
          <t>Diretoria Adm</t>
        </is>
      </c>
      <c r="C1042" s="110" t="inlineStr">
        <is>
          <t>Diretoria Adm</t>
        </is>
      </c>
      <c r="D1042" s="110" t="inlineStr">
        <is>
          <t>Soares e Lins</t>
        </is>
      </c>
      <c r="E1042" s="129" t="n">
        <v>3704</v>
      </c>
      <c r="F1042" s="89" t="n">
        <v>0.150676625241861</v>
      </c>
      <c r="G1042" s="89" t="n">
        <v>558.106219895853</v>
      </c>
      <c r="H1042" s="110" t="inlineStr">
        <is>
          <t>Cálculo por número de clientes ativos</t>
        </is>
      </c>
    </row>
    <row r="1043" ht="15" customHeight="1" s="64">
      <c r="A1043" s="110" t="inlineStr">
        <is>
          <t>JUNHO/2026</t>
        </is>
      </c>
      <c r="B1043" s="110" t="inlineStr">
        <is>
          <t>Diretoria Adm</t>
        </is>
      </c>
      <c r="C1043" s="110" t="inlineStr">
        <is>
          <t>Diretoria Adm</t>
        </is>
      </c>
      <c r="D1043" s="110" t="inlineStr">
        <is>
          <t>Soares e Silva</t>
        </is>
      </c>
      <c r="E1043" s="129" t="n">
        <v>6434</v>
      </c>
      <c r="F1043" s="89" t="n">
        <v>0.150676625241861</v>
      </c>
      <c r="G1043" s="89" t="n">
        <v>969.453406806134</v>
      </c>
      <c r="H1043" s="110" t="inlineStr">
        <is>
          <t>Cálculo por número de clientes ativos</t>
        </is>
      </c>
    </row>
    <row r="1044" ht="15" customHeight="1" s="64">
      <c r="A1044" s="110" t="inlineStr">
        <is>
          <t>JUNHO/2026</t>
        </is>
      </c>
      <c r="B1044" s="110" t="inlineStr">
        <is>
          <t>Diretoria Adm</t>
        </is>
      </c>
      <c r="C1044" s="110" t="inlineStr">
        <is>
          <t>Diretoria Adm</t>
        </is>
      </c>
      <c r="D1044" s="110" t="inlineStr">
        <is>
          <t>Souza e Silva</t>
        </is>
      </c>
      <c r="E1044" s="129" t="n">
        <v>4749</v>
      </c>
      <c r="F1044" s="89" t="n">
        <v>0.150676625241861</v>
      </c>
      <c r="G1044" s="89" t="n">
        <v>715.563293273598</v>
      </c>
      <c r="H1044" s="110" t="inlineStr">
        <is>
          <t>Cálculo por número de clientes ativos</t>
        </is>
      </c>
    </row>
    <row r="1045" ht="15" customHeight="1" s="64">
      <c r="A1045" s="110" t="inlineStr">
        <is>
          <t>JUNHO/2026</t>
        </is>
      </c>
      <c r="B1045" s="110" t="inlineStr">
        <is>
          <t>Diretoria Adm</t>
        </is>
      </c>
      <c r="C1045" s="110" t="inlineStr">
        <is>
          <t>Diretoria Adm</t>
        </is>
      </c>
      <c r="D1045" s="110" t="inlineStr">
        <is>
          <t>Voicenet</t>
        </is>
      </c>
      <c r="E1045" s="129" t="n">
        <v>4795</v>
      </c>
      <c r="F1045" s="89" t="n">
        <v>0.150676625241861</v>
      </c>
      <c r="G1045" s="89" t="n">
        <v>722.494418034724</v>
      </c>
      <c r="H1045" s="110" t="inlineStr">
        <is>
          <t>Cálculo por número de clientes ativos</t>
        </is>
      </c>
    </row>
    <row r="1046" ht="15" customHeight="1" s="64">
      <c r="A1046" s="110" t="inlineStr">
        <is>
          <t>JULHO/2026</t>
        </is>
      </c>
      <c r="B1046" s="110" t="inlineStr">
        <is>
          <t>Diretoria Adm</t>
        </is>
      </c>
      <c r="C1046" s="110" t="inlineStr">
        <is>
          <t>Diretoria Adm</t>
        </is>
      </c>
      <c r="D1046" s="110" t="inlineStr">
        <is>
          <t>DX2</t>
        </is>
      </c>
      <c r="E1046" s="129" t="n">
        <v>6588</v>
      </c>
      <c r="F1046" s="89" t="n">
        <v>0.145289779573281</v>
      </c>
      <c r="G1046" s="89" t="n">
        <v>957.169067828775</v>
      </c>
      <c r="H1046" s="110" t="inlineStr">
        <is>
          <t>Cálculo por número de clientes ativos</t>
        </is>
      </c>
    </row>
    <row r="1047" ht="15" customHeight="1" s="64">
      <c r="A1047" s="110" t="inlineStr">
        <is>
          <t>JULHO/2026</t>
        </is>
      </c>
      <c r="B1047" s="110" t="inlineStr">
        <is>
          <t>Diretoria Adm</t>
        </is>
      </c>
      <c r="C1047" s="110" t="inlineStr">
        <is>
          <t>Diretoria Adm</t>
        </is>
      </c>
      <c r="D1047" s="110" t="inlineStr">
        <is>
          <t>Solon Araújo</t>
        </is>
      </c>
      <c r="E1047" s="129" t="n">
        <v>14689</v>
      </c>
      <c r="F1047" s="89" t="n">
        <v>0.145289779573281</v>
      </c>
      <c r="G1047" s="89" t="n">
        <v>2134.16157215193</v>
      </c>
      <c r="H1047" s="110" t="inlineStr">
        <is>
          <t>Cálculo por número de clientes ativos</t>
        </is>
      </c>
    </row>
    <row r="1048" ht="15" customHeight="1" s="64">
      <c r="A1048" s="110" t="inlineStr">
        <is>
          <t>JULHO/2026</t>
        </is>
      </c>
      <c r="B1048" s="110" t="inlineStr">
        <is>
          <t>Diretoria Adm</t>
        </is>
      </c>
      <c r="C1048" s="110" t="inlineStr">
        <is>
          <t>Diretoria Adm</t>
        </is>
      </c>
      <c r="D1048" s="110" t="inlineStr">
        <is>
          <t>Soares e Lins</t>
        </is>
      </c>
      <c r="E1048" s="129" t="n">
        <v>3765</v>
      </c>
      <c r="F1048" s="89" t="n">
        <v>0.145289779573281</v>
      </c>
      <c r="G1048" s="89" t="n">
        <v>547.016020093403</v>
      </c>
      <c r="H1048" s="110" t="inlineStr">
        <is>
          <t>Cálculo por número de clientes ativos</t>
        </is>
      </c>
    </row>
    <row r="1049" ht="15" customHeight="1" s="64">
      <c r="A1049" s="110" t="inlineStr">
        <is>
          <t>JULHO/2026</t>
        </is>
      </c>
      <c r="B1049" s="110" t="inlineStr">
        <is>
          <t>Diretoria Adm</t>
        </is>
      </c>
      <c r="C1049" s="110" t="inlineStr">
        <is>
          <t>Diretoria Adm</t>
        </is>
      </c>
      <c r="D1049" s="110" t="inlineStr">
        <is>
          <t>Soares e Silva</t>
        </is>
      </c>
      <c r="E1049" s="129" t="n">
        <v>6568</v>
      </c>
      <c r="F1049" s="89" t="n">
        <v>0.145289779573281</v>
      </c>
      <c r="G1049" s="89" t="n">
        <v>954.26327223731</v>
      </c>
      <c r="H1049" s="110" t="inlineStr">
        <is>
          <t>Cálculo por número de clientes ativos</t>
        </is>
      </c>
    </row>
    <row r="1050" ht="15" customHeight="1" s="64">
      <c r="A1050" s="110" t="inlineStr">
        <is>
          <t>JULHO/2026</t>
        </is>
      </c>
      <c r="B1050" s="110" t="inlineStr">
        <is>
          <t>Diretoria Adm</t>
        </is>
      </c>
      <c r="C1050" s="110" t="inlineStr">
        <is>
          <t>Diretoria Adm</t>
        </is>
      </c>
      <c r="D1050" s="110" t="inlineStr">
        <is>
          <t>Souza e Silva</t>
        </is>
      </c>
      <c r="E1050" s="129" t="n">
        <v>4805</v>
      </c>
      <c r="F1050" s="89" t="n">
        <v>0.145289779573281</v>
      </c>
      <c r="G1050" s="89" t="n">
        <v>698.117390849615</v>
      </c>
      <c r="H1050" s="110" t="inlineStr">
        <is>
          <t>Cálculo por número de clientes ativos</t>
        </is>
      </c>
    </row>
    <row r="1051" ht="15" customHeight="1" s="64">
      <c r="A1051" s="110" t="inlineStr">
        <is>
          <t>JULHO/2026</t>
        </is>
      </c>
      <c r="B1051" s="110" t="inlineStr">
        <is>
          <t>Diretoria Adm</t>
        </is>
      </c>
      <c r="C1051" s="110" t="inlineStr">
        <is>
          <t>Diretoria Adm</t>
        </is>
      </c>
      <c r="D1051" s="110" t="inlineStr">
        <is>
          <t>Voicenet</t>
        </is>
      </c>
      <c r="E1051" s="129" t="n">
        <v>4806</v>
      </c>
      <c r="F1051" s="89" t="n">
        <v>0.145289779573281</v>
      </c>
      <c r="G1051" s="89" t="n">
        <v>698.262680629189</v>
      </c>
      <c r="H1051" s="110" t="inlineStr">
        <is>
          <t>Cálculo por número de clientes ativos</t>
        </is>
      </c>
    </row>
    <row r="1052" ht="15" customHeight="1" s="64">
      <c r="A1052" s="110" t="inlineStr">
        <is>
          <t>MAIO/2026</t>
        </is>
      </c>
      <c r="B1052" s="110" t="inlineStr">
        <is>
          <t>Diretoria Operacional</t>
        </is>
      </c>
      <c r="C1052" s="110" t="inlineStr">
        <is>
          <t>Diretoria Operacional</t>
        </is>
      </c>
      <c r="D1052" s="110" t="inlineStr">
        <is>
          <t>DX2</t>
        </is>
      </c>
      <c r="E1052" s="129" t="n">
        <v>6280</v>
      </c>
      <c r="F1052" s="89" t="n">
        <v>0.145293801710045</v>
      </c>
      <c r="G1052" s="89" t="n">
        <v>912.445074739083</v>
      </c>
      <c r="H1052" s="110" t="inlineStr">
        <is>
          <t>Cálculo por número de clientes ativos</t>
        </is>
      </c>
    </row>
    <row r="1053" ht="15" customHeight="1" s="64">
      <c r="A1053" s="110" t="inlineStr">
        <is>
          <t>MAIO/2026</t>
        </is>
      </c>
      <c r="B1053" s="110" t="inlineStr">
        <is>
          <t>Diretoria Operacional</t>
        </is>
      </c>
      <c r="C1053" s="110" t="inlineStr">
        <is>
          <t>Diretoria Operacional</t>
        </is>
      </c>
      <c r="D1053" s="110" t="inlineStr">
        <is>
          <t>Solon Araújo</t>
        </is>
      </c>
      <c r="E1053" s="129" t="n">
        <v>14331</v>
      </c>
      <c r="F1053" s="89" t="n">
        <v>0.145293801710045</v>
      </c>
      <c r="G1053" s="89" t="n">
        <v>2082.20547230666</v>
      </c>
      <c r="H1053" s="110" t="inlineStr">
        <is>
          <t>Cálculo por número de clientes ativos</t>
        </is>
      </c>
    </row>
    <row r="1054" ht="15" customHeight="1" s="64">
      <c r="A1054" s="110" t="inlineStr">
        <is>
          <t>MAIO/2026</t>
        </is>
      </c>
      <c r="B1054" s="110" t="inlineStr">
        <is>
          <t>Diretoria Operacional</t>
        </is>
      </c>
      <c r="C1054" s="110" t="inlineStr">
        <is>
          <t>Diretoria Operacional</t>
        </is>
      </c>
      <c r="D1054" s="110" t="inlineStr">
        <is>
          <t>Soares e Lins</t>
        </is>
      </c>
      <c r="E1054" s="129" t="n">
        <v>3650</v>
      </c>
      <c r="F1054" s="89" t="n">
        <v>0.145293801710045</v>
      </c>
      <c r="G1054" s="89" t="n">
        <v>530.322376241664</v>
      </c>
      <c r="H1054" s="110" t="inlineStr">
        <is>
          <t>Cálculo por número de clientes ativos</t>
        </is>
      </c>
    </row>
    <row r="1055" ht="15" customHeight="1" s="64">
      <c r="A1055" s="110" t="inlineStr">
        <is>
          <t>MAIO/2026</t>
        </is>
      </c>
      <c r="B1055" s="110" t="inlineStr">
        <is>
          <t>Diretoria Operacional</t>
        </is>
      </c>
      <c r="C1055" s="110" t="inlineStr">
        <is>
          <t>Diretoria Operacional</t>
        </is>
      </c>
      <c r="D1055" s="110" t="inlineStr">
        <is>
          <t>Soares e Silva</t>
        </is>
      </c>
      <c r="E1055" s="129" t="n">
        <v>6396</v>
      </c>
      <c r="F1055" s="89" t="n">
        <v>0.145293801710045</v>
      </c>
      <c r="G1055" s="89" t="n">
        <v>929.299155737448</v>
      </c>
      <c r="H1055" s="110" t="inlineStr">
        <is>
          <t>Cálculo por número de clientes ativos</t>
        </is>
      </c>
    </row>
    <row r="1056" ht="15" customHeight="1" s="64">
      <c r="A1056" s="110" t="inlineStr">
        <is>
          <t>MAIO/2026</t>
        </is>
      </c>
      <c r="B1056" s="110" t="inlineStr">
        <is>
          <t>Diretoria Operacional</t>
        </is>
      </c>
      <c r="C1056" s="110" t="inlineStr">
        <is>
          <t>Diretoria Operacional</t>
        </is>
      </c>
      <c r="D1056" s="110" t="inlineStr">
        <is>
          <t>Souza e Silva</t>
        </is>
      </c>
      <c r="E1056" s="129" t="n">
        <v>4730</v>
      </c>
      <c r="F1056" s="89" t="n">
        <v>0.145293801710045</v>
      </c>
      <c r="G1056" s="89" t="n">
        <v>687.239682088513</v>
      </c>
      <c r="H1056" s="110" t="inlineStr">
        <is>
          <t>Cálculo por número de clientes ativos</t>
        </is>
      </c>
    </row>
    <row r="1057" ht="15" customHeight="1" s="64">
      <c r="A1057" s="110" t="inlineStr">
        <is>
          <t>MAIO/2026</t>
        </is>
      </c>
      <c r="B1057" s="110" t="inlineStr">
        <is>
          <t>Diretoria Operacional</t>
        </is>
      </c>
      <c r="C1057" s="110" t="inlineStr">
        <is>
          <t>Diretoria Operacional</t>
        </is>
      </c>
      <c r="D1057" s="110" t="inlineStr">
        <is>
          <t>Voicenet</t>
        </is>
      </c>
      <c r="E1057" s="129" t="n">
        <v>4782</v>
      </c>
      <c r="F1057" s="89" t="n">
        <v>0.145293801710045</v>
      </c>
      <c r="G1057" s="89" t="n">
        <v>694.794959777435</v>
      </c>
      <c r="H1057" s="110" t="inlineStr">
        <is>
          <t>Cálculo por número de clientes ativos</t>
        </is>
      </c>
    </row>
    <row r="1058" ht="15" customHeight="1" s="64">
      <c r="A1058" s="110" t="inlineStr">
        <is>
          <t>JUNHO/2026</t>
        </is>
      </c>
      <c r="B1058" s="110" t="inlineStr">
        <is>
          <t>Diretoria Operacional</t>
        </is>
      </c>
      <c r="C1058" s="110" t="inlineStr">
        <is>
          <t>Diretoria Operacional</t>
        </is>
      </c>
      <c r="D1058" s="110" t="inlineStr">
        <is>
          <t>DX2</t>
        </is>
      </c>
      <c r="E1058" s="129" t="n">
        <v>6445</v>
      </c>
      <c r="F1058" s="89" t="n">
        <v>0.146782423739836</v>
      </c>
      <c r="G1058" s="89" t="n">
        <v>946.012721003243</v>
      </c>
      <c r="H1058" s="110" t="inlineStr">
        <is>
          <t>Cálculo por número de clientes ativos</t>
        </is>
      </c>
    </row>
    <row r="1059" ht="15" customHeight="1" s="64">
      <c r="A1059" s="110" t="inlineStr">
        <is>
          <t>JUNHO/2026</t>
        </is>
      </c>
      <c r="B1059" s="110" t="inlineStr">
        <is>
          <t>Diretoria Operacional</t>
        </is>
      </c>
      <c r="C1059" s="110" t="inlineStr">
        <is>
          <t>Diretoria Operacional</t>
        </is>
      </c>
      <c r="D1059" s="110" t="inlineStr">
        <is>
          <t>Solon Araújo</t>
        </is>
      </c>
      <c r="E1059" s="129" t="n">
        <v>14441</v>
      </c>
      <c r="F1059" s="89" t="n">
        <v>0.146782423739836</v>
      </c>
      <c r="G1059" s="89" t="n">
        <v>2119.68498122697</v>
      </c>
      <c r="H1059" s="110" t="inlineStr">
        <is>
          <t>Cálculo por número de clientes ativos</t>
        </is>
      </c>
    </row>
    <row r="1060" ht="15" customHeight="1" s="64">
      <c r="A1060" s="110" t="inlineStr">
        <is>
          <t>JUNHO/2026</t>
        </is>
      </c>
      <c r="B1060" s="110" t="inlineStr">
        <is>
          <t>Diretoria Operacional</t>
        </is>
      </c>
      <c r="C1060" s="110" t="inlineStr">
        <is>
          <t>Diretoria Operacional</t>
        </is>
      </c>
      <c r="D1060" s="110" t="inlineStr">
        <is>
          <t>Soares e Lins</t>
        </is>
      </c>
      <c r="E1060" s="129" t="n">
        <v>3704</v>
      </c>
      <c r="F1060" s="89" t="n">
        <v>0.146782423739836</v>
      </c>
      <c r="G1060" s="89" t="n">
        <v>543.6820975323531</v>
      </c>
      <c r="H1060" s="110" t="inlineStr">
        <is>
          <t>Cálculo por número de clientes ativos</t>
        </is>
      </c>
    </row>
    <row r="1061" ht="15" customHeight="1" s="64">
      <c r="A1061" s="110" t="inlineStr">
        <is>
          <t>JUNHO/2026</t>
        </is>
      </c>
      <c r="B1061" s="110" t="inlineStr">
        <is>
          <t>Diretoria Operacional</t>
        </is>
      </c>
      <c r="C1061" s="110" t="inlineStr">
        <is>
          <t>Diretoria Operacional</t>
        </is>
      </c>
      <c r="D1061" s="110" t="inlineStr">
        <is>
          <t>Soares e Silva</t>
        </is>
      </c>
      <c r="E1061" s="129" t="n">
        <v>6434</v>
      </c>
      <c r="F1061" s="89" t="n">
        <v>0.146782423739836</v>
      </c>
      <c r="G1061" s="89" t="n">
        <v>944.398114342105</v>
      </c>
      <c r="H1061" s="110" t="inlineStr">
        <is>
          <t>Cálculo por número de clientes ativos</t>
        </is>
      </c>
    </row>
    <row r="1062" ht="15" customHeight="1" s="64">
      <c r="A1062" s="110" t="inlineStr">
        <is>
          <t>JUNHO/2026</t>
        </is>
      </c>
      <c r="B1062" s="110" t="inlineStr">
        <is>
          <t>Diretoria Operacional</t>
        </is>
      </c>
      <c r="C1062" s="110" t="inlineStr">
        <is>
          <t>Diretoria Operacional</t>
        </is>
      </c>
      <c r="D1062" s="110" t="inlineStr">
        <is>
          <t>Souza e Silva</t>
        </is>
      </c>
      <c r="E1062" s="129" t="n">
        <v>4749</v>
      </c>
      <c r="F1062" s="89" t="n">
        <v>0.146782423739836</v>
      </c>
      <c r="G1062" s="89" t="n">
        <v>697.069730340481</v>
      </c>
      <c r="H1062" s="110" t="inlineStr">
        <is>
          <t>Cálculo por número de clientes ativos</t>
        </is>
      </c>
    </row>
    <row r="1063" ht="15" customHeight="1" s="64">
      <c r="A1063" s="110" t="inlineStr">
        <is>
          <t>JUNHO/2026</t>
        </is>
      </c>
      <c r="B1063" s="110" t="inlineStr">
        <is>
          <t>Diretoria Operacional</t>
        </is>
      </c>
      <c r="C1063" s="110" t="inlineStr">
        <is>
          <t>Diretoria Operacional</t>
        </is>
      </c>
      <c r="D1063" s="110" t="inlineStr">
        <is>
          <t>Voicenet</t>
        </is>
      </c>
      <c r="E1063" s="129" t="n">
        <v>4795</v>
      </c>
      <c r="F1063" s="89" t="n">
        <v>0.146782423739836</v>
      </c>
      <c r="G1063" s="89" t="n">
        <v>703.821721832514</v>
      </c>
      <c r="H1063" s="110" t="inlineStr">
        <is>
          <t>Cálculo por número de clientes ativos</t>
        </is>
      </c>
    </row>
    <row r="1064" ht="15" customHeight="1" s="64">
      <c r="A1064" s="110" t="inlineStr">
        <is>
          <t>JULHO/2026</t>
        </is>
      </c>
      <c r="B1064" s="110" t="inlineStr">
        <is>
          <t>Diretoria Operacional</t>
        </is>
      </c>
      <c r="C1064" s="110" t="inlineStr">
        <is>
          <t>Diretoria Operacional</t>
        </is>
      </c>
      <c r="D1064" s="110" t="inlineStr">
        <is>
          <t>DX2</t>
        </is>
      </c>
      <c r="E1064" s="129" t="n">
        <v>6588</v>
      </c>
      <c r="F1064" s="89" t="n">
        <v>0.136978220673766</v>
      </c>
      <c r="G1064" s="89" t="n">
        <v>902.41251779877</v>
      </c>
      <c r="H1064" s="110" t="inlineStr">
        <is>
          <t>Cálculo por número de clientes ativos</t>
        </is>
      </c>
    </row>
    <row r="1065" ht="15" customHeight="1" s="64">
      <c r="A1065" s="110" t="inlineStr">
        <is>
          <t>JULHO/2026</t>
        </is>
      </c>
      <c r="B1065" s="110" t="inlineStr">
        <is>
          <t>Diretoria Operacional</t>
        </is>
      </c>
      <c r="C1065" s="110" t="inlineStr">
        <is>
          <t>Diretoria Operacional</t>
        </is>
      </c>
      <c r="D1065" s="110" t="inlineStr">
        <is>
          <t>Solon Araújo</t>
        </is>
      </c>
      <c r="E1065" s="129" t="n">
        <v>14689</v>
      </c>
      <c r="F1065" s="89" t="n">
        <v>0.136978220673766</v>
      </c>
      <c r="G1065" s="89" t="n">
        <v>2012.07308347695</v>
      </c>
      <c r="H1065" s="110" t="inlineStr">
        <is>
          <t>Cálculo por número de clientes ativos</t>
        </is>
      </c>
    </row>
    <row r="1066" ht="15" customHeight="1" s="64">
      <c r="A1066" s="110" t="inlineStr">
        <is>
          <t>JULHO/2026</t>
        </is>
      </c>
      <c r="B1066" s="110" t="inlineStr">
        <is>
          <t>Diretoria Operacional</t>
        </is>
      </c>
      <c r="C1066" s="110" t="inlineStr">
        <is>
          <t>Diretoria Operacional</t>
        </is>
      </c>
      <c r="D1066" s="110" t="inlineStr">
        <is>
          <t>Soares e Lins</t>
        </is>
      </c>
      <c r="E1066" s="129" t="n">
        <v>3765</v>
      </c>
      <c r="F1066" s="89" t="n">
        <v>0.136978220673766</v>
      </c>
      <c r="G1066" s="89" t="n">
        <v>515.7230008367291</v>
      </c>
      <c r="H1066" s="110" t="inlineStr">
        <is>
          <t>Cálculo por número de clientes ativos</t>
        </is>
      </c>
    </row>
    <row r="1067" ht="15" customHeight="1" s="64">
      <c r="A1067" s="110" t="inlineStr">
        <is>
          <t>JULHO/2026</t>
        </is>
      </c>
      <c r="B1067" s="110" t="inlineStr">
        <is>
          <t>Diretoria Operacional</t>
        </is>
      </c>
      <c r="C1067" s="110" t="inlineStr">
        <is>
          <t>Diretoria Operacional</t>
        </is>
      </c>
      <c r="D1067" s="110" t="inlineStr">
        <is>
          <t>Soares e Silva</t>
        </is>
      </c>
      <c r="E1067" s="129" t="n">
        <v>6568</v>
      </c>
      <c r="F1067" s="89" t="n">
        <v>0.136978220673766</v>
      </c>
      <c r="G1067" s="89" t="n">
        <v>899.672953385295</v>
      </c>
      <c r="H1067" s="110" t="inlineStr">
        <is>
          <t>Cálculo por número de clientes ativos</t>
        </is>
      </c>
    </row>
    <row r="1068" ht="15" customHeight="1" s="64">
      <c r="A1068" s="110" t="inlineStr">
        <is>
          <t>JULHO/2026</t>
        </is>
      </c>
      <c r="B1068" s="110" t="inlineStr">
        <is>
          <t>Diretoria Operacional</t>
        </is>
      </c>
      <c r="C1068" s="110" t="inlineStr">
        <is>
          <t>Diretoria Operacional</t>
        </is>
      </c>
      <c r="D1068" s="110" t="inlineStr">
        <is>
          <t>Souza e Silva</t>
        </is>
      </c>
      <c r="E1068" s="129" t="n">
        <v>4805</v>
      </c>
      <c r="F1068" s="89" t="n">
        <v>0.136978220673766</v>
      </c>
      <c r="G1068" s="89" t="n">
        <v>658.180350337446</v>
      </c>
      <c r="H1068" s="110" t="inlineStr">
        <is>
          <t>Cálculo por número de clientes ativos</t>
        </is>
      </c>
    </row>
    <row r="1069" ht="15" customHeight="1" s="64">
      <c r="A1069" s="110" t="inlineStr">
        <is>
          <t>JULHO/2026</t>
        </is>
      </c>
      <c r="B1069" s="110" t="inlineStr">
        <is>
          <t>Diretoria Operacional</t>
        </is>
      </c>
      <c r="C1069" s="110" t="inlineStr">
        <is>
          <t>Diretoria Operacional</t>
        </is>
      </c>
      <c r="D1069" s="110" t="inlineStr">
        <is>
          <t>Voicenet</t>
        </is>
      </c>
      <c r="E1069" s="129" t="n">
        <v>4806</v>
      </c>
      <c r="F1069" s="89" t="n">
        <v>0.136978220673766</v>
      </c>
      <c r="G1069" s="89" t="n">
        <v>658.317328558119</v>
      </c>
      <c r="H1069" s="110" t="inlineStr">
        <is>
          <t>Cálculo por número de clientes ativos</t>
        </is>
      </c>
    </row>
    <row r="1070" ht="15" customHeight="1" s="64">
      <c r="A1070" s="110" t="inlineStr">
        <is>
          <t>MAIO/2026</t>
        </is>
      </c>
      <c r="B1070" s="110" t="inlineStr">
        <is>
          <t>Gestão de Atendimento</t>
        </is>
      </c>
      <c r="C1070" s="110" t="inlineStr">
        <is>
          <t>Gestão de Atendimento</t>
        </is>
      </c>
      <c r="D1070" s="110" t="inlineStr">
        <is>
          <t>DX2</t>
        </is>
      </c>
      <c r="E1070" s="129" t="n">
        <v>6280</v>
      </c>
      <c r="F1070" s="89" t="n">
        <v>0.23174321635211</v>
      </c>
      <c r="G1070" s="89" t="n">
        <v>1455.347399</v>
      </c>
      <c r="H1070" s="110" t="inlineStr">
        <is>
          <t>Cálculo por número de clientes ativos</t>
        </is>
      </c>
    </row>
    <row r="1071" ht="15" customHeight="1" s="64">
      <c r="A1071" s="110" t="inlineStr">
        <is>
          <t>MAIO/2026</t>
        </is>
      </c>
      <c r="B1071" s="110" t="inlineStr">
        <is>
          <t>Gestão de Atendimento</t>
        </is>
      </c>
      <c r="C1071" s="110" t="inlineStr">
        <is>
          <t>Gestão de Atendimento</t>
        </is>
      </c>
      <c r="D1071" s="110" t="inlineStr">
        <is>
          <t>H&amp;A</t>
        </is>
      </c>
      <c r="E1071" s="129" t="n">
        <v>13402</v>
      </c>
      <c r="F1071" s="89" t="n">
        <v>0.23174321635211</v>
      </c>
      <c r="G1071" s="89" t="n">
        <v>3105.822586</v>
      </c>
      <c r="H1071" s="110" t="inlineStr">
        <is>
          <t>Cálculo por número de clientes ativos</t>
        </is>
      </c>
    </row>
    <row r="1072" ht="15" customHeight="1" s="64">
      <c r="A1072" s="110" t="inlineStr">
        <is>
          <t>MAIO/2026</t>
        </is>
      </c>
      <c r="B1072" s="110" t="inlineStr">
        <is>
          <t>Gestão de Atendimento</t>
        </is>
      </c>
      <c r="C1072" s="110" t="inlineStr">
        <is>
          <t>Gestão de Atendimento</t>
        </is>
      </c>
      <c r="D1072" s="110" t="inlineStr">
        <is>
          <t>Solon Araújo</t>
        </is>
      </c>
      <c r="E1072" s="129" t="n">
        <v>14331</v>
      </c>
      <c r="F1072" s="89" t="n">
        <v>0.23174321635211</v>
      </c>
      <c r="G1072" s="89" t="n">
        <v>3321.112034</v>
      </c>
      <c r="H1072" s="110" t="inlineStr">
        <is>
          <t>Cálculo por número de clientes ativos</t>
        </is>
      </c>
    </row>
    <row r="1073" ht="15" customHeight="1" s="64">
      <c r="A1073" s="110" t="inlineStr">
        <is>
          <t>MAIO/2026</t>
        </is>
      </c>
      <c r="B1073" s="110" t="inlineStr">
        <is>
          <t>Gestão de Atendimento</t>
        </is>
      </c>
      <c r="C1073" s="110" t="inlineStr">
        <is>
          <t>Gestão de Atendimento</t>
        </is>
      </c>
      <c r="D1073" s="110" t="inlineStr">
        <is>
          <t>Soares e Lins</t>
        </is>
      </c>
      <c r="E1073" s="129" t="n">
        <v>3650</v>
      </c>
      <c r="F1073" s="89" t="n">
        <v>0.23174321635211</v>
      </c>
      <c r="G1073" s="89" t="n">
        <v>845.86274</v>
      </c>
      <c r="H1073" s="110" t="inlineStr">
        <is>
          <t>Cálculo por número de clientes ativos</t>
        </is>
      </c>
    </row>
    <row r="1074" ht="15" customHeight="1" s="64">
      <c r="A1074" s="110" t="inlineStr">
        <is>
          <t>MAIO/2026</t>
        </is>
      </c>
      <c r="B1074" s="110" t="inlineStr">
        <is>
          <t>Gestão de Atendimento</t>
        </is>
      </c>
      <c r="C1074" s="110" t="inlineStr">
        <is>
          <t>Gestão de Atendimento</t>
        </is>
      </c>
      <c r="D1074" s="110" t="inlineStr">
        <is>
          <t>Soares e Silva</t>
        </is>
      </c>
      <c r="E1074" s="129" t="n">
        <v>6396</v>
      </c>
      <c r="F1074" s="89" t="n">
        <v>0.23174321635211</v>
      </c>
      <c r="G1074" s="89" t="n">
        <v>1482.229612</v>
      </c>
      <c r="H1074" s="110" t="inlineStr">
        <is>
          <t>Cálculo por número de clientes ativos</t>
        </is>
      </c>
    </row>
    <row r="1075" ht="15" customHeight="1" s="64">
      <c r="A1075" s="110" t="inlineStr">
        <is>
          <t>MAIO/2026</t>
        </is>
      </c>
      <c r="B1075" s="110" t="inlineStr">
        <is>
          <t>Gestão de Atendimento</t>
        </is>
      </c>
      <c r="C1075" s="110" t="inlineStr">
        <is>
          <t>Gestão de Atendimento</t>
        </is>
      </c>
      <c r="D1075" s="110" t="inlineStr">
        <is>
          <t>Souza e Silva</t>
        </is>
      </c>
      <c r="E1075" s="129" t="n">
        <v>4730</v>
      </c>
      <c r="F1075" s="89" t="n">
        <v>0.23174321635211</v>
      </c>
      <c r="G1075" s="89" t="n">
        <v>1096.145413</v>
      </c>
      <c r="H1075" s="110" t="inlineStr">
        <is>
          <t>Cálculo por número de clientes ativos</t>
        </is>
      </c>
    </row>
    <row r="1076" ht="15" customHeight="1" s="64">
      <c r="A1076" s="110" t="inlineStr">
        <is>
          <t>MAIO/2026</t>
        </is>
      </c>
      <c r="B1076" s="110" t="inlineStr">
        <is>
          <t>Gestão de Atendimento</t>
        </is>
      </c>
      <c r="C1076" s="110" t="inlineStr">
        <is>
          <t>Gestão de Atendimento</t>
        </is>
      </c>
      <c r="D1076" s="110" t="inlineStr">
        <is>
          <t>Voicenet</t>
        </is>
      </c>
      <c r="E1076" s="129" t="n">
        <v>4782</v>
      </c>
      <c r="F1076" s="89" t="n">
        <v>0.23174321635211</v>
      </c>
      <c r="G1076" s="89" t="n">
        <v>1108.196061</v>
      </c>
      <c r="H1076" s="110" t="inlineStr">
        <is>
          <t>Cálculo por número de clientes ativos</t>
        </is>
      </c>
    </row>
    <row r="1077" ht="15" customHeight="1" s="64">
      <c r="A1077" s="110" t="inlineStr">
        <is>
          <t>JUNHO/2026</t>
        </is>
      </c>
      <c r="B1077" s="110" t="inlineStr">
        <is>
          <t>Gestão de Atendimento</t>
        </is>
      </c>
      <c r="C1077" s="110" t="inlineStr">
        <is>
          <t>Gestão de Atendimento</t>
        </is>
      </c>
      <c r="D1077" s="110" t="inlineStr">
        <is>
          <t>DX2</t>
        </is>
      </c>
      <c r="E1077" s="129" t="n">
        <v>6445</v>
      </c>
      <c r="F1077" s="89" t="n">
        <v>0.251543736341568</v>
      </c>
      <c r="G1077" s="89" t="n">
        <v>1621.199381</v>
      </c>
      <c r="H1077" s="110" t="inlineStr">
        <is>
          <t>Cálculo por número de clientes ativos</t>
        </is>
      </c>
    </row>
    <row r="1078" ht="15" customHeight="1" s="64">
      <c r="A1078" s="110" t="inlineStr">
        <is>
          <t>JUNHO/2026</t>
        </is>
      </c>
      <c r="B1078" s="110" t="inlineStr">
        <is>
          <t>Gestão de Atendimento</t>
        </is>
      </c>
      <c r="C1078" s="110" t="inlineStr">
        <is>
          <t>Gestão de Atendimento</t>
        </is>
      </c>
      <c r="D1078" s="110" t="inlineStr">
        <is>
          <t>H&amp;A</t>
        </is>
      </c>
      <c r="E1078" s="129" t="n">
        <v>13418</v>
      </c>
      <c r="F1078" s="89" t="n">
        <v>0.251543736341568</v>
      </c>
      <c r="G1078" s="89" t="n">
        <v>3375.213854</v>
      </c>
      <c r="H1078" s="110" t="inlineStr">
        <is>
          <t>Cálculo por número de clientes ativos</t>
        </is>
      </c>
    </row>
    <row r="1079" ht="15" customHeight="1" s="64">
      <c r="A1079" s="110" t="inlineStr">
        <is>
          <t>JUNHO/2026</t>
        </is>
      </c>
      <c r="B1079" s="110" t="inlineStr">
        <is>
          <t>Gestão de Atendimento</t>
        </is>
      </c>
      <c r="C1079" s="110" t="inlineStr">
        <is>
          <t>Gestão de Atendimento</t>
        </is>
      </c>
      <c r="D1079" s="110" t="inlineStr">
        <is>
          <t>Solon Araújo</t>
        </is>
      </c>
      <c r="E1079" s="129" t="n">
        <v>14441</v>
      </c>
      <c r="F1079" s="89" t="n">
        <v>0.251543736341568</v>
      </c>
      <c r="G1079" s="89" t="n">
        <v>3632.543097</v>
      </c>
      <c r="H1079" s="110" t="inlineStr">
        <is>
          <t>Cálculo por número de clientes ativos</t>
        </is>
      </c>
    </row>
    <row r="1080" ht="15" customHeight="1" s="64">
      <c r="A1080" s="110" t="inlineStr">
        <is>
          <t>JUNHO/2026</t>
        </is>
      </c>
      <c r="B1080" s="110" t="inlineStr">
        <is>
          <t>Gestão de Atendimento</t>
        </is>
      </c>
      <c r="C1080" s="110" t="inlineStr">
        <is>
          <t>Gestão de Atendimento</t>
        </is>
      </c>
      <c r="D1080" s="110" t="inlineStr">
        <is>
          <t>Soares e Lins</t>
        </is>
      </c>
      <c r="E1080" s="129" t="n">
        <v>3704</v>
      </c>
      <c r="F1080" s="89" t="n">
        <v>0.251543736341568</v>
      </c>
      <c r="G1080" s="89" t="n">
        <v>931.717999</v>
      </c>
      <c r="H1080" s="110" t="inlineStr">
        <is>
          <t>Cálculo por número de clientes ativos</t>
        </is>
      </c>
    </row>
    <row r="1081" ht="15" customHeight="1" s="64">
      <c r="A1081" s="110" t="inlineStr">
        <is>
          <t>JUNHO/2026</t>
        </is>
      </c>
      <c r="B1081" s="110" t="inlineStr">
        <is>
          <t>Gestão de Atendimento</t>
        </is>
      </c>
      <c r="C1081" s="110" t="inlineStr">
        <is>
          <t>Gestão de Atendimento</t>
        </is>
      </c>
      <c r="D1081" s="110" t="inlineStr">
        <is>
          <t>Soares e Silva</t>
        </is>
      </c>
      <c r="E1081" s="129" t="n">
        <v>6434</v>
      </c>
      <c r="F1081" s="89" t="n">
        <v>0.251543736341568</v>
      </c>
      <c r="G1081" s="89" t="n">
        <v>1618.4324</v>
      </c>
      <c r="H1081" s="110" t="inlineStr">
        <is>
          <t>Cálculo por número de clientes ativos</t>
        </is>
      </c>
    </row>
    <row r="1082" ht="15" customHeight="1" s="64">
      <c r="A1082" s="110" t="inlineStr">
        <is>
          <t>JUNHO/2026</t>
        </is>
      </c>
      <c r="B1082" s="110" t="inlineStr">
        <is>
          <t>Gestão de Atendimento</t>
        </is>
      </c>
      <c r="C1082" s="110" t="inlineStr">
        <is>
          <t>Gestão de Atendimento</t>
        </is>
      </c>
      <c r="D1082" s="110" t="inlineStr">
        <is>
          <t>Souza e Silva</t>
        </is>
      </c>
      <c r="E1082" s="129" t="n">
        <v>4749</v>
      </c>
      <c r="F1082" s="89" t="n">
        <v>0.251543736341568</v>
      </c>
      <c r="G1082" s="89" t="n">
        <v>1194.581204</v>
      </c>
      <c r="H1082" s="110" t="inlineStr">
        <is>
          <t>Cálculo por número de clientes ativos</t>
        </is>
      </c>
    </row>
    <row r="1083" ht="15" customHeight="1" s="64">
      <c r="A1083" s="110" t="inlineStr">
        <is>
          <t>JUNHO/2026</t>
        </is>
      </c>
      <c r="B1083" s="110" t="inlineStr">
        <is>
          <t>Gestão de Atendimento</t>
        </is>
      </c>
      <c r="C1083" s="110" t="inlineStr">
        <is>
          <t>Gestão de Atendimento</t>
        </is>
      </c>
      <c r="D1083" s="110" t="inlineStr">
        <is>
          <t>Voicenet</t>
        </is>
      </c>
      <c r="E1083" s="129" t="n">
        <v>4795</v>
      </c>
      <c r="F1083" s="89" t="n">
        <v>0.251543736341568</v>
      </c>
      <c r="G1083" s="89" t="n">
        <v>1206.152216</v>
      </c>
      <c r="H1083" s="110" t="inlineStr">
        <is>
          <t>Cálculo por número de clientes ativos</t>
        </is>
      </c>
    </row>
    <row r="1084" ht="15" customHeight="1" s="64">
      <c r="A1084" s="110" t="inlineStr">
        <is>
          <t>JULHO/2026</t>
        </is>
      </c>
      <c r="B1084" s="110" t="inlineStr">
        <is>
          <t>Gestão de Atendimento</t>
        </is>
      </c>
      <c r="C1084" s="110" t="inlineStr">
        <is>
          <t>Gestão de Atendimento</t>
        </is>
      </c>
      <c r="D1084" s="110" t="inlineStr">
        <is>
          <t>DX2</t>
        </is>
      </c>
      <c r="E1084" s="129" t="n">
        <v>6588</v>
      </c>
      <c r="F1084" s="89" t="n">
        <v>0.229782928031525</v>
      </c>
      <c r="G1084" s="89" t="n">
        <v>1513.80993</v>
      </c>
      <c r="H1084" s="110" t="inlineStr">
        <is>
          <t>Cálculo por número de clientes ativos</t>
        </is>
      </c>
    </row>
    <row r="1085" ht="15" customHeight="1" s="64">
      <c r="A1085" s="110" t="inlineStr">
        <is>
          <t>JULHO/2026</t>
        </is>
      </c>
      <c r="B1085" s="110" t="inlineStr">
        <is>
          <t>Gestão de Atendimento</t>
        </is>
      </c>
      <c r="C1085" s="110" t="inlineStr">
        <is>
          <t>Gestão de Atendimento</t>
        </is>
      </c>
      <c r="D1085" s="110" t="inlineStr">
        <is>
          <t>H&amp;A</t>
        </is>
      </c>
      <c r="E1085" s="129" t="n">
        <v>13530</v>
      </c>
      <c r="F1085" s="89" t="n">
        <v>0.229782928031525</v>
      </c>
      <c r="G1085" s="89" t="n">
        <v>3108.963016</v>
      </c>
      <c r="H1085" s="110" t="inlineStr">
        <is>
          <t>Cálculo por número de clientes ativos</t>
        </is>
      </c>
    </row>
    <row r="1086" ht="15" customHeight="1" s="64">
      <c r="A1086" s="110" t="inlineStr">
        <is>
          <t>JULHO/2026</t>
        </is>
      </c>
      <c r="B1086" s="110" t="inlineStr">
        <is>
          <t>Gestão de Atendimento</t>
        </is>
      </c>
      <c r="C1086" s="110" t="inlineStr">
        <is>
          <t>Gestão de Atendimento</t>
        </is>
      </c>
      <c r="D1086" s="110" t="inlineStr">
        <is>
          <t>Solon Araújo</t>
        </is>
      </c>
      <c r="E1086" s="129" t="n">
        <v>14689</v>
      </c>
      <c r="F1086" s="89" t="n">
        <v>0.229782928031525</v>
      </c>
      <c r="G1086" s="89" t="n">
        <v>3375.28143</v>
      </c>
      <c r="H1086" s="110" t="inlineStr">
        <is>
          <t>Cálculo por número de clientes ativos</t>
        </is>
      </c>
    </row>
    <row r="1087" ht="15" customHeight="1" s="64">
      <c r="A1087" s="110" t="inlineStr">
        <is>
          <t>JULHO/2026</t>
        </is>
      </c>
      <c r="B1087" s="110" t="inlineStr">
        <is>
          <t>Gestão de Atendimento</t>
        </is>
      </c>
      <c r="C1087" s="110" t="inlineStr">
        <is>
          <t>Gestão de Atendimento</t>
        </is>
      </c>
      <c r="D1087" s="110" t="inlineStr">
        <is>
          <t>Soares e Lins</t>
        </is>
      </c>
      <c r="E1087" s="129" t="n">
        <v>3765</v>
      </c>
      <c r="F1087" s="89" t="n">
        <v>0.229782928031525</v>
      </c>
      <c r="G1087" s="89" t="n">
        <v>865.1327240000001</v>
      </c>
      <c r="H1087" s="110" t="inlineStr">
        <is>
          <t>Cálculo por número de clientes ativos</t>
        </is>
      </c>
    </row>
    <row r="1088" ht="15" customHeight="1" s="64">
      <c r="A1088" s="110" t="inlineStr">
        <is>
          <t>JULHO/2026</t>
        </is>
      </c>
      <c r="B1088" s="110" t="inlineStr">
        <is>
          <t>Gestão de Atendimento</t>
        </is>
      </c>
      <c r="C1088" s="110" t="inlineStr">
        <is>
          <t>Gestão de Atendimento</t>
        </is>
      </c>
      <c r="D1088" s="110" t="inlineStr">
        <is>
          <t>Soares e Silva</t>
        </is>
      </c>
      <c r="E1088" s="129" t="n">
        <v>6568</v>
      </c>
      <c r="F1088" s="89" t="n">
        <v>0.229782928031525</v>
      </c>
      <c r="G1088" s="89" t="n">
        <v>1509.214271</v>
      </c>
      <c r="H1088" s="110" t="inlineStr">
        <is>
          <t>Cálculo por número de clientes ativos</t>
        </is>
      </c>
    </row>
    <row r="1089" ht="15" customHeight="1" s="64">
      <c r="A1089" s="110" t="inlineStr">
        <is>
          <t>JULHO/2026</t>
        </is>
      </c>
      <c r="B1089" s="110" t="inlineStr">
        <is>
          <t>Gestão de Atendimento</t>
        </is>
      </c>
      <c r="C1089" s="110" t="inlineStr">
        <is>
          <t>Gestão de Atendimento</t>
        </is>
      </c>
      <c r="D1089" s="110" t="inlineStr">
        <is>
          <t>Souza e Silva</t>
        </is>
      </c>
      <c r="E1089" s="129" t="n">
        <v>4805</v>
      </c>
      <c r="F1089" s="89" t="n">
        <v>0.229782928031525</v>
      </c>
      <c r="G1089" s="89" t="n">
        <v>1104.106969</v>
      </c>
      <c r="H1089" s="110" t="inlineStr">
        <is>
          <t>Cálculo por número de clientes ativos</t>
        </is>
      </c>
    </row>
    <row r="1090" ht="15" customHeight="1" s="64">
      <c r="A1090" s="110" t="inlineStr">
        <is>
          <t>JULHO/2026</t>
        </is>
      </c>
      <c r="B1090" s="110" t="inlineStr">
        <is>
          <t>Gestão de Atendimento</t>
        </is>
      </c>
      <c r="C1090" s="110" t="inlineStr">
        <is>
          <t>Gestão de Atendimento</t>
        </is>
      </c>
      <c r="D1090" s="110" t="inlineStr">
        <is>
          <t>Voicenet</t>
        </is>
      </c>
      <c r="E1090" s="129" t="n">
        <v>4806</v>
      </c>
      <c r="F1090" s="89" t="n">
        <v>0.229782928031525</v>
      </c>
      <c r="G1090" s="89" t="n">
        <v>1104.336752</v>
      </c>
      <c r="H1090" s="110" t="inlineStr">
        <is>
          <t>Cálculo por número de clientes ativos</t>
        </is>
      </c>
    </row>
    <row r="1091" ht="15" customHeight="1" s="64">
      <c r="A1091" s="110" t="inlineStr">
        <is>
          <t>MAIO/2026</t>
        </is>
      </c>
      <c r="B1091" s="110" t="inlineStr">
        <is>
          <t>CAC</t>
        </is>
      </c>
      <c r="C1091" s="110" t="inlineStr">
        <is>
          <t>CAC</t>
        </is>
      </c>
      <c r="D1091" s="110" t="inlineStr">
        <is>
          <t>DX2</t>
        </is>
      </c>
      <c r="E1091" s="129" t="n">
        <v>6280</v>
      </c>
      <c r="F1091" s="89" t="n">
        <v>0.08554408525717749</v>
      </c>
      <c r="G1091" s="89" t="n">
        <v>537.216855415075</v>
      </c>
      <c r="H1091" s="110" t="inlineStr">
        <is>
          <t>Cálculo por número de clientes ativos</t>
        </is>
      </c>
    </row>
    <row r="1092" ht="15" customHeight="1" s="64">
      <c r="A1092" s="110" t="inlineStr">
        <is>
          <t>MAIO/2026</t>
        </is>
      </c>
      <c r="B1092" s="110" t="inlineStr">
        <is>
          <t>CAC</t>
        </is>
      </c>
      <c r="C1092" s="110" t="inlineStr">
        <is>
          <t>CAC</t>
        </is>
      </c>
      <c r="D1092" s="110" t="inlineStr">
        <is>
          <t>Solon Araújo</t>
        </is>
      </c>
      <c r="E1092" s="129" t="n">
        <v>14331</v>
      </c>
      <c r="F1092" s="89" t="n">
        <v>0.08554408525717749</v>
      </c>
      <c r="G1092" s="89" t="n">
        <v>1225.93228582061</v>
      </c>
      <c r="H1092" s="110" t="inlineStr">
        <is>
          <t>Cálculo por número de clientes ativos</t>
        </is>
      </c>
    </row>
    <row r="1093" ht="15" customHeight="1" s="64">
      <c r="A1093" s="110" t="inlineStr">
        <is>
          <t>MAIO/2026</t>
        </is>
      </c>
      <c r="B1093" s="110" t="inlineStr">
        <is>
          <t>CAC</t>
        </is>
      </c>
      <c r="C1093" s="110" t="inlineStr">
        <is>
          <t>CAC</t>
        </is>
      </c>
      <c r="D1093" s="110" t="inlineStr">
        <is>
          <t>Soares e Lins</t>
        </is>
      </c>
      <c r="E1093" s="129" t="n">
        <v>3650</v>
      </c>
      <c r="F1093" s="89" t="n">
        <v>0.08554408525717749</v>
      </c>
      <c r="G1093" s="89" t="n">
        <v>312.235911188698</v>
      </c>
      <c r="H1093" s="110" t="inlineStr">
        <is>
          <t>Cálculo por número de clientes ativos</t>
        </is>
      </c>
    </row>
    <row r="1094" ht="15" customHeight="1" s="64">
      <c r="A1094" s="110" t="inlineStr">
        <is>
          <t>MAIO/2026</t>
        </is>
      </c>
      <c r="B1094" s="110" t="inlineStr">
        <is>
          <t>CAC</t>
        </is>
      </c>
      <c r="C1094" s="110" t="inlineStr">
        <is>
          <t>CAC</t>
        </is>
      </c>
      <c r="D1094" s="110" t="inlineStr">
        <is>
          <t>Soares e Silva</t>
        </is>
      </c>
      <c r="E1094" s="129" t="n">
        <v>6396</v>
      </c>
      <c r="F1094" s="89" t="n">
        <v>0.08554408525717749</v>
      </c>
      <c r="G1094" s="89" t="n">
        <v>547.139969304907</v>
      </c>
      <c r="H1094" s="110" t="inlineStr">
        <is>
          <t>Cálculo por número de clientes ativos</t>
        </is>
      </c>
    </row>
    <row r="1095" ht="15" customHeight="1" s="64">
      <c r="A1095" s="110" t="inlineStr">
        <is>
          <t>MAIO/2026</t>
        </is>
      </c>
      <c r="B1095" s="110" t="inlineStr">
        <is>
          <t>CAC</t>
        </is>
      </c>
      <c r="C1095" s="110" t="inlineStr">
        <is>
          <t>CAC</t>
        </is>
      </c>
      <c r="D1095" s="110" t="inlineStr">
        <is>
          <t>Souza e Silva</t>
        </is>
      </c>
      <c r="E1095" s="129" t="n">
        <v>4730</v>
      </c>
      <c r="F1095" s="89" t="n">
        <v>0.08554408525717749</v>
      </c>
      <c r="G1095" s="89" t="n">
        <v>404.62352326645</v>
      </c>
      <c r="H1095" s="110" t="inlineStr">
        <is>
          <t>Cálculo por número de clientes ativos</t>
        </is>
      </c>
    </row>
    <row r="1096" ht="15" customHeight="1" s="64">
      <c r="A1096" s="110" t="inlineStr">
        <is>
          <t>MAIO/2026</t>
        </is>
      </c>
      <c r="B1096" s="110" t="inlineStr">
        <is>
          <t>CAC</t>
        </is>
      </c>
      <c r="C1096" s="110" t="inlineStr">
        <is>
          <t>CAC</t>
        </is>
      </c>
      <c r="D1096" s="110" t="inlineStr">
        <is>
          <t>Voicenet</t>
        </is>
      </c>
      <c r="E1096" s="129" t="n">
        <v>4782</v>
      </c>
      <c r="F1096" s="89" t="n">
        <v>0.08554408525717749</v>
      </c>
      <c r="G1096" s="89" t="n">
        <v>409.071815699823</v>
      </c>
      <c r="H1096" s="110" t="inlineStr">
        <is>
          <t>Cálculo por número de clientes ativos</t>
        </is>
      </c>
    </row>
    <row r="1097" ht="15" customHeight="1" s="64">
      <c r="A1097" s="110" t="inlineStr">
        <is>
          <t>JUNHO/2026</t>
        </is>
      </c>
      <c r="B1097" s="110" t="inlineStr">
        <is>
          <t>CAC</t>
        </is>
      </c>
      <c r="C1097" s="110" t="inlineStr">
        <is>
          <t>CAC</t>
        </is>
      </c>
      <c r="D1097" s="110" t="inlineStr">
        <is>
          <t>DX2</t>
        </is>
      </c>
      <c r="E1097" s="129" t="n">
        <v>6445</v>
      </c>
      <c r="F1097" s="89" t="n">
        <v>0.08612507967953691</v>
      </c>
      <c r="G1097" s="89" t="n">
        <v>555.076138534615</v>
      </c>
      <c r="H1097" s="110" t="inlineStr">
        <is>
          <t>Cálculo por número de clientes ativos</t>
        </is>
      </c>
    </row>
    <row r="1098" ht="15" customHeight="1" s="64">
      <c r="A1098" s="110" t="inlineStr">
        <is>
          <t>JUNHO/2026</t>
        </is>
      </c>
      <c r="B1098" s="110" t="inlineStr">
        <is>
          <t>CAC</t>
        </is>
      </c>
      <c r="C1098" s="110" t="inlineStr">
        <is>
          <t>CAC</t>
        </is>
      </c>
      <c r="D1098" s="110" t="inlineStr">
        <is>
          <t>Solon Araújo</t>
        </is>
      </c>
      <c r="E1098" s="129" t="n">
        <v>14441</v>
      </c>
      <c r="F1098" s="89" t="n">
        <v>0.08612507967953691</v>
      </c>
      <c r="G1098" s="89" t="n">
        <v>1243.73227565219</v>
      </c>
      <c r="H1098" s="110" t="inlineStr">
        <is>
          <t>Cálculo por número de clientes ativos</t>
        </is>
      </c>
    </row>
    <row r="1099" ht="15" customHeight="1" s="64">
      <c r="A1099" s="110" t="inlineStr">
        <is>
          <t>JUNHO/2026</t>
        </is>
      </c>
      <c r="B1099" s="110" t="inlineStr">
        <is>
          <t>CAC</t>
        </is>
      </c>
      <c r="C1099" s="110" t="inlineStr">
        <is>
          <t>CAC</t>
        </is>
      </c>
      <c r="D1099" s="110" t="inlineStr">
        <is>
          <t>Soares e Lins</t>
        </is>
      </c>
      <c r="E1099" s="129" t="n">
        <v>3704</v>
      </c>
      <c r="F1099" s="89" t="n">
        <v>0.08612507967953691</v>
      </c>
      <c r="G1099" s="89" t="n">
        <v>319.007295133005</v>
      </c>
      <c r="H1099" s="110" t="inlineStr">
        <is>
          <t>Cálculo por número de clientes ativos</t>
        </is>
      </c>
    </row>
    <row r="1100" ht="15" customHeight="1" s="64">
      <c r="A1100" s="110" t="inlineStr">
        <is>
          <t>JUNHO/2026</t>
        </is>
      </c>
      <c r="B1100" s="110" t="inlineStr">
        <is>
          <t>CAC</t>
        </is>
      </c>
      <c r="C1100" s="110" t="inlineStr">
        <is>
          <t>CAC</t>
        </is>
      </c>
      <c r="D1100" s="110" t="inlineStr">
        <is>
          <t>Soares e Silva</t>
        </is>
      </c>
      <c r="E1100" s="129" t="n">
        <v>6434</v>
      </c>
      <c r="F1100" s="89" t="n">
        <v>0.08612507967953691</v>
      </c>
      <c r="G1100" s="89" t="n">
        <v>554.12876265814</v>
      </c>
      <c r="H1100" s="110" t="inlineStr">
        <is>
          <t>Cálculo por número de clientes ativos</t>
        </is>
      </c>
    </row>
    <row r="1101" ht="15" customHeight="1" s="64">
      <c r="A1101" s="110" t="inlineStr">
        <is>
          <t>JUNHO/2026</t>
        </is>
      </c>
      <c r="B1101" s="110" t="inlineStr">
        <is>
          <t>CAC</t>
        </is>
      </c>
      <c r="C1101" s="110" t="inlineStr">
        <is>
          <t>CAC</t>
        </is>
      </c>
      <c r="D1101" s="110" t="inlineStr">
        <is>
          <t>Souza e Silva</t>
        </is>
      </c>
      <c r="E1101" s="129" t="n">
        <v>4749</v>
      </c>
      <c r="F1101" s="89" t="n">
        <v>0.08612507967953691</v>
      </c>
      <c r="G1101" s="89" t="n">
        <v>409.008003398121</v>
      </c>
      <c r="H1101" s="110" t="inlineStr">
        <is>
          <t>Cálculo por número de clientes ativos</t>
        </is>
      </c>
    </row>
    <row r="1102" ht="15" customHeight="1" s="64">
      <c r="A1102" s="110" t="inlineStr">
        <is>
          <t>JUNHO/2026</t>
        </is>
      </c>
      <c r="B1102" s="110" t="inlineStr">
        <is>
          <t>CAC</t>
        </is>
      </c>
      <c r="C1102" s="110" t="inlineStr">
        <is>
          <t>CAC</t>
        </is>
      </c>
      <c r="D1102" s="110" t="inlineStr">
        <is>
          <t>Voicenet</t>
        </is>
      </c>
      <c r="E1102" s="129" t="n">
        <v>4795</v>
      </c>
      <c r="F1102" s="89" t="n">
        <v>0.08612507967953691</v>
      </c>
      <c r="G1102" s="89" t="n">
        <v>412.96975706338</v>
      </c>
      <c r="H1102" s="110" t="inlineStr">
        <is>
          <t>Cálculo por número de clientes ativos</t>
        </is>
      </c>
    </row>
    <row r="1103" ht="15" customHeight="1" s="64">
      <c r="A1103" s="110" t="inlineStr">
        <is>
          <t>JULHO/2026</t>
        </is>
      </c>
      <c r="B1103" s="110" t="inlineStr">
        <is>
          <t>CAC</t>
        </is>
      </c>
      <c r="C1103" s="110" t="inlineStr">
        <is>
          <t>CAC</t>
        </is>
      </c>
      <c r="D1103" s="110" t="inlineStr">
        <is>
          <t>DX2</t>
        </is>
      </c>
      <c r="E1103" s="129" t="n">
        <v>6588</v>
      </c>
      <c r="F1103" s="89" t="n">
        <v>0.055610036180276</v>
      </c>
      <c r="G1103" s="89" t="n">
        <v>366.358918355658</v>
      </c>
      <c r="H1103" s="110" t="inlineStr">
        <is>
          <t>Cálculo por número de clientes ativos</t>
        </is>
      </c>
    </row>
    <row r="1104" ht="15" customHeight="1" s="64">
      <c r="A1104" s="110" t="inlineStr">
        <is>
          <t>JULHO/2026</t>
        </is>
      </c>
      <c r="B1104" s="110" t="inlineStr">
        <is>
          <t>CAC</t>
        </is>
      </c>
      <c r="C1104" s="110" t="inlineStr">
        <is>
          <t>CAC</t>
        </is>
      </c>
      <c r="D1104" s="110" t="inlineStr">
        <is>
          <t>Solon Araújo</t>
        </is>
      </c>
      <c r="E1104" s="129" t="n">
        <v>14689</v>
      </c>
      <c r="F1104" s="89" t="n">
        <v>0.055610036180276</v>
      </c>
      <c r="G1104" s="89" t="n">
        <v>816.855821452074</v>
      </c>
      <c r="H1104" s="110" t="inlineStr">
        <is>
          <t>Cálculo por número de clientes ativos</t>
        </is>
      </c>
    </row>
    <row r="1105" ht="15" customHeight="1" s="64">
      <c r="A1105" s="110" t="inlineStr">
        <is>
          <t>JULHO/2026</t>
        </is>
      </c>
      <c r="B1105" s="110" t="inlineStr">
        <is>
          <t>CAC</t>
        </is>
      </c>
      <c r="C1105" s="110" t="inlineStr">
        <is>
          <t>CAC</t>
        </is>
      </c>
      <c r="D1105" s="110" t="inlineStr">
        <is>
          <t>Soares e Lins</t>
        </is>
      </c>
      <c r="E1105" s="129" t="n">
        <v>3765</v>
      </c>
      <c r="F1105" s="89" t="n">
        <v>0.055610036180276</v>
      </c>
      <c r="G1105" s="89" t="n">
        <v>209.371786218739</v>
      </c>
      <c r="H1105" s="110" t="inlineStr">
        <is>
          <t>Cálculo por número de clientes ativos</t>
        </is>
      </c>
    </row>
    <row r="1106" ht="15" customHeight="1" s="64">
      <c r="A1106" s="110" t="inlineStr">
        <is>
          <t>JULHO/2026</t>
        </is>
      </c>
      <c r="B1106" s="110" t="inlineStr">
        <is>
          <t>CAC</t>
        </is>
      </c>
      <c r="C1106" s="110" t="inlineStr">
        <is>
          <t>CAC</t>
        </is>
      </c>
      <c r="D1106" s="110" t="inlineStr">
        <is>
          <t>Soares e Silva</t>
        </is>
      </c>
      <c r="E1106" s="129" t="n">
        <v>6568</v>
      </c>
      <c r="F1106" s="89" t="n">
        <v>0.055610036180276</v>
      </c>
      <c r="G1106" s="89" t="n">
        <v>365.246717632053</v>
      </c>
      <c r="H1106" s="110" t="inlineStr">
        <is>
          <t>Cálculo por número de clientes ativos</t>
        </is>
      </c>
    </row>
    <row r="1107" ht="15" customHeight="1" s="64">
      <c r="A1107" s="110" t="inlineStr">
        <is>
          <t>JULHO/2026</t>
        </is>
      </c>
      <c r="B1107" s="110" t="inlineStr">
        <is>
          <t>CAC</t>
        </is>
      </c>
      <c r="C1107" s="110" t="inlineStr">
        <is>
          <t>CAC</t>
        </is>
      </c>
      <c r="D1107" s="110" t="inlineStr">
        <is>
          <t>Souza e Silva</t>
        </is>
      </c>
      <c r="E1107" s="129" t="n">
        <v>4805</v>
      </c>
      <c r="F1107" s="89" t="n">
        <v>0.055610036180276</v>
      </c>
      <c r="G1107" s="89" t="n">
        <v>267.206223846226</v>
      </c>
      <c r="H1107" s="110" t="inlineStr">
        <is>
          <t>Cálculo por número de clientes ativos</t>
        </is>
      </c>
    </row>
    <row r="1108" ht="15" customHeight="1" s="64">
      <c r="A1108" s="110" t="inlineStr">
        <is>
          <t>JULHO/2026</t>
        </is>
      </c>
      <c r="B1108" s="110" t="inlineStr">
        <is>
          <t>CAC</t>
        </is>
      </c>
      <c r="C1108" s="110" t="inlineStr">
        <is>
          <t>CAC</t>
        </is>
      </c>
      <c r="D1108" s="110" t="inlineStr">
        <is>
          <t>Voicenet</t>
        </is>
      </c>
      <c r="E1108" s="129" t="n">
        <v>4806</v>
      </c>
      <c r="F1108" s="89" t="n">
        <v>0.055610036180276</v>
      </c>
      <c r="G1108" s="89" t="n">
        <v>267.261833882406</v>
      </c>
      <c r="H1108" s="110" t="inlineStr">
        <is>
          <t>Cálculo por número de clientes ativos</t>
        </is>
      </c>
    </row>
    <row r="1109" ht="15" customHeight="1" s="64">
      <c r="A1109" s="110" t="inlineStr">
        <is>
          <t>MAIO/2026</t>
        </is>
      </c>
      <c r="B1109" s="110" t="inlineStr">
        <is>
          <t>Relacionamento</t>
        </is>
      </c>
      <c r="C1109" s="110" t="inlineStr">
        <is>
          <t>Relacionamento Dtel</t>
        </is>
      </c>
      <c r="D1109" s="110" t="inlineStr">
        <is>
          <t>DX2</t>
        </is>
      </c>
      <c r="E1109" s="129" t="n">
        <v>6280</v>
      </c>
      <c r="F1109" s="89" t="n">
        <v>2.35573300476439</v>
      </c>
      <c r="G1109" s="89" t="n">
        <v>14794.00327</v>
      </c>
      <c r="H1109" s="110" t="inlineStr">
        <is>
          <t>Cálculo por número de clientes ativos</t>
        </is>
      </c>
    </row>
    <row r="1110" ht="15" customHeight="1" s="64">
      <c r="A1110" s="110" t="inlineStr">
        <is>
          <t>MAIO/2026</t>
        </is>
      </c>
      <c r="B1110" s="110" t="inlineStr">
        <is>
          <t>Relacionamento</t>
        </is>
      </c>
      <c r="C1110" s="110" t="inlineStr">
        <is>
          <t>Relacionamento Dtel</t>
        </is>
      </c>
      <c r="D1110" s="110" t="inlineStr">
        <is>
          <t>Solon Araújo</t>
        </is>
      </c>
      <c r="E1110" s="129" t="n">
        <v>14331</v>
      </c>
      <c r="F1110" s="89" t="n">
        <v>2.35573300476439</v>
      </c>
      <c r="G1110" s="89" t="n">
        <v>33760.009691</v>
      </c>
      <c r="H1110" s="110" t="inlineStr">
        <is>
          <t>Cálculo por número de clientes ativos</t>
        </is>
      </c>
    </row>
    <row r="1111" ht="15" customHeight="1" s="64">
      <c r="A1111" s="110" t="inlineStr">
        <is>
          <t>MAIO/2026</t>
        </is>
      </c>
      <c r="B1111" s="110" t="inlineStr">
        <is>
          <t>Relacionamento</t>
        </is>
      </c>
      <c r="C1111" s="110" t="inlineStr">
        <is>
          <t>Relacionamento Dtel</t>
        </is>
      </c>
      <c r="D1111" s="110" t="inlineStr">
        <is>
          <t>Soares e Lins</t>
        </is>
      </c>
      <c r="E1111" s="129" t="n">
        <v>3650</v>
      </c>
      <c r="F1111" s="89" t="n">
        <v>2.35573300476439</v>
      </c>
      <c r="G1111" s="89" t="n">
        <v>8598.425466999999</v>
      </c>
      <c r="H1111" s="110" t="inlineStr">
        <is>
          <t>Cálculo por número de clientes ativos</t>
        </is>
      </c>
    </row>
    <row r="1112" ht="15" customHeight="1" s="64">
      <c r="A1112" s="110" t="inlineStr">
        <is>
          <t>MAIO/2026</t>
        </is>
      </c>
      <c r="B1112" s="110" t="inlineStr">
        <is>
          <t>Relacionamento</t>
        </is>
      </c>
      <c r="C1112" s="110" t="inlineStr">
        <is>
          <t>Relacionamento Dtel</t>
        </is>
      </c>
      <c r="D1112" s="110" t="inlineStr">
        <is>
          <t>Soares e Silva</t>
        </is>
      </c>
      <c r="E1112" s="129" t="n">
        <v>6396</v>
      </c>
      <c r="F1112" s="89" t="n">
        <v>2.35573300476439</v>
      </c>
      <c r="G1112" s="89" t="n">
        <v>15067.268298</v>
      </c>
      <c r="H1112" s="110" t="inlineStr">
        <is>
          <t>Cálculo por número de clientes ativos</t>
        </is>
      </c>
    </row>
    <row r="1113" ht="15" customHeight="1" s="64">
      <c r="A1113" s="110" t="inlineStr">
        <is>
          <t>MAIO/2026</t>
        </is>
      </c>
      <c r="B1113" s="110" t="inlineStr">
        <is>
          <t>Relacionamento</t>
        </is>
      </c>
      <c r="C1113" s="110" t="inlineStr">
        <is>
          <t>Relacionamento Dtel</t>
        </is>
      </c>
      <c r="D1113" s="110" t="inlineStr">
        <is>
          <t>Souza e Silva</t>
        </is>
      </c>
      <c r="E1113" s="129" t="n">
        <v>4730</v>
      </c>
      <c r="F1113" s="89" t="n">
        <v>2.35573300476439</v>
      </c>
      <c r="G1113" s="89" t="n">
        <v>11142.617113</v>
      </c>
      <c r="H1113" s="110" t="inlineStr">
        <is>
          <t>Cálculo por número de clientes ativos</t>
        </is>
      </c>
    </row>
    <row r="1114" ht="15" customHeight="1" s="64">
      <c r="A1114" s="110" t="inlineStr">
        <is>
          <t>MAIO/2026</t>
        </is>
      </c>
      <c r="B1114" s="110" t="inlineStr">
        <is>
          <t>Relacionamento</t>
        </is>
      </c>
      <c r="C1114" s="110" t="inlineStr">
        <is>
          <t>Relacionamento Dtel</t>
        </is>
      </c>
      <c r="D1114" s="110" t="inlineStr">
        <is>
          <t>Voicenet</t>
        </is>
      </c>
      <c r="E1114" s="129" t="n">
        <v>4782</v>
      </c>
      <c r="F1114" s="89" t="n">
        <v>2.35573300476439</v>
      </c>
      <c r="G1114" s="89" t="n">
        <v>11265.115229</v>
      </c>
      <c r="H1114" s="110" t="inlineStr">
        <is>
          <t>Cálculo por número de clientes ativos</t>
        </is>
      </c>
    </row>
    <row r="1115" ht="15" customHeight="1" s="64">
      <c r="A1115" s="110" t="inlineStr">
        <is>
          <t>JUNHO/2026</t>
        </is>
      </c>
      <c r="B1115" s="110" t="inlineStr">
        <is>
          <t>Relacionamento</t>
        </is>
      </c>
      <c r="C1115" s="110" t="inlineStr">
        <is>
          <t>Relacionamento Dtel</t>
        </is>
      </c>
      <c r="D1115" s="110" t="inlineStr">
        <is>
          <t>DX2</t>
        </is>
      </c>
      <c r="E1115" s="129" t="n">
        <v>6445</v>
      </c>
      <c r="F1115" s="89" t="n">
        <v>2.99991610765306</v>
      </c>
      <c r="G1115" s="89" t="n">
        <v>19334.459314</v>
      </c>
      <c r="H1115" s="110" t="inlineStr">
        <is>
          <t>Cálculo por número de clientes ativos</t>
        </is>
      </c>
    </row>
    <row r="1116" ht="15" customHeight="1" s="64">
      <c r="A1116" s="110" t="inlineStr">
        <is>
          <t>JUNHO/2026</t>
        </is>
      </c>
      <c r="B1116" s="110" t="inlineStr">
        <is>
          <t>Relacionamento</t>
        </is>
      </c>
      <c r="C1116" s="110" t="inlineStr">
        <is>
          <t>Relacionamento Dtel</t>
        </is>
      </c>
      <c r="D1116" s="110" t="inlineStr">
        <is>
          <t>Solon Araújo</t>
        </is>
      </c>
      <c r="E1116" s="129" t="n">
        <v>14441</v>
      </c>
      <c r="F1116" s="89" t="n">
        <v>2.99991610765306</v>
      </c>
      <c r="G1116" s="89" t="n">
        <v>43321.788511</v>
      </c>
      <c r="H1116" s="110" t="inlineStr">
        <is>
          <t>Cálculo por número de clientes ativos</t>
        </is>
      </c>
    </row>
    <row r="1117" ht="15" customHeight="1" s="64">
      <c r="A1117" s="110" t="inlineStr">
        <is>
          <t>JUNHO/2026</t>
        </is>
      </c>
      <c r="B1117" s="110" t="inlineStr">
        <is>
          <t>Relacionamento</t>
        </is>
      </c>
      <c r="C1117" s="110" t="inlineStr">
        <is>
          <t>Relacionamento Dtel</t>
        </is>
      </c>
      <c r="D1117" s="110" t="inlineStr">
        <is>
          <t>Soares e Lins</t>
        </is>
      </c>
      <c r="E1117" s="129" t="n">
        <v>3704</v>
      </c>
      <c r="F1117" s="89" t="n">
        <v>2.99991610765306</v>
      </c>
      <c r="G1117" s="89" t="n">
        <v>11111.689263</v>
      </c>
      <c r="H1117" s="110" t="inlineStr">
        <is>
          <t>Cálculo por número de clientes ativos</t>
        </is>
      </c>
    </row>
    <row r="1118" ht="15" customHeight="1" s="64">
      <c r="A1118" s="110" t="inlineStr">
        <is>
          <t>JUNHO/2026</t>
        </is>
      </c>
      <c r="B1118" s="110" t="inlineStr">
        <is>
          <t>Relacionamento</t>
        </is>
      </c>
      <c r="C1118" s="110" t="inlineStr">
        <is>
          <t>Relacionamento Dtel</t>
        </is>
      </c>
      <c r="D1118" s="110" t="inlineStr">
        <is>
          <t>Soares e Silva</t>
        </is>
      </c>
      <c r="E1118" s="129" t="n">
        <v>6434</v>
      </c>
      <c r="F1118" s="89" t="n">
        <v>2.99991610765306</v>
      </c>
      <c r="G1118" s="89" t="n">
        <v>19301.460237</v>
      </c>
      <c r="H1118" s="110" t="inlineStr">
        <is>
          <t>Cálculo por número de clientes ativos</t>
        </is>
      </c>
    </row>
    <row r="1119" ht="15" customHeight="1" s="64">
      <c r="A1119" s="110" t="inlineStr">
        <is>
          <t>JUNHO/2026</t>
        </is>
      </c>
      <c r="B1119" s="110" t="inlineStr">
        <is>
          <t>Relacionamento</t>
        </is>
      </c>
      <c r="C1119" s="110" t="inlineStr">
        <is>
          <t>Relacionamento Dtel</t>
        </is>
      </c>
      <c r="D1119" s="110" t="inlineStr">
        <is>
          <t>Souza e Silva</t>
        </is>
      </c>
      <c r="E1119" s="129" t="n">
        <v>4749</v>
      </c>
      <c r="F1119" s="89" t="n">
        <v>2.99991610765306</v>
      </c>
      <c r="G1119" s="89" t="n">
        <v>14246.601595</v>
      </c>
      <c r="H1119" s="110" t="inlineStr">
        <is>
          <t>Cálculo por número de clientes ativos</t>
        </is>
      </c>
    </row>
    <row r="1120" ht="15" customHeight="1" s="64">
      <c r="A1120" s="110" t="inlineStr">
        <is>
          <t>JUNHO/2026</t>
        </is>
      </c>
      <c r="B1120" s="110" t="inlineStr">
        <is>
          <t>Relacionamento</t>
        </is>
      </c>
      <c r="C1120" s="110" t="inlineStr">
        <is>
          <t>Relacionamento Dtel</t>
        </is>
      </c>
      <c r="D1120" s="110" t="inlineStr">
        <is>
          <t>Voicenet</t>
        </is>
      </c>
      <c r="E1120" s="129" t="n">
        <v>4795</v>
      </c>
      <c r="F1120" s="89" t="n">
        <v>2.99991610765306</v>
      </c>
      <c r="G1120" s="89" t="n">
        <v>14384.597736</v>
      </c>
      <c r="H1120" s="110" t="inlineStr">
        <is>
          <t>Cálculo por número de clientes ativos</t>
        </is>
      </c>
    </row>
    <row r="1121" ht="15" customHeight="1" s="64">
      <c r="A1121" s="110" t="inlineStr">
        <is>
          <t>JULHO/2026</t>
        </is>
      </c>
      <c r="B1121" s="110" t="inlineStr">
        <is>
          <t>Relacionamento</t>
        </is>
      </c>
      <c r="C1121" s="110" t="inlineStr">
        <is>
          <t>Relacionamento Dtel</t>
        </is>
      </c>
      <c r="D1121" s="110" t="inlineStr">
        <is>
          <t>DX2</t>
        </is>
      </c>
      <c r="E1121" s="129" t="n">
        <v>6588</v>
      </c>
      <c r="F1121" s="89" t="n">
        <v>3.18253026831306</v>
      </c>
      <c r="G1121" s="89" t="n">
        <v>20966.509408</v>
      </c>
      <c r="H1121" s="110" t="inlineStr">
        <is>
          <t>Cálculo por número de clientes ativos</t>
        </is>
      </c>
    </row>
    <row r="1122" ht="15" customHeight="1" s="64">
      <c r="A1122" s="110" t="inlineStr">
        <is>
          <t>JULHO/2026</t>
        </is>
      </c>
      <c r="B1122" s="110" t="inlineStr">
        <is>
          <t>Relacionamento</t>
        </is>
      </c>
      <c r="C1122" s="110" t="inlineStr">
        <is>
          <t>Relacionamento Dtel</t>
        </is>
      </c>
      <c r="D1122" s="110" t="inlineStr">
        <is>
          <t>Solon Araújo</t>
        </is>
      </c>
      <c r="E1122" s="129" t="n">
        <v>14689</v>
      </c>
      <c r="F1122" s="89" t="n">
        <v>3.18253026831306</v>
      </c>
      <c r="G1122" s="89" t="n">
        <v>46748.187111</v>
      </c>
      <c r="H1122" s="110" t="inlineStr">
        <is>
          <t>Cálculo por número de clientes ativos</t>
        </is>
      </c>
    </row>
    <row r="1123" ht="15" customHeight="1" s="64">
      <c r="A1123" s="110" t="inlineStr">
        <is>
          <t>JULHO/2026</t>
        </is>
      </c>
      <c r="B1123" s="110" t="inlineStr">
        <is>
          <t>Relacionamento</t>
        </is>
      </c>
      <c r="C1123" s="110" t="inlineStr">
        <is>
          <t>Relacionamento Dtel</t>
        </is>
      </c>
      <c r="D1123" s="110" t="inlineStr">
        <is>
          <t>Soares e Lins</t>
        </is>
      </c>
      <c r="E1123" s="129" t="n">
        <v>3765</v>
      </c>
      <c r="F1123" s="89" t="n">
        <v>3.18253026831306</v>
      </c>
      <c r="G1123" s="89" t="n">
        <v>11982.22646</v>
      </c>
      <c r="H1123" s="110" t="inlineStr">
        <is>
          <t>Cálculo por número de clientes ativos</t>
        </is>
      </c>
    </row>
    <row r="1124" ht="15" customHeight="1" s="64">
      <c r="A1124" s="110" t="inlineStr">
        <is>
          <t>JULHO/2026</t>
        </is>
      </c>
      <c r="B1124" s="110" t="inlineStr">
        <is>
          <t>Relacionamento</t>
        </is>
      </c>
      <c r="C1124" s="110" t="inlineStr">
        <is>
          <t>Relacionamento Dtel</t>
        </is>
      </c>
      <c r="D1124" s="110" t="inlineStr">
        <is>
          <t>Soares e Silva</t>
        </is>
      </c>
      <c r="E1124" s="129" t="n">
        <v>6568</v>
      </c>
      <c r="F1124" s="89" t="n">
        <v>3.18253026831306</v>
      </c>
      <c r="G1124" s="89" t="n">
        <v>20902.858802</v>
      </c>
      <c r="H1124" s="110" t="inlineStr">
        <is>
          <t>Cálculo por número de clientes ativos</t>
        </is>
      </c>
    </row>
    <row r="1125" ht="15" customHeight="1" s="64">
      <c r="A1125" s="110" t="inlineStr">
        <is>
          <t>JULHO/2026</t>
        </is>
      </c>
      <c r="B1125" s="110" t="inlineStr">
        <is>
          <t>Relacionamento</t>
        </is>
      </c>
      <c r="C1125" s="110" t="inlineStr">
        <is>
          <t>Relacionamento Dtel</t>
        </is>
      </c>
      <c r="D1125" s="110" t="inlineStr">
        <is>
          <t>Souza e Silva</t>
        </is>
      </c>
      <c r="E1125" s="129" t="n">
        <v>4805</v>
      </c>
      <c r="F1125" s="89" t="n">
        <v>3.18253026831306</v>
      </c>
      <c r="G1125" s="89" t="n">
        <v>15292.057939</v>
      </c>
      <c r="H1125" s="110" t="inlineStr">
        <is>
          <t>Cálculo por número de clientes ativos</t>
        </is>
      </c>
    </row>
    <row r="1126" ht="15" customHeight="1" s="64">
      <c r="A1126" s="110" t="inlineStr">
        <is>
          <t>JULHO/2026</t>
        </is>
      </c>
      <c r="B1126" s="110" t="inlineStr">
        <is>
          <t>Relacionamento</t>
        </is>
      </c>
      <c r="C1126" s="110" t="inlineStr">
        <is>
          <t>Relacionamento Dtel</t>
        </is>
      </c>
      <c r="D1126" s="110" t="inlineStr">
        <is>
          <t>Voicenet</t>
        </is>
      </c>
      <c r="E1126" s="129" t="n">
        <v>4806</v>
      </c>
      <c r="F1126" s="89" t="n">
        <v>3.18253026831306</v>
      </c>
      <c r="G1126" s="89" t="n">
        <v>15295.24047</v>
      </c>
      <c r="H1126" s="110" t="inlineStr">
        <is>
          <t>Cálculo por número de clientes ativos</t>
        </is>
      </c>
    </row>
    <row r="1127" ht="15" customHeight="1" s="64">
      <c r="A1127" s="110" t="inlineStr">
        <is>
          <t>MAIO/2026</t>
        </is>
      </c>
      <c r="B1127" s="110" t="inlineStr">
        <is>
          <t>Desenvolvimento</t>
        </is>
      </c>
      <c r="C1127" s="110" t="inlineStr">
        <is>
          <t>Setor de Desenvolvimento</t>
        </is>
      </c>
      <c r="D1127" s="110" t="inlineStr">
        <is>
          <t>DX2</t>
        </is>
      </c>
      <c r="E1127" s="129" t="n">
        <v>6280</v>
      </c>
      <c r="F1127" s="89" t="n">
        <v>0.0959225828032635</v>
      </c>
      <c r="G1127" s="89" t="n">
        <v>602.39382</v>
      </c>
      <c r="H1127" s="110" t="inlineStr">
        <is>
          <t>Cálculo por número de clientes ativos</t>
        </is>
      </c>
    </row>
    <row r="1128" ht="15" customHeight="1" s="64">
      <c r="A1128" s="110" t="inlineStr">
        <is>
          <t>MAIO/2026</t>
        </is>
      </c>
      <c r="B1128" s="110" t="inlineStr">
        <is>
          <t>Desenvolvimento</t>
        </is>
      </c>
      <c r="C1128" s="110" t="inlineStr">
        <is>
          <t>Setor de Desenvolvimento</t>
        </is>
      </c>
      <c r="D1128" s="110" t="inlineStr">
        <is>
          <t>Solon Araújo</t>
        </is>
      </c>
      <c r="E1128" s="129" t="n">
        <v>14331</v>
      </c>
      <c r="F1128" s="89" t="n">
        <v>0.0959225828032635</v>
      </c>
      <c r="G1128" s="89" t="n">
        <v>1374.666534</v>
      </c>
      <c r="H1128" s="110" t="inlineStr">
        <is>
          <t>Cálculo por número de clientes ativos</t>
        </is>
      </c>
    </row>
    <row r="1129" ht="15" customHeight="1" s="64">
      <c r="A1129" s="110" t="inlineStr">
        <is>
          <t>MAIO/2026</t>
        </is>
      </c>
      <c r="B1129" s="110" t="inlineStr">
        <is>
          <t>Desenvolvimento</t>
        </is>
      </c>
      <c r="C1129" s="110" t="inlineStr">
        <is>
          <t>Setor de Desenvolvimento</t>
        </is>
      </c>
      <c r="D1129" s="110" t="inlineStr">
        <is>
          <t>Soares e Lins</t>
        </is>
      </c>
      <c r="E1129" s="129" t="n">
        <v>3650</v>
      </c>
      <c r="F1129" s="89" t="n">
        <v>0.0959225828032635</v>
      </c>
      <c r="G1129" s="89" t="n">
        <v>350.117427</v>
      </c>
      <c r="H1129" s="110" t="inlineStr">
        <is>
          <t>Cálculo por número de clientes ativos</t>
        </is>
      </c>
    </row>
    <row r="1130" ht="15" customHeight="1" s="64">
      <c r="A1130" s="110" t="inlineStr">
        <is>
          <t>MAIO/2026</t>
        </is>
      </c>
      <c r="B1130" s="110" t="inlineStr">
        <is>
          <t>Desenvolvimento</t>
        </is>
      </c>
      <c r="C1130" s="110" t="inlineStr">
        <is>
          <t>Setor de Desenvolvimento</t>
        </is>
      </c>
      <c r="D1130" s="110" t="inlineStr">
        <is>
          <t>Soares e Silva</t>
        </is>
      </c>
      <c r="E1130" s="129" t="n">
        <v>6396</v>
      </c>
      <c r="F1130" s="89" t="n">
        <v>0.0959225828032635</v>
      </c>
      <c r="G1130" s="89" t="n">
        <v>613.52084</v>
      </c>
      <c r="H1130" s="110" t="inlineStr">
        <is>
          <t>Cálculo por número de clientes ativos</t>
        </is>
      </c>
    </row>
    <row r="1131" ht="15" customHeight="1" s="64">
      <c r="A1131" s="110" t="inlineStr">
        <is>
          <t>MAIO/2026</t>
        </is>
      </c>
      <c r="B1131" s="110" t="inlineStr">
        <is>
          <t>Desenvolvimento</t>
        </is>
      </c>
      <c r="C1131" s="110" t="inlineStr">
        <is>
          <t>Setor de Desenvolvimento</t>
        </is>
      </c>
      <c r="D1131" s="110" t="inlineStr">
        <is>
          <t>Souza e Silva</t>
        </is>
      </c>
      <c r="E1131" s="129" t="n">
        <v>4730</v>
      </c>
      <c r="F1131" s="89" t="n">
        <v>0.0959225828032635</v>
      </c>
      <c r="G1131" s="89" t="n">
        <v>453.713817</v>
      </c>
      <c r="H1131" s="110" t="inlineStr">
        <is>
          <t>Cálculo por número de clientes ativos</t>
        </is>
      </c>
    </row>
    <row r="1132" ht="15" customHeight="1" s="64">
      <c r="A1132" s="110" t="inlineStr">
        <is>
          <t>MAIO/2026</t>
        </is>
      </c>
      <c r="B1132" s="110" t="inlineStr">
        <is>
          <t>Desenvolvimento</t>
        </is>
      </c>
      <c r="C1132" s="110" t="inlineStr">
        <is>
          <t>Setor de Desenvolvimento</t>
        </is>
      </c>
      <c r="D1132" s="110" t="inlineStr">
        <is>
          <t>Voicenet</t>
        </is>
      </c>
      <c r="E1132" s="129" t="n">
        <v>4782</v>
      </c>
      <c r="F1132" s="89" t="n">
        <v>0.0959225828032635</v>
      </c>
      <c r="G1132" s="89" t="n">
        <v>458.701791</v>
      </c>
      <c r="H1132" s="110" t="inlineStr">
        <is>
          <t>Cálculo por número de clientes ativos</t>
        </is>
      </c>
    </row>
    <row r="1133" ht="15" customHeight="1" s="64">
      <c r="A1133" s="110" t="inlineStr">
        <is>
          <t>JUNHO/2026</t>
        </is>
      </c>
      <c r="B1133" s="110" t="inlineStr">
        <is>
          <t>Desenvolvimento</t>
        </is>
      </c>
      <c r="C1133" s="110" t="inlineStr">
        <is>
          <t>Setor de Desenvolvimento</t>
        </is>
      </c>
      <c r="D1133" s="110" t="inlineStr">
        <is>
          <t>DX2</t>
        </is>
      </c>
      <c r="E1133" s="129" t="n">
        <v>6445</v>
      </c>
      <c r="F1133" s="89" t="n">
        <v>0.105895207936646</v>
      </c>
      <c r="G1133" s="89" t="n">
        <v>682.494615</v>
      </c>
      <c r="H1133" s="110" t="inlineStr">
        <is>
          <t>Cálculo por número de clientes ativos</t>
        </is>
      </c>
    </row>
    <row r="1134" ht="15" customHeight="1" s="64">
      <c r="A1134" s="110" t="inlineStr">
        <is>
          <t>JUNHO/2026</t>
        </is>
      </c>
      <c r="B1134" s="110" t="inlineStr">
        <is>
          <t>Desenvolvimento</t>
        </is>
      </c>
      <c r="C1134" s="110" t="inlineStr">
        <is>
          <t>Setor de Desenvolvimento</t>
        </is>
      </c>
      <c r="D1134" s="110" t="inlineStr">
        <is>
          <t>Solon Araújo</t>
        </is>
      </c>
      <c r="E1134" s="129" t="n">
        <v>14441</v>
      </c>
      <c r="F1134" s="89" t="n">
        <v>0.105895207936646</v>
      </c>
      <c r="G1134" s="89" t="n">
        <v>1529.232698</v>
      </c>
      <c r="H1134" s="110" t="inlineStr">
        <is>
          <t>Cálculo por número de clientes ativos</t>
        </is>
      </c>
    </row>
    <row r="1135" ht="15" customHeight="1" s="64">
      <c r="A1135" s="110" t="inlineStr">
        <is>
          <t>JUNHO/2026</t>
        </is>
      </c>
      <c r="B1135" s="110" t="inlineStr">
        <is>
          <t>Desenvolvimento</t>
        </is>
      </c>
      <c r="C1135" s="110" t="inlineStr">
        <is>
          <t>Setor de Desenvolvimento</t>
        </is>
      </c>
      <c r="D1135" s="110" t="inlineStr">
        <is>
          <t>Soares e Lins</t>
        </is>
      </c>
      <c r="E1135" s="129" t="n">
        <v>3704</v>
      </c>
      <c r="F1135" s="89" t="n">
        <v>0.105895207936646</v>
      </c>
      <c r="G1135" s="89" t="n">
        <v>392.23585</v>
      </c>
      <c r="H1135" s="110" t="inlineStr">
        <is>
          <t>Cálculo por número de clientes ativos</t>
        </is>
      </c>
    </row>
    <row r="1136" ht="15" customHeight="1" s="64">
      <c r="A1136" s="110" t="inlineStr">
        <is>
          <t>JUNHO/2026</t>
        </is>
      </c>
      <c r="B1136" s="110" t="inlineStr">
        <is>
          <t>Desenvolvimento</t>
        </is>
      </c>
      <c r="C1136" s="110" t="inlineStr">
        <is>
          <t>Setor de Desenvolvimento</t>
        </is>
      </c>
      <c r="D1136" s="110" t="inlineStr">
        <is>
          <t>Soares e Silva</t>
        </is>
      </c>
      <c r="E1136" s="129" t="n">
        <v>6434</v>
      </c>
      <c r="F1136" s="89" t="n">
        <v>0.105895207936646</v>
      </c>
      <c r="G1136" s="89" t="n">
        <v>681.3297679999999</v>
      </c>
      <c r="H1136" s="110" t="inlineStr">
        <is>
          <t>Cálculo por número de clientes ativos</t>
        </is>
      </c>
    </row>
    <row r="1137" ht="15" customHeight="1" s="64">
      <c r="A1137" s="110" t="inlineStr">
        <is>
          <t>JUNHO/2026</t>
        </is>
      </c>
      <c r="B1137" s="110" t="inlineStr">
        <is>
          <t>Desenvolvimento</t>
        </is>
      </c>
      <c r="C1137" s="110" t="inlineStr">
        <is>
          <t>Setor de Desenvolvimento</t>
        </is>
      </c>
      <c r="D1137" s="110" t="inlineStr">
        <is>
          <t>Souza e Silva</t>
        </is>
      </c>
      <c r="E1137" s="129" t="n">
        <v>4749</v>
      </c>
      <c r="F1137" s="89" t="n">
        <v>0.105895207936646</v>
      </c>
      <c r="G1137" s="89" t="n">
        <v>502.896342</v>
      </c>
      <c r="H1137" s="110" t="inlineStr">
        <is>
          <t>Cálculo por número de clientes ativos</t>
        </is>
      </c>
    </row>
    <row r="1138" ht="15" customHeight="1" s="64">
      <c r="A1138" s="110" t="inlineStr">
        <is>
          <t>JUNHO/2026</t>
        </is>
      </c>
      <c r="B1138" s="110" t="inlineStr">
        <is>
          <t>Desenvolvimento</t>
        </is>
      </c>
      <c r="C1138" s="110" t="inlineStr">
        <is>
          <t>Setor de Desenvolvimento</t>
        </is>
      </c>
      <c r="D1138" s="110" t="inlineStr">
        <is>
          <t>Voicenet</t>
        </is>
      </c>
      <c r="E1138" s="129" t="n">
        <v>4795</v>
      </c>
      <c r="F1138" s="89" t="n">
        <v>0.105895207936646</v>
      </c>
      <c r="G1138" s="89" t="n">
        <v>507.767522</v>
      </c>
      <c r="H1138" s="110" t="inlineStr">
        <is>
          <t>Cálculo por número de clientes ativos</t>
        </is>
      </c>
    </row>
    <row r="1139" ht="15" customHeight="1" s="64">
      <c r="A1139" s="110" t="inlineStr">
        <is>
          <t>JULHO/2026</t>
        </is>
      </c>
      <c r="B1139" s="110" t="inlineStr">
        <is>
          <t>Desenvolvimento</t>
        </is>
      </c>
      <c r="C1139" s="110" t="inlineStr">
        <is>
          <t>Setor de Desenvolvimento</t>
        </is>
      </c>
      <c r="D1139" s="110" t="inlineStr">
        <is>
          <t>DX2</t>
        </is>
      </c>
      <c r="E1139" s="129" t="n">
        <v>6588</v>
      </c>
      <c r="F1139" s="89" t="n">
        <v>0.101057218436555</v>
      </c>
      <c r="G1139" s="89" t="n">
        <v>665.764955</v>
      </c>
      <c r="H1139" s="110" t="inlineStr">
        <is>
          <t>Cálculo por número de clientes ativos</t>
        </is>
      </c>
    </row>
    <row r="1140" ht="15" customHeight="1" s="64">
      <c r="A1140" s="110" t="inlineStr">
        <is>
          <t>JULHO/2026</t>
        </is>
      </c>
      <c r="B1140" s="110" t="inlineStr">
        <is>
          <t>Desenvolvimento</t>
        </is>
      </c>
      <c r="C1140" s="110" t="inlineStr">
        <is>
          <t>Setor de Desenvolvimento</t>
        </is>
      </c>
      <c r="D1140" s="110" t="inlineStr">
        <is>
          <t>Solon Araújo</t>
        </is>
      </c>
      <c r="E1140" s="129" t="n">
        <v>14689</v>
      </c>
      <c r="F1140" s="89" t="n">
        <v>0.101057218436555</v>
      </c>
      <c r="G1140" s="89" t="n">
        <v>1484.429482</v>
      </c>
      <c r="H1140" s="110" t="inlineStr">
        <is>
          <t>Cálculo por número de clientes ativos</t>
        </is>
      </c>
    </row>
    <row r="1141" ht="15" customHeight="1" s="64">
      <c r="A1141" s="110" t="inlineStr">
        <is>
          <t>JULHO/2026</t>
        </is>
      </c>
      <c r="B1141" s="110" t="inlineStr">
        <is>
          <t>Desenvolvimento</t>
        </is>
      </c>
      <c r="C1141" s="110" t="inlineStr">
        <is>
          <t>Setor de Desenvolvimento</t>
        </is>
      </c>
      <c r="D1141" s="110" t="inlineStr">
        <is>
          <t>Soares e Lins</t>
        </is>
      </c>
      <c r="E1141" s="129" t="n">
        <v>3765</v>
      </c>
      <c r="F1141" s="89" t="n">
        <v>0.101057218436555</v>
      </c>
      <c r="G1141" s="89" t="n">
        <v>380.480427</v>
      </c>
      <c r="H1141" s="110" t="inlineStr">
        <is>
          <t>Cálculo por número de clientes ativos</t>
        </is>
      </c>
    </row>
    <row r="1142" ht="15" customHeight="1" s="64">
      <c r="A1142" s="110" t="inlineStr">
        <is>
          <t>JULHO/2026</t>
        </is>
      </c>
      <c r="B1142" s="110" t="inlineStr">
        <is>
          <t>Desenvolvimento</t>
        </is>
      </c>
      <c r="C1142" s="110" t="inlineStr">
        <is>
          <t>Setor de Desenvolvimento</t>
        </is>
      </c>
      <c r="D1142" s="110" t="inlineStr">
        <is>
          <t>Soares e Silva</t>
        </is>
      </c>
      <c r="E1142" s="129" t="n">
        <v>6568</v>
      </c>
      <c r="F1142" s="89" t="n">
        <v>0.101057218436555</v>
      </c>
      <c r="G1142" s="89" t="n">
        <v>663.7438110000001</v>
      </c>
      <c r="H1142" s="110" t="inlineStr">
        <is>
          <t>Cálculo por número de clientes ativos</t>
        </is>
      </c>
    </row>
    <row r="1143" ht="15" customHeight="1" s="64">
      <c r="A1143" s="110" t="inlineStr">
        <is>
          <t>JULHO/2026</t>
        </is>
      </c>
      <c r="B1143" s="110" t="inlineStr">
        <is>
          <t>Desenvolvimento</t>
        </is>
      </c>
      <c r="C1143" s="110" t="inlineStr">
        <is>
          <t>Setor de Desenvolvimento</t>
        </is>
      </c>
      <c r="D1143" s="110" t="inlineStr">
        <is>
          <t>Souza e Silva</t>
        </is>
      </c>
      <c r="E1143" s="129" t="n">
        <v>4805</v>
      </c>
      <c r="F1143" s="89" t="n">
        <v>0.101057218436555</v>
      </c>
      <c r="G1143" s="89" t="n">
        <v>485.579935</v>
      </c>
      <c r="H1143" s="110" t="inlineStr">
        <is>
          <t>Cálculo por número de clientes ativos</t>
        </is>
      </c>
    </row>
    <row r="1144" ht="15" customHeight="1" s="64">
      <c r="A1144" s="110" t="inlineStr">
        <is>
          <t>JULHO/2026</t>
        </is>
      </c>
      <c r="B1144" s="110" t="inlineStr">
        <is>
          <t>Desenvolvimento</t>
        </is>
      </c>
      <c r="C1144" s="110" t="inlineStr">
        <is>
          <t>Setor de Desenvolvimento</t>
        </is>
      </c>
      <c r="D1144" s="110" t="inlineStr">
        <is>
          <t>Voicenet</t>
        </is>
      </c>
      <c r="E1144" s="129" t="n">
        <v>4806</v>
      </c>
      <c r="F1144" s="89" t="n">
        <v>0.101057218436555</v>
      </c>
      <c r="G1144" s="89" t="n">
        <v>485.680992</v>
      </c>
      <c r="H1144" s="110" t="inlineStr">
        <is>
          <t>Cálculo por número de clientes ativos</t>
        </is>
      </c>
    </row>
    <row r="1145" ht="15" customHeight="1" s="64">
      <c r="A1145" s="110" t="inlineStr">
        <is>
          <t>MAIO/2026</t>
        </is>
      </c>
      <c r="B1145" s="110" t="inlineStr">
        <is>
          <t>Contabilidade</t>
        </is>
      </c>
      <c r="C1145" s="110" t="inlineStr">
        <is>
          <t>Contabilidade</t>
        </is>
      </c>
      <c r="D1145" s="110" t="inlineStr">
        <is>
          <t>DX2</t>
        </is>
      </c>
      <c r="E1145" s="129" t="n">
        <v>6280</v>
      </c>
      <c r="F1145" s="89" t="n">
        <v>0.142966123730576</v>
      </c>
      <c r="G1145" s="89" t="n">
        <v>897.827257</v>
      </c>
      <c r="H1145" s="110" t="inlineStr">
        <is>
          <t>Cálculo por número de clientes ativos</t>
        </is>
      </c>
    </row>
    <row r="1146" ht="15" customHeight="1" s="64">
      <c r="A1146" s="110" t="inlineStr">
        <is>
          <t>MAIO/2026</t>
        </is>
      </c>
      <c r="B1146" s="110" t="inlineStr">
        <is>
          <t>Contabilidade</t>
        </is>
      </c>
      <c r="C1146" s="110" t="inlineStr">
        <is>
          <t>Contabilidade</t>
        </is>
      </c>
      <c r="D1146" s="110" t="inlineStr">
        <is>
          <t>Solon Araújo</t>
        </is>
      </c>
      <c r="E1146" s="129" t="n">
        <v>14331</v>
      </c>
      <c r="F1146" s="89" t="n">
        <v>0.142966123730576</v>
      </c>
      <c r="G1146" s="89" t="n">
        <v>2048.847519</v>
      </c>
      <c r="H1146" s="110" t="inlineStr">
        <is>
          <t>Cálculo por número de clientes ativos</t>
        </is>
      </c>
    </row>
    <row r="1147" ht="15" customHeight="1" s="64">
      <c r="A1147" s="110" t="inlineStr">
        <is>
          <t>MAIO/2026</t>
        </is>
      </c>
      <c r="B1147" s="110" t="inlineStr">
        <is>
          <t>Contabilidade</t>
        </is>
      </c>
      <c r="C1147" s="110" t="inlineStr">
        <is>
          <t>Contabilidade</t>
        </is>
      </c>
      <c r="D1147" s="110" t="inlineStr">
        <is>
          <t>Soares e Lins</t>
        </is>
      </c>
      <c r="E1147" s="129" t="n">
        <v>3650</v>
      </c>
      <c r="F1147" s="89" t="n">
        <v>0.142966123730576</v>
      </c>
      <c r="G1147" s="89" t="n">
        <v>521.826352</v>
      </c>
      <c r="H1147" s="110" t="inlineStr">
        <is>
          <t>Cálculo por número de clientes ativos</t>
        </is>
      </c>
    </row>
    <row r="1148" ht="15" customHeight="1" s="64">
      <c r="A1148" s="110" t="inlineStr">
        <is>
          <t>MAIO/2026</t>
        </is>
      </c>
      <c r="B1148" s="110" t="inlineStr">
        <is>
          <t>Contabilidade</t>
        </is>
      </c>
      <c r="C1148" s="110" t="inlineStr">
        <is>
          <t>Contabilidade</t>
        </is>
      </c>
      <c r="D1148" s="110" t="inlineStr">
        <is>
          <t>Soares e Silva</t>
        </is>
      </c>
      <c r="E1148" s="129" t="n">
        <v>6396</v>
      </c>
      <c r="F1148" s="89" t="n">
        <v>0.142966123730576</v>
      </c>
      <c r="G1148" s="89" t="n">
        <v>914.411327</v>
      </c>
      <c r="H1148" s="110" t="inlineStr">
        <is>
          <t>Cálculo por número de clientes ativos</t>
        </is>
      </c>
    </row>
    <row r="1149" ht="15" customHeight="1" s="64">
      <c r="A1149" s="110" t="inlineStr">
        <is>
          <t>MAIO/2026</t>
        </is>
      </c>
      <c r="B1149" s="110" t="inlineStr">
        <is>
          <t>Contabilidade</t>
        </is>
      </c>
      <c r="C1149" s="110" t="inlineStr">
        <is>
          <t>Contabilidade</t>
        </is>
      </c>
      <c r="D1149" s="110" t="inlineStr">
        <is>
          <t>Souza e Silva</t>
        </is>
      </c>
      <c r="E1149" s="129" t="n">
        <v>4730</v>
      </c>
      <c r="F1149" s="89" t="n">
        <v>0.142966123730576</v>
      </c>
      <c r="G1149" s="89" t="n">
        <v>676.229765</v>
      </c>
      <c r="H1149" s="110" t="inlineStr">
        <is>
          <t>Cálculo por número de clientes ativos</t>
        </is>
      </c>
    </row>
    <row r="1150" ht="15" customHeight="1" s="64">
      <c r="A1150" s="110" t="inlineStr">
        <is>
          <t>MAIO/2026</t>
        </is>
      </c>
      <c r="B1150" s="110" t="inlineStr">
        <is>
          <t>Contabilidade</t>
        </is>
      </c>
      <c r="C1150" s="110" t="inlineStr">
        <is>
          <t>Contabilidade</t>
        </is>
      </c>
      <c r="D1150" s="110" t="inlineStr">
        <is>
          <t>Voicenet</t>
        </is>
      </c>
      <c r="E1150" s="129" t="n">
        <v>4782</v>
      </c>
      <c r="F1150" s="89" t="n">
        <v>0.142966123730576</v>
      </c>
      <c r="G1150" s="89" t="n">
        <v>683.664004</v>
      </c>
      <c r="H1150" s="110" t="inlineStr">
        <is>
          <t>Cálculo por número de clientes ativos</t>
        </is>
      </c>
    </row>
    <row r="1151" ht="15" customHeight="1" s="64">
      <c r="A1151" s="110" t="inlineStr">
        <is>
          <t>JUNHO/2026</t>
        </is>
      </c>
      <c r="B1151" s="110" t="inlineStr">
        <is>
          <t>Contabilidade</t>
        </is>
      </c>
      <c r="C1151" s="110" t="inlineStr">
        <is>
          <t>Contabilidade</t>
        </is>
      </c>
      <c r="D1151" s="110" t="inlineStr">
        <is>
          <t>DX2</t>
        </is>
      </c>
      <c r="E1151" s="129" t="n">
        <v>6445</v>
      </c>
      <c r="F1151" s="89" t="n">
        <v>0.193641774947009</v>
      </c>
      <c r="G1151" s="89" t="n">
        <v>1248.02124</v>
      </c>
      <c r="H1151" s="110" t="inlineStr">
        <is>
          <t>Cálculo por número de clientes ativos</t>
        </is>
      </c>
    </row>
    <row r="1152" ht="15" customHeight="1" s="64">
      <c r="A1152" s="110" t="inlineStr">
        <is>
          <t>JUNHO/2026</t>
        </is>
      </c>
      <c r="B1152" s="110" t="inlineStr">
        <is>
          <t>Contabilidade</t>
        </is>
      </c>
      <c r="C1152" s="110" t="inlineStr">
        <is>
          <t>Contabilidade</t>
        </is>
      </c>
      <c r="D1152" s="110" t="inlineStr">
        <is>
          <t>Solon Araújo</t>
        </is>
      </c>
      <c r="E1152" s="129" t="n">
        <v>14441</v>
      </c>
      <c r="F1152" s="89" t="n">
        <v>0.193641774947009</v>
      </c>
      <c r="G1152" s="89" t="n">
        <v>2796.380872</v>
      </c>
      <c r="H1152" s="110" t="inlineStr">
        <is>
          <t>Cálculo por número de clientes ativos</t>
        </is>
      </c>
    </row>
    <row r="1153" ht="15" customHeight="1" s="64">
      <c r="A1153" s="110" t="inlineStr">
        <is>
          <t>JUNHO/2026</t>
        </is>
      </c>
      <c r="B1153" s="110" t="inlineStr">
        <is>
          <t>Contabilidade</t>
        </is>
      </c>
      <c r="C1153" s="110" t="inlineStr">
        <is>
          <t>Contabilidade</t>
        </is>
      </c>
      <c r="D1153" s="110" t="inlineStr">
        <is>
          <t>Soares e Lins</t>
        </is>
      </c>
      <c r="E1153" s="129" t="n">
        <v>3704</v>
      </c>
      <c r="F1153" s="89" t="n">
        <v>0.193641774947009</v>
      </c>
      <c r="G1153" s="89" t="n">
        <v>717.249134</v>
      </c>
      <c r="H1153" s="110" t="inlineStr">
        <is>
          <t>Cálculo por número de clientes ativos</t>
        </is>
      </c>
    </row>
    <row r="1154" ht="15" customHeight="1" s="64">
      <c r="A1154" s="110" t="inlineStr">
        <is>
          <t>JUNHO/2026</t>
        </is>
      </c>
      <c r="B1154" s="110" t="inlineStr">
        <is>
          <t>Contabilidade</t>
        </is>
      </c>
      <c r="C1154" s="110" t="inlineStr">
        <is>
          <t>Contabilidade</t>
        </is>
      </c>
      <c r="D1154" s="110" t="inlineStr">
        <is>
          <t>Soares e Silva</t>
        </is>
      </c>
      <c r="E1154" s="129" t="n">
        <v>6434</v>
      </c>
      <c r="F1154" s="89" t="n">
        <v>0.193641774947009</v>
      </c>
      <c r="G1154" s="89" t="n">
        <v>1245.89118</v>
      </c>
      <c r="H1154" s="110" t="inlineStr">
        <is>
          <t>Cálculo por número de clientes ativos</t>
        </is>
      </c>
    </row>
    <row r="1155" ht="15" customHeight="1" s="64">
      <c r="A1155" s="110" t="inlineStr">
        <is>
          <t>JUNHO/2026</t>
        </is>
      </c>
      <c r="B1155" s="110" t="inlineStr">
        <is>
          <t>Contabilidade</t>
        </is>
      </c>
      <c r="C1155" s="110" t="inlineStr">
        <is>
          <t>Contabilidade</t>
        </is>
      </c>
      <c r="D1155" s="110" t="inlineStr">
        <is>
          <t>Souza e Silva</t>
        </is>
      </c>
      <c r="E1155" s="129" t="n">
        <v>4749</v>
      </c>
      <c r="F1155" s="89" t="n">
        <v>0.193641774947009</v>
      </c>
      <c r="G1155" s="89" t="n">
        <v>919.604789</v>
      </c>
      <c r="H1155" s="110" t="inlineStr">
        <is>
          <t>Cálculo por número de clientes ativos</t>
        </is>
      </c>
    </row>
    <row r="1156" ht="15" customHeight="1" s="64">
      <c r="A1156" s="110" t="inlineStr">
        <is>
          <t>JUNHO/2026</t>
        </is>
      </c>
      <c r="B1156" s="110" t="inlineStr">
        <is>
          <t>Contabilidade</t>
        </is>
      </c>
      <c r="C1156" s="110" t="inlineStr">
        <is>
          <t>Contabilidade</t>
        </is>
      </c>
      <c r="D1156" s="110" t="inlineStr">
        <is>
          <t>Voicenet</t>
        </is>
      </c>
      <c r="E1156" s="129" t="n">
        <v>4795</v>
      </c>
      <c r="F1156" s="89" t="n">
        <v>0.193641774947009</v>
      </c>
      <c r="G1156" s="89" t="n">
        <v>928.512311</v>
      </c>
      <c r="H1156" s="110" t="inlineStr">
        <is>
          <t>Cálculo por número de clientes ativos</t>
        </is>
      </c>
    </row>
    <row r="1157" ht="15" customHeight="1" s="64">
      <c r="A1157" s="110" t="inlineStr">
        <is>
          <t>JULHO/2026</t>
        </is>
      </c>
      <c r="B1157" s="110" t="inlineStr">
        <is>
          <t>Contabilidade</t>
        </is>
      </c>
      <c r="C1157" s="110" t="inlineStr">
        <is>
          <t>Contabilidade</t>
        </is>
      </c>
      <c r="D1157" s="110" t="inlineStr">
        <is>
          <t>DX2</t>
        </is>
      </c>
      <c r="E1157" s="129" t="n">
        <v>6588</v>
      </c>
      <c r="F1157" s="89" t="n">
        <v>0.182358458491943</v>
      </c>
      <c r="G1157" s="89" t="n">
        <v>1201.377525</v>
      </c>
      <c r="H1157" s="110" t="inlineStr">
        <is>
          <t>Cálculo por número de clientes ativos</t>
        </is>
      </c>
    </row>
    <row r="1158" ht="15" customHeight="1" s="64">
      <c r="A1158" s="110" t="inlineStr">
        <is>
          <t>JULHO/2026</t>
        </is>
      </c>
      <c r="B1158" s="110" t="inlineStr">
        <is>
          <t>Contabilidade</t>
        </is>
      </c>
      <c r="C1158" s="110" t="inlineStr">
        <is>
          <t>Contabilidade</t>
        </is>
      </c>
      <c r="D1158" s="110" t="inlineStr">
        <is>
          <t>Solon Araújo</t>
        </is>
      </c>
      <c r="E1158" s="129" t="n">
        <v>14689</v>
      </c>
      <c r="F1158" s="89" t="n">
        <v>0.182358458491943</v>
      </c>
      <c r="G1158" s="89" t="n">
        <v>2678.663397</v>
      </c>
      <c r="H1158" s="110" t="inlineStr">
        <is>
          <t>Cálculo por número de clientes ativos</t>
        </is>
      </c>
    </row>
    <row r="1159" ht="15" customHeight="1" s="64">
      <c r="A1159" s="110" t="inlineStr">
        <is>
          <t>JULHO/2026</t>
        </is>
      </c>
      <c r="B1159" s="110" t="inlineStr">
        <is>
          <t>Contabilidade</t>
        </is>
      </c>
      <c r="C1159" s="110" t="inlineStr">
        <is>
          <t>Contabilidade</t>
        </is>
      </c>
      <c r="D1159" s="110" t="inlineStr">
        <is>
          <t>Soares e Lins</t>
        </is>
      </c>
      <c r="E1159" s="129" t="n">
        <v>3765</v>
      </c>
      <c r="F1159" s="89" t="n">
        <v>0.182358458491943</v>
      </c>
      <c r="G1159" s="89" t="n">
        <v>686.579596</v>
      </c>
      <c r="H1159" s="110" t="inlineStr">
        <is>
          <t>Cálculo por número de clientes ativos</t>
        </is>
      </c>
    </row>
    <row r="1160" ht="15" customHeight="1" s="64">
      <c r="A1160" s="110" t="inlineStr">
        <is>
          <t>JULHO/2026</t>
        </is>
      </c>
      <c r="B1160" s="110" t="inlineStr">
        <is>
          <t>Contabilidade</t>
        </is>
      </c>
      <c r="C1160" s="110" t="inlineStr">
        <is>
          <t>Contabilidade</t>
        </is>
      </c>
      <c r="D1160" s="110" t="inlineStr">
        <is>
          <t>Soares e Silva</t>
        </is>
      </c>
      <c r="E1160" s="129" t="n">
        <v>6568</v>
      </c>
      <c r="F1160" s="89" t="n">
        <v>0.182358458491943</v>
      </c>
      <c r="G1160" s="89" t="n">
        <v>1197.730355</v>
      </c>
      <c r="H1160" s="110" t="inlineStr">
        <is>
          <t>Cálculo por número de clientes ativos</t>
        </is>
      </c>
    </row>
    <row r="1161" ht="15" customHeight="1" s="64">
      <c r="A1161" s="110" t="inlineStr">
        <is>
          <t>JULHO/2026</t>
        </is>
      </c>
      <c r="B1161" s="110" t="inlineStr">
        <is>
          <t>Contabilidade</t>
        </is>
      </c>
      <c r="C1161" s="110" t="inlineStr">
        <is>
          <t>Contabilidade</t>
        </is>
      </c>
      <c r="D1161" s="110" t="inlineStr">
        <is>
          <t>Souza e Silva</t>
        </is>
      </c>
      <c r="E1161" s="129" t="n">
        <v>4805</v>
      </c>
      <c r="F1161" s="89" t="n">
        <v>0.182358458491943</v>
      </c>
      <c r="G1161" s="89" t="n">
        <v>876.232393</v>
      </c>
      <c r="H1161" s="110" t="inlineStr">
        <is>
          <t>Cálculo por número de clientes ativos</t>
        </is>
      </c>
    </row>
    <row r="1162" ht="15" customHeight="1" s="64">
      <c r="A1162" s="110" t="inlineStr">
        <is>
          <t>JULHO/2026</t>
        </is>
      </c>
      <c r="B1162" s="110" t="inlineStr">
        <is>
          <t>Contabilidade</t>
        </is>
      </c>
      <c r="C1162" s="110" t="inlineStr">
        <is>
          <t>Contabilidade</t>
        </is>
      </c>
      <c r="D1162" s="110" t="inlineStr">
        <is>
          <t>Voicenet</t>
        </is>
      </c>
      <c r="E1162" s="129" t="n">
        <v>4806</v>
      </c>
      <c r="F1162" s="89" t="n">
        <v>0.182358458491943</v>
      </c>
      <c r="G1162" s="89" t="n">
        <v>876.414752</v>
      </c>
      <c r="H1162" s="110" t="inlineStr">
        <is>
          <t>Cálculo por número de clientes ativos</t>
        </is>
      </c>
    </row>
    <row r="1163" ht="15" customHeight="1" s="64">
      <c r="A1163" s="110" t="inlineStr">
        <is>
          <t>MAIO/2026</t>
        </is>
      </c>
      <c r="B1163" s="110" t="inlineStr">
        <is>
          <t>TIC</t>
        </is>
      </c>
      <c r="C1163" s="110" t="inlineStr">
        <is>
          <t>Setor de TIC</t>
        </is>
      </c>
      <c r="D1163" s="110" t="inlineStr">
        <is>
          <t>DX2</t>
        </is>
      </c>
      <c r="E1163" s="129" t="n">
        <v>6280</v>
      </c>
      <c r="F1163" s="89" t="n">
        <v>0.148830177998923</v>
      </c>
      <c r="G1163" s="89" t="n">
        <v>934.653518</v>
      </c>
      <c r="H1163" s="110" t="inlineStr">
        <is>
          <t>Cálculo por número de clientes ativos</t>
        </is>
      </c>
    </row>
    <row r="1164" ht="15" customHeight="1" s="64">
      <c r="A1164" s="110" t="inlineStr">
        <is>
          <t>MAIO/2026</t>
        </is>
      </c>
      <c r="B1164" s="110" t="inlineStr">
        <is>
          <t>TIC</t>
        </is>
      </c>
      <c r="C1164" s="110" t="inlineStr">
        <is>
          <t>Setor de TIC</t>
        </is>
      </c>
      <c r="D1164" s="110" t="inlineStr">
        <is>
          <t>Solon Araújo</t>
        </is>
      </c>
      <c r="E1164" s="129" t="n">
        <v>14331</v>
      </c>
      <c r="F1164" s="89" t="n">
        <v>0.148830177998923</v>
      </c>
      <c r="G1164" s="89" t="n">
        <v>2132.885281</v>
      </c>
      <c r="H1164" s="110" t="inlineStr">
        <is>
          <t>Cálculo por número de clientes ativos</t>
        </is>
      </c>
    </row>
    <row r="1165" ht="15" customHeight="1" s="64">
      <c r="A1165" s="110" t="inlineStr">
        <is>
          <t>MAIO/2026</t>
        </is>
      </c>
      <c r="B1165" s="110" t="inlineStr">
        <is>
          <t>TIC</t>
        </is>
      </c>
      <c r="C1165" s="110" t="inlineStr">
        <is>
          <t>Setor de TIC</t>
        </is>
      </c>
      <c r="D1165" s="110" t="inlineStr">
        <is>
          <t>Soares e Lins</t>
        </is>
      </c>
      <c r="E1165" s="129" t="n">
        <v>3650</v>
      </c>
      <c r="F1165" s="89" t="n">
        <v>0.148830177998923</v>
      </c>
      <c r="G1165" s="89" t="n">
        <v>543.23015</v>
      </c>
      <c r="H1165" s="110" t="inlineStr">
        <is>
          <t>Cálculo por número de clientes ativos</t>
        </is>
      </c>
    </row>
    <row r="1166" ht="15" customHeight="1" s="64">
      <c r="A1166" s="110" t="inlineStr">
        <is>
          <t>MAIO/2026</t>
        </is>
      </c>
      <c r="B1166" s="110" t="inlineStr">
        <is>
          <t>TIC</t>
        </is>
      </c>
      <c r="C1166" s="110" t="inlineStr">
        <is>
          <t>Setor de TIC</t>
        </is>
      </c>
      <c r="D1166" s="110" t="inlineStr">
        <is>
          <t>Soares e Silva</t>
        </is>
      </c>
      <c r="E1166" s="129" t="n">
        <v>6396</v>
      </c>
      <c r="F1166" s="89" t="n">
        <v>0.148830177998923</v>
      </c>
      <c r="G1166" s="89" t="n">
        <v>951.917818</v>
      </c>
      <c r="H1166" s="110" t="inlineStr">
        <is>
          <t>Cálculo por número de clientes ativos</t>
        </is>
      </c>
    </row>
    <row r="1167" ht="15" customHeight="1" s="64">
      <c r="A1167" s="110" t="inlineStr">
        <is>
          <t>MAIO/2026</t>
        </is>
      </c>
      <c r="B1167" s="110" t="inlineStr">
        <is>
          <t>TIC</t>
        </is>
      </c>
      <c r="C1167" s="110" t="inlineStr">
        <is>
          <t>Setor de TIC</t>
        </is>
      </c>
      <c r="D1167" s="110" t="inlineStr">
        <is>
          <t>Souza e Silva</t>
        </is>
      </c>
      <c r="E1167" s="129" t="n">
        <v>4730</v>
      </c>
      <c r="F1167" s="89" t="n">
        <v>0.148830177998923</v>
      </c>
      <c r="G1167" s="89" t="n">
        <v>703.966742</v>
      </c>
      <c r="H1167" s="110" t="inlineStr">
        <is>
          <t>Cálculo por número de clientes ativos</t>
        </is>
      </c>
    </row>
    <row r="1168" ht="15" customHeight="1" s="64">
      <c r="A1168" s="110" t="inlineStr">
        <is>
          <t>MAIO/2026</t>
        </is>
      </c>
      <c r="B1168" s="110" t="inlineStr">
        <is>
          <t>TIC</t>
        </is>
      </c>
      <c r="C1168" s="110" t="inlineStr">
        <is>
          <t>Setor de TIC</t>
        </is>
      </c>
      <c r="D1168" s="110" t="inlineStr">
        <is>
          <t>Voicenet</t>
        </is>
      </c>
      <c r="E1168" s="129" t="n">
        <v>4782</v>
      </c>
      <c r="F1168" s="89" t="n">
        <v>0.148830177998923</v>
      </c>
      <c r="G1168" s="89" t="n">
        <v>711.705911</v>
      </c>
      <c r="H1168" s="110" t="inlineStr">
        <is>
          <t>Cálculo por número de clientes ativos</t>
        </is>
      </c>
    </row>
    <row r="1169" ht="15" customHeight="1" s="64">
      <c r="A1169" s="110" t="inlineStr">
        <is>
          <t>JUNHO/2026</t>
        </is>
      </c>
      <c r="B1169" s="110" t="inlineStr">
        <is>
          <t>TIC</t>
        </is>
      </c>
      <c r="C1169" s="110" t="inlineStr">
        <is>
          <t>Setor de TIC</t>
        </is>
      </c>
      <c r="D1169" s="110" t="inlineStr">
        <is>
          <t>DX2</t>
        </is>
      </c>
      <c r="E1169" s="129" t="n">
        <v>6445</v>
      </c>
      <c r="F1169" s="89" t="n">
        <v>0.165505113968682</v>
      </c>
      <c r="G1169" s="89" t="n">
        <v>1066.68046</v>
      </c>
      <c r="H1169" s="110" t="inlineStr">
        <is>
          <t>Cálculo por número de clientes ativos</t>
        </is>
      </c>
    </row>
    <row r="1170" ht="15" customHeight="1" s="64">
      <c r="A1170" s="110" t="inlineStr">
        <is>
          <t>JUNHO/2026</t>
        </is>
      </c>
      <c r="B1170" s="110" t="inlineStr">
        <is>
          <t>TIC</t>
        </is>
      </c>
      <c r="C1170" s="110" t="inlineStr">
        <is>
          <t>Setor de TIC</t>
        </is>
      </c>
      <c r="D1170" s="110" t="inlineStr">
        <is>
          <t>Solon Araújo</t>
        </is>
      </c>
      <c r="E1170" s="129" t="n">
        <v>14441</v>
      </c>
      <c r="F1170" s="89" t="n">
        <v>0.165505113968682</v>
      </c>
      <c r="G1170" s="89" t="n">
        <v>2390.059351</v>
      </c>
      <c r="H1170" s="110" t="inlineStr">
        <is>
          <t>Cálculo por número de clientes ativos</t>
        </is>
      </c>
    </row>
    <row r="1171" ht="15" customHeight="1" s="64">
      <c r="A1171" s="110" t="inlineStr">
        <is>
          <t>JUNHO/2026</t>
        </is>
      </c>
      <c r="B1171" s="110" t="inlineStr">
        <is>
          <t>TIC</t>
        </is>
      </c>
      <c r="C1171" s="110" t="inlineStr">
        <is>
          <t>Setor de TIC</t>
        </is>
      </c>
      <c r="D1171" s="110" t="inlineStr">
        <is>
          <t>Soares e Lins</t>
        </is>
      </c>
      <c r="E1171" s="129" t="n">
        <v>3704</v>
      </c>
      <c r="F1171" s="89" t="n">
        <v>0.165505113968682</v>
      </c>
      <c r="G1171" s="89" t="n">
        <v>613.030942</v>
      </c>
      <c r="H1171" s="110" t="inlineStr">
        <is>
          <t>Cálculo por número de clientes ativos</t>
        </is>
      </c>
    </row>
    <row r="1172" ht="15" customHeight="1" s="64">
      <c r="A1172" s="110" t="inlineStr">
        <is>
          <t>JUNHO/2026</t>
        </is>
      </c>
      <c r="B1172" s="110" t="inlineStr">
        <is>
          <t>TIC</t>
        </is>
      </c>
      <c r="C1172" s="110" t="inlineStr">
        <is>
          <t>Setor de TIC</t>
        </is>
      </c>
      <c r="D1172" s="110" t="inlineStr">
        <is>
          <t>Soares e Silva</t>
        </is>
      </c>
      <c r="E1172" s="129" t="n">
        <v>6434</v>
      </c>
      <c r="F1172" s="89" t="n">
        <v>0.165505113968682</v>
      </c>
      <c r="G1172" s="89" t="n">
        <v>1064.859903</v>
      </c>
      <c r="H1172" s="110" t="inlineStr">
        <is>
          <t>Cálculo por número de clientes ativos</t>
        </is>
      </c>
    </row>
    <row r="1173" ht="15" customHeight="1" s="64">
      <c r="A1173" s="110" t="inlineStr">
        <is>
          <t>JUNHO/2026</t>
        </is>
      </c>
      <c r="B1173" s="110" t="inlineStr">
        <is>
          <t>TIC</t>
        </is>
      </c>
      <c r="C1173" s="110" t="inlineStr">
        <is>
          <t>Setor de TIC</t>
        </is>
      </c>
      <c r="D1173" s="110" t="inlineStr">
        <is>
          <t>Souza e Silva</t>
        </is>
      </c>
      <c r="E1173" s="129" t="n">
        <v>4749</v>
      </c>
      <c r="F1173" s="89" t="n">
        <v>0.165505113968682</v>
      </c>
      <c r="G1173" s="89" t="n">
        <v>785.983786</v>
      </c>
      <c r="H1173" s="110" t="inlineStr">
        <is>
          <t>Cálculo por número de clientes ativos</t>
        </is>
      </c>
    </row>
    <row r="1174" ht="15" customHeight="1" s="64">
      <c r="A1174" s="110" t="inlineStr">
        <is>
          <t>JUNHO/2026</t>
        </is>
      </c>
      <c r="B1174" s="110" t="inlineStr">
        <is>
          <t>TIC</t>
        </is>
      </c>
      <c r="C1174" s="110" t="inlineStr">
        <is>
          <t>Setor de TIC</t>
        </is>
      </c>
      <c r="D1174" s="110" t="inlineStr">
        <is>
          <t>Voicenet</t>
        </is>
      </c>
      <c r="E1174" s="129" t="n">
        <v>4795</v>
      </c>
      <c r="F1174" s="89" t="n">
        <v>0.165505113968682</v>
      </c>
      <c r="G1174" s="89" t="n">
        <v>793.597021</v>
      </c>
      <c r="H1174" s="110" t="inlineStr">
        <is>
          <t>Cálculo por número de clientes ativos</t>
        </is>
      </c>
    </row>
    <row r="1175" ht="15" customHeight="1" s="64">
      <c r="A1175" s="110" t="inlineStr">
        <is>
          <t>JULHO/2026</t>
        </is>
      </c>
      <c r="B1175" s="110" t="inlineStr">
        <is>
          <t>TIC</t>
        </is>
      </c>
      <c r="C1175" s="110" t="inlineStr">
        <is>
          <t>Setor de TIC</t>
        </is>
      </c>
      <c r="D1175" s="110" t="inlineStr">
        <is>
          <t>DX2</t>
        </is>
      </c>
      <c r="E1175" s="129" t="n">
        <v>6588</v>
      </c>
      <c r="F1175" s="89" t="n">
        <v>0.170974700825347</v>
      </c>
      <c r="G1175" s="89" t="n">
        <v>1126.381329</v>
      </c>
      <c r="H1175" s="110" t="inlineStr">
        <is>
          <t>Cálculo por número de clientes ativos</t>
        </is>
      </c>
    </row>
    <row r="1176" ht="15" customHeight="1" s="64">
      <c r="A1176" s="110" t="inlineStr">
        <is>
          <t>JULHO/2026</t>
        </is>
      </c>
      <c r="B1176" s="110" t="inlineStr">
        <is>
          <t>TIC</t>
        </is>
      </c>
      <c r="C1176" s="110" t="inlineStr">
        <is>
          <t>Setor de TIC</t>
        </is>
      </c>
      <c r="D1176" s="110" t="inlineStr">
        <is>
          <t>Solon Araújo</t>
        </is>
      </c>
      <c r="E1176" s="129" t="n">
        <v>14689</v>
      </c>
      <c r="F1176" s="89" t="n">
        <v>0.170974700825347</v>
      </c>
      <c r="G1176" s="89" t="n">
        <v>2511.44738</v>
      </c>
      <c r="H1176" s="110" t="inlineStr">
        <is>
          <t>Cálculo por número de clientes ativos</t>
        </is>
      </c>
    </row>
    <row r="1177" ht="15" customHeight="1" s="64">
      <c r="A1177" s="110" t="inlineStr">
        <is>
          <t>JULHO/2026</t>
        </is>
      </c>
      <c r="B1177" s="110" t="inlineStr">
        <is>
          <t>TIC</t>
        </is>
      </c>
      <c r="C1177" s="110" t="inlineStr">
        <is>
          <t>Setor de TIC</t>
        </is>
      </c>
      <c r="D1177" s="110" t="inlineStr">
        <is>
          <t>Soares e Lins</t>
        </is>
      </c>
      <c r="E1177" s="129" t="n">
        <v>3765</v>
      </c>
      <c r="F1177" s="89" t="n">
        <v>0.170974700825347</v>
      </c>
      <c r="G1177" s="89" t="n">
        <v>643.719749</v>
      </c>
      <c r="H1177" s="110" t="inlineStr">
        <is>
          <t>Cálculo por número de clientes ativos</t>
        </is>
      </c>
    </row>
    <row r="1178" ht="15" customHeight="1" s="64">
      <c r="A1178" s="110" t="inlineStr">
        <is>
          <t>JULHO/2026</t>
        </is>
      </c>
      <c r="B1178" s="110" t="inlineStr">
        <is>
          <t>TIC</t>
        </is>
      </c>
      <c r="C1178" s="110" t="inlineStr">
        <is>
          <t>Setor de TIC</t>
        </is>
      </c>
      <c r="D1178" s="110" t="inlineStr">
        <is>
          <t>Soares e Silva</t>
        </is>
      </c>
      <c r="E1178" s="129" t="n">
        <v>6568</v>
      </c>
      <c r="F1178" s="89" t="n">
        <v>0.170974700825347</v>
      </c>
      <c r="G1178" s="89" t="n">
        <v>1122.961835</v>
      </c>
      <c r="H1178" s="110" t="inlineStr">
        <is>
          <t>Cálculo por número de clientes ativos</t>
        </is>
      </c>
    </row>
    <row r="1179" ht="15" customHeight="1" s="64">
      <c r="A1179" s="110" t="inlineStr">
        <is>
          <t>JULHO/2026</t>
        </is>
      </c>
      <c r="B1179" s="110" t="inlineStr">
        <is>
          <t>TIC</t>
        </is>
      </c>
      <c r="C1179" s="110" t="inlineStr">
        <is>
          <t>Setor de TIC</t>
        </is>
      </c>
      <c r="D1179" s="110" t="inlineStr">
        <is>
          <t>Souza e Silva</t>
        </is>
      </c>
      <c r="E1179" s="129" t="n">
        <v>4805</v>
      </c>
      <c r="F1179" s="89" t="n">
        <v>0.170974700825347</v>
      </c>
      <c r="G1179" s="89" t="n">
        <v>821.533437</v>
      </c>
      <c r="H1179" s="110" t="inlineStr">
        <is>
          <t>Cálculo por número de clientes ativos</t>
        </is>
      </c>
    </row>
    <row r="1180" ht="15" customHeight="1" s="64">
      <c r="A1180" s="110" t="inlineStr">
        <is>
          <t>JULHO/2026</t>
        </is>
      </c>
      <c r="B1180" s="110" t="inlineStr">
        <is>
          <t>TIC</t>
        </is>
      </c>
      <c r="C1180" s="110" t="inlineStr">
        <is>
          <t>Setor de TIC</t>
        </is>
      </c>
      <c r="D1180" s="110" t="inlineStr">
        <is>
          <t>Voicenet</t>
        </is>
      </c>
      <c r="E1180" s="129" t="n">
        <v>4806</v>
      </c>
      <c r="F1180" s="89" t="n">
        <v>0.170974700825347</v>
      </c>
      <c r="G1180" s="89" t="n">
        <v>821.704412</v>
      </c>
      <c r="H1180" s="110" t="inlineStr">
        <is>
          <t>Cálculo por número de clientes ativos</t>
        </is>
      </c>
    </row>
    <row r="1181" ht="15" customHeight="1" s="64">
      <c r="A1181" s="110" t="inlineStr">
        <is>
          <t>MAIO/2026</t>
        </is>
      </c>
      <c r="B1181" s="110" t="inlineStr">
        <is>
          <t>Marketing</t>
        </is>
      </c>
      <c r="C1181" s="110" t="inlineStr">
        <is>
          <t>Setor de Marketing</t>
        </is>
      </c>
      <c r="D1181" s="110" t="inlineStr">
        <is>
          <t>DX2</t>
        </is>
      </c>
      <c r="E1181" s="129" t="n">
        <v>6280</v>
      </c>
      <c r="F1181" s="89" t="n">
        <v>0.319464004034977</v>
      </c>
      <c r="G1181" s="89" t="n">
        <v>2006.233945</v>
      </c>
      <c r="H1181" s="110" t="inlineStr">
        <is>
          <t>Cálculo por número de clientes ativos</t>
        </is>
      </c>
    </row>
    <row r="1182" ht="15" customHeight="1" s="64">
      <c r="A1182" s="110" t="inlineStr">
        <is>
          <t>MAIO/2026</t>
        </is>
      </c>
      <c r="B1182" s="110" t="inlineStr">
        <is>
          <t>Marketing</t>
        </is>
      </c>
      <c r="C1182" s="110" t="inlineStr">
        <is>
          <t>Setor de Marketing</t>
        </is>
      </c>
      <c r="D1182" s="110" t="inlineStr">
        <is>
          <t>H&amp;A</t>
        </is>
      </c>
      <c r="E1182" s="129" t="n">
        <v>13402</v>
      </c>
      <c r="F1182" s="89" t="n">
        <v>0.319464004034977</v>
      </c>
      <c r="G1182" s="89" t="n">
        <v>4281.456582</v>
      </c>
      <c r="H1182" s="110" t="inlineStr">
        <is>
          <t>Cálculo por número de clientes ativos</t>
        </is>
      </c>
    </row>
    <row r="1183" ht="15" customHeight="1" s="64">
      <c r="A1183" s="110" t="inlineStr">
        <is>
          <t>MAIO/2026</t>
        </is>
      </c>
      <c r="B1183" s="110" t="inlineStr">
        <is>
          <t>Marketing</t>
        </is>
      </c>
      <c r="C1183" s="110" t="inlineStr">
        <is>
          <t>Setor de Marketing</t>
        </is>
      </c>
      <c r="D1183" s="110" t="inlineStr">
        <is>
          <t>Solon Araújo</t>
        </is>
      </c>
      <c r="E1183" s="129" t="n">
        <v>14331</v>
      </c>
      <c r="F1183" s="89" t="n">
        <v>0.319464004034977</v>
      </c>
      <c r="G1183" s="89" t="n">
        <v>4578.238642</v>
      </c>
      <c r="H1183" s="110" t="inlineStr">
        <is>
          <t>Cálculo por número de clientes ativos</t>
        </is>
      </c>
    </row>
    <row r="1184" ht="15" customHeight="1" s="64">
      <c r="A1184" s="110" t="inlineStr">
        <is>
          <t>MAIO/2026</t>
        </is>
      </c>
      <c r="B1184" s="110" t="inlineStr">
        <is>
          <t>Marketing</t>
        </is>
      </c>
      <c r="C1184" s="110" t="inlineStr">
        <is>
          <t>Setor de Marketing</t>
        </is>
      </c>
      <c r="D1184" s="110" t="inlineStr">
        <is>
          <t>Soares e Lins</t>
        </is>
      </c>
      <c r="E1184" s="129" t="n">
        <v>3650</v>
      </c>
      <c r="F1184" s="89" t="n">
        <v>0.319464004034977</v>
      </c>
      <c r="G1184" s="89" t="n">
        <v>1166.043615</v>
      </c>
      <c r="H1184" s="110" t="inlineStr">
        <is>
          <t>Cálculo por número de clientes ativos</t>
        </is>
      </c>
    </row>
    <row r="1185" ht="15" customHeight="1" s="64">
      <c r="A1185" s="110" t="inlineStr">
        <is>
          <t>MAIO/2026</t>
        </is>
      </c>
      <c r="B1185" s="110" t="inlineStr">
        <is>
          <t>Marketing</t>
        </is>
      </c>
      <c r="C1185" s="110" t="inlineStr">
        <is>
          <t>Setor de Marketing</t>
        </is>
      </c>
      <c r="D1185" s="110" t="inlineStr">
        <is>
          <t>Soares e Silva</t>
        </is>
      </c>
      <c r="E1185" s="129" t="n">
        <v>6396</v>
      </c>
      <c r="F1185" s="89" t="n">
        <v>0.319464004034977</v>
      </c>
      <c r="G1185" s="89" t="n">
        <v>2043.29177</v>
      </c>
      <c r="H1185" s="110" t="inlineStr">
        <is>
          <t>Cálculo por número de clientes ativos</t>
        </is>
      </c>
    </row>
    <row r="1186" ht="15" customHeight="1" s="64">
      <c r="A1186" s="110" t="inlineStr">
        <is>
          <t>MAIO/2026</t>
        </is>
      </c>
      <c r="B1186" s="110" t="inlineStr">
        <is>
          <t>Marketing</t>
        </is>
      </c>
      <c r="C1186" s="110" t="inlineStr">
        <is>
          <t>Setor de Marketing</t>
        </is>
      </c>
      <c r="D1186" s="110" t="inlineStr">
        <is>
          <t>Souza e Silva</t>
        </is>
      </c>
      <c r="E1186" s="129" t="n">
        <v>4730</v>
      </c>
      <c r="F1186" s="89" t="n">
        <v>0.319464004034977</v>
      </c>
      <c r="G1186" s="89" t="n">
        <v>1511.064739</v>
      </c>
      <c r="H1186" s="110" t="inlineStr">
        <is>
          <t>Cálculo por número de clientes ativos</t>
        </is>
      </c>
    </row>
    <row r="1187" ht="15" customHeight="1" s="64">
      <c r="A1187" s="110" t="inlineStr">
        <is>
          <t>MAIO/2026</t>
        </is>
      </c>
      <c r="B1187" s="110" t="inlineStr">
        <is>
          <t>Marketing</t>
        </is>
      </c>
      <c r="C1187" s="110" t="inlineStr">
        <is>
          <t>Setor de Marketing</t>
        </is>
      </c>
      <c r="D1187" s="110" t="inlineStr">
        <is>
          <t>Voicenet</t>
        </is>
      </c>
      <c r="E1187" s="129" t="n">
        <v>4782</v>
      </c>
      <c r="F1187" s="89" t="n">
        <v>0.319464004034977</v>
      </c>
      <c r="G1187" s="89" t="n">
        <v>1527.676867</v>
      </c>
      <c r="H1187" s="110" t="inlineStr">
        <is>
          <t>Cálculo por número de clientes ativos</t>
        </is>
      </c>
    </row>
    <row r="1188" ht="15" customHeight="1" s="64">
      <c r="A1188" s="110" t="inlineStr">
        <is>
          <t>JUNHO/2026</t>
        </is>
      </c>
      <c r="B1188" s="110" t="inlineStr">
        <is>
          <t>Marketing</t>
        </is>
      </c>
      <c r="C1188" s="110" t="inlineStr">
        <is>
          <t>Setor de Marketing</t>
        </is>
      </c>
      <c r="D1188" s="110" t="inlineStr">
        <is>
          <t>DX2</t>
        </is>
      </c>
      <c r="E1188" s="129" t="n">
        <v>6445</v>
      </c>
      <c r="F1188" s="89" t="n">
        <v>0.293099708996474</v>
      </c>
      <c r="G1188" s="89" t="n">
        <v>1889.027624</v>
      </c>
      <c r="H1188" s="110" t="inlineStr">
        <is>
          <t>Cálculo por número de clientes ativos</t>
        </is>
      </c>
    </row>
    <row r="1189" ht="15" customHeight="1" s="64">
      <c r="A1189" s="110" t="inlineStr">
        <is>
          <t>JUNHO/2026</t>
        </is>
      </c>
      <c r="B1189" s="110" t="inlineStr">
        <is>
          <t>Marketing</t>
        </is>
      </c>
      <c r="C1189" s="110" t="inlineStr">
        <is>
          <t>Setor de Marketing</t>
        </is>
      </c>
      <c r="D1189" s="110" t="inlineStr">
        <is>
          <t>H&amp;A</t>
        </is>
      </c>
      <c r="E1189" s="129" t="n">
        <v>13418</v>
      </c>
      <c r="F1189" s="89" t="n">
        <v>0.293099708996474</v>
      </c>
      <c r="G1189" s="89" t="n">
        <v>3932.811895</v>
      </c>
      <c r="H1189" s="110" t="inlineStr">
        <is>
          <t>Cálculo por número de clientes ativos</t>
        </is>
      </c>
    </row>
    <row r="1190" ht="15" customHeight="1" s="64">
      <c r="A1190" s="110" t="inlineStr">
        <is>
          <t>JUNHO/2026</t>
        </is>
      </c>
      <c r="B1190" s="110" t="inlineStr">
        <is>
          <t>Marketing</t>
        </is>
      </c>
      <c r="C1190" s="110" t="inlineStr">
        <is>
          <t>Setor de Marketing</t>
        </is>
      </c>
      <c r="D1190" s="110" t="inlineStr">
        <is>
          <t>Solon Araújo</t>
        </is>
      </c>
      <c r="E1190" s="129" t="n">
        <v>14441</v>
      </c>
      <c r="F1190" s="89" t="n">
        <v>0.293099708996474</v>
      </c>
      <c r="G1190" s="89" t="n">
        <v>4232.652898</v>
      </c>
      <c r="H1190" s="110" t="inlineStr">
        <is>
          <t>Cálculo por número de clientes ativos</t>
        </is>
      </c>
    </row>
    <row r="1191" ht="15" customHeight="1" s="64">
      <c r="A1191" s="110" t="inlineStr">
        <is>
          <t>JUNHO/2026</t>
        </is>
      </c>
      <c r="B1191" s="110" t="inlineStr">
        <is>
          <t>Marketing</t>
        </is>
      </c>
      <c r="C1191" s="110" t="inlineStr">
        <is>
          <t>Setor de Marketing</t>
        </is>
      </c>
      <c r="D1191" s="110" t="inlineStr">
        <is>
          <t>Soares e Lins</t>
        </is>
      </c>
      <c r="E1191" s="129" t="n">
        <v>3704</v>
      </c>
      <c r="F1191" s="89" t="n">
        <v>0.293099708996474</v>
      </c>
      <c r="G1191" s="89" t="n">
        <v>1085.641322</v>
      </c>
      <c r="H1191" s="110" t="inlineStr">
        <is>
          <t>Cálculo por número de clientes ativos</t>
        </is>
      </c>
    </row>
    <row r="1192" ht="15" customHeight="1" s="64">
      <c r="A1192" s="110" t="inlineStr">
        <is>
          <t>JUNHO/2026</t>
        </is>
      </c>
      <c r="B1192" s="110" t="inlineStr">
        <is>
          <t>Marketing</t>
        </is>
      </c>
      <c r="C1192" s="110" t="inlineStr">
        <is>
          <t>Setor de Marketing</t>
        </is>
      </c>
      <c r="D1192" s="110" t="inlineStr">
        <is>
          <t>Soares e Silva</t>
        </is>
      </c>
      <c r="E1192" s="129" t="n">
        <v>6434</v>
      </c>
      <c r="F1192" s="89" t="n">
        <v>0.293099708996474</v>
      </c>
      <c r="G1192" s="89" t="n">
        <v>1885.803528</v>
      </c>
      <c r="H1192" s="110" t="inlineStr">
        <is>
          <t>Cálculo por número de clientes ativos</t>
        </is>
      </c>
    </row>
    <row r="1193" ht="15" customHeight="1" s="64">
      <c r="A1193" s="110" t="inlineStr">
        <is>
          <t>JUNHO/2026</t>
        </is>
      </c>
      <c r="B1193" s="110" t="inlineStr">
        <is>
          <t>Marketing</t>
        </is>
      </c>
      <c r="C1193" s="110" t="inlineStr">
        <is>
          <t>Setor de Marketing</t>
        </is>
      </c>
      <c r="D1193" s="110" t="inlineStr">
        <is>
          <t>Souza e Silva</t>
        </is>
      </c>
      <c r="E1193" s="129" t="n">
        <v>4749</v>
      </c>
      <c r="F1193" s="89" t="n">
        <v>0.293099708996474</v>
      </c>
      <c r="G1193" s="89" t="n">
        <v>1391.930518</v>
      </c>
      <c r="H1193" s="110" t="inlineStr">
        <is>
          <t>Cálculo por número de clientes ativos</t>
        </is>
      </c>
    </row>
    <row r="1194" ht="15" customHeight="1" s="64">
      <c r="A1194" s="110" t="inlineStr">
        <is>
          <t>JUNHO/2026</t>
        </is>
      </c>
      <c r="B1194" s="110" t="inlineStr">
        <is>
          <t>Marketing</t>
        </is>
      </c>
      <c r="C1194" s="110" t="inlineStr">
        <is>
          <t>Setor de Marketing</t>
        </is>
      </c>
      <c r="D1194" s="110" t="inlineStr">
        <is>
          <t>Voicenet</t>
        </is>
      </c>
      <c r="E1194" s="129" t="n">
        <v>4795</v>
      </c>
      <c r="F1194" s="89" t="n">
        <v>0.293099708996474</v>
      </c>
      <c r="G1194" s="89" t="n">
        <v>1405.413105</v>
      </c>
      <c r="H1194" s="110" t="inlineStr">
        <is>
          <t>Cálculo por número de clientes ativos</t>
        </is>
      </c>
    </row>
    <row r="1195" ht="15" customHeight="1" s="64">
      <c r="A1195" s="110" t="inlineStr">
        <is>
          <t>JULHO/2026</t>
        </is>
      </c>
      <c r="B1195" s="110" t="inlineStr">
        <is>
          <t>Marketing</t>
        </is>
      </c>
      <c r="C1195" s="110" t="inlineStr">
        <is>
          <t>Setor de Marketing</t>
        </is>
      </c>
      <c r="D1195" s="110" t="inlineStr">
        <is>
          <t>DX2</t>
        </is>
      </c>
      <c r="E1195" s="129" t="n">
        <v>6588</v>
      </c>
      <c r="F1195" s="89" t="n">
        <v>0.299382438917867</v>
      </c>
      <c r="G1195" s="89" t="n">
        <v>1972.331508</v>
      </c>
      <c r="H1195" s="110" t="inlineStr">
        <is>
          <t>Cálculo por número de clientes ativos</t>
        </is>
      </c>
    </row>
    <row r="1196" ht="15" customHeight="1" s="64">
      <c r="A1196" s="110" t="inlineStr">
        <is>
          <t>JULHO/2026</t>
        </is>
      </c>
      <c r="B1196" s="110" t="inlineStr">
        <is>
          <t>Marketing</t>
        </is>
      </c>
      <c r="C1196" s="110" t="inlineStr">
        <is>
          <t>Setor de Marketing</t>
        </is>
      </c>
      <c r="D1196" s="110" t="inlineStr">
        <is>
          <t>H&amp;A</t>
        </is>
      </c>
      <c r="E1196" s="129" t="n">
        <v>13530</v>
      </c>
      <c r="F1196" s="89" t="n">
        <v>0.299382438917867</v>
      </c>
      <c r="G1196" s="89" t="n">
        <v>4050.644399</v>
      </c>
      <c r="H1196" s="110" t="inlineStr">
        <is>
          <t>Cálculo por número de clientes ativos</t>
        </is>
      </c>
    </row>
    <row r="1197" ht="15" customHeight="1" s="64">
      <c r="A1197" s="110" t="inlineStr">
        <is>
          <t>JULHO/2026</t>
        </is>
      </c>
      <c r="B1197" s="110" t="inlineStr">
        <is>
          <t>Marketing</t>
        </is>
      </c>
      <c r="C1197" s="110" t="inlineStr">
        <is>
          <t>Setor de Marketing</t>
        </is>
      </c>
      <c r="D1197" s="110" t="inlineStr">
        <is>
          <t>Solon Araújo</t>
        </is>
      </c>
      <c r="E1197" s="129" t="n">
        <v>14689</v>
      </c>
      <c r="F1197" s="89" t="n">
        <v>0.299382438917867</v>
      </c>
      <c r="G1197" s="89" t="n">
        <v>4397.628645</v>
      </c>
      <c r="H1197" s="110" t="inlineStr">
        <is>
          <t>Cálculo por número de clientes ativos</t>
        </is>
      </c>
    </row>
    <row r="1198" ht="15" customHeight="1" s="64">
      <c r="A1198" s="110" t="inlineStr">
        <is>
          <t>JULHO/2026</t>
        </is>
      </c>
      <c r="B1198" s="110" t="inlineStr">
        <is>
          <t>Marketing</t>
        </is>
      </c>
      <c r="C1198" s="110" t="inlineStr">
        <is>
          <t>Setor de Marketing</t>
        </is>
      </c>
      <c r="D1198" s="110" t="inlineStr">
        <is>
          <t>Soares e Lins</t>
        </is>
      </c>
      <c r="E1198" s="129" t="n">
        <v>3765</v>
      </c>
      <c r="F1198" s="89" t="n">
        <v>0.299382438917867</v>
      </c>
      <c r="G1198" s="89" t="n">
        <v>1127.174883</v>
      </c>
      <c r="H1198" s="110" t="inlineStr">
        <is>
          <t>Cálculo por número de clientes ativos</t>
        </is>
      </c>
    </row>
    <row r="1199" ht="15" customHeight="1" s="64">
      <c r="A1199" s="110" t="inlineStr">
        <is>
          <t>JULHO/2026</t>
        </is>
      </c>
      <c r="B1199" s="110" t="inlineStr">
        <is>
          <t>Marketing</t>
        </is>
      </c>
      <c r="C1199" s="110" t="inlineStr">
        <is>
          <t>Setor de Marketing</t>
        </is>
      </c>
      <c r="D1199" s="110" t="inlineStr">
        <is>
          <t>Soares e Silva</t>
        </is>
      </c>
      <c r="E1199" s="129" t="n">
        <v>6568</v>
      </c>
      <c r="F1199" s="89" t="n">
        <v>0.299382438917867</v>
      </c>
      <c r="G1199" s="89" t="n">
        <v>1966.343859</v>
      </c>
      <c r="H1199" s="110" t="inlineStr">
        <is>
          <t>Cálculo por número de clientes ativos</t>
        </is>
      </c>
    </row>
    <row r="1200" ht="15" customHeight="1" s="64">
      <c r="A1200" s="110" t="inlineStr">
        <is>
          <t>JULHO/2026</t>
        </is>
      </c>
      <c r="B1200" s="110" t="inlineStr">
        <is>
          <t>Marketing</t>
        </is>
      </c>
      <c r="C1200" s="110" t="inlineStr">
        <is>
          <t>Setor de Marketing</t>
        </is>
      </c>
      <c r="D1200" s="110" t="inlineStr">
        <is>
          <t>Souza e Silva</t>
        </is>
      </c>
      <c r="E1200" s="129" t="n">
        <v>4805</v>
      </c>
      <c r="F1200" s="89" t="n">
        <v>0.299382438917867</v>
      </c>
      <c r="G1200" s="89" t="n">
        <v>1438.532619</v>
      </c>
      <c r="H1200" s="110" t="inlineStr">
        <is>
          <t>Cálculo por número de clientes ativos</t>
        </is>
      </c>
    </row>
    <row r="1201" ht="15" customHeight="1" s="64">
      <c r="A1201" s="110" t="inlineStr">
        <is>
          <t>JULHO/2026</t>
        </is>
      </c>
      <c r="B1201" s="110" t="inlineStr">
        <is>
          <t>Marketing</t>
        </is>
      </c>
      <c r="C1201" s="110" t="inlineStr">
        <is>
          <t>Setor de Marketing</t>
        </is>
      </c>
      <c r="D1201" s="110" t="inlineStr">
        <is>
          <t>Voicenet</t>
        </is>
      </c>
      <c r="E1201" s="129" t="n">
        <v>4806</v>
      </c>
      <c r="F1201" s="89" t="n">
        <v>0.299382438917867</v>
      </c>
      <c r="G1201" s="89" t="n">
        <v>1438.832001</v>
      </c>
      <c r="H1201" s="110" t="inlineStr">
        <is>
          <t>Cálculo por número de clientes ativos</t>
        </is>
      </c>
    </row>
    <row r="1202" ht="15" customHeight="1" s="64">
      <c r="A1202" s="110" t="inlineStr">
        <is>
          <t>MAIO/2026</t>
        </is>
      </c>
      <c r="B1202" s="110" t="inlineStr">
        <is>
          <t>Administrativo</t>
        </is>
      </c>
      <c r="C1202" s="110" t="inlineStr">
        <is>
          <t>Custo do departamento Administrativo</t>
        </is>
      </c>
      <c r="D1202" s="110" t="inlineStr">
        <is>
          <t>DX2</t>
        </is>
      </c>
      <c r="E1202" s="110" t="n">
        <v>35</v>
      </c>
      <c r="F1202" s="110" t="n">
        <v>22.5794396961064</v>
      </c>
      <c r="G1202" s="110" t="n">
        <v>790.280389</v>
      </c>
      <c r="H1202" s="110" t="inlineStr">
        <is>
          <t>Cálculo por número de funcionários ativos</t>
        </is>
      </c>
    </row>
    <row r="1203" ht="15" customHeight="1" s="64">
      <c r="A1203" s="110" t="inlineStr">
        <is>
          <t>MAIO/2026</t>
        </is>
      </c>
      <c r="B1203" s="110" t="inlineStr">
        <is>
          <t>Administrativo</t>
        </is>
      </c>
      <c r="C1203" s="110" t="inlineStr">
        <is>
          <t>Custo do departamento Administrativo</t>
        </is>
      </c>
      <c r="D1203" s="110" t="inlineStr">
        <is>
          <t>H&amp;A</t>
        </is>
      </c>
      <c r="E1203" s="110" t="n">
        <v>35</v>
      </c>
      <c r="F1203" s="110" t="n">
        <v>22.5794396961064</v>
      </c>
      <c r="G1203" s="110" t="n">
        <v>790.280389</v>
      </c>
      <c r="H1203" s="110" t="inlineStr">
        <is>
          <t>Cálculo por número de funcionários ativos</t>
        </is>
      </c>
    </row>
    <row r="1204" ht="15" customHeight="1" s="64">
      <c r="A1204" s="110" t="inlineStr">
        <is>
          <t>MAIO/2026</t>
        </is>
      </c>
      <c r="B1204" s="110" t="inlineStr">
        <is>
          <t>Administrativo</t>
        </is>
      </c>
      <c r="C1204" s="110" t="inlineStr">
        <is>
          <t>Custo do departamento Administrativo</t>
        </is>
      </c>
      <c r="D1204" s="110" t="inlineStr">
        <is>
          <t>Solon Araújo</t>
        </is>
      </c>
      <c r="E1204" s="110" t="n">
        <v>42</v>
      </c>
      <c r="F1204" s="110" t="n">
        <v>22.5794396961064</v>
      </c>
      <c r="G1204" s="110" t="n">
        <v>948.336467</v>
      </c>
      <c r="H1204" s="110" t="inlineStr">
        <is>
          <t>Cálculo por número de funcionários ativos</t>
        </is>
      </c>
    </row>
    <row r="1205" ht="15" customHeight="1" s="64">
      <c r="A1205" s="110" t="inlineStr">
        <is>
          <t>MAIO/2026</t>
        </is>
      </c>
      <c r="B1205" s="110" t="inlineStr">
        <is>
          <t>Administrativo</t>
        </is>
      </c>
      <c r="C1205" s="110" t="inlineStr">
        <is>
          <t>Custo do departamento Administrativo</t>
        </is>
      </c>
      <c r="D1205" s="110" t="inlineStr">
        <is>
          <t>Soares e Lins</t>
        </is>
      </c>
      <c r="E1205" s="110" t="n">
        <v>11</v>
      </c>
      <c r="F1205" s="110" t="n">
        <v>22.5794396961064</v>
      </c>
      <c r="G1205" s="110" t="n">
        <v>248.373837</v>
      </c>
      <c r="H1205" s="110" t="inlineStr">
        <is>
          <t>Cálculo por número de funcionários ativos</t>
        </is>
      </c>
    </row>
    <row r="1206" ht="15" customHeight="1" s="64">
      <c r="A1206" s="110" t="inlineStr">
        <is>
          <t>MAIO/2026</t>
        </is>
      </c>
      <c r="B1206" s="110" t="inlineStr">
        <is>
          <t>Administrativo</t>
        </is>
      </c>
      <c r="C1206" s="110" t="inlineStr">
        <is>
          <t>Custo do departamento Administrativo</t>
        </is>
      </c>
      <c r="D1206" s="110" t="inlineStr">
        <is>
          <t>Soares e Silva</t>
        </is>
      </c>
      <c r="E1206" s="110" t="n">
        <v>42</v>
      </c>
      <c r="F1206" s="110" t="n">
        <v>22.5794396961064</v>
      </c>
      <c r="G1206" s="110" t="n">
        <v>948.336467</v>
      </c>
      <c r="H1206" s="110" t="inlineStr">
        <is>
          <t>Cálculo por número de funcionários ativos</t>
        </is>
      </c>
    </row>
    <row r="1207" ht="15" customHeight="1" s="64">
      <c r="A1207" s="110" t="inlineStr">
        <is>
          <t>MAIO/2026</t>
        </is>
      </c>
      <c r="B1207" s="110" t="inlineStr">
        <is>
          <t>Administrativo</t>
        </is>
      </c>
      <c r="C1207" s="110" t="inlineStr">
        <is>
          <t>Custo do departamento Administrativo</t>
        </is>
      </c>
      <c r="D1207" s="110" t="inlineStr">
        <is>
          <t>Souza e Silva</t>
        </is>
      </c>
      <c r="E1207" s="110" t="n">
        <v>18</v>
      </c>
      <c r="F1207" s="110" t="n">
        <v>22.5794396961064</v>
      </c>
      <c r="G1207" s="110" t="n">
        <v>406.429915</v>
      </c>
      <c r="H1207" s="110" t="inlineStr">
        <is>
          <t>Cálculo por número de funcionários ativos</t>
        </is>
      </c>
    </row>
    <row r="1208" ht="15" customHeight="1" s="64">
      <c r="A1208" s="110" t="inlineStr">
        <is>
          <t>MAIO/2026</t>
        </is>
      </c>
      <c r="B1208" s="110" t="inlineStr">
        <is>
          <t>Administrativo</t>
        </is>
      </c>
      <c r="C1208" s="110" t="inlineStr">
        <is>
          <t>Custo do departamento Administrativo</t>
        </is>
      </c>
      <c r="D1208" s="110" t="inlineStr">
        <is>
          <t>Voicenet</t>
        </is>
      </c>
      <c r="E1208" s="110" t="n">
        <v>20</v>
      </c>
      <c r="F1208" s="110" t="n">
        <v>22.5794396961064</v>
      </c>
      <c r="G1208" s="110" t="n">
        <v>451.588794</v>
      </c>
      <c r="H1208" s="110" t="inlineStr">
        <is>
          <t>Cálculo por número de funcionários ativos</t>
        </is>
      </c>
    </row>
    <row r="1209" ht="15" customHeight="1" s="64">
      <c r="A1209" s="110" t="inlineStr">
        <is>
          <t>JUNHO/2026</t>
        </is>
      </c>
      <c r="B1209" s="110" t="inlineStr">
        <is>
          <t>Administrativo</t>
        </is>
      </c>
      <c r="C1209" s="110" t="inlineStr">
        <is>
          <t>Custo do departamento Administrativo</t>
        </is>
      </c>
      <c r="D1209" s="110" t="inlineStr">
        <is>
          <t>DX2</t>
        </is>
      </c>
      <c r="E1209" s="110" t="n">
        <v>34</v>
      </c>
      <c r="F1209" s="110" t="n">
        <v>22.6655386081983</v>
      </c>
      <c r="G1209" s="110" t="n">
        <v>770.628313</v>
      </c>
      <c r="H1209" s="110" t="inlineStr">
        <is>
          <t>Cálculo por número de funcionários ativos</t>
        </is>
      </c>
    </row>
    <row r="1210" ht="15" customHeight="1" s="64">
      <c r="A1210" s="110" t="inlineStr">
        <is>
          <t>JUNHO/2026</t>
        </is>
      </c>
      <c r="B1210" s="110" t="inlineStr">
        <is>
          <t>Administrativo</t>
        </is>
      </c>
      <c r="C1210" s="110" t="inlineStr">
        <is>
          <t>Custo do departamento Administrativo</t>
        </is>
      </c>
      <c r="D1210" s="110" t="inlineStr">
        <is>
          <t>H&amp;A</t>
        </is>
      </c>
      <c r="E1210" s="110" t="n">
        <v>32</v>
      </c>
      <c r="F1210" s="110" t="n">
        <v>22.6655386081983</v>
      </c>
      <c r="G1210" s="110" t="n">
        <v>725.297235</v>
      </c>
      <c r="H1210" s="110" t="inlineStr">
        <is>
          <t>Cálculo por número de funcionários ativos</t>
        </is>
      </c>
    </row>
    <row r="1211" ht="15" customHeight="1" s="64">
      <c r="A1211" s="110" t="inlineStr">
        <is>
          <t>JUNHO/2026</t>
        </is>
      </c>
      <c r="B1211" s="110" t="inlineStr">
        <is>
          <t>Administrativo</t>
        </is>
      </c>
      <c r="C1211" s="110" t="inlineStr">
        <is>
          <t>Custo do departamento Administrativo</t>
        </is>
      </c>
      <c r="D1211" s="110" t="inlineStr">
        <is>
          <t>Solon Araújo</t>
        </is>
      </c>
      <c r="E1211" s="110" t="n">
        <v>42</v>
      </c>
      <c r="F1211" s="110" t="n">
        <v>22.6655386081983</v>
      </c>
      <c r="G1211" s="110" t="n">
        <v>951.952622</v>
      </c>
      <c r="H1211" s="110" t="inlineStr">
        <is>
          <t>Cálculo por número de funcionários ativos</t>
        </is>
      </c>
    </row>
    <row r="1212" ht="15" customHeight="1" s="64">
      <c r="A1212" s="110" t="inlineStr">
        <is>
          <t>JUNHO/2026</t>
        </is>
      </c>
      <c r="B1212" s="110" t="inlineStr">
        <is>
          <t>Administrativo</t>
        </is>
      </c>
      <c r="C1212" s="110" t="inlineStr">
        <is>
          <t>Custo do departamento Administrativo</t>
        </is>
      </c>
      <c r="D1212" s="110" t="inlineStr">
        <is>
          <t>Soares e Lins</t>
        </is>
      </c>
      <c r="E1212" s="110" t="n">
        <v>11</v>
      </c>
      <c r="F1212" s="110" t="n">
        <v>22.6655386081983</v>
      </c>
      <c r="G1212" s="110" t="n">
        <v>249.320925</v>
      </c>
      <c r="H1212" s="110" t="inlineStr">
        <is>
          <t>Cálculo por número de funcionários ativos</t>
        </is>
      </c>
    </row>
    <row r="1213" ht="15" customHeight="1" s="64">
      <c r="A1213" s="110" t="inlineStr">
        <is>
          <t>JUNHO/2026</t>
        </is>
      </c>
      <c r="B1213" s="110" t="inlineStr">
        <is>
          <t>Administrativo</t>
        </is>
      </c>
      <c r="C1213" s="110" t="inlineStr">
        <is>
          <t>Custo do departamento Administrativo</t>
        </is>
      </c>
      <c r="D1213" s="110" t="inlineStr">
        <is>
          <t>Soares e Silva</t>
        </is>
      </c>
      <c r="E1213" s="110" t="n">
        <v>42</v>
      </c>
      <c r="F1213" s="110" t="n">
        <v>22.6655386081983</v>
      </c>
      <c r="G1213" s="110" t="n">
        <v>951.952622</v>
      </c>
      <c r="H1213" s="110" t="inlineStr">
        <is>
          <t>Cálculo por número de funcionários ativos</t>
        </is>
      </c>
    </row>
    <row r="1214" ht="15" customHeight="1" s="64">
      <c r="A1214" s="110" t="inlineStr">
        <is>
          <t>JUNHO/2026</t>
        </is>
      </c>
      <c r="B1214" s="110" t="inlineStr">
        <is>
          <t>Administrativo</t>
        </is>
      </c>
      <c r="C1214" s="110" t="inlineStr">
        <is>
          <t>Custo do departamento Administrativo</t>
        </is>
      </c>
      <c r="D1214" s="110" t="inlineStr">
        <is>
          <t>Souza e Silva</t>
        </is>
      </c>
      <c r="E1214" s="110" t="n">
        <v>18</v>
      </c>
      <c r="F1214" s="110" t="n">
        <v>22.6655386081983</v>
      </c>
      <c r="G1214" s="110" t="n">
        <v>407.979695</v>
      </c>
      <c r="H1214" s="110" t="inlineStr">
        <is>
          <t>Cálculo por número de funcionários ativos</t>
        </is>
      </c>
    </row>
    <row r="1215" ht="15" customHeight="1" s="64">
      <c r="A1215" s="110" t="inlineStr">
        <is>
          <t>JUNHO/2026</t>
        </is>
      </c>
      <c r="B1215" s="110" t="inlineStr">
        <is>
          <t>Administrativo</t>
        </is>
      </c>
      <c r="C1215" s="110" t="inlineStr">
        <is>
          <t>Custo do departamento Administrativo</t>
        </is>
      </c>
      <c r="D1215" s="110" t="inlineStr">
        <is>
          <t>Voicenet</t>
        </is>
      </c>
      <c r="E1215" s="110" t="n">
        <v>17</v>
      </c>
      <c r="F1215" s="110" t="n">
        <v>22.6655386081983</v>
      </c>
      <c r="G1215" s="110" t="n">
        <v>385.314156</v>
      </c>
      <c r="H1215" s="110" t="inlineStr">
        <is>
          <t>Cálculo por número de funcionários ativos</t>
        </is>
      </c>
    </row>
    <row r="1216" ht="15" customHeight="1" s="64">
      <c r="A1216" s="110" t="inlineStr">
        <is>
          <t>JULHO/2026</t>
        </is>
      </c>
      <c r="B1216" s="110" t="inlineStr">
        <is>
          <t>Administrativo</t>
        </is>
      </c>
      <c r="C1216" s="110" t="inlineStr">
        <is>
          <t>Custo do departamento Administrativo</t>
        </is>
      </c>
      <c r="D1216" s="110" t="inlineStr">
        <is>
          <t>DX2</t>
        </is>
      </c>
      <c r="E1216" s="110" t="n">
        <v>34</v>
      </c>
      <c r="F1216" s="110" t="n">
        <v>21.8129266055046</v>
      </c>
      <c r="G1216" s="110" t="n">
        <v>741.639505</v>
      </c>
      <c r="H1216" s="110" t="inlineStr">
        <is>
          <t>Cálculo por número de funcionários ativos</t>
        </is>
      </c>
    </row>
    <row r="1217" ht="15" customHeight="1" s="64">
      <c r="A1217" s="110" t="inlineStr">
        <is>
          <t>JULHO/2026</t>
        </is>
      </c>
      <c r="B1217" s="110" t="inlineStr">
        <is>
          <t>Administrativo</t>
        </is>
      </c>
      <c r="C1217" s="110" t="inlineStr">
        <is>
          <t>Custo do departamento Administrativo</t>
        </is>
      </c>
      <c r="D1217" s="110" t="inlineStr">
        <is>
          <t>H&amp;A</t>
        </is>
      </c>
      <c r="H1217" s="110" t="inlineStr">
        <is>
          <t>Cálculo por número de funcionários ativos (sem quantidade exata para H&amp;A)</t>
        </is>
      </c>
    </row>
    <row r="1218" ht="15" customHeight="1" s="64">
      <c r="A1218" s="110" t="inlineStr">
        <is>
          <t>JULHO/2026</t>
        </is>
      </c>
      <c r="B1218" s="110" t="inlineStr">
        <is>
          <t>Administrativo</t>
        </is>
      </c>
      <c r="C1218" s="110" t="inlineStr">
        <is>
          <t>Custo do departamento Administrativo</t>
        </is>
      </c>
      <c r="D1218" s="110" t="inlineStr">
        <is>
          <t>Solon Araújo</t>
        </is>
      </c>
      <c r="E1218" s="110" t="n">
        <v>47</v>
      </c>
      <c r="F1218" s="110" t="n">
        <v>21.8129266055046</v>
      </c>
      <c r="G1218" s="110" t="n">
        <v>1025.20755</v>
      </c>
      <c r="H1218" s="110" t="inlineStr">
        <is>
          <t>Cálculo por número de funcionários ativos</t>
        </is>
      </c>
    </row>
    <row r="1219" ht="15" customHeight="1" s="64">
      <c r="A1219" s="110" t="inlineStr">
        <is>
          <t>JULHO/2026</t>
        </is>
      </c>
      <c r="B1219" s="110" t="inlineStr">
        <is>
          <t>Administrativo</t>
        </is>
      </c>
      <c r="C1219" s="110" t="inlineStr">
        <is>
          <t>Custo do departamento Administrativo</t>
        </is>
      </c>
      <c r="D1219" s="110" t="inlineStr">
        <is>
          <t>Soares e Lins</t>
        </is>
      </c>
      <c r="E1219" s="110" t="n">
        <v>11</v>
      </c>
      <c r="F1219" s="110" t="n">
        <v>21.8129266055046</v>
      </c>
      <c r="G1219" s="110" t="n">
        <v>239.942193</v>
      </c>
      <c r="H1219" s="110" t="inlineStr">
        <is>
          <t>Cálculo por número de funcionários ativos</t>
        </is>
      </c>
    </row>
    <row r="1220" ht="15" customHeight="1" s="64">
      <c r="A1220" s="110" t="inlineStr">
        <is>
          <t>JULHO/2026</t>
        </is>
      </c>
      <c r="B1220" s="110" t="inlineStr">
        <is>
          <t>Administrativo</t>
        </is>
      </c>
      <c r="C1220" s="110" t="inlineStr">
        <is>
          <t>Custo do departamento Administrativo</t>
        </is>
      </c>
      <c r="D1220" s="110" t="inlineStr">
        <is>
          <t>Soares e Silva</t>
        </is>
      </c>
      <c r="E1220" s="110" t="n">
        <v>50</v>
      </c>
      <c r="F1220" s="110" t="n">
        <v>21.8129266055046</v>
      </c>
      <c r="G1220" s="110" t="n">
        <v>1090.64633</v>
      </c>
      <c r="H1220" s="110" t="inlineStr">
        <is>
          <t>Cálculo por número de funcionários ativos</t>
        </is>
      </c>
    </row>
    <row r="1221" ht="15" customHeight="1" s="64">
      <c r="A1221" s="110" t="inlineStr">
        <is>
          <t>JULHO/2026</t>
        </is>
      </c>
      <c r="B1221" s="110" t="inlineStr">
        <is>
          <t>Administrativo</t>
        </is>
      </c>
      <c r="C1221" s="110" t="inlineStr">
        <is>
          <t>Custo do departamento Administrativo</t>
        </is>
      </c>
      <c r="D1221" s="110" t="inlineStr">
        <is>
          <t>Souza e Silva</t>
        </is>
      </c>
      <c r="E1221" s="110" t="n">
        <v>18</v>
      </c>
      <c r="F1221" s="110" t="n">
        <v>21.8129266055046</v>
      </c>
      <c r="G1221" s="110" t="n">
        <v>392.632679</v>
      </c>
      <c r="H1221" s="110" t="inlineStr">
        <is>
          <t>Cálculo por número de funcionários ativos</t>
        </is>
      </c>
    </row>
    <row r="1222" ht="15" customHeight="1" s="64">
      <c r="A1222" s="110" t="inlineStr">
        <is>
          <t>JULHO/2026</t>
        </is>
      </c>
      <c r="B1222" s="110" t="inlineStr">
        <is>
          <t>Administrativo</t>
        </is>
      </c>
      <c r="C1222" s="110" t="inlineStr">
        <is>
          <t>Custo do departamento Administrativo</t>
        </is>
      </c>
      <c r="D1222" s="110" t="inlineStr">
        <is>
          <t>Voicenet</t>
        </is>
      </c>
      <c r="E1222" s="110" t="n">
        <v>24</v>
      </c>
      <c r="F1222" s="110" t="n">
        <v>21.8129266055046</v>
      </c>
      <c r="G1222" s="110" t="n">
        <v>523.510239</v>
      </c>
      <c r="H1222" s="110" t="inlineStr">
        <is>
          <t>Cálculo por número de funcionários ativos</t>
        </is>
      </c>
    </row>
    <row r="1223" ht="15" customHeight="1" s="64">
      <c r="A1223" s="110" t="inlineStr">
        <is>
          <t>MAIO/2026</t>
        </is>
      </c>
      <c r="B1223" s="110" t="inlineStr">
        <is>
          <t>Administrativo</t>
        </is>
      </c>
      <c r="C1223" s="110" t="inlineStr">
        <is>
          <t>Reembolso por receita recebida</t>
        </is>
      </c>
      <c r="D1223" s="110" t="inlineStr">
        <is>
          <t>DX2</t>
        </is>
      </c>
      <c r="E1223" s="110" t="n">
        <v>1</v>
      </c>
      <c r="F1223" s="110" t="n">
        <v>32179.26</v>
      </c>
      <c r="G1223" s="110" t="n">
        <v>32179.26</v>
      </c>
      <c r="H1223" s="110" t="inlineStr">
        <is>
          <t>Taxa de administração de 6% e 1% de utilização da marca (7% sobre a receita recebida) — fonte: Base Geral 2026.xlsx</t>
        </is>
      </c>
    </row>
    <row r="1224" ht="15" customHeight="1" s="64">
      <c r="A1224" s="110" t="inlineStr">
        <is>
          <t>MAIO/2026</t>
        </is>
      </c>
      <c r="B1224" s="110" t="inlineStr">
        <is>
          <t>Administrativo</t>
        </is>
      </c>
      <c r="C1224" s="110" t="inlineStr">
        <is>
          <t>Reembolso por receita recebida</t>
        </is>
      </c>
      <c r="D1224" s="110" t="inlineStr">
        <is>
          <t>Soares e Lins</t>
        </is>
      </c>
      <c r="E1224" s="110" t="n">
        <v>1</v>
      </c>
      <c r="F1224" s="110" t="n">
        <v>18442.4</v>
      </c>
      <c r="G1224" s="110" t="n">
        <v>18442.4</v>
      </c>
      <c r="H1224" s="110" t="inlineStr">
        <is>
          <t>Taxa de administração de 6% e 1% de utilização da marca (7% sobre a receita recebida) — fonte: Base Geral 2026.xlsx</t>
        </is>
      </c>
    </row>
    <row r="1225" ht="15" customHeight="1" s="64">
      <c r="A1225" s="110" t="inlineStr">
        <is>
          <t>MAIO/2026</t>
        </is>
      </c>
      <c r="B1225" s="110" t="inlineStr">
        <is>
          <t>Administrativo</t>
        </is>
      </c>
      <c r="C1225" s="110" t="inlineStr">
        <is>
          <t>Reembolso por receita recebida</t>
        </is>
      </c>
      <c r="D1225" s="110" t="inlineStr">
        <is>
          <t>Soares e Silva</t>
        </is>
      </c>
      <c r="E1225" s="110" t="n">
        <v>1</v>
      </c>
      <c r="F1225" s="110" t="n">
        <v>38121.52</v>
      </c>
      <c r="G1225" s="110" t="n">
        <v>38121.52</v>
      </c>
      <c r="H1225" s="110" t="inlineStr">
        <is>
          <t>Taxa de administração de 6% e 1% de utilização da marca (7% sobre a receita recebida) — fonte: Base Geral 2026.xlsx</t>
        </is>
      </c>
    </row>
    <row r="1226" ht="15" customHeight="1" s="64">
      <c r="A1226" s="110" t="inlineStr">
        <is>
          <t>MAIO/2026</t>
        </is>
      </c>
      <c r="B1226" s="110" t="inlineStr">
        <is>
          <t>Administrativo</t>
        </is>
      </c>
      <c r="C1226" s="110" t="inlineStr">
        <is>
          <t>Reembolso por receita recebida</t>
        </is>
      </c>
      <c r="D1226" s="110" t="inlineStr">
        <is>
          <t>Solon Araújo</t>
        </is>
      </c>
      <c r="E1226" s="110" t="n">
        <v>1</v>
      </c>
      <c r="F1226" s="110" t="n">
        <v>81174.19</v>
      </c>
      <c r="G1226" s="110" t="n">
        <v>81174.19</v>
      </c>
      <c r="H1226" s="110" t="inlineStr">
        <is>
          <t>Taxa de administração de 6% e 1% de utilização da marca (7% sobre a receita recebida) — fonte: Base Geral 2026.xlsx</t>
        </is>
      </c>
    </row>
    <row r="1227" ht="15" customHeight="1" s="64">
      <c r="A1227" s="110" t="inlineStr">
        <is>
          <t>MAIO/2026</t>
        </is>
      </c>
      <c r="B1227" s="110" t="inlineStr">
        <is>
          <t>Administrativo</t>
        </is>
      </c>
      <c r="C1227" s="110" t="inlineStr">
        <is>
          <t>Reembolso por receita recebida</t>
        </is>
      </c>
      <c r="D1227" s="110" t="inlineStr">
        <is>
          <t>Souza e Silva</t>
        </is>
      </c>
      <c r="E1227" s="110" t="n">
        <v>1</v>
      </c>
      <c r="F1227" s="110" t="n">
        <v>24421.33</v>
      </c>
      <c r="G1227" s="110" t="n">
        <v>24421.33</v>
      </c>
      <c r="H1227" s="110" t="inlineStr">
        <is>
          <t>Taxa de administração de 6% e 1% de utilização da marca (7% sobre a receita recebida) — fonte: Base Geral 2026.xlsx</t>
        </is>
      </c>
    </row>
    <row r="1228" ht="15" customHeight="1" s="64">
      <c r="A1228" s="110" t="inlineStr">
        <is>
          <t>MAIO/2026</t>
        </is>
      </c>
      <c r="B1228" s="110" t="inlineStr">
        <is>
          <t>Administrativo</t>
        </is>
      </c>
      <c r="C1228" s="110" t="inlineStr">
        <is>
          <t>Reembolso por receita recebida</t>
        </is>
      </c>
      <c r="D1228" s="110" t="inlineStr">
        <is>
          <t>Voicenet</t>
        </is>
      </c>
      <c r="E1228" s="110" t="n">
        <v>1</v>
      </c>
      <c r="F1228" s="110" t="n">
        <v>29324.31</v>
      </c>
      <c r="G1228" s="110" t="n">
        <v>29324.31</v>
      </c>
      <c r="H1228" s="110" t="inlineStr">
        <is>
          <t>Taxa de administração de 6% e 1% de utilização da marca (7% sobre a receita recebida) — fonte: Base Geral 2026.xlsx</t>
        </is>
      </c>
    </row>
    <row r="1229" ht="15" customHeight="1" s="64">
      <c r="A1229" s="110" t="inlineStr">
        <is>
          <t>JUNHO/2026</t>
        </is>
      </c>
      <c r="B1229" s="110" t="inlineStr">
        <is>
          <t>Administrativo</t>
        </is>
      </c>
      <c r="C1229" s="110" t="inlineStr">
        <is>
          <t>Reembolso por receita recebida</t>
        </is>
      </c>
      <c r="D1229" s="110" t="inlineStr">
        <is>
          <t>DX2</t>
        </is>
      </c>
      <c r="E1229" s="110" t="n">
        <v>1</v>
      </c>
      <c r="F1229" s="110" t="n">
        <v>33737.43</v>
      </c>
      <c r="G1229" s="110" t="n">
        <v>33737.43</v>
      </c>
      <c r="H1229" s="110" t="inlineStr">
        <is>
          <t>Taxa de administração de 6% e 1% de utilização da marca (7% sobre a receita recebida) — fonte: Base Geral 2026.xlsx</t>
        </is>
      </c>
    </row>
    <row r="1230" ht="15" customHeight="1" s="64">
      <c r="A1230" s="110" t="inlineStr">
        <is>
          <t>JUNHO/2026</t>
        </is>
      </c>
      <c r="B1230" s="110" t="inlineStr">
        <is>
          <t>Administrativo</t>
        </is>
      </c>
      <c r="C1230" s="110" t="inlineStr">
        <is>
          <t>Reembolso por receita recebida</t>
        </is>
      </c>
      <c r="D1230" s="110" t="inlineStr">
        <is>
          <t>Soares e Lins</t>
        </is>
      </c>
      <c r="E1230" s="110" t="n">
        <v>1</v>
      </c>
      <c r="F1230" s="110" t="n">
        <v>20747.18</v>
      </c>
      <c r="G1230" s="110" t="n">
        <v>20747.18</v>
      </c>
      <c r="H1230" s="110" t="inlineStr">
        <is>
          <t>Taxa de administração de 6% e 1% de utilização da marca (7% sobre a receita recebida) — fonte: Base Geral 2026.xlsx</t>
        </is>
      </c>
    </row>
    <row r="1231" ht="15" customHeight="1" s="64">
      <c r="A1231" s="110" t="inlineStr">
        <is>
          <t>JUNHO/2026</t>
        </is>
      </c>
      <c r="B1231" s="110" t="inlineStr">
        <is>
          <t>Administrativo</t>
        </is>
      </c>
      <c r="C1231" s="110" t="inlineStr">
        <is>
          <t>Reembolso por receita recebida</t>
        </is>
      </c>
      <c r="D1231" s="110" t="inlineStr">
        <is>
          <t>Soares e Silva</t>
        </is>
      </c>
      <c r="E1231" s="110" t="n">
        <v>1</v>
      </c>
      <c r="F1231" s="110" t="n">
        <v>40834.77</v>
      </c>
      <c r="G1231" s="110" t="n">
        <v>40834.77</v>
      </c>
      <c r="H1231" s="110" t="inlineStr">
        <is>
          <t>Taxa de administração de 6% e 1% de utilização da marca (7% sobre a receita recebida) — fonte: Base Geral 2026.xlsx</t>
        </is>
      </c>
    </row>
    <row r="1232" ht="15" customHeight="1" s="64">
      <c r="A1232" s="110" t="inlineStr">
        <is>
          <t>JUNHO/2026</t>
        </is>
      </c>
      <c r="B1232" s="110" t="inlineStr">
        <is>
          <t>Administrativo</t>
        </is>
      </c>
      <c r="C1232" s="110" t="inlineStr">
        <is>
          <t>Reembolso por receita recebida</t>
        </is>
      </c>
      <c r="D1232" s="110" t="inlineStr">
        <is>
          <t>Solon Araújo</t>
        </is>
      </c>
      <c r="E1232" s="110" t="n">
        <v>1</v>
      </c>
      <c r="F1232" s="110" t="n">
        <v>88540.28999999999</v>
      </c>
      <c r="G1232" s="110" t="n">
        <v>88540.28999999999</v>
      </c>
      <c r="H1232" s="110" t="inlineStr">
        <is>
          <t>Taxa de administração de 6% e 1% de utilização da marca (7% sobre a receita recebida) — fonte: Base Geral 2026.xlsx</t>
        </is>
      </c>
    </row>
    <row r="1233" ht="15" customHeight="1" s="64">
      <c r="A1233" s="110" t="inlineStr">
        <is>
          <t>JUNHO/2026</t>
        </is>
      </c>
      <c r="B1233" s="110" t="inlineStr">
        <is>
          <t>Administrativo</t>
        </is>
      </c>
      <c r="C1233" s="110" t="inlineStr">
        <is>
          <t>Reembolso por receita recebida</t>
        </is>
      </c>
      <c r="D1233" s="110" t="inlineStr">
        <is>
          <t>Souza e Silva</t>
        </is>
      </c>
      <c r="E1233" s="110" t="n">
        <v>1</v>
      </c>
      <c r="F1233" s="110" t="n">
        <v>26681.82</v>
      </c>
      <c r="G1233" s="110" t="n">
        <v>26681.82</v>
      </c>
      <c r="H1233" s="110" t="inlineStr">
        <is>
          <t>Taxa de administração de 6% e 1% de utilização da marca (7% sobre a receita recebida) — fonte: Base Geral 2026.xlsx</t>
        </is>
      </c>
    </row>
    <row r="1234" ht="15" customHeight="1" s="64">
      <c r="A1234" s="110" t="inlineStr">
        <is>
          <t>JUNHO/2026</t>
        </is>
      </c>
      <c r="B1234" s="110" t="inlineStr">
        <is>
          <t>Administrativo</t>
        </is>
      </c>
      <c r="C1234" s="110" t="inlineStr">
        <is>
          <t>Reembolso por receita recebida</t>
        </is>
      </c>
      <c r="D1234" s="110" t="inlineStr">
        <is>
          <t>Voicenet</t>
        </is>
      </c>
      <c r="E1234" s="110" t="n">
        <v>1</v>
      </c>
      <c r="F1234" s="110" t="n">
        <v>31624.98</v>
      </c>
      <c r="G1234" s="110" t="n">
        <v>31624.98</v>
      </c>
      <c r="H1234" s="110" t="inlineStr">
        <is>
          <t>Taxa de administração de 6% e 1% de utilização da marca (7% sobre a receita recebida) — fonte: Base Geral 2026.xlsx</t>
        </is>
      </c>
    </row>
    <row r="1235" ht="15" customHeight="1" s="64">
      <c r="A1235" s="110" t="inlineStr">
        <is>
          <t>JULHO/2026</t>
        </is>
      </c>
      <c r="B1235" s="110" t="inlineStr">
        <is>
          <t>Administrativo</t>
        </is>
      </c>
      <c r="C1235" s="110" t="inlineStr">
        <is>
          <t>Reembolso por receita recebida</t>
        </is>
      </c>
      <c r="D1235" s="110" t="inlineStr">
        <is>
          <t>DX2</t>
        </is>
      </c>
      <c r="E1235" s="110" t="n">
        <v>1</v>
      </c>
      <c r="F1235" s="110" t="n">
        <v>37628.98</v>
      </c>
      <c r="G1235" s="110" t="n">
        <v>37628.98</v>
      </c>
      <c r="H1235" s="110" t="inlineStr">
        <is>
          <t>Taxa de administração de 6% e 1% de utilização da marca (7% sobre a receita recebida) — fonte: Base Geral 2026.xlsx</t>
        </is>
      </c>
    </row>
    <row r="1236" ht="15" customHeight="1" s="64">
      <c r="A1236" s="110" t="inlineStr">
        <is>
          <t>JULHO/2026</t>
        </is>
      </c>
      <c r="B1236" s="110" t="inlineStr">
        <is>
          <t>Administrativo</t>
        </is>
      </c>
      <c r="C1236" s="110" t="inlineStr">
        <is>
          <t>Reembolso por receita recebida</t>
        </is>
      </c>
      <c r="D1236" s="110" t="inlineStr">
        <is>
          <t>Soares e Lins</t>
        </is>
      </c>
      <c r="E1236" s="110" t="n">
        <v>1</v>
      </c>
      <c r="F1236" s="110" t="n">
        <v>21544.9</v>
      </c>
      <c r="G1236" s="110" t="n">
        <v>21544.9</v>
      </c>
      <c r="H1236" s="110" t="inlineStr">
        <is>
          <t>Taxa de administração de 6% e 1% de utilização da marca (7% sobre a receita recebida) — fonte: Base Geral 2026.xlsx</t>
        </is>
      </c>
    </row>
    <row r="1237" ht="15" customHeight="1" s="64">
      <c r="A1237" s="110" t="inlineStr">
        <is>
          <t>JULHO/2026</t>
        </is>
      </c>
      <c r="B1237" s="110" t="inlineStr">
        <is>
          <t>Administrativo</t>
        </is>
      </c>
      <c r="C1237" s="110" t="inlineStr">
        <is>
          <t>Reembolso por receita recebida</t>
        </is>
      </c>
      <c r="D1237" s="110" t="inlineStr">
        <is>
          <t>Soares e Silva</t>
        </is>
      </c>
      <c r="E1237" s="110" t="n">
        <v>1</v>
      </c>
      <c r="F1237" s="110" t="n">
        <v>41387.02</v>
      </c>
      <c r="G1237" s="110" t="n">
        <v>41387.02</v>
      </c>
      <c r="H1237" s="110" t="inlineStr">
        <is>
          <t>Taxa de administração de 6% e 1% de utilização da marca (7% sobre a receita recebida) — fonte: Base Geral 2026.xlsx</t>
        </is>
      </c>
    </row>
    <row r="1238" ht="15" customHeight="1" s="64">
      <c r="A1238" s="110" t="inlineStr">
        <is>
          <t>JULHO/2026</t>
        </is>
      </c>
      <c r="B1238" s="110" t="inlineStr">
        <is>
          <t>Administrativo</t>
        </is>
      </c>
      <c r="C1238" s="110" t="inlineStr">
        <is>
          <t>Reembolso por receita recebida</t>
        </is>
      </c>
      <c r="D1238" s="110" t="inlineStr">
        <is>
          <t>Solon Araújo</t>
        </is>
      </c>
      <c r="E1238" s="110" t="n">
        <v>1</v>
      </c>
      <c r="F1238" s="110" t="n">
        <v>90134.89</v>
      </c>
      <c r="G1238" s="110" t="n">
        <v>90134.89</v>
      </c>
      <c r="H1238" s="110" t="inlineStr">
        <is>
          <t>Taxa de administração de 6% e 1% de utilização da marca (7% sobre a receita recebida) — fonte: Base Geral 2026.xlsx</t>
        </is>
      </c>
    </row>
    <row r="1239" ht="15" customHeight="1" s="64">
      <c r="A1239" s="110" t="inlineStr">
        <is>
          <t>JULHO/2026</t>
        </is>
      </c>
      <c r="B1239" s="110" t="inlineStr">
        <is>
          <t>Administrativo</t>
        </is>
      </c>
      <c r="C1239" s="110" t="inlineStr">
        <is>
          <t>Reembolso por receita recebida</t>
        </is>
      </c>
      <c r="D1239" s="110" t="inlineStr">
        <is>
          <t>Souza e Silva</t>
        </is>
      </c>
      <c r="E1239" s="110" t="n">
        <v>1</v>
      </c>
      <c r="F1239" s="110" t="n">
        <v>26769.64</v>
      </c>
      <c r="G1239" s="110" t="n">
        <v>26769.64</v>
      </c>
      <c r="H1239" s="110" t="inlineStr">
        <is>
          <t>Taxa de administração de 6% e 1% de utilização da marca (7% sobre a receita recebida) — fonte: Base Geral 2026.xlsx</t>
        </is>
      </c>
    </row>
    <row r="1240" ht="15" customHeight="1" s="64">
      <c r="A1240" s="110" t="inlineStr">
        <is>
          <t>JULHO/2026</t>
        </is>
      </c>
      <c r="B1240" s="110" t="inlineStr">
        <is>
          <t>Administrativo</t>
        </is>
      </c>
      <c r="C1240" s="110" t="inlineStr">
        <is>
          <t>Reembolso por receita recebida</t>
        </is>
      </c>
      <c r="D1240" s="110" t="inlineStr">
        <is>
          <t>Voicenet</t>
        </is>
      </c>
      <c r="E1240" s="110" t="n">
        <v>1</v>
      </c>
      <c r="F1240" s="110" t="n">
        <v>31924.42</v>
      </c>
      <c r="G1240" s="110" t="n">
        <v>31924.42</v>
      </c>
      <c r="H1240" s="110" t="inlineStr">
        <is>
          <t>Taxa de administração de 6% e 1% de utilização da marca (7% sobre a receita recebida) — fonte: Base Geral 2026.xlsx</t>
        </is>
      </c>
    </row>
    <row r="1241" ht="15" customHeight="1" s="64">
      <c r="A1241" s="110" t="inlineStr">
        <is>
          <t>MAIO/2026</t>
        </is>
      </c>
      <c r="B1241" s="110" t="inlineStr">
        <is>
          <t>Controladoria</t>
        </is>
      </c>
      <c r="C1241" s="110" t="inlineStr">
        <is>
          <t>Controladoria</t>
        </is>
      </c>
      <c r="D1241" s="110" t="inlineStr">
        <is>
          <t>DX2</t>
        </is>
      </c>
      <c r="E1241" s="110" t="n">
        <v>6280</v>
      </c>
      <c r="F1241" s="110" t="n">
        <v>0.09508543964521469</v>
      </c>
      <c r="G1241" s="110" t="n">
        <v>597.136560971948</v>
      </c>
      <c r="H1241" s="110" t="inlineStr">
        <is>
          <t>Cálculo por número de clientes ativos</t>
        </is>
      </c>
    </row>
    <row r="1242" ht="15" customHeight="1" s="64">
      <c r="A1242" s="110" t="inlineStr">
        <is>
          <t>MAIO/2026</t>
        </is>
      </c>
      <c r="B1242" s="110" t="inlineStr">
        <is>
          <t>Controladoria</t>
        </is>
      </c>
      <c r="C1242" s="110" t="inlineStr">
        <is>
          <t>Controladoria</t>
        </is>
      </c>
      <c r="D1242" s="110" t="inlineStr">
        <is>
          <t>Solon Araújo</t>
        </is>
      </c>
      <c r="E1242" s="110" t="n">
        <v>14331</v>
      </c>
      <c r="F1242" s="110" t="n">
        <v>0.09508543964521469</v>
      </c>
      <c r="G1242" s="110" t="n">
        <v>1362.66943555557</v>
      </c>
      <c r="H1242" s="110" t="inlineStr">
        <is>
          <t>Cálculo por número de clientes ativos</t>
        </is>
      </c>
    </row>
    <row r="1243" ht="15" customHeight="1" s="64">
      <c r="A1243" s="110" t="inlineStr">
        <is>
          <t>MAIO/2026</t>
        </is>
      </c>
      <c r="B1243" s="110" t="inlineStr">
        <is>
          <t>Controladoria</t>
        </is>
      </c>
      <c r="C1243" s="110" t="inlineStr">
        <is>
          <t>Controladoria</t>
        </is>
      </c>
      <c r="D1243" s="110" t="inlineStr">
        <is>
          <t>Soares e Lins</t>
        </is>
      </c>
      <c r="E1243" s="110" t="n">
        <v>3650</v>
      </c>
      <c r="F1243" s="110" t="n">
        <v>0.09508543964521469</v>
      </c>
      <c r="G1243" s="110" t="n">
        <v>347.061854705034</v>
      </c>
      <c r="H1243" s="110" t="inlineStr">
        <is>
          <t>Cálculo por número de clientes ativos</t>
        </is>
      </c>
    </row>
    <row r="1244" ht="15" customHeight="1" s="64">
      <c r="A1244" s="110" t="inlineStr">
        <is>
          <t>MAIO/2026</t>
        </is>
      </c>
      <c r="B1244" s="110" t="inlineStr">
        <is>
          <t>Controladoria</t>
        </is>
      </c>
      <c r="C1244" s="110" t="inlineStr">
        <is>
          <t>Controladoria</t>
        </is>
      </c>
      <c r="D1244" s="110" t="inlineStr">
        <is>
          <t>Soares e Silva</t>
        </is>
      </c>
      <c r="E1244" s="110" t="n">
        <v>6396</v>
      </c>
      <c r="F1244" s="110" t="n">
        <v>0.09508543964521469</v>
      </c>
      <c r="G1244" s="110" t="n">
        <v>608.1664719707931</v>
      </c>
      <c r="H1244" s="110" t="inlineStr">
        <is>
          <t>Cálculo por número de clientes ativos</t>
        </is>
      </c>
    </row>
    <row r="1245" ht="15" customHeight="1" s="64">
      <c r="A1245" s="110" t="inlineStr">
        <is>
          <t>MAIO/2026</t>
        </is>
      </c>
      <c r="B1245" s="110" t="inlineStr">
        <is>
          <t>Controladoria</t>
        </is>
      </c>
      <c r="C1245" s="110" t="inlineStr">
        <is>
          <t>Controladoria</t>
        </is>
      </c>
      <c r="D1245" s="110" t="inlineStr">
        <is>
          <t>Souza e Silva</t>
        </is>
      </c>
      <c r="E1245" s="110" t="n">
        <v>4730</v>
      </c>
      <c r="F1245" s="110" t="n">
        <v>0.09508543964521469</v>
      </c>
      <c r="G1245" s="110" t="n">
        <v>449.754129521866</v>
      </c>
      <c r="H1245" s="110" t="inlineStr">
        <is>
          <t>Cálculo por número de clientes ativos</t>
        </is>
      </c>
    </row>
    <row r="1246" ht="15" customHeight="1" s="64">
      <c r="A1246" s="110" t="inlineStr">
        <is>
          <t>MAIO/2026</t>
        </is>
      </c>
      <c r="B1246" s="110" t="inlineStr">
        <is>
          <t>Controladoria</t>
        </is>
      </c>
      <c r="C1246" s="110" t="inlineStr">
        <is>
          <t>Controladoria</t>
        </is>
      </c>
      <c r="D1246" s="110" t="inlineStr">
        <is>
          <t>Voicenet</t>
        </is>
      </c>
      <c r="E1246" s="110" t="n">
        <v>4782</v>
      </c>
      <c r="F1246" s="110" t="n">
        <v>0.09508543964521469</v>
      </c>
      <c r="G1246" s="110" t="n">
        <v>454.698572383417</v>
      </c>
      <c r="H1246" s="110" t="inlineStr">
        <is>
          <t>Cálculo por número de clientes ativos</t>
        </is>
      </c>
    </row>
    <row r="1247" ht="15" customHeight="1" s="64">
      <c r="A1247" s="110" t="inlineStr">
        <is>
          <t>JUNHO/2026</t>
        </is>
      </c>
      <c r="B1247" s="110" t="inlineStr">
        <is>
          <t>Controladoria</t>
        </is>
      </c>
      <c r="C1247" s="110" t="inlineStr">
        <is>
          <t>Controladoria</t>
        </is>
      </c>
      <c r="D1247" s="110" t="inlineStr">
        <is>
          <t>DX2</t>
        </is>
      </c>
      <c r="E1247" s="110" t="n">
        <v>6445</v>
      </c>
      <c r="F1247" s="110" t="n">
        <v>0.09264797074567729</v>
      </c>
      <c r="G1247" s="110" t="n">
        <v>597.11617145589</v>
      </c>
      <c r="H1247" s="110" t="inlineStr">
        <is>
          <t>Cálculo por número de clientes ativos</t>
        </is>
      </c>
    </row>
    <row r="1248" ht="15" customHeight="1" s="64">
      <c r="A1248" s="110" t="inlineStr">
        <is>
          <t>JUNHO/2026</t>
        </is>
      </c>
      <c r="B1248" s="110" t="inlineStr">
        <is>
          <t>Controladoria</t>
        </is>
      </c>
      <c r="C1248" s="110" t="inlineStr">
        <is>
          <t>Controladoria</t>
        </is>
      </c>
      <c r="D1248" s="110" t="inlineStr">
        <is>
          <t>Solon Araújo</t>
        </is>
      </c>
      <c r="E1248" s="110" t="n">
        <v>14441</v>
      </c>
      <c r="F1248" s="110" t="n">
        <v>0.09264797074567729</v>
      </c>
      <c r="G1248" s="110" t="n">
        <v>1337.92934553833</v>
      </c>
      <c r="H1248" s="110" t="inlineStr">
        <is>
          <t>Cálculo por número de clientes ativos</t>
        </is>
      </c>
    </row>
    <row r="1249" ht="15" customHeight="1" s="64">
      <c r="A1249" s="110" t="inlineStr">
        <is>
          <t>JUNHO/2026</t>
        </is>
      </c>
      <c r="B1249" s="110" t="inlineStr">
        <is>
          <t>Controladoria</t>
        </is>
      </c>
      <c r="C1249" s="110" t="inlineStr">
        <is>
          <t>Controladoria</t>
        </is>
      </c>
      <c r="D1249" s="110" t="inlineStr">
        <is>
          <t>Soares e Lins</t>
        </is>
      </c>
      <c r="E1249" s="110" t="n">
        <v>3704</v>
      </c>
      <c r="F1249" s="110" t="n">
        <v>0.09264797074567729</v>
      </c>
      <c r="G1249" s="110" t="n">
        <v>343.168083641989</v>
      </c>
      <c r="H1249" s="110" t="inlineStr">
        <is>
          <t>Cálculo por número de clientes ativos</t>
        </is>
      </c>
    </row>
    <row r="1250" ht="15" customHeight="1" s="64">
      <c r="A1250" s="110" t="inlineStr">
        <is>
          <t>JUNHO/2026</t>
        </is>
      </c>
      <c r="B1250" s="110" t="inlineStr">
        <is>
          <t>Controladoria</t>
        </is>
      </c>
      <c r="C1250" s="110" t="inlineStr">
        <is>
          <t>Controladoria</t>
        </is>
      </c>
      <c r="D1250" s="110" t="inlineStr">
        <is>
          <t>Soares e Silva</t>
        </is>
      </c>
      <c r="E1250" s="110" t="n">
        <v>6434</v>
      </c>
      <c r="F1250" s="110" t="n">
        <v>0.09264797074567729</v>
      </c>
      <c r="G1250" s="110" t="n">
        <v>596.097043777688</v>
      </c>
      <c r="H1250" s="110" t="inlineStr">
        <is>
          <t>Cálculo por número de clientes ativos</t>
        </is>
      </c>
    </row>
    <row r="1251" ht="15" customHeight="1" s="64">
      <c r="A1251" s="110" t="inlineStr">
        <is>
          <t>JUNHO/2026</t>
        </is>
      </c>
      <c r="B1251" s="110" t="inlineStr">
        <is>
          <t>Controladoria</t>
        </is>
      </c>
      <c r="C1251" s="110" t="inlineStr">
        <is>
          <t>Controladoria</t>
        </is>
      </c>
      <c r="D1251" s="110" t="inlineStr">
        <is>
          <t>Souza e Silva</t>
        </is>
      </c>
      <c r="E1251" s="110" t="n">
        <v>4749</v>
      </c>
      <c r="F1251" s="110" t="n">
        <v>0.09264797074567729</v>
      </c>
      <c r="G1251" s="110" t="n">
        <v>439.985213071222</v>
      </c>
      <c r="H1251" s="110" t="inlineStr">
        <is>
          <t>Cálculo por número de clientes ativos</t>
        </is>
      </c>
    </row>
    <row r="1252" ht="15" customHeight="1" s="64">
      <c r="A1252" s="110" t="inlineStr">
        <is>
          <t>JUNHO/2026</t>
        </is>
      </c>
      <c r="B1252" s="110" t="inlineStr">
        <is>
          <t>Controladoria</t>
        </is>
      </c>
      <c r="C1252" s="110" t="inlineStr">
        <is>
          <t>Controladoria</t>
        </is>
      </c>
      <c r="D1252" s="110" t="inlineStr">
        <is>
          <t>Voicenet</t>
        </is>
      </c>
      <c r="E1252" s="110" t="n">
        <v>4795</v>
      </c>
      <c r="F1252" s="110" t="n">
        <v>0.09264797074567729</v>
      </c>
      <c r="G1252" s="110" t="n">
        <v>444.247019725523</v>
      </c>
      <c r="H1252" s="110" t="inlineStr">
        <is>
          <t>Cálculo por número de clientes ativos</t>
        </is>
      </c>
    </row>
    <row r="1253" ht="15" customHeight="1" s="64">
      <c r="A1253" s="110" t="inlineStr">
        <is>
          <t>JULHO/2026</t>
        </is>
      </c>
      <c r="B1253" s="110" t="inlineStr">
        <is>
          <t>Controladoria</t>
        </is>
      </c>
      <c r="C1253" s="110" t="inlineStr">
        <is>
          <t>Controladoria</t>
        </is>
      </c>
      <c r="D1253" s="110" t="inlineStr">
        <is>
          <t>DX2</t>
        </is>
      </c>
      <c r="E1253" s="110" t="n">
        <v>6588</v>
      </c>
      <c r="F1253" s="110" t="n">
        <v>0.0997407208857964</v>
      </c>
      <c r="G1253" s="110" t="n">
        <v>657.0918691956271</v>
      </c>
      <c r="H1253" s="110" t="inlineStr">
        <is>
          <t>Cálculo por número de clientes ativos</t>
        </is>
      </c>
    </row>
    <row r="1254" ht="15" customHeight="1" s="64">
      <c r="A1254" s="110" t="inlineStr">
        <is>
          <t>JULHO/2026</t>
        </is>
      </c>
      <c r="B1254" s="110" t="inlineStr">
        <is>
          <t>Controladoria</t>
        </is>
      </c>
      <c r="C1254" s="110" t="inlineStr">
        <is>
          <t>Controladoria</t>
        </is>
      </c>
      <c r="D1254" s="110" t="inlineStr">
        <is>
          <t>Solon Araújo</t>
        </is>
      </c>
      <c r="E1254" s="110" t="n">
        <v>14689</v>
      </c>
      <c r="F1254" s="110" t="n">
        <v>0.0997407208857964</v>
      </c>
      <c r="G1254" s="110" t="n">
        <v>1465.09144909146</v>
      </c>
      <c r="H1254" s="110" t="inlineStr">
        <is>
          <t>Cálculo por número de clientes ativos</t>
        </is>
      </c>
    </row>
    <row r="1255" ht="14.25" customHeight="1" s="64">
      <c r="A1255" s="110" t="inlineStr">
        <is>
          <t>JULHO/2026</t>
        </is>
      </c>
      <c r="B1255" s="110" t="inlineStr">
        <is>
          <t>Controladoria</t>
        </is>
      </c>
      <c r="C1255" s="110" t="inlineStr">
        <is>
          <t>Controladoria</t>
        </is>
      </c>
      <c r="D1255" s="110" t="inlineStr">
        <is>
          <t>Soares e Lins</t>
        </is>
      </c>
      <c r="E1255" s="110" t="n">
        <v>3765</v>
      </c>
      <c r="F1255" s="110" t="n">
        <v>0.0997407208857964</v>
      </c>
      <c r="G1255" s="110" t="n">
        <v>375.523814135023</v>
      </c>
      <c r="H1255" s="110" t="inlineStr">
        <is>
          <t>Cálculo por número de clientes ativos</t>
        </is>
      </c>
    </row>
    <row r="1256" ht="14.25" customHeight="1" s="64">
      <c r="A1256" s="110" t="inlineStr">
        <is>
          <t>JULHO/2026</t>
        </is>
      </c>
      <c r="B1256" s="110" t="inlineStr">
        <is>
          <t>Controladoria</t>
        </is>
      </c>
      <c r="C1256" s="110" t="inlineStr">
        <is>
          <t>Controladoria</t>
        </is>
      </c>
      <c r="D1256" s="110" t="inlineStr">
        <is>
          <t>Soares e Silva</t>
        </is>
      </c>
      <c r="E1256" s="110" t="n">
        <v>6568</v>
      </c>
      <c r="F1256" s="110" t="n">
        <v>0.0997407208857964</v>
      </c>
      <c r="G1256" s="110" t="n">
        <v>655.097054777911</v>
      </c>
      <c r="H1256" s="110" t="inlineStr">
        <is>
          <t>Cálculo por número de clientes ativos</t>
        </is>
      </c>
    </row>
    <row r="1257" ht="14.25" customHeight="1" s="64">
      <c r="A1257" s="110" t="inlineStr">
        <is>
          <t>JULHO/2026</t>
        </is>
      </c>
      <c r="B1257" s="110" t="inlineStr">
        <is>
          <t>Controladoria</t>
        </is>
      </c>
      <c r="C1257" s="110" t="inlineStr">
        <is>
          <t>Controladoria</t>
        </is>
      </c>
      <c r="D1257" s="110" t="inlineStr">
        <is>
          <t>Souza e Silva</t>
        </is>
      </c>
      <c r="E1257" s="110" t="n">
        <v>4805</v>
      </c>
      <c r="F1257" s="110" t="n">
        <v>0.0997407208857964</v>
      </c>
      <c r="G1257" s="110" t="n">
        <v>479.254163856252</v>
      </c>
      <c r="H1257" s="110" t="inlineStr">
        <is>
          <t>Cálculo por número de clientes ativos</t>
        </is>
      </c>
    </row>
    <row r="1258" ht="14.25" customHeight="1" s="64">
      <c r="A1258" s="110" t="inlineStr">
        <is>
          <t>JULHO/2026</t>
        </is>
      </c>
      <c r="B1258" s="110" t="inlineStr">
        <is>
          <t>Controladoria</t>
        </is>
      </c>
      <c r="C1258" s="110" t="inlineStr">
        <is>
          <t>Controladoria</t>
        </is>
      </c>
      <c r="D1258" s="110" t="inlineStr">
        <is>
          <t>Voicenet</t>
        </is>
      </c>
      <c r="E1258" s="110" t="n">
        <v>4806</v>
      </c>
      <c r="F1258" s="110" t="n">
        <v>0.0997407208857964</v>
      </c>
      <c r="G1258" s="110" t="n">
        <v>479.353904577138</v>
      </c>
      <c r="H1258" s="110" t="inlineStr">
        <is>
          <t>Cálculo por número de clientes ativos</t>
        </is>
      </c>
    </row>
    <row r="1259" ht="14.25" customHeight="1" s="64">
      <c r="A1259" s="110" t="inlineStr">
        <is>
          <t>AGOSTO/2026</t>
        </is>
      </c>
      <c r="B1259" s="110" t="inlineStr">
        <is>
          <t>Compras</t>
        </is>
      </c>
      <c r="C1259" s="110" t="inlineStr">
        <is>
          <t>Compras</t>
        </is>
      </c>
      <c r="D1259" s="110" t="inlineStr">
        <is>
          <t>DX2</t>
        </is>
      </c>
      <c r="E1259" s="110" t="n">
        <v>6647</v>
      </c>
      <c r="F1259" s="110" t="n">
        <v>0.128580108535781</v>
      </c>
      <c r="G1259" s="110" t="n">
        <v>854.6719814373359</v>
      </c>
      <c r="H1259" s="110" t="inlineStr">
        <is>
          <t>Cálculo por número de clientes ativos</t>
        </is>
      </c>
    </row>
    <row r="1260" ht="14.25" customHeight="1" s="64">
      <c r="A1260" s="110" t="inlineStr">
        <is>
          <t>AGOSTO/2026</t>
        </is>
      </c>
      <c r="B1260" s="110" t="inlineStr">
        <is>
          <t>Compras</t>
        </is>
      </c>
      <c r="C1260" s="110" t="inlineStr">
        <is>
          <t>Compras</t>
        </is>
      </c>
      <c r="D1260" s="110" t="inlineStr">
        <is>
          <t>Soares e Lins</t>
        </is>
      </c>
      <c r="E1260" s="110" t="n">
        <v>3735</v>
      </c>
      <c r="F1260" s="110" t="n">
        <v>0.128580108535781</v>
      </c>
      <c r="G1260" s="110" t="n">
        <v>480.246705381142</v>
      </c>
      <c r="H1260" s="110" t="inlineStr">
        <is>
          <t>Cálculo por número de clientes ativos</t>
        </is>
      </c>
    </row>
    <row r="1261" ht="14.25" customHeight="1" s="64">
      <c r="A1261" s="110" t="inlineStr">
        <is>
          <t>AGOSTO/2026</t>
        </is>
      </c>
      <c r="B1261" s="110" t="inlineStr">
        <is>
          <t>Compras</t>
        </is>
      </c>
      <c r="C1261" s="110" t="inlineStr">
        <is>
          <t>Compras</t>
        </is>
      </c>
      <c r="D1261" s="110" t="inlineStr">
        <is>
          <t>Soares e Silva</t>
        </is>
      </c>
      <c r="E1261" s="110" t="n">
        <v>6601</v>
      </c>
      <c r="F1261" s="110" t="n">
        <v>0.128580108535781</v>
      </c>
      <c r="G1261" s="110" t="n">
        <v>848.75729644469</v>
      </c>
      <c r="H1261" s="110" t="inlineStr">
        <is>
          <t>Cálculo por número de clientes ativos</t>
        </is>
      </c>
    </row>
    <row r="1262" ht="14.25" customHeight="1" s="64">
      <c r="A1262" s="110" t="inlineStr">
        <is>
          <t>AGOSTO/2026</t>
        </is>
      </c>
      <c r="B1262" s="110" t="inlineStr">
        <is>
          <t>Compras</t>
        </is>
      </c>
      <c r="C1262" s="110" t="inlineStr">
        <is>
          <t>Compras</t>
        </is>
      </c>
      <c r="D1262" s="110" t="inlineStr">
        <is>
          <t>Solon Araújo</t>
        </is>
      </c>
      <c r="E1262" s="110" t="n">
        <v>14697</v>
      </c>
      <c r="F1262" s="110" t="n">
        <v>0.128580108535781</v>
      </c>
      <c r="G1262" s="110" t="n">
        <v>1889.74185515037</v>
      </c>
      <c r="H1262" s="110" t="inlineStr">
        <is>
          <t>Cálculo por número de clientes ativos</t>
        </is>
      </c>
    </row>
    <row r="1263" ht="14.25" customHeight="1" s="64">
      <c r="A1263" s="110" t="inlineStr">
        <is>
          <t>AGOSTO/2026</t>
        </is>
      </c>
      <c r="B1263" s="110" t="inlineStr">
        <is>
          <t>Compras</t>
        </is>
      </c>
      <c r="C1263" s="110" t="inlineStr">
        <is>
          <t>Compras</t>
        </is>
      </c>
      <c r="D1263" s="110" t="inlineStr">
        <is>
          <t>Souza e Silva</t>
        </is>
      </c>
      <c r="E1263" s="110" t="n">
        <v>4789</v>
      </c>
      <c r="F1263" s="110" t="n">
        <v>0.128580108535781</v>
      </c>
      <c r="G1263" s="110" t="n">
        <v>615.770139777855</v>
      </c>
      <c r="H1263" s="110" t="inlineStr">
        <is>
          <t>Cálculo por número de clientes ativos</t>
        </is>
      </c>
    </row>
    <row r="1264" ht="14.25" customHeight="1" s="64">
      <c r="A1264" s="110" t="inlineStr">
        <is>
          <t>AGOSTO/2026</t>
        </is>
      </c>
      <c r="B1264" s="110" t="inlineStr">
        <is>
          <t>Compras</t>
        </is>
      </c>
      <c r="C1264" s="110" t="inlineStr">
        <is>
          <t>Compras</t>
        </is>
      </c>
      <c r="D1264" s="110" t="inlineStr">
        <is>
          <t>Voicenet</t>
        </is>
      </c>
      <c r="E1264" s="110" t="n">
        <v>4796</v>
      </c>
      <c r="F1264" s="110" t="n">
        <v>0.128580108535781</v>
      </c>
      <c r="G1264" s="110" t="n">
        <v>616.670200537606</v>
      </c>
      <c r="H1264" s="110" t="inlineStr">
        <is>
          <t>Cálculo por número de clientes ativos</t>
        </is>
      </c>
    </row>
    <row r="1265" ht="14.25" customHeight="1" s="64">
      <c r="A1265" s="110" t="inlineStr">
        <is>
          <t>AGOSTO/2026</t>
        </is>
      </c>
      <c r="B1265" s="110" t="inlineStr">
        <is>
          <t>NOC</t>
        </is>
      </c>
      <c r="C1265" s="110" t="inlineStr">
        <is>
          <t>NOC</t>
        </is>
      </c>
      <c r="D1265" s="110" t="inlineStr">
        <is>
          <t>DX2</t>
        </is>
      </c>
      <c r="E1265" s="110" t="n">
        <v>6647</v>
      </c>
      <c r="F1265" s="110" t="n">
        <v>0.217040117664959</v>
      </c>
      <c r="G1265" s="110" t="n">
        <v>1442.66566211898</v>
      </c>
      <c r="H1265" s="110" t="inlineStr">
        <is>
          <t>Cálculo por número de clientes ativos</t>
        </is>
      </c>
    </row>
    <row r="1266" ht="14.25" customHeight="1" s="64">
      <c r="A1266" s="110" t="inlineStr">
        <is>
          <t>AGOSTO/2026</t>
        </is>
      </c>
      <c r="B1266" s="110" t="inlineStr">
        <is>
          <t>NOC</t>
        </is>
      </c>
      <c r="C1266" s="110" t="inlineStr">
        <is>
          <t>NOC</t>
        </is>
      </c>
      <c r="D1266" s="110" t="inlineStr">
        <is>
          <t>H&amp;A</t>
        </is>
      </c>
      <c r="E1266" s="110" t="n">
        <v>13510</v>
      </c>
      <c r="F1266" s="110" t="n">
        <v>0.217040117664959</v>
      </c>
      <c r="G1266" s="110" t="n">
        <v>2932.2119896536</v>
      </c>
      <c r="H1266" s="110" t="inlineStr">
        <is>
          <t>Cálculo por número de clientes ativos</t>
        </is>
      </c>
    </row>
    <row r="1267" ht="14.25" customHeight="1" s="64">
      <c r="A1267" s="110" t="inlineStr">
        <is>
          <t>AGOSTO/2026</t>
        </is>
      </c>
      <c r="B1267" s="110" t="inlineStr">
        <is>
          <t>NOC</t>
        </is>
      </c>
      <c r="C1267" s="110" t="inlineStr">
        <is>
          <t>NOC</t>
        </is>
      </c>
      <c r="D1267" s="110" t="inlineStr">
        <is>
          <t>Soares e Lins</t>
        </is>
      </c>
      <c r="E1267" s="110" t="n">
        <v>3735</v>
      </c>
      <c r="F1267" s="110" t="n">
        <v>0.217040117664959</v>
      </c>
      <c r="G1267" s="110" t="n">
        <v>810.644839478622</v>
      </c>
      <c r="H1267" s="110" t="inlineStr">
        <is>
          <t>Cálculo por número de clientes ativos</t>
        </is>
      </c>
    </row>
    <row r="1268" ht="14.25" customHeight="1" s="64">
      <c r="A1268" s="110" t="inlineStr">
        <is>
          <t>AGOSTO/2026</t>
        </is>
      </c>
      <c r="B1268" s="110" t="inlineStr">
        <is>
          <t>NOC</t>
        </is>
      </c>
      <c r="C1268" s="110" t="inlineStr">
        <is>
          <t>NOC</t>
        </is>
      </c>
      <c r="D1268" s="110" t="inlineStr">
        <is>
          <t>Soares e Silva</t>
        </is>
      </c>
      <c r="E1268" s="110" t="n">
        <v>6601</v>
      </c>
      <c r="F1268" s="110" t="n">
        <v>0.217040117664959</v>
      </c>
      <c r="G1268" s="110" t="n">
        <v>1432.68181670639</v>
      </c>
      <c r="H1268" s="110" t="inlineStr">
        <is>
          <t>Cálculo por número de clientes ativos</t>
        </is>
      </c>
    </row>
    <row r="1269" ht="14.25" customHeight="1" s="64">
      <c r="A1269" s="110" t="inlineStr">
        <is>
          <t>AGOSTO/2026</t>
        </is>
      </c>
      <c r="B1269" s="110" t="inlineStr">
        <is>
          <t>NOC</t>
        </is>
      </c>
      <c r="C1269" s="110" t="inlineStr">
        <is>
          <t>NOC</t>
        </is>
      </c>
      <c r="D1269" s="110" t="inlineStr">
        <is>
          <t>Solon Araújo</t>
        </is>
      </c>
      <c r="E1269" s="110" t="n">
        <v>14697</v>
      </c>
      <c r="F1269" s="110" t="n">
        <v>0.217040117664959</v>
      </c>
      <c r="G1269" s="110" t="n">
        <v>3189.8386093219</v>
      </c>
      <c r="H1269" s="110" t="inlineStr">
        <is>
          <t>Cálculo por número de clientes ativos</t>
        </is>
      </c>
    </row>
    <row r="1270" ht="14.25" customHeight="1" s="64">
      <c r="A1270" s="110" t="inlineStr">
        <is>
          <t>AGOSTO/2026</t>
        </is>
      </c>
      <c r="B1270" s="110" t="inlineStr">
        <is>
          <t>NOC</t>
        </is>
      </c>
      <c r="C1270" s="110" t="inlineStr">
        <is>
          <t>NOC</t>
        </is>
      </c>
      <c r="D1270" s="110" t="inlineStr">
        <is>
          <t>Souza e Silva</t>
        </is>
      </c>
      <c r="E1270" s="110" t="n">
        <v>4789</v>
      </c>
      <c r="F1270" s="110" t="n">
        <v>0.217040117664959</v>
      </c>
      <c r="G1270" s="110" t="n">
        <v>1039.40512349749</v>
      </c>
      <c r="H1270" s="110" t="inlineStr">
        <is>
          <t>Cálculo por número de clientes ativos</t>
        </is>
      </c>
    </row>
    <row r="1271" ht="14.25" customHeight="1" s="64">
      <c r="A1271" s="110" t="inlineStr">
        <is>
          <t>AGOSTO/2026</t>
        </is>
      </c>
      <c r="B1271" s="110" t="inlineStr">
        <is>
          <t>NOC</t>
        </is>
      </c>
      <c r="C1271" s="110" t="inlineStr">
        <is>
          <t>NOC</t>
        </is>
      </c>
      <c r="D1271" s="110" t="inlineStr">
        <is>
          <t>Voicenet</t>
        </is>
      </c>
      <c r="E1271" s="110" t="n">
        <v>4796</v>
      </c>
      <c r="F1271" s="110" t="n">
        <v>0.217040117664959</v>
      </c>
      <c r="G1271" s="110" t="n">
        <v>1040.92440432114</v>
      </c>
      <c r="H1271" s="110" t="inlineStr">
        <is>
          <t>Cálculo por número de clientes ativos</t>
        </is>
      </c>
    </row>
    <row r="1272" ht="14.25" customHeight="1" s="64">
      <c r="A1272" s="110" t="inlineStr">
        <is>
          <t>AGOSTO/2026</t>
        </is>
      </c>
      <c r="B1272" s="110" t="inlineStr">
        <is>
          <t>Adm Qualidade</t>
        </is>
      </c>
      <c r="C1272" s="110" t="inlineStr">
        <is>
          <t>Qualidade</t>
        </is>
      </c>
      <c r="D1272" s="110" t="inlineStr">
        <is>
          <t>DX2</t>
        </is>
      </c>
      <c r="E1272" s="110" t="n">
        <v>6647</v>
      </c>
      <c r="F1272" s="110" t="n">
        <v>0.221064512856926</v>
      </c>
      <c r="G1272" s="110" t="n">
        <v>1469.41581695999</v>
      </c>
      <c r="H1272" s="110" t="inlineStr">
        <is>
          <t>Cálculo por número de clientes ativos</t>
        </is>
      </c>
    </row>
    <row r="1273" ht="14.25" customHeight="1" s="64">
      <c r="A1273" s="110" t="inlineStr">
        <is>
          <t>AGOSTO/2026</t>
        </is>
      </c>
      <c r="B1273" s="110" t="inlineStr">
        <is>
          <t>Adm Qualidade</t>
        </is>
      </c>
      <c r="C1273" s="110" t="inlineStr">
        <is>
          <t>Qualidade</t>
        </is>
      </c>
      <c r="D1273" s="110" t="inlineStr">
        <is>
          <t>H&amp;A</t>
        </is>
      </c>
      <c r="E1273" s="110" t="n">
        <v>13510</v>
      </c>
      <c r="F1273" s="110" t="n">
        <v>0.221064512856926</v>
      </c>
      <c r="G1273" s="110" t="n">
        <v>2986.58156869707</v>
      </c>
      <c r="H1273" s="110" t="inlineStr">
        <is>
          <t>Cálculo por número de clientes ativos</t>
        </is>
      </c>
    </row>
    <row r="1274" ht="14.25" customHeight="1" s="64">
      <c r="A1274" s="110" t="inlineStr">
        <is>
          <t>AGOSTO/2026</t>
        </is>
      </c>
      <c r="B1274" s="110" t="inlineStr">
        <is>
          <t>Adm Qualidade</t>
        </is>
      </c>
      <c r="C1274" s="110" t="inlineStr">
        <is>
          <t>Qualidade</t>
        </is>
      </c>
      <c r="D1274" s="110" t="inlineStr">
        <is>
          <t>Soares e Lins</t>
        </is>
      </c>
      <c r="E1274" s="110" t="n">
        <v>3735</v>
      </c>
      <c r="F1274" s="110" t="n">
        <v>0.221064512856926</v>
      </c>
      <c r="G1274" s="110" t="n">
        <v>825.675955520619</v>
      </c>
      <c r="H1274" s="110" t="inlineStr">
        <is>
          <t>Cálculo por número de clientes ativos</t>
        </is>
      </c>
    </row>
    <row r="1275" ht="14.25" customHeight="1" s="64">
      <c r="A1275" s="110" t="inlineStr">
        <is>
          <t>AGOSTO/2026</t>
        </is>
      </c>
      <c r="B1275" s="110" t="inlineStr">
        <is>
          <t>Adm Qualidade</t>
        </is>
      </c>
      <c r="C1275" s="110" t="inlineStr">
        <is>
          <t>Qualidade</t>
        </is>
      </c>
      <c r="D1275" s="110" t="inlineStr">
        <is>
          <t>Soares e Silva</t>
        </is>
      </c>
      <c r="E1275" s="110" t="n">
        <v>6601</v>
      </c>
      <c r="F1275" s="110" t="n">
        <v>0.221064512856926</v>
      </c>
      <c r="G1275" s="110" t="n">
        <v>1459.24684936857</v>
      </c>
      <c r="H1275" s="110" t="inlineStr">
        <is>
          <t>Cálculo por número de clientes ativos</t>
        </is>
      </c>
    </row>
    <row r="1276" ht="14.25" customHeight="1" s="64">
      <c r="A1276" s="110" t="inlineStr">
        <is>
          <t>AGOSTO/2026</t>
        </is>
      </c>
      <c r="B1276" s="110" t="inlineStr">
        <is>
          <t>Adm Qualidade</t>
        </is>
      </c>
      <c r="C1276" s="110" t="inlineStr">
        <is>
          <t>Qualidade</t>
        </is>
      </c>
      <c r="D1276" s="110" t="inlineStr">
        <is>
          <t>Solon Araújo</t>
        </is>
      </c>
      <c r="E1276" s="110" t="n">
        <v>14697</v>
      </c>
      <c r="F1276" s="110" t="n">
        <v>0.221064512856926</v>
      </c>
      <c r="G1276" s="110" t="n">
        <v>3248.98514545824</v>
      </c>
      <c r="H1276" s="110" t="inlineStr">
        <is>
          <t>Cálculo por número de clientes ativos</t>
        </is>
      </c>
    </row>
    <row r="1277" ht="14.25" customHeight="1" s="64">
      <c r="A1277" s="110" t="inlineStr">
        <is>
          <t>AGOSTO/2026</t>
        </is>
      </c>
      <c r="B1277" s="110" t="inlineStr">
        <is>
          <t>Adm Qualidade</t>
        </is>
      </c>
      <c r="C1277" s="110" t="inlineStr">
        <is>
          <t>Qualidade</t>
        </is>
      </c>
      <c r="D1277" s="110" t="inlineStr">
        <is>
          <t>Souza e Silva</t>
        </is>
      </c>
      <c r="E1277" s="110" t="n">
        <v>4789</v>
      </c>
      <c r="F1277" s="110" t="n">
        <v>0.221064512856926</v>
      </c>
      <c r="G1277" s="110" t="n">
        <v>1058.67795207182</v>
      </c>
      <c r="H1277" s="110" t="inlineStr">
        <is>
          <t>Cálculo por número de clientes ativos</t>
        </is>
      </c>
    </row>
    <row r="1278" ht="14.25" customHeight="1" s="64">
      <c r="A1278" s="110" t="inlineStr">
        <is>
          <t>AGOSTO/2026</t>
        </is>
      </c>
      <c r="B1278" s="110" t="inlineStr">
        <is>
          <t>Adm Qualidade</t>
        </is>
      </c>
      <c r="C1278" s="110" t="inlineStr">
        <is>
          <t>Qualidade</t>
        </is>
      </c>
      <c r="D1278" s="110" t="inlineStr">
        <is>
          <t>Voicenet</t>
        </is>
      </c>
      <c r="E1278" s="110" t="n">
        <v>4796</v>
      </c>
      <c r="F1278" s="110" t="n">
        <v>0.221064512856926</v>
      </c>
      <c r="G1278" s="110" t="n">
        <v>1060.22540366182</v>
      </c>
      <c r="H1278" s="110" t="inlineStr">
        <is>
          <t>Cálculo por número de clientes ativos</t>
        </is>
      </c>
    </row>
    <row r="1279" ht="14.25" customHeight="1" s="64">
      <c r="A1279" s="110" t="inlineStr">
        <is>
          <t>AGOSTO/2026</t>
        </is>
      </c>
      <c r="B1279" s="110" t="inlineStr">
        <is>
          <t>Fique Móvel</t>
        </is>
      </c>
      <c r="C1279" s="110" t="inlineStr">
        <is>
          <t>Fique Móvel</t>
        </is>
      </c>
      <c r="D1279" s="110" t="inlineStr">
        <is>
          <t>DX2</t>
        </is>
      </c>
      <c r="E1279" s="110" t="n">
        <v>6647</v>
      </c>
      <c r="F1279" s="110" t="n">
        <v>0.0738670690267282</v>
      </c>
      <c r="G1279" s="110" t="n">
        <v>490.994407820662</v>
      </c>
      <c r="H1279" s="110" t="inlineStr">
        <is>
          <t>Cálculo por número de clientes ativos</t>
        </is>
      </c>
    </row>
    <row r="1280" ht="14.25" customHeight="1" s="64">
      <c r="A1280" s="110" t="inlineStr">
        <is>
          <t>AGOSTO/2026</t>
        </is>
      </c>
      <c r="B1280" s="110" t="inlineStr">
        <is>
          <t>Fique Móvel</t>
        </is>
      </c>
      <c r="C1280" s="110" t="inlineStr">
        <is>
          <t>Fique Móvel</t>
        </is>
      </c>
      <c r="D1280" s="110" t="inlineStr">
        <is>
          <t>H&amp;A</t>
        </is>
      </c>
      <c r="E1280" s="110" t="n">
        <v>13510</v>
      </c>
      <c r="F1280" s="110" t="n">
        <v>0.0738670690267282</v>
      </c>
      <c r="G1280" s="110" t="n">
        <v>997.944102551098</v>
      </c>
      <c r="H1280" s="110" t="inlineStr">
        <is>
          <t>Cálculo por número de clientes ativos</t>
        </is>
      </c>
    </row>
    <row r="1281" ht="14.25" customHeight="1" s="64">
      <c r="A1281" s="110" t="inlineStr">
        <is>
          <t>AGOSTO/2026</t>
        </is>
      </c>
      <c r="B1281" s="110" t="inlineStr">
        <is>
          <t>Fique Móvel</t>
        </is>
      </c>
      <c r="C1281" s="110" t="inlineStr">
        <is>
          <t>Fique Móvel</t>
        </is>
      </c>
      <c r="D1281" s="110" t="inlineStr">
        <is>
          <t>Soares e Lins</t>
        </is>
      </c>
      <c r="E1281" s="110" t="n">
        <v>3735</v>
      </c>
      <c r="F1281" s="110" t="n">
        <v>0.0738670690267282</v>
      </c>
      <c r="G1281" s="110" t="n">
        <v>275.89350281483</v>
      </c>
      <c r="H1281" s="110" t="inlineStr">
        <is>
          <t>Cálculo por número de clientes ativos</t>
        </is>
      </c>
    </row>
    <row r="1282" ht="14.25" customHeight="1" s="64">
      <c r="A1282" s="110" t="inlineStr">
        <is>
          <t>AGOSTO/2026</t>
        </is>
      </c>
      <c r="B1282" s="110" t="inlineStr">
        <is>
          <t>Fique Móvel</t>
        </is>
      </c>
      <c r="C1282" s="110" t="inlineStr">
        <is>
          <t>Fique Móvel</t>
        </is>
      </c>
      <c r="D1282" s="110" t="inlineStr">
        <is>
          <t>Soares e Silva</t>
        </is>
      </c>
      <c r="E1282" s="110" t="n">
        <v>6601</v>
      </c>
      <c r="F1282" s="110" t="n">
        <v>0.0738670690267282</v>
      </c>
      <c r="G1282" s="110" t="n">
        <v>487.596522645433</v>
      </c>
      <c r="H1282" s="110" t="inlineStr">
        <is>
          <t>Cálculo por número de clientes ativos</t>
        </is>
      </c>
    </row>
    <row r="1283" ht="14.25" customHeight="1" s="64">
      <c r="A1283" s="110" t="inlineStr">
        <is>
          <t>AGOSTO/2026</t>
        </is>
      </c>
      <c r="B1283" s="110" t="inlineStr">
        <is>
          <t>Fique Móvel</t>
        </is>
      </c>
      <c r="C1283" s="110" t="inlineStr">
        <is>
          <t>Fique Móvel</t>
        </is>
      </c>
      <c r="D1283" s="110" t="inlineStr">
        <is>
          <t>Solon Araújo</t>
        </is>
      </c>
      <c r="E1283" s="110" t="n">
        <v>14697</v>
      </c>
      <c r="F1283" s="110" t="n">
        <v>0.0738670690267282</v>
      </c>
      <c r="G1283" s="110" t="n">
        <v>1085.62431348582</v>
      </c>
      <c r="H1283" s="110" t="inlineStr">
        <is>
          <t>Cálculo por número de clientes ativos</t>
        </is>
      </c>
    </row>
    <row r="1284" ht="14.25" customHeight="1" s="64">
      <c r="A1284" s="110" t="inlineStr">
        <is>
          <t>AGOSTO/2026</t>
        </is>
      </c>
      <c r="B1284" s="110" t="inlineStr">
        <is>
          <t>Fique Móvel</t>
        </is>
      </c>
      <c r="C1284" s="110" t="inlineStr">
        <is>
          <t>Fique Móvel</t>
        </is>
      </c>
      <c r="D1284" s="110" t="inlineStr">
        <is>
          <t>Souza e Silva</t>
        </is>
      </c>
      <c r="E1284" s="110" t="n">
        <v>4789</v>
      </c>
      <c r="F1284" s="110" t="n">
        <v>0.0738670690267282</v>
      </c>
      <c r="G1284" s="110" t="n">
        <v>353.749393569001</v>
      </c>
      <c r="H1284" s="110" t="inlineStr">
        <is>
          <t>Cálculo por número de clientes ativos</t>
        </is>
      </c>
    </row>
    <row r="1285" ht="14.25" customHeight="1" s="64">
      <c r="A1285" s="110" t="inlineStr">
        <is>
          <t>AGOSTO/2026</t>
        </is>
      </c>
      <c r="B1285" s="110" t="inlineStr">
        <is>
          <t>Fique Móvel</t>
        </is>
      </c>
      <c r="C1285" s="110" t="inlineStr">
        <is>
          <t>Fique Móvel</t>
        </is>
      </c>
      <c r="D1285" s="110" t="inlineStr">
        <is>
          <t>Voicenet</t>
        </is>
      </c>
      <c r="E1285" s="110" t="n">
        <v>4796</v>
      </c>
      <c r="F1285" s="110" t="n">
        <v>0.0738670690267282</v>
      </c>
      <c r="G1285" s="110" t="n">
        <v>354.266463052188</v>
      </c>
      <c r="H1285" s="110" t="inlineStr">
        <is>
          <t>Cálculo por número de clientes ativos</t>
        </is>
      </c>
    </row>
    <row r="1286" ht="14.25" customHeight="1" s="64">
      <c r="A1286" s="110" t="inlineStr">
        <is>
          <t>AGOSTO/2026</t>
        </is>
      </c>
      <c r="B1286" s="110" t="inlineStr">
        <is>
          <t>Marketing</t>
        </is>
      </c>
      <c r="C1286" s="110" t="inlineStr">
        <is>
          <t>Setor de Marketing</t>
        </is>
      </c>
      <c r="D1286" s="110" t="inlineStr">
        <is>
          <t>DX2</t>
        </is>
      </c>
      <c r="E1286" s="110" t="n">
        <v>6647</v>
      </c>
      <c r="F1286" s="110" t="n">
        <v>0.327862047978901</v>
      </c>
      <c r="G1286" s="110" t="n">
        <v>2179.29903291576</v>
      </c>
      <c r="H1286" s="110" t="inlineStr">
        <is>
          <t>Cálculo por número de clientes ativos</t>
        </is>
      </c>
    </row>
    <row r="1287" ht="14.25" customHeight="1" s="64">
      <c r="A1287" s="110" t="inlineStr">
        <is>
          <t>AGOSTO/2026</t>
        </is>
      </c>
      <c r="B1287" s="110" t="inlineStr">
        <is>
          <t>Marketing</t>
        </is>
      </c>
      <c r="C1287" s="110" t="inlineStr">
        <is>
          <t>Setor de Marketing</t>
        </is>
      </c>
      <c r="D1287" s="110" t="inlineStr">
        <is>
          <t>H&amp;A</t>
        </is>
      </c>
      <c r="E1287" s="110" t="n">
        <v>13510</v>
      </c>
      <c r="F1287" s="110" t="n">
        <v>0.327862047978901</v>
      </c>
      <c r="G1287" s="110" t="n">
        <v>4429.41626819495</v>
      </c>
      <c r="H1287" s="110" t="inlineStr">
        <is>
          <t>Cálculo por número de clientes ativos</t>
        </is>
      </c>
    </row>
    <row r="1288" ht="14.25" customHeight="1" s="64">
      <c r="A1288" s="110" t="inlineStr">
        <is>
          <t>AGOSTO/2026</t>
        </is>
      </c>
      <c r="B1288" s="110" t="inlineStr">
        <is>
          <t>Marketing</t>
        </is>
      </c>
      <c r="C1288" s="110" t="inlineStr">
        <is>
          <t>Setor de Marketing</t>
        </is>
      </c>
      <c r="D1288" s="110" t="inlineStr">
        <is>
          <t>Soares e Lins</t>
        </is>
      </c>
      <c r="E1288" s="110" t="n">
        <v>3735</v>
      </c>
      <c r="F1288" s="110" t="n">
        <v>0.327862047978901</v>
      </c>
      <c r="G1288" s="110" t="n">
        <v>1224.5647492012</v>
      </c>
      <c r="H1288" s="110" t="inlineStr">
        <is>
          <t>Cálculo por número de clientes ativos</t>
        </is>
      </c>
    </row>
    <row r="1289" ht="14.25" customHeight="1" s="64">
      <c r="A1289" s="110" t="inlineStr">
        <is>
          <t>AGOSTO/2026</t>
        </is>
      </c>
      <c r="B1289" s="110" t="inlineStr">
        <is>
          <t>Marketing</t>
        </is>
      </c>
      <c r="C1289" s="110" t="inlineStr">
        <is>
          <t>Setor de Marketing</t>
        </is>
      </c>
      <c r="D1289" s="110" t="inlineStr">
        <is>
          <t>Soares e Silva</t>
        </is>
      </c>
      <c r="E1289" s="110" t="n">
        <v>6601</v>
      </c>
      <c r="F1289" s="110" t="n">
        <v>0.327862047978901</v>
      </c>
      <c r="G1289" s="110" t="n">
        <v>2164.21737870873</v>
      </c>
      <c r="H1289" s="110" t="inlineStr">
        <is>
          <t>Cálculo por número de clientes ativos</t>
        </is>
      </c>
    </row>
    <row r="1290" ht="14.25" customHeight="1" s="64">
      <c r="A1290" s="110" t="inlineStr">
        <is>
          <t>AGOSTO/2026</t>
        </is>
      </c>
      <c r="B1290" s="110" t="inlineStr">
        <is>
          <t>Marketing</t>
        </is>
      </c>
      <c r="C1290" s="110" t="inlineStr">
        <is>
          <t>Setor de Marketing</t>
        </is>
      </c>
      <c r="D1290" s="110" t="inlineStr">
        <is>
          <t>Solon Araújo</t>
        </is>
      </c>
      <c r="E1290" s="110" t="n">
        <v>14697</v>
      </c>
      <c r="F1290" s="110" t="n">
        <v>0.327862047978901</v>
      </c>
      <c r="G1290" s="110" t="n">
        <v>4818.58851914591</v>
      </c>
      <c r="H1290" s="110" t="inlineStr">
        <is>
          <t>Cálculo por número de clientes ativos</t>
        </is>
      </c>
    </row>
    <row r="1291" ht="14.25" customHeight="1" s="64">
      <c r="A1291" s="110" t="inlineStr">
        <is>
          <t>AGOSTO/2026</t>
        </is>
      </c>
      <c r="B1291" s="110" t="inlineStr">
        <is>
          <t>Marketing</t>
        </is>
      </c>
      <c r="C1291" s="110" t="inlineStr">
        <is>
          <t>Setor de Marketing</t>
        </is>
      </c>
      <c r="D1291" s="110" t="inlineStr">
        <is>
          <t>Souza e Silva</t>
        </is>
      </c>
      <c r="E1291" s="110" t="n">
        <v>4789</v>
      </c>
      <c r="F1291" s="110" t="n">
        <v>0.327862047978901</v>
      </c>
      <c r="G1291" s="110" t="n">
        <v>1570.13134777096</v>
      </c>
      <c r="H1291" s="110" t="inlineStr">
        <is>
          <t>Cálculo por número de clientes ativos</t>
        </is>
      </c>
    </row>
    <row r="1292" ht="14.25" customHeight="1" s="64">
      <c r="A1292" s="110" t="inlineStr">
        <is>
          <t>AGOSTO/2026</t>
        </is>
      </c>
      <c r="B1292" s="110" t="inlineStr">
        <is>
          <t>Marketing</t>
        </is>
      </c>
      <c r="C1292" s="110" t="inlineStr">
        <is>
          <t>Setor de Marketing</t>
        </is>
      </c>
      <c r="D1292" s="110" t="inlineStr">
        <is>
          <t>Voicenet</t>
        </is>
      </c>
      <c r="E1292" s="110" t="n">
        <v>4796</v>
      </c>
      <c r="F1292" s="110" t="n">
        <v>0.327862047978901</v>
      </c>
      <c r="G1292" s="110" t="n">
        <v>1572.42638210681</v>
      </c>
      <c r="H1292" s="110" t="inlineStr">
        <is>
          <t>Cálculo por número de clientes ativos</t>
        </is>
      </c>
    </row>
    <row r="1293" ht="14.25" customHeight="1" s="64">
      <c r="A1293" s="110" t="inlineStr">
        <is>
          <t>AGOSTO/2026</t>
        </is>
      </c>
      <c r="B1293" s="110" t="inlineStr">
        <is>
          <t>TIC</t>
        </is>
      </c>
      <c r="C1293" s="110" t="inlineStr">
        <is>
          <t>Setor de TIC</t>
        </is>
      </c>
      <c r="D1293" s="110" t="inlineStr">
        <is>
          <t>DX2</t>
        </is>
      </c>
      <c r="E1293" s="110" t="n">
        <v>6647</v>
      </c>
      <c r="F1293" s="110" t="n">
        <v>0.181988487092357</v>
      </c>
      <c r="G1293" s="110" t="n">
        <v>1209.6774737029</v>
      </c>
      <c r="H1293" s="110" t="inlineStr">
        <is>
          <t>Cálculo por número de clientes ativos</t>
        </is>
      </c>
    </row>
    <row r="1294" ht="14.25" customHeight="1" s="64">
      <c r="A1294" s="110" t="inlineStr">
        <is>
          <t>AGOSTO/2026</t>
        </is>
      </c>
      <c r="B1294" s="110" t="inlineStr">
        <is>
          <t>TIC</t>
        </is>
      </c>
      <c r="C1294" s="110" t="inlineStr">
        <is>
          <t>Setor de TIC</t>
        </is>
      </c>
      <c r="D1294" s="110" t="inlineStr">
        <is>
          <t>Soares e Lins</t>
        </is>
      </c>
      <c r="E1294" s="110" t="n">
        <v>3735</v>
      </c>
      <c r="F1294" s="110" t="n">
        <v>0.181988487092357</v>
      </c>
      <c r="G1294" s="110" t="n">
        <v>679.726999289953</v>
      </c>
      <c r="H1294" s="110" t="inlineStr">
        <is>
          <t>Cálculo por número de clientes ativos</t>
        </is>
      </c>
    </row>
    <row r="1295" ht="14.25" customHeight="1" s="64">
      <c r="A1295" s="110" t="inlineStr">
        <is>
          <t>AGOSTO/2026</t>
        </is>
      </c>
      <c r="B1295" s="110" t="inlineStr">
        <is>
          <t>TIC</t>
        </is>
      </c>
      <c r="C1295" s="110" t="inlineStr">
        <is>
          <t>Setor de TIC</t>
        </is>
      </c>
      <c r="D1295" s="110" t="inlineStr">
        <is>
          <t>Soares e Silva</t>
        </is>
      </c>
      <c r="E1295" s="110" t="n">
        <v>6601</v>
      </c>
      <c r="F1295" s="110" t="n">
        <v>0.181988487092357</v>
      </c>
      <c r="G1295" s="110" t="n">
        <v>1201.30600329665</v>
      </c>
      <c r="H1295" s="110" t="inlineStr">
        <is>
          <t>Cálculo por número de clientes ativos</t>
        </is>
      </c>
    </row>
    <row r="1296" ht="14.25" customHeight="1" s="64">
      <c r="A1296" s="110" t="inlineStr">
        <is>
          <t>AGOSTO/2026</t>
        </is>
      </c>
      <c r="B1296" s="110" t="inlineStr">
        <is>
          <t>TIC</t>
        </is>
      </c>
      <c r="C1296" s="110" t="inlineStr">
        <is>
          <t>Setor de TIC</t>
        </is>
      </c>
      <c r="D1296" s="110" t="inlineStr">
        <is>
          <t>Solon Araújo</t>
        </is>
      </c>
      <c r="E1296" s="110" t="n">
        <v>14697</v>
      </c>
      <c r="F1296" s="110" t="n">
        <v>0.181988487092357</v>
      </c>
      <c r="G1296" s="110" t="n">
        <v>2674.68479479637</v>
      </c>
      <c r="H1296" s="110" t="inlineStr">
        <is>
          <t>Cálculo por número de clientes ativos</t>
        </is>
      </c>
    </row>
    <row r="1297" ht="14.25" customHeight="1" s="64">
      <c r="A1297" s="110" t="inlineStr">
        <is>
          <t>AGOSTO/2026</t>
        </is>
      </c>
      <c r="B1297" s="110" t="inlineStr">
        <is>
          <t>TIC</t>
        </is>
      </c>
      <c r="C1297" s="110" t="inlineStr">
        <is>
          <t>Setor de TIC</t>
        </is>
      </c>
      <c r="D1297" s="110" t="inlineStr">
        <is>
          <t>Souza e Silva</t>
        </is>
      </c>
      <c r="E1297" s="110" t="n">
        <v>4789</v>
      </c>
      <c r="F1297" s="110" t="n">
        <v>0.181988487092357</v>
      </c>
      <c r="G1297" s="110" t="n">
        <v>871.542864685298</v>
      </c>
      <c r="H1297" s="110" t="inlineStr">
        <is>
          <t>Cálculo por número de clientes ativos</t>
        </is>
      </c>
    </row>
    <row r="1298" ht="14.25" customHeight="1" s="64">
      <c r="A1298" s="110" t="inlineStr">
        <is>
          <t>AGOSTO/2026</t>
        </is>
      </c>
      <c r="B1298" s="110" t="inlineStr">
        <is>
          <t>TIC</t>
        </is>
      </c>
      <c r="C1298" s="110" t="inlineStr">
        <is>
          <t>Setor de TIC</t>
        </is>
      </c>
      <c r="D1298" s="110" t="inlineStr">
        <is>
          <t>Voicenet</t>
        </is>
      </c>
      <c r="E1298" s="110" t="n">
        <v>4796</v>
      </c>
      <c r="F1298" s="110" t="n">
        <v>0.181988487092357</v>
      </c>
      <c r="G1298" s="110" t="n">
        <v>872.816784094944</v>
      </c>
      <c r="H1298" s="110" t="inlineStr">
        <is>
          <t>Cálculo por número de clientes ativos</t>
        </is>
      </c>
    </row>
    <row r="1299" ht="14.25" customHeight="1" s="64">
      <c r="A1299" s="110" t="inlineStr">
        <is>
          <t>AGOSTO/2026</t>
        </is>
      </c>
      <c r="B1299" s="110" t="inlineStr">
        <is>
          <t>CAC</t>
        </is>
      </c>
      <c r="C1299" s="110" t="inlineStr">
        <is>
          <t>CAC</t>
        </is>
      </c>
      <c r="D1299" s="110" t="inlineStr">
        <is>
          <t>DX2</t>
        </is>
      </c>
      <c r="E1299" s="110" t="n">
        <v>6647</v>
      </c>
      <c r="F1299" s="110" t="n">
        <v>0.116105036263123</v>
      </c>
      <c r="G1299" s="110" t="n">
        <v>771.750176040979</v>
      </c>
      <c r="H1299" s="110" t="inlineStr">
        <is>
          <t>Cálculo por número de clientes ativos</t>
        </is>
      </c>
    </row>
    <row r="1300" ht="14.25" customHeight="1" s="64">
      <c r="A1300" s="110" t="inlineStr">
        <is>
          <t>AGOSTO/2026</t>
        </is>
      </c>
      <c r="B1300" s="110" t="inlineStr">
        <is>
          <t>CAC</t>
        </is>
      </c>
      <c r="C1300" s="110" t="inlineStr">
        <is>
          <t>CAC</t>
        </is>
      </c>
      <c r="D1300" s="110" t="inlineStr">
        <is>
          <t>Soares e Lins</t>
        </is>
      </c>
      <c r="E1300" s="110" t="n">
        <v>3735</v>
      </c>
      <c r="F1300" s="110" t="n">
        <v>0.116105036263123</v>
      </c>
      <c r="G1300" s="110" t="n">
        <v>433.652310442764</v>
      </c>
      <c r="H1300" s="110" t="inlineStr">
        <is>
          <t>Cálculo por número de clientes ativos</t>
        </is>
      </c>
    </row>
    <row r="1301" ht="14.25" customHeight="1" s="64">
      <c r="A1301" s="110" t="inlineStr">
        <is>
          <t>AGOSTO/2026</t>
        </is>
      </c>
      <c r="B1301" s="110" t="inlineStr">
        <is>
          <t>CAC</t>
        </is>
      </c>
      <c r="C1301" s="110" t="inlineStr">
        <is>
          <t>CAC</t>
        </is>
      </c>
      <c r="D1301" s="110" t="inlineStr">
        <is>
          <t>Soares e Silva</t>
        </is>
      </c>
      <c r="E1301" s="110" t="n">
        <v>6601</v>
      </c>
      <c r="F1301" s="110" t="n">
        <v>0.116105036263123</v>
      </c>
      <c r="G1301" s="110" t="n">
        <v>766.409344372875</v>
      </c>
      <c r="H1301" s="110" t="inlineStr">
        <is>
          <t>Cálculo por número de clientes ativos</t>
        </is>
      </c>
    </row>
    <row r="1302" ht="14.25" customHeight="1" s="64">
      <c r="A1302" s="110" t="inlineStr">
        <is>
          <t>AGOSTO/2026</t>
        </is>
      </c>
      <c r="B1302" s="110" t="inlineStr">
        <is>
          <t>CAC</t>
        </is>
      </c>
      <c r="C1302" s="110" t="inlineStr">
        <is>
          <t>CAC</t>
        </is>
      </c>
      <c r="D1302" s="110" t="inlineStr">
        <is>
          <t>Solon Araújo</t>
        </is>
      </c>
      <c r="E1302" s="110" t="n">
        <v>14697</v>
      </c>
      <c r="F1302" s="110" t="n">
        <v>0.116105036263123</v>
      </c>
      <c r="G1302" s="110" t="n">
        <v>1706.39571795912</v>
      </c>
      <c r="H1302" s="110" t="inlineStr">
        <is>
          <t>Cálculo por número de clientes ativos</t>
        </is>
      </c>
    </row>
    <row r="1303" ht="14.25" customHeight="1" s="64">
      <c r="A1303" s="110" t="inlineStr">
        <is>
          <t>AGOSTO/2026</t>
        </is>
      </c>
      <c r="B1303" s="110" t="inlineStr">
        <is>
          <t>CAC</t>
        </is>
      </c>
      <c r="C1303" s="110" t="inlineStr">
        <is>
          <t>CAC</t>
        </is>
      </c>
      <c r="D1303" s="110" t="inlineStr">
        <is>
          <t>Souza e Silva</t>
        </is>
      </c>
      <c r="E1303" s="110" t="n">
        <v>4789</v>
      </c>
      <c r="F1303" s="110" t="n">
        <v>0.116105036263123</v>
      </c>
      <c r="G1303" s="110" t="n">
        <v>556.027018664096</v>
      </c>
      <c r="H1303" s="110" t="inlineStr">
        <is>
          <t>Cálculo por número de clientes ativos</t>
        </is>
      </c>
    </row>
    <row r="1304" ht="14.25" customHeight="1" s="64">
      <c r="A1304" s="110" t="inlineStr">
        <is>
          <t>AGOSTO/2026</t>
        </is>
      </c>
      <c r="B1304" s="110" t="inlineStr">
        <is>
          <t>CAC</t>
        </is>
      </c>
      <c r="C1304" s="110" t="inlineStr">
        <is>
          <t>CAC</t>
        </is>
      </c>
      <c r="D1304" s="110" t="inlineStr">
        <is>
          <t>Voicenet</t>
        </is>
      </c>
      <c r="E1304" s="110" t="n">
        <v>4796</v>
      </c>
      <c r="F1304" s="110" t="n">
        <v>0.116105036263123</v>
      </c>
      <c r="G1304" s="110" t="n">
        <v>556.839753917938</v>
      </c>
      <c r="H1304" s="110" t="inlineStr">
        <is>
          <t>Cálculo por número de clientes ativos</t>
        </is>
      </c>
    </row>
    <row r="1305" ht="14.25" customHeight="1" s="64">
      <c r="A1305" s="110" t="inlineStr">
        <is>
          <t>AGOSTO/2026</t>
        </is>
      </c>
      <c r="B1305" s="110" t="inlineStr">
        <is>
          <t>COE</t>
        </is>
      </c>
      <c r="C1305" s="110" t="inlineStr">
        <is>
          <t>Serviços do C.O.E distribuição de serviços</t>
        </is>
      </c>
      <c r="D1305" s="110" t="inlineStr">
        <is>
          <t>Soares e Lins</t>
        </is>
      </c>
      <c r="E1305" s="110" t="n">
        <v>3735</v>
      </c>
      <c r="F1305" s="110" t="n">
        <v>0.369409088603743</v>
      </c>
      <c r="G1305" s="110" t="n">
        <v>1379.74294593498</v>
      </c>
      <c r="H1305" s="110" t="inlineStr">
        <is>
          <t>Cálculo por número de clientes ativos</t>
        </is>
      </c>
    </row>
    <row r="1306" ht="14.25" customHeight="1" s="64">
      <c r="A1306" s="110" t="inlineStr">
        <is>
          <t>AGOSTO/2026</t>
        </is>
      </c>
      <c r="B1306" s="110" t="inlineStr">
        <is>
          <t>COE</t>
        </is>
      </c>
      <c r="C1306" s="110" t="inlineStr">
        <is>
          <t>Serviços do C.O.E distribuição de serviços</t>
        </is>
      </c>
      <c r="D1306" s="110" t="inlineStr">
        <is>
          <t>Solon Araújo</t>
        </is>
      </c>
      <c r="E1306" s="110" t="n">
        <v>14697</v>
      </c>
      <c r="F1306" s="110" t="n">
        <v>0.369409088603743</v>
      </c>
      <c r="G1306" s="110" t="n">
        <v>5429.20537520921</v>
      </c>
      <c r="H1306" s="110" t="inlineStr">
        <is>
          <t>Cálculo por número de clientes ativos</t>
        </is>
      </c>
    </row>
    <row r="1307" ht="14.25" customHeight="1" s="64">
      <c r="A1307" s="110" t="inlineStr">
        <is>
          <t>AGOSTO/2026</t>
        </is>
      </c>
      <c r="B1307" s="110" t="inlineStr">
        <is>
          <t>COE</t>
        </is>
      </c>
      <c r="C1307" s="110" t="inlineStr">
        <is>
          <t>Serviços do C.O.E distribuição de serviços</t>
        </is>
      </c>
      <c r="D1307" s="110" t="inlineStr">
        <is>
          <t>Voicenet</t>
        </is>
      </c>
      <c r="E1307" s="110" t="n">
        <v>4796</v>
      </c>
      <c r="F1307" s="110" t="n">
        <v>0.369409088603743</v>
      </c>
      <c r="G1307" s="110" t="n">
        <v>1771.68598894355</v>
      </c>
      <c r="H1307" s="110" t="inlineStr">
        <is>
          <t>Cálculo por número de clientes ativos</t>
        </is>
      </c>
    </row>
    <row r="1308" ht="14.25" customHeight="1" s="64">
      <c r="A1308" s="110" t="inlineStr">
        <is>
          <t>AGOSTO/2026</t>
        </is>
      </c>
      <c r="B1308" s="110" t="inlineStr">
        <is>
          <t>Configuração</t>
        </is>
      </c>
      <c r="C1308" s="110" t="inlineStr">
        <is>
          <t>Serviços de configuração e suporte ao Técnico</t>
        </is>
      </c>
      <c r="D1308" s="110" t="inlineStr">
        <is>
          <t>DX2</t>
        </is>
      </c>
      <c r="E1308" s="110" t="n">
        <v>6647</v>
      </c>
      <c r="F1308" s="110" t="n">
        <v>0.237713191662018</v>
      </c>
      <c r="G1308" s="110" t="n">
        <v>1580.07958497743</v>
      </c>
      <c r="H1308" s="110" t="inlineStr">
        <is>
          <t>Cálculo por número de clientes ativos</t>
        </is>
      </c>
    </row>
    <row r="1309" ht="14.25" customHeight="1" s="64">
      <c r="A1309" s="110" t="inlineStr">
        <is>
          <t>AGOSTO/2026</t>
        </is>
      </c>
      <c r="B1309" s="110" t="inlineStr">
        <is>
          <t>Configuração</t>
        </is>
      </c>
      <c r="C1309" s="110" t="inlineStr">
        <is>
          <t>Serviços de configuração e suporte ao Técnico</t>
        </is>
      </c>
      <c r="D1309" s="110" t="inlineStr">
        <is>
          <t>H&amp;A</t>
        </is>
      </c>
      <c r="E1309" s="110" t="n">
        <v>13510</v>
      </c>
      <c r="F1309" s="110" t="n">
        <v>0.237713191662018</v>
      </c>
      <c r="G1309" s="110" t="n">
        <v>3211.50521935386</v>
      </c>
      <c r="H1309" s="110" t="inlineStr">
        <is>
          <t>Cálculo por número de clientes ativos</t>
        </is>
      </c>
    </row>
    <row r="1310" ht="14.25" customHeight="1" s="64">
      <c r="A1310" s="110" t="inlineStr">
        <is>
          <t>AGOSTO/2026</t>
        </is>
      </c>
      <c r="B1310" s="110" t="inlineStr">
        <is>
          <t>Configuração</t>
        </is>
      </c>
      <c r="C1310" s="110" t="inlineStr">
        <is>
          <t>Serviços de configuração e suporte ao Técnico</t>
        </is>
      </c>
      <c r="D1310" s="110" t="inlineStr">
        <is>
          <t>Soares e Lins</t>
        </is>
      </c>
      <c r="E1310" s="110" t="n">
        <v>3735</v>
      </c>
      <c r="F1310" s="110" t="n">
        <v>0.237713191662018</v>
      </c>
      <c r="G1310" s="110" t="n">
        <v>887.858770857637</v>
      </c>
      <c r="H1310" s="110" t="inlineStr">
        <is>
          <t>Cálculo por número de clientes ativos</t>
        </is>
      </c>
    </row>
    <row r="1311" ht="14.25" customHeight="1" s="64">
      <c r="A1311" s="110" t="inlineStr">
        <is>
          <t>AGOSTO/2026</t>
        </is>
      </c>
      <c r="B1311" s="110" t="inlineStr">
        <is>
          <t>Configuração</t>
        </is>
      </c>
      <c r="C1311" s="110" t="inlineStr">
        <is>
          <t>Serviços de configuração e suporte ao Técnico</t>
        </is>
      </c>
      <c r="D1311" s="110" t="inlineStr">
        <is>
          <t>Soares e Silva</t>
        </is>
      </c>
      <c r="E1311" s="110" t="n">
        <v>6601</v>
      </c>
      <c r="F1311" s="110" t="n">
        <v>0.237713191662018</v>
      </c>
      <c r="G1311" s="110" t="n">
        <v>1569.14477816098</v>
      </c>
      <c r="H1311" s="110" t="inlineStr">
        <is>
          <t>Cálculo por número de clientes ativos</t>
        </is>
      </c>
    </row>
    <row r="1312" ht="14.25" customHeight="1" s="64">
      <c r="A1312" s="110" t="inlineStr">
        <is>
          <t>AGOSTO/2026</t>
        </is>
      </c>
      <c r="B1312" s="110" t="inlineStr">
        <is>
          <t>Configuração</t>
        </is>
      </c>
      <c r="C1312" s="110" t="inlineStr">
        <is>
          <t>Serviços de configuração e suporte ao Técnico</t>
        </is>
      </c>
      <c r="D1312" s="110" t="inlineStr">
        <is>
          <t>Solon Araújo</t>
        </is>
      </c>
      <c r="E1312" s="110" t="n">
        <v>14697</v>
      </c>
      <c r="F1312" s="110" t="n">
        <v>0.237713191662018</v>
      </c>
      <c r="G1312" s="110" t="n">
        <v>3493.67077785668</v>
      </c>
      <c r="H1312" s="110" t="inlineStr">
        <is>
          <t>Cálculo por número de clientes ativos</t>
        </is>
      </c>
    </row>
    <row r="1313" ht="14.25" customHeight="1" s="64">
      <c r="A1313" s="110" t="inlineStr">
        <is>
          <t>AGOSTO/2026</t>
        </is>
      </c>
      <c r="B1313" s="110" t="inlineStr">
        <is>
          <t>Configuração</t>
        </is>
      </c>
      <c r="C1313" s="110" t="inlineStr">
        <is>
          <t>Serviços de configuração e suporte ao Técnico</t>
        </is>
      </c>
      <c r="D1313" s="110" t="inlineStr">
        <is>
          <t>Souza e Silva</t>
        </is>
      </c>
      <c r="E1313" s="110" t="n">
        <v>4789</v>
      </c>
      <c r="F1313" s="110" t="n">
        <v>0.237713191662018</v>
      </c>
      <c r="G1313" s="110" t="n">
        <v>1138.4084748694</v>
      </c>
      <c r="H1313" s="110" t="inlineStr">
        <is>
          <t>Cálculo por número de clientes ativos</t>
        </is>
      </c>
    </row>
    <row r="1314" ht="14.25" customHeight="1" s="64">
      <c r="A1314" s="110" t="inlineStr">
        <is>
          <t>AGOSTO/2026</t>
        </is>
      </c>
      <c r="B1314" s="110" t="inlineStr">
        <is>
          <t>Configuração</t>
        </is>
      </c>
      <c r="C1314" s="110" t="inlineStr">
        <is>
          <t>Serviços de configuração e suporte ao Técnico</t>
        </is>
      </c>
      <c r="D1314" s="110" t="inlineStr">
        <is>
          <t>Voicenet</t>
        </is>
      </c>
      <c r="E1314" s="110" t="n">
        <v>4796</v>
      </c>
      <c r="F1314" s="110" t="n">
        <v>0.237713191662018</v>
      </c>
      <c r="G1314" s="110" t="n">
        <v>1140.07246721104</v>
      </c>
      <c r="H1314" s="110" t="inlineStr">
        <is>
          <t>Cálculo por número de clientes ativos</t>
        </is>
      </c>
    </row>
    <row r="1315" ht="14.25" customHeight="1" s="64">
      <c r="A1315" s="110" t="inlineStr">
        <is>
          <t>AGOSTO/2026</t>
        </is>
      </c>
      <c r="B1315" s="110" t="inlineStr">
        <is>
          <t>Contabilidade</t>
        </is>
      </c>
      <c r="C1315" s="110" t="inlineStr">
        <is>
          <t>Contabilidade</t>
        </is>
      </c>
      <c r="D1315" s="110" t="inlineStr">
        <is>
          <t>DX2</t>
        </is>
      </c>
      <c r="E1315" s="110" t="n">
        <v>6647</v>
      </c>
      <c r="F1315" s="110" t="n">
        <v>0.200781102601816</v>
      </c>
      <c r="G1315" s="110" t="n">
        <v>1334.59198899427</v>
      </c>
      <c r="H1315" s="110" t="inlineStr">
        <is>
          <t>Cálculo por número de clientes ativos</t>
        </is>
      </c>
    </row>
    <row r="1316" ht="14.25" customHeight="1" s="64">
      <c r="A1316" s="110" t="inlineStr">
        <is>
          <t>AGOSTO/2026</t>
        </is>
      </c>
      <c r="B1316" s="110" t="inlineStr">
        <is>
          <t>Contabilidade</t>
        </is>
      </c>
      <c r="C1316" s="110" t="inlineStr">
        <is>
          <t>Contabilidade</t>
        </is>
      </c>
      <c r="D1316" s="110" t="inlineStr">
        <is>
          <t>Soares e Lins</t>
        </is>
      </c>
      <c r="E1316" s="110" t="n">
        <v>3735</v>
      </c>
      <c r="F1316" s="110" t="n">
        <v>0.200781102601816</v>
      </c>
      <c r="G1316" s="110" t="n">
        <v>749.9174182177831</v>
      </c>
      <c r="H1316" s="110" t="inlineStr">
        <is>
          <t>Cálculo por número de clientes ativos</t>
        </is>
      </c>
    </row>
    <row r="1317" ht="14.25" customHeight="1" s="64">
      <c r="A1317" s="110" t="inlineStr">
        <is>
          <t>AGOSTO/2026</t>
        </is>
      </c>
      <c r="B1317" s="110" t="inlineStr">
        <is>
          <t>Contabilidade</t>
        </is>
      </c>
      <c r="C1317" s="110" t="inlineStr">
        <is>
          <t>Contabilidade</t>
        </is>
      </c>
      <c r="D1317" s="110" t="inlineStr">
        <is>
          <t>Soares e Silva</t>
        </is>
      </c>
      <c r="E1317" s="110" t="n">
        <v>6601</v>
      </c>
      <c r="F1317" s="110" t="n">
        <v>0.200781102601816</v>
      </c>
      <c r="G1317" s="110" t="n">
        <v>1325.35605827459</v>
      </c>
      <c r="H1317" s="110" t="inlineStr">
        <is>
          <t>Cálculo por número de clientes ativos</t>
        </is>
      </c>
    </row>
    <row r="1318" ht="14.25" customHeight="1" s="64">
      <c r="A1318" s="110" t="inlineStr">
        <is>
          <t>AGOSTO/2026</t>
        </is>
      </c>
      <c r="B1318" s="110" t="inlineStr">
        <is>
          <t>Contabilidade</t>
        </is>
      </c>
      <c r="C1318" s="110" t="inlineStr">
        <is>
          <t>Contabilidade</t>
        </is>
      </c>
      <c r="D1318" s="110" t="inlineStr">
        <is>
          <t>Solon Araújo</t>
        </is>
      </c>
      <c r="E1318" s="110" t="n">
        <v>14697</v>
      </c>
      <c r="F1318" s="110" t="n">
        <v>0.200781102601816</v>
      </c>
      <c r="G1318" s="110" t="n">
        <v>2950.87986493889</v>
      </c>
      <c r="H1318" s="110" t="inlineStr">
        <is>
          <t>Cálculo por número de clientes ativos</t>
        </is>
      </c>
    </row>
    <row r="1319" ht="14.25" customHeight="1" s="64">
      <c r="A1319" s="110" t="inlineStr">
        <is>
          <t>AGOSTO/2026</t>
        </is>
      </c>
      <c r="B1319" s="110" t="inlineStr">
        <is>
          <t>Contabilidade</t>
        </is>
      </c>
      <c r="C1319" s="110" t="inlineStr">
        <is>
          <t>Contabilidade</t>
        </is>
      </c>
      <c r="D1319" s="110" t="inlineStr">
        <is>
          <t>Souza e Silva</t>
        </is>
      </c>
      <c r="E1319" s="110" t="n">
        <v>4789</v>
      </c>
      <c r="F1319" s="110" t="n">
        <v>0.200781102601816</v>
      </c>
      <c r="G1319" s="110" t="n">
        <v>961.540700360097</v>
      </c>
      <c r="H1319" s="110" t="inlineStr">
        <is>
          <t>Cálculo por número de clientes ativos</t>
        </is>
      </c>
    </row>
    <row r="1320" ht="14.25" customHeight="1" s="64">
      <c r="A1320" s="110" t="inlineStr">
        <is>
          <t>AGOSTO/2026</t>
        </is>
      </c>
      <c r="B1320" s="110" t="inlineStr">
        <is>
          <t>Contabilidade</t>
        </is>
      </c>
      <c r="C1320" s="110" t="inlineStr">
        <is>
          <t>Contabilidade</t>
        </is>
      </c>
      <c r="D1320" s="110" t="inlineStr">
        <is>
          <t>Voicenet</t>
        </is>
      </c>
      <c r="E1320" s="110" t="n">
        <v>4796</v>
      </c>
      <c r="F1320" s="110" t="n">
        <v>0.200781102601816</v>
      </c>
      <c r="G1320" s="110" t="n">
        <v>962.9461680783101</v>
      </c>
      <c r="H1320" s="110" t="inlineStr">
        <is>
          <t>Cálculo por número de clientes ativos</t>
        </is>
      </c>
    </row>
    <row r="1321" ht="14.25" customHeight="1" s="64">
      <c r="A1321" s="110" t="inlineStr">
        <is>
          <t>AGOSTO/2026</t>
        </is>
      </c>
      <c r="B1321" s="110" t="inlineStr">
        <is>
          <t>Controladoria</t>
        </is>
      </c>
      <c r="C1321" s="110" t="inlineStr">
        <is>
          <t>Controladoria</t>
        </is>
      </c>
      <c r="D1321" s="110" t="inlineStr">
        <is>
          <t>DX2</t>
        </is>
      </c>
      <c r="E1321" s="110" t="n">
        <v>6647</v>
      </c>
      <c r="F1321" s="110" t="n">
        <v>0.09158330374803469</v>
      </c>
      <c r="G1321" s="110" t="n">
        <v>608.754220013187</v>
      </c>
      <c r="H1321" s="110" t="inlineStr">
        <is>
          <t>Cálculo por número de clientes ativos</t>
        </is>
      </c>
    </row>
    <row r="1322" ht="14.25" customHeight="1" s="64">
      <c r="A1322" s="110" t="inlineStr">
        <is>
          <t>AGOSTO/2026</t>
        </is>
      </c>
      <c r="B1322" s="110" t="inlineStr">
        <is>
          <t>Controladoria</t>
        </is>
      </c>
      <c r="C1322" s="110" t="inlineStr">
        <is>
          <t>Controladoria</t>
        </is>
      </c>
      <c r="D1322" s="110" t="inlineStr">
        <is>
          <t>Soares e Lins</t>
        </is>
      </c>
      <c r="E1322" s="110" t="n">
        <v>3735</v>
      </c>
      <c r="F1322" s="110" t="n">
        <v>0.09158330374803469</v>
      </c>
      <c r="G1322" s="110" t="n">
        <v>342.06363949891</v>
      </c>
      <c r="H1322" s="110" t="inlineStr">
        <is>
          <t>Cálculo por número de clientes ativos</t>
        </is>
      </c>
    </row>
    <row r="1323" ht="14.25" customHeight="1" s="64">
      <c r="A1323" s="110" t="inlineStr">
        <is>
          <t>AGOSTO/2026</t>
        </is>
      </c>
      <c r="B1323" s="110" t="inlineStr">
        <is>
          <t>Controladoria</t>
        </is>
      </c>
      <c r="C1323" s="110" t="inlineStr">
        <is>
          <t>Controladoria</t>
        </is>
      </c>
      <c r="D1323" s="110" t="inlineStr">
        <is>
          <t>Soares e Silva</t>
        </is>
      </c>
      <c r="E1323" s="110" t="n">
        <v>6601</v>
      </c>
      <c r="F1323" s="110" t="n">
        <v>0.09158330374803469</v>
      </c>
      <c r="G1323" s="110" t="n">
        <v>604.541388040777</v>
      </c>
      <c r="H1323" s="110" t="inlineStr">
        <is>
          <t>Cálculo por número de clientes ativos</t>
        </is>
      </c>
    </row>
    <row r="1324" ht="14.25" customHeight="1" s="64">
      <c r="A1324" s="110" t="inlineStr">
        <is>
          <t>AGOSTO/2026</t>
        </is>
      </c>
      <c r="B1324" s="110" t="inlineStr">
        <is>
          <t>Controladoria</t>
        </is>
      </c>
      <c r="C1324" s="110" t="inlineStr">
        <is>
          <t>Controladoria</t>
        </is>
      </c>
      <c r="D1324" s="110" t="inlineStr">
        <is>
          <t>Solon Araújo</t>
        </is>
      </c>
      <c r="E1324" s="110" t="n">
        <v>14697</v>
      </c>
      <c r="F1324" s="110" t="n">
        <v>0.09158330374803469</v>
      </c>
      <c r="G1324" s="110" t="n">
        <v>1345.99981518487</v>
      </c>
      <c r="H1324" s="110" t="inlineStr">
        <is>
          <t>Cálculo por número de clientes ativos</t>
        </is>
      </c>
    </row>
    <row r="1325" ht="14.25" customHeight="1" s="64">
      <c r="A1325" s="110" t="inlineStr">
        <is>
          <t>AGOSTO/2026</t>
        </is>
      </c>
      <c r="B1325" s="110" t="inlineStr">
        <is>
          <t>Controladoria</t>
        </is>
      </c>
      <c r="C1325" s="110" t="inlineStr">
        <is>
          <t>Controladoria</t>
        </is>
      </c>
      <c r="D1325" s="110" t="inlineStr">
        <is>
          <t>Souza e Silva</t>
        </is>
      </c>
      <c r="E1325" s="110" t="n">
        <v>4789</v>
      </c>
      <c r="F1325" s="110" t="n">
        <v>0.09158330374803469</v>
      </c>
      <c r="G1325" s="110" t="n">
        <v>438.592441649338</v>
      </c>
      <c r="H1325" s="110" t="inlineStr">
        <is>
          <t>Cálculo por número de clientes ativos</t>
        </is>
      </c>
    </row>
    <row r="1326" ht="14.25" customHeight="1" s="64">
      <c r="A1326" s="110" t="inlineStr">
        <is>
          <t>AGOSTO/2026</t>
        </is>
      </c>
      <c r="B1326" s="110" t="inlineStr">
        <is>
          <t>Controladoria</t>
        </is>
      </c>
      <c r="C1326" s="110" t="inlineStr">
        <is>
          <t>Controladoria</t>
        </is>
      </c>
      <c r="D1326" s="110" t="inlineStr">
        <is>
          <t>Voicenet</t>
        </is>
      </c>
      <c r="E1326" s="110" t="n">
        <v>4796</v>
      </c>
      <c r="F1326" s="110" t="n">
        <v>0.09158330374803469</v>
      </c>
      <c r="G1326" s="110" t="n">
        <v>439.233524775574</v>
      </c>
      <c r="H1326" s="110" t="inlineStr">
        <is>
          <t>Cálculo por número de clientes ativos</t>
        </is>
      </c>
    </row>
    <row r="1327" ht="14.25" customHeight="1" s="64">
      <c r="A1327" s="110" t="inlineStr">
        <is>
          <t>AGOSTO/2026</t>
        </is>
      </c>
      <c r="B1327" s="110" t="inlineStr">
        <is>
          <t>Desenvolvimento</t>
        </is>
      </c>
      <c r="C1327" s="110" t="inlineStr">
        <is>
          <t>Setor de Desenvolvimento</t>
        </is>
      </c>
      <c r="D1327" s="110" t="inlineStr">
        <is>
          <t>DX2</t>
        </is>
      </c>
      <c r="E1327" s="110" t="n">
        <v>6647</v>
      </c>
      <c r="F1327" s="110" t="n">
        <v>0.124952629710402</v>
      </c>
      <c r="G1327" s="110" t="n">
        <v>830.5601296850421</v>
      </c>
      <c r="H1327" s="110" t="inlineStr">
        <is>
          <t>Cálculo por número de clientes ativos</t>
        </is>
      </c>
    </row>
    <row r="1328" ht="14.25" customHeight="1" s="64">
      <c r="A1328" s="110" t="inlineStr">
        <is>
          <t>AGOSTO/2026</t>
        </is>
      </c>
      <c r="B1328" s="110" t="inlineStr">
        <is>
          <t>Desenvolvimento</t>
        </is>
      </c>
      <c r="C1328" s="110" t="inlineStr">
        <is>
          <t>Setor de Desenvolvimento</t>
        </is>
      </c>
      <c r="D1328" s="110" t="inlineStr">
        <is>
          <t>H&amp;A</t>
        </is>
      </c>
      <c r="E1328" s="110" t="n">
        <v>13510</v>
      </c>
      <c r="F1328" s="110" t="n">
        <v>0.124952629710402</v>
      </c>
      <c r="G1328" s="110" t="n">
        <v>1688.11002738753</v>
      </c>
      <c r="H1328" s="110" t="inlineStr">
        <is>
          <t>Cálculo por número de clientes ativos</t>
        </is>
      </c>
    </row>
    <row r="1329" ht="14.25" customHeight="1" s="64">
      <c r="A1329" s="110" t="inlineStr">
        <is>
          <t>AGOSTO/2026</t>
        </is>
      </c>
      <c r="B1329" s="110" t="inlineStr">
        <is>
          <t>Desenvolvimento</t>
        </is>
      </c>
      <c r="C1329" s="110" t="inlineStr">
        <is>
          <t>Setor de Desenvolvimento</t>
        </is>
      </c>
      <c r="D1329" s="110" t="inlineStr">
        <is>
          <t>Soares e Lins</t>
        </is>
      </c>
      <c r="E1329" s="110" t="n">
        <v>3735</v>
      </c>
      <c r="F1329" s="110" t="n">
        <v>0.124952629710402</v>
      </c>
      <c r="G1329" s="110" t="n">
        <v>466.698071968352</v>
      </c>
      <c r="H1329" s="110" t="inlineStr">
        <is>
          <t>Cálculo por número de clientes ativos</t>
        </is>
      </c>
    </row>
    <row r="1330" ht="14.25" customHeight="1" s="64">
      <c r="A1330" s="110" t="inlineStr">
        <is>
          <t>AGOSTO/2026</t>
        </is>
      </c>
      <c r="B1330" s="110" t="inlineStr">
        <is>
          <t>Desenvolvimento</t>
        </is>
      </c>
      <c r="C1330" s="110" t="inlineStr">
        <is>
          <t>Setor de Desenvolvimento</t>
        </is>
      </c>
      <c r="D1330" s="110" t="inlineStr">
        <is>
          <t>Soares e Silva</t>
        </is>
      </c>
      <c r="E1330" s="110" t="n">
        <v>6601</v>
      </c>
      <c r="F1330" s="110" t="n">
        <v>0.124952629710402</v>
      </c>
      <c r="G1330" s="110" t="n">
        <v>824.812308718364</v>
      </c>
      <c r="H1330" s="110" t="inlineStr">
        <is>
          <t>Cálculo por número de clientes ativos</t>
        </is>
      </c>
    </row>
    <row r="1331" ht="14.25" customHeight="1" s="64">
      <c r="A1331" s="110" t="inlineStr">
        <is>
          <t>AGOSTO/2026</t>
        </is>
      </c>
      <c r="B1331" s="110" t="inlineStr">
        <is>
          <t>Desenvolvimento</t>
        </is>
      </c>
      <c r="C1331" s="110" t="inlineStr">
        <is>
          <t>Setor de Desenvolvimento</t>
        </is>
      </c>
      <c r="D1331" s="110" t="inlineStr">
        <is>
          <t>Solon Araújo</t>
        </is>
      </c>
      <c r="E1331" s="110" t="n">
        <v>14697</v>
      </c>
      <c r="F1331" s="110" t="n">
        <v>0.124952629710402</v>
      </c>
      <c r="G1331" s="110" t="n">
        <v>1836.42879885378</v>
      </c>
      <c r="H1331" s="110" t="inlineStr">
        <is>
          <t>Cálculo por número de clientes ativos</t>
        </is>
      </c>
    </row>
    <row r="1332" ht="14.25" customHeight="1" s="64">
      <c r="A1332" s="110" t="inlineStr">
        <is>
          <t>AGOSTO/2026</t>
        </is>
      </c>
      <c r="B1332" s="110" t="inlineStr">
        <is>
          <t>Desenvolvimento</t>
        </is>
      </c>
      <c r="C1332" s="110" t="inlineStr">
        <is>
          <t>Setor de Desenvolvimento</t>
        </is>
      </c>
      <c r="D1332" s="110" t="inlineStr">
        <is>
          <t>Souza e Silva</t>
        </is>
      </c>
      <c r="E1332" s="110" t="n">
        <v>4789</v>
      </c>
      <c r="F1332" s="110" t="n">
        <v>0.124952629710402</v>
      </c>
      <c r="G1332" s="110" t="n">
        <v>598.398143683115</v>
      </c>
      <c r="H1332" s="110" t="inlineStr">
        <is>
          <t>Cálculo por número de clientes ativos</t>
        </is>
      </c>
    </row>
    <row r="1333" ht="14.25" customHeight="1" s="64">
      <c r="A1333" s="110" t="inlineStr">
        <is>
          <t>AGOSTO/2026</t>
        </is>
      </c>
      <c r="B1333" s="110" t="inlineStr">
        <is>
          <t>Desenvolvimento</t>
        </is>
      </c>
      <c r="C1333" s="110" t="inlineStr">
        <is>
          <t>Setor de Desenvolvimento</t>
        </is>
      </c>
      <c r="D1333" s="110" t="inlineStr">
        <is>
          <t>Voicenet</t>
        </is>
      </c>
      <c r="E1333" s="110" t="n">
        <v>4796</v>
      </c>
      <c r="F1333" s="110" t="n">
        <v>0.124952629710402</v>
      </c>
      <c r="G1333" s="110" t="n">
        <v>599.272812091088</v>
      </c>
      <c r="H1333" s="110" t="inlineStr">
        <is>
          <t>Cálculo por número de clientes ativos</t>
        </is>
      </c>
    </row>
    <row r="1334" ht="14.25" customHeight="1" s="64">
      <c r="A1334" s="110" t="inlineStr">
        <is>
          <t>AGOSTO/2026</t>
        </is>
      </c>
      <c r="B1334" s="110" t="inlineStr">
        <is>
          <t>Diretoria Adm</t>
        </is>
      </c>
      <c r="C1334" s="110" t="inlineStr">
        <is>
          <t>Diretoria Adm</t>
        </is>
      </c>
      <c r="D1334" s="110" t="inlineStr">
        <is>
          <t>DX2</t>
        </is>
      </c>
      <c r="E1334" s="110" t="n">
        <v>6647</v>
      </c>
      <c r="F1334" s="110" t="n">
        <v>0.0571887711112238</v>
      </c>
      <c r="G1334" s="110" t="n">
        <v>380.133761576305</v>
      </c>
      <c r="H1334" s="110" t="inlineStr">
        <is>
          <t>Cálculo por número de clientes ativos</t>
        </is>
      </c>
    </row>
    <row r="1335" ht="14.25" customHeight="1" s="64">
      <c r="A1335" s="110" t="inlineStr">
        <is>
          <t>AGOSTO/2026</t>
        </is>
      </c>
      <c r="B1335" s="110" t="inlineStr">
        <is>
          <t>Diretoria Adm</t>
        </is>
      </c>
      <c r="C1335" s="110" t="inlineStr">
        <is>
          <t>Diretoria Adm</t>
        </is>
      </c>
      <c r="D1335" s="110" t="inlineStr">
        <is>
          <t>Soares e Lins</t>
        </is>
      </c>
      <c r="E1335" s="110" t="n">
        <v>3735</v>
      </c>
      <c r="F1335" s="110" t="n">
        <v>0.0571887711112238</v>
      </c>
      <c r="G1335" s="110" t="n">
        <v>213.600060100421</v>
      </c>
      <c r="H1335" s="110" t="inlineStr">
        <is>
          <t>Cálculo por número de clientes ativos</t>
        </is>
      </c>
    </row>
    <row r="1336" ht="14.25" customHeight="1" s="64">
      <c r="A1336" s="110" t="inlineStr">
        <is>
          <t>AGOSTO/2026</t>
        </is>
      </c>
      <c r="B1336" s="110" t="inlineStr">
        <is>
          <t>Diretoria Adm</t>
        </is>
      </c>
      <c r="C1336" s="110" t="inlineStr">
        <is>
          <t>Diretoria Adm</t>
        </is>
      </c>
      <c r="D1336" s="110" t="inlineStr">
        <is>
          <t>Soares e Silva</t>
        </is>
      </c>
      <c r="E1336" s="110" t="n">
        <v>6601</v>
      </c>
      <c r="F1336" s="110" t="n">
        <v>0.0571887711112238</v>
      </c>
      <c r="G1336" s="110" t="n">
        <v>377.503078105188</v>
      </c>
      <c r="H1336" s="110" t="inlineStr">
        <is>
          <t>Cálculo por número de clientes ativos</t>
        </is>
      </c>
    </row>
    <row r="1337" ht="14.25" customHeight="1" s="64">
      <c r="A1337" s="110" t="inlineStr">
        <is>
          <t>AGOSTO/2026</t>
        </is>
      </c>
      <c r="B1337" s="110" t="inlineStr">
        <is>
          <t>Diretoria Adm</t>
        </is>
      </c>
      <c r="C1337" s="110" t="inlineStr">
        <is>
          <t>Diretoria Adm</t>
        </is>
      </c>
      <c r="D1337" s="110" t="inlineStr">
        <is>
          <t>Solon Araújo</t>
        </is>
      </c>
      <c r="E1337" s="110" t="n">
        <v>14697</v>
      </c>
      <c r="F1337" s="110" t="n">
        <v>0.0571887711112238</v>
      </c>
      <c r="G1337" s="110" t="n">
        <v>840.503369021656</v>
      </c>
      <c r="H1337" s="110" t="inlineStr">
        <is>
          <t>Cálculo por número de clientes ativos</t>
        </is>
      </c>
    </row>
    <row r="1338" ht="14.25" customHeight="1" s="64">
      <c r="A1338" s="110" t="inlineStr">
        <is>
          <t>AGOSTO/2026</t>
        </is>
      </c>
      <c r="B1338" s="110" t="inlineStr">
        <is>
          <t>Diretoria Adm</t>
        </is>
      </c>
      <c r="C1338" s="110" t="inlineStr">
        <is>
          <t>Diretoria Adm</t>
        </is>
      </c>
      <c r="D1338" s="110" t="inlineStr">
        <is>
          <t>Souza e Silva</t>
        </is>
      </c>
      <c r="E1338" s="110" t="n">
        <v>4789</v>
      </c>
      <c r="F1338" s="110" t="n">
        <v>0.0571887711112238</v>
      </c>
      <c r="G1338" s="110" t="n">
        <v>273.877024851651</v>
      </c>
      <c r="H1338" s="110" t="inlineStr">
        <is>
          <t>Cálculo por número de clientes ativos</t>
        </is>
      </c>
    </row>
    <row r="1339" ht="14.25" customHeight="1" s="64">
      <c r="A1339" s="110" t="inlineStr">
        <is>
          <t>AGOSTO/2026</t>
        </is>
      </c>
      <c r="B1339" s="110" t="inlineStr">
        <is>
          <t>Diretoria Adm</t>
        </is>
      </c>
      <c r="C1339" s="110" t="inlineStr">
        <is>
          <t>Diretoria Adm</t>
        </is>
      </c>
      <c r="D1339" s="110" t="inlineStr">
        <is>
          <t>Voicenet</t>
        </is>
      </c>
      <c r="E1339" s="110" t="n">
        <v>4796</v>
      </c>
      <c r="F1339" s="110" t="n">
        <v>0.0571887711112238</v>
      </c>
      <c r="G1339" s="110" t="n">
        <v>274.277346249429</v>
      </c>
      <c r="H1339" s="110" t="inlineStr">
        <is>
          <t>Cálculo por número de clientes ativos</t>
        </is>
      </c>
    </row>
    <row r="1340" ht="14.25" customHeight="1" s="64">
      <c r="A1340" s="110" t="inlineStr">
        <is>
          <t>AGOSTO/2026</t>
        </is>
      </c>
      <c r="B1340" s="110" t="inlineStr">
        <is>
          <t>Diretoria Operacional</t>
        </is>
      </c>
      <c r="C1340" s="110" t="inlineStr">
        <is>
          <t>Diretoria Operacional</t>
        </is>
      </c>
      <c r="D1340" s="110" t="inlineStr">
        <is>
          <t>DX2</t>
        </is>
      </c>
      <c r="E1340" s="110" t="n">
        <v>6647</v>
      </c>
      <c r="F1340" s="110" t="n">
        <v>0.144806613582188</v>
      </c>
      <c r="G1340" s="110" t="n">
        <v>962.529560480804</v>
      </c>
      <c r="H1340" s="110" t="inlineStr">
        <is>
          <t>Cálculo por número de clientes ativos</t>
        </is>
      </c>
    </row>
    <row r="1341" ht="14.25" customHeight="1" s="64">
      <c r="A1341" s="110" t="inlineStr">
        <is>
          <t>AGOSTO/2026</t>
        </is>
      </c>
      <c r="B1341" s="110" t="inlineStr">
        <is>
          <t>Diretoria Operacional</t>
        </is>
      </c>
      <c r="C1341" s="110" t="inlineStr">
        <is>
          <t>Diretoria Operacional</t>
        </is>
      </c>
      <c r="D1341" s="110" t="inlineStr">
        <is>
          <t>Soares e Lins</t>
        </is>
      </c>
      <c r="E1341" s="110" t="n">
        <v>3735</v>
      </c>
      <c r="F1341" s="110" t="n">
        <v>0.144806613582188</v>
      </c>
      <c r="G1341" s="110" t="n">
        <v>540.852701729472</v>
      </c>
      <c r="H1341" s="110" t="inlineStr">
        <is>
          <t>Cálculo por número de clientes ativos</t>
        </is>
      </c>
    </row>
    <row r="1342" ht="14.25" customHeight="1" s="64">
      <c r="A1342" s="110" t="inlineStr">
        <is>
          <t>AGOSTO/2026</t>
        </is>
      </c>
      <c r="B1342" s="110" t="inlineStr">
        <is>
          <t>Diretoria Operacional</t>
        </is>
      </c>
      <c r="C1342" s="110" t="inlineStr">
        <is>
          <t>Diretoria Operacional</t>
        </is>
      </c>
      <c r="D1342" s="110" t="inlineStr">
        <is>
          <t>Soares e Silva</t>
        </is>
      </c>
      <c r="E1342" s="110" t="n">
        <v>6601</v>
      </c>
      <c r="F1342" s="110" t="n">
        <v>0.144806613582188</v>
      </c>
      <c r="G1342" s="110" t="n">
        <v>955.868456256023</v>
      </c>
      <c r="H1342" s="110" t="inlineStr">
        <is>
          <t>Cálculo por número de clientes ativos</t>
        </is>
      </c>
    </row>
    <row r="1343" ht="14.25" customHeight="1" s="64">
      <c r="A1343" s="110" t="inlineStr">
        <is>
          <t>AGOSTO/2026</t>
        </is>
      </c>
      <c r="B1343" s="110" t="inlineStr">
        <is>
          <t>Diretoria Operacional</t>
        </is>
      </c>
      <c r="C1343" s="110" t="inlineStr">
        <is>
          <t>Diretoria Operacional</t>
        </is>
      </c>
      <c r="D1343" s="110" t="inlineStr">
        <is>
          <t>Solon Araújo</t>
        </is>
      </c>
      <c r="E1343" s="110" t="n">
        <v>14697</v>
      </c>
      <c r="F1343" s="110" t="n">
        <v>0.144806613582188</v>
      </c>
      <c r="G1343" s="110" t="n">
        <v>2128.22279981742</v>
      </c>
      <c r="H1343" s="110" t="inlineStr">
        <is>
          <t>Cálculo por número de clientes ativos</t>
        </is>
      </c>
    </row>
    <row r="1344" ht="14.25" customHeight="1" s="64">
      <c r="A1344" s="110" t="inlineStr">
        <is>
          <t>AGOSTO/2026</t>
        </is>
      </c>
      <c r="B1344" s="110" t="inlineStr">
        <is>
          <t>Diretoria Operacional</t>
        </is>
      </c>
      <c r="C1344" s="110" t="inlineStr">
        <is>
          <t>Diretoria Operacional</t>
        </is>
      </c>
      <c r="D1344" s="110" t="inlineStr">
        <is>
          <t>Souza e Silva</t>
        </is>
      </c>
      <c r="E1344" s="110" t="n">
        <v>4789</v>
      </c>
      <c r="F1344" s="110" t="n">
        <v>0.144806613582188</v>
      </c>
      <c r="G1344" s="110" t="n">
        <v>693.478872445098</v>
      </c>
      <c r="H1344" s="110" t="inlineStr">
        <is>
          <t>Cálculo por número de clientes ativos</t>
        </is>
      </c>
    </row>
    <row r="1345" ht="14.25" customHeight="1" s="64">
      <c r="A1345" s="110" t="inlineStr">
        <is>
          <t>AGOSTO/2026</t>
        </is>
      </c>
      <c r="B1345" s="110" t="inlineStr">
        <is>
          <t>Diretoria Operacional</t>
        </is>
      </c>
      <c r="C1345" s="110" t="inlineStr">
        <is>
          <t>Diretoria Operacional</t>
        </is>
      </c>
      <c r="D1345" s="110" t="inlineStr">
        <is>
          <t>Voicenet</t>
        </is>
      </c>
      <c r="E1345" s="110" t="n">
        <v>4796</v>
      </c>
      <c r="F1345" s="110" t="n">
        <v>0.144806613582188</v>
      </c>
      <c r="G1345" s="110" t="n">
        <v>694.492518740174</v>
      </c>
      <c r="H1345" s="110" t="inlineStr">
        <is>
          <t>Cálculo por número de clientes ativos</t>
        </is>
      </c>
    </row>
    <row r="1346" ht="14.25" customHeight="1" s="64">
      <c r="A1346" s="110" t="inlineStr">
        <is>
          <t>AGOSTO/2026</t>
        </is>
      </c>
      <c r="B1346" s="110" t="inlineStr">
        <is>
          <t>Financeiro</t>
        </is>
      </c>
      <c r="C1346" s="110" t="inlineStr">
        <is>
          <t>Financeiro</t>
        </is>
      </c>
      <c r="D1346" s="110" t="inlineStr">
        <is>
          <t>DX2</t>
        </is>
      </c>
      <c r="E1346" s="110" t="n">
        <v>6647</v>
      </c>
      <c r="F1346" s="110" t="n">
        <v>0.173736673936197</v>
      </c>
      <c r="G1346" s="110" t="n">
        <v>1154.8276716539</v>
      </c>
      <c r="H1346" s="110" t="inlineStr">
        <is>
          <t>Cálculo por número de clientes ativos</t>
        </is>
      </c>
    </row>
    <row r="1347" ht="14.25" customHeight="1" s="64">
      <c r="A1347" s="110" t="inlineStr">
        <is>
          <t>AGOSTO/2026</t>
        </is>
      </c>
      <c r="B1347" s="110" t="inlineStr">
        <is>
          <t>Financeiro</t>
        </is>
      </c>
      <c r="C1347" s="110" t="inlineStr">
        <is>
          <t>Financeiro</t>
        </is>
      </c>
      <c r="D1347" s="110" t="inlineStr">
        <is>
          <t>Soares e Lins</t>
        </is>
      </c>
      <c r="E1347" s="110" t="n">
        <v>3735</v>
      </c>
      <c r="F1347" s="110" t="n">
        <v>0.173736673936197</v>
      </c>
      <c r="G1347" s="110" t="n">
        <v>648.906477151696</v>
      </c>
      <c r="H1347" s="110" t="inlineStr">
        <is>
          <t>Cálculo por número de clientes ativos</t>
        </is>
      </c>
    </row>
    <row r="1348" ht="14.25" customHeight="1" s="64">
      <c r="A1348" s="110" t="inlineStr">
        <is>
          <t>AGOSTO/2026</t>
        </is>
      </c>
      <c r="B1348" s="110" t="inlineStr">
        <is>
          <t>Financeiro</t>
        </is>
      </c>
      <c r="C1348" s="110" t="inlineStr">
        <is>
          <t>Financeiro</t>
        </is>
      </c>
      <c r="D1348" s="110" t="inlineStr">
        <is>
          <t>Soares e Silva</t>
        </is>
      </c>
      <c r="E1348" s="110" t="n">
        <v>6601</v>
      </c>
      <c r="F1348" s="110" t="n">
        <v>0.173736673936197</v>
      </c>
      <c r="G1348" s="110" t="n">
        <v>1146.83578465284</v>
      </c>
      <c r="H1348" s="110" t="inlineStr">
        <is>
          <t>Cálculo por número de clientes ativos</t>
        </is>
      </c>
    </row>
    <row r="1349" ht="14.25" customHeight="1" s="64">
      <c r="A1349" s="110" t="inlineStr">
        <is>
          <t>AGOSTO/2026</t>
        </is>
      </c>
      <c r="B1349" s="110" t="inlineStr">
        <is>
          <t>Financeiro</t>
        </is>
      </c>
      <c r="C1349" s="110" t="inlineStr">
        <is>
          <t>Financeiro</t>
        </is>
      </c>
      <c r="D1349" s="110" t="inlineStr">
        <is>
          <t>Solon Araújo</t>
        </is>
      </c>
      <c r="E1349" s="110" t="n">
        <v>14697</v>
      </c>
      <c r="F1349" s="110" t="n">
        <v>0.173736673936197</v>
      </c>
      <c r="G1349" s="110" t="n">
        <v>2553.40789684029</v>
      </c>
      <c r="H1349" s="110" t="inlineStr">
        <is>
          <t>Cálculo por número de clientes ativos</t>
        </is>
      </c>
    </row>
    <row r="1350" ht="14.25" customHeight="1" s="64">
      <c r="A1350" s="110" t="inlineStr">
        <is>
          <t>AGOSTO/2026</t>
        </is>
      </c>
      <c r="B1350" s="110" t="inlineStr">
        <is>
          <t>Financeiro</t>
        </is>
      </c>
      <c r="C1350" s="110" t="inlineStr">
        <is>
          <t>Financeiro</t>
        </is>
      </c>
      <c r="D1350" s="110" t="inlineStr">
        <is>
          <t>Souza e Silva</t>
        </is>
      </c>
      <c r="E1350" s="110" t="n">
        <v>4789</v>
      </c>
      <c r="F1350" s="110" t="n">
        <v>0.173736673936197</v>
      </c>
      <c r="G1350" s="110" t="n">
        <v>832.024931480447</v>
      </c>
      <c r="H1350" s="110" t="inlineStr">
        <is>
          <t>Cálculo por número de clientes ativos</t>
        </is>
      </c>
    </row>
    <row r="1351" ht="14.25" customHeight="1" s="64">
      <c r="A1351" s="110" t="inlineStr">
        <is>
          <t>AGOSTO/2026</t>
        </is>
      </c>
      <c r="B1351" s="110" t="inlineStr">
        <is>
          <t>Financeiro</t>
        </is>
      </c>
      <c r="C1351" s="110" t="inlineStr">
        <is>
          <t>Financeiro</t>
        </is>
      </c>
      <c r="D1351" s="110" t="inlineStr">
        <is>
          <t>Voicenet</t>
        </is>
      </c>
      <c r="E1351" s="110" t="n">
        <v>4796</v>
      </c>
      <c r="F1351" s="110" t="n">
        <v>0.173736673936197</v>
      </c>
      <c r="G1351" s="110" t="n">
        <v>833.241088198001</v>
      </c>
      <c r="H1351" s="110" t="inlineStr">
        <is>
          <t>Cálculo por número de clientes ativos</t>
        </is>
      </c>
    </row>
    <row r="1352" ht="14.25" customHeight="1" s="64">
      <c r="A1352" s="110" t="inlineStr">
        <is>
          <t>AGOSTO/2026</t>
        </is>
      </c>
      <c r="B1352" s="110" t="inlineStr">
        <is>
          <t>Gestão de Atendimento</t>
        </is>
      </c>
      <c r="C1352" s="110" t="inlineStr">
        <is>
          <t>Gestão de Atendimento</t>
        </is>
      </c>
      <c r="D1352" s="110" t="inlineStr">
        <is>
          <t>DX2</t>
        </is>
      </c>
      <c r="E1352" s="110" t="n">
        <v>6647</v>
      </c>
      <c r="F1352" s="110" t="n">
        <v>0.322960034488005</v>
      </c>
      <c r="G1352" s="110" t="n">
        <v>2146.71534924177</v>
      </c>
      <c r="H1352" s="110" t="inlineStr">
        <is>
          <t>Cálculo por número de clientes ativos</t>
        </is>
      </c>
    </row>
    <row r="1353" ht="14.25" customHeight="1" s="64">
      <c r="A1353" s="110" t="inlineStr">
        <is>
          <t>AGOSTO/2026</t>
        </is>
      </c>
      <c r="B1353" s="110" t="inlineStr">
        <is>
          <t>Gestão de Atendimento</t>
        </is>
      </c>
      <c r="C1353" s="110" t="inlineStr">
        <is>
          <t>Gestão de Atendimento</t>
        </is>
      </c>
      <c r="D1353" s="110" t="inlineStr">
        <is>
          <t>H&amp;A</t>
        </is>
      </c>
      <c r="E1353" s="110" t="n">
        <v>13510</v>
      </c>
      <c r="F1353" s="110" t="n">
        <v>0.322960034488005</v>
      </c>
      <c r="G1353" s="110" t="n">
        <v>4363.19006593295</v>
      </c>
      <c r="H1353" s="110" t="inlineStr">
        <is>
          <t>Cálculo por número de clientes ativos</t>
        </is>
      </c>
    </row>
    <row r="1354" ht="14.25" customHeight="1" s="64">
      <c r="A1354" s="110" t="inlineStr">
        <is>
          <t>AGOSTO/2026</t>
        </is>
      </c>
      <c r="B1354" s="110" t="inlineStr">
        <is>
          <t>Gestão de Atendimento</t>
        </is>
      </c>
      <c r="C1354" s="110" t="inlineStr">
        <is>
          <t>Gestão de Atendimento</t>
        </is>
      </c>
      <c r="D1354" s="110" t="inlineStr">
        <is>
          <t>Soares e Lins</t>
        </is>
      </c>
      <c r="E1354" s="110" t="n">
        <v>3735</v>
      </c>
      <c r="F1354" s="110" t="n">
        <v>0.322960034488005</v>
      </c>
      <c r="G1354" s="110" t="n">
        <v>1206.2557288127</v>
      </c>
      <c r="H1354" s="110" t="inlineStr">
        <is>
          <t>Cálculo por número de clientes ativos</t>
        </is>
      </c>
    </row>
    <row r="1355" ht="14.25" customHeight="1" s="64">
      <c r="A1355" s="110" t="inlineStr">
        <is>
          <t>AGOSTO/2026</t>
        </is>
      </c>
      <c r="B1355" s="110" t="inlineStr">
        <is>
          <t>Gestão de Atendimento</t>
        </is>
      </c>
      <c r="C1355" s="110" t="inlineStr">
        <is>
          <t>Gestão de Atendimento</t>
        </is>
      </c>
      <c r="D1355" s="110" t="inlineStr">
        <is>
          <t>Soares e Silva</t>
        </is>
      </c>
      <c r="E1355" s="110" t="n">
        <v>6601</v>
      </c>
      <c r="F1355" s="110" t="n">
        <v>0.322960034488005</v>
      </c>
      <c r="G1355" s="110" t="n">
        <v>2131.85918765532</v>
      </c>
      <c r="H1355" s="110" t="inlineStr">
        <is>
          <t>Cálculo por número de clientes ativos</t>
        </is>
      </c>
    </row>
    <row r="1356" ht="14.25" customHeight="1" s="64">
      <c r="A1356" s="110" t="inlineStr">
        <is>
          <t>AGOSTO/2026</t>
        </is>
      </c>
      <c r="B1356" s="110" t="inlineStr">
        <is>
          <t>Gestão de Atendimento</t>
        </is>
      </c>
      <c r="C1356" s="110" t="inlineStr">
        <is>
          <t>Gestão de Atendimento</t>
        </is>
      </c>
      <c r="D1356" s="110" t="inlineStr">
        <is>
          <t>Solon Araújo</t>
        </is>
      </c>
      <c r="E1356" s="110" t="n">
        <v>14697</v>
      </c>
      <c r="F1356" s="110" t="n">
        <v>0.322960034488005</v>
      </c>
      <c r="G1356" s="110" t="n">
        <v>4746.54362687021</v>
      </c>
      <c r="H1356" s="110" t="inlineStr">
        <is>
          <t>Cálculo por número de clientes ativos</t>
        </is>
      </c>
    </row>
    <row r="1357" ht="14.25" customHeight="1" s="64">
      <c r="A1357" s="110" t="inlineStr">
        <is>
          <t>AGOSTO/2026</t>
        </is>
      </c>
      <c r="B1357" s="110" t="inlineStr">
        <is>
          <t>Gestão de Atendimento</t>
        </is>
      </c>
      <c r="C1357" s="110" t="inlineStr">
        <is>
          <t>Gestão de Atendimento</t>
        </is>
      </c>
      <c r="D1357" s="110" t="inlineStr">
        <is>
          <t>Souza e Silva</t>
        </is>
      </c>
      <c r="E1357" s="110" t="n">
        <v>4789</v>
      </c>
      <c r="F1357" s="110" t="n">
        <v>0.322960034488005</v>
      </c>
      <c r="G1357" s="110" t="n">
        <v>1546.65560516306</v>
      </c>
      <c r="H1357" s="110" t="inlineStr">
        <is>
          <t>Cálculo por número de clientes ativos</t>
        </is>
      </c>
    </row>
    <row r="1358" ht="14.25" customHeight="1" s="64">
      <c r="A1358" s="110" t="inlineStr">
        <is>
          <t>AGOSTO/2026</t>
        </is>
      </c>
      <c r="B1358" s="110" t="inlineStr">
        <is>
          <t>Gestão de Atendimento</t>
        </is>
      </c>
      <c r="C1358" s="110" t="inlineStr">
        <is>
          <t>Gestão de Atendimento</t>
        </is>
      </c>
      <c r="D1358" s="110" t="inlineStr">
        <is>
          <t>Voicenet</t>
        </is>
      </c>
      <c r="E1358" s="110" t="n">
        <v>4796</v>
      </c>
      <c r="F1358" s="110" t="n">
        <v>0.322960034488005</v>
      </c>
      <c r="G1358" s="110" t="n">
        <v>1548.91632540447</v>
      </c>
      <c r="H1358" s="110" t="inlineStr">
        <is>
          <t>Cálculo por número de clientes ativos</t>
        </is>
      </c>
    </row>
    <row r="1359" ht="14.25" customHeight="1" s="64">
      <c r="A1359" s="110" t="inlineStr">
        <is>
          <t>AGOSTO/2026</t>
        </is>
      </c>
      <c r="B1359" s="110" t="inlineStr">
        <is>
          <t>Jurídico</t>
        </is>
      </c>
      <c r="C1359" s="110" t="inlineStr">
        <is>
          <t>Jurídico</t>
        </is>
      </c>
      <c r="D1359" s="110" t="inlineStr">
        <is>
          <t>DX2</t>
        </is>
      </c>
      <c r="E1359" s="110" t="n">
        <v>6647</v>
      </c>
      <c r="F1359" s="110" t="n">
        <v>0.0794262311710707</v>
      </c>
      <c r="G1359" s="110" t="n">
        <v>527.946158594107</v>
      </c>
      <c r="H1359" s="110" t="inlineStr">
        <is>
          <t>Cálculo por número de clientes ativos</t>
        </is>
      </c>
    </row>
    <row r="1360" ht="14.25" customHeight="1" s="64">
      <c r="A1360" s="110" t="inlineStr">
        <is>
          <t>AGOSTO/2026</t>
        </is>
      </c>
      <c r="B1360" s="110" t="inlineStr">
        <is>
          <t>Jurídico</t>
        </is>
      </c>
      <c r="C1360" s="110" t="inlineStr">
        <is>
          <t>Jurídico</t>
        </is>
      </c>
      <c r="D1360" s="110" t="inlineStr">
        <is>
          <t>Soares e Lins</t>
        </is>
      </c>
      <c r="E1360" s="110" t="n">
        <v>3735</v>
      </c>
      <c r="F1360" s="110" t="n">
        <v>0.0794262311710707</v>
      </c>
      <c r="G1360" s="110" t="n">
        <v>296.656973423949</v>
      </c>
      <c r="H1360" s="110" t="inlineStr">
        <is>
          <t>Cálculo por número de clientes ativos</t>
        </is>
      </c>
    </row>
    <row r="1361" ht="14.25" customHeight="1" s="64">
      <c r="A1361" s="110" t="inlineStr">
        <is>
          <t>AGOSTO/2026</t>
        </is>
      </c>
      <c r="B1361" s="110" t="inlineStr">
        <is>
          <t>Jurídico</t>
        </is>
      </c>
      <c r="C1361" s="110" t="inlineStr">
        <is>
          <t>Jurídico</t>
        </is>
      </c>
      <c r="D1361" s="110" t="inlineStr">
        <is>
          <t>Soares e Silva</t>
        </is>
      </c>
      <c r="E1361" s="110" t="n">
        <v>6601</v>
      </c>
      <c r="F1361" s="110" t="n">
        <v>0.0794262311710707</v>
      </c>
      <c r="G1361" s="110" t="n">
        <v>524.292551960238</v>
      </c>
      <c r="H1361" s="110" t="inlineStr">
        <is>
          <t>Cálculo por número de clientes ativos</t>
        </is>
      </c>
    </row>
    <row r="1362" ht="14.25" customHeight="1" s="64">
      <c r="A1362" s="110" t="inlineStr">
        <is>
          <t>AGOSTO/2026</t>
        </is>
      </c>
      <c r="B1362" s="110" t="inlineStr">
        <is>
          <t>Jurídico</t>
        </is>
      </c>
      <c r="C1362" s="110" t="inlineStr">
        <is>
          <t>Jurídico</t>
        </is>
      </c>
      <c r="D1362" s="110" t="inlineStr">
        <is>
          <t>Solon Araújo</t>
        </is>
      </c>
      <c r="E1362" s="110" t="n">
        <v>14697</v>
      </c>
      <c r="F1362" s="110" t="n">
        <v>0.0794262311710707</v>
      </c>
      <c r="G1362" s="110" t="n">
        <v>1167.32731952123</v>
      </c>
      <c r="H1362" s="110" t="inlineStr">
        <is>
          <t>Cálculo por número de clientes ativos</t>
        </is>
      </c>
    </row>
    <row r="1363" ht="14.25" customHeight="1" s="64">
      <c r="A1363" s="110" t="inlineStr">
        <is>
          <t>AGOSTO/2026</t>
        </is>
      </c>
      <c r="B1363" s="110" t="inlineStr">
        <is>
          <t>Jurídico</t>
        </is>
      </c>
      <c r="C1363" s="110" t="inlineStr">
        <is>
          <t>Jurídico</t>
        </is>
      </c>
      <c r="D1363" s="110" t="inlineStr">
        <is>
          <t>Souza e Silva</t>
        </is>
      </c>
      <c r="E1363" s="110" t="n">
        <v>4789</v>
      </c>
      <c r="F1363" s="110" t="n">
        <v>0.0794262311710707</v>
      </c>
      <c r="G1363" s="110" t="n">
        <v>380.372221078258</v>
      </c>
      <c r="H1363" s="110" t="inlineStr">
        <is>
          <t>Cálculo por número de clientes ativos</t>
        </is>
      </c>
    </row>
    <row r="1364" ht="14.25" customHeight="1" s="64">
      <c r="A1364" s="110" t="inlineStr">
        <is>
          <t>AGOSTO/2026</t>
        </is>
      </c>
      <c r="B1364" s="110" t="inlineStr">
        <is>
          <t>Jurídico</t>
        </is>
      </c>
      <c r="C1364" s="110" t="inlineStr">
        <is>
          <t>Jurídico</t>
        </is>
      </c>
      <c r="D1364" s="110" t="inlineStr">
        <is>
          <t>Voicenet</t>
        </is>
      </c>
      <c r="E1364" s="110" t="n">
        <v>4796</v>
      </c>
      <c r="F1364" s="110" t="n">
        <v>0.0794262311710707</v>
      </c>
      <c r="G1364" s="110" t="n">
        <v>380.928204696455</v>
      </c>
      <c r="H1364" s="110" t="inlineStr">
        <is>
          <t>Cálculo por número de clientes ativos</t>
        </is>
      </c>
    </row>
    <row r="1365" ht="14.25" customHeight="1" s="64">
      <c r="A1365" s="110" t="inlineStr">
        <is>
          <t>AGOSTO/2026</t>
        </is>
      </c>
      <c r="B1365" s="110" t="inlineStr">
        <is>
          <t>RH</t>
        </is>
      </c>
      <c r="C1365" s="110" t="inlineStr">
        <is>
          <t>Custo do departamento de RH</t>
        </is>
      </c>
      <c r="D1365" s="110" t="inlineStr">
        <is>
          <t>DX2</t>
        </is>
      </c>
      <c r="E1365" s="110" t="n">
        <v>30</v>
      </c>
      <c r="F1365" s="110" t="n">
        <v>36.2501330798479</v>
      </c>
      <c r="G1365" s="110" t="n">
        <v>1087.50399239544</v>
      </c>
      <c r="H1365" s="110" t="inlineStr">
        <is>
          <t>Cálculo por número de funcionários ativos</t>
        </is>
      </c>
    </row>
    <row r="1366" ht="14.25" customHeight="1" s="64">
      <c r="A1366" s="110" t="inlineStr">
        <is>
          <t>AGOSTO/2026</t>
        </is>
      </c>
      <c r="B1366" s="110" t="inlineStr">
        <is>
          <t>RH</t>
        </is>
      </c>
      <c r="C1366" s="110" t="inlineStr">
        <is>
          <t>Custo do departamento de RH</t>
        </is>
      </c>
      <c r="D1366" s="110" t="inlineStr">
        <is>
          <t>Soares e Lins</t>
        </is>
      </c>
      <c r="E1366" s="110" t="n">
        <v>10</v>
      </c>
      <c r="F1366" s="110" t="n">
        <v>36.2501330798479</v>
      </c>
      <c r="G1366" s="110" t="n">
        <v>362.501330798479</v>
      </c>
      <c r="H1366" s="110" t="inlineStr">
        <is>
          <t>Cálculo por número de funcionários ativos</t>
        </is>
      </c>
    </row>
    <row r="1367" ht="14.25" customHeight="1" s="64">
      <c r="A1367" s="110" t="inlineStr">
        <is>
          <t>AGOSTO/2026</t>
        </is>
      </c>
      <c r="B1367" s="110" t="inlineStr">
        <is>
          <t>RH</t>
        </is>
      </c>
      <c r="C1367" s="110" t="inlineStr">
        <is>
          <t>Custo do departamento de RH</t>
        </is>
      </c>
      <c r="D1367" s="110" t="inlineStr">
        <is>
          <t>Soares e Silva</t>
        </is>
      </c>
      <c r="E1367" s="110" t="n">
        <v>46</v>
      </c>
      <c r="F1367" s="110" t="n">
        <v>36.2501330798479</v>
      </c>
      <c r="G1367" s="110" t="n">
        <v>1667.506121673</v>
      </c>
      <c r="H1367" s="110" t="inlineStr">
        <is>
          <t>Cálculo por número de funcionários ativos</t>
        </is>
      </c>
    </row>
    <row r="1368" ht="14.25" customHeight="1" s="64">
      <c r="A1368" s="110" t="inlineStr">
        <is>
          <t>AGOSTO/2026</t>
        </is>
      </c>
      <c r="B1368" s="110" t="inlineStr">
        <is>
          <t>RH</t>
        </is>
      </c>
      <c r="C1368" s="110" t="inlineStr">
        <is>
          <t>Custo do departamento de RH</t>
        </is>
      </c>
      <c r="D1368" s="110" t="inlineStr">
        <is>
          <t>Solon Araújo</t>
        </is>
      </c>
      <c r="E1368" s="110" t="n">
        <v>45</v>
      </c>
      <c r="F1368" s="110" t="n">
        <v>36.2501330798479</v>
      </c>
      <c r="G1368" s="110" t="n">
        <v>1631.25598859316</v>
      </c>
      <c r="H1368" s="110" t="inlineStr">
        <is>
          <t>Cálculo por número de funcionários ativos</t>
        </is>
      </c>
    </row>
    <row r="1369" ht="14.25" customHeight="1" s="64">
      <c r="A1369" s="110" t="inlineStr">
        <is>
          <t>AGOSTO/2026</t>
        </is>
      </c>
      <c r="B1369" s="110" t="inlineStr">
        <is>
          <t>RH</t>
        </is>
      </c>
      <c r="C1369" s="110" t="inlineStr">
        <is>
          <t>Custo do departamento de RH</t>
        </is>
      </c>
      <c r="D1369" s="110" t="inlineStr">
        <is>
          <t>Souza e Silva</t>
        </is>
      </c>
      <c r="E1369" s="110" t="n">
        <v>17</v>
      </c>
      <c r="F1369" s="110" t="n">
        <v>36.2501330798479</v>
      </c>
      <c r="G1369" s="110" t="n">
        <v>616.252262357414</v>
      </c>
      <c r="H1369" s="110" t="inlineStr">
        <is>
          <t>Cálculo por número de funcionários ativos</t>
        </is>
      </c>
    </row>
    <row r="1370" ht="14.25" customHeight="1" s="64">
      <c r="A1370" s="110" t="inlineStr">
        <is>
          <t>AGOSTO/2026</t>
        </is>
      </c>
      <c r="B1370" s="110" t="inlineStr">
        <is>
          <t>RH</t>
        </is>
      </c>
      <c r="C1370" s="110" t="inlineStr">
        <is>
          <t>Custo do departamento de RH</t>
        </is>
      </c>
      <c r="D1370" s="110" t="inlineStr">
        <is>
          <t>Voicenet</t>
        </is>
      </c>
      <c r="E1370" s="110" t="n">
        <v>23</v>
      </c>
      <c r="F1370" s="110" t="n">
        <v>36.2501330798479</v>
      </c>
      <c r="G1370" s="110" t="n">
        <v>833.753060836502</v>
      </c>
      <c r="H1370" s="110" t="inlineStr">
        <is>
          <t>Cálculo por número de funcionários ativos</t>
        </is>
      </c>
    </row>
    <row r="1371" ht="14.25" customHeight="1" s="64">
      <c r="A1371" s="110" t="inlineStr">
        <is>
          <t>AGOSTO/2026</t>
        </is>
      </c>
      <c r="B1371" s="110" t="inlineStr">
        <is>
          <t>DP</t>
        </is>
      </c>
      <c r="C1371" s="110" t="inlineStr">
        <is>
          <t>Custo do departamento de DP</t>
        </is>
      </c>
      <c r="D1371" s="110" t="inlineStr">
        <is>
          <t>DX2</t>
        </is>
      </c>
      <c r="E1371" s="110" t="n">
        <v>30</v>
      </c>
      <c r="F1371" s="110" t="n">
        <v>49.5105988593156</v>
      </c>
      <c r="G1371" s="110" t="n">
        <v>1485.31796577947</v>
      </c>
      <c r="H1371" s="110" t="inlineStr">
        <is>
          <t>Cálculo por número de funcionários ativos</t>
        </is>
      </c>
    </row>
    <row r="1372" ht="14.25" customHeight="1" s="64">
      <c r="A1372" s="110" t="inlineStr">
        <is>
          <t>AGOSTO/2026</t>
        </is>
      </c>
      <c r="B1372" s="110" t="inlineStr">
        <is>
          <t>DP</t>
        </is>
      </c>
      <c r="C1372" s="110" t="inlineStr">
        <is>
          <t>Custo do departamento de DP</t>
        </is>
      </c>
      <c r="D1372" s="110" t="inlineStr">
        <is>
          <t>Soares e Lins</t>
        </is>
      </c>
      <c r="E1372" s="110" t="n">
        <v>10</v>
      </c>
      <c r="F1372" s="110" t="n">
        <v>49.5105988593156</v>
      </c>
      <c r="G1372" s="110" t="n">
        <v>495.105988593156</v>
      </c>
      <c r="H1372" s="110" t="inlineStr">
        <is>
          <t>Cálculo por número de funcionários ativos</t>
        </is>
      </c>
    </row>
    <row r="1373" ht="14.25" customHeight="1" s="64">
      <c r="A1373" s="110" t="inlineStr">
        <is>
          <t>AGOSTO/2026</t>
        </is>
      </c>
      <c r="B1373" s="110" t="inlineStr">
        <is>
          <t>DP</t>
        </is>
      </c>
      <c r="C1373" s="110" t="inlineStr">
        <is>
          <t>Custo do departamento de DP</t>
        </is>
      </c>
      <c r="D1373" s="110" t="inlineStr">
        <is>
          <t>Soares e Silva</t>
        </is>
      </c>
      <c r="E1373" s="110" t="n">
        <v>46</v>
      </c>
      <c r="F1373" s="110" t="n">
        <v>49.5105988593156</v>
      </c>
      <c r="G1373" s="110" t="n">
        <v>2277.48754752852</v>
      </c>
      <c r="H1373" s="110" t="inlineStr">
        <is>
          <t>Cálculo por número de funcionários ativos</t>
        </is>
      </c>
    </row>
    <row r="1374" ht="14.25" customHeight="1" s="64">
      <c r="A1374" s="110" t="inlineStr">
        <is>
          <t>AGOSTO/2026</t>
        </is>
      </c>
      <c r="B1374" s="110" t="inlineStr">
        <is>
          <t>DP</t>
        </is>
      </c>
      <c r="C1374" s="110" t="inlineStr">
        <is>
          <t>Custo do departamento de DP</t>
        </is>
      </c>
      <c r="D1374" s="110" t="inlineStr">
        <is>
          <t>Solon Araújo</t>
        </is>
      </c>
      <c r="E1374" s="110" t="n">
        <v>45</v>
      </c>
      <c r="F1374" s="110" t="n">
        <v>49.5105988593156</v>
      </c>
      <c r="G1374" s="110" t="n">
        <v>2227.9769486692</v>
      </c>
      <c r="H1374" s="110" t="inlineStr">
        <is>
          <t>Cálculo por número de funcionários ativos</t>
        </is>
      </c>
    </row>
    <row r="1375" ht="14.25" customHeight="1" s="64">
      <c r="A1375" s="110" t="inlineStr">
        <is>
          <t>AGOSTO/2026</t>
        </is>
      </c>
      <c r="B1375" s="110" t="inlineStr">
        <is>
          <t>DP</t>
        </is>
      </c>
      <c r="C1375" s="110" t="inlineStr">
        <is>
          <t>Custo do departamento de DP</t>
        </is>
      </c>
      <c r="D1375" s="110" t="inlineStr">
        <is>
          <t>Souza e Silva</t>
        </is>
      </c>
      <c r="E1375" s="110" t="n">
        <v>17</v>
      </c>
      <c r="F1375" s="110" t="n">
        <v>49.5105988593156</v>
      </c>
      <c r="G1375" s="110" t="n">
        <v>841.680180608365</v>
      </c>
      <c r="H1375" s="110" t="inlineStr">
        <is>
          <t>Cálculo por número de funcionários ativos</t>
        </is>
      </c>
    </row>
    <row r="1376" ht="14.25" customHeight="1" s="64">
      <c r="A1376" s="110" t="inlineStr">
        <is>
          <t>AGOSTO/2026</t>
        </is>
      </c>
      <c r="B1376" s="110" t="inlineStr">
        <is>
          <t>DP</t>
        </is>
      </c>
      <c r="C1376" s="110" t="inlineStr">
        <is>
          <t>Custo do departamento de DP</t>
        </is>
      </c>
      <c r="D1376" s="110" t="inlineStr">
        <is>
          <t>Voicenet</t>
        </is>
      </c>
      <c r="E1376" s="110" t="n">
        <v>23</v>
      </c>
      <c r="F1376" s="110" t="n">
        <v>49.5105988593156</v>
      </c>
      <c r="G1376" s="110" t="n">
        <v>1138.74377376426</v>
      </c>
      <c r="H1376" s="110" t="inlineStr">
        <is>
          <t>Cálculo por número de funcionários ativos</t>
        </is>
      </c>
    </row>
    <row r="1377" ht="14.25" customHeight="1" s="64">
      <c r="A1377" s="110" t="inlineStr">
        <is>
          <t>AGOSTO/2026</t>
        </is>
      </c>
      <c r="B1377" s="110" t="inlineStr">
        <is>
          <t>Segurança do Trabalho</t>
        </is>
      </c>
      <c r="C1377" s="110" t="inlineStr">
        <is>
          <t>SST Administrativo</t>
        </is>
      </c>
      <c r="D1377" s="110" t="inlineStr">
        <is>
          <t>DX2</t>
        </is>
      </c>
      <c r="E1377" s="110" t="n">
        <v>30</v>
      </c>
      <c r="F1377" s="110" t="n">
        <v>49.7823098859316</v>
      </c>
      <c r="G1377" s="110" t="n">
        <v>1493.46929657795</v>
      </c>
      <c r="H1377" s="110" t="inlineStr">
        <is>
          <t>Cálculo por número de funcionários ativos</t>
        </is>
      </c>
    </row>
    <row r="1378" ht="14.25" customHeight="1" s="64">
      <c r="A1378" s="110" t="inlineStr">
        <is>
          <t>AGOSTO/2026</t>
        </is>
      </c>
      <c r="B1378" s="110" t="inlineStr">
        <is>
          <t>Segurança do Trabalho</t>
        </is>
      </c>
      <c r="C1378" s="110" t="inlineStr">
        <is>
          <t>SST Administrativo</t>
        </is>
      </c>
      <c r="D1378" s="110" t="inlineStr">
        <is>
          <t>H&amp;A</t>
        </is>
      </c>
      <c r="E1378" s="110" t="n">
        <v>37</v>
      </c>
      <c r="F1378" s="110" t="n">
        <v>49.7823098859316</v>
      </c>
      <c r="G1378" s="110" t="n">
        <v>1841.94546577947</v>
      </c>
      <c r="H1378" s="110" t="inlineStr">
        <is>
          <t>Cálculo por número de funcionários ativos</t>
        </is>
      </c>
    </row>
    <row r="1379" ht="14.25" customHeight="1" s="64">
      <c r="A1379" s="110" t="inlineStr">
        <is>
          <t>AGOSTO/2026</t>
        </is>
      </c>
      <c r="B1379" s="110" t="inlineStr">
        <is>
          <t>Segurança do Trabalho</t>
        </is>
      </c>
      <c r="C1379" s="110" t="inlineStr">
        <is>
          <t>SST Administrativo</t>
        </is>
      </c>
      <c r="D1379" s="110" t="inlineStr">
        <is>
          <t>Soares e Lins</t>
        </is>
      </c>
      <c r="E1379" s="110" t="n">
        <v>10</v>
      </c>
      <c r="F1379" s="110" t="n">
        <v>49.7823098859316</v>
      </c>
      <c r="G1379" s="110" t="n">
        <v>497.823098859316</v>
      </c>
      <c r="H1379" s="110" t="inlineStr">
        <is>
          <t>Cálculo por número de funcionários ativos</t>
        </is>
      </c>
    </row>
    <row r="1380" ht="14.25" customHeight="1" s="64">
      <c r="A1380" s="110" t="inlineStr">
        <is>
          <t>AGOSTO/2026</t>
        </is>
      </c>
      <c r="B1380" s="110" t="inlineStr">
        <is>
          <t>Segurança do Trabalho</t>
        </is>
      </c>
      <c r="C1380" s="110" t="inlineStr">
        <is>
          <t>SST Administrativo</t>
        </is>
      </c>
      <c r="D1380" s="110" t="inlineStr">
        <is>
          <t>Soares e Silva</t>
        </is>
      </c>
      <c r="E1380" s="110" t="n">
        <v>46</v>
      </c>
      <c r="F1380" s="110" t="n">
        <v>49.7823098859316</v>
      </c>
      <c r="G1380" s="110" t="n">
        <v>2289.98625475285</v>
      </c>
      <c r="H1380" s="110" t="inlineStr">
        <is>
          <t>Cálculo por número de funcionários ativos</t>
        </is>
      </c>
    </row>
    <row r="1381" ht="14.25" customHeight="1" s="64">
      <c r="A1381" s="110" t="inlineStr">
        <is>
          <t>AGOSTO/2026</t>
        </is>
      </c>
      <c r="B1381" s="110" t="inlineStr">
        <is>
          <t>Segurança do Trabalho</t>
        </is>
      </c>
      <c r="C1381" s="110" t="inlineStr">
        <is>
          <t>SST Administrativo</t>
        </is>
      </c>
      <c r="D1381" s="110" t="inlineStr">
        <is>
          <t>Solon Araújo</t>
        </is>
      </c>
      <c r="E1381" s="110" t="n">
        <v>45</v>
      </c>
      <c r="F1381" s="110" t="n">
        <v>49.7823098859316</v>
      </c>
      <c r="G1381" s="110" t="n">
        <v>2240.20394486692</v>
      </c>
      <c r="H1381" s="110" t="inlineStr">
        <is>
          <t>Cálculo por número de funcionários ativos</t>
        </is>
      </c>
    </row>
    <row r="1382" ht="14.25" customHeight="1" s="64">
      <c r="A1382" s="110" t="inlineStr">
        <is>
          <t>AGOSTO/2026</t>
        </is>
      </c>
      <c r="B1382" s="110" t="inlineStr">
        <is>
          <t>Segurança do Trabalho</t>
        </is>
      </c>
      <c r="C1382" s="110" t="inlineStr">
        <is>
          <t>SST Administrativo</t>
        </is>
      </c>
      <c r="D1382" s="110" t="inlineStr">
        <is>
          <t>Souza e Silva</t>
        </is>
      </c>
      <c r="E1382" s="110" t="n">
        <v>17</v>
      </c>
      <c r="F1382" s="110" t="n">
        <v>49.7823098859316</v>
      </c>
      <c r="G1382" s="110" t="n">
        <v>846.299268060837</v>
      </c>
      <c r="H1382" s="110" t="inlineStr">
        <is>
          <t>Cálculo por número de funcionários ativos</t>
        </is>
      </c>
    </row>
    <row r="1383" ht="14.25" customHeight="1" s="64">
      <c r="A1383" s="110" t="inlineStr">
        <is>
          <t>AGOSTO/2026</t>
        </is>
      </c>
      <c r="B1383" s="110" t="inlineStr">
        <is>
          <t>Segurança do Trabalho</t>
        </is>
      </c>
      <c r="C1383" s="110" t="inlineStr">
        <is>
          <t>SST Administrativo</t>
        </is>
      </c>
      <c r="D1383" s="110" t="inlineStr">
        <is>
          <t>Voicenet</t>
        </is>
      </c>
      <c r="E1383" s="110" t="n">
        <v>23</v>
      </c>
      <c r="F1383" s="110" t="n">
        <v>49.7823098859316</v>
      </c>
      <c r="G1383" s="110" t="n">
        <v>1144.99312737643</v>
      </c>
      <c r="H1383" s="110" t="inlineStr">
        <is>
          <t>Cálculo por número de funcionários ativos</t>
        </is>
      </c>
    </row>
    <row r="1384" ht="14.25" customHeight="1" s="64">
      <c r="A1384" s="110" t="inlineStr">
        <is>
          <t>AGOSTO/2026</t>
        </is>
      </c>
      <c r="B1384" s="110" t="inlineStr">
        <is>
          <t>Administrativo</t>
        </is>
      </c>
      <c r="C1384" s="110" t="inlineStr">
        <is>
          <t>Custo do departamento Administrativo</t>
        </is>
      </c>
      <c r="D1384" s="110" t="inlineStr">
        <is>
          <t>DX2</t>
        </is>
      </c>
      <c r="E1384" s="110" t="n">
        <v>30</v>
      </c>
      <c r="F1384" s="110" t="n">
        <v>22.186397338403</v>
      </c>
      <c r="G1384" s="110" t="n">
        <v>665.59192015209</v>
      </c>
      <c r="H1384" s="110" t="inlineStr">
        <is>
          <t>Cálculo por número de funcionários ativos</t>
        </is>
      </c>
    </row>
    <row r="1385" ht="14.25" customHeight="1" s="64">
      <c r="A1385" s="110" t="inlineStr">
        <is>
          <t>AGOSTO/2026</t>
        </is>
      </c>
      <c r="B1385" s="110" t="inlineStr">
        <is>
          <t>Administrativo</t>
        </is>
      </c>
      <c r="C1385" s="110" t="inlineStr">
        <is>
          <t>Custo do departamento Administrativo</t>
        </is>
      </c>
      <c r="D1385" s="110" t="inlineStr">
        <is>
          <t>H&amp;A</t>
        </is>
      </c>
      <c r="F1385" s="110" t="n">
        <v>22.186397338403</v>
      </c>
      <c r="H1385" s="110" t="inlineStr">
        <is>
          <t>Cálculo por número de funcionários ativos (sem quantidade exata para H&amp;A)</t>
        </is>
      </c>
    </row>
    <row r="1386" ht="14.25" customHeight="1" s="64">
      <c r="A1386" s="110" t="inlineStr">
        <is>
          <t>AGOSTO/2026</t>
        </is>
      </c>
      <c r="B1386" s="110" t="inlineStr">
        <is>
          <t>Administrativo</t>
        </is>
      </c>
      <c r="C1386" s="110" t="inlineStr">
        <is>
          <t>Custo do departamento Administrativo</t>
        </is>
      </c>
      <c r="D1386" s="110" t="inlineStr">
        <is>
          <t>Soares e Lins</t>
        </is>
      </c>
      <c r="E1386" s="110" t="n">
        <v>10</v>
      </c>
      <c r="F1386" s="110" t="n">
        <v>22.186397338403</v>
      </c>
      <c r="G1386" s="110" t="n">
        <v>221.86397338403</v>
      </c>
      <c r="H1386" s="110" t="inlineStr">
        <is>
          <t>Cálculo por número de funcionários ativos</t>
        </is>
      </c>
    </row>
    <row r="1387" ht="14.25" customHeight="1" s="64">
      <c r="A1387" s="110" t="inlineStr">
        <is>
          <t>AGOSTO/2026</t>
        </is>
      </c>
      <c r="B1387" s="110" t="inlineStr">
        <is>
          <t>Administrativo</t>
        </is>
      </c>
      <c r="C1387" s="110" t="inlineStr">
        <is>
          <t>Custo do departamento Administrativo</t>
        </is>
      </c>
      <c r="D1387" s="110" t="inlineStr">
        <is>
          <t>Soares e Silva</t>
        </is>
      </c>
      <c r="E1387" s="110" t="n">
        <v>46</v>
      </c>
      <c r="F1387" s="110" t="n">
        <v>22.186397338403</v>
      </c>
      <c r="G1387" s="110" t="n">
        <v>1020.57427756654</v>
      </c>
      <c r="H1387" s="110" t="inlineStr">
        <is>
          <t>Cálculo por número de funcionários ativos</t>
        </is>
      </c>
    </row>
    <row r="1388" ht="14.25" customHeight="1" s="64">
      <c r="A1388" s="110" t="inlineStr">
        <is>
          <t>AGOSTO/2026</t>
        </is>
      </c>
      <c r="B1388" s="110" t="inlineStr">
        <is>
          <t>Administrativo</t>
        </is>
      </c>
      <c r="C1388" s="110" t="inlineStr">
        <is>
          <t>Custo do departamento Administrativo</t>
        </is>
      </c>
      <c r="D1388" s="110" t="inlineStr">
        <is>
          <t>Solon Araújo</t>
        </is>
      </c>
      <c r="E1388" s="110" t="n">
        <v>45</v>
      </c>
      <c r="F1388" s="110" t="n">
        <v>22.186397338403</v>
      </c>
      <c r="G1388" s="110" t="n">
        <v>998.387880228135</v>
      </c>
      <c r="H1388" s="110" t="inlineStr">
        <is>
          <t>Cálculo por número de funcionários ativos</t>
        </is>
      </c>
    </row>
    <row r="1389" ht="14.25" customHeight="1" s="64">
      <c r="A1389" s="110" t="inlineStr">
        <is>
          <t>AGOSTO/2026</t>
        </is>
      </c>
      <c r="B1389" s="110" t="inlineStr">
        <is>
          <t>Administrativo</t>
        </is>
      </c>
      <c r="C1389" s="110" t="inlineStr">
        <is>
          <t>Custo do departamento Administrativo</t>
        </is>
      </c>
      <c r="D1389" s="110" t="inlineStr">
        <is>
          <t>Souza e Silva</t>
        </is>
      </c>
      <c r="E1389" s="110" t="n">
        <v>17</v>
      </c>
      <c r="F1389" s="110" t="n">
        <v>22.186397338403</v>
      </c>
      <c r="G1389" s="110" t="n">
        <v>377.168754752851</v>
      </c>
      <c r="H1389" s="110" t="inlineStr">
        <is>
          <t>Cálculo por número de funcionários ativos</t>
        </is>
      </c>
    </row>
    <row r="1390" ht="14.25" customHeight="1" s="64">
      <c r="A1390" s="110" t="inlineStr">
        <is>
          <t>AGOSTO/2026</t>
        </is>
      </c>
      <c r="B1390" s="110" t="inlineStr">
        <is>
          <t>Administrativo</t>
        </is>
      </c>
      <c r="C1390" s="110" t="inlineStr">
        <is>
          <t>Custo do departamento Administrativo</t>
        </is>
      </c>
      <c r="D1390" s="110" t="inlineStr">
        <is>
          <t>Voicenet</t>
        </is>
      </c>
      <c r="E1390" s="110" t="n">
        <v>23</v>
      </c>
      <c r="F1390" s="110" t="n">
        <v>22.186397338403</v>
      </c>
      <c r="G1390" s="110" t="n">
        <v>510.287138783269</v>
      </c>
      <c r="H1390" s="110" t="inlineStr">
        <is>
          <t>Cálculo por número de funcionários ativos</t>
        </is>
      </c>
    </row>
    <row r="1391" ht="14.25" customHeight="1" s="64">
      <c r="A1391" s="110" t="inlineStr">
        <is>
          <t>AGOSTO/2026</t>
        </is>
      </c>
      <c r="B1391" s="110" t="inlineStr">
        <is>
          <t>Licitação</t>
        </is>
      </c>
      <c r="C1391" s="110" t="inlineStr">
        <is>
          <t>Conselho Regional De Enfermagem De Alagoas</t>
        </is>
      </c>
      <c r="D1391" s="110" t="inlineStr">
        <is>
          <t>H&amp;A</t>
        </is>
      </c>
      <c r="E1391" s="110" t="n">
        <v>1</v>
      </c>
      <c r="F1391" s="110" t="n">
        <v>238.88</v>
      </c>
      <c r="G1391" s="110" t="n">
        <v>238.88</v>
      </c>
      <c r="H1391" s="110" t="inlineStr">
        <is>
          <t>Mensalidade recebida pela H&amp;A (parcela agosto)</t>
        </is>
      </c>
    </row>
    <row r="1392" ht="14.25" customHeight="1" s="64">
      <c r="A1392" s="110" t="inlineStr">
        <is>
          <t>AGOSTO/2026</t>
        </is>
      </c>
      <c r="B1392" s="110" t="inlineStr">
        <is>
          <t>Licitação</t>
        </is>
      </c>
      <c r="C1392" s="110" t="inlineStr">
        <is>
          <t>Conselho Regional de Enfermagem de Pernambuco - Coren PE</t>
        </is>
      </c>
      <c r="D1392" s="110" t="inlineStr">
        <is>
          <t>H&amp;A</t>
        </is>
      </c>
      <c r="E1392" s="110" t="n">
        <v>1</v>
      </c>
      <c r="F1392" s="110" t="n">
        <v>624.79</v>
      </c>
      <c r="G1392" s="110" t="n">
        <v>624.79</v>
      </c>
      <c r="H1392" s="110" t="inlineStr">
        <is>
          <t>Mensalidade recebida pela H&amp;A (parcela agosto)</t>
        </is>
      </c>
    </row>
    <row r="1393" ht="14.25" customHeight="1" s="64">
      <c r="A1393" s="110" t="inlineStr">
        <is>
          <t>AGOSTO/2026</t>
        </is>
      </c>
      <c r="B1393" s="110" t="inlineStr">
        <is>
          <t>Licitação</t>
        </is>
      </c>
      <c r="C1393" s="110" t="inlineStr">
        <is>
          <t>Conselho regional de farmacia dos estado de pernambuco</t>
        </is>
      </c>
      <c r="D1393" s="110" t="inlineStr">
        <is>
          <t>H&amp;A</t>
        </is>
      </c>
      <c r="E1393" s="110" t="n">
        <v>1</v>
      </c>
      <c r="F1393" s="110" t="n">
        <v>510</v>
      </c>
      <c r="G1393" s="110" t="n">
        <v>510</v>
      </c>
      <c r="H1393" s="110" t="inlineStr">
        <is>
          <t>Mensalidade recebida pela H&amp;A (parcela agosto)</t>
        </is>
      </c>
    </row>
    <row r="1394" ht="14.25" customHeight="1" s="64">
      <c r="A1394" s="110" t="inlineStr">
        <is>
          <t>AGOSTO/2026</t>
        </is>
      </c>
      <c r="B1394" s="110" t="inlineStr">
        <is>
          <t>Licitação</t>
        </is>
      </c>
      <c r="C1394" s="110" t="inlineStr">
        <is>
          <t>Câmara de vereadores-Vitória de Stº Antão</t>
        </is>
      </c>
      <c r="D1394" s="110" t="inlineStr">
        <is>
          <t>H&amp;A</t>
        </is>
      </c>
      <c r="E1394" s="110" t="n">
        <v>1</v>
      </c>
      <c r="F1394" s="110" t="n">
        <v>333.1</v>
      </c>
      <c r="G1394" s="110" t="n">
        <v>333.1</v>
      </c>
      <c r="H1394" s="110" t="inlineStr">
        <is>
          <t>Mensalidade recebida pela H&amp;A (parcela agosto)</t>
        </is>
      </c>
    </row>
    <row r="1395" ht="14.25" customHeight="1" s="64">
      <c r="A1395" s="110" t="inlineStr">
        <is>
          <t>AGOSTO/2026</t>
        </is>
      </c>
      <c r="B1395" s="110" t="inlineStr">
        <is>
          <t>Licitação</t>
        </is>
      </c>
      <c r="C1395" s="110" t="inlineStr">
        <is>
          <t>Fundo Municipal De Saude De Primavera</t>
        </is>
      </c>
      <c r="D1395" s="110" t="inlineStr">
        <is>
          <t>H&amp;A</t>
        </is>
      </c>
      <c r="E1395" s="110" t="n">
        <v>1</v>
      </c>
      <c r="F1395" s="110" t="n">
        <v>2973.2</v>
      </c>
      <c r="G1395" s="110" t="n">
        <v>2973.2</v>
      </c>
      <c r="H1395" s="110" t="inlineStr">
        <is>
          <t>Mensalidade recebida pela H&amp;A (parcela agosto)</t>
        </is>
      </c>
    </row>
    <row r="1396" ht="14.25" customHeight="1" s="64">
      <c r="A1396" s="110" t="inlineStr">
        <is>
          <t>AGOSTO/2026</t>
        </is>
      </c>
      <c r="B1396" s="110" t="inlineStr">
        <is>
          <t>Licitação</t>
        </is>
      </c>
      <c r="C1396" s="110" t="inlineStr">
        <is>
          <t>Fundo Municipal de assistencia social de primavera</t>
        </is>
      </c>
      <c r="D1396" s="110" t="inlineStr">
        <is>
          <t>H&amp;A</t>
        </is>
      </c>
      <c r="E1396" s="110" t="n">
        <v>1</v>
      </c>
      <c r="F1396" s="110" t="n">
        <v>1833.24</v>
      </c>
      <c r="G1396" s="110" t="n">
        <v>1833.24</v>
      </c>
      <c r="H1396" s="110" t="inlineStr">
        <is>
          <t>Mensalidade recebida pela H&amp;A (parcela agosto)</t>
        </is>
      </c>
    </row>
    <row r="1397" ht="14.25" customHeight="1" s="64">
      <c r="A1397" s="110" t="inlineStr">
        <is>
          <t>AGOSTO/2026</t>
        </is>
      </c>
      <c r="B1397" s="110" t="inlineStr">
        <is>
          <t>Licitação</t>
        </is>
      </c>
      <c r="C1397" s="110" t="inlineStr">
        <is>
          <t>Municipio De Primavera</t>
        </is>
      </c>
      <c r="D1397" s="110" t="inlineStr">
        <is>
          <t>H&amp;A</t>
        </is>
      </c>
      <c r="E1397" s="110" t="n">
        <v>1</v>
      </c>
      <c r="F1397" s="110" t="n">
        <v>7615.46</v>
      </c>
      <c r="G1397" s="110" t="n">
        <v>7615.46</v>
      </c>
      <c r="H1397" s="110" t="inlineStr">
        <is>
          <t>Mensalidade recebida pela H&amp;A (parcela agosto)</t>
        </is>
      </c>
    </row>
    <row r="1398" ht="14.25" customHeight="1" s="64">
      <c r="A1398" s="110" t="inlineStr">
        <is>
          <t>MAIO/2026</t>
        </is>
      </c>
      <c r="B1398" s="110" t="inlineStr">
        <is>
          <t>Configuração</t>
        </is>
      </c>
      <c r="C1398" s="110" t="inlineStr">
        <is>
          <t>Serviços de configuração e suporte ao Técnico</t>
        </is>
      </c>
      <c r="D1398" s="110" t="inlineStr">
        <is>
          <t>DTEL</t>
        </is>
      </c>
      <c r="E1398" s="110" t="n">
        <v>137756</v>
      </c>
      <c r="F1398" s="110" t="n">
        <v>0.212371943123151</v>
      </c>
      <c r="G1398" s="110" t="n">
        <v>29255.5093968728</v>
      </c>
      <c r="H1398" s="110" t="inlineStr">
        <is>
          <t>Cálculo por número de clientes ativos</t>
        </is>
      </c>
    </row>
    <row r="1399" ht="14.25" customHeight="1" s="64">
      <c r="A1399" s="110" t="inlineStr">
        <is>
          <t>MAIO/2026</t>
        </is>
      </c>
      <c r="B1399" s="110" t="inlineStr">
        <is>
          <t>Desenvolvimento</t>
        </is>
      </c>
      <c r="C1399" s="110" t="inlineStr">
        <is>
          <t>Setor de Desenvolvimento</t>
        </is>
      </c>
      <c r="D1399" s="110" t="inlineStr">
        <is>
          <t>DTEL</t>
        </is>
      </c>
      <c r="E1399" s="110" t="n">
        <v>137756</v>
      </c>
      <c r="F1399" s="110" t="n">
        <v>0.0959225828032635</v>
      </c>
      <c r="G1399" s="110" t="n">
        <v>13213.9113166464</v>
      </c>
      <c r="H1399" s="110" t="inlineStr">
        <is>
          <t>Cálculo por número de clientes ativos</t>
        </is>
      </c>
    </row>
    <row r="1400" ht="14.25" customHeight="1" s="64">
      <c r="A1400" s="110" t="inlineStr">
        <is>
          <t>MAIO/2026</t>
        </is>
      </c>
      <c r="B1400" s="110" t="inlineStr">
        <is>
          <t>Relacionamento</t>
        </is>
      </c>
      <c r="C1400" s="110" t="inlineStr">
        <is>
          <t>Relacionamento Dtel</t>
        </is>
      </c>
      <c r="D1400" s="110" t="inlineStr">
        <is>
          <t>DTEL</t>
        </is>
      </c>
      <c r="E1400" s="110" t="n">
        <v>137756</v>
      </c>
      <c r="F1400" s="110" t="n">
        <v>2.35573300476439</v>
      </c>
      <c r="G1400" s="110" t="n">
        <v>324516.355804323</v>
      </c>
      <c r="H1400" s="110" t="inlineStr">
        <is>
          <t>Cálculo por número de clientes ativos</t>
        </is>
      </c>
    </row>
    <row r="1401" ht="14.25" customHeight="1" s="64">
      <c r="A1401" s="110" t="inlineStr">
        <is>
          <t>JUNHO/2026</t>
        </is>
      </c>
      <c r="B1401" s="110" t="inlineStr">
        <is>
          <t>Configuração</t>
        </is>
      </c>
      <c r="C1401" s="110" t="inlineStr">
        <is>
          <t>Serviços de configuração e suporte ao Técnico</t>
        </is>
      </c>
      <c r="D1401" s="110" t="inlineStr">
        <is>
          <t>DTEL</t>
        </is>
      </c>
      <c r="E1401" s="110" t="n">
        <v>140857</v>
      </c>
      <c r="F1401" s="110" t="n">
        <v>0.253754640366083</v>
      </c>
      <c r="G1401" s="110" t="n">
        <v>35743.1173780453</v>
      </c>
      <c r="H1401" s="110" t="inlineStr">
        <is>
          <t>Cálculo por número de clientes ativos</t>
        </is>
      </c>
    </row>
    <row r="1402" ht="14.25" customHeight="1" s="64">
      <c r="A1402" s="110" t="inlineStr">
        <is>
          <t>JUNHO/2026</t>
        </is>
      </c>
      <c r="B1402" s="110" t="inlineStr">
        <is>
          <t>Desenvolvimento</t>
        </is>
      </c>
      <c r="C1402" s="110" t="inlineStr">
        <is>
          <t>Setor de Desenvolvimento</t>
        </is>
      </c>
      <c r="D1402" s="110" t="inlineStr">
        <is>
          <t>DTEL</t>
        </is>
      </c>
      <c r="E1402" s="110" t="n">
        <v>140857</v>
      </c>
      <c r="F1402" s="110" t="n">
        <v>0.105895207936646</v>
      </c>
      <c r="G1402" s="110" t="n">
        <v>14916.0813043321</v>
      </c>
      <c r="H1402" s="110" t="inlineStr">
        <is>
          <t>Cálculo por número de clientes ativos</t>
        </is>
      </c>
    </row>
    <row r="1403" ht="14.25" customHeight="1" s="64">
      <c r="A1403" s="110" t="inlineStr">
        <is>
          <t>JUNHO/2026</t>
        </is>
      </c>
      <c r="B1403" s="110" t="inlineStr">
        <is>
          <t>Relacionamento</t>
        </is>
      </c>
      <c r="C1403" s="110" t="inlineStr">
        <is>
          <t>Relacionamento Dtel</t>
        </is>
      </c>
      <c r="D1403" s="110" t="inlineStr">
        <is>
          <t>DTEL</t>
        </is>
      </c>
      <c r="E1403" s="110" t="n">
        <v>140857</v>
      </c>
      <c r="F1403" s="110" t="n">
        <v>2.99991610765306</v>
      </c>
      <c r="G1403" s="110" t="n">
        <v>422559.183175687</v>
      </c>
      <c r="H1403" s="110" t="inlineStr">
        <is>
          <t>Cálculo por número de clientes ativos</t>
        </is>
      </c>
    </row>
    <row r="1404" ht="14.25" customHeight="1" s="64">
      <c r="A1404" s="110" t="inlineStr">
        <is>
          <t>JULHO/2026</t>
        </is>
      </c>
      <c r="B1404" s="110" t="inlineStr">
        <is>
          <t>Adm Qualidade</t>
        </is>
      </c>
      <c r="C1404" s="110" t="inlineStr">
        <is>
          <t>Qualidade</t>
        </is>
      </c>
      <c r="D1404" s="110" t="inlineStr">
        <is>
          <t>DTEL</t>
        </is>
      </c>
      <c r="E1404" s="110" t="n">
        <v>146740</v>
      </c>
      <c r="F1404" s="110" t="n">
        <v>0.23</v>
      </c>
      <c r="G1404" s="110" t="n">
        <v>33750.2</v>
      </c>
      <c r="H1404" s="110" t="inlineStr">
        <is>
          <t>Cálculo por número de clientes ativos</t>
        </is>
      </c>
    </row>
    <row r="1405" ht="14.25" customHeight="1" s="64">
      <c r="A1405" s="110" t="inlineStr">
        <is>
          <t>JULHO/2026</t>
        </is>
      </c>
      <c r="B1405" s="110" t="inlineStr">
        <is>
          <t>Configuração</t>
        </is>
      </c>
      <c r="C1405" s="110" t="inlineStr">
        <is>
          <t>Serviços de configuração e suporte ao Técnico</t>
        </is>
      </c>
      <c r="D1405" s="110" t="inlineStr">
        <is>
          <t>DTEL</t>
        </is>
      </c>
      <c r="E1405" s="110" t="n">
        <v>146740</v>
      </c>
      <c r="F1405" s="110" t="n">
        <v>0.2</v>
      </c>
      <c r="G1405" s="110" t="n">
        <v>29348</v>
      </c>
      <c r="H1405" s="110" t="inlineStr">
        <is>
          <t>Cálculo por número de clientes ativos</t>
        </is>
      </c>
    </row>
    <row r="1406" ht="14.25" customHeight="1" s="64">
      <c r="A1406" s="110" t="inlineStr">
        <is>
          <t>JULHO/2026</t>
        </is>
      </c>
      <c r="B1406" s="110" t="inlineStr">
        <is>
          <t>Desenvolvimento</t>
        </is>
      </c>
      <c r="C1406" s="110" t="inlineStr">
        <is>
          <t>Setor de Desenvolvimento</t>
        </is>
      </c>
      <c r="D1406" s="110" t="inlineStr">
        <is>
          <t>DTEL</t>
        </is>
      </c>
      <c r="E1406" s="110" t="n">
        <v>146740</v>
      </c>
      <c r="F1406" s="110" t="n">
        <v>0.101057218436555</v>
      </c>
      <c r="G1406" s="110" t="n">
        <v>14829.1362333801</v>
      </c>
      <c r="H1406" s="110" t="inlineStr">
        <is>
          <t>Cálculo por número de clientes ativos</t>
        </is>
      </c>
    </row>
    <row r="1407" ht="14.25" customHeight="1" s="64">
      <c r="A1407" s="110" t="inlineStr">
        <is>
          <t>JULHO/2026</t>
        </is>
      </c>
      <c r="B1407" s="110" t="inlineStr">
        <is>
          <t>Relacionamento</t>
        </is>
      </c>
      <c r="C1407" s="110" t="inlineStr">
        <is>
          <t>Relacionamento Dtel</t>
        </is>
      </c>
      <c r="D1407" s="110" t="inlineStr">
        <is>
          <t>DTEL</t>
        </is>
      </c>
      <c r="E1407" s="110" t="n">
        <v>146740</v>
      </c>
      <c r="F1407" s="110" t="n">
        <v>3.18253026831306</v>
      </c>
      <c r="G1407" s="110" t="n">
        <v>467004.491572258</v>
      </c>
      <c r="H1407" s="110" t="inlineStr">
        <is>
          <t>Cálculo por número de clientes ativos</t>
        </is>
      </c>
    </row>
    <row r="1408" ht="14.25" customHeight="1" s="64">
      <c r="A1408" s="110" t="inlineStr">
        <is>
          <t>JULHO/2026</t>
        </is>
      </c>
      <c r="B1408" s="110" t="inlineStr">
        <is>
          <t>Compras</t>
        </is>
      </c>
      <c r="C1408" s="110" t="inlineStr">
        <is>
          <t>Compras</t>
        </is>
      </c>
      <c r="D1408" s="110" t="inlineStr">
        <is>
          <t>DTEL</t>
        </is>
      </c>
      <c r="E1408" s="110" t="n">
        <v>146740</v>
      </c>
      <c r="F1408" s="110" t="n">
        <v>0.138633956355371</v>
      </c>
      <c r="G1408" s="110" t="n">
        <v>20343.1467555871</v>
      </c>
      <c r="H1408" s="110" t="inlineStr">
        <is>
          <t>Cálculo por número de clientes ativos</t>
        </is>
      </c>
    </row>
    <row r="1409" ht="14.25" customHeight="1" s="64">
      <c r="A1409" s="110" t="inlineStr">
        <is>
          <t>JULHO/2026</t>
        </is>
      </c>
      <c r="B1409" s="110" t="inlineStr">
        <is>
          <t>Fique Móvel</t>
        </is>
      </c>
      <c r="C1409" s="110" t="inlineStr">
        <is>
          <t>Fique Móvel</t>
        </is>
      </c>
      <c r="D1409" s="110" t="inlineStr">
        <is>
          <t>DTEL</t>
        </is>
      </c>
      <c r="E1409" s="110" t="n">
        <v>146740</v>
      </c>
      <c r="F1409" s="110" t="n">
        <v>0.071167700671494</v>
      </c>
      <c r="G1409" s="110" t="n">
        <v>10443.148396535</v>
      </c>
      <c r="H1409" s="110" t="inlineStr">
        <is>
          <t>Cálculo por número de clientes ativos</t>
        </is>
      </c>
    </row>
    <row r="1410" ht="14.25" customHeight="1" s="64">
      <c r="A1410" s="110" t="inlineStr">
        <is>
          <t>JULHO/2026</t>
        </is>
      </c>
      <c r="B1410" s="110" t="inlineStr">
        <is>
          <t>Financeiro</t>
        </is>
      </c>
      <c r="C1410" s="110" t="inlineStr">
        <is>
          <t>Financeiro</t>
        </is>
      </c>
      <c r="D1410" s="110" t="inlineStr">
        <is>
          <t>DTEL</t>
        </is>
      </c>
      <c r="E1410" s="110" t="n">
        <v>146740</v>
      </c>
      <c r="F1410" s="110" t="n">
        <v>0.373762045947462</v>
      </c>
      <c r="G1410" s="110" t="n">
        <v>54845.8426223306</v>
      </c>
      <c r="H1410" s="110" t="inlineStr">
        <is>
          <t>Cálculo por número de clientes ativos</t>
        </is>
      </c>
    </row>
    <row r="1411" ht="14.25" customHeight="1" s="64">
      <c r="A1411" s="110" t="inlineStr">
        <is>
          <t>JULHO/2026</t>
        </is>
      </c>
      <c r="B1411" s="110" t="inlineStr">
        <is>
          <t>Jurídico</t>
        </is>
      </c>
      <c r="C1411" s="110" t="inlineStr">
        <is>
          <t>Jurídico</t>
        </is>
      </c>
      <c r="D1411" s="110" t="inlineStr">
        <is>
          <t>DTEL</t>
        </is>
      </c>
      <c r="E1411" s="110" t="n">
        <v>146740</v>
      </c>
      <c r="F1411" s="110" t="n">
        <v>0.07937530708567631</v>
      </c>
      <c r="G1411" s="110" t="n">
        <v>11647.5325617521</v>
      </c>
      <c r="H1411" s="110" t="inlineStr">
        <is>
          <t>Cálculo por número de clientes ativos</t>
        </is>
      </c>
    </row>
    <row r="1412" ht="14.25" customHeight="1" s="64">
      <c r="A1412" s="110" t="inlineStr">
        <is>
          <t>JULHO/2026</t>
        </is>
      </c>
      <c r="B1412" s="110" t="inlineStr">
        <is>
          <t>Logistica</t>
        </is>
      </c>
      <c r="C1412" s="110" t="inlineStr">
        <is>
          <t>Logistica</t>
        </is>
      </c>
      <c r="D1412" s="110" t="inlineStr">
        <is>
          <t>DTEL</t>
        </is>
      </c>
      <c r="E1412" s="110" t="n">
        <v>146740</v>
      </c>
      <c r="F1412" s="110" t="n">
        <v>0.713317605064246</v>
      </c>
      <c r="G1412" s="110" t="n">
        <v>104672.225367128</v>
      </c>
      <c r="H1412" s="110" t="inlineStr">
        <is>
          <t>Cálculo por número de clientes ativos</t>
        </is>
      </c>
    </row>
    <row r="1413" ht="14.25" customHeight="1" s="64">
      <c r="A1413" s="110" t="inlineStr">
        <is>
          <t>JULHO/2026</t>
        </is>
      </c>
      <c r="B1413" s="110" t="inlineStr">
        <is>
          <t>NOC</t>
        </is>
      </c>
      <c r="C1413" s="110" t="inlineStr">
        <is>
          <t>NOC</t>
        </is>
      </c>
      <c r="D1413" s="110" t="inlineStr">
        <is>
          <t>DTEL</t>
        </is>
      </c>
      <c r="E1413" s="110" t="n">
        <v>146740</v>
      </c>
      <c r="F1413" s="110" t="n">
        <v>0.371854</v>
      </c>
      <c r="G1413" s="110" t="n">
        <v>54565.85596</v>
      </c>
      <c r="H1413" s="110" t="inlineStr">
        <is>
          <t>Cálculo por número de clientes ativos</t>
        </is>
      </c>
    </row>
    <row r="1414" ht="14.25" customHeight="1" s="64">
      <c r="A1414" s="110" t="inlineStr">
        <is>
          <t>MAIO/2026</t>
        </is>
      </c>
      <c r="B1414" s="110" t="inlineStr">
        <is>
          <t>Diretoria Adm</t>
        </is>
      </c>
      <c r="C1414" s="110" t="inlineStr">
        <is>
          <t>Diretoria Adm</t>
        </is>
      </c>
      <c r="D1414" s="110" t="inlineStr">
        <is>
          <t>DTEL</t>
        </is>
      </c>
      <c r="E1414" s="110" t="n">
        <v>137756</v>
      </c>
      <c r="F1414" s="110" t="n">
        <v>0.154543612417484</v>
      </c>
      <c r="G1414" s="110" t="n">
        <v>21289.3098721829</v>
      </c>
      <c r="H1414" s="110" t="inlineStr">
        <is>
          <t>Cálculo por número de clientes ativos</t>
        </is>
      </c>
    </row>
    <row r="1415" ht="14.25" customHeight="1" s="64">
      <c r="A1415" s="110" t="inlineStr">
        <is>
          <t>JUNHO/2026</t>
        </is>
      </c>
      <c r="B1415" s="110" t="inlineStr">
        <is>
          <t>Diretoria Adm</t>
        </is>
      </c>
      <c r="C1415" s="110" t="inlineStr">
        <is>
          <t>Diretoria Adm</t>
        </is>
      </c>
      <c r="D1415" s="110" t="inlineStr">
        <is>
          <t>DTEL</t>
        </is>
      </c>
      <c r="E1415" s="110" t="n">
        <v>140857</v>
      </c>
      <c r="F1415" s="110" t="n">
        <v>0.150676625241861</v>
      </c>
      <c r="G1415" s="110" t="n">
        <v>21223.8574016928</v>
      </c>
      <c r="H1415" s="110" t="inlineStr">
        <is>
          <t>Cálculo por número de clientes ativos</t>
        </is>
      </c>
    </row>
    <row r="1416" ht="14.25" customHeight="1" s="64">
      <c r="A1416" s="110" t="inlineStr">
        <is>
          <t>JULHO/2026</t>
        </is>
      </c>
      <c r="B1416" s="110" t="inlineStr">
        <is>
          <t>Diretoria Adm</t>
        </is>
      </c>
      <c r="C1416" s="110" t="inlineStr">
        <is>
          <t>Diretoria Adm</t>
        </is>
      </c>
      <c r="D1416" s="110" t="inlineStr">
        <is>
          <t>DTEL</t>
        </is>
      </c>
      <c r="E1416" s="110" t="n">
        <v>146740</v>
      </c>
      <c r="F1416" s="110" t="n">
        <v>0.145289779573281</v>
      </c>
      <c r="G1416" s="110" t="n">
        <v>21319.8222545833</v>
      </c>
      <c r="H1416" s="110" t="inlineStr">
        <is>
          <t>Cálculo por número de clientes ativos</t>
        </is>
      </c>
    </row>
    <row r="1417" ht="14.25" customHeight="1" s="64">
      <c r="A1417" s="110" t="inlineStr">
        <is>
          <t>MAIO/2026</t>
        </is>
      </c>
      <c r="B1417" s="110" t="inlineStr">
        <is>
          <t>Diretoria Operacional</t>
        </is>
      </c>
      <c r="C1417" s="110" t="inlineStr">
        <is>
          <t>Diretoria Operacional</t>
        </is>
      </c>
      <c r="D1417" s="110" t="inlineStr">
        <is>
          <t>DTEL</t>
        </is>
      </c>
      <c r="E1417" s="110" t="n">
        <v>137756</v>
      </c>
      <c r="F1417" s="110" t="n">
        <v>0.145293801710045</v>
      </c>
      <c r="G1417" s="110" t="n">
        <v>20015.092948369</v>
      </c>
      <c r="H1417" s="110" t="inlineStr">
        <is>
          <t>Cálculo por número de clientes ativos</t>
        </is>
      </c>
    </row>
    <row r="1418" ht="14.25" customHeight="1" s="64">
      <c r="A1418" s="110" t="inlineStr">
        <is>
          <t>JUNHO/2026</t>
        </is>
      </c>
      <c r="B1418" s="110" t="inlineStr">
        <is>
          <t>Diretoria Operacional</t>
        </is>
      </c>
      <c r="C1418" s="110" t="inlineStr">
        <is>
          <t>Diretoria Operacional</t>
        </is>
      </c>
      <c r="D1418" s="110" t="inlineStr">
        <is>
          <t>DTEL</t>
        </is>
      </c>
      <c r="E1418" s="110" t="n">
        <v>140857</v>
      </c>
      <c r="F1418" s="110" t="n">
        <v>0.146782423739836</v>
      </c>
      <c r="G1418" s="110" t="n">
        <v>20675.3318607221</v>
      </c>
      <c r="H1418" s="110" t="inlineStr">
        <is>
          <t>Cálculo por número de clientes ativos</t>
        </is>
      </c>
    </row>
    <row r="1419" ht="14.25" customHeight="1" s="64">
      <c r="A1419" s="110" t="inlineStr">
        <is>
          <t>JULHO/2026</t>
        </is>
      </c>
      <c r="B1419" s="110" t="inlineStr">
        <is>
          <t>Diretoria Operacional</t>
        </is>
      </c>
      <c r="C1419" s="110" t="inlineStr">
        <is>
          <t>Diretoria Operacional</t>
        </is>
      </c>
      <c r="D1419" s="110" t="inlineStr">
        <is>
          <t>DTEL</t>
        </is>
      </c>
      <c r="E1419" s="110" t="n">
        <v>146740</v>
      </c>
      <c r="F1419" s="110" t="n">
        <v>0.136978220673766</v>
      </c>
      <c r="G1419" s="110" t="n">
        <v>20100.1841016684</v>
      </c>
      <c r="H1419" s="110" t="inlineStr">
        <is>
          <t>Cálculo por número de clientes ativos</t>
        </is>
      </c>
    </row>
    <row r="1420" ht="14.25" customHeight="1" s="64">
      <c r="A1420" s="110" t="inlineStr">
        <is>
          <t>MAIO/2026</t>
        </is>
      </c>
      <c r="B1420" s="110" t="inlineStr">
        <is>
          <t>Gestão de Atendimento</t>
        </is>
      </c>
      <c r="C1420" s="110" t="inlineStr">
        <is>
          <t>Gestão de Atendimento</t>
        </is>
      </c>
      <c r="D1420" s="110" t="inlineStr">
        <is>
          <t>DTEL</t>
        </is>
      </c>
      <c r="E1420" s="110" t="n">
        <v>137756</v>
      </c>
      <c r="F1420" s="110" t="n">
        <v>0.23174321635211</v>
      </c>
      <c r="G1420" s="110" t="n">
        <v>31924.0185118013</v>
      </c>
      <c r="H1420" s="110" t="inlineStr">
        <is>
          <t>Cálculo por número de clientes ativos</t>
        </is>
      </c>
    </row>
    <row r="1421" ht="14.25" customHeight="1" s="64">
      <c r="A1421" s="110" t="inlineStr">
        <is>
          <t>JUNHO/2026</t>
        </is>
      </c>
      <c r="B1421" s="110" t="inlineStr">
        <is>
          <t>Gestão de Atendimento</t>
        </is>
      </c>
      <c r="C1421" s="110" t="inlineStr">
        <is>
          <t>Gestão de Atendimento</t>
        </is>
      </c>
      <c r="D1421" s="110" t="inlineStr">
        <is>
          <t>DTEL</t>
        </is>
      </c>
      <c r="E1421" s="110" t="n">
        <v>140857</v>
      </c>
      <c r="F1421" s="110" t="n">
        <v>0.251543736341568</v>
      </c>
      <c r="G1421" s="110" t="n">
        <v>35431.6960698642</v>
      </c>
      <c r="H1421" s="110" t="inlineStr">
        <is>
          <t>Cálculo por número de clientes ativos</t>
        </is>
      </c>
    </row>
    <row r="1422" ht="14.25" customHeight="1" s="64">
      <c r="A1422" s="110" t="inlineStr">
        <is>
          <t>JULHO/2026</t>
        </is>
      </c>
      <c r="B1422" s="110" t="inlineStr">
        <is>
          <t>Gestão de Atendimento</t>
        </is>
      </c>
      <c r="C1422" s="110" t="inlineStr">
        <is>
          <t>Gestão de Atendimento</t>
        </is>
      </c>
      <c r="D1422" s="110" t="inlineStr">
        <is>
          <t>DTEL</t>
        </is>
      </c>
      <c r="E1422" s="110" t="n">
        <v>146740</v>
      </c>
      <c r="F1422" s="110" t="n">
        <v>0.229782928031525</v>
      </c>
      <c r="G1422" s="110" t="n">
        <v>33718.346859346</v>
      </c>
      <c r="H1422" s="110" t="inlineStr">
        <is>
          <t>Cálculo por número de clientes ativos</t>
        </is>
      </c>
    </row>
    <row r="1423" ht="14.25" customHeight="1" s="64">
      <c r="A1423" s="110" t="inlineStr">
        <is>
          <t>MAIO/2026</t>
        </is>
      </c>
      <c r="B1423" s="110" t="inlineStr">
        <is>
          <t>CAC</t>
        </is>
      </c>
      <c r="C1423" s="110" t="inlineStr">
        <is>
          <t>CAC</t>
        </is>
      </c>
      <c r="D1423" s="110" t="inlineStr">
        <is>
          <t>DTEL</t>
        </is>
      </c>
      <c r="E1423" s="110" t="n">
        <v>137756</v>
      </c>
      <c r="F1423" s="110" t="n">
        <v>0.08554408525717749</v>
      </c>
      <c r="G1423" s="110" t="n">
        <v>11784.2110086877</v>
      </c>
      <c r="H1423" s="110" t="inlineStr">
        <is>
          <t>Cálculo por número de clientes ativos</t>
        </is>
      </c>
    </row>
    <row r="1424" ht="14.25" customHeight="1" s="64">
      <c r="A1424" s="110" t="inlineStr">
        <is>
          <t>JUNHO/2026</t>
        </is>
      </c>
      <c r="B1424" s="110" t="inlineStr">
        <is>
          <t>CAC</t>
        </is>
      </c>
      <c r="C1424" s="110" t="inlineStr">
        <is>
          <t>CAC</t>
        </is>
      </c>
      <c r="D1424" s="110" t="inlineStr">
        <is>
          <t>DTEL</t>
        </is>
      </c>
      <c r="E1424" s="110" t="n">
        <v>140857</v>
      </c>
      <c r="F1424" s="110" t="n">
        <v>0.08612507967953691</v>
      </c>
      <c r="G1424" s="110" t="n">
        <v>12131.3203484205</v>
      </c>
      <c r="H1424" s="110" t="inlineStr">
        <is>
          <t>Cálculo por número de clientes ativos</t>
        </is>
      </c>
    </row>
    <row r="1425" ht="14.25" customHeight="1" s="64">
      <c r="A1425" s="110" t="inlineStr">
        <is>
          <t>JULHO/2026</t>
        </is>
      </c>
      <c r="B1425" s="110" t="inlineStr">
        <is>
          <t>CAC</t>
        </is>
      </c>
      <c r="C1425" s="110" t="inlineStr">
        <is>
          <t>CAC</t>
        </is>
      </c>
      <c r="D1425" s="110" t="inlineStr">
        <is>
          <t>DTEL</t>
        </is>
      </c>
      <c r="E1425" s="110" t="n">
        <v>146740</v>
      </c>
      <c r="F1425" s="110" t="n">
        <v>0.055610036180276</v>
      </c>
      <c r="G1425" s="110" t="n">
        <v>8160.2167090937</v>
      </c>
      <c r="H1425" s="110" t="inlineStr">
        <is>
          <t>Cálculo por número de clientes ativos</t>
        </is>
      </c>
    </row>
    <row r="1426" ht="14.25" customHeight="1" s="64">
      <c r="A1426" s="110" t="inlineStr">
        <is>
          <t>MAIO/2026</t>
        </is>
      </c>
      <c r="B1426" s="110" t="inlineStr">
        <is>
          <t>Contabilidade</t>
        </is>
      </c>
      <c r="C1426" s="110" t="inlineStr">
        <is>
          <t>Contabilidade</t>
        </is>
      </c>
      <c r="D1426" s="110" t="inlineStr">
        <is>
          <t>DTEL</t>
        </is>
      </c>
      <c r="E1426" s="110" t="n">
        <v>137756</v>
      </c>
      <c r="F1426" s="110" t="n">
        <v>0.142966123730576</v>
      </c>
      <c r="G1426" s="110" t="n">
        <v>19694.4413406292</v>
      </c>
      <c r="H1426" s="110" t="inlineStr">
        <is>
          <t>Cálculo por número de clientes ativos</t>
        </is>
      </c>
    </row>
    <row r="1427" ht="14.25" customHeight="1" s="64">
      <c r="A1427" s="110" t="inlineStr">
        <is>
          <t>JUNHO/2026</t>
        </is>
      </c>
      <c r="B1427" s="110" t="inlineStr">
        <is>
          <t>Contabilidade</t>
        </is>
      </c>
      <c r="C1427" s="110" t="inlineStr">
        <is>
          <t>Contabilidade</t>
        </is>
      </c>
      <c r="D1427" s="110" t="inlineStr">
        <is>
          <t>DTEL</t>
        </is>
      </c>
      <c r="E1427" s="110" t="n">
        <v>140857</v>
      </c>
      <c r="F1427" s="110" t="n">
        <v>0.193641774947009</v>
      </c>
      <c r="G1427" s="110" t="n">
        <v>27275.7994937108</v>
      </c>
      <c r="H1427" s="110" t="inlineStr">
        <is>
          <t>Cálculo por número de clientes ativos</t>
        </is>
      </c>
    </row>
    <row r="1428" ht="14.25" customHeight="1" s="64">
      <c r="A1428" s="110" t="inlineStr">
        <is>
          <t>JULHO/2026</t>
        </is>
      </c>
      <c r="B1428" s="110" t="inlineStr">
        <is>
          <t>Contabilidade</t>
        </is>
      </c>
      <c r="C1428" s="110" t="inlineStr">
        <is>
          <t>Contabilidade</t>
        </is>
      </c>
      <c r="D1428" s="110" t="inlineStr">
        <is>
          <t>DTEL</t>
        </is>
      </c>
      <c r="E1428" s="110" t="n">
        <v>146740</v>
      </c>
      <c r="F1428" s="110" t="n">
        <v>0.182358458491943</v>
      </c>
      <c r="G1428" s="110" t="n">
        <v>26759.2801991077</v>
      </c>
      <c r="H1428" s="110" t="inlineStr">
        <is>
          <t>Cálculo por número de clientes ativos</t>
        </is>
      </c>
    </row>
    <row r="1429" ht="14.25" customHeight="1" s="64">
      <c r="A1429" s="110" t="inlineStr">
        <is>
          <t>MAIO/2026</t>
        </is>
      </c>
      <c r="B1429" s="110" t="inlineStr">
        <is>
          <t>TIC</t>
        </is>
      </c>
      <c r="C1429" s="110" t="inlineStr">
        <is>
          <t>Setor de TIC</t>
        </is>
      </c>
      <c r="D1429" s="110" t="inlineStr">
        <is>
          <t>DTEL</t>
        </is>
      </c>
      <c r="E1429" s="110" t="n">
        <v>137756</v>
      </c>
      <c r="F1429" s="110" t="n">
        <v>0.148830177998923</v>
      </c>
      <c r="G1429" s="110" t="n">
        <v>20502.2500004196</v>
      </c>
      <c r="H1429" s="110" t="inlineStr">
        <is>
          <t>Cálculo por número de clientes ativos</t>
        </is>
      </c>
    </row>
    <row r="1430" ht="14.25" customHeight="1" s="64">
      <c r="A1430" s="110" t="inlineStr">
        <is>
          <t>JUNHO/2026</t>
        </is>
      </c>
      <c r="B1430" s="110" t="inlineStr">
        <is>
          <t>TIC</t>
        </is>
      </c>
      <c r="C1430" s="110" t="inlineStr">
        <is>
          <t>Setor de TIC</t>
        </is>
      </c>
      <c r="D1430" s="110" t="inlineStr">
        <is>
          <t>DTEL</t>
        </is>
      </c>
      <c r="E1430" s="110" t="n">
        <v>140857</v>
      </c>
      <c r="F1430" s="110" t="n">
        <v>0.165505113968682</v>
      </c>
      <c r="G1430" s="110" t="n">
        <v>23312.5538382866</v>
      </c>
      <c r="H1430" s="110" t="inlineStr">
        <is>
          <t>Cálculo por número de clientes ativos</t>
        </is>
      </c>
    </row>
    <row r="1431" ht="14.25" customHeight="1" s="64">
      <c r="A1431" s="110" t="inlineStr">
        <is>
          <t>JULHO/2026</t>
        </is>
      </c>
      <c r="B1431" s="110" t="inlineStr">
        <is>
          <t>TIC</t>
        </is>
      </c>
      <c r="C1431" s="110" t="inlineStr">
        <is>
          <t>Setor de TIC</t>
        </is>
      </c>
      <c r="D1431" s="110" t="inlineStr">
        <is>
          <t>DTEL</t>
        </is>
      </c>
      <c r="E1431" s="110" t="n">
        <v>146740</v>
      </c>
      <c r="F1431" s="110" t="n">
        <v>0.170974700825347</v>
      </c>
      <c r="G1431" s="110" t="n">
        <v>25088.8275991114</v>
      </c>
      <c r="H1431" s="110" t="inlineStr">
        <is>
          <t>Cálculo por número de clientes ativos</t>
        </is>
      </c>
    </row>
    <row r="1432" ht="14.25" customHeight="1" s="64">
      <c r="A1432" s="110" t="inlineStr">
        <is>
          <t>MAIO/2026</t>
        </is>
      </c>
      <c r="B1432" s="110" t="inlineStr">
        <is>
          <t>Marketing</t>
        </is>
      </c>
      <c r="C1432" s="110" t="inlineStr">
        <is>
          <t>Setor de Marketing</t>
        </is>
      </c>
      <c r="D1432" s="110" t="inlineStr">
        <is>
          <t>DTEL</t>
        </is>
      </c>
      <c r="E1432" s="110" t="n">
        <v>137756</v>
      </c>
      <c r="F1432" s="110" t="n">
        <v>0.319464004034977</v>
      </c>
      <c r="G1432" s="110" t="n">
        <v>44008.0833398423</v>
      </c>
      <c r="H1432" s="110" t="inlineStr">
        <is>
          <t>Cálculo por número de clientes ativos</t>
        </is>
      </c>
    </row>
    <row r="1433" ht="14.25" customHeight="1" s="64">
      <c r="A1433" s="110" t="inlineStr">
        <is>
          <t>JUNHO/2026</t>
        </is>
      </c>
      <c r="B1433" s="110" t="inlineStr">
        <is>
          <t>Marketing</t>
        </is>
      </c>
      <c r="C1433" s="110" t="inlineStr">
        <is>
          <t>Setor de Marketing</t>
        </is>
      </c>
      <c r="D1433" s="110" t="inlineStr">
        <is>
          <t>DTEL</t>
        </is>
      </c>
      <c r="E1433" s="110" t="n">
        <v>140857</v>
      </c>
      <c r="F1433" s="110" t="n">
        <v>0.293099708996474</v>
      </c>
      <c r="G1433" s="110" t="n">
        <v>41285.1457101163</v>
      </c>
      <c r="H1433" s="110" t="inlineStr">
        <is>
          <t>Cálculo por número de clientes ativos</t>
        </is>
      </c>
    </row>
    <row r="1434" ht="14.25" customHeight="1" s="64">
      <c r="A1434" s="110" t="inlineStr">
        <is>
          <t>JULHO/2026</t>
        </is>
      </c>
      <c r="B1434" s="110" t="inlineStr">
        <is>
          <t>Marketing</t>
        </is>
      </c>
      <c r="C1434" s="110" t="inlineStr">
        <is>
          <t>Setor de Marketing</t>
        </is>
      </c>
      <c r="D1434" s="110" t="inlineStr">
        <is>
          <t>DTEL</t>
        </is>
      </c>
      <c r="E1434" s="110" t="n">
        <v>146740</v>
      </c>
      <c r="F1434" s="110" t="n">
        <v>0.299382438917867</v>
      </c>
      <c r="G1434" s="110" t="n">
        <v>43931.3790868078</v>
      </c>
      <c r="H1434" s="110" t="inlineStr">
        <is>
          <t>Cálculo por número de clientes ativos</t>
        </is>
      </c>
    </row>
    <row r="1435" ht="14.25" customHeight="1" s="64">
      <c r="A1435" s="110" t="inlineStr">
        <is>
          <t>MAIO/2026</t>
        </is>
      </c>
      <c r="B1435" s="110" t="inlineStr">
        <is>
          <t>Estoque</t>
        </is>
      </c>
      <c r="C1435" s="110" t="inlineStr">
        <is>
          <t>Estoque</t>
        </is>
      </c>
      <c r="D1435" s="110" t="inlineStr">
        <is>
          <t>DTEL</t>
        </is>
      </c>
      <c r="E1435" s="110" t="n">
        <v>137756</v>
      </c>
      <c r="F1435" s="110" t="n">
        <v>0.305046267385157</v>
      </c>
      <c r="G1435" s="110" t="n">
        <v>42021.9536099097</v>
      </c>
      <c r="H1435" s="110" t="inlineStr">
        <is>
          <t>Cálculo por número de clientes ativos</t>
        </is>
      </c>
    </row>
    <row r="1436" ht="14.25" customHeight="1" s="64">
      <c r="A1436" s="110" t="inlineStr">
        <is>
          <t>JUNHO/2026</t>
        </is>
      </c>
      <c r="B1436" s="110" t="inlineStr">
        <is>
          <t>Estoque</t>
        </is>
      </c>
      <c r="C1436" s="110" t="inlineStr">
        <is>
          <t>Estoque</t>
        </is>
      </c>
      <c r="D1436" s="110" t="inlineStr">
        <is>
          <t>DTEL</t>
        </is>
      </c>
      <c r="E1436" s="110" t="n">
        <v>140857</v>
      </c>
      <c r="F1436" s="110" t="n">
        <v>0.340289469983525</v>
      </c>
      <c r="G1436" s="110" t="n">
        <v>47932.1538734694</v>
      </c>
      <c r="H1436" s="110" t="inlineStr">
        <is>
          <t>Cálculo por número de clientes ativos</t>
        </is>
      </c>
    </row>
    <row r="1437" ht="14.25" customHeight="1" s="64">
      <c r="A1437" s="110" t="inlineStr">
        <is>
          <t>JULHO/2026</t>
        </is>
      </c>
      <c r="B1437" s="110" t="inlineStr">
        <is>
          <t>Estoque</t>
        </is>
      </c>
      <c r="C1437" s="110" t="inlineStr">
        <is>
          <t>Estoque</t>
        </is>
      </c>
      <c r="D1437" s="110" t="inlineStr">
        <is>
          <t>DTEL</t>
        </is>
      </c>
      <c r="E1437" s="110" t="n">
        <v>146740</v>
      </c>
      <c r="F1437" s="110" t="n">
        <v>0.581586901648213</v>
      </c>
      <c r="G1437" s="110" t="n">
        <v>85342.06194785881</v>
      </c>
      <c r="H1437" s="110" t="inlineStr">
        <is>
          <t>Cálculo por número de clientes ativos</t>
        </is>
      </c>
    </row>
    <row r="1438" ht="14.25" customHeight="1" s="64">
      <c r="A1438" s="110" t="inlineStr">
        <is>
          <t>MAIO/2026</t>
        </is>
      </c>
      <c r="B1438" s="110" t="inlineStr">
        <is>
          <t>Engenharia</t>
        </is>
      </c>
      <c r="C1438" s="110" t="inlineStr">
        <is>
          <t>Administração da Engenharia</t>
        </is>
      </c>
      <c r="D1438" s="110" t="inlineStr">
        <is>
          <t>DTEL</t>
        </is>
      </c>
      <c r="E1438" s="110" t="n">
        <v>137756</v>
      </c>
      <c r="F1438" s="110" t="n">
        <v>0.378228421498273</v>
      </c>
      <c r="G1438" s="110" t="n">
        <v>52103.2344319161</v>
      </c>
      <c r="H1438" s="110" t="inlineStr">
        <is>
          <t>Cálculo por número de clientes ativos (apenas Engenharia — Projetista cobrado em linha própria)</t>
        </is>
      </c>
    </row>
    <row r="1439" ht="14.25" customHeight="1" s="64">
      <c r="A1439" s="110" t="inlineStr">
        <is>
          <t>JUNHO/2026</t>
        </is>
      </c>
      <c r="B1439" s="110" t="inlineStr">
        <is>
          <t>Engenharia</t>
        </is>
      </c>
      <c r="C1439" s="110" t="inlineStr">
        <is>
          <t>Administração da Engenharia</t>
        </is>
      </c>
      <c r="D1439" s="110" t="inlineStr">
        <is>
          <t>DTEL</t>
        </is>
      </c>
      <c r="E1439" s="110" t="n">
        <v>140857</v>
      </c>
      <c r="F1439" s="110" t="n">
        <v>0.377040492601736</v>
      </c>
      <c r="G1439" s="110" t="n">
        <v>53108.7926664027</v>
      </c>
      <c r="H1439" s="110" t="inlineStr">
        <is>
          <t>Cálculo por número de clientes ativos (apenas Engenharia — Projetista cobrado em linha própria)</t>
        </is>
      </c>
    </row>
    <row r="1440" ht="14.25" customHeight="1" s="64">
      <c r="A1440" s="110" t="inlineStr">
        <is>
          <t>JULHO/2026</t>
        </is>
      </c>
      <c r="B1440" s="110" t="inlineStr">
        <is>
          <t>Engenharia</t>
        </is>
      </c>
      <c r="C1440" s="110" t="inlineStr">
        <is>
          <t>Administração da Engenharia</t>
        </is>
      </c>
      <c r="D1440" s="110" t="inlineStr">
        <is>
          <t>DTEL</t>
        </is>
      </c>
      <c r="E1440" s="110" t="n">
        <v>146740</v>
      </c>
      <c r="F1440" s="110" t="n">
        <v>0.444492255237207</v>
      </c>
      <c r="G1440" s="110" t="n">
        <v>65224.7935335077</v>
      </c>
      <c r="H1440" s="110" t="inlineStr">
        <is>
          <t>Cálculo por número de clientes ativos (apenas Engenharia — Projetista cobrado em linha própria)</t>
        </is>
      </c>
    </row>
    <row r="1441" ht="14.25" customHeight="1" s="64">
      <c r="A1441" s="110" t="inlineStr">
        <is>
          <t>MAIO/2026</t>
        </is>
      </c>
      <c r="B1441" s="110" t="inlineStr">
        <is>
          <t>Controladoria</t>
        </is>
      </c>
      <c r="C1441" s="110" t="inlineStr">
        <is>
          <t>Controladoria</t>
        </is>
      </c>
      <c r="D1441" s="110" t="inlineStr">
        <is>
          <t>DTEL</t>
        </is>
      </c>
      <c r="E1441" s="110" t="n">
        <v>137756</v>
      </c>
      <c r="F1441" s="110" t="n">
        <v>0.09508543964521469</v>
      </c>
      <c r="G1441" s="110" t="n">
        <v>13098.5898237662</v>
      </c>
      <c r="H1441" s="110" t="inlineStr">
        <is>
          <t>Cálculo por número de clientes ativos</t>
        </is>
      </c>
    </row>
    <row r="1442" ht="14.25" customHeight="1" s="64">
      <c r="A1442" s="110" t="inlineStr">
        <is>
          <t>JUNHO/2026</t>
        </is>
      </c>
      <c r="B1442" s="110" t="inlineStr">
        <is>
          <t>Controladoria</t>
        </is>
      </c>
      <c r="C1442" s="110" t="inlineStr">
        <is>
          <t>Controladoria</t>
        </is>
      </c>
      <c r="D1442" s="110" t="inlineStr">
        <is>
          <t>DTEL</t>
        </is>
      </c>
      <c r="E1442" s="110" t="n">
        <v>140857</v>
      </c>
      <c r="F1442" s="110" t="n">
        <v>0.09264797074567729</v>
      </c>
      <c r="G1442" s="110" t="n">
        <v>13050.1152153239</v>
      </c>
      <c r="H1442" s="110" t="inlineStr">
        <is>
          <t>Cálculo por número de clientes ativos</t>
        </is>
      </c>
    </row>
    <row r="1443" ht="14.25" customHeight="1" s="64">
      <c r="A1443" s="110" t="inlineStr">
        <is>
          <t>JULHO/2026</t>
        </is>
      </c>
      <c r="B1443" s="110" t="inlineStr">
        <is>
          <t>Controladoria</t>
        </is>
      </c>
      <c r="C1443" s="110" t="inlineStr">
        <is>
          <t>Controladoria</t>
        </is>
      </c>
      <c r="D1443" s="110" t="inlineStr">
        <is>
          <t>DTEL</t>
        </is>
      </c>
      <c r="E1443" s="110" t="n">
        <v>146740</v>
      </c>
      <c r="F1443" s="110" t="n">
        <v>0.0997407208857964</v>
      </c>
      <c r="G1443" s="110" t="n">
        <v>14635.9533827818</v>
      </c>
      <c r="H1443" s="110" t="inlineStr">
        <is>
          <t>Cálculo por número de clientes ativos</t>
        </is>
      </c>
    </row>
    <row r="1444" ht="14.25" customHeight="1" s="64">
      <c r="A1444" s="110" t="inlineStr">
        <is>
          <t>AGOSTO/2026</t>
        </is>
      </c>
      <c r="B1444" s="110" t="inlineStr">
        <is>
          <t>Compras</t>
        </is>
      </c>
      <c r="C1444" s="110" t="inlineStr">
        <is>
          <t>Compras</t>
        </is>
      </c>
      <c r="D1444" s="110" t="inlineStr">
        <is>
          <t>DTEL</t>
        </is>
      </c>
      <c r="E1444" s="110" t="n">
        <v>142395</v>
      </c>
      <c r="F1444" s="110" t="n">
        <v>0.128580108535781</v>
      </c>
      <c r="G1444" s="110" t="n">
        <v>18309.1645549525</v>
      </c>
      <c r="H1444" s="110" t="inlineStr">
        <is>
          <t>Cálculo por número de clientes ativos</t>
        </is>
      </c>
    </row>
    <row r="1445" ht="14.25" customHeight="1" s="64">
      <c r="A1445" s="110" t="inlineStr">
        <is>
          <t>AGOSTO/2026</t>
        </is>
      </c>
      <c r="B1445" s="110" t="inlineStr">
        <is>
          <t>NOC</t>
        </is>
      </c>
      <c r="C1445" s="110" t="inlineStr">
        <is>
          <t>NOC</t>
        </is>
      </c>
      <c r="D1445" s="110" t="inlineStr">
        <is>
          <t>DTEL</t>
        </is>
      </c>
      <c r="E1445" s="110" t="n">
        <v>142395</v>
      </c>
      <c r="F1445" s="110" t="n">
        <v>0.217040117664959</v>
      </c>
      <c r="G1445" s="110" t="n">
        <v>30905.4275549018</v>
      </c>
      <c r="H1445" s="110" t="inlineStr">
        <is>
          <t>Cálculo por número de clientes ativos</t>
        </is>
      </c>
    </row>
    <row r="1446" ht="14.25" customHeight="1" s="64">
      <c r="A1446" s="110" t="inlineStr">
        <is>
          <t>AGOSTO/2026</t>
        </is>
      </c>
      <c r="B1446" s="110" t="inlineStr">
        <is>
          <t>Adm Qualidade</t>
        </is>
      </c>
      <c r="C1446" s="110" t="inlineStr">
        <is>
          <t>Qualidade</t>
        </is>
      </c>
      <c r="D1446" s="110" t="inlineStr">
        <is>
          <t>DTEL</t>
        </is>
      </c>
      <c r="E1446" s="110" t="n">
        <v>142395</v>
      </c>
      <c r="F1446" s="110" t="n">
        <v>0.221064512856926</v>
      </c>
      <c r="G1446" s="110" t="n">
        <v>31478.481308262</v>
      </c>
      <c r="H1446" s="110" t="inlineStr">
        <is>
          <t>Cálculo por número de clientes ativos</t>
        </is>
      </c>
    </row>
    <row r="1447" ht="14.25" customHeight="1" s="64">
      <c r="A1447" s="110" t="inlineStr">
        <is>
          <t>AGOSTO/2026</t>
        </is>
      </c>
      <c r="B1447" s="110" t="inlineStr">
        <is>
          <t>Fique Móvel</t>
        </is>
      </c>
      <c r="C1447" s="110" t="inlineStr">
        <is>
          <t>Fique Móvel</t>
        </is>
      </c>
      <c r="D1447" s="110" t="inlineStr">
        <is>
          <t>DTEL</t>
        </is>
      </c>
      <c r="E1447" s="110" t="n">
        <v>142395</v>
      </c>
      <c r="F1447" s="110" t="n">
        <v>0.0738670690267282</v>
      </c>
      <c r="G1447" s="110" t="n">
        <v>10518.301294061</v>
      </c>
      <c r="H1447" s="110" t="inlineStr">
        <is>
          <t>Cálculo por número de clientes ativos</t>
        </is>
      </c>
    </row>
    <row r="1448" ht="14.25" customHeight="1" s="64">
      <c r="A1448" s="110" t="inlineStr">
        <is>
          <t>AGOSTO/2026</t>
        </is>
      </c>
      <c r="B1448" s="110" t="inlineStr">
        <is>
          <t>Marketing</t>
        </is>
      </c>
      <c r="C1448" s="110" t="inlineStr">
        <is>
          <t>Setor de Marketing</t>
        </is>
      </c>
      <c r="D1448" s="110" t="inlineStr">
        <is>
          <t>DTEL</t>
        </is>
      </c>
      <c r="E1448" s="110" t="n">
        <v>142395</v>
      </c>
      <c r="F1448" s="110" t="n">
        <v>0.327862047978901</v>
      </c>
      <c r="G1448" s="110" t="n">
        <v>46685.9163219556</v>
      </c>
      <c r="H1448" s="110" t="inlineStr">
        <is>
          <t>Cálculo por número de clientes ativos</t>
        </is>
      </c>
    </row>
    <row r="1449" ht="14.25" customHeight="1" s="64">
      <c r="A1449" s="110" t="inlineStr">
        <is>
          <t>AGOSTO/2026</t>
        </is>
      </c>
      <c r="B1449" s="110" t="inlineStr">
        <is>
          <t>TIC</t>
        </is>
      </c>
      <c r="C1449" s="110" t="inlineStr">
        <is>
          <t>Setor de TIC</t>
        </is>
      </c>
      <c r="D1449" s="110" t="inlineStr">
        <is>
          <t>DTEL</t>
        </is>
      </c>
      <c r="E1449" s="110" t="n">
        <v>142395</v>
      </c>
      <c r="F1449" s="110" t="n">
        <v>0.181988487092357</v>
      </c>
      <c r="G1449" s="110" t="n">
        <v>25914.2506195162</v>
      </c>
      <c r="H1449" s="110" t="inlineStr">
        <is>
          <t>Cálculo por número de clientes ativos</t>
        </is>
      </c>
    </row>
    <row r="1450" ht="14.25" customHeight="1" s="64">
      <c r="A1450" s="110" t="inlineStr">
        <is>
          <t>AGOSTO/2026</t>
        </is>
      </c>
      <c r="B1450" s="110" t="inlineStr">
        <is>
          <t>CAC</t>
        </is>
      </c>
      <c r="C1450" s="110" t="inlineStr">
        <is>
          <t>CAC</t>
        </is>
      </c>
      <c r="D1450" s="110" t="inlineStr">
        <is>
          <t>DTEL</t>
        </is>
      </c>
      <c r="E1450" s="110" t="n">
        <v>142395</v>
      </c>
      <c r="F1450" s="110" t="n">
        <v>0.116105036263123</v>
      </c>
      <c r="G1450" s="110" t="n">
        <v>16532.7766386874</v>
      </c>
      <c r="H1450" s="110" t="inlineStr">
        <is>
          <t>Cálculo por número de clientes ativos</t>
        </is>
      </c>
    </row>
    <row r="1451" ht="14.25" customHeight="1" s="64">
      <c r="A1451" s="110" t="inlineStr">
        <is>
          <t>AGOSTO/2026</t>
        </is>
      </c>
      <c r="B1451" s="110" t="inlineStr">
        <is>
          <t>Configuração</t>
        </is>
      </c>
      <c r="C1451" s="110" t="inlineStr">
        <is>
          <t>Serviços de configuração e suporte ao Técnico</t>
        </is>
      </c>
      <c r="D1451" s="110" t="inlineStr">
        <is>
          <t>DTEL</t>
        </is>
      </c>
      <c r="E1451" s="110" t="n">
        <v>142395</v>
      </c>
      <c r="F1451" s="110" t="n">
        <v>0.237713191662018</v>
      </c>
      <c r="G1451" s="110" t="n">
        <v>33849.1699267131</v>
      </c>
      <c r="H1451" s="110" t="inlineStr">
        <is>
          <t>Cálculo por número de clientes ativos</t>
        </is>
      </c>
    </row>
    <row r="1452" ht="14.25" customHeight="1" s="64">
      <c r="A1452" s="110" t="inlineStr">
        <is>
          <t>AGOSTO/2026</t>
        </is>
      </c>
      <c r="B1452" s="110" t="inlineStr">
        <is>
          <t>Contabilidade</t>
        </is>
      </c>
      <c r="C1452" s="110" t="inlineStr">
        <is>
          <t>Contabilidade</t>
        </is>
      </c>
      <c r="D1452" s="110" t="inlineStr">
        <is>
          <t>DTEL</t>
        </is>
      </c>
      <c r="E1452" s="110" t="n">
        <v>142395</v>
      </c>
      <c r="F1452" s="110" t="n">
        <v>0.200781102601816</v>
      </c>
      <c r="G1452" s="110" t="n">
        <v>28590.2251049856</v>
      </c>
      <c r="H1452" s="110" t="inlineStr">
        <is>
          <t>Cálculo por número de clientes ativos</t>
        </is>
      </c>
    </row>
    <row r="1453" ht="14.25" customHeight="1" s="64">
      <c r="A1453" s="110" t="inlineStr">
        <is>
          <t>AGOSTO/2026</t>
        </is>
      </c>
      <c r="B1453" s="110" t="inlineStr">
        <is>
          <t>Controladoria</t>
        </is>
      </c>
      <c r="C1453" s="110" t="inlineStr">
        <is>
          <t>Controladoria</t>
        </is>
      </c>
      <c r="D1453" s="110" t="inlineStr">
        <is>
          <t>DTEL</t>
        </is>
      </c>
      <c r="E1453" s="110" t="n">
        <v>142395</v>
      </c>
      <c r="F1453" s="110" t="n">
        <v>0.09158330374803469</v>
      </c>
      <c r="G1453" s="110" t="n">
        <v>13041.0045372014</v>
      </c>
      <c r="H1453" s="110" t="inlineStr">
        <is>
          <t>Cálculo por número de clientes ativos</t>
        </is>
      </c>
    </row>
    <row r="1454" ht="14.25" customHeight="1" s="64">
      <c r="A1454" s="110" t="inlineStr">
        <is>
          <t>AGOSTO/2026</t>
        </is>
      </c>
      <c r="B1454" s="110" t="inlineStr">
        <is>
          <t>Desenvolvimento</t>
        </is>
      </c>
      <c r="C1454" s="110" t="inlineStr">
        <is>
          <t>Setor de Desenvolvimento</t>
        </is>
      </c>
      <c r="D1454" s="110" t="inlineStr">
        <is>
          <t>DTEL</t>
        </is>
      </c>
      <c r="E1454" s="110" t="n">
        <v>142395</v>
      </c>
      <c r="F1454" s="110" t="n">
        <v>0.124952629710402</v>
      </c>
      <c r="G1454" s="110" t="n">
        <v>17792.6297076127</v>
      </c>
      <c r="H1454" s="110" t="inlineStr">
        <is>
          <t>Cálculo por número de clientes ativos</t>
        </is>
      </c>
    </row>
    <row r="1455" ht="14.25" customHeight="1" s="64">
      <c r="A1455" s="110" t="inlineStr">
        <is>
          <t>AGOSTO/2026</t>
        </is>
      </c>
      <c r="B1455" s="110" t="inlineStr">
        <is>
          <t>Diretoria Adm</t>
        </is>
      </c>
      <c r="C1455" s="110" t="inlineStr">
        <is>
          <t>Diretoria Adm</t>
        </is>
      </c>
      <c r="D1455" s="110" t="inlineStr">
        <is>
          <t>DTEL</t>
        </is>
      </c>
      <c r="E1455" s="110" t="n">
        <v>142395</v>
      </c>
      <c r="F1455" s="110" t="n">
        <v>0.0571887711112238</v>
      </c>
      <c r="G1455" s="110" t="n">
        <v>8143.3950623827</v>
      </c>
      <c r="H1455" s="110" t="inlineStr">
        <is>
          <t>Cálculo por número de clientes ativos</t>
        </is>
      </c>
    </row>
    <row r="1456" ht="14.25" customHeight="1" s="64">
      <c r="A1456" s="110" t="inlineStr">
        <is>
          <t>AGOSTO/2026</t>
        </is>
      </c>
      <c r="B1456" s="110" t="inlineStr">
        <is>
          <t>Diretoria Operacional</t>
        </is>
      </c>
      <c r="C1456" s="110" t="inlineStr">
        <is>
          <t>Diretoria Operacional</t>
        </is>
      </c>
      <c r="D1456" s="110" t="inlineStr">
        <is>
          <t>DTEL</t>
        </is>
      </c>
      <c r="E1456" s="110" t="n">
        <v>142395</v>
      </c>
      <c r="F1456" s="110" t="n">
        <v>0.144806613582188</v>
      </c>
      <c r="G1456" s="110" t="n">
        <v>20619.7377410357</v>
      </c>
      <c r="H1456" s="110" t="inlineStr">
        <is>
          <t>Cálculo por número de clientes ativos</t>
        </is>
      </c>
    </row>
    <row r="1457" ht="14.25" customHeight="1" s="64">
      <c r="A1457" s="110" t="inlineStr">
        <is>
          <t>AGOSTO/2026</t>
        </is>
      </c>
      <c r="B1457" s="110" t="inlineStr">
        <is>
          <t>Estoque</t>
        </is>
      </c>
      <c r="C1457" s="110" t="inlineStr">
        <is>
          <t>Estoque</t>
        </is>
      </c>
      <c r="D1457" s="110" t="inlineStr">
        <is>
          <t>DTEL</t>
        </is>
      </c>
      <c r="E1457" s="110" t="n">
        <v>142395</v>
      </c>
      <c r="F1457" s="110" t="n">
        <v>0.498846680529492</v>
      </c>
      <c r="G1457" s="110" t="n">
        <v>71033.273073997</v>
      </c>
      <c r="H1457" s="110" t="inlineStr">
        <is>
          <t>Cálculo por número de clientes ativos</t>
        </is>
      </c>
    </row>
    <row r="1458" ht="14.25" customHeight="1" s="64">
      <c r="A1458" s="110" t="inlineStr">
        <is>
          <t>AGOSTO/2026</t>
        </is>
      </c>
      <c r="B1458" s="110" t="inlineStr">
        <is>
          <t>Financeiro</t>
        </is>
      </c>
      <c r="C1458" s="110" t="inlineStr">
        <is>
          <t>Financeiro</t>
        </is>
      </c>
      <c r="D1458" s="110" t="inlineStr">
        <is>
          <t>DTEL</t>
        </is>
      </c>
      <c r="E1458" s="110" t="n">
        <v>142395</v>
      </c>
      <c r="F1458" s="110" t="n">
        <v>0.173736673936197</v>
      </c>
      <c r="G1458" s="110" t="n">
        <v>24739.2336851448</v>
      </c>
      <c r="H1458" s="110" t="inlineStr">
        <is>
          <t>Cálculo por número de clientes ativos</t>
        </is>
      </c>
    </row>
    <row r="1459" ht="14.25" customHeight="1" s="64">
      <c r="A1459" s="110" t="inlineStr">
        <is>
          <t>AGOSTO/2026</t>
        </is>
      </c>
      <c r="B1459" s="110" t="inlineStr">
        <is>
          <t>Gestão de Atendimento</t>
        </is>
      </c>
      <c r="C1459" s="110" t="inlineStr">
        <is>
          <t>Gestão de Atendimento</t>
        </is>
      </c>
      <c r="D1459" s="110" t="inlineStr">
        <is>
          <t>DTEL</t>
        </is>
      </c>
      <c r="E1459" s="110" t="n">
        <v>142395</v>
      </c>
      <c r="F1459" s="110" t="n">
        <v>0.322960034488005</v>
      </c>
      <c r="G1459" s="110" t="n">
        <v>45987.8941109195</v>
      </c>
      <c r="H1459" s="110" t="inlineStr">
        <is>
          <t>Cálculo por número de clientes ativos</t>
        </is>
      </c>
    </row>
    <row r="1460" ht="14.25" customHeight="1" s="64">
      <c r="A1460" s="110" t="inlineStr">
        <is>
          <t>AGOSTO/2026</t>
        </is>
      </c>
      <c r="B1460" s="110" t="inlineStr">
        <is>
          <t>Jurídico</t>
        </is>
      </c>
      <c r="C1460" s="110" t="inlineStr">
        <is>
          <t>Jurídico</t>
        </is>
      </c>
      <c r="D1460" s="110" t="inlineStr">
        <is>
          <t>DTEL</t>
        </is>
      </c>
      <c r="E1460" s="110" t="n">
        <v>142395</v>
      </c>
      <c r="F1460" s="110" t="n">
        <v>0.0794262311710707</v>
      </c>
      <c r="G1460" s="110" t="n">
        <v>11309.8981876046</v>
      </c>
      <c r="H1460" s="110" t="inlineStr">
        <is>
          <t>Cálculo por número de clientes ativos</t>
        </is>
      </c>
    </row>
    <row r="1461" ht="14.25" customHeight="1" s="64">
      <c r="A1461" s="110" t="inlineStr">
        <is>
          <t>AGOSTO/2026</t>
        </is>
      </c>
      <c r="B1461" s="110" t="inlineStr">
        <is>
          <t>Logistica</t>
        </is>
      </c>
      <c r="C1461" s="110" t="inlineStr">
        <is>
          <t>Logistica</t>
        </is>
      </c>
      <c r="D1461" s="110" t="inlineStr">
        <is>
          <t>DTEL</t>
        </is>
      </c>
      <c r="E1461" s="110" t="n">
        <v>142395</v>
      </c>
      <c r="F1461" s="110" t="n">
        <v>0.5398506365065679</v>
      </c>
      <c r="G1461" s="110" t="n">
        <v>76872.0313853527</v>
      </c>
      <c r="H1461" s="110" t="inlineStr">
        <is>
          <t>Cálculo por número de clientes ativos</t>
        </is>
      </c>
    </row>
    <row r="1462" ht="14.25" customHeight="1" s="64">
      <c r="A1462" s="110" t="inlineStr">
        <is>
          <t>AGOSTO/2026</t>
        </is>
      </c>
      <c r="B1462" s="110" t="inlineStr">
        <is>
          <t>Engenharia</t>
        </is>
      </c>
      <c r="C1462" s="110" t="inlineStr">
        <is>
          <t>Administração da Engenharia</t>
        </is>
      </c>
      <c r="D1462" s="110" t="inlineStr">
        <is>
          <t>DTEL</t>
        </is>
      </c>
      <c r="E1462" s="110" t="n">
        <v>142395</v>
      </c>
      <c r="F1462" s="110" t="n">
        <v>0.338743977278491</v>
      </c>
      <c r="G1462" s="110" t="n">
        <v>48235.4486445707</v>
      </c>
      <c r="H1462" s="110" t="inlineStr">
        <is>
          <t>Cálculo por número de clientes ativos (apenas Engenharia — Projetista cobrado em linha própria)</t>
        </is>
      </c>
    </row>
    <row r="1463" ht="14.25" customHeight="1" s="64">
      <c r="A1463" s="110" t="inlineStr">
        <is>
          <t>AGOSTO/2026</t>
        </is>
      </c>
      <c r="B1463" s="110" t="inlineStr">
        <is>
          <t>Administrativo</t>
        </is>
      </c>
      <c r="C1463" s="110" t="inlineStr">
        <is>
          <t>Reembolso por receita recebida</t>
        </is>
      </c>
      <c r="D1463" s="110" t="inlineStr">
        <is>
          <t>DX2</t>
        </is>
      </c>
      <c r="E1463" s="110" t="n">
        <v>1</v>
      </c>
      <c r="F1463" s="110" t="n">
        <v>35896.54</v>
      </c>
      <c r="G1463" s="110" t="n">
        <v>35896.54</v>
      </c>
      <c r="H1463" s="110" t="inlineStr">
        <is>
          <t>Taxa de administração de 6% e 1% de utilização da marca (7% sobre a receita recebida) — valores informados pela Débora (11/09/2026)</t>
        </is>
      </c>
    </row>
    <row r="1464" ht="14.25" customHeight="1" s="64">
      <c r="A1464" s="110" t="inlineStr">
        <is>
          <t>AGOSTO/2026</t>
        </is>
      </c>
      <c r="B1464" s="110" t="inlineStr">
        <is>
          <t>Administrativo</t>
        </is>
      </c>
      <c r="C1464" s="110" t="inlineStr">
        <is>
          <t>Reembolso por receita recebida</t>
        </is>
      </c>
      <c r="D1464" s="110" t="inlineStr">
        <is>
          <t>Soares e Lins</t>
        </is>
      </c>
      <c r="E1464" s="110" t="n">
        <v>1</v>
      </c>
      <c r="F1464" s="110" t="n">
        <v>21063.91</v>
      </c>
      <c r="G1464" s="110" t="n">
        <v>21063.91</v>
      </c>
      <c r="H1464" s="110" t="inlineStr">
        <is>
          <t>Taxa de administração de 6% e 1% de utilização da marca (7% sobre a receita recebida) — valores informados pela Débora (11/09/2026)</t>
        </is>
      </c>
    </row>
    <row r="1465" ht="14.25" customHeight="1" s="64">
      <c r="A1465" s="110" t="inlineStr">
        <is>
          <t>AGOSTO/2026</t>
        </is>
      </c>
      <c r="B1465" s="110" t="inlineStr">
        <is>
          <t>Administrativo</t>
        </is>
      </c>
      <c r="C1465" s="110" t="inlineStr">
        <is>
          <t>Reembolso por receita recebida</t>
        </is>
      </c>
      <c r="D1465" s="110" t="inlineStr">
        <is>
          <t>Soares e Silva</t>
        </is>
      </c>
      <c r="E1465" s="110" t="n">
        <v>1</v>
      </c>
      <c r="F1465" s="110" t="n">
        <v>39812</v>
      </c>
      <c r="G1465" s="110" t="n">
        <v>39812</v>
      </c>
      <c r="H1465" s="110" t="inlineStr">
        <is>
          <t>Taxa de administração de 6% e 1% de utilização da marca (7% sobre a receita recebida) — valores informados pela Débora (11/09/2026)</t>
        </is>
      </c>
    </row>
    <row r="1466" ht="14.25" customHeight="1" s="64">
      <c r="A1466" s="110" t="inlineStr">
        <is>
          <t>AGOSTO/2026</t>
        </is>
      </c>
      <c r="B1466" s="110" t="inlineStr">
        <is>
          <t>Administrativo</t>
        </is>
      </c>
      <c r="C1466" s="110" t="inlineStr">
        <is>
          <t>Reembolso por receita recebida</t>
        </is>
      </c>
      <c r="D1466" s="110" t="inlineStr">
        <is>
          <t>Solon Araújo</t>
        </is>
      </c>
      <c r="E1466" s="110" t="n">
        <v>1</v>
      </c>
      <c r="F1466" s="110" t="n">
        <v>86092.64999999999</v>
      </c>
      <c r="G1466" s="110" t="n">
        <v>86092.64999999999</v>
      </c>
      <c r="H1466" s="110" t="inlineStr">
        <is>
          <t>Taxa de administração de 6% e 1% de utilização da marca (7% sobre a receita recebida) — valores informados pela Débora (11/09/2026)</t>
        </is>
      </c>
    </row>
    <row r="1467" ht="14.25" customHeight="1" s="64">
      <c r="A1467" s="110" t="inlineStr">
        <is>
          <t>AGOSTO/2026</t>
        </is>
      </c>
      <c r="B1467" s="110" t="inlineStr">
        <is>
          <t>Administrativo</t>
        </is>
      </c>
      <c r="C1467" s="110" t="inlineStr">
        <is>
          <t>Reembolso por receita recebida</t>
        </is>
      </c>
      <c r="D1467" s="110" t="inlineStr">
        <is>
          <t>Souza e Silva</t>
        </is>
      </c>
      <c r="E1467" s="110" t="n">
        <v>1</v>
      </c>
      <c r="F1467" s="110" t="n">
        <v>25200.24</v>
      </c>
      <c r="G1467" s="110" t="n">
        <v>25200.24</v>
      </c>
      <c r="H1467" s="110" t="inlineStr">
        <is>
          <t>Taxa de administração de 6% e 1% de utilização da marca (7% sobre a receita recebida) — valores informados pela Débora (11/09/2026)</t>
        </is>
      </c>
    </row>
    <row r="1468" ht="14.25" customHeight="1" s="64">
      <c r="A1468" s="110" t="inlineStr">
        <is>
          <t>AGOSTO/2026</t>
        </is>
      </c>
      <c r="B1468" s="110" t="inlineStr">
        <is>
          <t>Administrativo</t>
        </is>
      </c>
      <c r="C1468" s="110" t="inlineStr">
        <is>
          <t>Reembolso por receita recebida</t>
        </is>
      </c>
      <c r="D1468" s="110" t="inlineStr">
        <is>
          <t>Voicenet</t>
        </is>
      </c>
      <c r="E1468" s="110" t="n">
        <v>1</v>
      </c>
      <c r="F1468" s="110" t="n">
        <v>30881.55</v>
      </c>
      <c r="G1468" s="110" t="n">
        <v>30881.55</v>
      </c>
      <c r="H1468" s="110" t="inlineStr">
        <is>
          <t>Taxa de administração de 6% e 1% de utilização da marca (7% sobre a receita recebida) — valores informados pela Débora (11/09/2026)</t>
        </is>
      </c>
    </row>
    <row r="1469" ht="14.25" customHeight="1" s="64">
      <c r="A1469" s="110" t="inlineStr">
        <is>
          <t>JUNHO/2026</t>
        </is>
      </c>
      <c r="B1469" s="110" t="inlineStr">
        <is>
          <t>Comercial Corporativo</t>
        </is>
      </c>
      <c r="C1469" s="110" t="inlineStr">
        <is>
          <t>Comercial Corporativo</t>
        </is>
      </c>
      <c r="D1469" s="110" t="inlineStr">
        <is>
          <t>DX2</t>
        </is>
      </c>
      <c r="E1469" s="110" t="n">
        <v>1</v>
      </c>
      <c r="F1469" s="110" t="n">
        <v>997.3260974999999</v>
      </c>
      <c r="G1469" s="110" t="n">
        <v>997.3260974999999</v>
      </c>
      <c r="H1469" s="110" t="inlineStr">
        <is>
          <t>Cálculo por número de vendas do setor (rateio uniforme por empresa) — critério alterado de Clientes para Vendas a pedido da Débora (11/09/2026)</t>
        </is>
      </c>
    </row>
    <row r="1470" ht="14.25" customHeight="1" s="64">
      <c r="A1470" s="110" t="inlineStr">
        <is>
          <t>JUNHO/2026</t>
        </is>
      </c>
      <c r="B1470" s="110" t="inlineStr">
        <is>
          <t>Comercial Corporativo</t>
        </is>
      </c>
      <c r="C1470" s="110" t="inlineStr">
        <is>
          <t>Comercial Corporativo</t>
        </is>
      </c>
      <c r="D1470" s="110" t="inlineStr">
        <is>
          <t>H&amp;A</t>
        </is>
      </c>
      <c r="E1470" s="110" t="n">
        <v>1</v>
      </c>
      <c r="F1470" s="110" t="n">
        <v>997.3260974999999</v>
      </c>
      <c r="G1470" s="110" t="n">
        <v>997.3260974999999</v>
      </c>
      <c r="H1470" s="110" t="inlineStr">
        <is>
          <t>Cálculo por número de vendas do setor (rateio uniforme por empresa) — critério alterado de Clientes para Vendas a pedido da Débora (11/09/2026)</t>
        </is>
      </c>
    </row>
    <row r="1471" ht="14.25" customHeight="1" s="64">
      <c r="A1471" s="110" t="inlineStr">
        <is>
          <t>JUNHO/2026</t>
        </is>
      </c>
      <c r="B1471" s="110" t="inlineStr">
        <is>
          <t>Comercial Corporativo</t>
        </is>
      </c>
      <c r="C1471" s="110" t="inlineStr">
        <is>
          <t>Comercial Corporativo</t>
        </is>
      </c>
      <c r="D1471" s="110" t="inlineStr">
        <is>
          <t>Soares e Lins</t>
        </is>
      </c>
      <c r="E1471" s="110" t="n">
        <v>1</v>
      </c>
      <c r="F1471" s="110" t="n">
        <v>997.3260974999999</v>
      </c>
      <c r="G1471" s="110" t="n">
        <v>997.3260974999999</v>
      </c>
      <c r="H1471" s="110" t="inlineStr">
        <is>
          <t>Cálculo por número de vendas do setor (rateio uniforme por empresa) — critério alterado de Clientes para Vendas a pedido da Débora (11/09/2026)</t>
        </is>
      </c>
    </row>
    <row r="1472" ht="14.25" customHeight="1" s="64">
      <c r="A1472" s="110" t="inlineStr">
        <is>
          <t>JUNHO/2026</t>
        </is>
      </c>
      <c r="B1472" s="110" t="inlineStr">
        <is>
          <t>Comercial Corporativo</t>
        </is>
      </c>
      <c r="C1472" s="110" t="inlineStr">
        <is>
          <t>Comercial Corporativo</t>
        </is>
      </c>
      <c r="D1472" s="110" t="inlineStr">
        <is>
          <t>Soares e Silva</t>
        </is>
      </c>
      <c r="E1472" s="110" t="n">
        <v>1</v>
      </c>
      <c r="F1472" s="110" t="n">
        <v>997.3260974999999</v>
      </c>
      <c r="G1472" s="110" t="n">
        <v>997.3260974999999</v>
      </c>
      <c r="H1472" s="110" t="inlineStr">
        <is>
          <t>Cálculo por número de vendas do setor (rateio uniforme por empresa) — critério alterado de Clientes para Vendas a pedido da Débora (11/09/2026)</t>
        </is>
      </c>
    </row>
    <row r="1473" ht="14.25" customHeight="1" s="64">
      <c r="A1473" s="110" t="inlineStr">
        <is>
          <t>JUNHO/2026</t>
        </is>
      </c>
      <c r="B1473" s="110" t="inlineStr">
        <is>
          <t>Comercial Corporativo</t>
        </is>
      </c>
      <c r="C1473" s="110" t="inlineStr">
        <is>
          <t>Comercial Corporativo</t>
        </is>
      </c>
      <c r="D1473" s="110" t="inlineStr">
        <is>
          <t>Solon Araújo</t>
        </is>
      </c>
      <c r="E1473" s="110" t="n">
        <v>1</v>
      </c>
      <c r="F1473" s="110" t="n">
        <v>997.3260974999999</v>
      </c>
      <c r="G1473" s="110" t="n">
        <v>997.3260974999999</v>
      </c>
      <c r="H1473" s="110" t="inlineStr">
        <is>
          <t>Cálculo por número de vendas do setor (rateio uniforme por empresa) — critério alterado de Clientes para Vendas a pedido da Débora (11/09/2026)</t>
        </is>
      </c>
    </row>
    <row r="1474" ht="14.25" customHeight="1" s="64">
      <c r="A1474" s="110" t="inlineStr">
        <is>
          <t>JUNHO/2026</t>
        </is>
      </c>
      <c r="B1474" s="110" t="inlineStr">
        <is>
          <t>Comercial Corporativo</t>
        </is>
      </c>
      <c r="C1474" s="110" t="inlineStr">
        <is>
          <t>Comercial Corporativo</t>
        </is>
      </c>
      <c r="D1474" s="110" t="inlineStr">
        <is>
          <t>Souza e Silva</t>
        </is>
      </c>
      <c r="E1474" s="110" t="n">
        <v>1</v>
      </c>
      <c r="F1474" s="110" t="n">
        <v>997.3260974999999</v>
      </c>
      <c r="G1474" s="110" t="n">
        <v>997.3260974999999</v>
      </c>
      <c r="H1474" s="110" t="inlineStr">
        <is>
          <t>Cálculo por número de vendas do setor (rateio uniforme por empresa) — critério alterado de Clientes para Vendas a pedido da Débora (11/09/2026)</t>
        </is>
      </c>
    </row>
    <row r="1475" ht="14.25" customHeight="1" s="64">
      <c r="A1475" s="110" t="inlineStr">
        <is>
          <t>JUNHO/2026</t>
        </is>
      </c>
      <c r="B1475" s="110" t="inlineStr">
        <is>
          <t>Comercial Corporativo</t>
        </is>
      </c>
      <c r="C1475" s="110" t="inlineStr">
        <is>
          <t>Comercial Corporativo</t>
        </is>
      </c>
      <c r="D1475" s="110" t="inlineStr">
        <is>
          <t>Voicenet</t>
        </is>
      </c>
      <c r="E1475" s="110" t="n">
        <v>1</v>
      </c>
      <c r="F1475" s="110" t="n">
        <v>997.3260974999999</v>
      </c>
      <c r="G1475" s="110" t="n">
        <v>997.3260974999999</v>
      </c>
      <c r="H1475" s="110" t="inlineStr">
        <is>
          <t>Cálculo por número de vendas do setor (rateio uniforme por empresa) — critério alterado de Clientes para Vendas a pedido da Débora (11/09/2026)</t>
        </is>
      </c>
    </row>
    <row r="1476" ht="14.25" customHeight="1" s="64">
      <c r="A1476" s="110" t="inlineStr">
        <is>
          <t>JUNHO/2026</t>
        </is>
      </c>
      <c r="B1476" s="110" t="inlineStr">
        <is>
          <t>Comercial Corporativo</t>
        </is>
      </c>
      <c r="C1476" s="110" t="inlineStr">
        <is>
          <t>Comercial Corporativo</t>
        </is>
      </c>
      <c r="D1476" s="110" t="inlineStr">
        <is>
          <t>DTEL</t>
        </is>
      </c>
      <c r="E1476" s="110" t="n">
        <v>1</v>
      </c>
      <c r="F1476" s="110" t="n">
        <v>997.3260974999999</v>
      </c>
      <c r="G1476" s="110" t="n">
        <v>997.3260974999999</v>
      </c>
      <c r="H1476" s="110" t="inlineStr">
        <is>
          <t>Cálculo por número de vendas do setor (rateio uniforme por empresa) — critério alterado de Clientes para Vendas a pedido da Débora (11/09/2026)</t>
        </is>
      </c>
    </row>
    <row r="1477" ht="14.25" customHeight="1" s="64">
      <c r="A1477" s="110" t="inlineStr">
        <is>
          <t>JULHO/2026</t>
        </is>
      </c>
      <c r="B1477" s="110" t="inlineStr">
        <is>
          <t>Comercial Corporativo</t>
        </is>
      </c>
      <c r="C1477" s="110" t="inlineStr">
        <is>
          <t>Comercial Corporativo</t>
        </is>
      </c>
      <c r="D1477" s="110" t="inlineStr">
        <is>
          <t>DX2</t>
        </is>
      </c>
      <c r="E1477" s="110" t="n">
        <v>1</v>
      </c>
      <c r="F1477" s="110" t="n">
        <v>1697.94451367568</v>
      </c>
      <c r="G1477" s="110" t="n">
        <v>1697.94451367568</v>
      </c>
      <c r="H1477" s="110" t="inlineStr">
        <is>
          <t>Cálculo por número de vendas do setor (rateio uniforme por empresa) — critério alterado de Clientes para Vendas a pedido da Débora (11/09/2026)</t>
        </is>
      </c>
    </row>
    <row r="1478" ht="14.25" customHeight="1" s="64">
      <c r="A1478" s="110" t="inlineStr">
        <is>
          <t>JULHO/2026</t>
        </is>
      </c>
      <c r="B1478" s="110" t="inlineStr">
        <is>
          <t>Comercial Corporativo</t>
        </is>
      </c>
      <c r="C1478" s="110" t="inlineStr">
        <is>
          <t>Comercial Corporativo</t>
        </is>
      </c>
      <c r="D1478" s="110" t="inlineStr">
        <is>
          <t>H&amp;A</t>
        </is>
      </c>
      <c r="E1478" s="110" t="n">
        <v>1</v>
      </c>
      <c r="F1478" s="110" t="n">
        <v>1697.94451367568</v>
      </c>
      <c r="G1478" s="110" t="n">
        <v>1697.94451367568</v>
      </c>
      <c r="H1478" s="110" t="inlineStr">
        <is>
          <t>Cálculo por número de vendas do setor (rateio uniforme por empresa) — critério alterado de Clientes para Vendas a pedido da Débora (11/09/2026)</t>
        </is>
      </c>
    </row>
    <row r="1479" ht="14.25" customHeight="1" s="64">
      <c r="A1479" s="110" t="inlineStr">
        <is>
          <t>JULHO/2026</t>
        </is>
      </c>
      <c r="B1479" s="110" t="inlineStr">
        <is>
          <t>Comercial Corporativo</t>
        </is>
      </c>
      <c r="C1479" s="110" t="inlineStr">
        <is>
          <t>Comercial Corporativo</t>
        </is>
      </c>
      <c r="D1479" s="110" t="inlineStr">
        <is>
          <t>Soares e Lins</t>
        </is>
      </c>
      <c r="E1479" s="110" t="n">
        <v>1</v>
      </c>
      <c r="F1479" s="110" t="n">
        <v>1697.94451367568</v>
      </c>
      <c r="G1479" s="110" t="n">
        <v>1697.94451367568</v>
      </c>
      <c r="H1479" s="110" t="inlineStr">
        <is>
          <t>Cálculo por número de vendas do setor (rateio uniforme por empresa) — critério alterado de Clientes para Vendas a pedido da Débora (11/09/2026)</t>
        </is>
      </c>
    </row>
    <row r="1480" ht="14.25" customHeight="1" s="64">
      <c r="A1480" s="110" t="inlineStr">
        <is>
          <t>JULHO/2026</t>
        </is>
      </c>
      <c r="B1480" s="110" t="inlineStr">
        <is>
          <t>Comercial Corporativo</t>
        </is>
      </c>
      <c r="C1480" s="110" t="inlineStr">
        <is>
          <t>Comercial Corporativo</t>
        </is>
      </c>
      <c r="D1480" s="110" t="inlineStr">
        <is>
          <t>Soares e Silva</t>
        </is>
      </c>
      <c r="E1480" s="110" t="n">
        <v>1</v>
      </c>
      <c r="F1480" s="110" t="n">
        <v>1697.94451367568</v>
      </c>
      <c r="G1480" s="110" t="n">
        <v>1697.94451367568</v>
      </c>
      <c r="H1480" s="110" t="inlineStr">
        <is>
          <t>Cálculo por número de vendas do setor (rateio uniforme por empresa) — critério alterado de Clientes para Vendas a pedido da Débora (11/09/2026)</t>
        </is>
      </c>
    </row>
    <row r="1481" ht="14.25" customHeight="1" s="64">
      <c r="A1481" s="110" t="inlineStr">
        <is>
          <t>JULHO/2026</t>
        </is>
      </c>
      <c r="B1481" s="110" t="inlineStr">
        <is>
          <t>Comercial Corporativo</t>
        </is>
      </c>
      <c r="C1481" s="110" t="inlineStr">
        <is>
          <t>Comercial Corporativo</t>
        </is>
      </c>
      <c r="D1481" s="110" t="inlineStr">
        <is>
          <t>Solon Araújo</t>
        </is>
      </c>
      <c r="E1481" s="110" t="n">
        <v>1</v>
      </c>
      <c r="F1481" s="110" t="n">
        <v>1697.94451367568</v>
      </c>
      <c r="G1481" s="110" t="n">
        <v>1697.94451367568</v>
      </c>
      <c r="H1481" s="110" t="inlineStr">
        <is>
          <t>Cálculo por número de vendas do setor (rateio uniforme por empresa) — critério alterado de Clientes para Vendas a pedido da Débora (11/09/2026)</t>
        </is>
      </c>
    </row>
    <row r="1482" ht="14.25" customHeight="1" s="64">
      <c r="A1482" s="110" t="inlineStr">
        <is>
          <t>JULHO/2026</t>
        </is>
      </c>
      <c r="B1482" s="110" t="inlineStr">
        <is>
          <t>Comercial Corporativo</t>
        </is>
      </c>
      <c r="C1482" s="110" t="inlineStr">
        <is>
          <t>Comercial Corporativo</t>
        </is>
      </c>
      <c r="D1482" s="110" t="inlineStr">
        <is>
          <t>Souza e Silva</t>
        </is>
      </c>
      <c r="E1482" s="110" t="n">
        <v>1</v>
      </c>
      <c r="F1482" s="110" t="n">
        <v>1697.94451367568</v>
      </c>
      <c r="G1482" s="110" t="n">
        <v>1697.94451367568</v>
      </c>
      <c r="H1482" s="110" t="inlineStr">
        <is>
          <t>Cálculo por número de vendas do setor (rateio uniforme por empresa) — critério alterado de Clientes para Vendas a pedido da Débora (11/09/2026)</t>
        </is>
      </c>
    </row>
    <row r="1483" ht="14.25" customHeight="1" s="64">
      <c r="A1483" s="110" t="inlineStr">
        <is>
          <t>JULHO/2026</t>
        </is>
      </c>
      <c r="B1483" s="110" t="inlineStr">
        <is>
          <t>Comercial Corporativo</t>
        </is>
      </c>
      <c r="C1483" s="110" t="inlineStr">
        <is>
          <t>Comercial Corporativo</t>
        </is>
      </c>
      <c r="D1483" s="110" t="inlineStr">
        <is>
          <t>Voicenet</t>
        </is>
      </c>
      <c r="E1483" s="110" t="n">
        <v>1</v>
      </c>
      <c r="F1483" s="110" t="n">
        <v>1697.94451367568</v>
      </c>
      <c r="G1483" s="110" t="n">
        <v>1697.94451367568</v>
      </c>
      <c r="H1483" s="110" t="inlineStr">
        <is>
          <t>Cálculo por número de vendas do setor (rateio uniforme por empresa) — critério alterado de Clientes para Vendas a pedido da Débora (11/09/2026)</t>
        </is>
      </c>
    </row>
    <row r="1484" ht="14.25" customHeight="1" s="64">
      <c r="A1484" s="110" t="inlineStr">
        <is>
          <t>JULHO/2026</t>
        </is>
      </c>
      <c r="B1484" s="110" t="inlineStr">
        <is>
          <t>Comercial Corporativo</t>
        </is>
      </c>
      <c r="C1484" s="110" t="inlineStr">
        <is>
          <t>Comercial Corporativo</t>
        </is>
      </c>
      <c r="D1484" s="110" t="inlineStr">
        <is>
          <t>DTEL</t>
        </is>
      </c>
      <c r="E1484" s="110" t="n">
        <v>1</v>
      </c>
      <c r="F1484" s="110" t="n">
        <v>1697.94451367568</v>
      </c>
      <c r="G1484" s="110" t="n">
        <v>1697.94451367568</v>
      </c>
      <c r="H1484" s="110" t="inlineStr">
        <is>
          <t>Cálculo por número de vendas do setor (rateio uniforme por empresa) — critério alterado de Clientes para Vendas a pedido da Débora (11/09/2026)</t>
        </is>
      </c>
    </row>
    <row r="1485" ht="14.25" customHeight="1" s="64">
      <c r="A1485" s="110" t="inlineStr">
        <is>
          <t>AGOSTO/2026</t>
        </is>
      </c>
      <c r="B1485" s="110" t="inlineStr">
        <is>
          <t>Comercial Corporativo</t>
        </is>
      </c>
      <c r="C1485" s="110" t="inlineStr">
        <is>
          <t>Comercial Corporativo</t>
        </is>
      </c>
      <c r="D1485" s="110" t="inlineStr">
        <is>
          <t>DX2</t>
        </is>
      </c>
      <c r="E1485" s="110" t="n">
        <v>4</v>
      </c>
      <c r="F1485" s="110" t="n">
        <v>1002.254202</v>
      </c>
      <c r="G1485" s="110" t="n">
        <v>4009.016808</v>
      </c>
      <c r="H1485" s="110" t="inlineStr">
        <is>
      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      </is>
      </c>
    </row>
    <row r="1486" ht="14.25" customHeight="1" s="64">
      <c r="A1486" s="110" t="inlineStr">
        <is>
          <t>AGOSTO/2026</t>
        </is>
      </c>
      <c r="B1486" s="110" t="inlineStr">
        <is>
          <t>Comercial Corporativo</t>
        </is>
      </c>
      <c r="C1486" s="110" t="inlineStr">
        <is>
          <t>Comercial Corporativo</t>
        </is>
      </c>
      <c r="D1486" s="110" t="inlineStr">
        <is>
          <t>H&amp;A</t>
        </is>
      </c>
      <c r="E1486" s="110" t="n">
        <v>8</v>
      </c>
      <c r="F1486" s="110" t="n">
        <v>1002.254202</v>
      </c>
      <c r="G1486" s="110" t="n">
        <v>8018.033616</v>
      </c>
      <c r="H1486" s="110" t="inlineStr">
        <is>
      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      </is>
      </c>
    </row>
    <row r="1487" ht="14.25" customHeight="1" s="64">
      <c r="A1487" s="110" t="inlineStr">
        <is>
          <t>AGOSTO/2026</t>
        </is>
      </c>
      <c r="B1487" s="110" t="inlineStr">
        <is>
          <t>Comercial Corporativo</t>
        </is>
      </c>
      <c r="C1487" s="110" t="inlineStr">
        <is>
          <t>Comercial Corporativo</t>
        </is>
      </c>
      <c r="D1487" s="110" t="inlineStr">
        <is>
          <t>Soares e Lins</t>
        </is>
      </c>
      <c r="E1487" s="110" t="n">
        <v>0</v>
      </c>
      <c r="F1487" s="110" t="n">
        <v>1002.254202</v>
      </c>
      <c r="G1487" s="110" t="n">
        <v>0</v>
      </c>
      <c r="H1487" s="110" t="inlineStr">
        <is>
      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      </is>
      </c>
    </row>
    <row r="1488" ht="14.25" customHeight="1" s="64">
      <c r="A1488" s="110" t="inlineStr">
        <is>
          <t>AGOSTO/2026</t>
        </is>
      </c>
      <c r="B1488" s="110" t="inlineStr">
        <is>
          <t>Comercial Corporativo</t>
        </is>
      </c>
      <c r="C1488" s="110" t="inlineStr">
        <is>
          <t>Comercial Corporativo</t>
        </is>
      </c>
      <c r="D1488" s="110" t="inlineStr">
        <is>
          <t>Soares e Silva</t>
        </is>
      </c>
      <c r="E1488" s="110" t="n">
        <v>14</v>
      </c>
      <c r="F1488" s="110" t="n">
        <v>1002.254202</v>
      </c>
      <c r="G1488" s="110" t="n">
        <v>14031.558828</v>
      </c>
      <c r="H1488" s="110" t="inlineStr">
        <is>
      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      </is>
      </c>
    </row>
    <row r="1489" ht="14.25" customHeight="1" s="64">
      <c r="A1489" s="110" t="inlineStr">
        <is>
          <t>AGOSTO/2026</t>
        </is>
      </c>
      <c r="B1489" s="110" t="inlineStr">
        <is>
          <t>Comercial Corporativo</t>
        </is>
      </c>
      <c r="C1489" s="110" t="inlineStr">
        <is>
          <t>Comercial Corporativo</t>
        </is>
      </c>
      <c r="D1489" s="110" t="inlineStr">
        <is>
          <t>Solon Araújo</t>
        </is>
      </c>
      <c r="E1489" s="110" t="n">
        <v>16</v>
      </c>
      <c r="F1489" s="110" t="n">
        <v>1002.254202</v>
      </c>
      <c r="G1489" s="110" t="n">
        <v>16036.067232</v>
      </c>
      <c r="H1489" s="110" t="inlineStr">
        <is>
      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      </is>
      </c>
    </row>
    <row r="1490" ht="14.25" customHeight="1" s="64">
      <c r="A1490" s="110" t="inlineStr">
        <is>
          <t>AGOSTO/2026</t>
        </is>
      </c>
      <c r="B1490" s="110" t="inlineStr">
        <is>
          <t>Comercial Corporativo</t>
        </is>
      </c>
      <c r="C1490" s="110" t="inlineStr">
        <is>
          <t>Comercial Corporativo</t>
        </is>
      </c>
      <c r="D1490" s="110" t="inlineStr">
        <is>
          <t>Souza e Silva</t>
        </is>
      </c>
      <c r="E1490" s="110" t="n">
        <v>8</v>
      </c>
      <c r="F1490" s="110" t="n">
        <v>1002.254202</v>
      </c>
      <c r="G1490" s="110" t="n">
        <v>8018.033616</v>
      </c>
      <c r="H1490" s="110" t="inlineStr">
        <is>
      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      </is>
      </c>
    </row>
    <row r="1491" ht="14.25" customHeight="1" s="64">
      <c r="A1491" s="110" t="inlineStr">
        <is>
          <t>AGOSTO/2026</t>
        </is>
      </c>
      <c r="B1491" s="110" t="inlineStr">
        <is>
          <t>Comercial Corporativo</t>
        </is>
      </c>
      <c r="C1491" s="110" t="inlineStr">
        <is>
          <t>Comercial Corporativo</t>
        </is>
      </c>
      <c r="D1491" s="110" t="inlineStr">
        <is>
          <t>Voicenet</t>
        </is>
      </c>
      <c r="E1491" s="110" t="n">
        <v>9</v>
      </c>
      <c r="F1491" s="110" t="n">
        <v>1002.254202</v>
      </c>
      <c r="G1491" s="110" t="n">
        <v>9020.287818000001</v>
      </c>
      <c r="H1491" s="110" t="inlineStr">
        <is>
      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      </is>
      </c>
    </row>
    <row r="1492" ht="14.25" customHeight="1" s="64">
      <c r="A1492" s="110" t="inlineStr">
        <is>
          <t>AGOSTO/2026</t>
        </is>
      </c>
      <c r="B1492" s="110" t="inlineStr">
        <is>
          <t>Comercial Corporativo</t>
        </is>
      </c>
      <c r="C1492" s="110" t="inlineStr">
        <is>
          <t>Comercial Corporativo</t>
        </is>
      </c>
      <c r="D1492" s="110" t="inlineStr">
        <is>
          <t>DTEL</t>
        </is>
      </c>
      <c r="E1492" s="110" t="n">
        <v>129</v>
      </c>
      <c r="F1492" s="110" t="n">
        <v>1002.254202</v>
      </c>
      <c r="G1492" s="110" t="n">
        <v>129290.792058</v>
      </c>
      <c r="H1492" s="110" t="inlineStr">
        <is>
      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      </is>
      </c>
    </row>
    <row r="1493" ht="14.25" customHeight="1" s="64">
      <c r="A1493" s="110" t="inlineStr">
        <is>
          <t>MAIO/2026</t>
        </is>
      </c>
      <c r="B1493" s="110" t="inlineStr">
        <is>
          <t>Segurança do Trabalho</t>
        </is>
      </c>
      <c r="C1493" s="110" t="inlineStr">
        <is>
          <t>SST Administrativo</t>
        </is>
      </c>
      <c r="D1493" s="110" t="inlineStr">
        <is>
          <t>DX2</t>
        </is>
      </c>
      <c r="E1493" s="110" t="n">
        <v>35</v>
      </c>
      <c r="F1493" s="110" t="n">
        <v>49.6814849002849</v>
      </c>
      <c r="G1493" s="110" t="n">
        <v>1738.85197150997</v>
      </c>
      <c r="H1493" s="110" t="inlineStr">
        <is>
          <t>Cálculo por número de funcionários ativos — criado em 15/09/2026 (linha não existia para Maio/Junho; quantidade PARÂMETROS, exceto H&amp;A=37 fixo a pedido da Débora)</t>
        </is>
      </c>
    </row>
    <row r="1494" ht="14.25" customHeight="1" s="64">
      <c r="A1494" s="110" t="inlineStr">
        <is>
          <t>MAIO/2026</t>
        </is>
      </c>
      <c r="B1494" s="110" t="inlineStr">
        <is>
          <t>Segurança do Trabalho</t>
        </is>
      </c>
      <c r="C1494" s="110" t="inlineStr">
        <is>
          <t>SST Administrativo</t>
        </is>
      </c>
      <c r="D1494" s="110" t="inlineStr">
        <is>
          <t>H&amp;A</t>
        </is>
      </c>
      <c r="E1494" s="110" t="n">
        <v>37</v>
      </c>
      <c r="F1494" s="110" t="n">
        <v>49.6814849002849</v>
      </c>
      <c r="G1494" s="110" t="n">
        <v>1838.21494131054</v>
      </c>
      <c r="H1494" s="110" t="inlineStr">
        <is>
          <t>Cálculo por número de funcionários ativos — criado em 15/09/2026 (linha não existia para Maio/Junho; quantidade PARÂMETROS, exceto H&amp;A=37 fixo a pedido da Débora)</t>
        </is>
      </c>
    </row>
    <row r="1495" ht="14.25" customHeight="1" s="64">
      <c r="A1495" s="110" t="inlineStr">
        <is>
          <t>MAIO/2026</t>
        </is>
      </c>
      <c r="B1495" s="110" t="inlineStr">
        <is>
          <t>Segurança do Trabalho</t>
        </is>
      </c>
      <c r="C1495" s="110" t="inlineStr">
        <is>
          <t>SST Administrativo</t>
        </is>
      </c>
      <c r="D1495" s="110" t="inlineStr">
        <is>
          <t>Soares e Lins</t>
        </is>
      </c>
      <c r="E1495" s="110" t="n">
        <v>11</v>
      </c>
      <c r="F1495" s="110" t="n">
        <v>49.6814849002849</v>
      </c>
      <c r="G1495" s="110" t="n">
        <v>546.496333903134</v>
      </c>
      <c r="H1495" s="110" t="inlineStr">
        <is>
          <t>Cálculo por número de funcionários ativos — criado em 15/09/2026 (linha não existia para Maio/Junho; quantidade PARÂMETROS, exceto H&amp;A=37 fixo a pedido da Débora)</t>
        </is>
      </c>
    </row>
    <row r="1496" ht="14.25" customHeight="1" s="64">
      <c r="A1496" s="110" t="inlineStr">
        <is>
          <t>MAIO/2026</t>
        </is>
      </c>
      <c r="B1496" s="110" t="inlineStr">
        <is>
          <t>Segurança do Trabalho</t>
        </is>
      </c>
      <c r="C1496" s="110" t="inlineStr">
        <is>
          <t>SST Administrativo</t>
        </is>
      </c>
      <c r="D1496" s="110" t="inlineStr">
        <is>
          <t>Soares e Silva</t>
        </is>
      </c>
      <c r="E1496" s="110" t="n">
        <v>42</v>
      </c>
      <c r="F1496" s="110" t="n">
        <v>49.6814849002849</v>
      </c>
      <c r="G1496" s="110" t="n">
        <v>2086.62236581197</v>
      </c>
      <c r="H1496" s="110" t="inlineStr">
        <is>
          <t>Cálculo por número de funcionários ativos — criado em 15/09/2026 (linha não existia para Maio/Junho; quantidade PARÂMETROS, exceto H&amp;A=37 fixo a pedido da Débora)</t>
        </is>
      </c>
    </row>
    <row r="1497" ht="14.25" customHeight="1" s="64">
      <c r="A1497" s="110" t="inlineStr">
        <is>
          <t>MAIO/2026</t>
        </is>
      </c>
      <c r="B1497" s="110" t="inlineStr">
        <is>
          <t>Segurança do Trabalho</t>
        </is>
      </c>
      <c r="C1497" s="110" t="inlineStr">
        <is>
          <t>SST Administrativo</t>
        </is>
      </c>
      <c r="D1497" s="110" t="inlineStr">
        <is>
          <t>Solon Araújo</t>
        </is>
      </c>
      <c r="E1497" s="110" t="n">
        <v>42</v>
      </c>
      <c r="F1497" s="110" t="n">
        <v>49.6814849002849</v>
      </c>
      <c r="G1497" s="110" t="n">
        <v>2086.62236581197</v>
      </c>
      <c r="H1497" s="110" t="inlineStr">
        <is>
          <t>Cálculo por número de funcionários ativos — criado em 15/09/2026 (linha não existia para Maio/Junho; quantidade PARÂMETROS, exceto H&amp;A=37 fixo a pedido da Débora)</t>
        </is>
      </c>
    </row>
    <row r="1498" ht="14.25" customHeight="1" s="64">
      <c r="A1498" s="110" t="inlineStr">
        <is>
          <t>MAIO/2026</t>
        </is>
      </c>
      <c r="B1498" s="110" t="inlineStr">
        <is>
          <t>Segurança do Trabalho</t>
        </is>
      </c>
      <c r="C1498" s="110" t="inlineStr">
        <is>
          <t>SST Administrativo</t>
        </is>
      </c>
      <c r="D1498" s="110" t="inlineStr">
        <is>
          <t>Souza e Silva</t>
        </is>
      </c>
      <c r="E1498" s="110" t="n">
        <v>18</v>
      </c>
      <c r="F1498" s="110" t="n">
        <v>49.6814849002849</v>
      </c>
      <c r="G1498" s="110" t="n">
        <v>894.2667282051279</v>
      </c>
      <c r="H1498" s="110" t="inlineStr">
        <is>
          <t>Cálculo por número de funcionários ativos — criado em 15/09/2026 (linha não existia para Maio/Junho; quantidade PARÂMETROS, exceto H&amp;A=37 fixo a pedido da Débora)</t>
        </is>
      </c>
    </row>
    <row r="1499" ht="14.25" customHeight="1" s="64">
      <c r="A1499" s="110" t="inlineStr">
        <is>
          <t>MAIO/2026</t>
        </is>
      </c>
      <c r="B1499" s="110" t="inlineStr">
        <is>
          <t>Segurança do Trabalho</t>
        </is>
      </c>
      <c r="C1499" s="110" t="inlineStr">
        <is>
          <t>SST Administrativo</t>
        </is>
      </c>
      <c r="D1499" s="110" t="inlineStr">
        <is>
          <t>Voicenet</t>
        </is>
      </c>
      <c r="E1499" s="110" t="n">
        <v>20</v>
      </c>
      <c r="F1499" s="110" t="n">
        <v>49.6814849002849</v>
      </c>
      <c r="G1499" s="110" t="n">
        <v>993.6296980056979</v>
      </c>
      <c r="H1499" s="110" t="inlineStr">
        <is>
          <t>Cálculo por número de funcionários ativos — criado em 15/09/2026 (linha não existia para Maio/Junho; quantidade PARÂMETROS, exceto H&amp;A=37 fixo a pedido da Débora)</t>
        </is>
      </c>
    </row>
    <row r="1500" ht="14.25" customHeight="1" s="64">
      <c r="A1500" s="110" t="inlineStr">
        <is>
          <t>JUNHO/2026</t>
        </is>
      </c>
      <c r="B1500" s="110" t="inlineStr">
        <is>
          <t>Segurança do Trabalho</t>
        </is>
      </c>
      <c r="C1500" s="110" t="inlineStr">
        <is>
          <t>SST Administrativo</t>
        </is>
      </c>
      <c r="D1500" s="110" t="inlineStr">
        <is>
          <t>DX2</t>
        </is>
      </c>
      <c r="E1500" s="110" t="n">
        <v>34</v>
      </c>
      <c r="F1500" s="110" t="n">
        <v>48.1177222116301</v>
      </c>
      <c r="G1500" s="110" t="n">
        <v>1636.00255519542</v>
      </c>
      <c r="H1500" s="110" t="inlineStr">
        <is>
          <t>Cálculo por número de funcionários ativos — criado em 15/09/2026 (linha não existia para Maio/Junho; quantidade PARÂMETROS, exceto H&amp;A=37 fixo a pedido da Débora)</t>
        </is>
      </c>
    </row>
    <row r="1501" ht="14.25" customHeight="1" s="64">
      <c r="A1501" s="110" t="inlineStr">
        <is>
          <t>JUNHO/2026</t>
        </is>
      </c>
      <c r="B1501" s="110" t="inlineStr">
        <is>
          <t>Segurança do Trabalho</t>
        </is>
      </c>
      <c r="C1501" s="110" t="inlineStr">
        <is>
          <t>SST Administrativo</t>
        </is>
      </c>
      <c r="D1501" s="110" t="inlineStr">
        <is>
          <t>H&amp;A</t>
        </is>
      </c>
      <c r="E1501" s="110" t="n">
        <v>37</v>
      </c>
      <c r="F1501" s="110" t="n">
        <v>48.1177222116301</v>
      </c>
      <c r="G1501" s="110" t="n">
        <v>1780.35572183031</v>
      </c>
      <c r="H1501" s="110" t="inlineStr">
        <is>
          <t>Cálculo por número de funcionários ativos — criado em 15/09/2026 (linha não existia para Maio/Junho; quantidade PARÂMETROS, exceto H&amp;A=37 fixo a pedido da Débora)</t>
        </is>
      </c>
    </row>
    <row r="1502" ht="14.25" customHeight="1" s="64">
      <c r="A1502" s="110" t="inlineStr">
        <is>
          <t>JUNHO/2026</t>
        </is>
      </c>
      <c r="B1502" s="110" t="inlineStr">
        <is>
          <t>Segurança do Trabalho</t>
        </is>
      </c>
      <c r="C1502" s="110" t="inlineStr">
        <is>
          <t>SST Administrativo</t>
        </is>
      </c>
      <c r="D1502" s="110" t="inlineStr">
        <is>
          <t>Soares e Lins</t>
        </is>
      </c>
      <c r="E1502" s="110" t="n">
        <v>11</v>
      </c>
      <c r="F1502" s="110" t="n">
        <v>48.1177222116301</v>
      </c>
      <c r="G1502" s="110" t="n">
        <v>529.294944327931</v>
      </c>
      <c r="H1502" s="110" t="inlineStr">
        <is>
          <t>Cálculo por número de funcionários ativos — criado em 15/09/2026 (linha não existia para Maio/Junho; quantidade PARÂMETROS, exceto H&amp;A=37 fixo a pedido da Débora)</t>
        </is>
      </c>
    </row>
    <row r="1503" ht="14.25" customHeight="1" s="64">
      <c r="A1503" s="110" t="inlineStr">
        <is>
          <t>JUNHO/2026</t>
        </is>
      </c>
      <c r="B1503" s="110" t="inlineStr">
        <is>
          <t>Segurança do Trabalho</t>
        </is>
      </c>
      <c r="C1503" s="110" t="inlineStr">
        <is>
          <t>SST Administrativo</t>
        </is>
      </c>
      <c r="D1503" s="110" t="inlineStr">
        <is>
          <t>Soares e Silva</t>
        </is>
      </c>
      <c r="E1503" s="110" t="n">
        <v>42</v>
      </c>
      <c r="F1503" s="110" t="n">
        <v>48.1177222116301</v>
      </c>
      <c r="G1503" s="110" t="n">
        <v>2020.94433288846</v>
      </c>
      <c r="H1503" s="110" t="inlineStr">
        <is>
          <t>Cálculo por número de funcionários ativos — criado em 15/09/2026 (linha não existia para Maio/Junho; quantidade PARÂMETROS, exceto H&amp;A=37 fixo a pedido da Débora)</t>
        </is>
      </c>
    </row>
    <row r="1504" ht="14.25" customHeight="1" s="64">
      <c r="A1504" s="110" t="inlineStr">
        <is>
          <t>JUNHO/2026</t>
        </is>
      </c>
      <c r="B1504" s="110" t="inlineStr">
        <is>
          <t>Segurança do Trabalho</t>
        </is>
      </c>
      <c r="C1504" s="110" t="inlineStr">
        <is>
          <t>SST Administrativo</t>
        </is>
      </c>
      <c r="D1504" s="110" t="inlineStr">
        <is>
          <t>Solon Araújo</t>
        </is>
      </c>
      <c r="E1504" s="110" t="n">
        <v>42</v>
      </c>
      <c r="F1504" s="110" t="n">
        <v>48.1177222116301</v>
      </c>
      <c r="G1504" s="110" t="n">
        <v>2020.94433288846</v>
      </c>
      <c r="H1504" s="110" t="inlineStr">
        <is>
          <t>Cálculo por número de funcionários ativos — criado em 15/09/2026 (linha não existia para Maio/Junho; quantidade PARÂMETROS, exceto H&amp;A=37 fixo a pedido da Débora)</t>
        </is>
      </c>
    </row>
    <row r="1505" ht="14.25" customHeight="1" s="64">
      <c r="A1505" s="110" t="inlineStr">
        <is>
          <t>JUNHO/2026</t>
        </is>
      </c>
      <c r="B1505" s="110" t="inlineStr">
        <is>
          <t>Segurança do Trabalho</t>
        </is>
      </c>
      <c r="C1505" s="110" t="inlineStr">
        <is>
          <t>SST Administrativo</t>
        </is>
      </c>
      <c r="D1505" s="110" t="inlineStr">
        <is>
          <t>Souza e Silva</t>
        </is>
      </c>
      <c r="E1505" s="110" t="n">
        <v>18</v>
      </c>
      <c r="F1505" s="110" t="n">
        <v>48.1177222116301</v>
      </c>
      <c r="G1505" s="110" t="n">
        <v>866.118999809342</v>
      </c>
      <c r="H1505" s="110" t="inlineStr">
        <is>
          <t>Cálculo por número de funcionários ativos — criado em 15/09/2026 (linha não existia para Maio/Junho; quantidade PARÂMETROS, exceto H&amp;A=37 fixo a pedido da Débora)</t>
        </is>
      </c>
    </row>
    <row r="1506" ht="14.25" customHeight="1" s="64">
      <c r="A1506" s="110" t="inlineStr">
        <is>
          <t>JUNHO/2026</t>
        </is>
      </c>
      <c r="B1506" s="110" t="inlineStr">
        <is>
          <t>Segurança do Trabalho</t>
        </is>
      </c>
      <c r="C1506" s="110" t="inlineStr">
        <is>
          <t>SST Administrativo</t>
        </is>
      </c>
      <c r="D1506" s="110" t="inlineStr">
        <is>
          <t>Voicenet</t>
        </is>
      </c>
      <c r="E1506" s="110" t="n">
        <v>17</v>
      </c>
      <c r="F1506" s="110" t="n">
        <v>48.1177222116301</v>
      </c>
      <c r="G1506" s="110" t="n">
        <v>818.001277597712</v>
      </c>
      <c r="H1506" s="110" t="inlineStr">
        <is>
          <t>Cálculo por número de funcionários ativos — criado em 15/09/2026 (linha não existia para Maio/Junho; quantidade PARÂMETROS, exceto H&amp;A=37 fixo a pedido da Débora)</t>
        </is>
      </c>
    </row>
    <row r="1507" ht="14.25" customHeight="1" s="64"/>
    <row r="1508" ht="14.25" customHeight="1" s="64"/>
    <row r="1509" ht="14.25" customHeight="1" s="64"/>
    <row r="1510" ht="14.25" customHeight="1" s="64"/>
    <row r="1511" ht="14.25" customHeight="1" s="64"/>
    <row r="1512" ht="14.25" customHeight="1" s="64"/>
    <row r="1513" ht="14.25" customHeight="1" s="64"/>
    <row r="1514" ht="14.25" customHeight="1" s="64"/>
    <row r="1515" ht="14.25" customHeight="1" s="64"/>
    <row r="1516" ht="14.25" customHeight="1" s="64"/>
    <row r="1517" ht="14.25" customHeight="1" s="64"/>
    <row r="1518" ht="14.25" customHeight="1" s="64"/>
    <row r="1519" ht="14.25" customHeight="1" s="64"/>
    <row r="1520" ht="14.25" customHeight="1" s="64"/>
    <row r="1521" ht="14.25" customHeight="1" s="64"/>
    <row r="1522" ht="14.25" customHeight="1" s="64"/>
    <row r="1523" ht="14.25" customHeight="1" s="64"/>
    <row r="1524" ht="14.25" customHeight="1" s="64"/>
    <row r="1525" ht="14.25" customHeight="1" s="64"/>
    <row r="1526" ht="14.25" customHeight="1" s="64"/>
    <row r="1527" ht="14.25" customHeight="1" s="64"/>
    <row r="1528" ht="14.25" customHeight="1" s="64"/>
    <row r="1529" ht="14.25" customHeight="1" s="64"/>
    <row r="1530" ht="14.25" customHeight="1" s="64"/>
    <row r="1531" ht="14.25" customHeight="1" s="64"/>
    <row r="1532" ht="14.25" customHeight="1" s="64"/>
    <row r="1533" ht="14.25" customHeight="1" s="64"/>
    <row r="1534" ht="14.25" customHeight="1" s="64"/>
    <row r="1535" ht="14.25" customHeight="1" s="64"/>
    <row r="1536" ht="14.25" customHeight="1" s="64"/>
    <row r="1537" ht="14.25" customHeight="1" s="64"/>
    <row r="1538" ht="14.25" customHeight="1" s="64"/>
    <row r="1539" ht="14.25" customHeight="1" s="64"/>
    <row r="1540" ht="14.25" customHeight="1" s="64"/>
    <row r="1541" ht="14.25" customHeight="1" s="64"/>
    <row r="1542" ht="14.25" customHeight="1" s="64"/>
    <row r="1543" ht="14.25" customHeight="1" s="64"/>
    <row r="1544" ht="14.25" customHeight="1" s="64"/>
    <row r="1545" ht="14.25" customHeight="1" s="64"/>
    <row r="1546" ht="14.25" customHeight="1" s="64"/>
    <row r="1547" ht="14.25" customHeight="1" s="64"/>
    <row r="1548" ht="14.25" customHeight="1" s="64"/>
    <row r="1549" ht="14.25" customHeight="1" s="64"/>
    <row r="1550" ht="14.25" customHeight="1" s="64"/>
    <row r="1551" ht="14.25" customHeight="1" s="64"/>
    <row r="1552" ht="14.25" customHeight="1" s="64"/>
    <row r="1553" ht="14.25" customHeight="1" s="64"/>
    <row r="1554" ht="14.25" customHeight="1" s="64"/>
    <row r="1555" ht="14.25" customHeight="1" s="64"/>
    <row r="1556" ht="14.25" customHeight="1" s="64"/>
    <row r="1557" ht="14.25" customHeight="1" s="64"/>
    <row r="1558" ht="14.25" customHeight="1" s="64"/>
    <row r="1559" ht="14.25" customHeight="1" s="64"/>
    <row r="1560" ht="14.25" customHeight="1" s="64"/>
    <row r="1561" ht="14.25" customHeight="1" s="64"/>
    <row r="1562" ht="14.25" customHeight="1" s="64"/>
    <row r="1563" ht="14.25" customHeight="1" s="64"/>
    <row r="1564" ht="14.25" customHeight="1" s="64"/>
    <row r="1565" ht="14.25" customHeight="1" s="64"/>
    <row r="1566" ht="14.25" customHeight="1" s="64"/>
    <row r="1567" ht="14.25" customHeight="1" s="64"/>
    <row r="1568" ht="14.25" customHeight="1" s="64"/>
    <row r="1569" ht="14.25" customHeight="1" s="64"/>
    <row r="1570" ht="14.25" customHeight="1" s="64"/>
    <row r="1571" ht="14.25" customHeight="1" s="64"/>
    <row r="1572" ht="14.25" customHeight="1" s="64"/>
    <row r="1573" ht="14.25" customHeight="1" s="64"/>
    <row r="1574" ht="14.25" customHeight="1" s="64"/>
    <row r="1575" ht="14.25" customHeight="1" s="64"/>
    <row r="1576" ht="14.25" customHeight="1" s="64"/>
    <row r="1577" ht="14.25" customHeight="1" s="64"/>
    <row r="1578" ht="14.25" customHeight="1" s="64"/>
    <row r="1579" ht="14.25" customHeight="1" s="64"/>
    <row r="1580" ht="14.25" customHeight="1" s="64"/>
    <row r="1581" ht="14.25" customHeight="1" s="64"/>
    <row r="1582" ht="14.25" customHeight="1" s="64"/>
    <row r="1583" ht="14.25" customHeight="1" s="64"/>
    <row r="1584" ht="14.25" customHeight="1" s="64"/>
    <row r="1585" ht="14.25" customHeight="1" s="64"/>
    <row r="1586" ht="14.25" customHeight="1" s="64"/>
    <row r="1587" ht="14.25" customHeight="1" s="64"/>
    <row r="1588" ht="14.25" customHeight="1" s="64"/>
    <row r="1589" ht="14.25" customHeight="1" s="64"/>
    <row r="1590" ht="14.25" customHeight="1" s="64"/>
    <row r="1591" ht="14.25" customHeight="1" s="64"/>
    <row r="1592" ht="14.25" customHeight="1" s="64"/>
    <row r="1593" ht="14.25" customHeight="1" s="64"/>
    <row r="1594" ht="14.25" customHeight="1" s="64"/>
    <row r="1595" ht="14.25" customHeight="1" s="64"/>
    <row r="1596" ht="14.25" customHeight="1" s="64"/>
    <row r="1597" ht="14.25" customHeight="1" s="64"/>
    <row r="1598" ht="14.25" customHeight="1" s="64"/>
    <row r="1599" ht="14.25" customHeight="1" s="64"/>
    <row r="1600" ht="14.25" customHeight="1" s="64"/>
    <row r="1601" ht="14.25" customHeight="1" s="64"/>
    <row r="1602" ht="14.25" customHeight="1" s="64"/>
    <row r="1603" ht="14.25" customHeight="1" s="64"/>
    <row r="1604" ht="14.25" customHeight="1" s="64"/>
    <row r="1605" ht="14.25" customHeight="1" s="64"/>
    <row r="1606" ht="14.25" customHeight="1" s="64"/>
    <row r="1607" ht="14.25" customHeight="1" s="64"/>
    <row r="1608" ht="14.25" customHeight="1" s="64"/>
    <row r="1609" ht="14.25" customHeight="1" s="64"/>
  </sheetData>
  <autoFilter ref="A4:H4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2026-07-21T12:34:18Z</dcterms:created>
  <dcterms:modified xsi:type="dcterms:W3CDTF">2026-09-17T13:08:38Z</dcterms:modified>
  <cp:lastModifiedBy>Débora Carla</cp:lastModifiedBy>
  <cp:revision>0</cp:revision>
</cp:coreProperties>
</file>